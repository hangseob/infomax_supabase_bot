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drawings/drawing2.xml" ContentType="application/vnd.openxmlformats-officedocument.drawing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drawings/drawing3.xml" ContentType="application/vnd.openxmlformats-officedocument.drawing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now\Downloads\"/>
    </mc:Choice>
  </mc:AlternateContent>
  <xr:revisionPtr revIDLastSave="0" documentId="13_ncr:1_{CE111C61-83C5-4086-8972-C68B499EF18A}" xr6:coauthVersionLast="47" xr6:coauthVersionMax="47" xr10:uidLastSave="{00000000-0000-0000-0000-000000000000}"/>
  <bookViews>
    <workbookView xWindow="-4500" yWindow="1605" windowWidth="28110" windowHeight="14955" xr2:uid="{00000000-000D-0000-FFFF-FFFF00000000}"/>
  </bookViews>
  <sheets>
    <sheet name="Hist" sheetId="2" r:id="rId1"/>
    <sheet name="Matrix" sheetId="6" r:id="rId2"/>
    <sheet name="지표물" sheetId="8" r:id="rId3"/>
    <sheet name="hist_data" sheetId="1" state="hidden" r:id="rId4"/>
    <sheet name="지표물_data" sheetId="9" state="hidden" r:id="rId5"/>
    <sheet name="matrix_data" sheetId="7" state="hidden" r:id="rId6"/>
    <sheet name="IR_code" sheetId="3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9" l="1"/>
  <c r="C30" i="8" a="1"/>
  <c r="C30" i="8" s="1"/>
  <c r="C28" i="8" a="1"/>
  <c r="C28" i="8" s="1"/>
  <c r="C26" i="8" a="1"/>
  <c r="C26" i="8" s="1"/>
  <c r="C24" i="8" a="1"/>
  <c r="C24" i="8" s="1"/>
  <c r="C22" i="8" a="1"/>
  <c r="C22" i="8" s="1"/>
  <c r="C20" i="8" a="1"/>
  <c r="C20" i="8" s="1"/>
  <c r="C18" i="8" a="1"/>
  <c r="C18" i="8" s="1"/>
  <c r="C16" i="8" a="1"/>
  <c r="C16" i="8" s="1"/>
  <c r="C14" i="8" a="1"/>
  <c r="C14" i="8" s="1"/>
  <c r="P10" i="8" a="1"/>
  <c r="P10" i="8" s="1"/>
  <c r="P30" i="8" s="1"/>
  <c r="O10" i="8" a="1"/>
  <c r="O10" i="8" s="1"/>
  <c r="O28" i="8" s="1"/>
  <c r="N10" i="8" a="1"/>
  <c r="N10" i="8" s="1"/>
  <c r="N30" i="8" s="1"/>
  <c r="M10" i="8" a="1"/>
  <c r="M10" i="8" s="1"/>
  <c r="M28" i="8" s="1"/>
  <c r="L10" i="8" a="1"/>
  <c r="L10" i="8" s="1"/>
  <c r="L30" i="8" s="1"/>
  <c r="K10" i="8" a="1"/>
  <c r="K10" i="8" s="1"/>
  <c r="K30" i="8" s="1"/>
  <c r="J10" i="8" a="1"/>
  <c r="J10" i="8" s="1"/>
  <c r="J30" i="8" s="1"/>
  <c r="I10" i="8" a="1"/>
  <c r="I10" i="8" s="1"/>
  <c r="I26" i="8" s="1"/>
  <c r="H10" i="8" a="1"/>
  <c r="H10" i="8" s="1"/>
  <c r="H30" i="8" s="1"/>
  <c r="G10" i="8" a="1"/>
  <c r="G10" i="8" s="1"/>
  <c r="G13" i="8" s="1" a="1"/>
  <c r="G13" i="8" s="1"/>
  <c r="F10" i="8" a="1"/>
  <c r="F10" i="8" s="1"/>
  <c r="F12" i="8" s="1"/>
  <c r="E10" i="8" a="1"/>
  <c r="E10" i="8" s="1"/>
  <c r="E13" i="8" s="1" a="1"/>
  <c r="E13" i="8" s="1"/>
  <c r="A1" i="9" a="1"/>
  <c r="A1" i="9" s="1"/>
  <c r="S6" i="9" s="1"/>
  <c r="E1" i="9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D56" i="6" a="1"/>
  <c r="D56" i="6" s="1"/>
  <c r="D55" i="6" a="1"/>
  <c r="D55" i="6" s="1"/>
  <c r="D54" i="6" a="1"/>
  <c r="D54" i="6" s="1"/>
  <c r="D53" i="6" a="1"/>
  <c r="D53" i="6" s="1"/>
  <c r="D52" i="6" a="1"/>
  <c r="D52" i="6" s="1"/>
  <c r="D51" i="6" a="1"/>
  <c r="D51" i="6" s="1"/>
  <c r="D50" i="6" a="1"/>
  <c r="D50" i="6" s="1"/>
  <c r="D49" i="6" a="1"/>
  <c r="D49" i="6" s="1"/>
  <c r="D48" i="6" a="1"/>
  <c r="D48" i="6" s="1"/>
  <c r="D47" i="6" a="1"/>
  <c r="D47" i="6" s="1"/>
  <c r="D46" i="6" a="1"/>
  <c r="D46" i="6" s="1"/>
  <c r="D45" i="6" a="1"/>
  <c r="D45" i="6" s="1"/>
  <c r="D44" i="6" a="1"/>
  <c r="D44" i="6" s="1"/>
  <c r="D43" i="6" a="1"/>
  <c r="D43" i="6" s="1"/>
  <c r="D42" i="6" a="1"/>
  <c r="D42" i="6" s="1"/>
  <c r="D41" i="6" a="1"/>
  <c r="D41" i="6" s="1"/>
  <c r="T40" i="6" a="1"/>
  <c r="T40" i="6" s="1"/>
  <c r="S40" i="6" a="1"/>
  <c r="S40" i="6" s="1"/>
  <c r="R40" i="6" a="1"/>
  <c r="R40" i="6" s="1"/>
  <c r="Q40" i="6" a="1"/>
  <c r="Q40" i="6" s="1"/>
  <c r="P40" i="6" a="1"/>
  <c r="P40" i="6" s="1"/>
  <c r="O40" i="6" a="1"/>
  <c r="O40" i="6" s="1"/>
  <c r="N40" i="6" a="1"/>
  <c r="N40" i="6" s="1"/>
  <c r="M40" i="6" a="1"/>
  <c r="M40" i="6" s="1"/>
  <c r="L40" i="6" a="1"/>
  <c r="L40" i="6" s="1"/>
  <c r="K40" i="6" a="1"/>
  <c r="K40" i="6" s="1"/>
  <c r="J40" i="6" a="1"/>
  <c r="J40" i="6" s="1"/>
  <c r="I40" i="6" a="1"/>
  <c r="I40" i="6" s="1"/>
  <c r="H40" i="6" a="1"/>
  <c r="H40" i="6" s="1"/>
  <c r="G40" i="6" a="1"/>
  <c r="G40" i="6" s="1"/>
  <c r="F40" i="6" a="1"/>
  <c r="F40" i="6" s="1"/>
  <c r="E40" i="6" a="1"/>
  <c r="E40" i="6" s="1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J4" i="7" a="1"/>
  <c r="AJ4" i="7" s="1"/>
  <c r="S4" i="7" a="1"/>
  <c r="S4" i="7" s="1"/>
  <c r="B4" i="7" a="1"/>
  <c r="B4" i="7" s="1"/>
  <c r="E1" i="7"/>
  <c r="T15" i="6" a="1"/>
  <c r="T15" i="6" s="1"/>
  <c r="S15" i="6" a="1"/>
  <c r="S15" i="6" s="1"/>
  <c r="R15" i="6" a="1"/>
  <c r="R15" i="6" s="1"/>
  <c r="Q15" i="6" a="1"/>
  <c r="Q15" i="6" s="1"/>
  <c r="P15" i="6" a="1"/>
  <c r="P15" i="6" s="1"/>
  <c r="O15" i="6" a="1"/>
  <c r="O15" i="6" s="1"/>
  <c r="N15" i="6" a="1"/>
  <c r="N15" i="6" s="1"/>
  <c r="M15" i="6" a="1"/>
  <c r="M15" i="6" s="1"/>
  <c r="L15" i="6" a="1"/>
  <c r="L15" i="6" s="1"/>
  <c r="K15" i="6" a="1"/>
  <c r="K15" i="6" s="1"/>
  <c r="J15" i="6" a="1"/>
  <c r="J15" i="6" s="1"/>
  <c r="I15" i="6" a="1"/>
  <c r="I15" i="6" s="1"/>
  <c r="H15" i="6" a="1"/>
  <c r="H15" i="6" s="1"/>
  <c r="G15" i="6" a="1"/>
  <c r="G15" i="6" s="1"/>
  <c r="F15" i="6" a="1"/>
  <c r="F15" i="6" s="1"/>
  <c r="E15" i="6" a="1"/>
  <c r="E15" i="6" s="1"/>
  <c r="D31" i="6" a="1"/>
  <c r="D31" i="6" s="1"/>
  <c r="D30" i="6" a="1"/>
  <c r="D30" i="6" s="1"/>
  <c r="D29" i="6" a="1"/>
  <c r="D29" i="6" s="1"/>
  <c r="D28" i="6" a="1"/>
  <c r="D28" i="6" s="1"/>
  <c r="D27" i="6" a="1"/>
  <c r="D27" i="6" s="1"/>
  <c r="D26" i="6" a="1"/>
  <c r="D26" i="6" s="1"/>
  <c r="D25" i="6" a="1"/>
  <c r="D25" i="6" s="1"/>
  <c r="D24" i="6" a="1"/>
  <c r="D24" i="6" s="1"/>
  <c r="D23" i="6" a="1"/>
  <c r="D23" i="6" s="1"/>
  <c r="D22" i="6" a="1"/>
  <c r="D22" i="6" s="1"/>
  <c r="D21" i="6" a="1"/>
  <c r="D21" i="6" s="1"/>
  <c r="D20" i="6" a="1"/>
  <c r="D20" i="6" s="1"/>
  <c r="D19" i="6" a="1"/>
  <c r="D19" i="6" s="1"/>
  <c r="D18" i="6" a="1"/>
  <c r="D18" i="6" s="1"/>
  <c r="D17" i="6" a="1"/>
  <c r="D17" i="6" s="1"/>
  <c r="D16" i="6" a="1"/>
  <c r="D16" i="6" s="1"/>
  <c r="AJ4" i="1" a="1"/>
  <c r="AJ4" i="1" s="1"/>
  <c r="K35" i="6" s="1"/>
  <c r="S4" i="1" a="1"/>
  <c r="S4" i="1" s="1"/>
  <c r="J10" i="2" s="1"/>
  <c r="B4" i="1" a="1"/>
  <c r="B4" i="1" s="1"/>
  <c r="K5" i="6" s="1"/>
  <c r="C88" i="2" a="1"/>
  <c r="C88" i="2" s="1"/>
  <c r="C86" i="2" a="1"/>
  <c r="C86" i="2" s="1"/>
  <c r="C84" i="2" a="1"/>
  <c r="C84" i="2" s="1"/>
  <c r="C82" i="2" a="1"/>
  <c r="C82" i="2" s="1"/>
  <c r="C80" i="2" a="1"/>
  <c r="C80" i="2" s="1"/>
  <c r="C78" i="2" a="1"/>
  <c r="C78" i="2" s="1"/>
  <c r="C76" i="2" a="1"/>
  <c r="C76" i="2" s="1"/>
  <c r="C74" i="2" a="1"/>
  <c r="C74" i="2" s="1"/>
  <c r="C72" i="2" a="1"/>
  <c r="C72" i="2" s="1"/>
  <c r="C70" i="2" a="1"/>
  <c r="C70" i="2" s="1"/>
  <c r="C68" i="2" a="1"/>
  <c r="C68" i="2" s="1"/>
  <c r="C66" i="2" a="1"/>
  <c r="C66" i="2" s="1"/>
  <c r="C64" i="2" a="1"/>
  <c r="C64" i="2" s="1"/>
  <c r="C62" i="2" a="1"/>
  <c r="C62" i="2" s="1"/>
  <c r="C60" i="2" a="1"/>
  <c r="C60" i="2" s="1"/>
  <c r="C58" i="2" a="1"/>
  <c r="C58" i="2" s="1"/>
  <c r="P13" i="2"/>
  <c r="O13" i="2"/>
  <c r="N13" i="2"/>
  <c r="N33" i="2" s="1" a="1"/>
  <c r="N33" i="2" s="1"/>
  <c r="M13" i="2"/>
  <c r="M80" i="2" s="1" a="1"/>
  <c r="M80" i="2" s="1"/>
  <c r="L13" i="2"/>
  <c r="K13" i="2"/>
  <c r="J13" i="2"/>
  <c r="I13" i="2"/>
  <c r="I82" i="2" s="1" a="1"/>
  <c r="I82" i="2" s="1"/>
  <c r="H13" i="2"/>
  <c r="G13" i="2"/>
  <c r="G72" i="2" s="1" a="1"/>
  <c r="G72" i="2" s="1"/>
  <c r="F13" i="2"/>
  <c r="E13" i="2"/>
  <c r="C47" i="2" a="1"/>
  <c r="C47" i="2" s="1"/>
  <c r="C45" i="2" a="1"/>
  <c r="C45" i="2" s="1"/>
  <c r="C43" i="2" a="1"/>
  <c r="C43" i="2" s="1"/>
  <c r="C41" i="2" a="1"/>
  <c r="C41" i="2" s="1"/>
  <c r="C39" i="2" a="1"/>
  <c r="C39" i="2" s="1"/>
  <c r="C37" i="2" a="1"/>
  <c r="C37" i="2" s="1"/>
  <c r="C35" i="2" a="1"/>
  <c r="C35" i="2" s="1"/>
  <c r="C33" i="2" a="1"/>
  <c r="C33" i="2" s="1"/>
  <c r="C31" i="2" a="1"/>
  <c r="C31" i="2" s="1"/>
  <c r="C29" i="2" a="1"/>
  <c r="C29" i="2" s="1"/>
  <c r="C27" i="2" a="1"/>
  <c r="C27" i="2" s="1"/>
  <c r="C25" i="2" a="1"/>
  <c r="C25" i="2" s="1"/>
  <c r="C23" i="2" a="1"/>
  <c r="C23" i="2" s="1"/>
  <c r="C21" i="2" a="1"/>
  <c r="C21" i="2" s="1"/>
  <c r="C19" i="2" a="1"/>
  <c r="C19" i="2" s="1"/>
  <c r="C17" i="2" a="1"/>
  <c r="C17" i="2" s="1"/>
  <c r="R5" i="9" a="1"/>
  <c r="S5" i="7"/>
  <c r="B5" i="7"/>
  <c r="AJ5" i="7"/>
  <c r="R17" i="6" l="1"/>
  <c r="F37" i="2" a="1"/>
  <c r="F37" i="2" s="1"/>
  <c r="J78" i="2" a="1"/>
  <c r="J78" i="2" s="1"/>
  <c r="L86" i="2" a="1"/>
  <c r="L86" i="2" s="1"/>
  <c r="O29" i="2" a="1"/>
  <c r="O29" i="2" s="1"/>
  <c r="K27" i="2" a="1"/>
  <c r="K27" i="2" s="1"/>
  <c r="K29" i="2" a="1"/>
  <c r="K29" i="2" s="1"/>
  <c r="M14" i="8"/>
  <c r="M18" i="8"/>
  <c r="I22" i="8"/>
  <c r="E26" i="8"/>
  <c r="E30" i="8"/>
  <c r="I16" i="8"/>
  <c r="E20" i="8"/>
  <c r="M22" i="8"/>
  <c r="M26" i="8"/>
  <c r="I30" i="8"/>
  <c r="E14" i="8"/>
  <c r="M16" i="8"/>
  <c r="I20" i="8"/>
  <c r="I24" i="8"/>
  <c r="E28" i="8"/>
  <c r="M30" i="8"/>
  <c r="I14" i="8"/>
  <c r="E18" i="8"/>
  <c r="E22" i="8"/>
  <c r="M24" i="8"/>
  <c r="I28" i="8"/>
  <c r="E16" i="8"/>
  <c r="E17" i="8" s="1"/>
  <c r="I18" i="8"/>
  <c r="M20" i="8"/>
  <c r="E24" i="8"/>
  <c r="U3" i="9"/>
  <c r="J14" i="8"/>
  <c r="F16" i="8"/>
  <c r="F18" i="8"/>
  <c r="N18" i="8"/>
  <c r="F22" i="8"/>
  <c r="J28" i="8"/>
  <c r="G14" i="8"/>
  <c r="O14" i="8"/>
  <c r="O16" i="8"/>
  <c r="K18" i="8"/>
  <c r="K20" i="8"/>
  <c r="G22" i="8"/>
  <c r="O22" i="8"/>
  <c r="K24" i="8"/>
  <c r="G26" i="8"/>
  <c r="O26" i="8"/>
  <c r="K28" i="8"/>
  <c r="G30" i="8"/>
  <c r="O30" i="8"/>
  <c r="F14" i="8"/>
  <c r="N14" i="8"/>
  <c r="J16" i="8"/>
  <c r="N16" i="8"/>
  <c r="J18" i="8"/>
  <c r="F20" i="8"/>
  <c r="J20" i="8"/>
  <c r="N20" i="8"/>
  <c r="J22" i="8"/>
  <c r="N22" i="8"/>
  <c r="F24" i="8"/>
  <c r="J24" i="8"/>
  <c r="N24" i="8"/>
  <c r="F26" i="8"/>
  <c r="J26" i="8"/>
  <c r="N26" i="8"/>
  <c r="F28" i="8"/>
  <c r="N28" i="8"/>
  <c r="F30" i="8"/>
  <c r="K14" i="8"/>
  <c r="G16" i="8"/>
  <c r="K16" i="8"/>
  <c r="G18" i="8"/>
  <c r="O18" i="8"/>
  <c r="G20" i="8"/>
  <c r="O20" i="8"/>
  <c r="K22" i="8"/>
  <c r="G24" i="8"/>
  <c r="O24" i="8"/>
  <c r="K26" i="8"/>
  <c r="G28" i="8"/>
  <c r="H14" i="8"/>
  <c r="L14" i="8"/>
  <c r="P14" i="8"/>
  <c r="H16" i="8"/>
  <c r="L16" i="8"/>
  <c r="P16" i="8"/>
  <c r="H18" i="8"/>
  <c r="L18" i="8"/>
  <c r="P18" i="8"/>
  <c r="H20" i="8"/>
  <c r="L20" i="8"/>
  <c r="P20" i="8"/>
  <c r="H22" i="8"/>
  <c r="L22" i="8"/>
  <c r="P22" i="8"/>
  <c r="H24" i="8"/>
  <c r="L24" i="8"/>
  <c r="P24" i="8"/>
  <c r="H26" i="8"/>
  <c r="L26" i="8"/>
  <c r="P26" i="8"/>
  <c r="H28" i="8"/>
  <c r="L28" i="8"/>
  <c r="P28" i="8"/>
  <c r="X3" i="9"/>
  <c r="Y3" i="9"/>
  <c r="V3" i="9"/>
  <c r="W3" i="9"/>
  <c r="E6" i="9"/>
  <c r="W6" i="9"/>
  <c r="X6" i="9"/>
  <c r="AB6" i="9"/>
  <c r="G6" i="9"/>
  <c r="Y6" i="9"/>
  <c r="AC6" i="9"/>
  <c r="AA6" i="9"/>
  <c r="V6" i="9"/>
  <c r="Z6" i="9"/>
  <c r="AD6" i="9"/>
  <c r="O33" i="2" a="1"/>
  <c r="O33" i="2" s="1"/>
  <c r="K76" i="2" a="1"/>
  <c r="K76" i="2" s="1"/>
  <c r="O68" i="2" a="1"/>
  <c r="O68" i="2" s="1"/>
  <c r="K45" i="2" a="1"/>
  <c r="K45" i="2" s="1"/>
  <c r="J52" i="2"/>
  <c r="G64" i="2" a="1"/>
  <c r="G64" i="2" s="1"/>
  <c r="M6" i="9"/>
  <c r="G23" i="2" a="1"/>
  <c r="G23" i="2" s="1"/>
  <c r="O70" i="2" a="1"/>
  <c r="O70" i="2" s="1"/>
  <c r="O6" i="9"/>
  <c r="I6" i="9"/>
  <c r="Q6" i="9"/>
  <c r="C6" i="9"/>
  <c r="K6" i="9"/>
  <c r="R5" i="9"/>
  <c r="G43" i="6"/>
  <c r="S51" i="6"/>
  <c r="L48" i="6"/>
  <c r="P48" i="6"/>
  <c r="K13" i="8" a="1"/>
  <c r="K13" i="8" s="1"/>
  <c r="O13" i="8" a="1"/>
  <c r="O13" i="8" s="1"/>
  <c r="J13" i="8" a="1"/>
  <c r="J13" i="8" s="1"/>
  <c r="M12" i="8"/>
  <c r="M13" i="8" a="1"/>
  <c r="M13" i="8" s="1"/>
  <c r="E12" i="8"/>
  <c r="F13" i="8" a="1"/>
  <c r="F13" i="8" s="1"/>
  <c r="N13" i="8" a="1"/>
  <c r="N13" i="8" s="1"/>
  <c r="I11" i="8"/>
  <c r="I13" i="8" a="1"/>
  <c r="I13" i="8" s="1"/>
  <c r="N11" i="8"/>
  <c r="H13" i="8" a="1"/>
  <c r="H13" i="8" s="1"/>
  <c r="L13" i="8" a="1"/>
  <c r="L13" i="8" s="1"/>
  <c r="P13" i="8" a="1"/>
  <c r="P13" i="8" s="1"/>
  <c r="M11" i="8"/>
  <c r="R16" i="6"/>
  <c r="G11" i="8"/>
  <c r="K12" i="8"/>
  <c r="G12" i="8"/>
  <c r="E11" i="8"/>
  <c r="J11" i="8"/>
  <c r="O11" i="8"/>
  <c r="I12" i="8"/>
  <c r="N12" i="8"/>
  <c r="F11" i="8"/>
  <c r="K11" i="8"/>
  <c r="J12" i="8"/>
  <c r="O12" i="8"/>
  <c r="H11" i="8"/>
  <c r="L11" i="8"/>
  <c r="P11" i="8"/>
  <c r="H12" i="8"/>
  <c r="L12" i="8"/>
  <c r="P12" i="8"/>
  <c r="G39" i="2" a="1"/>
  <c r="G39" i="2" s="1"/>
  <c r="K72" i="2" a="1"/>
  <c r="K72" i="2" s="1"/>
  <c r="L17" i="2" a="1"/>
  <c r="L17" i="2" s="1"/>
  <c r="K23" i="2" a="1"/>
  <c r="K23" i="2" s="1"/>
  <c r="O62" i="2" a="1"/>
  <c r="O62" i="2" s="1"/>
  <c r="H76" i="2" a="1"/>
  <c r="H76" i="2" s="1"/>
  <c r="P82" i="2" a="1"/>
  <c r="P82" i="2" s="1"/>
  <c r="J5" i="2"/>
  <c r="L21" i="2" a="1"/>
  <c r="L21" i="2" s="1"/>
  <c r="P23" i="2" a="1"/>
  <c r="P23" i="2" s="1"/>
  <c r="G29" i="2" a="1"/>
  <c r="G29" i="2" s="1"/>
  <c r="G33" i="2" a="1"/>
  <c r="G33" i="2" s="1"/>
  <c r="O39" i="2" a="1"/>
  <c r="O39" i="2" s="1"/>
  <c r="O60" i="2" a="1"/>
  <c r="O60" i="2" s="1"/>
  <c r="G76" i="2" a="1"/>
  <c r="G76" i="2" s="1"/>
  <c r="R20" i="6"/>
  <c r="K10" i="6"/>
  <c r="E84" i="2" a="1"/>
  <c r="E84" i="2" s="1"/>
  <c r="AC84" i="2" s="1"/>
  <c r="G27" i="2" a="1"/>
  <c r="G27" i="2" s="1"/>
  <c r="K41" i="2" a="1"/>
  <c r="K41" i="2" s="1"/>
  <c r="K74" i="2" a="1"/>
  <c r="K74" i="2" s="1"/>
  <c r="O76" i="2" a="1"/>
  <c r="O76" i="2" s="1"/>
  <c r="O19" i="2" a="1"/>
  <c r="O19" i="2" s="1"/>
  <c r="O23" i="2" a="1"/>
  <c r="O23" i="2" s="1"/>
  <c r="L27" i="2" a="1"/>
  <c r="L27" i="2" s="1"/>
  <c r="G31" i="2" a="1"/>
  <c r="G31" i="2" s="1"/>
  <c r="K39" i="2" a="1"/>
  <c r="K39" i="2" s="1"/>
  <c r="O45" i="2" a="1"/>
  <c r="O45" i="2" s="1"/>
  <c r="K68" i="2" a="1"/>
  <c r="K68" i="2" s="1"/>
  <c r="O72" i="2" a="1"/>
  <c r="O72" i="2" s="1"/>
  <c r="T56" i="6"/>
  <c r="R52" i="6"/>
  <c r="R41" i="6"/>
  <c r="H41" i="6"/>
  <c r="S52" i="6"/>
  <c r="S44" i="6"/>
  <c r="R46" i="6"/>
  <c r="Q49" i="6"/>
  <c r="E41" i="6"/>
  <c r="M49" i="6"/>
  <c r="I41" i="6"/>
  <c r="K45" i="6"/>
  <c r="O50" i="6"/>
  <c r="S53" i="6"/>
  <c r="K43" i="6"/>
  <c r="F42" i="6"/>
  <c r="J44" i="6"/>
  <c r="N44" i="6"/>
  <c r="H42" i="6"/>
  <c r="O43" i="6"/>
  <c r="P45" i="6"/>
  <c r="J46" i="6"/>
  <c r="R49" i="6"/>
  <c r="G42" i="6"/>
  <c r="L42" i="6"/>
  <c r="S43" i="6"/>
  <c r="K44" i="6"/>
  <c r="T45" i="6"/>
  <c r="N46" i="6"/>
  <c r="P50" i="6"/>
  <c r="O51" i="6"/>
  <c r="R54" i="6"/>
  <c r="P42" i="6"/>
  <c r="O44" i="6"/>
  <c r="T50" i="6"/>
  <c r="T53" i="6"/>
  <c r="T42" i="6"/>
  <c r="L45" i="6"/>
  <c r="F41" i="6"/>
  <c r="N41" i="6"/>
  <c r="G41" i="6"/>
  <c r="K41" i="6"/>
  <c r="O41" i="6"/>
  <c r="S41" i="6"/>
  <c r="I42" i="6"/>
  <c r="M42" i="6"/>
  <c r="Q42" i="6"/>
  <c r="H43" i="6"/>
  <c r="L43" i="6"/>
  <c r="P43" i="6"/>
  <c r="T43" i="6"/>
  <c r="H44" i="6"/>
  <c r="L44" i="6"/>
  <c r="P44" i="6"/>
  <c r="T44" i="6"/>
  <c r="I45" i="6"/>
  <c r="M45" i="6"/>
  <c r="Q45" i="6"/>
  <c r="K46" i="6"/>
  <c r="O46" i="6"/>
  <c r="S46" i="6"/>
  <c r="N47" i="6"/>
  <c r="R47" i="6"/>
  <c r="N48" i="6"/>
  <c r="R48" i="6"/>
  <c r="O49" i="6"/>
  <c r="S49" i="6"/>
  <c r="Q50" i="6"/>
  <c r="P51" i="6"/>
  <c r="T51" i="6"/>
  <c r="P52" i="6"/>
  <c r="T52" i="6"/>
  <c r="Q53" i="6"/>
  <c r="S54" i="6"/>
  <c r="N49" i="6"/>
  <c r="L41" i="6"/>
  <c r="P41" i="6"/>
  <c r="T41" i="6"/>
  <c r="J42" i="6"/>
  <c r="N42" i="6"/>
  <c r="R42" i="6"/>
  <c r="I43" i="6"/>
  <c r="M43" i="6"/>
  <c r="Q43" i="6"/>
  <c r="I44" i="6"/>
  <c r="M44" i="6"/>
  <c r="Q44" i="6"/>
  <c r="J45" i="6"/>
  <c r="N45" i="6"/>
  <c r="R45" i="6"/>
  <c r="L46" i="6"/>
  <c r="P46" i="6"/>
  <c r="T46" i="6"/>
  <c r="K47" i="6"/>
  <c r="O47" i="6"/>
  <c r="S47" i="6"/>
  <c r="O48" i="6"/>
  <c r="S48" i="6"/>
  <c r="P49" i="6"/>
  <c r="T49" i="6"/>
  <c r="N50" i="6"/>
  <c r="R50" i="6"/>
  <c r="Q51" i="6"/>
  <c r="Q52" i="6"/>
  <c r="R53" i="6"/>
  <c r="T54" i="6"/>
  <c r="S55" i="6"/>
  <c r="J41" i="6"/>
  <c r="M47" i="6"/>
  <c r="Q47" i="6"/>
  <c r="M48" i="6"/>
  <c r="Q48" i="6"/>
  <c r="M41" i="6"/>
  <c r="Q41" i="6"/>
  <c r="K42" i="6"/>
  <c r="O42" i="6"/>
  <c r="S42" i="6"/>
  <c r="J43" i="6"/>
  <c r="N43" i="6"/>
  <c r="R43" i="6"/>
  <c r="R44" i="6"/>
  <c r="O45" i="6"/>
  <c r="S45" i="6"/>
  <c r="M46" i="6"/>
  <c r="Q46" i="6"/>
  <c r="L47" i="6"/>
  <c r="P47" i="6"/>
  <c r="T47" i="6"/>
  <c r="T48" i="6"/>
  <c r="S50" i="6"/>
  <c r="R51" i="6"/>
  <c r="T55" i="6"/>
  <c r="I16" i="6"/>
  <c r="Q18" i="6"/>
  <c r="M22" i="6"/>
  <c r="Q17" i="6"/>
  <c r="M21" i="6"/>
  <c r="Q22" i="6"/>
  <c r="R18" i="6"/>
  <c r="Q16" i="6"/>
  <c r="I18" i="6"/>
  <c r="M20" i="6"/>
  <c r="Q21" i="6"/>
  <c r="Q26" i="6"/>
  <c r="M17" i="6"/>
  <c r="Q24" i="6"/>
  <c r="M16" i="6"/>
  <c r="I20" i="6"/>
  <c r="Q28" i="6"/>
  <c r="Q23" i="6"/>
  <c r="T31" i="6"/>
  <c r="I17" i="6"/>
  <c r="M18" i="6"/>
  <c r="Q20" i="6"/>
  <c r="M24" i="6"/>
  <c r="Q25" i="6"/>
  <c r="I19" i="6"/>
  <c r="Q19" i="6"/>
  <c r="M23" i="6"/>
  <c r="Q27" i="6"/>
  <c r="E16" i="6"/>
  <c r="F16" i="6"/>
  <c r="J16" i="6"/>
  <c r="N16" i="6"/>
  <c r="F17" i="6"/>
  <c r="J17" i="6"/>
  <c r="N17" i="6"/>
  <c r="J18" i="6"/>
  <c r="N18" i="6"/>
  <c r="J19" i="6"/>
  <c r="N19" i="6"/>
  <c r="R19" i="6"/>
  <c r="J20" i="6"/>
  <c r="N20" i="6"/>
  <c r="J21" i="6"/>
  <c r="N21" i="6"/>
  <c r="R21" i="6"/>
  <c r="N22" i="6"/>
  <c r="R22" i="6"/>
  <c r="N23" i="6"/>
  <c r="R23" i="6"/>
  <c r="N24" i="6"/>
  <c r="R24" i="6"/>
  <c r="N25" i="6"/>
  <c r="R25" i="6"/>
  <c r="R26" i="6"/>
  <c r="R27" i="6"/>
  <c r="R28" i="6"/>
  <c r="R29" i="6"/>
  <c r="M19" i="6"/>
  <c r="G16" i="6"/>
  <c r="K16" i="6"/>
  <c r="O16" i="6"/>
  <c r="S16" i="6"/>
  <c r="G17" i="6"/>
  <c r="K17" i="6"/>
  <c r="O17" i="6"/>
  <c r="S17" i="6"/>
  <c r="G18" i="6"/>
  <c r="K18" i="6"/>
  <c r="O18" i="6"/>
  <c r="S18" i="6"/>
  <c r="K19" i="6"/>
  <c r="O19" i="6"/>
  <c r="S19" i="6"/>
  <c r="K20" i="6"/>
  <c r="O20" i="6"/>
  <c r="S20" i="6"/>
  <c r="K21" i="6"/>
  <c r="O21" i="6"/>
  <c r="S21" i="6"/>
  <c r="K22" i="6"/>
  <c r="O22" i="6"/>
  <c r="S22" i="6"/>
  <c r="O23" i="6"/>
  <c r="S23" i="6"/>
  <c r="O24" i="6"/>
  <c r="S24" i="6"/>
  <c r="O25" i="6"/>
  <c r="S25" i="6"/>
  <c r="O26" i="6"/>
  <c r="S26" i="6"/>
  <c r="S27" i="6"/>
  <c r="S28" i="6"/>
  <c r="S29" i="6"/>
  <c r="S30" i="6"/>
  <c r="H16" i="6"/>
  <c r="L16" i="6"/>
  <c r="P16" i="6"/>
  <c r="T16" i="6"/>
  <c r="H17" i="6"/>
  <c r="L17" i="6"/>
  <c r="P17" i="6"/>
  <c r="T17" i="6"/>
  <c r="H18" i="6"/>
  <c r="L18" i="6"/>
  <c r="P18" i="6"/>
  <c r="T18" i="6"/>
  <c r="H19" i="6"/>
  <c r="L19" i="6"/>
  <c r="P19" i="6"/>
  <c r="T19" i="6"/>
  <c r="L20" i="6"/>
  <c r="P20" i="6"/>
  <c r="T20" i="6"/>
  <c r="L21" i="6"/>
  <c r="P21" i="6"/>
  <c r="T21" i="6"/>
  <c r="L22" i="6"/>
  <c r="P22" i="6"/>
  <c r="T22" i="6"/>
  <c r="L23" i="6"/>
  <c r="P23" i="6"/>
  <c r="T23" i="6"/>
  <c r="P24" i="6"/>
  <c r="T24" i="6"/>
  <c r="P25" i="6"/>
  <c r="T25" i="6"/>
  <c r="P26" i="6"/>
  <c r="T26" i="6"/>
  <c r="P27" i="6"/>
  <c r="T27" i="6"/>
  <c r="T28" i="6"/>
  <c r="T29" i="6"/>
  <c r="T30" i="6"/>
  <c r="G19" i="2" a="1"/>
  <c r="G19" i="2" s="1"/>
  <c r="H23" i="2" a="1"/>
  <c r="H23" i="2" s="1"/>
  <c r="P25" i="2" a="1"/>
  <c r="P25" i="2" s="1"/>
  <c r="O27" i="2" a="1"/>
  <c r="O27" i="2" s="1"/>
  <c r="P29" i="2" a="1"/>
  <c r="P29" i="2" s="1"/>
  <c r="G35" i="2" a="1"/>
  <c r="G35" i="2" s="1"/>
  <c r="G41" i="2" a="1"/>
  <c r="G41" i="2" s="1"/>
  <c r="K58" i="2" a="1"/>
  <c r="K58" i="2" s="1"/>
  <c r="G66" i="2" a="1"/>
  <c r="G66" i="2" s="1"/>
  <c r="G70" i="2" a="1"/>
  <c r="G70" i="2" s="1"/>
  <c r="G74" i="2" a="1"/>
  <c r="G74" i="2" s="1"/>
  <c r="O84" i="2" a="1"/>
  <c r="O84" i="2" s="1"/>
  <c r="K66" i="2" a="1"/>
  <c r="K66" i="2" s="1"/>
  <c r="O74" i="2" a="1"/>
  <c r="O74" i="2" s="1"/>
  <c r="P43" i="2" a="1"/>
  <c r="P43" i="2" s="1"/>
  <c r="L45" i="2" a="1"/>
  <c r="L45" i="2" s="1"/>
  <c r="P60" i="2" a="1"/>
  <c r="P60" i="2" s="1"/>
  <c r="I80" i="2" a="1"/>
  <c r="I80" i="2" s="1"/>
  <c r="E57" i="2" a="1"/>
  <c r="E57" i="2" s="1"/>
  <c r="AC57" i="2" s="1"/>
  <c r="H19" i="2" a="1"/>
  <c r="H19" i="2" s="1"/>
  <c r="P19" i="2" a="1"/>
  <c r="P19" i="2" s="1"/>
  <c r="M21" i="2" a="1"/>
  <c r="M21" i="2" s="1"/>
  <c r="H33" i="2" a="1"/>
  <c r="H33" i="2" s="1"/>
  <c r="H62" i="2" a="1"/>
  <c r="H62" i="2" s="1"/>
  <c r="L66" i="2" a="1"/>
  <c r="L66" i="2" s="1"/>
  <c r="H29" i="2" a="1"/>
  <c r="H29" i="2" s="1"/>
  <c r="E39" i="2" a="1"/>
  <c r="E39" i="2" s="1"/>
  <c r="AB39" i="2" s="1"/>
  <c r="L39" i="2" a="1"/>
  <c r="L39" i="2" s="1"/>
  <c r="H25" i="2" a="1"/>
  <c r="H25" i="2" s="1"/>
  <c r="H43" i="2" a="1"/>
  <c r="H43" i="2" s="1"/>
  <c r="E45" i="2" a="1"/>
  <c r="E45" i="2" s="1"/>
  <c r="T45" i="2" s="1"/>
  <c r="L58" i="2" a="1"/>
  <c r="L58" i="2" s="1"/>
  <c r="H64" i="2" a="1"/>
  <c r="H64" i="2" s="1"/>
  <c r="L80" i="2" a="1"/>
  <c r="L80" i="2" s="1"/>
  <c r="H86" i="2" a="1"/>
  <c r="H86" i="2" s="1"/>
  <c r="H17" i="2" a="1"/>
  <c r="H17" i="2" s="1"/>
  <c r="P17" i="2" a="1"/>
  <c r="P17" i="2" s="1"/>
  <c r="K19" i="2" a="1"/>
  <c r="K19" i="2" s="1"/>
  <c r="E21" i="2" a="1"/>
  <c r="E21" i="2" s="1"/>
  <c r="W21" i="2" s="1"/>
  <c r="P21" i="2" a="1"/>
  <c r="P21" i="2" s="1"/>
  <c r="L23" i="2" a="1"/>
  <c r="L23" i="2" s="1"/>
  <c r="I25" i="2" a="1"/>
  <c r="I25" i="2" s="1"/>
  <c r="H27" i="2" a="1"/>
  <c r="H27" i="2" s="1"/>
  <c r="P27" i="2" a="1"/>
  <c r="P27" i="2" s="1"/>
  <c r="L29" i="2" a="1"/>
  <c r="L29" i="2" s="1"/>
  <c r="P31" i="2" a="1"/>
  <c r="P31" i="2" s="1"/>
  <c r="K33" i="2" a="1"/>
  <c r="K33" i="2" s="1"/>
  <c r="L37" i="2" a="1"/>
  <c r="L37" i="2" s="1"/>
  <c r="H39" i="2" a="1"/>
  <c r="H39" i="2" s="1"/>
  <c r="P39" i="2" a="1"/>
  <c r="P39" i="2" s="1"/>
  <c r="I43" i="2" a="1"/>
  <c r="I43" i="2" s="1"/>
  <c r="H45" i="2" a="1"/>
  <c r="H45" i="2" s="1"/>
  <c r="L47" i="2" a="1"/>
  <c r="L47" i="2" s="1"/>
  <c r="K60" i="2" a="1"/>
  <c r="K60" i="2" s="1"/>
  <c r="I62" i="2" a="1"/>
  <c r="I62" i="2" s="1"/>
  <c r="L64" i="2" a="1"/>
  <c r="L64" i="2" s="1"/>
  <c r="P66" i="2" a="1"/>
  <c r="P66" i="2" s="1"/>
  <c r="P68" i="2" a="1"/>
  <c r="P68" i="2" s="1"/>
  <c r="P80" i="2" a="1"/>
  <c r="P80" i="2" s="1"/>
  <c r="I86" i="2" a="1"/>
  <c r="I86" i="2" s="1"/>
  <c r="L19" i="2" a="1"/>
  <c r="L19" i="2" s="1"/>
  <c r="H21" i="2" a="1"/>
  <c r="H21" i="2" s="1"/>
  <c r="L25" i="2" a="1"/>
  <c r="L25" i="2" s="1"/>
  <c r="E33" i="2" a="1"/>
  <c r="E33" i="2" s="1"/>
  <c r="AB33" i="2" s="1"/>
  <c r="L33" i="2" a="1"/>
  <c r="L33" i="2" s="1"/>
  <c r="P37" i="2" a="1"/>
  <c r="P37" i="2" s="1"/>
  <c r="L43" i="2" a="1"/>
  <c r="L43" i="2" s="1"/>
  <c r="I58" i="2" a="1"/>
  <c r="I58" i="2" s="1"/>
  <c r="E68" i="2" a="1"/>
  <c r="E68" i="2" s="1"/>
  <c r="X68" i="2" s="1"/>
  <c r="H80" i="2" a="1"/>
  <c r="H80" i="2" s="1"/>
  <c r="H82" i="2" a="1"/>
  <c r="H82" i="2" s="1"/>
  <c r="P86" i="2" a="1"/>
  <c r="P86" i="2" s="1"/>
  <c r="Z84" i="2"/>
  <c r="F78" i="2" a="1"/>
  <c r="F78" i="2" s="1"/>
  <c r="N78" i="2" a="1"/>
  <c r="N78" i="2" s="1"/>
  <c r="J84" i="2" a="1"/>
  <c r="J84" i="2" s="1"/>
  <c r="F31" i="2" a="1"/>
  <c r="F31" i="2" s="1"/>
  <c r="M31" i="2" a="1"/>
  <c r="M31" i="2" s="1"/>
  <c r="J41" i="2" a="1"/>
  <c r="J41" i="2" s="1"/>
  <c r="E43" i="2" a="1"/>
  <c r="E43" i="2" s="1"/>
  <c r="I47" i="2" a="1"/>
  <c r="I47" i="2" s="1"/>
  <c r="F58" i="2" a="1"/>
  <c r="F58" i="2" s="1"/>
  <c r="M62" i="2" a="1"/>
  <c r="M62" i="2" s="1"/>
  <c r="I68" i="2" a="1"/>
  <c r="I68" i="2" s="1"/>
  <c r="N72" i="2" a="1"/>
  <c r="N72" i="2" s="1"/>
  <c r="J74" i="2" a="1"/>
  <c r="J74" i="2" s="1"/>
  <c r="N76" i="2" a="1"/>
  <c r="N76" i="2" s="1"/>
  <c r="I78" i="2" a="1"/>
  <c r="I78" i="2" s="1"/>
  <c r="N84" i="2" a="1"/>
  <c r="N84" i="2" s="1"/>
  <c r="Y57" i="2"/>
  <c r="J31" i="2" a="1"/>
  <c r="J31" i="2" s="1"/>
  <c r="N35" i="2" a="1"/>
  <c r="N35" i="2" s="1"/>
  <c r="N41" i="2" a="1"/>
  <c r="N41" i="2" s="1"/>
  <c r="AB45" i="2"/>
  <c r="X45" i="2"/>
  <c r="AC45" i="2"/>
  <c r="F47" i="2" a="1"/>
  <c r="F47" i="2" s="1"/>
  <c r="E37" i="2" a="1"/>
  <c r="E37" i="2" s="1"/>
  <c r="I21" i="2" a="1"/>
  <c r="I21" i="2" s="1"/>
  <c r="E25" i="2" a="1"/>
  <c r="E25" i="2" s="1"/>
  <c r="M25" i="2" a="1"/>
  <c r="M25" i="2" s="1"/>
  <c r="J35" i="2" a="1"/>
  <c r="J35" i="2" s="1"/>
  <c r="M37" i="2" a="1"/>
  <c r="M37" i="2" s="1"/>
  <c r="M43" i="2" a="1"/>
  <c r="M43" i="2" s="1"/>
  <c r="I45" i="2" a="1"/>
  <c r="I45" i="2" s="1"/>
  <c r="E60" i="2" a="1"/>
  <c r="E60" i="2" s="1"/>
  <c r="M64" i="2" a="1"/>
  <c r="M64" i="2" s="1"/>
  <c r="M70" i="2" a="1"/>
  <c r="M70" i="2" s="1"/>
  <c r="E80" i="2" a="1"/>
  <c r="E80" i="2" s="1"/>
  <c r="U45" i="2"/>
  <c r="F86" i="2" a="1"/>
  <c r="F86" i="2" s="1"/>
  <c r="F76" i="2" a="1"/>
  <c r="F76" i="2" s="1"/>
  <c r="F74" i="2" a="1"/>
  <c r="F74" i="2" s="1"/>
  <c r="F72" i="2" a="1"/>
  <c r="F72" i="2" s="1"/>
  <c r="F68" i="2" a="1"/>
  <c r="F68" i="2" s="1"/>
  <c r="F66" i="2" a="1"/>
  <c r="F66" i="2" s="1"/>
  <c r="F64" i="2" a="1"/>
  <c r="F64" i="2" s="1"/>
  <c r="F62" i="2" a="1"/>
  <c r="F62" i="2" s="1"/>
  <c r="F60" i="2" a="1"/>
  <c r="F60" i="2" s="1"/>
  <c r="F88" i="2" a="1"/>
  <c r="F88" i="2" s="1"/>
  <c r="F82" i="2" a="1"/>
  <c r="F82" i="2" s="1"/>
  <c r="F80" i="2" a="1"/>
  <c r="F80" i="2" s="1"/>
  <c r="F70" i="2" a="1"/>
  <c r="F70" i="2" s="1"/>
  <c r="F39" i="2" a="1"/>
  <c r="F39" i="2" s="1"/>
  <c r="F33" i="2" a="1"/>
  <c r="F33" i="2" s="1"/>
  <c r="F29" i="2" a="1"/>
  <c r="F29" i="2" s="1"/>
  <c r="F27" i="2" a="1"/>
  <c r="F27" i="2" s="1"/>
  <c r="F23" i="2" a="1"/>
  <c r="F23" i="2" s="1"/>
  <c r="F19" i="2" a="1"/>
  <c r="F19" i="2" s="1"/>
  <c r="F84" i="2" a="1"/>
  <c r="F84" i="2" s="1"/>
  <c r="F45" i="2" a="1"/>
  <c r="F45" i="2" s="1"/>
  <c r="F43" i="2" a="1"/>
  <c r="F43" i="2" s="1"/>
  <c r="F25" i="2" a="1"/>
  <c r="F25" i="2" s="1"/>
  <c r="F21" i="2" a="1"/>
  <c r="F21" i="2" s="1"/>
  <c r="J86" i="2" a="1"/>
  <c r="J86" i="2" s="1"/>
  <c r="J80" i="2" a="1"/>
  <c r="J80" i="2" s="1"/>
  <c r="J70" i="2" a="1"/>
  <c r="J70" i="2" s="1"/>
  <c r="J68" i="2" a="1"/>
  <c r="J68" i="2" s="1"/>
  <c r="J66" i="2" a="1"/>
  <c r="J66" i="2" s="1"/>
  <c r="J64" i="2" a="1"/>
  <c r="J64" i="2" s="1"/>
  <c r="J62" i="2" a="1"/>
  <c r="J62" i="2" s="1"/>
  <c r="J60" i="2" a="1"/>
  <c r="J60" i="2" s="1"/>
  <c r="J45" i="2" a="1"/>
  <c r="J45" i="2" s="1"/>
  <c r="J39" i="2" a="1"/>
  <c r="J39" i="2" s="1"/>
  <c r="J33" i="2" a="1"/>
  <c r="J33" i="2" s="1"/>
  <c r="J29" i="2" a="1"/>
  <c r="J29" i="2" s="1"/>
  <c r="J27" i="2" a="1"/>
  <c r="J27" i="2" s="1"/>
  <c r="J23" i="2" a="1"/>
  <c r="J23" i="2" s="1"/>
  <c r="J19" i="2" a="1"/>
  <c r="J19" i="2" s="1"/>
  <c r="J82" i="2" a="1"/>
  <c r="J82" i="2" s="1"/>
  <c r="J58" i="2" a="1"/>
  <c r="J58" i="2" s="1"/>
  <c r="J47" i="2" a="1"/>
  <c r="J47" i="2" s="1"/>
  <c r="J43" i="2" a="1"/>
  <c r="J43" i="2" s="1"/>
  <c r="J37" i="2" a="1"/>
  <c r="J37" i="2" s="1"/>
  <c r="J25" i="2" a="1"/>
  <c r="J25" i="2" s="1"/>
  <c r="J21" i="2" a="1"/>
  <c r="J21" i="2" s="1"/>
  <c r="N86" i="2" a="1"/>
  <c r="N86" i="2" s="1"/>
  <c r="N70" i="2" a="1"/>
  <c r="N70" i="2" s="1"/>
  <c r="N68" i="2" a="1"/>
  <c r="N68" i="2" s="1"/>
  <c r="N66" i="2" a="1"/>
  <c r="N66" i="2" s="1"/>
  <c r="N64" i="2" a="1"/>
  <c r="N64" i="2" s="1"/>
  <c r="N62" i="2" a="1"/>
  <c r="N62" i="2" s="1"/>
  <c r="N60" i="2" a="1"/>
  <c r="N60" i="2" s="1"/>
  <c r="N88" i="2" a="1"/>
  <c r="N88" i="2" s="1"/>
  <c r="N45" i="2" a="1"/>
  <c r="N45" i="2" s="1"/>
  <c r="N39" i="2" a="1"/>
  <c r="N39" i="2" s="1"/>
  <c r="N29" i="2" a="1"/>
  <c r="N29" i="2" s="1"/>
  <c r="N27" i="2" a="1"/>
  <c r="N27" i="2" s="1"/>
  <c r="N23" i="2" a="1"/>
  <c r="N23" i="2" s="1"/>
  <c r="N19" i="2" a="1"/>
  <c r="N19" i="2" s="1"/>
  <c r="N80" i="2" a="1"/>
  <c r="N80" i="2" s="1"/>
  <c r="N43" i="2" a="1"/>
  <c r="N43" i="2" s="1"/>
  <c r="N37" i="2" a="1"/>
  <c r="N37" i="2" s="1"/>
  <c r="N31" i="2" a="1"/>
  <c r="N31" i="2" s="1"/>
  <c r="N25" i="2" a="1"/>
  <c r="N25" i="2" s="1"/>
  <c r="N21" i="2" a="1"/>
  <c r="N21" i="2" s="1"/>
  <c r="N47" i="2" a="1"/>
  <c r="N47" i="2" s="1"/>
  <c r="N82" i="2" a="1"/>
  <c r="N82" i="2" s="1"/>
  <c r="J88" i="2" a="1"/>
  <c r="J88" i="2" s="1"/>
  <c r="F17" i="2" a="1"/>
  <c r="F17" i="2" s="1"/>
  <c r="J17" i="2" a="1"/>
  <c r="J17" i="2" s="1"/>
  <c r="N17" i="2" a="1"/>
  <c r="N17" i="2" s="1"/>
  <c r="E78" i="2" a="1"/>
  <c r="E78" i="2" s="1"/>
  <c r="E70" i="2" a="1"/>
  <c r="E70" i="2" s="1"/>
  <c r="E86" i="2" a="1"/>
  <c r="E86" i="2" s="1"/>
  <c r="E76" i="2" a="1"/>
  <c r="E76" i="2" s="1"/>
  <c r="E72" i="2" a="1"/>
  <c r="E72" i="2" s="1"/>
  <c r="E64" i="2" a="1"/>
  <c r="E64" i="2" s="1"/>
  <c r="E47" i="2" a="1"/>
  <c r="E47" i="2" s="1"/>
  <c r="E35" i="2" a="1"/>
  <c r="E35" i="2" s="1"/>
  <c r="E88" i="2" a="1"/>
  <c r="E88" i="2" s="1"/>
  <c r="E82" i="2" a="1"/>
  <c r="E82" i="2" s="1"/>
  <c r="E62" i="2" a="1"/>
  <c r="E62" i="2" s="1"/>
  <c r="E41" i="2" a="1"/>
  <c r="E41" i="2" s="1"/>
  <c r="E31" i="2" a="1"/>
  <c r="E31" i="2" s="1"/>
  <c r="E29" i="2" a="1"/>
  <c r="E29" i="2" s="1"/>
  <c r="E27" i="2" a="1"/>
  <c r="E27" i="2" s="1"/>
  <c r="E23" i="2" a="1"/>
  <c r="E23" i="2" s="1"/>
  <c r="E19" i="2" a="1"/>
  <c r="E19" i="2" s="1"/>
  <c r="E56" i="2"/>
  <c r="I74" i="2" a="1"/>
  <c r="I74" i="2" s="1"/>
  <c r="I76" i="2" a="1"/>
  <c r="I76" i="2" s="1"/>
  <c r="I72" i="2" a="1"/>
  <c r="I72" i="2" s="1"/>
  <c r="I70" i="2" a="1"/>
  <c r="I70" i="2" s="1"/>
  <c r="I66" i="2" a="1"/>
  <c r="I66" i="2" s="1"/>
  <c r="I41" i="2" a="1"/>
  <c r="I41" i="2" s="1"/>
  <c r="I35" i="2" a="1"/>
  <c r="I35" i="2" s="1"/>
  <c r="I31" i="2" a="1"/>
  <c r="I31" i="2" s="1"/>
  <c r="I64" i="2" a="1"/>
  <c r="I64" i="2" s="1"/>
  <c r="I39" i="2" a="1"/>
  <c r="I39" i="2" s="1"/>
  <c r="I33" i="2" a="1"/>
  <c r="I33" i="2" s="1"/>
  <c r="I29" i="2" a="1"/>
  <c r="I29" i="2" s="1"/>
  <c r="I27" i="2" a="1"/>
  <c r="I27" i="2" s="1"/>
  <c r="I23" i="2" a="1"/>
  <c r="I23" i="2" s="1"/>
  <c r="I19" i="2" a="1"/>
  <c r="I19" i="2" s="1"/>
  <c r="I17" i="2" a="1"/>
  <c r="I17" i="2" s="1"/>
  <c r="M16" i="2" a="1"/>
  <c r="M16" i="2" s="1"/>
  <c r="M76" i="2" a="1"/>
  <c r="M76" i="2" s="1"/>
  <c r="M72" i="2" a="1"/>
  <c r="M72" i="2" s="1"/>
  <c r="M47" i="2" a="1"/>
  <c r="M47" i="2" s="1"/>
  <c r="M86" i="2" a="1"/>
  <c r="M86" i="2" s="1"/>
  <c r="M84" i="2" a="1"/>
  <c r="M84" i="2" s="1"/>
  <c r="M74" i="2" a="1"/>
  <c r="M74" i="2" s="1"/>
  <c r="M68" i="2" a="1"/>
  <c r="M68" i="2" s="1"/>
  <c r="M60" i="2" a="1"/>
  <c r="M60" i="2" s="1"/>
  <c r="M58" i="2" a="1"/>
  <c r="M58" i="2" s="1"/>
  <c r="M41" i="2" a="1"/>
  <c r="M41" i="2" s="1"/>
  <c r="M88" i="2" a="1"/>
  <c r="M88" i="2" s="1"/>
  <c r="M66" i="2" a="1"/>
  <c r="M66" i="2" s="1"/>
  <c r="M45" i="2" a="1"/>
  <c r="M45" i="2" s="1"/>
  <c r="M39" i="2" a="1"/>
  <c r="M39" i="2" s="1"/>
  <c r="M33" i="2" a="1"/>
  <c r="M33" i="2" s="1"/>
  <c r="M29" i="2" a="1"/>
  <c r="M29" i="2" s="1"/>
  <c r="M27" i="2" a="1"/>
  <c r="M27" i="2" s="1"/>
  <c r="M23" i="2" a="1"/>
  <c r="M23" i="2" s="1"/>
  <c r="M19" i="2" a="1"/>
  <c r="M19" i="2" s="1"/>
  <c r="M17" i="2" a="1"/>
  <c r="M17" i="2" s="1"/>
  <c r="F35" i="2" a="1"/>
  <c r="F35" i="2" s="1"/>
  <c r="M35" i="2" a="1"/>
  <c r="M35" i="2" s="1"/>
  <c r="I37" i="2" a="1"/>
  <c r="I37" i="2" s="1"/>
  <c r="F41" i="2" a="1"/>
  <c r="F41" i="2" s="1"/>
  <c r="N58" i="2" a="1"/>
  <c r="N58" i="2" s="1"/>
  <c r="I60" i="2" a="1"/>
  <c r="I60" i="2" s="1"/>
  <c r="E66" i="2" a="1"/>
  <c r="E66" i="2" s="1"/>
  <c r="J72" i="2" a="1"/>
  <c r="J72" i="2" s="1"/>
  <c r="E74" i="2" a="1"/>
  <c r="E74" i="2" s="1"/>
  <c r="N74" i="2" a="1"/>
  <c r="N74" i="2" s="1"/>
  <c r="J76" i="2" a="1"/>
  <c r="J76" i="2" s="1"/>
  <c r="M78" i="2" a="1"/>
  <c r="M78" i="2" s="1"/>
  <c r="M82" i="2" a="1"/>
  <c r="M82" i="2" s="1"/>
  <c r="I84" i="2" a="1"/>
  <c r="I84" i="2" s="1"/>
  <c r="I88" i="2" a="1"/>
  <c r="I88" i="2" s="1"/>
  <c r="G86" i="2" a="1"/>
  <c r="G86" i="2" s="1"/>
  <c r="G88" i="2" a="1"/>
  <c r="G88" i="2" s="1"/>
  <c r="G82" i="2" a="1"/>
  <c r="G82" i="2" s="1"/>
  <c r="G80" i="2" a="1"/>
  <c r="G80" i="2" s="1"/>
  <c r="K86" i="2" a="1"/>
  <c r="K86" i="2" s="1"/>
  <c r="K88" i="2" a="1"/>
  <c r="K88" i="2" s="1"/>
  <c r="K82" i="2" a="1"/>
  <c r="K82" i="2" s="1"/>
  <c r="O86" i="2" a="1"/>
  <c r="O86" i="2" s="1"/>
  <c r="O88" i="2" a="1"/>
  <c r="O88" i="2" s="1"/>
  <c r="O82" i="2" a="1"/>
  <c r="O82" i="2" s="1"/>
  <c r="O78" i="2" a="1"/>
  <c r="O78" i="2" s="1"/>
  <c r="G17" i="2" a="1"/>
  <c r="G17" i="2" s="1"/>
  <c r="K17" i="2" a="1"/>
  <c r="K17" i="2" s="1"/>
  <c r="O17" i="2" a="1"/>
  <c r="O17" i="2" s="1"/>
  <c r="H31" i="2" a="1"/>
  <c r="H31" i="2" s="1"/>
  <c r="K31" i="2" a="1"/>
  <c r="K31" i="2" s="1"/>
  <c r="P33" i="2" a="1"/>
  <c r="P33" i="2" s="1"/>
  <c r="H35" i="2" a="1"/>
  <c r="H35" i="2" s="1"/>
  <c r="K35" i="2" a="1"/>
  <c r="K35" i="2" s="1"/>
  <c r="O35" i="2" a="1"/>
  <c r="O35" i="2" s="1"/>
  <c r="G37" i="2" a="1"/>
  <c r="G37" i="2" s="1"/>
  <c r="H41" i="2" a="1"/>
  <c r="H41" i="2" s="1"/>
  <c r="L41" i="2" a="1"/>
  <c r="L41" i="2" s="1"/>
  <c r="O41" i="2" a="1"/>
  <c r="O41" i="2" s="1"/>
  <c r="P45" i="2" a="1"/>
  <c r="P45" i="2" s="1"/>
  <c r="G47" i="2" a="1"/>
  <c r="G47" i="2" s="1"/>
  <c r="O47" i="2" a="1"/>
  <c r="O47" i="2" s="1"/>
  <c r="G58" i="2" a="1"/>
  <c r="G58" i="2" s="1"/>
  <c r="O58" i="2" a="1"/>
  <c r="O58" i="2" s="1"/>
  <c r="G60" i="2" a="1"/>
  <c r="G60" i="2" s="1"/>
  <c r="L60" i="2" a="1"/>
  <c r="L60" i="2" s="1"/>
  <c r="K62" i="2" a="1"/>
  <c r="K62" i="2" s="1"/>
  <c r="P62" i="2" a="1"/>
  <c r="P62" i="2" s="1"/>
  <c r="O64" i="2" a="1"/>
  <c r="O64" i="2" s="1"/>
  <c r="H66" i="2" a="1"/>
  <c r="H66" i="2" s="1"/>
  <c r="G68" i="2" a="1"/>
  <c r="G68" i="2" s="1"/>
  <c r="L68" i="2" a="1"/>
  <c r="L68" i="2" s="1"/>
  <c r="K70" i="2" a="1"/>
  <c r="K70" i="2" s="1"/>
  <c r="H72" i="2" a="1"/>
  <c r="H72" i="2" s="1"/>
  <c r="L72" i="2" a="1"/>
  <c r="L72" i="2" s="1"/>
  <c r="P74" i="2" a="1"/>
  <c r="P74" i="2" s="1"/>
  <c r="L76" i="2" a="1"/>
  <c r="L76" i="2" s="1"/>
  <c r="G78" i="2" a="1"/>
  <c r="G78" i="2" s="1"/>
  <c r="K78" i="2" a="1"/>
  <c r="K78" i="2" s="1"/>
  <c r="K84" i="2" a="1"/>
  <c r="K84" i="2" s="1"/>
  <c r="H88" i="2" a="1"/>
  <c r="H88" i="2" s="1"/>
  <c r="H84" i="2" a="1"/>
  <c r="H84" i="2" s="1"/>
  <c r="H78" i="2" a="1"/>
  <c r="H78" i="2" s="1"/>
  <c r="H70" i="2" a="1"/>
  <c r="H70" i="2" s="1"/>
  <c r="L88" i="2" a="1"/>
  <c r="L88" i="2" s="1"/>
  <c r="L84" i="2" a="1"/>
  <c r="L84" i="2" s="1"/>
  <c r="L74" i="2" a="1"/>
  <c r="L74" i="2" s="1"/>
  <c r="L70" i="2" a="1"/>
  <c r="L70" i="2" s="1"/>
  <c r="P88" i="2" a="1"/>
  <c r="P88" i="2" s="1"/>
  <c r="P84" i="2" a="1"/>
  <c r="P84" i="2" s="1"/>
  <c r="P76" i="2" a="1"/>
  <c r="P76" i="2" s="1"/>
  <c r="P72" i="2" a="1"/>
  <c r="P72" i="2" s="1"/>
  <c r="P70" i="2" a="1"/>
  <c r="P70" i="2" s="1"/>
  <c r="G21" i="2" a="1"/>
  <c r="G21" i="2" s="1"/>
  <c r="K21" i="2" a="1"/>
  <c r="K21" i="2" s="1"/>
  <c r="O21" i="2" a="1"/>
  <c r="O21" i="2" s="1"/>
  <c r="G25" i="2" a="1"/>
  <c r="G25" i="2" s="1"/>
  <c r="K25" i="2" a="1"/>
  <c r="K25" i="2" s="1"/>
  <c r="O25" i="2" a="1"/>
  <c r="O25" i="2" s="1"/>
  <c r="L31" i="2" a="1"/>
  <c r="L31" i="2" s="1"/>
  <c r="O31" i="2" a="1"/>
  <c r="O31" i="2" s="1"/>
  <c r="L35" i="2" a="1"/>
  <c r="L35" i="2" s="1"/>
  <c r="P35" i="2" a="1"/>
  <c r="P35" i="2" s="1"/>
  <c r="H37" i="2" a="1"/>
  <c r="H37" i="2" s="1"/>
  <c r="K37" i="2" a="1"/>
  <c r="K37" i="2" s="1"/>
  <c r="O37" i="2" a="1"/>
  <c r="O37" i="2" s="1"/>
  <c r="P41" i="2" a="1"/>
  <c r="P41" i="2" s="1"/>
  <c r="G43" i="2" a="1"/>
  <c r="G43" i="2" s="1"/>
  <c r="K43" i="2" a="1"/>
  <c r="K43" i="2" s="1"/>
  <c r="O43" i="2" a="1"/>
  <c r="O43" i="2" s="1"/>
  <c r="G45" i="2" a="1"/>
  <c r="G45" i="2" s="1"/>
  <c r="H47" i="2" a="1"/>
  <c r="H47" i="2" s="1"/>
  <c r="K47" i="2" a="1"/>
  <c r="K47" i="2" s="1"/>
  <c r="P47" i="2" a="1"/>
  <c r="P47" i="2" s="1"/>
  <c r="H58" i="2" a="1"/>
  <c r="H58" i="2" s="1"/>
  <c r="P58" i="2" a="1"/>
  <c r="P58" i="2" s="1"/>
  <c r="H60" i="2" a="1"/>
  <c r="H60" i="2" s="1"/>
  <c r="G62" i="2" a="1"/>
  <c r="G62" i="2" s="1"/>
  <c r="L62" i="2" a="1"/>
  <c r="L62" i="2" s="1"/>
  <c r="K64" i="2" a="1"/>
  <c r="K64" i="2" s="1"/>
  <c r="P64" i="2" a="1"/>
  <c r="P64" i="2" s="1"/>
  <c r="O66" i="2" a="1"/>
  <c r="O66" i="2" s="1"/>
  <c r="H68" i="2" a="1"/>
  <c r="H68" i="2" s="1"/>
  <c r="H74" i="2" a="1"/>
  <c r="H74" i="2" s="1"/>
  <c r="L78" i="2" a="1"/>
  <c r="L78" i="2" s="1"/>
  <c r="P78" i="2" a="1"/>
  <c r="P78" i="2" s="1"/>
  <c r="K80" i="2" a="1"/>
  <c r="K80" i="2" s="1"/>
  <c r="O80" i="2" a="1"/>
  <c r="O80" i="2" s="1"/>
  <c r="L82" i="2" a="1"/>
  <c r="L82" i="2" s="1"/>
  <c r="G84" i="2" a="1"/>
  <c r="G84" i="2" s="1"/>
  <c r="E17" i="2" a="1"/>
  <c r="E17" i="2" s="1"/>
  <c r="I16" i="2" a="1"/>
  <c r="I16" i="2" s="1"/>
  <c r="M57" i="2" a="1"/>
  <c r="M57" i="2" s="1"/>
  <c r="M81" i="2" s="1"/>
  <c r="E14" i="2"/>
  <c r="E58" i="2" a="1"/>
  <c r="E58" i="2" s="1"/>
  <c r="I15" i="2"/>
  <c r="M55" i="2"/>
  <c r="E16" i="2" a="1"/>
  <c r="E16" i="2" s="1"/>
  <c r="I57" i="2" a="1"/>
  <c r="I57" i="2" s="1"/>
  <c r="F16" i="2" a="1"/>
  <c r="F16" i="2" s="1"/>
  <c r="F38" i="2" s="1"/>
  <c r="J16" i="2" a="1"/>
  <c r="J16" i="2" s="1"/>
  <c r="N16" i="2" a="1"/>
  <c r="N16" i="2" s="1"/>
  <c r="N34" i="2" s="1"/>
  <c r="F57" i="2" a="1"/>
  <c r="F57" i="2" s="1"/>
  <c r="J57" i="2" a="1"/>
  <c r="J57" i="2" s="1"/>
  <c r="N57" i="2" a="1"/>
  <c r="N57" i="2" s="1"/>
  <c r="G14" i="2"/>
  <c r="K14" i="2"/>
  <c r="O14" i="2"/>
  <c r="G16" i="2" a="1"/>
  <c r="G16" i="2" s="1"/>
  <c r="K16" i="2" a="1"/>
  <c r="K16" i="2" s="1"/>
  <c r="O16" i="2" a="1"/>
  <c r="O16" i="2" s="1"/>
  <c r="G57" i="2" a="1"/>
  <c r="G57" i="2" s="1"/>
  <c r="K57" i="2" a="1"/>
  <c r="K57" i="2" s="1"/>
  <c r="O57" i="2" a="1"/>
  <c r="O57" i="2" s="1"/>
  <c r="H56" i="2"/>
  <c r="L56" i="2"/>
  <c r="P56" i="2"/>
  <c r="H16" i="2" a="1"/>
  <c r="H16" i="2" s="1"/>
  <c r="L16" i="2" a="1"/>
  <c r="L16" i="2" s="1"/>
  <c r="L22" i="2" s="1"/>
  <c r="P16" i="2" a="1"/>
  <c r="P16" i="2" s="1"/>
  <c r="H57" i="2" a="1"/>
  <c r="H57" i="2" s="1"/>
  <c r="L57" i="2" a="1"/>
  <c r="L57" i="2" s="1"/>
  <c r="P57" i="2" a="1"/>
  <c r="P57" i="2" s="1"/>
  <c r="L14" i="2"/>
  <c r="P14" i="2"/>
  <c r="H14" i="2"/>
  <c r="E15" i="2"/>
  <c r="I14" i="2"/>
  <c r="M14" i="2"/>
  <c r="M15" i="2"/>
  <c r="F14" i="2"/>
  <c r="F56" i="2"/>
  <c r="F55" i="2"/>
  <c r="F15" i="2"/>
  <c r="J56" i="2"/>
  <c r="J14" i="2"/>
  <c r="J55" i="2"/>
  <c r="J15" i="2"/>
  <c r="N14" i="2"/>
  <c r="N56" i="2"/>
  <c r="N55" i="2"/>
  <c r="N15" i="2"/>
  <c r="E55" i="2"/>
  <c r="I56" i="2"/>
  <c r="I55" i="2"/>
  <c r="M56" i="2"/>
  <c r="G15" i="2"/>
  <c r="K15" i="2"/>
  <c r="O15" i="2"/>
  <c r="G55" i="2"/>
  <c r="K55" i="2"/>
  <c r="O55" i="2"/>
  <c r="G56" i="2"/>
  <c r="K56" i="2"/>
  <c r="O56" i="2"/>
  <c r="H15" i="2"/>
  <c r="L15" i="2"/>
  <c r="P15" i="2"/>
  <c r="H55" i="2"/>
  <c r="L55" i="2"/>
  <c r="P55" i="2"/>
  <c r="AC5" i="9" a="1"/>
  <c r="P5" i="9" a="1"/>
  <c r="Y5" i="9" a="1"/>
  <c r="N5" i="9" a="1"/>
  <c r="AB5" i="9" a="1"/>
  <c r="AA5" i="9" a="1"/>
  <c r="AD5" i="9" a="1"/>
  <c r="L5" i="9" a="1"/>
  <c r="J5" i="9" a="1"/>
  <c r="F5" i="9" a="1"/>
  <c r="W5" i="9" a="1"/>
  <c r="U5" i="9" a="1"/>
  <c r="Z5" i="9" a="1"/>
  <c r="D5" i="9" a="1"/>
  <c r="H5" i="9" a="1"/>
  <c r="X5" i="9" a="1"/>
  <c r="B5" i="9" a="1"/>
  <c r="M30" i="2" l="1"/>
  <c r="S57" i="2"/>
  <c r="U84" i="2"/>
  <c r="V84" i="2"/>
  <c r="P24" i="2"/>
  <c r="Y39" i="2"/>
  <c r="AA39" i="2"/>
  <c r="AA84" i="2"/>
  <c r="R84" i="2"/>
  <c r="W84" i="2"/>
  <c r="H63" i="2"/>
  <c r="R57" i="2"/>
  <c r="Y84" i="2"/>
  <c r="T84" i="2"/>
  <c r="S84" i="2"/>
  <c r="X84" i="2"/>
  <c r="AC39" i="2"/>
  <c r="M18" i="2"/>
  <c r="AA68" i="2"/>
  <c r="AB84" i="2"/>
  <c r="E85" i="2"/>
  <c r="AA45" i="2"/>
  <c r="U57" i="2"/>
  <c r="Z57" i="2"/>
  <c r="V57" i="2"/>
  <c r="AA57" i="2"/>
  <c r="R21" i="2"/>
  <c r="T57" i="2"/>
  <c r="AA21" i="2"/>
  <c r="X57" i="2"/>
  <c r="T21" i="2"/>
  <c r="AB57" i="2"/>
  <c r="U21" i="2"/>
  <c r="V21" i="2"/>
  <c r="Y21" i="2"/>
  <c r="V45" i="2"/>
  <c r="W57" i="2"/>
  <c r="P15" i="8"/>
  <c r="AA5" i="9"/>
  <c r="AB5" i="9"/>
  <c r="AD5" i="9"/>
  <c r="AC5" i="9"/>
  <c r="X5" i="9"/>
  <c r="Z5" i="9"/>
  <c r="Y5" i="9"/>
  <c r="W5" i="9"/>
  <c r="U5" i="9"/>
  <c r="F5" i="9"/>
  <c r="D5" i="9"/>
  <c r="S45" i="2"/>
  <c r="R33" i="2"/>
  <c r="T39" i="2"/>
  <c r="S39" i="2"/>
  <c r="L5" i="9"/>
  <c r="N5" i="9"/>
  <c r="P5" i="9"/>
  <c r="B5" i="9"/>
  <c r="H5" i="9"/>
  <c r="J5" i="9"/>
  <c r="J27" i="8"/>
  <c r="H25" i="8"/>
  <c r="P27" i="8"/>
  <c r="M17" i="8"/>
  <c r="M27" i="8"/>
  <c r="J21" i="8"/>
  <c r="L27" i="8"/>
  <c r="L23" i="8"/>
  <c r="L15" i="8"/>
  <c r="P19" i="8"/>
  <c r="P31" i="8"/>
  <c r="P25" i="8"/>
  <c r="L25" i="8"/>
  <c r="M25" i="8"/>
  <c r="M15" i="8"/>
  <c r="P23" i="8"/>
  <c r="M21" i="8"/>
  <c r="E29" i="8"/>
  <c r="M19" i="8"/>
  <c r="E15" i="8"/>
  <c r="L29" i="8"/>
  <c r="P21" i="8"/>
  <c r="L21" i="8"/>
  <c r="J31" i="8"/>
  <c r="M23" i="8"/>
  <c r="J25" i="8"/>
  <c r="L19" i="8"/>
  <c r="L17" i="8"/>
  <c r="H19" i="8"/>
  <c r="J19" i="8"/>
  <c r="P29" i="8"/>
  <c r="H27" i="8"/>
  <c r="H29" i="8"/>
  <c r="H23" i="8"/>
  <c r="H17" i="8"/>
  <c r="H31" i="8"/>
  <c r="H15" i="8"/>
  <c r="L31" i="8"/>
  <c r="H21" i="8"/>
  <c r="J17" i="8"/>
  <c r="J29" i="8"/>
  <c r="J23" i="8"/>
  <c r="J15" i="8"/>
  <c r="P17" i="8"/>
  <c r="M29" i="8"/>
  <c r="M31" i="8"/>
  <c r="I31" i="8"/>
  <c r="I27" i="8"/>
  <c r="I23" i="8"/>
  <c r="I19" i="8"/>
  <c r="I15" i="8"/>
  <c r="I25" i="8"/>
  <c r="I29" i="8"/>
  <c r="I17" i="8"/>
  <c r="I21" i="8"/>
  <c r="E19" i="8"/>
  <c r="O29" i="8"/>
  <c r="O25" i="8"/>
  <c r="O21" i="8"/>
  <c r="O31" i="8"/>
  <c r="O23" i="8"/>
  <c r="O17" i="8"/>
  <c r="O19" i="8"/>
  <c r="O15" i="8"/>
  <c r="O27" i="8"/>
  <c r="G29" i="8"/>
  <c r="G25" i="8"/>
  <c r="G21" i="8"/>
  <c r="G27" i="8"/>
  <c r="G19" i="8"/>
  <c r="G17" i="8"/>
  <c r="G15" i="8"/>
  <c r="G23" i="8"/>
  <c r="G31" i="8"/>
  <c r="F15" i="8"/>
  <c r="F29" i="8"/>
  <c r="F27" i="8"/>
  <c r="F21" i="8"/>
  <c r="F19" i="8"/>
  <c r="F23" i="8"/>
  <c r="F17" i="8"/>
  <c r="F25" i="8"/>
  <c r="F31" i="8"/>
  <c r="E25" i="8"/>
  <c r="E23" i="8"/>
  <c r="E27" i="8"/>
  <c r="N15" i="8"/>
  <c r="N31" i="8"/>
  <c r="N25" i="8"/>
  <c r="N23" i="8"/>
  <c r="N29" i="8"/>
  <c r="N27" i="8"/>
  <c r="N17" i="8"/>
  <c r="N21" i="8"/>
  <c r="N19" i="8"/>
  <c r="K29" i="8"/>
  <c r="K25" i="8"/>
  <c r="K21" i="8"/>
  <c r="K27" i="8"/>
  <c r="K19" i="8"/>
  <c r="K17" i="8"/>
  <c r="K31" i="8"/>
  <c r="K23" i="8"/>
  <c r="K15" i="8"/>
  <c r="E21" i="8"/>
  <c r="E31" i="8"/>
  <c r="S68" i="2"/>
  <c r="U68" i="2"/>
  <c r="AB68" i="2"/>
  <c r="V39" i="2"/>
  <c r="AA33" i="2"/>
  <c r="M36" i="2"/>
  <c r="M24" i="2"/>
  <c r="M40" i="2"/>
  <c r="M42" i="2"/>
  <c r="M28" i="2"/>
  <c r="M46" i="2"/>
  <c r="Z21" i="2"/>
  <c r="X21" i="2"/>
  <c r="AC21" i="2"/>
  <c r="R45" i="2"/>
  <c r="Y45" i="2"/>
  <c r="Z39" i="2"/>
  <c r="R39" i="2"/>
  <c r="X39" i="2"/>
  <c r="S21" i="2"/>
  <c r="AB21" i="2"/>
  <c r="Z45" i="2"/>
  <c r="W45" i="2"/>
  <c r="U39" i="2"/>
  <c r="W39" i="2"/>
  <c r="R68" i="2"/>
  <c r="Y68" i="2"/>
  <c r="E69" i="2"/>
  <c r="V68" i="2"/>
  <c r="W68" i="2"/>
  <c r="T68" i="2"/>
  <c r="P69" i="2"/>
  <c r="I81" i="2"/>
  <c r="Z68" i="2"/>
  <c r="AC68" i="2"/>
  <c r="Y33" i="2"/>
  <c r="T33" i="2"/>
  <c r="S33" i="2"/>
  <c r="U33" i="2"/>
  <c r="X33" i="2"/>
  <c r="AC33" i="2"/>
  <c r="Z33" i="2"/>
  <c r="M22" i="2"/>
  <c r="F36" i="2"/>
  <c r="M63" i="2"/>
  <c r="J42" i="2"/>
  <c r="M20" i="2"/>
  <c r="M34" i="2"/>
  <c r="M48" i="2"/>
  <c r="W33" i="2"/>
  <c r="V33" i="2"/>
  <c r="M83" i="2"/>
  <c r="H18" i="2"/>
  <c r="H30" i="2"/>
  <c r="H26" i="2"/>
  <c r="H20" i="2"/>
  <c r="H44" i="2"/>
  <c r="H46" i="2"/>
  <c r="H22" i="2"/>
  <c r="H24" i="2"/>
  <c r="H28" i="2"/>
  <c r="H40" i="2"/>
  <c r="H34" i="2"/>
  <c r="K24" i="2"/>
  <c r="K20" i="2"/>
  <c r="K42" i="2"/>
  <c r="K30" i="2"/>
  <c r="K28" i="2"/>
  <c r="K34" i="2"/>
  <c r="K46" i="2"/>
  <c r="K40" i="2"/>
  <c r="L65" i="2"/>
  <c r="L59" i="2"/>
  <c r="L67" i="2"/>
  <c r="L81" i="2"/>
  <c r="L87" i="2"/>
  <c r="E18" i="2"/>
  <c r="AB16" i="2"/>
  <c r="X16" i="2"/>
  <c r="T16" i="2"/>
  <c r="AA16" i="2"/>
  <c r="W16" i="2"/>
  <c r="S16" i="2"/>
  <c r="Y16" i="2"/>
  <c r="AC16" i="2"/>
  <c r="U16" i="2"/>
  <c r="Z16" i="2"/>
  <c r="R16" i="2"/>
  <c r="V16" i="2"/>
  <c r="E22" i="2"/>
  <c r="E34" i="2"/>
  <c r="E40" i="2"/>
  <c r="E46" i="2"/>
  <c r="O87" i="2"/>
  <c r="O83" i="2"/>
  <c r="O79" i="2"/>
  <c r="O71" i="2"/>
  <c r="O75" i="2"/>
  <c r="O77" i="2"/>
  <c r="O61" i="2"/>
  <c r="O73" i="2"/>
  <c r="O85" i="2"/>
  <c r="O69" i="2"/>
  <c r="O63" i="2"/>
  <c r="H83" i="2"/>
  <c r="H65" i="2"/>
  <c r="H81" i="2"/>
  <c r="H87" i="2"/>
  <c r="H77" i="2"/>
  <c r="K87" i="2"/>
  <c r="K85" i="2"/>
  <c r="K83" i="2"/>
  <c r="K77" i="2"/>
  <c r="K59" i="2"/>
  <c r="K67" i="2"/>
  <c r="K61" i="2"/>
  <c r="K69" i="2"/>
  <c r="G24" i="2"/>
  <c r="G20" i="2"/>
  <c r="G40" i="2"/>
  <c r="G36" i="2"/>
  <c r="G32" i="2"/>
  <c r="G42" i="2"/>
  <c r="N73" i="2"/>
  <c r="N77" i="2"/>
  <c r="O81" i="2"/>
  <c r="H75" i="2"/>
  <c r="K65" i="2"/>
  <c r="P59" i="2"/>
  <c r="H48" i="2"/>
  <c r="G44" i="2"/>
  <c r="H38" i="2"/>
  <c r="L32" i="2"/>
  <c r="O22" i="2"/>
  <c r="P73" i="2"/>
  <c r="L71" i="2"/>
  <c r="H71" i="2"/>
  <c r="G79" i="2"/>
  <c r="H73" i="2"/>
  <c r="H67" i="2"/>
  <c r="L61" i="2"/>
  <c r="O48" i="2"/>
  <c r="L42" i="2"/>
  <c r="K36" i="2"/>
  <c r="H32" i="2"/>
  <c r="G30" i="2"/>
  <c r="F18" i="2"/>
  <c r="K75" i="2"/>
  <c r="L83" i="2"/>
  <c r="L79" i="2"/>
  <c r="P22" i="2"/>
  <c r="P28" i="2"/>
  <c r="P40" i="2"/>
  <c r="P30" i="2"/>
  <c r="P26" i="2"/>
  <c r="P32" i="2"/>
  <c r="P18" i="2"/>
  <c r="P20" i="2"/>
  <c r="P38" i="2"/>
  <c r="P44" i="2"/>
  <c r="G83" i="2"/>
  <c r="G87" i="2"/>
  <c r="G77" i="2"/>
  <c r="G65" i="2"/>
  <c r="G73" i="2"/>
  <c r="G67" i="2"/>
  <c r="G75" i="2"/>
  <c r="J79" i="2"/>
  <c r="J81" i="2"/>
  <c r="I26" i="2"/>
  <c r="I22" i="2"/>
  <c r="J77" i="2"/>
  <c r="M59" i="2"/>
  <c r="M85" i="2"/>
  <c r="M77" i="2"/>
  <c r="I24" i="2"/>
  <c r="I40" i="2"/>
  <c r="I42" i="2"/>
  <c r="E24" i="2"/>
  <c r="AC23" i="2"/>
  <c r="Y23" i="2"/>
  <c r="U23" i="2"/>
  <c r="AB23" i="2"/>
  <c r="X23" i="2"/>
  <c r="T23" i="2"/>
  <c r="W23" i="2"/>
  <c r="V23" i="2"/>
  <c r="R23" i="2"/>
  <c r="S23" i="2"/>
  <c r="AA23" i="2"/>
  <c r="Z23" i="2"/>
  <c r="E42" i="2"/>
  <c r="AB41" i="2"/>
  <c r="X41" i="2"/>
  <c r="T41" i="2"/>
  <c r="AA41" i="2"/>
  <c r="V41" i="2"/>
  <c r="Z41" i="2"/>
  <c r="U41" i="2"/>
  <c r="S41" i="2"/>
  <c r="AC41" i="2"/>
  <c r="R41" i="2"/>
  <c r="Y41" i="2"/>
  <c r="W41" i="2"/>
  <c r="E36" i="2"/>
  <c r="AB35" i="2"/>
  <c r="X35" i="2"/>
  <c r="T35" i="2"/>
  <c r="Z35" i="2"/>
  <c r="U35" i="2"/>
  <c r="Y35" i="2"/>
  <c r="S35" i="2"/>
  <c r="W35" i="2"/>
  <c r="AC35" i="2"/>
  <c r="V35" i="2"/>
  <c r="R35" i="2"/>
  <c r="AA35" i="2"/>
  <c r="E77" i="2"/>
  <c r="AB76" i="2"/>
  <c r="X76" i="2"/>
  <c r="T76" i="2"/>
  <c r="Y76" i="2"/>
  <c r="S76" i="2"/>
  <c r="AC76" i="2"/>
  <c r="W76" i="2"/>
  <c r="R76" i="2"/>
  <c r="V76" i="2"/>
  <c r="U76" i="2"/>
  <c r="AA76" i="2"/>
  <c r="Z76" i="2"/>
  <c r="G28" i="2"/>
  <c r="N36" i="2"/>
  <c r="I48" i="2"/>
  <c r="F32" i="2"/>
  <c r="K73" i="2"/>
  <c r="P83" i="2"/>
  <c r="P87" i="2"/>
  <c r="P61" i="2"/>
  <c r="P67" i="2"/>
  <c r="P81" i="2"/>
  <c r="L28" i="2"/>
  <c r="L40" i="2"/>
  <c r="L24" i="2"/>
  <c r="L48" i="2"/>
  <c r="L26" i="2"/>
  <c r="L38" i="2"/>
  <c r="L44" i="2"/>
  <c r="L18" i="2"/>
  <c r="L30" i="2"/>
  <c r="L20" i="2"/>
  <c r="L34" i="2"/>
  <c r="O20" i="2"/>
  <c r="O24" i="2"/>
  <c r="O34" i="2"/>
  <c r="O30" i="2"/>
  <c r="O46" i="2"/>
  <c r="O40" i="2"/>
  <c r="O28" i="2"/>
  <c r="F81" i="2"/>
  <c r="F77" i="2"/>
  <c r="F73" i="2"/>
  <c r="I85" i="2"/>
  <c r="I77" i="2"/>
  <c r="I59" i="2"/>
  <c r="I83" i="2"/>
  <c r="I87" i="2"/>
  <c r="I63" i="2"/>
  <c r="AB58" i="2"/>
  <c r="X58" i="2"/>
  <c r="T58" i="2"/>
  <c r="Z58" i="2"/>
  <c r="U58" i="2"/>
  <c r="Y58" i="2"/>
  <c r="S58" i="2"/>
  <c r="W58" i="2"/>
  <c r="V58" i="2"/>
  <c r="AC58" i="2"/>
  <c r="R58" i="2"/>
  <c r="AA58" i="2"/>
  <c r="E59" i="2"/>
  <c r="AB17" i="2"/>
  <c r="X17" i="2"/>
  <c r="T17" i="2"/>
  <c r="AA17" i="2"/>
  <c r="W17" i="2"/>
  <c r="S17" i="2"/>
  <c r="AC17" i="2"/>
  <c r="U17" i="2"/>
  <c r="Y17" i="2"/>
  <c r="V17" i="2"/>
  <c r="Z17" i="2"/>
  <c r="R17" i="2"/>
  <c r="G85" i="2"/>
  <c r="P79" i="2"/>
  <c r="O67" i="2"/>
  <c r="G63" i="2"/>
  <c r="P48" i="2"/>
  <c r="O44" i="2"/>
  <c r="O38" i="2"/>
  <c r="L36" i="2"/>
  <c r="K26" i="2"/>
  <c r="L46" i="2"/>
  <c r="N22" i="2"/>
  <c r="N44" i="2"/>
  <c r="N28" i="2"/>
  <c r="N89" i="2"/>
  <c r="N67" i="2"/>
  <c r="J22" i="2"/>
  <c r="J48" i="2"/>
  <c r="J24" i="2"/>
  <c r="J40" i="2"/>
  <c r="J65" i="2"/>
  <c r="F44" i="2"/>
  <c r="F24" i="2"/>
  <c r="F40" i="2"/>
  <c r="F89" i="2"/>
  <c r="F67" i="2"/>
  <c r="G71" i="2"/>
  <c r="I46" i="2"/>
  <c r="G34" i="2"/>
  <c r="J85" i="2"/>
  <c r="I44" i="2"/>
  <c r="K81" i="2"/>
  <c r="H69" i="2"/>
  <c r="L63" i="2"/>
  <c r="H59" i="2"/>
  <c r="G46" i="2"/>
  <c r="P42" i="2"/>
  <c r="P36" i="2"/>
  <c r="O26" i="2"/>
  <c r="K22" i="2"/>
  <c r="P77" i="2"/>
  <c r="L75" i="2"/>
  <c r="H79" i="2"/>
  <c r="L77" i="2"/>
  <c r="K71" i="2"/>
  <c r="O65" i="2"/>
  <c r="G61" i="2"/>
  <c r="G48" i="2"/>
  <c r="H42" i="2"/>
  <c r="H36" i="2"/>
  <c r="O18" i="2"/>
  <c r="K89" i="2"/>
  <c r="G89" i="2"/>
  <c r="I89" i="2"/>
  <c r="N75" i="2"/>
  <c r="I61" i="2"/>
  <c r="M67" i="2"/>
  <c r="M61" i="2"/>
  <c r="M87" i="2"/>
  <c r="I28" i="2"/>
  <c r="I65" i="2"/>
  <c r="I67" i="2"/>
  <c r="I75" i="2"/>
  <c r="E28" i="2"/>
  <c r="AC27" i="2"/>
  <c r="Y27" i="2"/>
  <c r="U27" i="2"/>
  <c r="AB27" i="2"/>
  <c r="X27" i="2"/>
  <c r="T27" i="2"/>
  <c r="W27" i="2"/>
  <c r="V27" i="2"/>
  <c r="Z27" i="2"/>
  <c r="AA27" i="2"/>
  <c r="S27" i="2"/>
  <c r="R27" i="2"/>
  <c r="E63" i="2"/>
  <c r="AB62" i="2"/>
  <c r="X62" i="2"/>
  <c r="T62" i="2"/>
  <c r="AC62" i="2"/>
  <c r="W62" i="2"/>
  <c r="R62" i="2"/>
  <c r="AA62" i="2"/>
  <c r="V62" i="2"/>
  <c r="U62" i="2"/>
  <c r="Z62" i="2"/>
  <c r="S62" i="2"/>
  <c r="Y62" i="2"/>
  <c r="E48" i="2"/>
  <c r="AB47" i="2"/>
  <c r="X47" i="2"/>
  <c r="T47" i="2"/>
  <c r="AC47" i="2"/>
  <c r="W47" i="2"/>
  <c r="R47" i="2"/>
  <c r="AA47" i="2"/>
  <c r="V47" i="2"/>
  <c r="Z47" i="2"/>
  <c r="Y47" i="2"/>
  <c r="U47" i="2"/>
  <c r="S47" i="2"/>
  <c r="E87" i="2"/>
  <c r="AB86" i="2"/>
  <c r="X86" i="2"/>
  <c r="T86" i="2"/>
  <c r="AC86" i="2"/>
  <c r="W86" i="2"/>
  <c r="R86" i="2"/>
  <c r="AA86" i="2"/>
  <c r="V86" i="2"/>
  <c r="Z86" i="2"/>
  <c r="Y86" i="2"/>
  <c r="U86" i="2"/>
  <c r="S86" i="2"/>
  <c r="N26" i="2"/>
  <c r="N81" i="2"/>
  <c r="N30" i="2"/>
  <c r="N61" i="2"/>
  <c r="N69" i="2"/>
  <c r="J26" i="2"/>
  <c r="J59" i="2"/>
  <c r="J28" i="2"/>
  <c r="J46" i="2"/>
  <c r="J67" i="2"/>
  <c r="J87" i="2"/>
  <c r="F46" i="2"/>
  <c r="F28" i="2"/>
  <c r="F71" i="2"/>
  <c r="F61" i="2"/>
  <c r="F69" i="2"/>
  <c r="F87" i="2"/>
  <c r="E81" i="2"/>
  <c r="AB80" i="2"/>
  <c r="X80" i="2"/>
  <c r="T80" i="2"/>
  <c r="AA80" i="2"/>
  <c r="V80" i="2"/>
  <c r="Z80" i="2"/>
  <c r="U80" i="2"/>
  <c r="S80" i="2"/>
  <c r="AC80" i="2"/>
  <c r="R80" i="2"/>
  <c r="Y80" i="2"/>
  <c r="W80" i="2"/>
  <c r="M44" i="2"/>
  <c r="M38" i="2"/>
  <c r="M26" i="2"/>
  <c r="I79" i="2"/>
  <c r="I69" i="2"/>
  <c r="N79" i="2"/>
  <c r="G22" i="2"/>
  <c r="P85" i="2"/>
  <c r="L85" i="2"/>
  <c r="H85" i="2"/>
  <c r="P75" i="2"/>
  <c r="L69" i="2"/>
  <c r="P63" i="2"/>
  <c r="O59" i="2"/>
  <c r="P46" i="2"/>
  <c r="G38" i="2"/>
  <c r="P34" i="2"/>
  <c r="K18" i="2"/>
  <c r="O89" i="2"/>
  <c r="E75" i="2"/>
  <c r="AB74" i="2"/>
  <c r="X74" i="2"/>
  <c r="T74" i="2"/>
  <c r="Z74" i="2"/>
  <c r="U74" i="2"/>
  <c r="Y74" i="2"/>
  <c r="S74" i="2"/>
  <c r="W74" i="2"/>
  <c r="V74" i="2"/>
  <c r="AC74" i="2"/>
  <c r="R74" i="2"/>
  <c r="AA74" i="2"/>
  <c r="E67" i="2"/>
  <c r="AB66" i="2"/>
  <c r="X66" i="2"/>
  <c r="T66" i="2"/>
  <c r="Z66" i="2"/>
  <c r="U66" i="2"/>
  <c r="Y66" i="2"/>
  <c r="S66" i="2"/>
  <c r="AC66" i="2"/>
  <c r="R66" i="2"/>
  <c r="AA66" i="2"/>
  <c r="W66" i="2"/>
  <c r="V66" i="2"/>
  <c r="N59" i="2"/>
  <c r="I38" i="2"/>
  <c r="M89" i="2"/>
  <c r="M69" i="2"/>
  <c r="I18" i="2"/>
  <c r="I30" i="2"/>
  <c r="I32" i="2"/>
  <c r="I71" i="2"/>
  <c r="E30" i="2"/>
  <c r="AB29" i="2"/>
  <c r="Y29" i="2"/>
  <c r="U29" i="2"/>
  <c r="AC29" i="2"/>
  <c r="X29" i="2"/>
  <c r="T29" i="2"/>
  <c r="AA29" i="2"/>
  <c r="S29" i="2"/>
  <c r="Z29" i="2"/>
  <c r="R29" i="2"/>
  <c r="W29" i="2"/>
  <c r="V29" i="2"/>
  <c r="E83" i="2"/>
  <c r="AB82" i="2"/>
  <c r="X82" i="2"/>
  <c r="T82" i="2"/>
  <c r="Z82" i="2"/>
  <c r="U82" i="2"/>
  <c r="Y82" i="2"/>
  <c r="S82" i="2"/>
  <c r="AC82" i="2"/>
  <c r="R82" i="2"/>
  <c r="AA82" i="2"/>
  <c r="W82" i="2"/>
  <c r="V82" i="2"/>
  <c r="E65" i="2"/>
  <c r="AB64" i="2"/>
  <c r="X64" i="2"/>
  <c r="T64" i="2"/>
  <c r="AA64" i="2"/>
  <c r="V64" i="2"/>
  <c r="Z64" i="2"/>
  <c r="U64" i="2"/>
  <c r="S64" i="2"/>
  <c r="AC64" i="2"/>
  <c r="R64" i="2"/>
  <c r="Y64" i="2"/>
  <c r="W64" i="2"/>
  <c r="E71" i="2"/>
  <c r="AB70" i="2"/>
  <c r="X70" i="2"/>
  <c r="T70" i="2"/>
  <c r="AC70" i="2"/>
  <c r="W70" i="2"/>
  <c r="R70" i="2"/>
  <c r="AA70" i="2"/>
  <c r="V70" i="2"/>
  <c r="Z70" i="2"/>
  <c r="Y70" i="2"/>
  <c r="U70" i="2"/>
  <c r="S70" i="2"/>
  <c r="N18" i="2"/>
  <c r="J89" i="2"/>
  <c r="N32" i="2"/>
  <c r="N20" i="2"/>
  <c r="N40" i="2"/>
  <c r="N63" i="2"/>
  <c r="N71" i="2"/>
  <c r="J38" i="2"/>
  <c r="J83" i="2"/>
  <c r="J30" i="2"/>
  <c r="J61" i="2"/>
  <c r="J69" i="2"/>
  <c r="F22" i="2"/>
  <c r="F85" i="2"/>
  <c r="F30" i="2"/>
  <c r="F63" i="2"/>
  <c r="E61" i="2"/>
  <c r="AB60" i="2"/>
  <c r="X60" i="2"/>
  <c r="T60" i="2"/>
  <c r="Y60" i="2"/>
  <c r="S60" i="2"/>
  <c r="AC60" i="2"/>
  <c r="W60" i="2"/>
  <c r="R60" i="2"/>
  <c r="V60" i="2"/>
  <c r="U60" i="2"/>
  <c r="AA60" i="2"/>
  <c r="Z60" i="2"/>
  <c r="J36" i="2"/>
  <c r="E26" i="2"/>
  <c r="AC25" i="2"/>
  <c r="Y25" i="2"/>
  <c r="U25" i="2"/>
  <c r="AB25" i="2"/>
  <c r="X25" i="2"/>
  <c r="T25" i="2"/>
  <c r="AA25" i="2"/>
  <c r="S25" i="2"/>
  <c r="Z25" i="2"/>
  <c r="R25" i="2"/>
  <c r="V25" i="2"/>
  <c r="W25" i="2"/>
  <c r="F48" i="2"/>
  <c r="N42" i="2"/>
  <c r="J32" i="2"/>
  <c r="N85" i="2"/>
  <c r="F79" i="2"/>
  <c r="P65" i="2"/>
  <c r="H61" i="2"/>
  <c r="K48" i="2"/>
  <c r="K44" i="2"/>
  <c r="K38" i="2"/>
  <c r="O32" i="2"/>
  <c r="G26" i="2"/>
  <c r="P71" i="2"/>
  <c r="P89" i="2"/>
  <c r="L89" i="2"/>
  <c r="H89" i="2"/>
  <c r="K79" i="2"/>
  <c r="L73" i="2"/>
  <c r="G69" i="2"/>
  <c r="K63" i="2"/>
  <c r="G59" i="2"/>
  <c r="O42" i="2"/>
  <c r="O36" i="2"/>
  <c r="K32" i="2"/>
  <c r="G18" i="2"/>
  <c r="G81" i="2"/>
  <c r="M79" i="2"/>
  <c r="J73" i="2"/>
  <c r="F42" i="2"/>
  <c r="M75" i="2"/>
  <c r="M73" i="2"/>
  <c r="I20" i="2"/>
  <c r="I34" i="2"/>
  <c r="I36" i="2"/>
  <c r="I73" i="2"/>
  <c r="E20" i="2"/>
  <c r="AC19" i="2"/>
  <c r="Y19" i="2"/>
  <c r="U19" i="2"/>
  <c r="AB19" i="2"/>
  <c r="X19" i="2"/>
  <c r="T19" i="2"/>
  <c r="W19" i="2"/>
  <c r="V19" i="2"/>
  <c r="Z19" i="2"/>
  <c r="S19" i="2"/>
  <c r="R19" i="2"/>
  <c r="AA19" i="2"/>
  <c r="E32" i="2"/>
  <c r="AB31" i="2"/>
  <c r="X31" i="2"/>
  <c r="T31" i="2"/>
  <c r="AC31" i="2"/>
  <c r="W31" i="2"/>
  <c r="R31" i="2"/>
  <c r="AA31" i="2"/>
  <c r="V31" i="2"/>
  <c r="Z31" i="2"/>
  <c r="Y31" i="2"/>
  <c r="S31" i="2"/>
  <c r="U31" i="2"/>
  <c r="E89" i="2"/>
  <c r="AB88" i="2"/>
  <c r="X88" i="2"/>
  <c r="T88" i="2"/>
  <c r="AA88" i="2"/>
  <c r="V88" i="2"/>
  <c r="Z88" i="2"/>
  <c r="U88" i="2"/>
  <c r="Y88" i="2"/>
  <c r="S88" i="2"/>
  <c r="W88" i="2"/>
  <c r="AC88" i="2"/>
  <c r="R88" i="2"/>
  <c r="E73" i="2"/>
  <c r="AB72" i="2"/>
  <c r="X72" i="2"/>
  <c r="T72" i="2"/>
  <c r="AA72" i="2"/>
  <c r="V72" i="2"/>
  <c r="Z72" i="2"/>
  <c r="U72" i="2"/>
  <c r="Y72" i="2"/>
  <c r="W72" i="2"/>
  <c r="S72" i="2"/>
  <c r="AC72" i="2"/>
  <c r="R72" i="2"/>
  <c r="E79" i="2"/>
  <c r="AB78" i="2"/>
  <c r="X78" i="2"/>
  <c r="T78" i="2"/>
  <c r="AC78" i="2"/>
  <c r="W78" i="2"/>
  <c r="R78" i="2"/>
  <c r="AA78" i="2"/>
  <c r="V78" i="2"/>
  <c r="U78" i="2"/>
  <c r="S78" i="2"/>
  <c r="Z78" i="2"/>
  <c r="Y78" i="2"/>
  <c r="J18" i="2"/>
  <c r="N83" i="2"/>
  <c r="N48" i="2"/>
  <c r="N38" i="2"/>
  <c r="N24" i="2"/>
  <c r="N46" i="2"/>
  <c r="N65" i="2"/>
  <c r="N87" i="2"/>
  <c r="J44" i="2"/>
  <c r="J20" i="2"/>
  <c r="J34" i="2"/>
  <c r="J63" i="2"/>
  <c r="J71" i="2"/>
  <c r="F26" i="2"/>
  <c r="F20" i="2"/>
  <c r="F34" i="2"/>
  <c r="F83" i="2"/>
  <c r="F65" i="2"/>
  <c r="F75" i="2"/>
  <c r="M71" i="2"/>
  <c r="M65" i="2"/>
  <c r="E38" i="2"/>
  <c r="AB37" i="2"/>
  <c r="X37" i="2"/>
  <c r="T37" i="2"/>
  <c r="Y37" i="2"/>
  <c r="S37" i="2"/>
  <c r="AC37" i="2"/>
  <c r="W37" i="2"/>
  <c r="R37" i="2"/>
  <c r="V37" i="2"/>
  <c r="U37" i="2"/>
  <c r="AA37" i="2"/>
  <c r="Z37" i="2"/>
  <c r="J75" i="2"/>
  <c r="F59" i="2"/>
  <c r="E44" i="2"/>
  <c r="AB43" i="2"/>
  <c r="X43" i="2"/>
  <c r="T43" i="2"/>
  <c r="Z43" i="2"/>
  <c r="U43" i="2"/>
  <c r="Y43" i="2"/>
  <c r="S43" i="2"/>
  <c r="AC43" i="2"/>
  <c r="R43" i="2"/>
  <c r="AA43" i="2"/>
  <c r="W43" i="2"/>
  <c r="V43" i="2"/>
  <c r="M32" i="2"/>
  <c r="E1" i="1"/>
  <c r="B5" i="1"/>
  <c r="AJ5" i="1"/>
  <c r="S5" i="1"/>
  <c r="V2" i="9" l="1"/>
  <c r="Y2" i="9"/>
  <c r="X2" i="9"/>
  <c r="W2" i="9"/>
  <c r="R18" i="2"/>
  <c r="R85" i="2"/>
  <c r="R65" i="2"/>
  <c r="R73" i="2"/>
  <c r="R81" i="2"/>
  <c r="R26" i="2"/>
  <c r="R38" i="2"/>
  <c r="R42" i="2"/>
  <c r="R24" i="2"/>
  <c r="R30" i="2"/>
  <c r="R87" i="2"/>
  <c r="R67" i="2"/>
  <c r="R75" i="2"/>
  <c r="R59" i="2"/>
  <c r="R83" i="2"/>
  <c r="R63" i="2"/>
  <c r="R71" i="2"/>
  <c r="R79" i="2"/>
  <c r="R44" i="2"/>
  <c r="R34" i="2"/>
  <c r="R48" i="2"/>
  <c r="R89" i="2"/>
  <c r="R61" i="2"/>
  <c r="R69" i="2"/>
  <c r="R77" i="2"/>
  <c r="R28" i="2"/>
  <c r="R36" i="2"/>
  <c r="R40" i="2"/>
  <c r="R46" i="2"/>
  <c r="R22" i="2"/>
  <c r="R20" i="2"/>
  <c r="R32" i="2"/>
  <c r="Y67" i="2"/>
  <c r="Y75" i="2"/>
  <c r="Y83" i="2"/>
  <c r="Y26" i="2"/>
  <c r="Y34" i="2"/>
  <c r="Y42" i="2"/>
  <c r="Y18" i="2"/>
  <c r="Y61" i="2"/>
  <c r="Y20" i="2"/>
  <c r="Y28" i="2"/>
  <c r="Y36" i="2"/>
  <c r="Y65" i="2"/>
  <c r="Y73" i="2"/>
  <c r="Y81" i="2"/>
  <c r="Y89" i="2"/>
  <c r="Y24" i="2"/>
  <c r="Y32" i="2"/>
  <c r="Y40" i="2"/>
  <c r="Y48" i="2"/>
  <c r="Y63" i="2"/>
  <c r="Y71" i="2"/>
  <c r="Y79" i="2"/>
  <c r="Y87" i="2"/>
  <c r="Y22" i="2"/>
  <c r="Y30" i="2"/>
  <c r="Y38" i="2"/>
  <c r="Y46" i="2"/>
  <c r="Y69" i="2"/>
  <c r="Y77" i="2"/>
  <c r="Y85" i="2"/>
  <c r="Y59" i="2"/>
  <c r="Y44" i="2"/>
  <c r="T18" i="2"/>
  <c r="T63" i="2"/>
  <c r="T71" i="2"/>
  <c r="T79" i="2"/>
  <c r="T87" i="2"/>
  <c r="T24" i="2"/>
  <c r="T32" i="2"/>
  <c r="T40" i="2"/>
  <c r="T48" i="2"/>
  <c r="T26" i="2"/>
  <c r="T34" i="2"/>
  <c r="T42" i="2"/>
  <c r="T61" i="2"/>
  <c r="T69" i="2"/>
  <c r="T77" i="2"/>
  <c r="T85" i="2"/>
  <c r="T22" i="2"/>
  <c r="T30" i="2"/>
  <c r="T38" i="2"/>
  <c r="T46" i="2"/>
  <c r="T65" i="2"/>
  <c r="T73" i="2"/>
  <c r="T89" i="2"/>
  <c r="T67" i="2"/>
  <c r="T75" i="2"/>
  <c r="T83" i="2"/>
  <c r="T59" i="2"/>
  <c r="T20" i="2"/>
  <c r="T28" i="2"/>
  <c r="T36" i="2"/>
  <c r="T44" i="2"/>
  <c r="T81" i="2"/>
  <c r="Z89" i="2"/>
  <c r="Z61" i="2"/>
  <c r="Z69" i="2"/>
  <c r="Z77" i="2"/>
  <c r="Z59" i="2"/>
  <c r="Z32" i="2"/>
  <c r="Z44" i="2"/>
  <c r="Z71" i="2"/>
  <c r="Z79" i="2"/>
  <c r="Z36" i="2"/>
  <c r="Z46" i="2"/>
  <c r="Z87" i="2"/>
  <c r="Z81" i="2"/>
  <c r="Z67" i="2"/>
  <c r="Z75" i="2"/>
  <c r="Z26" i="2"/>
  <c r="Z34" i="2"/>
  <c r="Z38" i="2"/>
  <c r="Z42" i="2"/>
  <c r="Z20" i="2"/>
  <c r="Z83" i="2"/>
  <c r="Z63" i="2"/>
  <c r="Z40" i="2"/>
  <c r="Z22" i="2"/>
  <c r="Z85" i="2"/>
  <c r="Z65" i="2"/>
  <c r="Z73" i="2"/>
  <c r="Z18" i="2"/>
  <c r="Z24" i="2"/>
  <c r="Z30" i="2"/>
  <c r="Z28" i="2"/>
  <c r="Z48" i="2"/>
  <c r="S18" i="2"/>
  <c r="S65" i="2"/>
  <c r="S73" i="2"/>
  <c r="S81" i="2"/>
  <c r="S89" i="2"/>
  <c r="S59" i="2"/>
  <c r="S20" i="2"/>
  <c r="S28" i="2"/>
  <c r="S36" i="2"/>
  <c r="S44" i="2"/>
  <c r="S75" i="2"/>
  <c r="S83" i="2"/>
  <c r="S22" i="2"/>
  <c r="S30" i="2"/>
  <c r="S38" i="2"/>
  <c r="S46" i="2"/>
  <c r="S63" i="2"/>
  <c r="S71" i="2"/>
  <c r="S79" i="2"/>
  <c r="S87" i="2"/>
  <c r="S26" i="2"/>
  <c r="S34" i="2"/>
  <c r="S42" i="2"/>
  <c r="S61" i="2"/>
  <c r="S69" i="2"/>
  <c r="S77" i="2"/>
  <c r="S85" i="2"/>
  <c r="S24" i="2"/>
  <c r="S32" i="2"/>
  <c r="S40" i="2"/>
  <c r="S48" i="2"/>
  <c r="S67" i="2"/>
  <c r="X65" i="2"/>
  <c r="X73" i="2"/>
  <c r="X81" i="2"/>
  <c r="X89" i="2"/>
  <c r="X26" i="2"/>
  <c r="X34" i="2"/>
  <c r="X42" i="2"/>
  <c r="X75" i="2"/>
  <c r="X83" i="2"/>
  <c r="X63" i="2"/>
  <c r="X71" i="2"/>
  <c r="X79" i="2"/>
  <c r="X87" i="2"/>
  <c r="X24" i="2"/>
  <c r="X32" i="2"/>
  <c r="X40" i="2"/>
  <c r="X48" i="2"/>
  <c r="X36" i="2"/>
  <c r="X44" i="2"/>
  <c r="X18" i="2"/>
  <c r="X61" i="2"/>
  <c r="X69" i="2"/>
  <c r="X77" i="2"/>
  <c r="X85" i="2"/>
  <c r="X59" i="2"/>
  <c r="X22" i="2"/>
  <c r="X30" i="2"/>
  <c r="X38" i="2"/>
  <c r="X46" i="2"/>
  <c r="X67" i="2"/>
  <c r="X20" i="2"/>
  <c r="X28" i="2"/>
  <c r="U18" i="2"/>
  <c r="U65" i="2"/>
  <c r="U73" i="2"/>
  <c r="U81" i="2"/>
  <c r="U89" i="2"/>
  <c r="U59" i="2"/>
  <c r="U24" i="2"/>
  <c r="U32" i="2"/>
  <c r="U40" i="2"/>
  <c r="U48" i="2"/>
  <c r="U42" i="2"/>
  <c r="U63" i="2"/>
  <c r="U71" i="2"/>
  <c r="U79" i="2"/>
  <c r="U87" i="2"/>
  <c r="U22" i="2"/>
  <c r="U30" i="2"/>
  <c r="U38" i="2"/>
  <c r="U46" i="2"/>
  <c r="U67" i="2"/>
  <c r="U75" i="2"/>
  <c r="U83" i="2"/>
  <c r="U26" i="2"/>
  <c r="U61" i="2"/>
  <c r="U69" i="2"/>
  <c r="U77" i="2"/>
  <c r="U85" i="2"/>
  <c r="U20" i="2"/>
  <c r="U28" i="2"/>
  <c r="U36" i="2"/>
  <c r="U44" i="2"/>
  <c r="U34" i="2"/>
  <c r="W18" i="2"/>
  <c r="W67" i="2"/>
  <c r="W75" i="2"/>
  <c r="W83" i="2"/>
  <c r="W22" i="2"/>
  <c r="W30" i="2"/>
  <c r="W38" i="2"/>
  <c r="W46" i="2"/>
  <c r="W69" i="2"/>
  <c r="W65" i="2"/>
  <c r="W73" i="2"/>
  <c r="W81" i="2"/>
  <c r="W89" i="2"/>
  <c r="W59" i="2"/>
  <c r="W20" i="2"/>
  <c r="W28" i="2"/>
  <c r="W36" i="2"/>
  <c r="W44" i="2"/>
  <c r="W61" i="2"/>
  <c r="W77" i="2"/>
  <c r="W85" i="2"/>
  <c r="W24" i="2"/>
  <c r="W63" i="2"/>
  <c r="W71" i="2"/>
  <c r="W79" i="2"/>
  <c r="W87" i="2"/>
  <c r="W26" i="2"/>
  <c r="W34" i="2"/>
  <c r="W42" i="2"/>
  <c r="W32" i="2"/>
  <c r="W40" i="2"/>
  <c r="W48" i="2"/>
  <c r="AB18" i="2"/>
  <c r="AB67" i="2"/>
  <c r="AB75" i="2"/>
  <c r="AB83" i="2"/>
  <c r="AB59" i="2"/>
  <c r="AB20" i="2"/>
  <c r="AB28" i="2"/>
  <c r="AB36" i="2"/>
  <c r="AB44" i="2"/>
  <c r="AB61" i="2"/>
  <c r="AB69" i="2"/>
  <c r="AB46" i="2"/>
  <c r="AB65" i="2"/>
  <c r="AB73" i="2"/>
  <c r="AB81" i="2"/>
  <c r="AB89" i="2"/>
  <c r="AB26" i="2"/>
  <c r="AB34" i="2"/>
  <c r="AB42" i="2"/>
  <c r="AB77" i="2"/>
  <c r="AB85" i="2"/>
  <c r="AB22" i="2"/>
  <c r="AB30" i="2"/>
  <c r="AB63" i="2"/>
  <c r="AB71" i="2"/>
  <c r="AB79" i="2"/>
  <c r="AB87" i="2"/>
  <c r="AB24" i="2"/>
  <c r="AB32" i="2"/>
  <c r="AB40" i="2"/>
  <c r="AB48" i="2"/>
  <c r="AB38" i="2"/>
  <c r="V87" i="2"/>
  <c r="V67" i="2"/>
  <c r="V75" i="2"/>
  <c r="V34" i="2"/>
  <c r="V40" i="2"/>
  <c r="V48" i="2"/>
  <c r="V20" i="2"/>
  <c r="V89" i="2"/>
  <c r="V61" i="2"/>
  <c r="V26" i="2"/>
  <c r="V85" i="2"/>
  <c r="V65" i="2"/>
  <c r="V73" i="2"/>
  <c r="V81" i="2"/>
  <c r="V46" i="2"/>
  <c r="V28" i="2"/>
  <c r="V18" i="2"/>
  <c r="V24" i="2"/>
  <c r="V30" i="2"/>
  <c r="V69" i="2"/>
  <c r="V77" i="2"/>
  <c r="V59" i="2"/>
  <c r="V22" i="2"/>
  <c r="V36" i="2"/>
  <c r="V42" i="2"/>
  <c r="V83" i="2"/>
  <c r="V63" i="2"/>
  <c r="V71" i="2"/>
  <c r="V79" i="2"/>
  <c r="V44" i="2"/>
  <c r="V32" i="2"/>
  <c r="V38" i="2"/>
  <c r="AC18" i="2"/>
  <c r="AC61" i="2"/>
  <c r="AC69" i="2"/>
  <c r="AC77" i="2"/>
  <c r="AC85" i="2"/>
  <c r="AC20" i="2"/>
  <c r="AC28" i="2"/>
  <c r="AC36" i="2"/>
  <c r="AC44" i="2"/>
  <c r="AC71" i="2"/>
  <c r="AC79" i="2"/>
  <c r="AC87" i="2"/>
  <c r="AC67" i="2"/>
  <c r="AC75" i="2"/>
  <c r="AC83" i="2"/>
  <c r="AC59" i="2"/>
  <c r="AC26" i="2"/>
  <c r="AC34" i="2"/>
  <c r="AC42" i="2"/>
  <c r="AC30" i="2"/>
  <c r="AC38" i="2"/>
  <c r="AC46" i="2"/>
  <c r="AC65" i="2"/>
  <c r="AC73" i="2"/>
  <c r="AC81" i="2"/>
  <c r="AC89" i="2"/>
  <c r="AC24" i="2"/>
  <c r="AC32" i="2"/>
  <c r="AC40" i="2"/>
  <c r="AC48" i="2"/>
  <c r="AC63" i="2"/>
  <c r="AC22" i="2"/>
  <c r="AA61" i="2"/>
  <c r="AA69" i="2"/>
  <c r="AA77" i="2"/>
  <c r="AA85" i="2"/>
  <c r="AA24" i="2"/>
  <c r="AA32" i="2"/>
  <c r="AA40" i="2"/>
  <c r="AA48" i="2"/>
  <c r="AA18" i="2"/>
  <c r="AA63" i="2"/>
  <c r="AA79" i="2"/>
  <c r="AA87" i="2"/>
  <c r="AA67" i="2"/>
  <c r="AA75" i="2"/>
  <c r="AA83" i="2"/>
  <c r="AA22" i="2"/>
  <c r="AA30" i="2"/>
  <c r="AA38" i="2"/>
  <c r="AA46" i="2"/>
  <c r="AA71" i="2"/>
  <c r="AA59" i="2"/>
  <c r="AA34" i="2"/>
  <c r="AA42" i="2"/>
  <c r="AA65" i="2"/>
  <c r="AA73" i="2"/>
  <c r="AA81" i="2"/>
  <c r="AA89" i="2"/>
  <c r="AA20" i="2"/>
  <c r="AA28" i="2"/>
  <c r="AA36" i="2"/>
  <c r="AA44" i="2"/>
  <c r="AA26" i="2"/>
  <c r="AA10" i="8" l="1"/>
  <c r="AC10" i="8"/>
  <c r="AB10" i="8"/>
  <c r="X10" i="8"/>
  <c r="Z10" i="8"/>
  <c r="Y10" i="8"/>
  <c r="U10" i="8"/>
  <c r="W10" i="8"/>
  <c r="V10" i="8"/>
  <c r="T10" i="8"/>
  <c r="S10" i="8"/>
  <c r="R10" i="8"/>
  <c r="AB2" i="9"/>
  <c r="R13" i="8" l="1"/>
  <c r="S30" i="8"/>
  <c r="S28" i="8"/>
  <c r="S26" i="8"/>
  <c r="S24" i="8"/>
  <c r="S22" i="8"/>
  <c r="S18" i="8"/>
  <c r="R30" i="8"/>
  <c r="R28" i="8"/>
  <c r="R22" i="8"/>
  <c r="R20" i="8"/>
  <c r="R16" i="8"/>
  <c r="T30" i="8"/>
  <c r="T28" i="8"/>
  <c r="T26" i="8"/>
  <c r="T24" i="8"/>
  <c r="T22" i="8"/>
  <c r="T20" i="8"/>
  <c r="T18" i="8"/>
  <c r="T16" i="8"/>
  <c r="S20" i="8"/>
  <c r="S16" i="8"/>
  <c r="R26" i="8"/>
  <c r="R18" i="8"/>
  <c r="R24" i="8"/>
  <c r="Y30" i="8"/>
  <c r="Y28" i="8"/>
  <c r="Y26" i="8"/>
  <c r="Y24" i="8"/>
  <c r="Y22" i="8"/>
  <c r="Y20" i="8"/>
  <c r="Y18" i="8"/>
  <c r="Y16" i="8"/>
  <c r="Z30" i="8"/>
  <c r="Z28" i="8"/>
  <c r="Z24" i="8"/>
  <c r="Z22" i="8"/>
  <c r="Z16" i="8"/>
  <c r="X30" i="8"/>
  <c r="X28" i="8"/>
  <c r="X26" i="8"/>
  <c r="X24" i="8"/>
  <c r="X22" i="8"/>
  <c r="X20" i="8"/>
  <c r="X18" i="8"/>
  <c r="X16" i="8"/>
  <c r="Z26" i="8"/>
  <c r="Z20" i="8"/>
  <c r="Z18" i="8"/>
  <c r="U30" i="8"/>
  <c r="U28" i="8"/>
  <c r="U26" i="8"/>
  <c r="U24" i="8"/>
  <c r="U22" i="8"/>
  <c r="U20" i="8"/>
  <c r="U18" i="8"/>
  <c r="U16" i="8"/>
  <c r="W28" i="8"/>
  <c r="W26" i="8"/>
  <c r="W20" i="8"/>
  <c r="W16" i="8"/>
  <c r="V28" i="8"/>
  <c r="V26" i="8"/>
  <c r="V18" i="8"/>
  <c r="W30" i="8"/>
  <c r="W24" i="8"/>
  <c r="W22" i="8"/>
  <c r="W18" i="8"/>
  <c r="V30" i="8"/>
  <c r="V24" i="8"/>
  <c r="V22" i="8"/>
  <c r="V20" i="8"/>
  <c r="V16" i="8"/>
  <c r="AC30" i="8"/>
  <c r="AC28" i="8"/>
  <c r="AC26" i="8"/>
  <c r="AC24" i="8"/>
  <c r="AC22" i="8"/>
  <c r="AC20" i="8"/>
  <c r="AC18" i="8"/>
  <c r="AC16" i="8"/>
  <c r="AA30" i="8"/>
  <c r="AA28" i="8"/>
  <c r="AA26" i="8"/>
  <c r="AA24" i="8"/>
  <c r="AA22" i="8"/>
  <c r="AA18" i="8"/>
  <c r="AB30" i="8"/>
  <c r="AB28" i="8"/>
  <c r="AB26" i="8"/>
  <c r="AB24" i="8"/>
  <c r="AB22" i="8"/>
  <c r="AB20" i="8"/>
  <c r="AB18" i="8"/>
  <c r="AB16" i="8"/>
  <c r="AA20" i="8"/>
  <c r="AA16" i="8"/>
  <c r="AC14" i="8"/>
  <c r="AB13" i="8"/>
  <c r="AB14" i="8"/>
  <c r="AA13" i="8"/>
  <c r="AA14" i="8"/>
  <c r="AC13" i="8"/>
  <c r="Z14" i="8"/>
  <c r="Y13" i="8"/>
  <c r="X14" i="8"/>
  <c r="Z13" i="8"/>
  <c r="Y14" i="8"/>
  <c r="X13" i="8"/>
  <c r="W14" i="8"/>
  <c r="V13" i="8"/>
  <c r="V14" i="8"/>
  <c r="U13" i="8"/>
  <c r="U14" i="8"/>
  <c r="W13" i="8"/>
  <c r="S14" i="8"/>
  <c r="T14" i="8"/>
  <c r="S13" i="8"/>
  <c r="T13" i="8"/>
  <c r="R14" i="8"/>
  <c r="R15" i="8" l="1"/>
  <c r="R21" i="8"/>
  <c r="R29" i="8"/>
  <c r="X19" i="8"/>
  <c r="AA17" i="8"/>
  <c r="AA25" i="8"/>
  <c r="R23" i="8"/>
  <c r="R25" i="8"/>
  <c r="R27" i="8"/>
  <c r="R19" i="8"/>
  <c r="AA15" i="8"/>
  <c r="AA21" i="8"/>
  <c r="AA27" i="8"/>
  <c r="R17" i="8"/>
  <c r="R31" i="8"/>
  <c r="AA19" i="8"/>
  <c r="AA29" i="8"/>
  <c r="AA23" i="8"/>
  <c r="AA31" i="8"/>
  <c r="U29" i="8"/>
  <c r="T15" i="8"/>
  <c r="T27" i="8"/>
  <c r="T19" i="8"/>
  <c r="T21" i="8"/>
  <c r="T23" i="8"/>
  <c r="S27" i="8"/>
  <c r="T17" i="8"/>
  <c r="T31" i="8"/>
  <c r="S25" i="8"/>
  <c r="T25" i="8"/>
  <c r="T29" i="8"/>
  <c r="X29" i="8"/>
  <c r="S31" i="8"/>
  <c r="S19" i="8"/>
  <c r="S29" i="8"/>
  <c r="S21" i="8"/>
  <c r="S15" i="8"/>
  <c r="S23" i="8"/>
  <c r="S17" i="8"/>
  <c r="X15" i="8"/>
  <c r="X23" i="8"/>
  <c r="X27" i="8"/>
  <c r="X21" i="8"/>
  <c r="X17" i="8"/>
  <c r="X25" i="8"/>
  <c r="U15" i="8"/>
  <c r="AB21" i="8"/>
  <c r="AB23" i="8"/>
  <c r="AB15" i="8"/>
  <c r="AB31" i="8"/>
  <c r="AB25" i="8"/>
  <c r="AB27" i="8"/>
  <c r="AB29" i="8"/>
  <c r="AB17" i="8"/>
  <c r="AB19" i="8"/>
  <c r="AC25" i="8"/>
  <c r="AC17" i="8"/>
  <c r="AC19" i="8"/>
  <c r="AC29" i="8"/>
  <c r="AC15" i="8"/>
  <c r="AC23" i="8"/>
  <c r="AC31" i="8"/>
  <c r="AC21" i="8"/>
  <c r="AC27" i="8"/>
  <c r="U23" i="8"/>
  <c r="X31" i="8"/>
  <c r="U25" i="8"/>
  <c r="U31" i="8"/>
  <c r="Y25" i="8"/>
  <c r="Y29" i="8"/>
  <c r="Y19" i="8"/>
  <c r="Y23" i="8"/>
  <c r="Y31" i="8"/>
  <c r="Y15" i="8"/>
  <c r="Y27" i="8"/>
  <c r="Y17" i="8"/>
  <c r="Y21" i="8"/>
  <c r="U21" i="8"/>
  <c r="U19" i="8"/>
  <c r="Z27" i="8"/>
  <c r="Z31" i="8"/>
  <c r="Z19" i="8"/>
  <c r="Z17" i="8"/>
  <c r="Z15" i="8"/>
  <c r="Z29" i="8"/>
  <c r="Z25" i="8"/>
  <c r="Z21" i="8"/>
  <c r="Z23" i="8"/>
  <c r="U17" i="8"/>
  <c r="U27" i="8"/>
  <c r="V23" i="8"/>
  <c r="V25" i="8"/>
  <c r="V21" i="8"/>
  <c r="V19" i="8"/>
  <c r="V31" i="8"/>
  <c r="V17" i="8"/>
  <c r="V27" i="8"/>
  <c r="V29" i="8"/>
  <c r="V15" i="8"/>
  <c r="W25" i="8"/>
  <c r="W17" i="8"/>
  <c r="W31" i="8"/>
  <c r="W27" i="8"/>
  <c r="W29" i="8"/>
  <c r="W21" i="8"/>
  <c r="W15" i="8"/>
  <c r="W23" i="8"/>
  <c r="W1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infomax</author>
  </authors>
  <commentList>
    <comment ref="J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L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모드일자, 휴장일 공란, 비거래일 이전값
112: 모든일자, 휴장일 공란, 비거래일 공란
122: 모든일자, 휴장일 공란, 비거래일 0값</t>
        </r>
      </text>
    </comment>
    <comment ref="N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C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D6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6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G6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H6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I6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J6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6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L6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M6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N6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O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P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Q6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R6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T6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U6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V6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W6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X6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Y6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Z6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A6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B6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C6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D6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E6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F6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G6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H6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I6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K6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L6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M6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N6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O6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P6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Q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R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S6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T6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U6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V6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W6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X6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Y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Z6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infomax</author>
  </authors>
  <commentList>
    <comment ref="J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L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모드일자, 휴장일 공란, 비거래일 이전값
112: 모든일자, 휴장일 공란, 비거래일 공란
122: 모든일자, 휴장일 공란, 비거래일 0값</t>
        </r>
      </text>
    </comment>
    <comment ref="N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C6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6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G6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I6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6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M6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O6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Q6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S6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V6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W6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X6" authorId="0" shapeId="0" xr:uid="{00000000-0006-0000-0400-00000F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Y6" authorId="0" shapeId="0" xr:uid="{00000000-0006-0000-0400-000010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Z6" authorId="0" shapeId="0" xr:uid="{00000000-0006-0000-0400-000011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A6" authorId="0" shapeId="0" xr:uid="{00000000-0006-0000-0400-000012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B6" authorId="0" shapeId="0" xr:uid="{00000000-0006-0000-0400-000013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C6" authorId="0" shapeId="0" xr:uid="{00000000-0006-0000-0400-00001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D6" authorId="0" shapeId="0" xr:uid="{00000000-0006-0000-0400-00001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infomax</author>
  </authors>
  <commentList>
    <comment ref="J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D:시간순으로
A:시간 반대순서대로 </t>
        </r>
      </text>
    </comment>
    <comment ref="L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[DB 데이터 기준]
0  : 거래일자 기준 
1  : 토/일 비거래시 삭제, 주중 비거래일 이전값
11 : 토/일 비거래시 삭제, 주중 비거래일 공란
21 : 토/일 비거래시 삭제, 주중 비거래일 0값
2  : 모든일자, 비거래일 이전값
12 : 모든일자, 비거래일 공란
22 : 모든일자, 비거래일 0값
[휴장일 캘린더 적용]
101: 토/일/휴장일 삭제, 비거래일 이전값
111: 토/일/휴장일 삭제, 비거래일 공란
121: 토/일/휴장일 삭제, 비거래일 0값
102: 모드일자, 휴장일 공란, 비거래일 이전값
112: 모든일자, 휴장일 공란, 비거래일 공란
122: 모든일자, 휴장일 공란, 비거래일 0값</t>
        </r>
      </text>
    </comment>
    <comment ref="N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평균(AVG) 또는 종가 
(주/월/분기/년인 경우)</t>
        </r>
      </text>
    </comment>
    <comment ref="C6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D6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E6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F6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G6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H6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I6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J6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K6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L6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M6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N6" authorId="0" shapeId="0" xr:uid="{00000000-0006-0000-0500-00000F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O6" authorId="0" shapeId="0" xr:uid="{00000000-0006-0000-0500-000010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P6" authorId="0" shapeId="0" xr:uid="{00000000-0006-0000-0500-000011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Q6" authorId="0" shapeId="0" xr:uid="{00000000-0006-0000-0500-000012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R6" authorId="0" shapeId="0" xr:uid="{00000000-0006-0000-0500-000013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T6" authorId="0" shapeId="0" xr:uid="{00000000-0006-0000-0500-00001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U6" authorId="0" shapeId="0" xr:uid="{00000000-0006-0000-0500-00001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V6" authorId="0" shapeId="0" xr:uid="{00000000-0006-0000-0500-000016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W6" authorId="0" shapeId="0" xr:uid="{00000000-0006-0000-0500-000017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X6" authorId="0" shapeId="0" xr:uid="{00000000-0006-0000-0500-000018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Y6" authorId="0" shapeId="0" xr:uid="{00000000-0006-0000-0500-000019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Z6" authorId="0" shapeId="0" xr:uid="{00000000-0006-0000-0500-00001A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A6" authorId="0" shapeId="0" xr:uid="{00000000-0006-0000-0500-00001B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B6" authorId="0" shapeId="0" xr:uid="{00000000-0006-0000-0500-00001C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C6" authorId="0" shapeId="0" xr:uid="{00000000-0006-0000-0500-00001D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D6" authorId="0" shapeId="0" xr:uid="{00000000-0006-0000-0500-00001E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E6" authorId="0" shapeId="0" xr:uid="{00000000-0006-0000-0500-00001F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F6" authorId="0" shapeId="0" xr:uid="{00000000-0006-0000-0500-000020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G6" authorId="0" shapeId="0" xr:uid="{00000000-0006-0000-0500-000021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H6" authorId="0" shapeId="0" xr:uid="{00000000-0006-0000-0500-000022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I6" authorId="0" shapeId="0" xr:uid="{00000000-0006-0000-0500-000023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K6" authorId="0" shapeId="0" xr:uid="{00000000-0006-0000-0500-000024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L6" authorId="0" shapeId="0" xr:uid="{00000000-0006-0000-0500-000025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M6" authorId="0" shapeId="0" xr:uid="{00000000-0006-0000-0500-000026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N6" authorId="0" shapeId="0" xr:uid="{00000000-0006-0000-0500-000027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O6" authorId="0" shapeId="0" xr:uid="{00000000-0006-0000-0500-000028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P6" authorId="0" shapeId="0" xr:uid="{00000000-0006-0000-0500-000029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Q6" authorId="0" shapeId="0" xr:uid="{00000000-0006-0000-0500-00002A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R6" authorId="0" shapeId="0" xr:uid="{00000000-0006-0000-0500-00002B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S6" authorId="0" shapeId="0" xr:uid="{00000000-0006-0000-0500-00002C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T6" authorId="0" shapeId="0" xr:uid="{00000000-0006-0000-0500-00002D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U6" authorId="0" shapeId="0" xr:uid="{00000000-0006-0000-0500-00002E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V6" authorId="0" shapeId="0" xr:uid="{00000000-0006-0000-0500-00002F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W6" authorId="0" shapeId="0" xr:uid="{00000000-0006-0000-0500-000030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X6" authorId="0" shapeId="0" xr:uid="{00000000-0006-0000-0500-000031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Y6" authorId="0" shapeId="0" xr:uid="{00000000-0006-0000-0500-000032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  <comment ref="AZ6" authorId="0" shapeId="0" xr:uid="{00000000-0006-0000-0500-000033000000}">
      <text>
        <r>
          <rPr>
            <b/>
            <sz val="9"/>
            <color indexed="81"/>
            <rFont val="Tahoma"/>
            <family val="2"/>
          </rPr>
          <t xml:space="preserve">평균 또는 종가_x000D_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<sst xmlns="http://schemas.openxmlformats.org/spreadsheetml/2006/main" count="1334" uniqueCount="888">
  <si>
    <t>시작</t>
  </si>
  <si>
    <t>종료</t>
  </si>
  <si>
    <t>Data 개수</t>
  </si>
  <si>
    <t>주기</t>
  </si>
  <si>
    <t>일</t>
  </si>
  <si>
    <t>정렬</t>
  </si>
  <si>
    <t>D</t>
  </si>
  <si>
    <t>영업일</t>
  </si>
  <si>
    <t>시세산출</t>
  </si>
  <si>
    <t>종가</t>
  </si>
  <si>
    <t>일자</t>
  </si>
  <si>
    <t>3월이하(당일)</t>
  </si>
  <si>
    <t>6월이하(당일)</t>
  </si>
  <si>
    <t>9월이하(당일)</t>
  </si>
  <si>
    <t>1년이하(당일)</t>
  </si>
  <si>
    <t>1.5년이하(당일)</t>
  </si>
  <si>
    <t>2년이하(당일)</t>
  </si>
  <si>
    <t>2.5년이하(당일)</t>
  </si>
  <si>
    <t>3년이하(당일)</t>
  </si>
  <si>
    <t>4년이하(당일)</t>
  </si>
  <si>
    <t>5년이하(당일)</t>
  </si>
  <si>
    <t>7년이하(당일)</t>
  </si>
  <si>
    <t>10년이하(당일)</t>
  </si>
  <si>
    <t>15년이하(당일)</t>
  </si>
  <si>
    <t>20년이하(당일)</t>
  </si>
  <si>
    <t>30년이하(당일)</t>
  </si>
  <si>
    <t>50년이하(당일)</t>
  </si>
  <si>
    <t>BONDAVG01</t>
  </si>
  <si>
    <t>BONDAVG14</t>
  </si>
  <si>
    <t>3사평균</t>
    <phoneticPr fontId="1" type="noConversion"/>
  </si>
  <si>
    <t>4사평균</t>
    <phoneticPr fontId="1" type="noConversion"/>
  </si>
  <si>
    <t>KBP</t>
    <phoneticPr fontId="1" type="noConversion"/>
  </si>
  <si>
    <t>KIS</t>
    <phoneticPr fontId="1" type="noConversion"/>
  </si>
  <si>
    <t>NICE</t>
    <phoneticPr fontId="1" type="noConversion"/>
  </si>
  <si>
    <t>FNP</t>
    <phoneticPr fontId="1" type="noConversion"/>
  </si>
  <si>
    <t>KOFIA</t>
    <phoneticPr fontId="1" type="noConversion"/>
  </si>
  <si>
    <t>국채</t>
    <phoneticPr fontId="1" type="noConversion"/>
  </si>
  <si>
    <t>국고채권</t>
  </si>
  <si>
    <t>BONDAV401</t>
  </si>
  <si>
    <t>BONDKBPA100</t>
  </si>
  <si>
    <t>BONDKIS1013000</t>
  </si>
  <si>
    <t>국채 국고채</t>
  </si>
  <si>
    <t>BONDNIC1010000</t>
  </si>
  <si>
    <t>국채 이표채</t>
  </si>
  <si>
    <t>BONDFNP1010000</t>
  </si>
  <si>
    <t>국고채(양곡,외평,재정증권)</t>
  </si>
  <si>
    <t>BONDKSD1010000</t>
  </si>
  <si>
    <t>국민주택1종</t>
  </si>
  <si>
    <t>BONDAVG02</t>
  </si>
  <si>
    <t>BONDAV402</t>
  </si>
  <si>
    <t>BONDKBPA300</t>
  </si>
  <si>
    <t>국채 국민주택1종</t>
  </si>
  <si>
    <t>BONDKIS1030000</t>
  </si>
  <si>
    <t>BONDNIC1030000</t>
  </si>
  <si>
    <t>BONDFNP1030000</t>
  </si>
  <si>
    <t>BONDKSD1030000</t>
  </si>
  <si>
    <t>국민주택2종</t>
  </si>
  <si>
    <t>BONDAVG03</t>
  </si>
  <si>
    <t>BONDAV403</t>
  </si>
  <si>
    <t>BONDKBPA200</t>
  </si>
  <si>
    <t>국채 국민주택2종</t>
  </si>
  <si>
    <t>BONDKIS1020000</t>
  </si>
  <si>
    <t>BONDNIC1020000</t>
  </si>
  <si>
    <t>BONDFNP1020000</t>
  </si>
  <si>
    <t>BONDKSD1020000</t>
  </si>
  <si>
    <t>국민주택3종</t>
  </si>
  <si>
    <t>BONDAVG04</t>
  </si>
  <si>
    <t>BONDAV404</t>
  </si>
  <si>
    <t>BONDKBPA400</t>
  </si>
  <si>
    <t>국채 국민주택3종</t>
  </si>
  <si>
    <t>BONDNIC1015000</t>
  </si>
  <si>
    <t>지방채</t>
    <phoneticPr fontId="1" type="noConversion"/>
  </si>
  <si>
    <t>서울도시철도</t>
  </si>
  <si>
    <t>BONDAVG05</t>
  </si>
  <si>
    <t>BONDAV405</t>
  </si>
  <si>
    <t>BONDKBPB100</t>
  </si>
  <si>
    <t>지방채 서울도시철도</t>
  </si>
  <si>
    <t>BONDKIS2010000</t>
  </si>
  <si>
    <t>서울도시철도채권</t>
  </si>
  <si>
    <t>BONDNIC2010000</t>
  </si>
  <si>
    <t>지방채 도시철도</t>
  </si>
  <si>
    <t>BONDFNP2010000</t>
  </si>
  <si>
    <t>BONDKSD2010000</t>
  </si>
  <si>
    <t>지역개발채</t>
  </si>
  <si>
    <t>BONDAVG06</t>
  </si>
  <si>
    <t>BONDAV406</t>
  </si>
  <si>
    <t>BONDKBPB200</t>
  </si>
  <si>
    <t>지방채 지역개발</t>
  </si>
  <si>
    <t>BONDKIS2020000</t>
  </si>
  <si>
    <t>BONDNIC2020000</t>
  </si>
  <si>
    <t>BONDFNP2020000</t>
  </si>
  <si>
    <t>지역개발채권</t>
  </si>
  <si>
    <t>BONDKSD2020000</t>
  </si>
  <si>
    <t>정금채 (~131025)</t>
  </si>
  <si>
    <t>BONDAVG83</t>
  </si>
  <si>
    <t>BONDAV483</t>
  </si>
  <si>
    <t>정금채</t>
  </si>
  <si>
    <t>BONDKBPC700</t>
  </si>
  <si>
    <t>특수채(정금채)</t>
  </si>
  <si>
    <t>BONDKIS3043110</t>
  </si>
  <si>
    <t>특수채 정금채 AAA</t>
  </si>
  <si>
    <t>BONDNIC3005110</t>
  </si>
  <si>
    <t>특수채 정금채</t>
  </si>
  <si>
    <t>BONDFNP3040110</t>
  </si>
  <si>
    <t>특수채AAA(정금)</t>
  </si>
  <si>
    <t>BONDKSD3040110</t>
  </si>
  <si>
    <t>한전채 (~131025)</t>
  </si>
  <si>
    <t>BONDAVG07</t>
  </si>
  <si>
    <t>BONDAV407</t>
  </si>
  <si>
    <t>한전채</t>
  </si>
  <si>
    <t>BONDKBPC100</t>
  </si>
  <si>
    <t>특수채(한전채)</t>
  </si>
  <si>
    <t>BONDKIS3013110</t>
  </si>
  <si>
    <t>특수채 한전채 AAA</t>
  </si>
  <si>
    <t>BONDNIC3010110</t>
  </si>
  <si>
    <t>특수채 한전</t>
  </si>
  <si>
    <t>BONDFNP3010110</t>
  </si>
  <si>
    <t>특수채AAA(한전)</t>
  </si>
  <si>
    <t>BONDKSD3010110</t>
  </si>
  <si>
    <t>도로수자원 (~131025)</t>
  </si>
  <si>
    <t>BONDAVG08</t>
  </si>
  <si>
    <t>BONDAV408</t>
  </si>
  <si>
    <t>도로수자원</t>
  </si>
  <si>
    <t>BONDKBPC200</t>
  </si>
  <si>
    <t>특수채(도로/수자원)</t>
  </si>
  <si>
    <t>BONDKIS3023110</t>
  </si>
  <si>
    <t>특수채 도로/수자원 AAA</t>
  </si>
  <si>
    <t>BONDNIC3020110</t>
  </si>
  <si>
    <t>특수채 도로,수자원</t>
  </si>
  <si>
    <t>BONDFNP3020110</t>
  </si>
  <si>
    <t>특수채AAA(도로,수자원)</t>
  </si>
  <si>
    <t>BONDKSD3020110</t>
  </si>
  <si>
    <t>공사공단</t>
    <phoneticPr fontId="1" type="noConversion"/>
  </si>
  <si>
    <t>특수채 공사채 AAA</t>
  </si>
  <si>
    <t>BONDAVG09</t>
  </si>
  <si>
    <t>BONDAV409</t>
  </si>
  <si>
    <t>특수채AAA</t>
  </si>
  <si>
    <t>BONDKBPC300</t>
  </si>
  <si>
    <t>BONDKIS3033110</t>
  </si>
  <si>
    <t>BONDNIC3030110</t>
  </si>
  <si>
    <t>특수채 AAA</t>
  </si>
  <si>
    <t>BONDFNP3030110</t>
  </si>
  <si>
    <t>BONDKSD3030110</t>
  </si>
  <si>
    <t>특수채 공사채 AA+</t>
  </si>
  <si>
    <t>BONDAVG10</t>
  </si>
  <si>
    <t>BONDAV410</t>
  </si>
  <si>
    <t>특수채AA+</t>
  </si>
  <si>
    <t>BONDKBPC401</t>
  </si>
  <si>
    <t>BONDKIS3043121</t>
  </si>
  <si>
    <t>BONDNIC3040111</t>
  </si>
  <si>
    <t>특수채 AA+</t>
  </si>
  <si>
    <t>BONDFNP3040121</t>
  </si>
  <si>
    <t>BONDKSD3040121</t>
  </si>
  <si>
    <t>특수채 공사채 AA</t>
  </si>
  <si>
    <t>BONDAVG11</t>
  </si>
  <si>
    <t>BONDAV411</t>
  </si>
  <si>
    <t>특수채AA</t>
  </si>
  <si>
    <t>BONDKBPC400</t>
  </si>
  <si>
    <t>특수채AA0</t>
  </si>
  <si>
    <t>BONDKIS3043122</t>
  </si>
  <si>
    <t>BONDNIC3040112</t>
  </si>
  <si>
    <t>특수채 AA</t>
  </si>
  <si>
    <t>BONDFNP3040122</t>
  </si>
  <si>
    <t>BONDKSD3040120</t>
  </si>
  <si>
    <t>특수채 공사채 AA-</t>
  </si>
  <si>
    <t>BONDAVG12</t>
  </si>
  <si>
    <t>BONDAV412</t>
  </si>
  <si>
    <t>특수채AA-</t>
  </si>
  <si>
    <t>BONDKBPC402</t>
  </si>
  <si>
    <t>BONDKIS3043123</t>
  </si>
  <si>
    <t>BONDNIC3040113</t>
  </si>
  <si>
    <t>특수채 AA-</t>
  </si>
  <si>
    <t>BONDFNP3040123</t>
  </si>
  <si>
    <t>특수채(정부보증)</t>
  </si>
  <si>
    <t>BONDAVG13</t>
  </si>
  <si>
    <t>BONDAV413</t>
  </si>
  <si>
    <t>정부보증</t>
  </si>
  <si>
    <t>BONDKBPC500</t>
  </si>
  <si>
    <t>BONDKIS3050000</t>
  </si>
  <si>
    <t>BONDNIC3050000</t>
  </si>
  <si>
    <t>특수채 정부보증</t>
  </si>
  <si>
    <t>BONDFNP3050000</t>
  </si>
  <si>
    <t>BONDKSD3070000</t>
  </si>
  <si>
    <t>통안</t>
    <phoneticPr fontId="1" type="noConversion"/>
  </si>
  <si>
    <t>통안증권</t>
  </si>
  <si>
    <t>BONDAV414</t>
  </si>
  <si>
    <t>통안채</t>
  </si>
  <si>
    <t>BONDKBPD000</t>
  </si>
  <si>
    <t>BONDKIS4003000</t>
  </si>
  <si>
    <t>BONDNIC4000000</t>
  </si>
  <si>
    <t>통안증권 이표채</t>
  </si>
  <si>
    <t>BONDFNP4000000</t>
  </si>
  <si>
    <t>BONDKSD4000000</t>
  </si>
  <si>
    <t>이표채외통안채</t>
  </si>
  <si>
    <t>BONDAVG15</t>
  </si>
  <si>
    <t>BONDAV415</t>
  </si>
  <si>
    <t>BONDKBPD001</t>
  </si>
  <si>
    <t>금융채</t>
    <phoneticPr fontId="1" type="noConversion"/>
  </si>
  <si>
    <t>금융채 산금채 AAA</t>
  </si>
  <si>
    <t>BONDAVG16</t>
  </si>
  <si>
    <t>BONDAV416</t>
  </si>
  <si>
    <t>금융채I-산금채</t>
  </si>
  <si>
    <t>BONDKBPE110</t>
  </si>
  <si>
    <t>은행채AAA(산금채)</t>
  </si>
  <si>
    <t>BONDKIS5013110</t>
  </si>
  <si>
    <t>BONDNIC5010110</t>
  </si>
  <si>
    <t>금융채 은행 산금채</t>
  </si>
  <si>
    <t>BONDFNP5010110</t>
  </si>
  <si>
    <t>금융채(I)AAA(산금채)</t>
  </si>
  <si>
    <t>BONDKSD5010110</t>
  </si>
  <si>
    <t>금융채I-이표채외산금채</t>
  </si>
  <si>
    <t>BONDAVG17</t>
  </si>
  <si>
    <t>BONDAV417</t>
  </si>
  <si>
    <t>BONDKBPE111</t>
  </si>
  <si>
    <t>금융채 중금채 AAA</t>
  </si>
  <si>
    <t>BONDAVG18</t>
  </si>
  <si>
    <t>BONDAV418</t>
  </si>
  <si>
    <t>금융채I-중기채</t>
  </si>
  <si>
    <t>BONDKBPE120</t>
  </si>
  <si>
    <t>은행채AAA(중금채)</t>
  </si>
  <si>
    <t>BONDKIS5023110</t>
  </si>
  <si>
    <t>BONDNIC5020110</t>
  </si>
  <si>
    <t>금융채 은행 중금채</t>
  </si>
  <si>
    <t>BONDFNP5020110</t>
  </si>
  <si>
    <t>금융채(I)AAA(중금채)</t>
  </si>
  <si>
    <t>BONDKSD5020110</t>
  </si>
  <si>
    <t>금융채I-이표채외중기채</t>
  </si>
  <si>
    <t>BONDAVG19</t>
  </si>
  <si>
    <t>BONDAV419</t>
  </si>
  <si>
    <t>BONDKBPE121</t>
  </si>
  <si>
    <t>금융채 은행채 AAA</t>
  </si>
  <si>
    <t>BONDAVG20</t>
  </si>
  <si>
    <t>BONDAV420</t>
  </si>
  <si>
    <t>금융채I-AAA</t>
  </si>
  <si>
    <t>BONDKBPE130</t>
  </si>
  <si>
    <t>은행채AAA</t>
  </si>
  <si>
    <t>BONDKIS5033110</t>
  </si>
  <si>
    <t>BONDNIC5030110</t>
  </si>
  <si>
    <t>금융채 은행 AAA</t>
  </si>
  <si>
    <t>BONDFNP5030110</t>
  </si>
  <si>
    <t>금융채(I)AAA</t>
  </si>
  <si>
    <t>BONDKSD5030110</t>
  </si>
  <si>
    <t>금융채 은행채 AA+</t>
  </si>
  <si>
    <t>BONDAVG21</t>
  </si>
  <si>
    <t>BONDAV421</t>
  </si>
  <si>
    <t>금융채I-AA+</t>
  </si>
  <si>
    <t>BONDKBPE144</t>
  </si>
  <si>
    <t>은행채AA+</t>
  </si>
  <si>
    <t>BONDKIS5043121</t>
  </si>
  <si>
    <t>BONDNIC5040111</t>
  </si>
  <si>
    <t>금융채 은행 AA+</t>
  </si>
  <si>
    <t>BONDFNP5040121</t>
  </si>
  <si>
    <t>금융채 은행채 AA</t>
  </si>
  <si>
    <t>BONDAVG22</t>
  </si>
  <si>
    <t>BONDAV422</t>
  </si>
  <si>
    <t>금융채I-AA</t>
  </si>
  <si>
    <t>BONDKBPE140</t>
  </si>
  <si>
    <t>은행채AA0</t>
  </si>
  <si>
    <t>BONDKIS5043122</t>
  </si>
  <si>
    <t>BONDNIC5040112</t>
  </si>
  <si>
    <t>금융채 은행 AA</t>
  </si>
  <si>
    <t>BONDFNP5040122</t>
  </si>
  <si>
    <t>금융채(I)AA</t>
  </si>
  <si>
    <t>BONDKSD5040120</t>
  </si>
  <si>
    <t>금융채 은행채 AA-</t>
  </si>
  <si>
    <t>BONDAVG23</t>
  </si>
  <si>
    <t>BONDAV423</t>
  </si>
  <si>
    <t>금융채I-AA-</t>
  </si>
  <si>
    <t>BONDKBPE142</t>
  </si>
  <si>
    <t>은행채AA-</t>
  </si>
  <si>
    <t>BONDKIS5043123</t>
  </si>
  <si>
    <t>BONDNIC5040113</t>
  </si>
  <si>
    <t>금융채 은행 AA-</t>
  </si>
  <si>
    <t>BONDFNP5040123</t>
  </si>
  <si>
    <t>금융채 은행채 A+</t>
  </si>
  <si>
    <t>BONDAVG24</t>
  </si>
  <si>
    <t>BONDAV424</t>
  </si>
  <si>
    <t>금융채I-A+</t>
  </si>
  <si>
    <t>BONDKBPE150</t>
  </si>
  <si>
    <t>은행채A+</t>
  </si>
  <si>
    <t>BONDKIS5053131</t>
  </si>
  <si>
    <t>BONDNIC5050111</t>
  </si>
  <si>
    <t>금융채 은행 A+</t>
  </si>
  <si>
    <t>BONDFNP5050131</t>
  </si>
  <si>
    <t>금융채(I)A+</t>
  </si>
  <si>
    <t>BONDKSD5050131</t>
  </si>
  <si>
    <t>금융채 은행채 A</t>
  </si>
  <si>
    <t>BONDAVG25</t>
  </si>
  <si>
    <t>BONDAV425</t>
  </si>
  <si>
    <t>은행채A0</t>
  </si>
  <si>
    <t>BONDKIS5053132</t>
  </si>
  <si>
    <t>BONDNIC5050112</t>
  </si>
  <si>
    <t>금융채 은행 A</t>
  </si>
  <si>
    <t>BONDFNP5050132</t>
  </si>
  <si>
    <t>금융채 은행채 A-</t>
  </si>
  <si>
    <t>BONDAVG26</t>
  </si>
  <si>
    <t>BONDAV426</t>
  </si>
  <si>
    <t>은행채A-</t>
  </si>
  <si>
    <t>BONDKIS5053133</t>
  </si>
  <si>
    <t>BONDNIC5050113</t>
  </si>
  <si>
    <t>금융채 은행 A-</t>
  </si>
  <si>
    <t>BONDFNP5050133</t>
  </si>
  <si>
    <t>금융채 카드채 AAA</t>
  </si>
  <si>
    <t>BONDAVG80</t>
  </si>
  <si>
    <t>BONDAV480</t>
  </si>
  <si>
    <t>카드채AAA</t>
  </si>
  <si>
    <t>BONDKIS9999110</t>
  </si>
  <si>
    <t>금융채 카드채 AA+</t>
  </si>
  <si>
    <t>BONDAVG81</t>
  </si>
  <si>
    <t>BONDAV481</t>
  </si>
  <si>
    <t>금융채II-AA+</t>
  </si>
  <si>
    <t>BONDKBPE204</t>
  </si>
  <si>
    <t>카드채AA+</t>
  </si>
  <si>
    <t>BONDKIS9999119</t>
  </si>
  <si>
    <t>BONDNIC6040111</t>
  </si>
  <si>
    <t>금융채 기관 AA+</t>
  </si>
  <si>
    <t>BONDFNP6010121</t>
  </si>
  <si>
    <t>금융채(II)무보증AA+</t>
  </si>
  <si>
    <t>BONDKSD6010121</t>
  </si>
  <si>
    <t>금융채 카드채 AA</t>
  </si>
  <si>
    <t>BONDAVG27</t>
  </si>
  <si>
    <t>BONDAV427</t>
  </si>
  <si>
    <t>금융채II-AA</t>
  </si>
  <si>
    <t>BONDKBPE202</t>
  </si>
  <si>
    <t>카드채AA0</t>
  </si>
  <si>
    <t>BONDKIS9999111</t>
  </si>
  <si>
    <t>BONDNIC6040112</t>
  </si>
  <si>
    <t>금융채 기관 AA</t>
  </si>
  <si>
    <t>BONDFNP6010122</t>
  </si>
  <si>
    <t>금융채(II)무보증AA0</t>
  </si>
  <si>
    <t>BONDKSD6010122</t>
  </si>
  <si>
    <t>금융채 카드채 AA-</t>
  </si>
  <si>
    <t>BONDAVG28</t>
  </si>
  <si>
    <t>BONDAV428</t>
  </si>
  <si>
    <t>금융채II-AA-</t>
  </si>
  <si>
    <t>BONDKBPE200</t>
  </si>
  <si>
    <t>카드채AA-</t>
  </si>
  <si>
    <t>BONDKIS9999112</t>
  </si>
  <si>
    <t>BONDNIC6040113</t>
  </si>
  <si>
    <t>금융채 기관 AA-</t>
  </si>
  <si>
    <t>BONDFNP6010123</t>
  </si>
  <si>
    <t>금융채(II)무보증AA-</t>
  </si>
  <si>
    <t>BONDKSD6010123</t>
  </si>
  <si>
    <t>금융채 카드채 A+</t>
  </si>
  <si>
    <t>BONDAVG29</t>
  </si>
  <si>
    <t>BONDAV429</t>
  </si>
  <si>
    <t>금융채II-A+</t>
  </si>
  <si>
    <t>BONDKBPE210</t>
  </si>
  <si>
    <t>카드채A+</t>
  </si>
  <si>
    <t>BONDKIS9999113</t>
  </si>
  <si>
    <t>BONDNIC6050111</t>
  </si>
  <si>
    <t>금융채 기관 A+</t>
  </si>
  <si>
    <t>BONDFNP6010131</t>
  </si>
  <si>
    <t>금융채(II)무보증A+</t>
  </si>
  <si>
    <t>BONDKSD6010131</t>
  </si>
  <si>
    <t>금융채 카드채 A</t>
  </si>
  <si>
    <t>BONDAVG30</t>
  </si>
  <si>
    <t>BONDAV430</t>
  </si>
  <si>
    <t>금융채II-A</t>
  </si>
  <si>
    <t>BONDKBPE220</t>
  </si>
  <si>
    <t>카드채A0</t>
  </si>
  <si>
    <t>BONDKIS9999114</t>
  </si>
  <si>
    <t>BONDNIC6050112</t>
  </si>
  <si>
    <t>금융채 기관 A</t>
  </si>
  <si>
    <t>BONDFNP6010132</t>
  </si>
  <si>
    <t>금융채(II)무보증A0</t>
  </si>
  <si>
    <t>BONDKSD6010132</t>
  </si>
  <si>
    <t>금융채 카드채 A-</t>
  </si>
  <si>
    <t>BONDAVG31</t>
  </si>
  <si>
    <t>BONDAV431</t>
  </si>
  <si>
    <t>금융채II-A-</t>
  </si>
  <si>
    <t>BONDKBPE230</t>
  </si>
  <si>
    <t>카드채A-</t>
  </si>
  <si>
    <t>BONDKIS9999115</t>
  </si>
  <si>
    <t>BONDNIC6050113</t>
  </si>
  <si>
    <t>금융채 기관 A-</t>
  </si>
  <si>
    <t>BONDFNP6010133</t>
  </si>
  <si>
    <t>금융채(II)무보증A-</t>
  </si>
  <si>
    <t>BONDKSD6010133</t>
  </si>
  <si>
    <t>금융채 카드채 BBB+</t>
  </si>
  <si>
    <t>BONDAVG32</t>
  </si>
  <si>
    <t>BONDAV432</t>
  </si>
  <si>
    <t>카드채BBB+</t>
  </si>
  <si>
    <t>BONDKIS9999116</t>
  </si>
  <si>
    <t>BONDNIC6060111</t>
  </si>
  <si>
    <t>금융채 기관 BBB+</t>
  </si>
  <si>
    <t>BONDFNP6010211</t>
  </si>
  <si>
    <t>금융채 카드채 BBB0</t>
  </si>
  <si>
    <t>BONDAVG33</t>
  </si>
  <si>
    <t>BONDAV433</t>
  </si>
  <si>
    <t>카드채BBB0</t>
  </si>
  <si>
    <t>BONDKIS9999117</t>
  </si>
  <si>
    <t>금융채 카드채 BBB</t>
  </si>
  <si>
    <t>BONDNIC6060112</t>
  </si>
  <si>
    <t>금융채 기관 BBB</t>
  </si>
  <si>
    <t>BONDFNP6010212</t>
  </si>
  <si>
    <t>금융채(II)무보증BBB</t>
  </si>
  <si>
    <t>BONDKSD6010210</t>
  </si>
  <si>
    <t>금융채 카드채 BBB-</t>
  </si>
  <si>
    <t>BONDAVG34</t>
  </si>
  <si>
    <t>BONDAV434</t>
  </si>
  <si>
    <t>카드채BBB-</t>
  </si>
  <si>
    <t>BONDKIS9999118</t>
  </si>
  <si>
    <t>BONDNIC6060113</t>
  </si>
  <si>
    <t>금융채 기관 BBB-</t>
  </si>
  <si>
    <t>BONDFNP6010213</t>
  </si>
  <si>
    <t>기타금융채AAA</t>
  </si>
  <si>
    <t>BONDAVG35</t>
  </si>
  <si>
    <t>BONDAV435</t>
  </si>
  <si>
    <t>BONDKIS6013110</t>
  </si>
  <si>
    <t>기타금융채AA+</t>
  </si>
  <si>
    <t>BONDAVG82</t>
  </si>
  <si>
    <t>BONDAV482</t>
  </si>
  <si>
    <t>금융채III-AA+</t>
  </si>
  <si>
    <t>BONDKBPE304</t>
  </si>
  <si>
    <t>BONDKIS6013121</t>
  </si>
  <si>
    <t>금융채 기타금융채 AA+</t>
  </si>
  <si>
    <t>BONDNIC9999118</t>
  </si>
  <si>
    <t>BONDFNP9999118</t>
  </si>
  <si>
    <t>기타금융채AA0</t>
  </si>
  <si>
    <t>BONDAVG36</t>
  </si>
  <si>
    <t>BONDAV436</t>
  </si>
  <si>
    <t>금융채III-AA</t>
  </si>
  <si>
    <t>BONDKBPE302</t>
  </si>
  <si>
    <t>BONDKIS6013122</t>
  </si>
  <si>
    <t>금융채 기타금융채 AA</t>
  </si>
  <si>
    <t>BONDNIC9999110</t>
  </si>
  <si>
    <t>BONDFNP9999110</t>
  </si>
  <si>
    <t>기타금융채AA-</t>
  </si>
  <si>
    <t>BONDAVG37</t>
  </si>
  <si>
    <t>BONDAV437</t>
  </si>
  <si>
    <t>금융채III-AA-</t>
  </si>
  <si>
    <t>BONDKBPE300</t>
  </si>
  <si>
    <t>BONDKIS6013123</t>
  </si>
  <si>
    <t>금융채 기타금융채 AA-</t>
  </si>
  <si>
    <t>BONDNIC9999111</t>
  </si>
  <si>
    <t>BONDFNP9999111</t>
  </si>
  <si>
    <t>기타금융채A+</t>
  </si>
  <si>
    <t>BONDAVG38</t>
  </si>
  <si>
    <t>BONDAV438</t>
  </si>
  <si>
    <t>금융채III-A+</t>
  </si>
  <si>
    <t>BONDKBPE310</t>
  </si>
  <si>
    <t>BONDKIS6013131</t>
  </si>
  <si>
    <t>금융채 기타금융채 A+</t>
  </si>
  <si>
    <t>BONDNIC9999112</t>
  </si>
  <si>
    <t>BONDFNP9999112</t>
  </si>
  <si>
    <t>기타금융채A0</t>
  </si>
  <si>
    <t>BONDAVG39</t>
  </si>
  <si>
    <t>BONDAV439</t>
  </si>
  <si>
    <t>금융채III-A</t>
  </si>
  <si>
    <t>BONDKBPE320</t>
  </si>
  <si>
    <t>BONDKIS6013132</t>
  </si>
  <si>
    <t>금융채 기타금융채 A</t>
  </si>
  <si>
    <t>BONDNIC9999113</t>
  </si>
  <si>
    <t>BONDFNP9999113</t>
  </si>
  <si>
    <t>기타금융채A-</t>
  </si>
  <si>
    <t>BONDAVG40</t>
  </si>
  <si>
    <t>BONDAV440</t>
  </si>
  <si>
    <t>금융채III-A-</t>
  </si>
  <si>
    <t>BONDKBPE330</t>
  </si>
  <si>
    <t>BONDKIS6013133</t>
  </si>
  <si>
    <t>금융채 기타금융채 A-</t>
  </si>
  <si>
    <t>BONDNIC9999114</t>
  </si>
  <si>
    <t>BONDFNP9999114</t>
  </si>
  <si>
    <t>기타금융채BBB+</t>
  </si>
  <si>
    <t>BONDAVG41</t>
  </si>
  <si>
    <t>BONDAV441</t>
  </si>
  <si>
    <t>금융채III-BBB+</t>
  </si>
  <si>
    <t>BONDKBPE342</t>
  </si>
  <si>
    <t>BONDKIS6013211</t>
  </si>
  <si>
    <t>금융채 기타금융채 BBB+</t>
  </si>
  <si>
    <t>BONDNIC9999115</t>
  </si>
  <si>
    <t>BONDFNP9999115</t>
  </si>
  <si>
    <t>기타금융채BBB0</t>
  </si>
  <si>
    <t>BONDAVG42</t>
  </si>
  <si>
    <t>BONDAV442</t>
  </si>
  <si>
    <t>금융채III-BBB</t>
  </si>
  <si>
    <t>BONDKBPE340</t>
  </si>
  <si>
    <t>BONDKIS6013212</t>
  </si>
  <si>
    <t>금융채 기타금융채 BBB</t>
  </si>
  <si>
    <t>BONDNIC9999116</t>
  </si>
  <si>
    <t>BONDFNP9999116</t>
  </si>
  <si>
    <t>기타금융채BBB-</t>
  </si>
  <si>
    <t>BONDAVG43</t>
  </si>
  <si>
    <t>BONDAV443</t>
  </si>
  <si>
    <t>금융채III-BBB-</t>
  </si>
  <si>
    <t>BONDKBPE350</t>
  </si>
  <si>
    <t>BONDKIS6013213</t>
  </si>
  <si>
    <t>금융채 기타금융채 BBB-</t>
  </si>
  <si>
    <t>BONDNIC9999117</t>
  </si>
  <si>
    <t>BONDFNP9999117</t>
  </si>
  <si>
    <t>회사채</t>
    <phoneticPr fontId="1" type="noConversion"/>
  </si>
  <si>
    <t>회사채 공모/보증 특수은행보증</t>
  </si>
  <si>
    <t>BONDAVG44</t>
  </si>
  <si>
    <t>BONDAV444</t>
  </si>
  <si>
    <t>회사채I-특수은행보증</t>
  </si>
  <si>
    <t>BONDKBPF114</t>
  </si>
  <si>
    <t>회사채 보증 특수은행</t>
  </si>
  <si>
    <t>BONDFNP7020110</t>
  </si>
  <si>
    <t>회사채(I)보증특수,우량은행</t>
  </si>
  <si>
    <t>BONDKSD7020110</t>
  </si>
  <si>
    <t>회사채 공모/보증 시중은행보증</t>
  </si>
  <si>
    <t>BONDAVG45</t>
  </si>
  <si>
    <t>BONDAV445</t>
  </si>
  <si>
    <t>회사채I-시중은행보증</t>
  </si>
  <si>
    <t>BONDKBPF124</t>
  </si>
  <si>
    <t>회사채 보증 시중은행</t>
  </si>
  <si>
    <t>BONDFNP7020120</t>
  </si>
  <si>
    <t>회사채(I)보증시중은행</t>
  </si>
  <si>
    <t>BONDKSD7020120</t>
  </si>
  <si>
    <t>회사채 공모/보증 우량지방은행보증</t>
  </si>
  <si>
    <t>BONDAVG46</t>
  </si>
  <si>
    <t>BONDAV446</t>
  </si>
  <si>
    <t>회사채I-우량지방은행보증</t>
  </si>
  <si>
    <t>BONDKBPF134</t>
  </si>
  <si>
    <t>회사채 보증 우량지방은행</t>
  </si>
  <si>
    <t>BONDFNP7020130</t>
  </si>
  <si>
    <t>회사채(I)보증우량지방은행</t>
  </si>
  <si>
    <t>BONDKSD7020130</t>
  </si>
  <si>
    <t>회사채 공모/보증 기타금융기관보증</t>
  </si>
  <si>
    <t>BONDAVG47</t>
  </si>
  <si>
    <t>BONDAV447</t>
  </si>
  <si>
    <t>회사채I-기타금융기관보증</t>
  </si>
  <si>
    <t>BONDKBPF144</t>
  </si>
  <si>
    <t>회사채 보증 기타금융기관</t>
  </si>
  <si>
    <t>BONDFNP7020210</t>
  </si>
  <si>
    <t>회사채(I)보증기타금융기관</t>
  </si>
  <si>
    <t>BONDKSD7020210</t>
  </si>
  <si>
    <t>회사채 공모/보증 AAA</t>
  </si>
  <si>
    <t>BONDAVG48</t>
  </si>
  <si>
    <t>BONDAV448</t>
  </si>
  <si>
    <t>회사채 보증 AAA</t>
  </si>
  <si>
    <t>BONDNIC7130110</t>
  </si>
  <si>
    <t>회사채 공모/보증 AA+</t>
  </si>
  <si>
    <t>BONDAVG49</t>
  </si>
  <si>
    <t>BONDAV449</t>
  </si>
  <si>
    <t>회사채 보증 AA+</t>
  </si>
  <si>
    <t>BONDNIC7140111</t>
  </si>
  <si>
    <t>회사채 공모/보증 AA</t>
  </si>
  <si>
    <t>BONDAVG50</t>
  </si>
  <si>
    <t>BONDAV450</t>
  </si>
  <si>
    <t>회사채 보증 AA</t>
  </si>
  <si>
    <t>BONDNIC7140112</t>
  </si>
  <si>
    <t>회사채 공모/보증 AA-</t>
  </si>
  <si>
    <t>BONDAVG51</t>
  </si>
  <si>
    <t>BONDAV451</t>
  </si>
  <si>
    <t>회사채 보증 AA-</t>
  </si>
  <si>
    <t>BONDNIC7140113</t>
  </si>
  <si>
    <t>회사채 공모/보증 A+</t>
  </si>
  <si>
    <t>BONDAVG52</t>
  </si>
  <si>
    <t>BONDAV452</t>
  </si>
  <si>
    <t>회사채 보증 A+</t>
  </si>
  <si>
    <t>BONDNIC7150111</t>
  </si>
  <si>
    <t>회사채 공모/보증 A</t>
  </si>
  <si>
    <t>BONDAVG53</t>
  </si>
  <si>
    <t>BONDAV453</t>
  </si>
  <si>
    <t>회사채 보증 A</t>
  </si>
  <si>
    <t>BONDNIC7150112</t>
  </si>
  <si>
    <t>회사채 공모/보증 A-</t>
  </si>
  <si>
    <t>BONDAVG54</t>
  </si>
  <si>
    <t>BONDAV454</t>
  </si>
  <si>
    <t>회사채 보증 A-</t>
  </si>
  <si>
    <t>BONDNIC7150113</t>
  </si>
  <si>
    <t>회사채AAA(공모/무보증)</t>
  </si>
  <si>
    <t>BONDAVG55</t>
  </si>
  <si>
    <t>BONDAV455</t>
  </si>
  <si>
    <t>회사채 공모/무보증-AAA</t>
  </si>
  <si>
    <t>BONDKBPF212</t>
  </si>
  <si>
    <t>BONDKIS7010110</t>
  </si>
  <si>
    <t>회사채 무보증 AAA</t>
  </si>
  <si>
    <t>BONDNIC7030110</t>
  </si>
  <si>
    <t>회사채 공모 무보증 AAA</t>
  </si>
  <si>
    <t>BONDFNP7010110</t>
  </si>
  <si>
    <t>회사채(I)무보증AAA</t>
  </si>
  <si>
    <t>BONDKSD7010110</t>
  </si>
  <si>
    <t>회사채AA+(공모/무보증)</t>
  </si>
  <si>
    <t>BONDAVG56</t>
  </si>
  <si>
    <t>BONDAV456</t>
  </si>
  <si>
    <t>회사채 공모/무보증-AA+</t>
  </si>
  <si>
    <t>BONDKBPF221</t>
  </si>
  <si>
    <t>BONDKIS7010121</t>
  </si>
  <si>
    <t>회사채 무보증 AA+</t>
  </si>
  <si>
    <t>BONDNIC7040111</t>
  </si>
  <si>
    <t>회사채 공모 무보증 AA+</t>
  </si>
  <si>
    <t>BONDFNP7010121</t>
  </si>
  <si>
    <t>회사채(I)무보증AA+</t>
  </si>
  <si>
    <t>BONDKSD7010121</t>
  </si>
  <si>
    <t>회사채AA0(공모/무보증)</t>
  </si>
  <si>
    <t>BONDAVG57</t>
  </si>
  <si>
    <t>BONDAV457</t>
  </si>
  <si>
    <t>회사채 공모/무보증-AA</t>
  </si>
  <si>
    <t>BONDKBPF222</t>
  </si>
  <si>
    <t>BONDKIS7010122</t>
  </si>
  <si>
    <t>회사채 무보증 AA</t>
  </si>
  <si>
    <t>BONDNIC7040112</t>
  </si>
  <si>
    <t>회사채 공모 무보증 AA</t>
  </si>
  <si>
    <t>BONDFNP7010122</t>
  </si>
  <si>
    <t>회사채(I)무보증AA0</t>
  </si>
  <si>
    <t>BONDKSD7010122</t>
  </si>
  <si>
    <t>회사채AA-(공모/무보증)</t>
  </si>
  <si>
    <t>BONDAVG58</t>
  </si>
  <si>
    <t>BONDAV458</t>
  </si>
  <si>
    <t>회사채 공모/무보증-AA-</t>
  </si>
  <si>
    <t>BONDKBPF223</t>
  </si>
  <si>
    <t>BONDKIS7010123</t>
  </si>
  <si>
    <t>회사채 무보증 AA-</t>
  </si>
  <si>
    <t>BONDNIC7040113</t>
  </si>
  <si>
    <t>회사채 공모 무보증 AA-</t>
  </si>
  <si>
    <t>BONDFNP7010123</t>
  </si>
  <si>
    <t>회사채(I)무보증AA-</t>
  </si>
  <si>
    <t>BONDKSD7010123</t>
  </si>
  <si>
    <t>회사채A+(공모/무보증)</t>
  </si>
  <si>
    <t>BONDAVG59</t>
  </si>
  <si>
    <t>BONDAV459</t>
  </si>
  <si>
    <t>회사채 공모/무보증-A+</t>
  </si>
  <si>
    <t>BONDKBPF231</t>
  </si>
  <si>
    <t>BONDKIS7010131</t>
  </si>
  <si>
    <t>회사채 무보증 A+</t>
  </si>
  <si>
    <t>BONDNIC7050111</t>
  </si>
  <si>
    <t>회사채 공모 무보증 A+</t>
  </si>
  <si>
    <t>BONDFNP7010131</t>
  </si>
  <si>
    <t>회사채(I)무보증A+</t>
  </si>
  <si>
    <t>BONDKSD7010131</t>
  </si>
  <si>
    <t>회사채A0(공모/무보증)</t>
  </si>
  <si>
    <t>BONDAVG60</t>
  </si>
  <si>
    <t>BONDAV460</t>
  </si>
  <si>
    <t>회사채 공모/무보증-A</t>
  </si>
  <si>
    <t>BONDKBPF232</t>
  </si>
  <si>
    <t>BONDKIS7010132</t>
  </si>
  <si>
    <t>회사채 무보증 A</t>
  </si>
  <si>
    <t>BONDNIC7050112</t>
  </si>
  <si>
    <t>회사채 공모 무보증 A</t>
  </si>
  <si>
    <t>BONDFNP7010132</t>
  </si>
  <si>
    <t>회사채(I)무보증A0</t>
  </si>
  <si>
    <t>BONDKSD7010132</t>
  </si>
  <si>
    <t>회사채A-(공모/무보증)</t>
  </si>
  <si>
    <t>BONDAVG61</t>
  </si>
  <si>
    <t>BONDAV461</t>
  </si>
  <si>
    <t>회사채 공모/무보증-A-</t>
  </si>
  <si>
    <t>BONDKBPF233</t>
  </si>
  <si>
    <t>BONDKIS7010133</t>
  </si>
  <si>
    <t>회사채 무보증 A-</t>
  </si>
  <si>
    <t>BONDNIC7050113</t>
  </si>
  <si>
    <t>회사채 공모 무보증 A-</t>
  </si>
  <si>
    <t>BONDFNP7010133</t>
  </si>
  <si>
    <t>회사채(I)무보증A-</t>
  </si>
  <si>
    <t>BONDKSD7010133</t>
  </si>
  <si>
    <t>회사채BBB+(공모/무보증)</t>
  </si>
  <si>
    <t>BONDAVG62</t>
  </si>
  <si>
    <t>BONDAV462</t>
  </si>
  <si>
    <t>회사채 공모/무보증-BBB+</t>
  </si>
  <si>
    <t>BONDKBPF241</t>
  </si>
  <si>
    <t>BONDKIS7010211</t>
  </si>
  <si>
    <t>회사채 무보증 BBB+</t>
  </si>
  <si>
    <t>BONDNIC7060111</t>
  </si>
  <si>
    <t>회사채 공모 무보증 BBB+</t>
  </si>
  <si>
    <t>BONDFNP7010211</t>
  </si>
  <si>
    <t>회사채(I)무보증BBB+</t>
  </si>
  <si>
    <t>BONDKSD7010211</t>
  </si>
  <si>
    <t>회사채BBB0(공모/무보증)</t>
  </si>
  <si>
    <t>BONDAVG63</t>
  </si>
  <si>
    <t>BONDAV463</t>
  </si>
  <si>
    <t>회사채 공모/무보증-BBB</t>
  </si>
  <si>
    <t>BONDKBPF242</t>
  </si>
  <si>
    <t>BONDKIS7010212</t>
  </si>
  <si>
    <t>회사채 무보증 BBB</t>
  </si>
  <si>
    <t>BONDNIC7060112</t>
  </si>
  <si>
    <t>회사채 공모 무보증 BBB</t>
  </si>
  <si>
    <t>BONDFNP7010212</t>
  </si>
  <si>
    <t>회사채(I)무보증BBB0</t>
  </si>
  <si>
    <t>BONDKSD7010212</t>
  </si>
  <si>
    <t>회사채BBB-(공모/무보증)</t>
  </si>
  <si>
    <t>BONDAVG64</t>
  </si>
  <si>
    <t>BONDAV464</t>
  </si>
  <si>
    <t>회사채 공모/무보증-BBB-</t>
  </si>
  <si>
    <t>BONDKBPF243</t>
  </si>
  <si>
    <t>BONDKIS7010213</t>
  </si>
  <si>
    <t>회사채 무보증 BBB-</t>
  </si>
  <si>
    <t>BONDNIC7060113</t>
  </si>
  <si>
    <t>회사채 공모 무보증 BBB-</t>
  </si>
  <si>
    <t>BONDFNP7010213</t>
  </si>
  <si>
    <t>회사채(I)무보증BBB-</t>
  </si>
  <si>
    <t>BONDKSD7010213</t>
  </si>
  <si>
    <t>회사채BB+(공모/무보증)</t>
  </si>
  <si>
    <t>BONDAVG65</t>
  </si>
  <si>
    <t>BONDAV465</t>
  </si>
  <si>
    <t>회사채 공모/무보증-BB+</t>
  </si>
  <si>
    <t>BONDKBPF251</t>
  </si>
  <si>
    <t>BONDKIS7010221</t>
  </si>
  <si>
    <t>회사채BB0(공모/무보증)</t>
  </si>
  <si>
    <t>BONDAVG66</t>
  </si>
  <si>
    <t>BONDAV466</t>
  </si>
  <si>
    <t>회사채 공모/무보증-BB</t>
  </si>
  <si>
    <t>BONDKBPF252</t>
  </si>
  <si>
    <t>BONDKIS7010222</t>
  </si>
  <si>
    <t>회사채BB-(공모/무보증)</t>
  </si>
  <si>
    <t>BONDAVG67</t>
  </si>
  <si>
    <t>BONDAV467</t>
  </si>
  <si>
    <t>회사채 공모/무보증-BB-</t>
  </si>
  <si>
    <t>BONDKBPF253</t>
  </si>
  <si>
    <t>BONDKIS7010223</t>
  </si>
  <si>
    <t>회사채B(공모/무보증)</t>
  </si>
  <si>
    <t>BONDAVG68</t>
  </si>
  <si>
    <t>BONDAV468</t>
  </si>
  <si>
    <t>회사채B(공모/무보증/그룹코드)</t>
  </si>
  <si>
    <t>BONDKIS7010230</t>
  </si>
  <si>
    <t>회사채AAA(사모/무)</t>
  </si>
  <si>
    <t>BONDAVG69</t>
  </si>
  <si>
    <t>BONDAV469</t>
  </si>
  <si>
    <t>회사채 사모/무보증-AAA</t>
  </si>
  <si>
    <t>BONDKBPF312</t>
  </si>
  <si>
    <t>BONDKIS8010110</t>
  </si>
  <si>
    <t>회사채 사모 무보증 AAA</t>
  </si>
  <si>
    <t>BONDNIC8030110</t>
  </si>
  <si>
    <t>BONDFNP8010110</t>
  </si>
  <si>
    <t>회사채(II)무보증AAA</t>
  </si>
  <si>
    <t>BONDKSD8010110</t>
  </si>
  <si>
    <t>회사채AA+(사모/무)</t>
  </si>
  <si>
    <t>BONDAVG70</t>
  </si>
  <si>
    <t>BONDAV470</t>
  </si>
  <si>
    <t>회사채 사모/무보증-AA+</t>
  </si>
  <si>
    <t>BONDKBPF321</t>
  </si>
  <si>
    <t>BONDKIS8010121</t>
  </si>
  <si>
    <t>회사채 사모 무보증 AA+</t>
  </si>
  <si>
    <t>BONDNIC8040111</t>
  </si>
  <si>
    <t>BONDFNP8010121</t>
  </si>
  <si>
    <t>회사채AA0(사모/무)</t>
  </si>
  <si>
    <t>BONDAVG71</t>
  </si>
  <si>
    <t>BONDAV471</t>
  </si>
  <si>
    <t>회사채 사모/무보증-AA</t>
  </si>
  <si>
    <t>BONDKBPF322</t>
  </si>
  <si>
    <t>BONDKIS8010122</t>
  </si>
  <si>
    <t>회사채 사모 무보증 AA</t>
  </si>
  <si>
    <t>BONDNIC8040112</t>
  </si>
  <si>
    <t>BONDFNP8010122</t>
  </si>
  <si>
    <t>회사채(II)무보증AA</t>
  </si>
  <si>
    <t>BONDKSD8010120</t>
  </si>
  <si>
    <t>회사채AA-(사모/무)</t>
  </si>
  <si>
    <t>BONDAVG72</t>
  </si>
  <si>
    <t>BONDAV472</t>
  </si>
  <si>
    <t>회사채 사모/무보증-AA-</t>
  </si>
  <si>
    <t>BONDKBPF323</t>
  </si>
  <si>
    <t>BONDKIS8010123</t>
  </si>
  <si>
    <t>회사채 사모 무보증 AA-</t>
  </si>
  <si>
    <t>BONDNIC8040113</t>
  </si>
  <si>
    <t>BONDFNP8010123</t>
  </si>
  <si>
    <t>회사채A+(사모/무)</t>
  </si>
  <si>
    <t>BONDAVG73</t>
  </si>
  <si>
    <t>BONDAV473</t>
  </si>
  <si>
    <t>회사채 사모/무보증-A+</t>
  </si>
  <si>
    <t>BONDKBPF331</t>
  </si>
  <si>
    <t>BONDKIS8010131</t>
  </si>
  <si>
    <t>회사채 사모 무보증 A+</t>
  </si>
  <si>
    <t>BONDNIC8050111</t>
  </si>
  <si>
    <t>BONDFNP8010131</t>
  </si>
  <si>
    <t>회사채(II)무보증A+</t>
  </si>
  <si>
    <t>BONDKSD8010131</t>
  </si>
  <si>
    <t>회사채A0(사모/무)</t>
  </si>
  <si>
    <t>BONDAVG74</t>
  </si>
  <si>
    <t>BONDAV474</t>
  </si>
  <si>
    <t>회사채 사모/무보증-A</t>
  </si>
  <si>
    <t>BONDKBPF332</t>
  </si>
  <si>
    <t>BONDKIS8010132</t>
  </si>
  <si>
    <t>회사채 사모 무보증 A</t>
  </si>
  <si>
    <t>BONDNIC8050112</t>
  </si>
  <si>
    <t>BONDFNP8010132</t>
  </si>
  <si>
    <t>회사채(II)무보증A0</t>
  </si>
  <si>
    <t>BONDKSD8010132</t>
  </si>
  <si>
    <t>회사채A-(사모/무)</t>
  </si>
  <si>
    <t>BONDAVG75</t>
  </si>
  <si>
    <t>BONDAV475</t>
  </si>
  <si>
    <t>회사채 사모/무보증-A-</t>
  </si>
  <si>
    <t>BONDKBPF333</t>
  </si>
  <si>
    <t>BONDKIS8010133</t>
  </si>
  <si>
    <t>회사채 사모 무보증 A-</t>
  </si>
  <si>
    <t>BONDNIC8050113</t>
  </si>
  <si>
    <t>BONDFNP8010133</t>
  </si>
  <si>
    <t>회사채(II)무보증A-</t>
  </si>
  <si>
    <t>BONDKSD8010133</t>
  </si>
  <si>
    <t>회사채BBB+(사모/무)</t>
  </si>
  <si>
    <t>BONDAVG76</t>
  </si>
  <si>
    <t>BONDAV476</t>
  </si>
  <si>
    <t>회사채 사모/무보증-BBB+</t>
  </si>
  <si>
    <t>BONDKBPF341</t>
  </si>
  <si>
    <t>BONDKIS8010211</t>
  </si>
  <si>
    <t>회사채 사모 무보증 BBB+</t>
  </si>
  <si>
    <t>BONDNIC8060111</t>
  </si>
  <si>
    <t>BONDFNP8110211</t>
  </si>
  <si>
    <t>회사채BBB0(사모/무)</t>
  </si>
  <si>
    <t>BONDAVG77</t>
  </si>
  <si>
    <t>BONDAV477</t>
  </si>
  <si>
    <t>회사채 사모/무보증-BBB</t>
  </si>
  <si>
    <t>BONDKBPF342</t>
  </si>
  <si>
    <t>BONDKIS8010212</t>
  </si>
  <si>
    <t>회사채 사모 무보증 BBB</t>
  </si>
  <si>
    <t>BONDNIC8060112</t>
  </si>
  <si>
    <t>BONDFNP8110212</t>
  </si>
  <si>
    <t>회사채BBB-(사모/무)</t>
  </si>
  <si>
    <t>BONDAVG78</t>
  </si>
  <si>
    <t>BONDAV478</t>
  </si>
  <si>
    <t>회사채 사모/무보증-BBB-</t>
  </si>
  <si>
    <t>BONDKBPF343</t>
  </si>
  <si>
    <t>BONDKIS8010213</t>
  </si>
  <si>
    <t>회사채 사모 무보증 BBB-</t>
  </si>
  <si>
    <t>BONDNIC8060113</t>
  </si>
  <si>
    <t>BONDFNP8110213</t>
  </si>
  <si>
    <t>유동화증권 KHFC MBS/SLBS AAA</t>
  </si>
  <si>
    <t>BONDAVG79</t>
  </si>
  <si>
    <t>BONDAV479</t>
  </si>
  <si>
    <t>BONDKBPZ001</t>
  </si>
  <si>
    <t>BONDKIS3060000</t>
  </si>
  <si>
    <t>BONDNIC7430110</t>
  </si>
  <si>
    <t>유동화증권 KHFC MBS/SLBS</t>
  </si>
  <si>
    <t>BONDFNP3060000</t>
  </si>
  <si>
    <t>MBS,SLBS</t>
  </si>
  <si>
    <t>BONDKSD3060000</t>
  </si>
  <si>
    <t>유동화</t>
    <phoneticPr fontId="1" type="noConversion"/>
  </si>
  <si>
    <t>1.5Y</t>
    <phoneticPr fontId="1" type="noConversion"/>
  </si>
  <si>
    <t>2.5Y</t>
    <phoneticPr fontId="1" type="noConversion"/>
  </si>
  <si>
    <t>10Y</t>
    <phoneticPr fontId="1" type="noConversion"/>
  </si>
  <si>
    <t>15Y</t>
    <phoneticPr fontId="1" type="noConversion"/>
  </si>
  <si>
    <t>20Y</t>
    <phoneticPr fontId="1" type="noConversion"/>
  </si>
  <si>
    <t>30Y</t>
    <phoneticPr fontId="1" type="noConversion"/>
  </si>
  <si>
    <t>50Y</t>
    <phoneticPr fontId="1" type="noConversion"/>
  </si>
  <si>
    <t>분류</t>
    <phoneticPr fontId="1" type="noConversion"/>
  </si>
  <si>
    <t>기물</t>
    <phoneticPr fontId="1" type="noConversion"/>
  </si>
  <si>
    <t>평가</t>
    <phoneticPr fontId="1" type="noConversion"/>
  </si>
  <si>
    <t>03M</t>
    <phoneticPr fontId="1" type="noConversion"/>
  </si>
  <si>
    <t>06M</t>
    <phoneticPr fontId="1" type="noConversion"/>
  </si>
  <si>
    <t>09M</t>
    <phoneticPr fontId="1" type="noConversion"/>
  </si>
  <si>
    <t>01Y</t>
    <phoneticPr fontId="1" type="noConversion"/>
  </si>
  <si>
    <t>02Y</t>
    <phoneticPr fontId="1" type="noConversion"/>
  </si>
  <si>
    <t>03Y</t>
    <phoneticPr fontId="1" type="noConversion"/>
  </si>
  <si>
    <t>04Y</t>
    <phoneticPr fontId="1" type="noConversion"/>
  </si>
  <si>
    <t>05Y</t>
    <phoneticPr fontId="1" type="noConversion"/>
  </si>
  <si>
    <t>07Y</t>
    <phoneticPr fontId="1" type="noConversion"/>
  </si>
  <si>
    <t>SP(bp)</t>
  </si>
  <si>
    <t>기준</t>
    <phoneticPr fontId="1" type="noConversion"/>
  </si>
  <si>
    <t>비교</t>
    <phoneticPr fontId="1" type="noConversion"/>
  </si>
  <si>
    <t>20D</t>
    <phoneticPr fontId="1" type="noConversion"/>
  </si>
  <si>
    <t>60D</t>
    <phoneticPr fontId="1" type="noConversion"/>
  </si>
  <si>
    <t>250D</t>
    <phoneticPr fontId="1" type="noConversion"/>
  </si>
  <si>
    <t>120D</t>
    <phoneticPr fontId="1" type="noConversion"/>
  </si>
  <si>
    <t>Avg.</t>
    <phoneticPr fontId="1" type="noConversion"/>
  </si>
  <si>
    <t>Min.</t>
    <phoneticPr fontId="1" type="noConversion"/>
  </si>
  <si>
    <t>Max.</t>
    <phoneticPr fontId="1" type="noConversion"/>
  </si>
  <si>
    <t>기준 - 비교</t>
    <phoneticPr fontId="1" type="noConversion"/>
  </si>
  <si>
    <t>기준-비교</t>
    <phoneticPr fontId="1" type="noConversion"/>
  </si>
  <si>
    <t xml:space="preserve"> 시가평가 Spread 분석</t>
    <phoneticPr fontId="1" type="noConversion"/>
  </si>
  <si>
    <t xml:space="preserve"> 시가평가 Spread 분석 (Matix)</t>
    <phoneticPr fontId="1" type="noConversion"/>
  </si>
  <si>
    <t xml:space="preserve"> 지표물 Spread 분석</t>
    <phoneticPr fontId="1" type="noConversion"/>
  </si>
  <si>
    <t>국고 2Y</t>
    <phoneticPr fontId="1" type="noConversion"/>
  </si>
  <si>
    <t>국고 3Y</t>
    <phoneticPr fontId="1" type="noConversion"/>
  </si>
  <si>
    <t>국고 5Y</t>
    <phoneticPr fontId="1" type="noConversion"/>
  </si>
  <si>
    <t>국고 10Y</t>
    <phoneticPr fontId="1" type="noConversion"/>
  </si>
  <si>
    <t>국고 20Y</t>
    <phoneticPr fontId="1" type="noConversion"/>
  </si>
  <si>
    <t>국고 30Y</t>
    <phoneticPr fontId="1" type="noConversion"/>
  </si>
  <si>
    <t>국고 50Y</t>
    <phoneticPr fontId="1" type="noConversion"/>
  </si>
  <si>
    <t>통안 2Y</t>
    <phoneticPr fontId="1" type="noConversion"/>
  </si>
  <si>
    <t>물가 10Y</t>
    <phoneticPr fontId="1" type="noConversion"/>
  </si>
  <si>
    <t>KR1035G00002</t>
  </si>
  <si>
    <t>KR1035G00003</t>
  </si>
  <si>
    <t>KR1035G00005</t>
  </si>
  <si>
    <t>KR1035G00010</t>
  </si>
  <si>
    <t>KR1035G00020</t>
  </si>
  <si>
    <t>KR1035G00030</t>
  </si>
  <si>
    <t>KR1035G00050</t>
  </si>
  <si>
    <t>KR3101000100</t>
  </si>
  <si>
    <t>KR1035M00200</t>
  </si>
  <si>
    <t>기준채권</t>
    <phoneticPr fontId="1" type="noConversion"/>
  </si>
  <si>
    <t>rate/price</t>
    <phoneticPr fontId="1" type="noConversion"/>
  </si>
  <si>
    <t>select</t>
    <phoneticPr fontId="1" type="noConversion"/>
  </si>
  <si>
    <t>수익률(산출일)</t>
    <phoneticPr fontId="1" type="noConversion"/>
  </si>
  <si>
    <t>가격(산출일)</t>
    <phoneticPr fontId="1" type="noConversion"/>
  </si>
  <si>
    <t>현재수익률</t>
    <phoneticPr fontId="1" type="noConversion"/>
  </si>
  <si>
    <t>현재가격</t>
    <phoneticPr fontId="1" type="noConversion"/>
  </si>
  <si>
    <t xml:space="preserve">민평3사 </t>
    <phoneticPr fontId="1" type="noConversion"/>
  </si>
  <si>
    <t xml:space="preserve">민평4사 </t>
    <phoneticPr fontId="1" type="noConversion"/>
  </si>
  <si>
    <t>장내국채-</t>
    <phoneticPr fontId="1" type="noConversion"/>
  </si>
  <si>
    <t>장외-</t>
    <phoneticPr fontId="1" type="noConversion"/>
  </si>
  <si>
    <t>커버드본드</t>
  </si>
  <si>
    <t>BONDAVG84</t>
  </si>
  <si>
    <t>BONDAV484</t>
  </si>
  <si>
    <t>BONDKBPE13C</t>
  </si>
  <si>
    <t>BONDKIS4050000</t>
  </si>
  <si>
    <t>BONDNIC4050000</t>
  </si>
  <si>
    <t>BONDFNP4050000</t>
  </si>
  <si>
    <t>BONDKSD4050000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</si>
</sst>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 "/>
    <numFmt numFmtId="165" formatCode="#,##0.0_ "/>
  </numFmts>
  <fonts count="11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9"/>
      <color indexed="81"/>
      <name val="Tahoma"/>
      <family val="2"/>
    </font>
    <font>
      <sz val="9"/>
      <color rgb="FF000000"/>
      <name val="굴림"/>
      <family val="3"/>
      <charset val="129"/>
    </font>
    <font>
      <b/>
      <sz val="11"/>
      <color theme="1"/>
      <name val="Calibri"/>
      <family val="3"/>
      <charset val="129"/>
      <scheme val="minor"/>
    </font>
    <font>
      <sz val="9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6"/>
      <color theme="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rgb="FF000000"/>
      <name val="Malgun Gothic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14996795556505021"/>
      </top>
      <bottom style="thin">
        <color auto="1"/>
      </bottom>
      <diagonal/>
    </border>
    <border>
      <left style="thin">
        <color theme="0" tint="-0.24994659260841701"/>
      </left>
      <right style="medium">
        <color indexed="64"/>
      </right>
      <top style="thin">
        <color auto="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/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theme="0" tint="-0.14996795556505021"/>
      </top>
      <bottom style="thin">
        <color auto="1"/>
      </bottom>
      <diagonal/>
    </border>
    <border>
      <left style="medium">
        <color indexed="64"/>
      </left>
      <right/>
      <top style="thin">
        <color theme="0" tint="-0.14996795556505021"/>
      </top>
      <bottom style="thin">
        <color auto="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14996795556505021"/>
      </top>
      <bottom style="thin">
        <color auto="1"/>
      </bottom>
      <diagonal/>
    </border>
    <border>
      <left style="medium">
        <color indexed="64"/>
      </left>
      <right style="thin">
        <color theme="0" tint="-0.24994659260841701"/>
      </right>
      <top style="thin">
        <color auto="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theme="0" tint="-0.14996795556505021"/>
      </left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/>
      <top style="dotted">
        <color theme="0" tint="-0.14996795556505021"/>
      </top>
      <bottom style="dotted">
        <color theme="0" tint="-0.14996795556505021"/>
      </bottom>
      <diagonal/>
    </border>
    <border>
      <left/>
      <right style="dotted">
        <color theme="0" tint="-0.14996795556505021"/>
      </right>
      <top style="dotted">
        <color theme="0" tint="-0.14996795556505021"/>
      </top>
      <bottom style="dotted">
        <color theme="0" tint="-0.1499679555650502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9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  <xf numFmtId="0" fontId="0" fillId="3" borderId="0" xfId="0" applyFill="1">
      <alignment vertical="center"/>
    </xf>
    <xf numFmtId="49" fontId="0" fillId="4" borderId="0" xfId="0" applyNumberFormat="1" applyFill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49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49" fontId="0" fillId="0" borderId="0" xfId="0" applyNumberFormat="1">
      <alignment vertical="center"/>
    </xf>
    <xf numFmtId="0" fontId="0" fillId="0" borderId="4" xfId="0" applyBorder="1">
      <alignment vertical="center"/>
    </xf>
    <xf numFmtId="49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0" fillId="5" borderId="3" xfId="0" applyFill="1" applyBorder="1">
      <alignment vertical="center"/>
    </xf>
    <xf numFmtId="49" fontId="0" fillId="5" borderId="0" xfId="0" applyNumberFormat="1" applyFill="1">
      <alignment vertical="center"/>
    </xf>
    <xf numFmtId="0" fontId="0" fillId="5" borderId="0" xfId="0" applyFill="1">
      <alignment vertical="center"/>
    </xf>
    <xf numFmtId="0" fontId="0" fillId="0" borderId="6" xfId="0" applyBorder="1">
      <alignment vertical="center"/>
    </xf>
    <xf numFmtId="49" fontId="0" fillId="0" borderId="7" xfId="0" applyNumberFormat="1" applyBorder="1">
      <alignment vertical="center"/>
    </xf>
    <xf numFmtId="0" fontId="0" fillId="0" borderId="7" xfId="0" applyBorder="1">
      <alignment vertical="center"/>
    </xf>
    <xf numFmtId="0" fontId="7" fillId="0" borderId="0" xfId="0" applyFont="1">
      <alignment vertical="center"/>
    </xf>
    <xf numFmtId="0" fontId="6" fillId="0" borderId="19" xfId="0" applyFont="1" applyBorder="1" applyAlignment="1">
      <alignment horizontal="right" vertical="center"/>
    </xf>
    <xf numFmtId="164" fontId="7" fillId="0" borderId="13" xfId="0" applyNumberFormat="1" applyFont="1" applyBorder="1">
      <alignment vertical="center"/>
    </xf>
    <xf numFmtId="164" fontId="7" fillId="0" borderId="14" xfId="0" applyNumberFormat="1" applyFont="1" applyBorder="1">
      <alignment vertical="center"/>
    </xf>
    <xf numFmtId="0" fontId="6" fillId="0" borderId="20" xfId="0" applyFont="1" applyBorder="1" applyAlignment="1">
      <alignment horizontal="right" vertical="center"/>
    </xf>
    <xf numFmtId="164" fontId="7" fillId="0" borderId="8" xfId="0" applyNumberFormat="1" applyFont="1" applyBorder="1">
      <alignment vertical="center"/>
    </xf>
    <xf numFmtId="164" fontId="7" fillId="0" borderId="16" xfId="0" applyNumberFormat="1" applyFont="1" applyBorder="1">
      <alignment vertical="center"/>
    </xf>
    <xf numFmtId="0" fontId="7" fillId="0" borderId="0" xfId="0" applyFont="1" applyAlignment="1">
      <alignment horizontal="center" vertical="center"/>
    </xf>
    <xf numFmtId="164" fontId="7" fillId="7" borderId="11" xfId="0" applyNumberFormat="1" applyFont="1" applyFill="1" applyBorder="1">
      <alignment vertical="center"/>
    </xf>
    <xf numFmtId="164" fontId="7" fillId="7" borderId="12" xfId="0" applyNumberFormat="1" applyFont="1" applyFill="1" applyBorder="1">
      <alignment vertical="center"/>
    </xf>
    <xf numFmtId="165" fontId="7" fillId="6" borderId="9" xfId="0" applyNumberFormat="1" applyFont="1" applyFill="1" applyBorder="1">
      <alignment vertical="center"/>
    </xf>
    <xf numFmtId="165" fontId="7" fillId="6" borderId="15" xfId="0" applyNumberFormat="1" applyFont="1" applyFill="1" applyBorder="1">
      <alignment vertical="center"/>
    </xf>
    <xf numFmtId="165" fontId="7" fillId="6" borderId="17" xfId="0" applyNumberFormat="1" applyFont="1" applyFill="1" applyBorder="1">
      <alignment vertical="center"/>
    </xf>
    <xf numFmtId="165" fontId="7" fillId="6" borderId="18" xfId="0" applyNumberFormat="1" applyFont="1" applyFill="1" applyBorder="1">
      <alignment vertical="center"/>
    </xf>
    <xf numFmtId="0" fontId="0" fillId="0" borderId="0" xfId="0" applyAlignment="1">
      <alignment horizontal="right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3" xfId="0" applyNumberFormat="1" applyFont="1" applyBorder="1" applyAlignment="1">
      <alignment horizontal="center" vertical="center"/>
    </xf>
    <xf numFmtId="14" fontId="6" fillId="0" borderId="24" xfId="0" applyNumberFormat="1" applyFont="1" applyBorder="1" applyAlignment="1">
      <alignment horizontal="center" vertical="center"/>
    </xf>
    <xf numFmtId="14" fontId="6" fillId="0" borderId="25" xfId="0" applyNumberFormat="1" applyFont="1" applyBorder="1" applyAlignment="1">
      <alignment horizontal="center" vertical="center"/>
    </xf>
    <xf numFmtId="14" fontId="6" fillId="0" borderId="26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6" fillId="0" borderId="27" xfId="0" applyFont="1" applyBorder="1" applyAlignment="1">
      <alignment horizontal="right" vertical="center"/>
    </xf>
    <xf numFmtId="0" fontId="6" fillId="0" borderId="28" xfId="0" applyFont="1" applyBorder="1" applyAlignment="1">
      <alignment horizontal="right" vertical="center"/>
    </xf>
    <xf numFmtId="0" fontId="6" fillId="7" borderId="6" xfId="0" applyFont="1" applyFill="1" applyBorder="1" applyAlignment="1">
      <alignment horizontal="center" vertical="center"/>
    </xf>
    <xf numFmtId="164" fontId="7" fillId="7" borderId="31" xfId="0" applyNumberFormat="1" applyFont="1" applyFill="1" applyBorder="1">
      <alignment vertical="center"/>
    </xf>
    <xf numFmtId="164" fontId="7" fillId="0" borderId="32" xfId="0" applyNumberFormat="1" applyFont="1" applyBorder="1">
      <alignment vertical="center"/>
    </xf>
    <xf numFmtId="165" fontId="7" fillId="6" borderId="33" xfId="0" applyNumberFormat="1" applyFont="1" applyFill="1" applyBorder="1">
      <alignment vertical="center"/>
    </xf>
    <xf numFmtId="164" fontId="7" fillId="0" borderId="34" xfId="0" applyNumberFormat="1" applyFont="1" applyBorder="1">
      <alignment vertical="center"/>
    </xf>
    <xf numFmtId="165" fontId="7" fillId="6" borderId="35" xfId="0" applyNumberFormat="1" applyFont="1" applyFill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8" fillId="8" borderId="0" xfId="0" applyFont="1" applyFill="1">
      <alignment vertical="center"/>
    </xf>
    <xf numFmtId="0" fontId="6" fillId="7" borderId="52" xfId="0" applyFont="1" applyFill="1" applyBorder="1" applyAlignment="1">
      <alignment horizontal="center" vertical="center"/>
    </xf>
    <xf numFmtId="0" fontId="6" fillId="7" borderId="53" xfId="0" applyFont="1" applyFill="1" applyBorder="1" applyAlignment="1">
      <alignment horizontal="center" vertical="center"/>
    </xf>
    <xf numFmtId="0" fontId="6" fillId="7" borderId="54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165" fontId="7" fillId="10" borderId="33" xfId="0" applyNumberFormat="1" applyFont="1" applyFill="1" applyBorder="1">
      <alignment vertical="center"/>
    </xf>
    <xf numFmtId="0" fontId="6" fillId="10" borderId="49" xfId="0" applyFont="1" applyFill="1" applyBorder="1" applyAlignment="1">
      <alignment horizontal="center" vertical="center"/>
    </xf>
    <xf numFmtId="0" fontId="6" fillId="10" borderId="50" xfId="0" applyFont="1" applyFill="1" applyBorder="1" applyAlignment="1">
      <alignment horizontal="center" vertical="center"/>
    </xf>
    <xf numFmtId="0" fontId="6" fillId="10" borderId="51" xfId="0" applyFont="1" applyFill="1" applyBorder="1" applyAlignment="1">
      <alignment horizontal="center" vertical="center"/>
    </xf>
    <xf numFmtId="0" fontId="0" fillId="10" borderId="0" xfId="0" applyFill="1">
      <alignment vertical="center"/>
    </xf>
    <xf numFmtId="165" fontId="9" fillId="0" borderId="62" xfId="0" applyNumberFormat="1" applyFont="1" applyBorder="1">
      <alignment vertical="center"/>
    </xf>
    <xf numFmtId="165" fontId="9" fillId="0" borderId="55" xfId="0" applyNumberFormat="1" applyFont="1" applyBorder="1">
      <alignment vertical="center"/>
    </xf>
    <xf numFmtId="165" fontId="9" fillId="0" borderId="56" xfId="0" applyNumberFormat="1" applyFont="1" applyBorder="1">
      <alignment vertical="center"/>
    </xf>
    <xf numFmtId="165" fontId="9" fillId="0" borderId="65" xfId="0" applyNumberFormat="1" applyFont="1" applyBorder="1">
      <alignment vertical="center"/>
    </xf>
    <xf numFmtId="165" fontId="9" fillId="0" borderId="63" xfId="0" applyNumberFormat="1" applyFont="1" applyBorder="1">
      <alignment vertical="center"/>
    </xf>
    <xf numFmtId="165" fontId="9" fillId="0" borderId="58" xfId="0" applyNumberFormat="1" applyFont="1" applyBorder="1">
      <alignment vertical="center"/>
    </xf>
    <xf numFmtId="165" fontId="9" fillId="0" borderId="59" xfId="0" applyNumberFormat="1" applyFont="1" applyBorder="1">
      <alignment vertical="center"/>
    </xf>
    <xf numFmtId="165" fontId="9" fillId="0" borderId="57" xfId="0" applyNumberFormat="1" applyFont="1" applyBorder="1">
      <alignment vertical="center"/>
    </xf>
    <xf numFmtId="165" fontId="9" fillId="0" borderId="66" xfId="0" applyNumberFormat="1" applyFont="1" applyBorder="1">
      <alignment vertical="center"/>
    </xf>
    <xf numFmtId="165" fontId="9" fillId="0" borderId="64" xfId="0" applyNumberFormat="1" applyFont="1" applyBorder="1">
      <alignment vertical="center"/>
    </xf>
    <xf numFmtId="165" fontId="9" fillId="0" borderId="60" xfId="0" applyNumberFormat="1" applyFont="1" applyBorder="1">
      <alignment vertical="center"/>
    </xf>
    <xf numFmtId="165" fontId="9" fillId="0" borderId="61" xfId="0" applyNumberFormat="1" applyFont="1" applyBorder="1">
      <alignment vertical="center"/>
    </xf>
    <xf numFmtId="165" fontId="9" fillId="0" borderId="67" xfId="0" applyNumberFormat="1" applyFont="1" applyBorder="1">
      <alignment vertical="center"/>
    </xf>
    <xf numFmtId="165" fontId="9" fillId="9" borderId="47" xfId="0" applyNumberFormat="1" applyFont="1" applyFill="1" applyBorder="1">
      <alignment vertical="center"/>
    </xf>
    <xf numFmtId="165" fontId="9" fillId="9" borderId="46" xfId="0" applyNumberFormat="1" applyFont="1" applyFill="1" applyBorder="1">
      <alignment vertical="center"/>
    </xf>
    <xf numFmtId="165" fontId="9" fillId="9" borderId="48" xfId="0" applyNumberFormat="1" applyFont="1" applyFill="1" applyBorder="1">
      <alignment vertical="center"/>
    </xf>
    <xf numFmtId="0" fontId="6" fillId="0" borderId="19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4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7" fillId="6" borderId="36" xfId="0" applyFont="1" applyFill="1" applyBorder="1" applyAlignment="1">
      <alignment horizontal="center" vertical="center"/>
    </xf>
    <xf numFmtId="0" fontId="7" fillId="6" borderId="37" xfId="0" applyFont="1" applyFill="1" applyBorder="1" applyAlignment="1">
      <alignment horizontal="center" vertical="center"/>
    </xf>
    <xf numFmtId="0" fontId="7" fillId="6" borderId="30" xfId="0" applyFont="1" applyFill="1" applyBorder="1" applyAlignment="1">
      <alignment horizontal="center" vertical="center"/>
    </xf>
    <xf numFmtId="0" fontId="7" fillId="6" borderId="2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44" xfId="0" applyFont="1" applyFill="1" applyBorder="1" applyAlignment="1">
      <alignment horizontal="center" vertical="center"/>
    </xf>
    <xf numFmtId="0" fontId="6" fillId="5" borderId="45" xfId="0" applyFont="1" applyFill="1" applyBorder="1" applyAlignment="1">
      <alignment horizontal="center" vertical="center"/>
    </xf>
    <xf numFmtId="49" fontId="0" fillId="0" borderId="0" xfId="0" applyNumberFormat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6"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x9.eVRq1</stp>
        <stp>64</stp>
        <stp>920424</stp>
        <tr r="AB5" s="9"/>
      </tp>
      <tp>
        <v>0</v>
        <stp/>
        <stp>H</stp>
        <stp>x8.eVRq1</stp>
        <stp>63</stp>
        <stp>920424</stp>
        <tr r="N5" s="9"/>
      </tp>
      <tp>
        <v>0</v>
        <stp/>
        <stp>H</stp>
        <stp>x4.eVRq1</stp>
        <stp>59</stp>
        <stp>920424</stp>
        <tr r="AJ5" s="7"/>
      </tp>
      <tp>
        <v>0</v>
        <stp/>
        <stp>H</stp>
        <stp>x7.eVRq1</stp>
        <stp>62</stp>
        <stp>920424</stp>
        <tr r="Y5" s="9"/>
      </tp>
      <tp>
        <v>0</v>
        <stp/>
        <stp>H</stp>
        <stp>x6.eVRq1</stp>
        <stp>61</stp>
        <stp>920424</stp>
        <tr r="P5" s="9"/>
      </tp>
      <tp>
        <v>0</v>
        <stp/>
        <stp>H</stp>
        <stp>x5.eVRq1</stp>
        <stp>60</stp>
        <stp>920424</stp>
        <tr r="AC5" s="9"/>
      </tp>
      <tp>
        <v>0</v>
        <stp/>
        <stp>H</stp>
        <stp>x1.eVRq1</stp>
        <stp>56</stp>
        <stp>920424</stp>
        <tr r="R5" s="9"/>
      </tp>
      <tp>
        <v>0</v>
        <stp/>
        <stp>H</stp>
        <stp>x2.eVRq1</stp>
        <stp>57</stp>
        <stp>920424</stp>
        <tr r="S5" s="7"/>
      </tp>
      <tp>
        <v>0</v>
        <stp/>
        <stp>H</stp>
        <stp>x3.eVRq1</stp>
        <stp>58</stp>
        <stp>920424</stp>
        <tr r="B5" s="7"/>
      </tp>
      <tp>
        <v>0</v>
        <stp/>
        <stp>H</stp>
        <stp>x23.eVRq1</stp>
        <stp>78</stp>
        <stp>920424</stp>
        <tr r="AJ5" s="1"/>
      </tp>
      <tp>
        <v>0</v>
        <stp/>
        <stp>H</stp>
        <stp>x22.eVRq1</stp>
        <stp>77</stp>
        <stp>920424</stp>
        <tr r="B5" s="1"/>
      </tp>
      <tp>
        <v>0</v>
        <stp/>
        <stp>H</stp>
        <stp>x21.eVRq1</stp>
        <stp>76</stp>
        <stp>920424</stp>
        <tr r="B5" s="9"/>
      </tp>
      <tp>
        <v>0</v>
        <stp/>
        <stp>H</stp>
        <stp>x20.eVRq1</stp>
        <stp>75</stp>
        <stp>920424</stp>
        <tr r="X5" s="9"/>
      </tp>
      <tp>
        <v>0</v>
        <stp/>
        <stp>H</stp>
        <stp>x24.eVRq1</stp>
        <stp>82</stp>
        <stp>920424</stp>
        <tr r="S5" s="1"/>
      </tp>
      <tp>
        <v>0</v>
        <stp/>
        <stp>H</stp>
        <stp>x12.eVRq1</stp>
        <stp>67</stp>
        <stp>920424</stp>
        <tr r="L5" s="9"/>
      </tp>
      <tp>
        <v>0</v>
        <stp/>
        <stp>H</stp>
        <stp>x13.eVRq1</stp>
        <stp>68</stp>
        <stp>920424</stp>
        <tr r="J5" s="9"/>
      </tp>
      <tp>
        <v>0</v>
        <stp/>
        <stp>H</stp>
        <stp>x10.eVRq1</stp>
        <stp>65</stp>
        <stp>920424</stp>
        <tr r="AA5" s="9"/>
      </tp>
      <tp>
        <v>0</v>
        <stp/>
        <stp>H</stp>
        <stp>x11.eVRq1</stp>
        <stp>66</stp>
        <stp>920424</stp>
        <tr r="AD5" s="9"/>
      </tp>
      <tp>
        <v>0</v>
        <stp/>
        <stp>H</stp>
        <stp>x17.eVRq1</stp>
        <stp>72</stp>
        <stp>920424</stp>
        <tr r="Z5" s="9"/>
      </tp>
      <tp>
        <v>0</v>
        <stp/>
        <stp>H</stp>
        <stp>x16.eVRq1</stp>
        <stp>71</stp>
        <stp>920424</stp>
        <tr r="U5" s="9"/>
      </tp>
      <tp>
        <v>0</v>
        <stp/>
        <stp>H</stp>
        <stp>x14.eVRq1</stp>
        <stp>69</stp>
        <stp>920424</stp>
        <tr r="F5" s="9"/>
      </tp>
      <tp>
        <v>0</v>
        <stp/>
        <stp>H</stp>
        <stp>x15.eVRq1</stp>
        <stp>70</stp>
        <stp>920424</stp>
        <tr r="W5" s="9"/>
      </tp>
      <tp>
        <v>0</v>
        <stp/>
        <stp>H</stp>
        <stp>x19.eVRq1</stp>
        <stp>74</stp>
        <stp>920424</stp>
        <tr r="H5" s="9"/>
      </tp>
      <tp>
        <v>0</v>
        <stp/>
        <stp>H</stp>
        <stp>x18.eVRq1</stp>
        <stp>73</stp>
        <stp>920424</stp>
        <tr r="D5" s="9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Drop" dropStyle="combo" dx="15" fmlaLink="hist_data!$B$3" fmlaRange="IR_code!$B$2:$B$82" noThreeD="1" sel="1" val="0"/>
</file>

<file path=xl/ctrlProps/ctrlProp3.xml><?xml version="1.0" encoding="utf-8"?>
<formControlPr xmlns="http://schemas.microsoft.com/office/spreadsheetml/2009/9/main" objectType="Radio" checked="Checked" firstButton="1" fmlaLink="hist_data!$C$3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Radio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Drop" dropStyle="combo" dx="15" fmlaLink="hist_data!$D$3" fmlaRange="hist_data!$A$6:$A$21" noThreeD="1" sel="8" val="7"/>
</file>

<file path=xl/ctrlProps/ctrlProp10.xml><?xml version="1.0" encoding="utf-8"?>
<formControlPr xmlns="http://schemas.microsoft.com/office/spreadsheetml/2009/9/main" objectType="Drop" dropStyle="combo" dx="22" fmlaLink="$A$17" fmlaRange="hist_data!$A$6:$A$21" noThreeD="1" sel="1" val="0"/>
</file>

<file path=xl/ctrlProps/ctrlProp11.xml><?xml version="1.0" encoding="utf-8"?>
<formControlPr xmlns="http://schemas.microsoft.com/office/spreadsheetml/2009/9/main" objectType="Drop" dropStyle="combo" dx="22" fmlaLink="$A$19" fmlaRange="hist_data!$A$6:$A$21" noThreeD="1" sel="2" val="0"/>
</file>

<file path=xl/ctrlProps/ctrlProp12.xml><?xml version="1.0" encoding="utf-8"?>
<formControlPr xmlns="http://schemas.microsoft.com/office/spreadsheetml/2009/9/main" objectType="Drop" dropStyle="combo" dx="22" fmlaLink="$A$33" fmlaRange="hist_data!$A$6:$A$21" noThreeD="1" sel="9" val="0"/>
</file>

<file path=xl/ctrlProps/ctrlProp13.xml><?xml version="1.0" encoding="utf-8"?>
<formControlPr xmlns="http://schemas.microsoft.com/office/spreadsheetml/2009/9/main" objectType="Drop" dropStyle="combo" dx="22" fmlaLink="$A$47" fmlaRange="hist_data!$A$6:$A$21" noThreeD="1" sel="16" val="0"/>
</file>

<file path=xl/ctrlProps/ctrlProp14.xml><?xml version="1.0" encoding="utf-8"?>
<formControlPr xmlns="http://schemas.microsoft.com/office/spreadsheetml/2009/9/main" objectType="Drop" dropStyle="combo" dx="22" fmlaLink="$A$45" fmlaRange="hist_data!$A$6:$A$21" noThreeD="1" sel="15" val="0"/>
</file>

<file path=xl/ctrlProps/ctrlProp15.xml><?xml version="1.0" encoding="utf-8"?>
<formControlPr xmlns="http://schemas.microsoft.com/office/spreadsheetml/2009/9/main" objectType="Drop" dropStyle="combo" dx="22" fmlaLink="$A$41" fmlaRange="hist_data!$A$6:$A$21" noThreeD="1" sel="13" val="0"/>
</file>

<file path=xl/ctrlProps/ctrlProp16.xml><?xml version="1.0" encoding="utf-8"?>
<formControlPr xmlns="http://schemas.microsoft.com/office/spreadsheetml/2009/9/main" objectType="Drop" dropStyle="combo" dx="22" fmlaLink="$A$37" fmlaRange="hist_data!$A$6:$A$21" noThreeD="1" sel="11" val="0"/>
</file>

<file path=xl/ctrlProps/ctrlProp17.xml><?xml version="1.0" encoding="utf-8"?>
<formControlPr xmlns="http://schemas.microsoft.com/office/spreadsheetml/2009/9/main" objectType="Drop" dropStyle="combo" dx="22" fmlaLink="$A$29" fmlaRange="hist_data!$A$6:$A$21" noThreeD="1" sel="7" val="0"/>
</file>

<file path=xl/ctrlProps/ctrlProp18.xml><?xml version="1.0" encoding="utf-8"?>
<formControlPr xmlns="http://schemas.microsoft.com/office/spreadsheetml/2009/9/main" objectType="Drop" dropStyle="combo" dx="22" fmlaLink="$A$27" fmlaRange="hist_data!$A$6:$A$21" noThreeD="1" sel="6" val="0"/>
</file>

<file path=xl/ctrlProps/ctrlProp19.xml><?xml version="1.0" encoding="utf-8"?>
<formControlPr xmlns="http://schemas.microsoft.com/office/spreadsheetml/2009/9/main" objectType="Drop" dropStyle="combo" dx="22" fmlaLink="$A$23" fmlaRange="hist_data!$A$6:$A$21" noThreeD="1" sel="4" val="0"/>
</file>

<file path=xl/ctrlProps/ctrlProp20.xml><?xml version="1.0" encoding="utf-8"?>
<formControlPr xmlns="http://schemas.microsoft.com/office/spreadsheetml/2009/9/main" objectType="Drop" dropStyle="combo" dx="22" fmlaLink="$A$21" fmlaRange="hist_data!$A$6:$A$21" noThreeD="1" sel="3" val="0"/>
</file>

<file path=xl/ctrlProps/ctrlProp21.xml><?xml version="1.0" encoding="utf-8"?>
<formControlPr xmlns="http://schemas.microsoft.com/office/spreadsheetml/2009/9/main" objectType="Drop" dropStyle="combo" dx="22" fmlaLink="$A$25" fmlaRange="hist_data!$A$6:$A$21" noThreeD="1" sel="5" val="0"/>
</file>

<file path=xl/ctrlProps/ctrlProp22.xml><?xml version="1.0" encoding="utf-8"?>
<formControlPr xmlns="http://schemas.microsoft.com/office/spreadsheetml/2009/9/main" objectType="Drop" dropStyle="combo" dx="22" fmlaLink="$A$31" fmlaRange="hist_data!$A$6:$A$21" noThreeD="1" sel="8" val="0"/>
</file>

<file path=xl/ctrlProps/ctrlProp23.xml><?xml version="1.0" encoding="utf-8"?>
<formControlPr xmlns="http://schemas.microsoft.com/office/spreadsheetml/2009/9/main" objectType="Drop" dropStyle="combo" dx="22" fmlaLink="$A$35" fmlaRange="hist_data!$A$6:$A$21" noThreeD="1" sel="10" val="0"/>
</file>

<file path=xl/ctrlProps/ctrlProp24.xml><?xml version="1.0" encoding="utf-8"?>
<formControlPr xmlns="http://schemas.microsoft.com/office/spreadsheetml/2009/9/main" objectType="Drop" dropStyle="combo" dx="22" fmlaLink="$A$39" fmlaRange="hist_data!$A$6:$A$21" noThreeD="1" sel="12" val="0"/>
</file>

<file path=xl/ctrlProps/ctrlProp25.xml><?xml version="1.0" encoding="utf-8"?>
<formControlPr xmlns="http://schemas.microsoft.com/office/spreadsheetml/2009/9/main" objectType="Drop" dropStyle="combo" dx="22" fmlaLink="$A$43" fmlaRange="hist_data!$A$6:$A$21" noThreeD="1" sel="14" val="0"/>
</file>

<file path=xl/ctrlProps/ctrlProp26.xml><?xml version="1.0" encoding="utf-8"?>
<formControlPr xmlns="http://schemas.microsoft.com/office/spreadsheetml/2009/9/main" objectType="Drop" dropStyle="combo" dx="22" fmlaLink="$A$60" fmlaRange="hist_data!$A$6:$A$21" noThreeD="1" sel="2" val="0"/>
</file>

<file path=xl/ctrlProps/ctrlProp27.xml><?xml version="1.0" encoding="utf-8"?>
<formControlPr xmlns="http://schemas.microsoft.com/office/spreadsheetml/2009/9/main" objectType="Drop" dropStyle="combo" dx="22" fmlaLink="$A$74" fmlaRange="hist_data!$A$6:$A$21" noThreeD="1" sel="9" val="0"/>
</file>

<file path=xl/ctrlProps/ctrlProp28.xml><?xml version="1.0" encoding="utf-8"?>
<formControlPr xmlns="http://schemas.microsoft.com/office/spreadsheetml/2009/9/main" objectType="Drop" dropStyle="combo" dx="22" fmlaLink="$A$88" fmlaRange="hist_data!$A$6:$A$21" noThreeD="1" sel="16" val="0"/>
</file>

<file path=xl/ctrlProps/ctrlProp29.xml><?xml version="1.0" encoding="utf-8"?>
<formControlPr xmlns="http://schemas.microsoft.com/office/spreadsheetml/2009/9/main" objectType="Drop" dropStyle="combo" dx="22" fmlaLink="$A$86" fmlaRange="hist_data!$A$6:$A$21" noThreeD="1" sel="15" val="0"/>
</file>

<file path=xl/ctrlProps/ctrlProp30.xml><?xml version="1.0" encoding="utf-8"?>
<formControlPr xmlns="http://schemas.microsoft.com/office/spreadsheetml/2009/9/main" objectType="Drop" dropStyle="combo" dx="22" fmlaLink="$A$82" fmlaRange="hist_data!$A$6:$A$21" noThreeD="1" sel="13" val="0"/>
</file>

<file path=xl/ctrlProps/ctrlProp31.xml><?xml version="1.0" encoding="utf-8"?>
<formControlPr xmlns="http://schemas.microsoft.com/office/spreadsheetml/2009/9/main" objectType="Drop" dropStyle="combo" dx="22" fmlaLink="$A$78" fmlaRange="hist_data!$A$6:$A$21" noThreeD="1" sel="11" val="0"/>
</file>

<file path=xl/ctrlProps/ctrlProp32.xml><?xml version="1.0" encoding="utf-8"?>
<formControlPr xmlns="http://schemas.microsoft.com/office/spreadsheetml/2009/9/main" objectType="Drop" dropStyle="combo" dx="22" fmlaLink="$A$70" fmlaRange="hist_data!$A$6:$A$21" noThreeD="1" sel="7" val="0"/>
</file>

<file path=xl/ctrlProps/ctrlProp33.xml><?xml version="1.0" encoding="utf-8"?>
<formControlPr xmlns="http://schemas.microsoft.com/office/spreadsheetml/2009/9/main" objectType="Drop" dropStyle="combo" dx="22" fmlaLink="$A$68" fmlaRange="hist_data!$A$6:$A$21" noThreeD="1" sel="6" val="0"/>
</file>

<file path=xl/ctrlProps/ctrlProp34.xml><?xml version="1.0" encoding="utf-8"?>
<formControlPr xmlns="http://schemas.microsoft.com/office/spreadsheetml/2009/9/main" objectType="Drop" dropStyle="combo" dx="22" fmlaLink="$A$64" fmlaRange="hist_data!$A$6:$A$21" noThreeD="1" sel="4" val="0"/>
</file>

<file path=xl/ctrlProps/ctrlProp35.xml><?xml version="1.0" encoding="utf-8"?>
<formControlPr xmlns="http://schemas.microsoft.com/office/spreadsheetml/2009/9/main" objectType="Drop" dropStyle="combo" dx="22" fmlaLink="$A$62" fmlaRange="hist_data!$A$6:$A$21" noThreeD="1" sel="3" val="0"/>
</file>

<file path=xl/ctrlProps/ctrlProp36.xml><?xml version="1.0" encoding="utf-8"?>
<formControlPr xmlns="http://schemas.microsoft.com/office/spreadsheetml/2009/9/main" objectType="Drop" dropStyle="combo" dx="22" fmlaLink="$A$66" fmlaRange="hist_data!$A$6:$A$21" noThreeD="1" sel="5" val="0"/>
</file>

<file path=xl/ctrlProps/ctrlProp37.xml><?xml version="1.0" encoding="utf-8"?>
<formControlPr xmlns="http://schemas.microsoft.com/office/spreadsheetml/2009/9/main" objectType="Drop" dropStyle="combo" dx="22" fmlaLink="$A$72" fmlaRange="hist_data!$A$6:$A$21" noThreeD="1" sel="8" val="0"/>
</file>

<file path=xl/ctrlProps/ctrlProp38.xml><?xml version="1.0" encoding="utf-8"?>
<formControlPr xmlns="http://schemas.microsoft.com/office/spreadsheetml/2009/9/main" objectType="Drop" dropStyle="combo" dx="22" fmlaLink="$A$76" fmlaRange="hist_data!$A$6:$A$21" noThreeD="1" sel="10" val="0"/>
</file>

<file path=xl/ctrlProps/ctrlProp39.xml><?xml version="1.0" encoding="utf-8"?>
<formControlPr xmlns="http://schemas.microsoft.com/office/spreadsheetml/2009/9/main" objectType="Drop" dropStyle="combo" dx="22" fmlaLink="$A$80" fmlaRange="hist_data!$A$6:$A$21" noThreeD="1" sel="12" val="0"/>
</file>

<file path=xl/ctrlProps/ctrlProp40.xml><?xml version="1.0" encoding="utf-8"?>
<formControlPr xmlns="http://schemas.microsoft.com/office/spreadsheetml/2009/9/main" objectType="Drop" dropStyle="combo" dx="22" fmlaLink="$A$84" fmlaRange="hist_data!$A$6:$A$21" noThreeD="1" sel="14" val="0"/>
</file>

<file path=xl/ctrlProps/ctrlProp41.xml><?xml version="1.0" encoding="utf-8"?>
<formControlPr xmlns="http://schemas.microsoft.com/office/spreadsheetml/2009/9/main" objectType="Drop" dropStyle="combo" dx="22" fmlaLink="$A$58" fmlaRange="hist_data!$A$6:$A$21" noThreeD="1" sel="1" val="0"/>
</file>

<file path=xl/ctrlProps/ctrlProp42.xml><?xml version="1.0" encoding="utf-8"?>
<formControlPr xmlns="http://schemas.microsoft.com/office/spreadsheetml/2009/9/main" objectType="GBox" noThreeD="1"/>
</file>

<file path=xl/ctrlProps/ctrlProp43.xml><?xml version="1.0" encoding="utf-8"?>
<formControlPr xmlns="http://schemas.microsoft.com/office/spreadsheetml/2009/9/main" objectType="Drop" dropStyle="combo" dx="15" fmlaLink="hist_data!$S$3" fmlaRange="IR_code!$B$2:$B$82" noThreeD="1" sel="7" val="0"/>
</file>

<file path=xl/ctrlProps/ctrlProp44.xml><?xml version="1.0" encoding="utf-8"?>
<formControlPr xmlns="http://schemas.microsoft.com/office/spreadsheetml/2009/9/main" objectType="Radio" checked="Checked" firstButton="1" fmlaLink="hist_data!$T$3" lockText="1" noThreeD="1"/>
</file>

<file path=xl/ctrlProps/ctrlProp45.xml><?xml version="1.0" encoding="utf-8"?>
<formControlPr xmlns="http://schemas.microsoft.com/office/spreadsheetml/2009/9/main" objectType="Radio" lockText="1" noThreeD="1"/>
</file>

<file path=xl/ctrlProps/ctrlProp46.xml><?xml version="1.0" encoding="utf-8"?>
<formControlPr xmlns="http://schemas.microsoft.com/office/spreadsheetml/2009/9/main" objectType="Radio" lockText="1" noThreeD="1"/>
</file>

<file path=xl/ctrlProps/ctrlProp47.xml><?xml version="1.0" encoding="utf-8"?>
<formControlPr xmlns="http://schemas.microsoft.com/office/spreadsheetml/2009/9/main" objectType="Radio" lockText="1" noThreeD="1"/>
</file>

<file path=xl/ctrlProps/ctrlProp48.xml><?xml version="1.0" encoding="utf-8"?>
<formControlPr xmlns="http://schemas.microsoft.com/office/spreadsheetml/2009/9/main" objectType="Radio" lockText="1" noThreeD="1"/>
</file>

<file path=xl/ctrlProps/ctrlProp49.xml><?xml version="1.0" encoding="utf-8"?>
<formControlPr xmlns="http://schemas.microsoft.com/office/spreadsheetml/2009/9/main" objectType="Radio" firstButton="1" lockText="1" noThreeD="1"/>
</file>

<file path=xl/ctrlProps/ctrlProp50.xml><?xml version="1.0" encoding="utf-8"?>
<formControlPr xmlns="http://schemas.microsoft.com/office/spreadsheetml/2009/9/main" objectType="GBox" noThreeD="1"/>
</file>

<file path=xl/ctrlProps/ctrlProp51.xml><?xml version="1.0" encoding="utf-8"?>
<formControlPr xmlns="http://schemas.microsoft.com/office/spreadsheetml/2009/9/main" objectType="Drop" dropStyle="combo" dx="15" fmlaLink="hist_data!$AJ$3" fmlaRange="IR_code!$B$2:$B$82" noThreeD="1" sel="12" val="4"/>
</file>

<file path=xl/ctrlProps/ctrlProp52.xml><?xml version="1.0" encoding="utf-8"?>
<formControlPr xmlns="http://schemas.microsoft.com/office/spreadsheetml/2009/9/main" objectType="Radio" checked="Checked" firstButton="1" fmlaLink="hist_data!$AK$3" lockText="1" noThreeD="1"/>
</file>

<file path=xl/ctrlProps/ctrlProp53.xml><?xml version="1.0" encoding="utf-8"?>
<formControlPr xmlns="http://schemas.microsoft.com/office/spreadsheetml/2009/9/main" objectType="Radio" lockText="1" noThreeD="1"/>
</file>

<file path=xl/ctrlProps/ctrlProp54.xml><?xml version="1.0" encoding="utf-8"?>
<formControlPr xmlns="http://schemas.microsoft.com/office/spreadsheetml/2009/9/main" objectType="Radio" lockText="1" noThreeD="1"/>
</file>

<file path=xl/ctrlProps/ctrlProp55.xml><?xml version="1.0" encoding="utf-8"?>
<formControlPr xmlns="http://schemas.microsoft.com/office/spreadsheetml/2009/9/main" objectType="Radio" lockText="1" noThreeD="1"/>
</file>

<file path=xl/ctrlProps/ctrlProp56.xml><?xml version="1.0" encoding="utf-8"?>
<formControlPr xmlns="http://schemas.microsoft.com/office/spreadsheetml/2009/9/main" objectType="Radio" lockText="1" noThreeD="1"/>
</file>

<file path=xl/ctrlProps/ctrlProp57.xml><?xml version="1.0" encoding="utf-8"?>
<formControlPr xmlns="http://schemas.microsoft.com/office/spreadsheetml/2009/9/main" objectType="Radio" lockText="1" noThreeD="1"/>
</file>

<file path=xl/ctrlProps/ctrlProp58.xml><?xml version="1.0" encoding="utf-8"?>
<formControlPr xmlns="http://schemas.microsoft.com/office/spreadsheetml/2009/9/main" objectType="GBox" noThreeD="1"/>
</file>

<file path=xl/ctrlProps/ctrlProp59.xml><?xml version="1.0" encoding="utf-8"?>
<formControlPr xmlns="http://schemas.microsoft.com/office/spreadsheetml/2009/9/main" objectType="Drop" dropStyle="combo" dx="15" fmlaLink="matrix_data!$B$3" fmlaRange="IR_code!$B$2:$B$82" noThreeD="1" sel="1" val="0"/>
</file>

<file path=xl/ctrlProps/ctrlProp60.xml><?xml version="1.0" encoding="utf-8"?>
<formControlPr xmlns="http://schemas.microsoft.com/office/spreadsheetml/2009/9/main" objectType="Radio" checked="Checked" firstButton="1" fmlaLink="matrix_data!$C$3" lockText="1" noThreeD="1"/>
</file>

<file path=xl/ctrlProps/ctrlProp61.xml><?xml version="1.0" encoding="utf-8"?>
<formControlPr xmlns="http://schemas.microsoft.com/office/spreadsheetml/2009/9/main" objectType="Radio" lockText="1" noThreeD="1"/>
</file>

<file path=xl/ctrlProps/ctrlProp62.xml><?xml version="1.0" encoding="utf-8"?>
<formControlPr xmlns="http://schemas.microsoft.com/office/spreadsheetml/2009/9/main" objectType="Radio" lockText="1" noThreeD="1"/>
</file>

<file path=xl/ctrlProps/ctrlProp63.xml><?xml version="1.0" encoding="utf-8"?>
<formControlPr xmlns="http://schemas.microsoft.com/office/spreadsheetml/2009/9/main" objectType="Radio" lockText="1" noThreeD="1"/>
</file>

<file path=xl/ctrlProps/ctrlProp64.xml><?xml version="1.0" encoding="utf-8"?>
<formControlPr xmlns="http://schemas.microsoft.com/office/spreadsheetml/2009/9/main" objectType="Radio" lockText="1" noThreeD="1"/>
</file>

<file path=xl/ctrlProps/ctrlProp65.xml><?xml version="1.0" encoding="utf-8"?>
<formControlPr xmlns="http://schemas.microsoft.com/office/spreadsheetml/2009/9/main" objectType="Radio" lockText="1" noThreeD="1"/>
</file>

<file path=xl/ctrlProps/ctrlProp66.xml><?xml version="1.0" encoding="utf-8"?>
<formControlPr xmlns="http://schemas.microsoft.com/office/spreadsheetml/2009/9/main" objectType="GBox" noThreeD="1"/>
</file>

<file path=xl/ctrlProps/ctrlProp67.xml><?xml version="1.0" encoding="utf-8"?>
<formControlPr xmlns="http://schemas.microsoft.com/office/spreadsheetml/2009/9/main" objectType="Drop" dropStyle="combo" dx="15" fmlaLink="matrix_data!$S$3" fmlaRange="IR_code!$B$2:$B$82" noThreeD="1" sel="2"/>
</file>

<file path=xl/ctrlProps/ctrlProp68.xml><?xml version="1.0" encoding="utf-8"?>
<formControlPr xmlns="http://schemas.microsoft.com/office/spreadsheetml/2009/9/main" objectType="Radio" checked="Checked" firstButton="1" fmlaLink="matrix_data!$T$3" lockText="1" noThreeD="1"/>
</file>

<file path=xl/ctrlProps/ctrlProp69.xml><?xml version="1.0" encoding="utf-8"?>
<formControlPr xmlns="http://schemas.microsoft.com/office/spreadsheetml/2009/9/main" objectType="Radio" lockText="1" noThreeD="1"/>
</file>

<file path=xl/ctrlProps/ctrlProp70.xml><?xml version="1.0" encoding="utf-8"?>
<formControlPr xmlns="http://schemas.microsoft.com/office/spreadsheetml/2009/9/main" objectType="Radio" lockText="1" noThreeD="1"/>
</file>

<file path=xl/ctrlProps/ctrlProp71.xml><?xml version="1.0" encoding="utf-8"?>
<formControlPr xmlns="http://schemas.microsoft.com/office/spreadsheetml/2009/9/main" objectType="Radio" lockText="1" noThreeD="1"/>
</file>

<file path=xl/ctrlProps/ctrlProp72.xml><?xml version="1.0" encoding="utf-8"?>
<formControlPr xmlns="http://schemas.microsoft.com/office/spreadsheetml/2009/9/main" objectType="Radio" lockText="1" noThreeD="1"/>
</file>

<file path=xl/ctrlProps/ctrlProp73.xml><?xml version="1.0" encoding="utf-8"?>
<formControlPr xmlns="http://schemas.microsoft.com/office/spreadsheetml/2009/9/main" objectType="Radio" lockText="1" noThreeD="1"/>
</file>

<file path=xl/ctrlProps/ctrlProp74.xml><?xml version="1.0" encoding="utf-8"?>
<formControlPr xmlns="http://schemas.microsoft.com/office/spreadsheetml/2009/9/main" objectType="GBox" noThreeD="1"/>
</file>

<file path=xl/ctrlProps/ctrlProp75.xml><?xml version="1.0" encoding="utf-8"?>
<formControlPr xmlns="http://schemas.microsoft.com/office/spreadsheetml/2009/9/main" objectType="Drop" dropStyle="combo" dx="15" fmlaLink="matrix_data!$AJ$3" fmlaRange="IR_code!$B$2:$B$82" noThreeD="1" sel="12" val="4"/>
</file>

<file path=xl/ctrlProps/ctrlProp76.xml><?xml version="1.0" encoding="utf-8"?>
<formControlPr xmlns="http://schemas.microsoft.com/office/spreadsheetml/2009/9/main" objectType="Radio" checked="Checked" firstButton="1" fmlaLink="matrix_data!$AK$3" lockText="1" noThreeD="1"/>
</file>

<file path=xl/ctrlProps/ctrlProp77.xml><?xml version="1.0" encoding="utf-8"?>
<formControlPr xmlns="http://schemas.microsoft.com/office/spreadsheetml/2009/9/main" objectType="Radio" lockText="1" noThreeD="1"/>
</file>

<file path=xl/ctrlProps/ctrlProp78.xml><?xml version="1.0" encoding="utf-8"?>
<formControlPr xmlns="http://schemas.microsoft.com/office/spreadsheetml/2009/9/main" objectType="Radio" lockText="1" noThreeD="1"/>
</file>

<file path=xl/ctrlProps/ctrlProp79.xml><?xml version="1.0" encoding="utf-8"?>
<formControlPr xmlns="http://schemas.microsoft.com/office/spreadsheetml/2009/9/main" objectType="Radio" lockText="1" noThreeD="1"/>
</file>

<file path=xl/ctrlProps/ctrlProp80.xml><?xml version="1.0" encoding="utf-8"?>
<formControlPr xmlns="http://schemas.microsoft.com/office/spreadsheetml/2009/9/main" objectType="Radio" lockText="1" noThreeD="1"/>
</file>

<file path=xl/ctrlProps/ctrlProp81.xml><?xml version="1.0" encoding="utf-8"?>
<formControlPr xmlns="http://schemas.microsoft.com/office/spreadsheetml/2009/9/main" objectType="Radio" lockText="1" noThreeD="1"/>
</file>

<file path=xl/ctrlProps/ctrlProp82.xml><?xml version="1.0" encoding="utf-8"?>
<formControlPr xmlns="http://schemas.microsoft.com/office/spreadsheetml/2009/9/main" objectType="GBox" noThreeD="1"/>
</file>

<file path=xl/ctrlProps/ctrlProp83.xml><?xml version="1.0" encoding="utf-8"?>
<formControlPr xmlns="http://schemas.microsoft.com/office/spreadsheetml/2009/9/main" objectType="Drop" dropStyle="combo" dx="15" fmlaLink="지표물_data!$B$3" fmlaRange="지표물_data!$A$6:$A$14" noThreeD="1" sel="1" val="0"/>
</file>

<file path=xl/ctrlProps/ctrlProp84.xml><?xml version="1.0" encoding="utf-8"?>
<formControlPr xmlns="http://schemas.microsoft.com/office/spreadsheetml/2009/9/main" objectType="Radio" firstButton="1" fmlaLink="지표물_data!$C$3" lockText="1" noThreeD="1"/>
</file>

<file path=xl/ctrlProps/ctrlProp85.xml><?xml version="1.0" encoding="utf-8"?>
<formControlPr xmlns="http://schemas.microsoft.com/office/spreadsheetml/2009/9/main" objectType="Radio" lockText="1" noThreeD="1"/>
</file>

<file path=xl/ctrlProps/ctrlProp86.xml><?xml version="1.0" encoding="utf-8"?>
<formControlPr xmlns="http://schemas.microsoft.com/office/spreadsheetml/2009/9/main" objectType="Drop" dropStyle="combo" dx="22" fmlaLink="$A$16" fmlaRange="지표물_data!$A$6:$A$21" noThreeD="1" sel="2" val="0"/>
</file>

<file path=xl/ctrlProps/ctrlProp87.xml><?xml version="1.0" encoding="utf-8"?>
<formControlPr xmlns="http://schemas.microsoft.com/office/spreadsheetml/2009/9/main" objectType="Drop" dropStyle="combo" dx="22" fmlaLink="$A$30" fmlaRange="지표물_data!$A$6:$A$21" noThreeD="1" sel="9" val="0"/>
</file>

<file path=xl/ctrlProps/ctrlProp88.xml><?xml version="1.0" encoding="utf-8"?>
<formControlPr xmlns="http://schemas.microsoft.com/office/spreadsheetml/2009/9/main" objectType="Drop" dropStyle="combo" dx="22" fmlaLink="$A$26" fmlaRange="지표물_data!$A$6:$A$21" noThreeD="1" sel="7" val="0"/>
</file>

<file path=xl/ctrlProps/ctrlProp89.xml><?xml version="1.0" encoding="utf-8"?>
<formControlPr xmlns="http://schemas.microsoft.com/office/spreadsheetml/2009/9/main" objectType="Drop" dropStyle="combo" dx="22" fmlaLink="$A$24" fmlaRange="지표물_data!$A$6:$A$21" noThreeD="1" sel="6" val="0"/>
</file>

<file path=xl/ctrlProps/ctrlProp90.xml><?xml version="1.0" encoding="utf-8"?>
<formControlPr xmlns="http://schemas.microsoft.com/office/spreadsheetml/2009/9/main" objectType="Drop" dropStyle="combo" dx="22" fmlaLink="$A$20" fmlaRange="지표물_data!$A$6:$A$21" noThreeD="1" sel="4" val="0"/>
</file>

<file path=xl/ctrlProps/ctrlProp91.xml><?xml version="1.0" encoding="utf-8"?>
<formControlPr xmlns="http://schemas.microsoft.com/office/spreadsheetml/2009/9/main" objectType="Drop" dropStyle="combo" dx="22" fmlaLink="$A$18" fmlaRange="지표물_data!$A$6:$A$21" noThreeD="1" sel="3" val="0"/>
</file>

<file path=xl/ctrlProps/ctrlProp92.xml><?xml version="1.0" encoding="utf-8"?>
<formControlPr xmlns="http://schemas.microsoft.com/office/spreadsheetml/2009/9/main" objectType="Drop" dropStyle="combo" dx="22" fmlaLink="$A$22" fmlaRange="지표물_data!$A$6:$A$21" noThreeD="1" sel="5" val="0"/>
</file>

<file path=xl/ctrlProps/ctrlProp93.xml><?xml version="1.0" encoding="utf-8"?>
<formControlPr xmlns="http://schemas.microsoft.com/office/spreadsheetml/2009/9/main" objectType="Drop" dropStyle="combo" dx="22" fmlaLink="$A$28" fmlaRange="지표물_data!$A$6:$A$21" noThreeD="1" sel="8" val="0"/>
</file>

<file path=xl/ctrlProps/ctrlProp94.xml><?xml version="1.0" encoding="utf-8"?>
<formControlPr xmlns="http://schemas.microsoft.com/office/spreadsheetml/2009/9/main" objectType="Radio" lockText="1" noThreeD="1"/>
</file>

<file path=xl/ctrlProps/ctrlProp95.xml><?xml version="1.0" encoding="utf-8"?>
<formControlPr xmlns="http://schemas.microsoft.com/office/spreadsheetml/2009/9/main" objectType="Radio" checked="Checked" lockText="1" noThreeD="1"/>
</file>

<file path=xl/ctrlProps/ctrlProp96.xml><?xml version="1.0" encoding="utf-8"?>
<formControlPr xmlns="http://schemas.microsoft.com/office/spreadsheetml/2009/9/main" objectType="GBox" noThreeD="1"/>
</file>

<file path=xl/ctrlProps/ctrlProp97.xml><?xml version="1.0" encoding="utf-8"?>
<formControlPr xmlns="http://schemas.microsoft.com/office/spreadsheetml/2009/9/main" objectType="Radio" checked="Checked" firstButton="1" fmlaLink="지표물_data!$D$3" lockText="1" noThreeD="1"/>
</file>

<file path=xl/ctrlProps/ctrlProp98.xml><?xml version="1.0" encoding="utf-8"?>
<formControlPr xmlns="http://schemas.microsoft.com/office/spreadsheetml/2009/9/main" objectType="Radio" lockText="1" noThreeD="1"/>
</file>

<file path=xl/ctrlProps/ctrlProp99.xml><?xml version="1.0" encoding="utf-8"?>
<formControlPr xmlns="http://schemas.microsoft.com/office/spreadsheetml/2009/9/main" objectType="Drop" dropStyle="combo" dx="22" fmlaLink="$A$14" fmlaRange="지표물_data!$A$6:$A$21" noThreeD="1" sel="1" val="0"/>
</file>

<file path=xl/ctrlProps/ctrlProp100.xml><?xml version="1.0" encoding="utf-8"?>
<formControlPr xmlns="http://schemas.microsoft.com/office/spreadsheetml/2009/9/main" objectType="Drop" dropStyle="combo" dx="22" fmlaLink="$A$16" fmlaRange="지표물_data!$A$6:$A$21" noThreeD="1" sel="2" val="0"/>
</file>

<file path=xl/ctrlProps/ctrlProp101.xml><?xml version="1.0" encoding="utf-8"?>
<formControlPr xmlns="http://schemas.microsoft.com/office/spreadsheetml/2009/9/main" objectType="Drop" dropStyle="combo" dx="22" fmlaLink="$A$18" fmlaRange="지표물_data!$A$6:$A$21" noThreeD="1" sel="3" val="0"/>
</file>

<file path=xl/ctrlProps/ctrlProp102.xml><?xml version="1.0" encoding="utf-8"?>
<formControlPr xmlns="http://schemas.microsoft.com/office/spreadsheetml/2009/9/main" objectType="Drop" dropStyle="combo" dx="22" fmlaLink="$A$20" fmlaRange="지표물_data!$A$6:$A$21" noThreeD="1" sel="4" val="0"/>
</file>

<file path=xl/ctrlProps/ctrlProp103.xml><?xml version="1.0" encoding="utf-8"?>
<formControlPr xmlns="http://schemas.microsoft.com/office/spreadsheetml/2009/9/main" objectType="Drop" dropStyle="combo" dx="22" fmlaLink="$A$22" fmlaRange="지표물_data!$A$6:$A$21" noThreeD="1" sel="5" val="0"/>
</file>

<file path=xl/ctrlProps/ctrlProp104.xml><?xml version="1.0" encoding="utf-8"?>
<formControlPr xmlns="http://schemas.microsoft.com/office/spreadsheetml/2009/9/main" objectType="Drop" dropStyle="combo" dx="22" fmlaLink="$A$24" fmlaRange="지표물_data!$A$6:$A$21" noThreeD="1" sel="6" val="0"/>
</file>

<file path=xl/ctrlProps/ctrlProp105.xml><?xml version="1.0" encoding="utf-8"?>
<formControlPr xmlns="http://schemas.microsoft.com/office/spreadsheetml/2009/9/main" objectType="Drop" dropStyle="combo" dx="22" fmlaLink="$A$26" fmlaRange="지표물_data!$A$6:$A$21" noThreeD="1" sel="7" val="0"/>
</file>

<file path=xl/ctrlProps/ctrlProp106.xml><?xml version="1.0" encoding="utf-8"?>
<formControlPr xmlns="http://schemas.microsoft.com/office/spreadsheetml/2009/9/main" objectType="Drop" dropStyle="combo" dx="22" fmlaLink="$A$28" fmlaRange="지표물_data!$A$6:$A$21" noThreeD="1" sel="8" val="0"/>
</file>

<file path=xl/ctrlProps/ctrlProp107.xml><?xml version="1.0" encoding="utf-8"?>
<formControlPr xmlns="http://schemas.microsoft.com/office/spreadsheetml/2009/9/main" objectType="Drop" dropStyle="combo" dx="22" fmlaLink="$A$30" fmlaRange="지표물_data!$A$6:$A$21" noThreeD="1" sel="9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9525</xdr:colOff>
          <xdr:row>2</xdr:row>
          <xdr:rowOff>112059</xdr:rowOff>
        </xdr:from>
        <xdr:to>
          <xdr:col>8</xdr:col>
          <xdr:colOff>735525</xdr:colOff>
          <xdr:row>6</xdr:row>
          <xdr:rowOff>7844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pSpPr/>
          </xdr:nvGrpSpPr>
          <xdr:grpSpPr>
            <a:xfrm>
              <a:off x="110378" y="616324"/>
              <a:ext cx="3979628" cy="590549"/>
              <a:chOff x="771525" y="1504955"/>
              <a:chExt cx="4198134" cy="647700"/>
            </a:xfrm>
          </xdr:grpSpPr>
          <xdr:sp macro="" textlink="">
            <xdr:nvSpPr>
              <xdr:cNvPr id="2110" name="Group Box 62" hidden="1">
                <a:extLst>
                  <a:ext uri="{63B3BB69-23CF-44E3-9099-C40C66FF867C}">
                    <a14:compatExt spid="_x0000_s2110"/>
                  </a:ext>
                  <a:ext uri="{FF2B5EF4-FFF2-40B4-BE49-F238E27FC236}">
                    <a16:creationId xmlns:a16="http://schemas.microsoft.com/office/drawing/2014/main" id="{00000000-0008-0000-0000-00003E080000}"/>
                  </a:ext>
                </a:extLst>
              </xdr:cNvPr>
              <xdr:cNvSpPr/>
            </xdr:nvSpPr>
            <xdr:spPr bwMode="auto">
              <a:xfrm>
                <a:off x="771525" y="1504955"/>
                <a:ext cx="4198134" cy="647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기준채권 그룹</a:t>
                </a:r>
              </a:p>
            </xdr:txBody>
          </xdr:sp>
          <xdr:sp macro="" textlink="">
            <xdr:nvSpPr>
              <xdr:cNvPr id="2111" name="Drop Down 63" hidden="1">
                <a:extLst>
                  <a:ext uri="{63B3BB69-23CF-44E3-9099-C40C66FF867C}">
                    <a14:compatExt spid="_x0000_s2111"/>
                  </a:ext>
                  <a:ext uri="{FF2B5EF4-FFF2-40B4-BE49-F238E27FC236}">
                    <a16:creationId xmlns:a16="http://schemas.microsoft.com/office/drawing/2014/main" id="{00000000-0008-0000-0000-00003F080000}"/>
                  </a:ext>
                </a:extLst>
              </xdr:cNvPr>
              <xdr:cNvSpPr/>
            </xdr:nvSpPr>
            <xdr:spPr bwMode="auto">
              <a:xfrm>
                <a:off x="895350" y="1685925"/>
                <a:ext cx="144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12" name="Option Button 64" hidden="1">
                <a:extLst>
                  <a:ext uri="{63B3BB69-23CF-44E3-9099-C40C66FF867C}">
                    <a14:compatExt spid="_x0000_s2112"/>
                  </a:ext>
                  <a:ext uri="{FF2B5EF4-FFF2-40B4-BE49-F238E27FC236}">
                    <a16:creationId xmlns:a16="http://schemas.microsoft.com/office/drawing/2014/main" id="{00000000-0008-0000-0000-000040080000}"/>
                  </a:ext>
                </a:extLst>
              </xdr:cNvPr>
              <xdr:cNvSpPr/>
            </xdr:nvSpPr>
            <xdr:spPr bwMode="auto">
              <a:xfrm>
                <a:off x="2476500" y="1695450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민평3사</a:t>
                </a:r>
              </a:p>
            </xdr:txBody>
          </xdr:sp>
          <xdr:sp macro="" textlink="">
            <xdr:nvSpPr>
              <xdr:cNvPr id="2113" name="Option Button 65" hidden="1">
                <a:extLst>
                  <a:ext uri="{63B3BB69-23CF-44E3-9099-C40C66FF867C}">
                    <a14:compatExt spid="_x0000_s2113"/>
                  </a:ext>
                  <a:ext uri="{FF2B5EF4-FFF2-40B4-BE49-F238E27FC236}">
                    <a16:creationId xmlns:a16="http://schemas.microsoft.com/office/drawing/2014/main" id="{00000000-0008-0000-0000-000041080000}"/>
                  </a:ext>
                </a:extLst>
              </xdr:cNvPr>
              <xdr:cNvSpPr/>
            </xdr:nvSpPr>
            <xdr:spPr bwMode="auto">
              <a:xfrm>
                <a:off x="3133725" y="1695450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민평4사</a:t>
                </a:r>
              </a:p>
            </xdr:txBody>
          </xdr:sp>
          <xdr:sp macro="" textlink="">
            <xdr:nvSpPr>
              <xdr:cNvPr id="2114" name="Option Button 66" hidden="1">
                <a:extLst>
                  <a:ext uri="{63B3BB69-23CF-44E3-9099-C40C66FF867C}">
                    <a14:compatExt spid="_x0000_s2114"/>
                  </a:ext>
                  <a:ext uri="{FF2B5EF4-FFF2-40B4-BE49-F238E27FC236}">
                    <a16:creationId xmlns:a16="http://schemas.microsoft.com/office/drawing/2014/main" id="{00000000-0008-0000-0000-000042080000}"/>
                  </a:ext>
                </a:extLst>
              </xdr:cNvPr>
              <xdr:cNvSpPr/>
            </xdr:nvSpPr>
            <xdr:spPr bwMode="auto">
              <a:xfrm>
                <a:off x="2476500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KAP</a:t>
                </a:r>
              </a:p>
            </xdr:txBody>
          </xdr:sp>
          <xdr:sp macro="" textlink="">
            <xdr:nvSpPr>
              <xdr:cNvPr id="2115" name="Option Button 67" hidden="1">
                <a:extLst>
                  <a:ext uri="{63B3BB69-23CF-44E3-9099-C40C66FF867C}">
                    <a14:compatExt spid="_x0000_s2115"/>
                  </a:ext>
                  <a:ext uri="{FF2B5EF4-FFF2-40B4-BE49-F238E27FC236}">
                    <a16:creationId xmlns:a16="http://schemas.microsoft.com/office/drawing/2014/main" id="{00000000-0008-0000-0000-000043080000}"/>
                  </a:ext>
                </a:extLst>
              </xdr:cNvPr>
              <xdr:cNvSpPr/>
            </xdr:nvSpPr>
            <xdr:spPr bwMode="auto">
              <a:xfrm>
                <a:off x="3133725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KIS</a:t>
                </a:r>
              </a:p>
            </xdr:txBody>
          </xdr:sp>
          <xdr:sp macro="" textlink="">
            <xdr:nvSpPr>
              <xdr:cNvPr id="2116" name="Option Button 68" hidden="1">
                <a:extLst>
                  <a:ext uri="{63B3BB69-23CF-44E3-9099-C40C66FF867C}">
                    <a14:compatExt spid="_x0000_s2116"/>
                  </a:ext>
                  <a:ext uri="{FF2B5EF4-FFF2-40B4-BE49-F238E27FC236}">
                    <a16:creationId xmlns:a16="http://schemas.microsoft.com/office/drawing/2014/main" id="{00000000-0008-0000-0000-000044080000}"/>
                  </a:ext>
                </a:extLst>
              </xdr:cNvPr>
              <xdr:cNvSpPr/>
            </xdr:nvSpPr>
            <xdr:spPr bwMode="auto">
              <a:xfrm>
                <a:off x="3771900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NICE</a:t>
                </a:r>
              </a:p>
            </xdr:txBody>
          </xdr:sp>
          <xdr:sp macro="" textlink="">
            <xdr:nvSpPr>
              <xdr:cNvPr id="2117" name="Option Button 69" hidden="1">
                <a:extLst>
                  <a:ext uri="{63B3BB69-23CF-44E3-9099-C40C66FF867C}">
                    <a14:compatExt spid="_x0000_s2117"/>
                  </a:ext>
                  <a:ext uri="{FF2B5EF4-FFF2-40B4-BE49-F238E27FC236}">
                    <a16:creationId xmlns:a16="http://schemas.microsoft.com/office/drawing/2014/main" id="{00000000-0008-0000-0000-000045080000}"/>
                  </a:ext>
                </a:extLst>
              </xdr:cNvPr>
              <xdr:cNvSpPr/>
            </xdr:nvSpPr>
            <xdr:spPr bwMode="auto">
              <a:xfrm>
                <a:off x="4438650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FN</a:t>
                </a:r>
              </a:p>
            </xdr:txBody>
          </xdr:sp>
          <xdr:sp macro="" textlink="">
            <xdr:nvSpPr>
              <xdr:cNvPr id="2118" name="Drop Down 70" hidden="1">
                <a:extLst>
                  <a:ext uri="{63B3BB69-23CF-44E3-9099-C40C66FF867C}">
                    <a14:compatExt spid="_x0000_s2118"/>
                  </a:ext>
                  <a:ext uri="{FF2B5EF4-FFF2-40B4-BE49-F238E27FC236}">
                    <a16:creationId xmlns:a16="http://schemas.microsoft.com/office/drawing/2014/main" id="{00000000-0008-0000-0000-000046080000}"/>
                  </a:ext>
                </a:extLst>
              </xdr:cNvPr>
              <xdr:cNvSpPr/>
            </xdr:nvSpPr>
            <xdr:spPr bwMode="auto">
              <a:xfrm>
                <a:off x="895350" y="1914525"/>
                <a:ext cx="571500" cy="180975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16</xdr:row>
          <xdr:rowOff>9525</xdr:rowOff>
        </xdr:from>
        <xdr:to>
          <xdr:col>3</xdr:col>
          <xdr:colOff>409575</xdr:colOff>
          <xdr:row>17</xdr:row>
          <xdr:rowOff>19050</xdr:rowOff>
        </xdr:to>
        <xdr:sp macro="" textlink="">
          <xdr:nvSpPr>
            <xdr:cNvPr id="2119" name="Drop Down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0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18</xdr:row>
          <xdr:rowOff>9525</xdr:rowOff>
        </xdr:from>
        <xdr:to>
          <xdr:col>3</xdr:col>
          <xdr:colOff>409575</xdr:colOff>
          <xdr:row>19</xdr:row>
          <xdr:rowOff>19050</xdr:rowOff>
        </xdr:to>
        <xdr:sp macro="" textlink="">
          <xdr:nvSpPr>
            <xdr:cNvPr id="2120" name="Drop Down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0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32</xdr:row>
          <xdr:rowOff>9525</xdr:rowOff>
        </xdr:from>
        <xdr:to>
          <xdr:col>3</xdr:col>
          <xdr:colOff>409575</xdr:colOff>
          <xdr:row>33</xdr:row>
          <xdr:rowOff>19050</xdr:rowOff>
        </xdr:to>
        <xdr:sp macro="" textlink="">
          <xdr:nvSpPr>
            <xdr:cNvPr id="2121" name="Drop Down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0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46</xdr:row>
          <xdr:rowOff>9525</xdr:rowOff>
        </xdr:from>
        <xdr:to>
          <xdr:col>3</xdr:col>
          <xdr:colOff>409575</xdr:colOff>
          <xdr:row>47</xdr:row>
          <xdr:rowOff>19050</xdr:rowOff>
        </xdr:to>
        <xdr:sp macro="" textlink="">
          <xdr:nvSpPr>
            <xdr:cNvPr id="2122" name="Drop Down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0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44</xdr:row>
          <xdr:rowOff>9525</xdr:rowOff>
        </xdr:from>
        <xdr:to>
          <xdr:col>3</xdr:col>
          <xdr:colOff>409575</xdr:colOff>
          <xdr:row>45</xdr:row>
          <xdr:rowOff>19050</xdr:rowOff>
        </xdr:to>
        <xdr:sp macro="" textlink="">
          <xdr:nvSpPr>
            <xdr:cNvPr id="2123" name="Drop Down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0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40</xdr:row>
          <xdr:rowOff>9525</xdr:rowOff>
        </xdr:from>
        <xdr:to>
          <xdr:col>3</xdr:col>
          <xdr:colOff>409575</xdr:colOff>
          <xdr:row>41</xdr:row>
          <xdr:rowOff>19050</xdr:rowOff>
        </xdr:to>
        <xdr:sp macro="" textlink="">
          <xdr:nvSpPr>
            <xdr:cNvPr id="2124" name="Drop Down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0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36</xdr:row>
          <xdr:rowOff>9525</xdr:rowOff>
        </xdr:from>
        <xdr:to>
          <xdr:col>3</xdr:col>
          <xdr:colOff>409575</xdr:colOff>
          <xdr:row>37</xdr:row>
          <xdr:rowOff>19050</xdr:rowOff>
        </xdr:to>
        <xdr:sp macro="" textlink="">
          <xdr:nvSpPr>
            <xdr:cNvPr id="2125" name="Drop Down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0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28</xdr:row>
          <xdr:rowOff>9525</xdr:rowOff>
        </xdr:from>
        <xdr:to>
          <xdr:col>3</xdr:col>
          <xdr:colOff>409575</xdr:colOff>
          <xdr:row>29</xdr:row>
          <xdr:rowOff>19050</xdr:rowOff>
        </xdr:to>
        <xdr:sp macro="" textlink="">
          <xdr:nvSpPr>
            <xdr:cNvPr id="2126" name="Drop Down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0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26</xdr:row>
          <xdr:rowOff>9525</xdr:rowOff>
        </xdr:from>
        <xdr:to>
          <xdr:col>3</xdr:col>
          <xdr:colOff>409575</xdr:colOff>
          <xdr:row>27</xdr:row>
          <xdr:rowOff>19050</xdr:rowOff>
        </xdr:to>
        <xdr:sp macro="" textlink="">
          <xdr:nvSpPr>
            <xdr:cNvPr id="2127" name="Drop Down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0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22</xdr:row>
          <xdr:rowOff>9525</xdr:rowOff>
        </xdr:from>
        <xdr:to>
          <xdr:col>3</xdr:col>
          <xdr:colOff>409575</xdr:colOff>
          <xdr:row>23</xdr:row>
          <xdr:rowOff>19050</xdr:rowOff>
        </xdr:to>
        <xdr:sp macro="" textlink="">
          <xdr:nvSpPr>
            <xdr:cNvPr id="2128" name="Drop Down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0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20</xdr:row>
          <xdr:rowOff>9525</xdr:rowOff>
        </xdr:from>
        <xdr:to>
          <xdr:col>3</xdr:col>
          <xdr:colOff>409575</xdr:colOff>
          <xdr:row>21</xdr:row>
          <xdr:rowOff>19050</xdr:rowOff>
        </xdr:to>
        <xdr:sp macro="" textlink="">
          <xdr:nvSpPr>
            <xdr:cNvPr id="2129" name="Drop Down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0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24</xdr:row>
          <xdr:rowOff>9525</xdr:rowOff>
        </xdr:from>
        <xdr:to>
          <xdr:col>3</xdr:col>
          <xdr:colOff>409575</xdr:colOff>
          <xdr:row>25</xdr:row>
          <xdr:rowOff>19050</xdr:rowOff>
        </xdr:to>
        <xdr:sp macro="" textlink="">
          <xdr:nvSpPr>
            <xdr:cNvPr id="2130" name="Drop Down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0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30</xdr:row>
          <xdr:rowOff>9525</xdr:rowOff>
        </xdr:from>
        <xdr:to>
          <xdr:col>3</xdr:col>
          <xdr:colOff>409575</xdr:colOff>
          <xdr:row>31</xdr:row>
          <xdr:rowOff>19050</xdr:rowOff>
        </xdr:to>
        <xdr:sp macro="" textlink="">
          <xdr:nvSpPr>
            <xdr:cNvPr id="2131" name="Drop Down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0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34</xdr:row>
          <xdr:rowOff>9525</xdr:rowOff>
        </xdr:from>
        <xdr:to>
          <xdr:col>3</xdr:col>
          <xdr:colOff>409575</xdr:colOff>
          <xdr:row>35</xdr:row>
          <xdr:rowOff>19050</xdr:rowOff>
        </xdr:to>
        <xdr:sp macro="" textlink="">
          <xdr:nvSpPr>
            <xdr:cNvPr id="2132" name="Drop Down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0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38</xdr:row>
          <xdr:rowOff>9525</xdr:rowOff>
        </xdr:from>
        <xdr:to>
          <xdr:col>3</xdr:col>
          <xdr:colOff>409575</xdr:colOff>
          <xdr:row>39</xdr:row>
          <xdr:rowOff>19050</xdr:rowOff>
        </xdr:to>
        <xdr:sp macro="" textlink="">
          <xdr:nvSpPr>
            <xdr:cNvPr id="2133" name="Drop Down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0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42</xdr:row>
          <xdr:rowOff>9525</xdr:rowOff>
        </xdr:from>
        <xdr:to>
          <xdr:col>3</xdr:col>
          <xdr:colOff>409575</xdr:colOff>
          <xdr:row>43</xdr:row>
          <xdr:rowOff>19050</xdr:rowOff>
        </xdr:to>
        <xdr:sp macro="" textlink="">
          <xdr:nvSpPr>
            <xdr:cNvPr id="2134" name="Drop Down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0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57</xdr:row>
          <xdr:rowOff>9525</xdr:rowOff>
        </xdr:from>
        <xdr:to>
          <xdr:col>3</xdr:col>
          <xdr:colOff>409575</xdr:colOff>
          <xdr:row>58</xdr:row>
          <xdr:rowOff>19050</xdr:rowOff>
        </xdr:to>
        <xdr:sp macro="" textlink="">
          <xdr:nvSpPr>
            <xdr:cNvPr id="2151" name="Drop Down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0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59</xdr:row>
          <xdr:rowOff>9525</xdr:rowOff>
        </xdr:from>
        <xdr:to>
          <xdr:col>3</xdr:col>
          <xdr:colOff>409575</xdr:colOff>
          <xdr:row>60</xdr:row>
          <xdr:rowOff>19050</xdr:rowOff>
        </xdr:to>
        <xdr:sp macro="" textlink="">
          <xdr:nvSpPr>
            <xdr:cNvPr id="2152" name="Drop Down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0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73</xdr:row>
          <xdr:rowOff>9525</xdr:rowOff>
        </xdr:from>
        <xdr:to>
          <xdr:col>3</xdr:col>
          <xdr:colOff>409575</xdr:colOff>
          <xdr:row>74</xdr:row>
          <xdr:rowOff>19050</xdr:rowOff>
        </xdr:to>
        <xdr:sp macro="" textlink="">
          <xdr:nvSpPr>
            <xdr:cNvPr id="2153" name="Drop Down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0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87</xdr:row>
          <xdr:rowOff>9525</xdr:rowOff>
        </xdr:from>
        <xdr:to>
          <xdr:col>3</xdr:col>
          <xdr:colOff>409575</xdr:colOff>
          <xdr:row>88</xdr:row>
          <xdr:rowOff>19050</xdr:rowOff>
        </xdr:to>
        <xdr:sp macro="" textlink="">
          <xdr:nvSpPr>
            <xdr:cNvPr id="2154" name="Drop Down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0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85</xdr:row>
          <xdr:rowOff>9525</xdr:rowOff>
        </xdr:from>
        <xdr:to>
          <xdr:col>3</xdr:col>
          <xdr:colOff>409575</xdr:colOff>
          <xdr:row>86</xdr:row>
          <xdr:rowOff>19050</xdr:rowOff>
        </xdr:to>
        <xdr:sp macro="" textlink="">
          <xdr:nvSpPr>
            <xdr:cNvPr id="2155" name="Drop Down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0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81</xdr:row>
          <xdr:rowOff>9525</xdr:rowOff>
        </xdr:from>
        <xdr:to>
          <xdr:col>3</xdr:col>
          <xdr:colOff>409575</xdr:colOff>
          <xdr:row>82</xdr:row>
          <xdr:rowOff>19050</xdr:rowOff>
        </xdr:to>
        <xdr:sp macro="" textlink="">
          <xdr:nvSpPr>
            <xdr:cNvPr id="2156" name="Drop Down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0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77</xdr:row>
          <xdr:rowOff>9525</xdr:rowOff>
        </xdr:from>
        <xdr:to>
          <xdr:col>3</xdr:col>
          <xdr:colOff>409575</xdr:colOff>
          <xdr:row>78</xdr:row>
          <xdr:rowOff>19050</xdr:rowOff>
        </xdr:to>
        <xdr:sp macro="" textlink="">
          <xdr:nvSpPr>
            <xdr:cNvPr id="2157" name="Drop Down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0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69</xdr:row>
          <xdr:rowOff>9525</xdr:rowOff>
        </xdr:from>
        <xdr:to>
          <xdr:col>3</xdr:col>
          <xdr:colOff>409575</xdr:colOff>
          <xdr:row>70</xdr:row>
          <xdr:rowOff>19050</xdr:rowOff>
        </xdr:to>
        <xdr:sp macro="" textlink="">
          <xdr:nvSpPr>
            <xdr:cNvPr id="2158" name="Drop Down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0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67</xdr:row>
          <xdr:rowOff>9525</xdr:rowOff>
        </xdr:from>
        <xdr:to>
          <xdr:col>3</xdr:col>
          <xdr:colOff>409575</xdr:colOff>
          <xdr:row>68</xdr:row>
          <xdr:rowOff>19050</xdr:rowOff>
        </xdr:to>
        <xdr:sp macro="" textlink="">
          <xdr:nvSpPr>
            <xdr:cNvPr id="2159" name="Drop Down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0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63</xdr:row>
          <xdr:rowOff>9525</xdr:rowOff>
        </xdr:from>
        <xdr:to>
          <xdr:col>3</xdr:col>
          <xdr:colOff>409575</xdr:colOff>
          <xdr:row>64</xdr:row>
          <xdr:rowOff>19050</xdr:rowOff>
        </xdr:to>
        <xdr:sp macro="" textlink="">
          <xdr:nvSpPr>
            <xdr:cNvPr id="2160" name="Drop Down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0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61</xdr:row>
          <xdr:rowOff>9525</xdr:rowOff>
        </xdr:from>
        <xdr:to>
          <xdr:col>3</xdr:col>
          <xdr:colOff>409575</xdr:colOff>
          <xdr:row>62</xdr:row>
          <xdr:rowOff>19050</xdr:rowOff>
        </xdr:to>
        <xdr:sp macro="" textlink="">
          <xdr:nvSpPr>
            <xdr:cNvPr id="2161" name="Drop Down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0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65</xdr:row>
          <xdr:rowOff>9525</xdr:rowOff>
        </xdr:from>
        <xdr:to>
          <xdr:col>3</xdr:col>
          <xdr:colOff>409575</xdr:colOff>
          <xdr:row>66</xdr:row>
          <xdr:rowOff>19050</xdr:rowOff>
        </xdr:to>
        <xdr:sp macro="" textlink="">
          <xdr:nvSpPr>
            <xdr:cNvPr id="2162" name="Drop Down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0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71</xdr:row>
          <xdr:rowOff>9525</xdr:rowOff>
        </xdr:from>
        <xdr:to>
          <xdr:col>3</xdr:col>
          <xdr:colOff>409575</xdr:colOff>
          <xdr:row>72</xdr:row>
          <xdr:rowOff>19050</xdr:rowOff>
        </xdr:to>
        <xdr:sp macro="" textlink="">
          <xdr:nvSpPr>
            <xdr:cNvPr id="2163" name="Drop Down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0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75</xdr:row>
          <xdr:rowOff>9525</xdr:rowOff>
        </xdr:from>
        <xdr:to>
          <xdr:col>3</xdr:col>
          <xdr:colOff>409575</xdr:colOff>
          <xdr:row>76</xdr:row>
          <xdr:rowOff>19050</xdr:rowOff>
        </xdr:to>
        <xdr:sp macro="" textlink="">
          <xdr:nvSpPr>
            <xdr:cNvPr id="2164" name="Drop Down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0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79</xdr:row>
          <xdr:rowOff>9525</xdr:rowOff>
        </xdr:from>
        <xdr:to>
          <xdr:col>3</xdr:col>
          <xdr:colOff>409575</xdr:colOff>
          <xdr:row>80</xdr:row>
          <xdr:rowOff>19050</xdr:rowOff>
        </xdr:to>
        <xdr:sp macro="" textlink="">
          <xdr:nvSpPr>
            <xdr:cNvPr id="2165" name="Drop Down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0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83</xdr:row>
          <xdr:rowOff>9525</xdr:rowOff>
        </xdr:from>
        <xdr:to>
          <xdr:col>3</xdr:col>
          <xdr:colOff>409575</xdr:colOff>
          <xdr:row>84</xdr:row>
          <xdr:rowOff>19050</xdr:rowOff>
        </xdr:to>
        <xdr:sp macro="" textlink="">
          <xdr:nvSpPr>
            <xdr:cNvPr id="2166" name="Drop Down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0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8</xdr:row>
          <xdr:rowOff>114299</xdr:rowOff>
        </xdr:from>
        <xdr:to>
          <xdr:col>8</xdr:col>
          <xdr:colOff>514350</xdr:colOff>
          <xdr:row>11</xdr:row>
          <xdr:rowOff>133349</xdr:rowOff>
        </xdr:to>
        <xdr:grpSp>
          <xdr:nvGrpSpPr>
            <xdr:cNvPr id="62" name="그룹 61">
              <a:extLst>
                <a:ext uri="{FF2B5EF4-FFF2-40B4-BE49-F238E27FC236}">
                  <a16:creationId xmlns:a16="http://schemas.microsoft.com/office/drawing/2014/main" id="{00000000-0008-0000-0000-00003E000000}"/>
                </a:ext>
              </a:extLst>
            </xdr:cNvPr>
            <xdr:cNvGrpSpPr/>
          </xdr:nvGrpSpPr>
          <xdr:grpSpPr>
            <a:xfrm>
              <a:off x="100853" y="1515034"/>
              <a:ext cx="3853703" cy="590550"/>
              <a:chOff x="771524" y="352425"/>
              <a:chExt cx="4181476" cy="647700"/>
            </a:xfrm>
          </xdr:grpSpPr>
          <xdr:sp macro="" textlink="">
            <xdr:nvSpPr>
              <xdr:cNvPr id="2167" name="Group Box 119" hidden="1">
                <a:extLst>
                  <a:ext uri="{63B3BB69-23CF-44E3-9099-C40C66FF867C}">
                    <a14:compatExt spid="_x0000_s2167"/>
                  </a:ext>
                  <a:ext uri="{FF2B5EF4-FFF2-40B4-BE49-F238E27FC236}">
                    <a16:creationId xmlns:a16="http://schemas.microsoft.com/office/drawing/2014/main" id="{00000000-0008-0000-0000-000077080000}"/>
                  </a:ext>
                </a:extLst>
              </xdr:cNvPr>
              <xdr:cNvSpPr/>
            </xdr:nvSpPr>
            <xdr:spPr bwMode="auto">
              <a:xfrm>
                <a:off x="771524" y="352425"/>
                <a:ext cx="4176000" cy="647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비교채권 그룹1</a:t>
                </a:r>
              </a:p>
            </xdr:txBody>
          </xdr:sp>
          <xdr:sp macro="" textlink="">
            <xdr:nvSpPr>
              <xdr:cNvPr id="2168" name="Drop Down 120" hidden="1">
                <a:extLst>
                  <a:ext uri="{63B3BB69-23CF-44E3-9099-C40C66FF867C}">
                    <a14:compatExt spid="_x0000_s2168"/>
                  </a:ext>
                  <a:ext uri="{FF2B5EF4-FFF2-40B4-BE49-F238E27FC236}">
                    <a16:creationId xmlns:a16="http://schemas.microsoft.com/office/drawing/2014/main" id="{00000000-0008-0000-0000-000078080000}"/>
                  </a:ext>
                </a:extLst>
              </xdr:cNvPr>
              <xdr:cNvSpPr/>
            </xdr:nvSpPr>
            <xdr:spPr bwMode="auto">
              <a:xfrm>
                <a:off x="895350" y="533400"/>
                <a:ext cx="144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69" name="Option Button 121" hidden="1">
                <a:extLst>
                  <a:ext uri="{63B3BB69-23CF-44E3-9099-C40C66FF867C}">
                    <a14:compatExt spid="_x0000_s2169"/>
                  </a:ext>
                  <a:ext uri="{FF2B5EF4-FFF2-40B4-BE49-F238E27FC236}">
                    <a16:creationId xmlns:a16="http://schemas.microsoft.com/office/drawing/2014/main" id="{00000000-0008-0000-0000-000079080000}"/>
                  </a:ext>
                </a:extLst>
              </xdr:cNvPr>
              <xdr:cNvSpPr/>
            </xdr:nvSpPr>
            <xdr:spPr bwMode="auto">
              <a:xfrm>
                <a:off x="2476500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민평3사</a:t>
                </a:r>
              </a:p>
            </xdr:txBody>
          </xdr:sp>
          <xdr:sp macro="" textlink="">
            <xdr:nvSpPr>
              <xdr:cNvPr id="2170" name="Option Button 122" hidden="1">
                <a:extLst>
                  <a:ext uri="{63B3BB69-23CF-44E3-9099-C40C66FF867C}">
                    <a14:compatExt spid="_x0000_s2170"/>
                  </a:ext>
                  <a:ext uri="{FF2B5EF4-FFF2-40B4-BE49-F238E27FC236}">
                    <a16:creationId xmlns:a16="http://schemas.microsoft.com/office/drawing/2014/main" id="{00000000-0008-0000-0000-00007A080000}"/>
                  </a:ext>
                </a:extLst>
              </xdr:cNvPr>
              <xdr:cNvSpPr/>
            </xdr:nvSpPr>
            <xdr:spPr bwMode="auto">
              <a:xfrm>
                <a:off x="3133725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민평4사</a:t>
                </a:r>
              </a:p>
            </xdr:txBody>
          </xdr:sp>
          <xdr:sp macro="" textlink="">
            <xdr:nvSpPr>
              <xdr:cNvPr id="2171" name="Option Button 123" hidden="1">
                <a:extLst>
                  <a:ext uri="{63B3BB69-23CF-44E3-9099-C40C66FF867C}">
                    <a14:compatExt spid="_x0000_s2171"/>
                  </a:ext>
                  <a:ext uri="{FF2B5EF4-FFF2-40B4-BE49-F238E27FC236}">
                    <a16:creationId xmlns:a16="http://schemas.microsoft.com/office/drawing/2014/main" id="{00000000-0008-0000-0000-00007B080000}"/>
                  </a:ext>
                </a:extLst>
              </xdr:cNvPr>
              <xdr:cNvSpPr/>
            </xdr:nvSpPr>
            <xdr:spPr bwMode="auto">
              <a:xfrm>
                <a:off x="24765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KAP</a:t>
                </a:r>
              </a:p>
            </xdr:txBody>
          </xdr:sp>
          <xdr:sp macro="" textlink="">
            <xdr:nvSpPr>
              <xdr:cNvPr id="2172" name="Option Button 124" hidden="1">
                <a:extLst>
                  <a:ext uri="{63B3BB69-23CF-44E3-9099-C40C66FF867C}">
                    <a14:compatExt spid="_x0000_s2172"/>
                  </a:ext>
                  <a:ext uri="{FF2B5EF4-FFF2-40B4-BE49-F238E27FC236}">
                    <a16:creationId xmlns:a16="http://schemas.microsoft.com/office/drawing/2014/main" id="{00000000-0008-0000-0000-00007C080000}"/>
                  </a:ext>
                </a:extLst>
              </xdr:cNvPr>
              <xdr:cNvSpPr/>
            </xdr:nvSpPr>
            <xdr:spPr bwMode="auto">
              <a:xfrm>
                <a:off x="3133725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KIS</a:t>
                </a:r>
              </a:p>
            </xdr:txBody>
          </xdr:sp>
          <xdr:sp macro="" textlink="">
            <xdr:nvSpPr>
              <xdr:cNvPr id="2173" name="Option Button 125" hidden="1">
                <a:extLst>
                  <a:ext uri="{63B3BB69-23CF-44E3-9099-C40C66FF867C}">
                    <a14:compatExt spid="_x0000_s2173"/>
                  </a:ext>
                  <a:ext uri="{FF2B5EF4-FFF2-40B4-BE49-F238E27FC236}">
                    <a16:creationId xmlns:a16="http://schemas.microsoft.com/office/drawing/2014/main" id="{00000000-0008-0000-0000-00007D080000}"/>
                  </a:ext>
                </a:extLst>
              </xdr:cNvPr>
              <xdr:cNvSpPr/>
            </xdr:nvSpPr>
            <xdr:spPr bwMode="auto">
              <a:xfrm>
                <a:off x="37719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NICE</a:t>
                </a:r>
              </a:p>
            </xdr:txBody>
          </xdr:sp>
          <xdr:sp macro="" textlink="">
            <xdr:nvSpPr>
              <xdr:cNvPr id="2174" name="Option Button 126" hidden="1">
                <a:extLst>
                  <a:ext uri="{63B3BB69-23CF-44E3-9099-C40C66FF867C}">
                    <a14:compatExt spid="_x0000_s2174"/>
                  </a:ext>
                  <a:ext uri="{FF2B5EF4-FFF2-40B4-BE49-F238E27FC236}">
                    <a16:creationId xmlns:a16="http://schemas.microsoft.com/office/drawing/2014/main" id="{00000000-0008-0000-0000-00007E080000}"/>
                  </a:ext>
                </a:extLst>
              </xdr:cNvPr>
              <xdr:cNvSpPr/>
            </xdr:nvSpPr>
            <xdr:spPr bwMode="auto">
              <a:xfrm>
                <a:off x="443865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FN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0</xdr:colOff>
          <xdr:row>50</xdr:row>
          <xdr:rowOff>111498</xdr:rowOff>
        </xdr:from>
        <xdr:to>
          <xdr:col>8</xdr:col>
          <xdr:colOff>508950</xdr:colOff>
          <xdr:row>53</xdr:row>
          <xdr:rowOff>130547</xdr:rowOff>
        </xdr:to>
        <xdr:grpSp>
          <xdr:nvGrpSpPr>
            <xdr:cNvPr id="71" name="그룹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100853" y="8045263"/>
              <a:ext cx="3848303" cy="590549"/>
              <a:chOff x="771525" y="352425"/>
              <a:chExt cx="4337999" cy="647700"/>
            </a:xfrm>
          </xdr:grpSpPr>
          <xdr:sp macro="" textlink="">
            <xdr:nvSpPr>
              <xdr:cNvPr id="2175" name="Group Box 127" hidden="1">
                <a:extLst>
                  <a:ext uri="{63B3BB69-23CF-44E3-9099-C40C66FF867C}">
                    <a14:compatExt spid="_x0000_s2175"/>
                  </a:ext>
                  <a:ext uri="{FF2B5EF4-FFF2-40B4-BE49-F238E27FC236}">
                    <a16:creationId xmlns:a16="http://schemas.microsoft.com/office/drawing/2014/main" id="{00000000-0008-0000-0000-00007F080000}"/>
                  </a:ext>
                </a:extLst>
              </xdr:cNvPr>
              <xdr:cNvSpPr/>
            </xdr:nvSpPr>
            <xdr:spPr bwMode="auto">
              <a:xfrm>
                <a:off x="771525" y="352425"/>
                <a:ext cx="4337999" cy="647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비교채권 그룹2</a:t>
                </a:r>
              </a:p>
            </xdr:txBody>
          </xdr:sp>
          <xdr:sp macro="" textlink="">
            <xdr:nvSpPr>
              <xdr:cNvPr id="2176" name="Drop Down 128" hidden="1">
                <a:extLst>
                  <a:ext uri="{63B3BB69-23CF-44E3-9099-C40C66FF867C}">
                    <a14:compatExt spid="_x0000_s2176"/>
                  </a:ext>
                  <a:ext uri="{FF2B5EF4-FFF2-40B4-BE49-F238E27FC236}">
                    <a16:creationId xmlns:a16="http://schemas.microsoft.com/office/drawing/2014/main" id="{00000000-0008-0000-0000-000080080000}"/>
                  </a:ext>
                </a:extLst>
              </xdr:cNvPr>
              <xdr:cNvSpPr/>
            </xdr:nvSpPr>
            <xdr:spPr bwMode="auto">
              <a:xfrm>
                <a:off x="895350" y="533400"/>
                <a:ext cx="144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77" name="Option Button 129" hidden="1">
                <a:extLst>
                  <a:ext uri="{63B3BB69-23CF-44E3-9099-C40C66FF867C}">
                    <a14:compatExt spid="_x0000_s2177"/>
                  </a:ext>
                  <a:ext uri="{FF2B5EF4-FFF2-40B4-BE49-F238E27FC236}">
                    <a16:creationId xmlns:a16="http://schemas.microsoft.com/office/drawing/2014/main" id="{00000000-0008-0000-0000-000081080000}"/>
                  </a:ext>
                </a:extLst>
              </xdr:cNvPr>
              <xdr:cNvSpPr/>
            </xdr:nvSpPr>
            <xdr:spPr bwMode="auto">
              <a:xfrm>
                <a:off x="2476500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민평3사</a:t>
                </a:r>
              </a:p>
            </xdr:txBody>
          </xdr:sp>
          <xdr:sp macro="" textlink="">
            <xdr:nvSpPr>
              <xdr:cNvPr id="2178" name="Option Button 130" hidden="1">
                <a:extLst>
                  <a:ext uri="{63B3BB69-23CF-44E3-9099-C40C66FF867C}">
                    <a14:compatExt spid="_x0000_s2178"/>
                  </a:ext>
                  <a:ext uri="{FF2B5EF4-FFF2-40B4-BE49-F238E27FC236}">
                    <a16:creationId xmlns:a16="http://schemas.microsoft.com/office/drawing/2014/main" id="{00000000-0008-0000-0000-000082080000}"/>
                  </a:ext>
                </a:extLst>
              </xdr:cNvPr>
              <xdr:cNvSpPr/>
            </xdr:nvSpPr>
            <xdr:spPr bwMode="auto">
              <a:xfrm>
                <a:off x="3133725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민평4사</a:t>
                </a:r>
              </a:p>
            </xdr:txBody>
          </xdr:sp>
          <xdr:sp macro="" textlink="">
            <xdr:nvSpPr>
              <xdr:cNvPr id="2179" name="Option Button 131" hidden="1">
                <a:extLst>
                  <a:ext uri="{63B3BB69-23CF-44E3-9099-C40C66FF867C}">
                    <a14:compatExt spid="_x0000_s2179"/>
                  </a:ext>
                  <a:ext uri="{FF2B5EF4-FFF2-40B4-BE49-F238E27FC236}">
                    <a16:creationId xmlns:a16="http://schemas.microsoft.com/office/drawing/2014/main" id="{00000000-0008-0000-0000-000083080000}"/>
                  </a:ext>
                </a:extLst>
              </xdr:cNvPr>
              <xdr:cNvSpPr/>
            </xdr:nvSpPr>
            <xdr:spPr bwMode="auto">
              <a:xfrm>
                <a:off x="24765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KAP</a:t>
                </a:r>
              </a:p>
            </xdr:txBody>
          </xdr:sp>
          <xdr:sp macro="" textlink="">
            <xdr:nvSpPr>
              <xdr:cNvPr id="2180" name="Option Button 132" hidden="1">
                <a:extLst>
                  <a:ext uri="{63B3BB69-23CF-44E3-9099-C40C66FF867C}">
                    <a14:compatExt spid="_x0000_s2180"/>
                  </a:ext>
                  <a:ext uri="{FF2B5EF4-FFF2-40B4-BE49-F238E27FC236}">
                    <a16:creationId xmlns:a16="http://schemas.microsoft.com/office/drawing/2014/main" id="{00000000-0008-0000-0000-000084080000}"/>
                  </a:ext>
                </a:extLst>
              </xdr:cNvPr>
              <xdr:cNvSpPr/>
            </xdr:nvSpPr>
            <xdr:spPr bwMode="auto">
              <a:xfrm>
                <a:off x="3133725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KIS</a:t>
                </a:r>
              </a:p>
            </xdr:txBody>
          </xdr:sp>
          <xdr:sp macro="" textlink="">
            <xdr:nvSpPr>
              <xdr:cNvPr id="2181" name="Option Button 133" hidden="1">
                <a:extLst>
                  <a:ext uri="{63B3BB69-23CF-44E3-9099-C40C66FF867C}">
                    <a14:compatExt spid="_x0000_s2181"/>
                  </a:ext>
                  <a:ext uri="{FF2B5EF4-FFF2-40B4-BE49-F238E27FC236}">
                    <a16:creationId xmlns:a16="http://schemas.microsoft.com/office/drawing/2014/main" id="{00000000-0008-0000-0000-000085080000}"/>
                  </a:ext>
                </a:extLst>
              </xdr:cNvPr>
              <xdr:cNvSpPr/>
            </xdr:nvSpPr>
            <xdr:spPr bwMode="auto">
              <a:xfrm>
                <a:off x="37719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NICE</a:t>
                </a:r>
              </a:p>
            </xdr:txBody>
          </xdr:sp>
          <xdr:sp macro="" textlink="">
            <xdr:nvSpPr>
              <xdr:cNvPr id="2182" name="Option Button 134" hidden="1">
                <a:extLst>
                  <a:ext uri="{63B3BB69-23CF-44E3-9099-C40C66FF867C}">
                    <a14:compatExt spid="_x0000_s2182"/>
                  </a:ext>
                  <a:ext uri="{FF2B5EF4-FFF2-40B4-BE49-F238E27FC236}">
                    <a16:creationId xmlns:a16="http://schemas.microsoft.com/office/drawing/2014/main" id="{00000000-0008-0000-0000-000086080000}"/>
                  </a:ext>
                </a:extLst>
              </xdr:cNvPr>
              <xdr:cNvSpPr/>
            </xdr:nvSpPr>
            <xdr:spPr bwMode="auto">
              <a:xfrm>
                <a:off x="443865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FN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9525</xdr:colOff>
          <xdr:row>2</xdr:row>
          <xdr:rowOff>112059</xdr:rowOff>
        </xdr:from>
        <xdr:to>
          <xdr:col>9</xdr:col>
          <xdr:colOff>15561</xdr:colOff>
          <xdr:row>6</xdr:row>
          <xdr:rowOff>7844</xdr:rowOff>
        </xdr:to>
        <xdr:grpSp>
          <xdr:nvGrpSpPr>
            <xdr:cNvPr id="2" name="그룹 1"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GrpSpPr/>
          </xdr:nvGrpSpPr>
          <xdr:grpSpPr>
            <a:xfrm>
              <a:off x="114300" y="616884"/>
              <a:ext cx="3949386" cy="591110"/>
              <a:chOff x="771525" y="1504954"/>
              <a:chExt cx="4361766" cy="647700"/>
            </a:xfrm>
          </xdr:grpSpPr>
          <xdr:sp macro="" textlink="">
            <xdr:nvSpPr>
              <xdr:cNvPr id="9217" name="Group Box 1" hidden="1">
                <a:extLst>
                  <a:ext uri="{63B3BB69-23CF-44E3-9099-C40C66FF867C}">
                    <a14:compatExt spid="_x0000_s9217"/>
                  </a:ext>
                  <a:ext uri="{FF2B5EF4-FFF2-40B4-BE49-F238E27FC236}">
                    <a16:creationId xmlns:a16="http://schemas.microsoft.com/office/drawing/2014/main" id="{00000000-0008-0000-0100-000001240000}"/>
                  </a:ext>
                </a:extLst>
              </xdr:cNvPr>
              <xdr:cNvSpPr/>
            </xdr:nvSpPr>
            <xdr:spPr bwMode="auto">
              <a:xfrm>
                <a:off x="771525" y="1504954"/>
                <a:ext cx="4361766" cy="647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기준채권 그룹</a:t>
                </a:r>
              </a:p>
            </xdr:txBody>
          </xdr:sp>
          <xdr:sp macro="" textlink="">
            <xdr:nvSpPr>
              <xdr:cNvPr id="9218" name="Drop Down 2" hidden="1">
                <a:extLst>
                  <a:ext uri="{63B3BB69-23CF-44E3-9099-C40C66FF867C}">
                    <a14:compatExt spid="_x0000_s9218"/>
                  </a:ext>
                  <a:ext uri="{FF2B5EF4-FFF2-40B4-BE49-F238E27FC236}">
                    <a16:creationId xmlns:a16="http://schemas.microsoft.com/office/drawing/2014/main" id="{00000000-0008-0000-0100-000002240000}"/>
                  </a:ext>
                </a:extLst>
              </xdr:cNvPr>
              <xdr:cNvSpPr/>
            </xdr:nvSpPr>
            <xdr:spPr bwMode="auto">
              <a:xfrm>
                <a:off x="895350" y="1685925"/>
                <a:ext cx="144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219" name="Option Button 3" hidden="1">
                <a:extLst>
                  <a:ext uri="{63B3BB69-23CF-44E3-9099-C40C66FF867C}">
                    <a14:compatExt spid="_x0000_s9219"/>
                  </a:ext>
                  <a:ext uri="{FF2B5EF4-FFF2-40B4-BE49-F238E27FC236}">
                    <a16:creationId xmlns:a16="http://schemas.microsoft.com/office/drawing/2014/main" id="{00000000-0008-0000-0100-000003240000}"/>
                  </a:ext>
                </a:extLst>
              </xdr:cNvPr>
              <xdr:cNvSpPr/>
            </xdr:nvSpPr>
            <xdr:spPr bwMode="auto">
              <a:xfrm>
                <a:off x="2476500" y="1695450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민평3사</a:t>
                </a:r>
              </a:p>
            </xdr:txBody>
          </xdr:sp>
          <xdr:sp macro="" textlink="">
            <xdr:nvSpPr>
              <xdr:cNvPr id="9220" name="Option Button 4" hidden="1">
                <a:extLst>
                  <a:ext uri="{63B3BB69-23CF-44E3-9099-C40C66FF867C}">
                    <a14:compatExt spid="_x0000_s9220"/>
                  </a:ext>
                  <a:ext uri="{FF2B5EF4-FFF2-40B4-BE49-F238E27FC236}">
                    <a16:creationId xmlns:a16="http://schemas.microsoft.com/office/drawing/2014/main" id="{00000000-0008-0000-0100-000004240000}"/>
                  </a:ext>
                </a:extLst>
              </xdr:cNvPr>
              <xdr:cNvSpPr/>
            </xdr:nvSpPr>
            <xdr:spPr bwMode="auto">
              <a:xfrm>
                <a:off x="3133725" y="1695450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민평4사</a:t>
                </a:r>
              </a:p>
            </xdr:txBody>
          </xdr:sp>
          <xdr:sp macro="" textlink="">
            <xdr:nvSpPr>
              <xdr:cNvPr id="9221" name="Option Button 5" hidden="1">
                <a:extLst>
                  <a:ext uri="{63B3BB69-23CF-44E3-9099-C40C66FF867C}">
                    <a14:compatExt spid="_x0000_s9221"/>
                  </a:ext>
                  <a:ext uri="{FF2B5EF4-FFF2-40B4-BE49-F238E27FC236}">
                    <a16:creationId xmlns:a16="http://schemas.microsoft.com/office/drawing/2014/main" id="{00000000-0008-0000-0100-000005240000}"/>
                  </a:ext>
                </a:extLst>
              </xdr:cNvPr>
              <xdr:cNvSpPr/>
            </xdr:nvSpPr>
            <xdr:spPr bwMode="auto">
              <a:xfrm>
                <a:off x="2476500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KAP</a:t>
                </a:r>
              </a:p>
            </xdr:txBody>
          </xdr:sp>
          <xdr:sp macro="" textlink="">
            <xdr:nvSpPr>
              <xdr:cNvPr id="9222" name="Option Button 6" hidden="1">
                <a:extLst>
                  <a:ext uri="{63B3BB69-23CF-44E3-9099-C40C66FF867C}">
                    <a14:compatExt spid="_x0000_s9222"/>
                  </a:ext>
                  <a:ext uri="{FF2B5EF4-FFF2-40B4-BE49-F238E27FC236}">
                    <a16:creationId xmlns:a16="http://schemas.microsoft.com/office/drawing/2014/main" id="{00000000-0008-0000-0100-000006240000}"/>
                  </a:ext>
                </a:extLst>
              </xdr:cNvPr>
              <xdr:cNvSpPr/>
            </xdr:nvSpPr>
            <xdr:spPr bwMode="auto">
              <a:xfrm>
                <a:off x="3133725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KIS</a:t>
                </a:r>
              </a:p>
            </xdr:txBody>
          </xdr:sp>
          <xdr:sp macro="" textlink="">
            <xdr:nvSpPr>
              <xdr:cNvPr id="9223" name="Option Button 7" hidden="1">
                <a:extLst>
                  <a:ext uri="{63B3BB69-23CF-44E3-9099-C40C66FF867C}">
                    <a14:compatExt spid="_x0000_s9223"/>
                  </a:ext>
                  <a:ext uri="{FF2B5EF4-FFF2-40B4-BE49-F238E27FC236}">
                    <a16:creationId xmlns:a16="http://schemas.microsoft.com/office/drawing/2014/main" id="{00000000-0008-0000-0100-000007240000}"/>
                  </a:ext>
                </a:extLst>
              </xdr:cNvPr>
              <xdr:cNvSpPr/>
            </xdr:nvSpPr>
            <xdr:spPr bwMode="auto">
              <a:xfrm>
                <a:off x="3771900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NICE</a:t>
                </a:r>
              </a:p>
            </xdr:txBody>
          </xdr:sp>
          <xdr:sp macro="" textlink="">
            <xdr:nvSpPr>
              <xdr:cNvPr id="9224" name="Option Button 8" hidden="1">
                <a:extLst>
                  <a:ext uri="{63B3BB69-23CF-44E3-9099-C40C66FF867C}">
                    <a14:compatExt spid="_x0000_s9224"/>
                  </a:ext>
                  <a:ext uri="{FF2B5EF4-FFF2-40B4-BE49-F238E27FC236}">
                    <a16:creationId xmlns:a16="http://schemas.microsoft.com/office/drawing/2014/main" id="{00000000-0008-0000-0100-000008240000}"/>
                  </a:ext>
                </a:extLst>
              </xdr:cNvPr>
              <xdr:cNvSpPr/>
            </xdr:nvSpPr>
            <xdr:spPr bwMode="auto">
              <a:xfrm>
                <a:off x="4438650" y="1905000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FN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0</xdr:colOff>
          <xdr:row>7</xdr:row>
          <xdr:rowOff>91887</xdr:rowOff>
        </xdr:from>
        <xdr:to>
          <xdr:col>9</xdr:col>
          <xdr:colOff>6036</xdr:colOff>
          <xdr:row>11</xdr:row>
          <xdr:rowOff>10084</xdr:rowOff>
        </xdr:to>
        <xdr:grpSp>
          <xdr:nvGrpSpPr>
            <xdr:cNvPr id="44" name="그룹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GrpSpPr/>
          </xdr:nvGrpSpPr>
          <xdr:grpSpPr>
            <a:xfrm>
              <a:off x="104775" y="1387287"/>
              <a:ext cx="3949386" cy="584947"/>
              <a:chOff x="771525" y="352426"/>
              <a:chExt cx="4361765" cy="647700"/>
            </a:xfrm>
          </xdr:grpSpPr>
          <xdr:sp macro="" textlink="">
            <xdr:nvSpPr>
              <xdr:cNvPr id="9258" name="Group Box 42" hidden="1">
                <a:extLst>
                  <a:ext uri="{63B3BB69-23CF-44E3-9099-C40C66FF867C}">
                    <a14:compatExt spid="_x0000_s9258"/>
                  </a:ext>
                  <a:ext uri="{FF2B5EF4-FFF2-40B4-BE49-F238E27FC236}">
                    <a16:creationId xmlns:a16="http://schemas.microsoft.com/office/drawing/2014/main" id="{00000000-0008-0000-0100-00002A240000}"/>
                  </a:ext>
                </a:extLst>
              </xdr:cNvPr>
              <xdr:cNvSpPr/>
            </xdr:nvSpPr>
            <xdr:spPr bwMode="auto">
              <a:xfrm>
                <a:off x="771525" y="352426"/>
                <a:ext cx="4361765" cy="647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비교채권 그룹1</a:t>
                </a:r>
              </a:p>
            </xdr:txBody>
          </xdr:sp>
          <xdr:sp macro="" textlink="">
            <xdr:nvSpPr>
              <xdr:cNvPr id="9259" name="Drop Down 43" hidden="1">
                <a:extLst>
                  <a:ext uri="{63B3BB69-23CF-44E3-9099-C40C66FF867C}">
                    <a14:compatExt spid="_x0000_s9259"/>
                  </a:ext>
                  <a:ext uri="{FF2B5EF4-FFF2-40B4-BE49-F238E27FC236}">
                    <a16:creationId xmlns:a16="http://schemas.microsoft.com/office/drawing/2014/main" id="{00000000-0008-0000-0100-00002B240000}"/>
                  </a:ext>
                </a:extLst>
              </xdr:cNvPr>
              <xdr:cNvSpPr/>
            </xdr:nvSpPr>
            <xdr:spPr bwMode="auto">
              <a:xfrm>
                <a:off x="895350" y="533400"/>
                <a:ext cx="144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260" name="Option Button 44" hidden="1">
                <a:extLst>
                  <a:ext uri="{63B3BB69-23CF-44E3-9099-C40C66FF867C}">
                    <a14:compatExt spid="_x0000_s9260"/>
                  </a:ext>
                  <a:ext uri="{FF2B5EF4-FFF2-40B4-BE49-F238E27FC236}">
                    <a16:creationId xmlns:a16="http://schemas.microsoft.com/office/drawing/2014/main" id="{00000000-0008-0000-0100-00002C240000}"/>
                  </a:ext>
                </a:extLst>
              </xdr:cNvPr>
              <xdr:cNvSpPr/>
            </xdr:nvSpPr>
            <xdr:spPr bwMode="auto">
              <a:xfrm>
                <a:off x="2476500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민평3사</a:t>
                </a:r>
              </a:p>
            </xdr:txBody>
          </xdr:sp>
          <xdr:sp macro="" textlink="">
            <xdr:nvSpPr>
              <xdr:cNvPr id="9261" name="Option Button 45" hidden="1">
                <a:extLst>
                  <a:ext uri="{63B3BB69-23CF-44E3-9099-C40C66FF867C}">
                    <a14:compatExt spid="_x0000_s9261"/>
                  </a:ext>
                  <a:ext uri="{FF2B5EF4-FFF2-40B4-BE49-F238E27FC236}">
                    <a16:creationId xmlns:a16="http://schemas.microsoft.com/office/drawing/2014/main" id="{00000000-0008-0000-0100-00002D240000}"/>
                  </a:ext>
                </a:extLst>
              </xdr:cNvPr>
              <xdr:cNvSpPr/>
            </xdr:nvSpPr>
            <xdr:spPr bwMode="auto">
              <a:xfrm>
                <a:off x="3133725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민평4사</a:t>
                </a:r>
              </a:p>
            </xdr:txBody>
          </xdr:sp>
          <xdr:sp macro="" textlink="">
            <xdr:nvSpPr>
              <xdr:cNvPr id="9262" name="Option Button 46" hidden="1">
                <a:extLst>
                  <a:ext uri="{63B3BB69-23CF-44E3-9099-C40C66FF867C}">
                    <a14:compatExt spid="_x0000_s9262"/>
                  </a:ext>
                  <a:ext uri="{FF2B5EF4-FFF2-40B4-BE49-F238E27FC236}">
                    <a16:creationId xmlns:a16="http://schemas.microsoft.com/office/drawing/2014/main" id="{00000000-0008-0000-0100-00002E240000}"/>
                  </a:ext>
                </a:extLst>
              </xdr:cNvPr>
              <xdr:cNvSpPr/>
            </xdr:nvSpPr>
            <xdr:spPr bwMode="auto">
              <a:xfrm>
                <a:off x="24765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KAP</a:t>
                </a:r>
              </a:p>
            </xdr:txBody>
          </xdr:sp>
          <xdr:sp macro="" textlink="">
            <xdr:nvSpPr>
              <xdr:cNvPr id="9263" name="Option Button 47" hidden="1">
                <a:extLst>
                  <a:ext uri="{63B3BB69-23CF-44E3-9099-C40C66FF867C}">
                    <a14:compatExt spid="_x0000_s9263"/>
                  </a:ext>
                  <a:ext uri="{FF2B5EF4-FFF2-40B4-BE49-F238E27FC236}">
                    <a16:creationId xmlns:a16="http://schemas.microsoft.com/office/drawing/2014/main" id="{00000000-0008-0000-0100-00002F240000}"/>
                  </a:ext>
                </a:extLst>
              </xdr:cNvPr>
              <xdr:cNvSpPr/>
            </xdr:nvSpPr>
            <xdr:spPr bwMode="auto">
              <a:xfrm>
                <a:off x="3133725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KIS</a:t>
                </a:r>
              </a:p>
            </xdr:txBody>
          </xdr:sp>
          <xdr:sp macro="" textlink="">
            <xdr:nvSpPr>
              <xdr:cNvPr id="9264" name="Option Button 48" hidden="1">
                <a:extLst>
                  <a:ext uri="{63B3BB69-23CF-44E3-9099-C40C66FF867C}">
                    <a14:compatExt spid="_x0000_s9264"/>
                  </a:ext>
                  <a:ext uri="{FF2B5EF4-FFF2-40B4-BE49-F238E27FC236}">
                    <a16:creationId xmlns:a16="http://schemas.microsoft.com/office/drawing/2014/main" id="{00000000-0008-0000-0100-000030240000}"/>
                  </a:ext>
                </a:extLst>
              </xdr:cNvPr>
              <xdr:cNvSpPr/>
            </xdr:nvSpPr>
            <xdr:spPr bwMode="auto">
              <a:xfrm>
                <a:off x="37719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NICE</a:t>
                </a:r>
              </a:p>
            </xdr:txBody>
          </xdr:sp>
          <xdr:sp macro="" textlink="">
            <xdr:nvSpPr>
              <xdr:cNvPr id="9265" name="Option Button 49" hidden="1">
                <a:extLst>
                  <a:ext uri="{63B3BB69-23CF-44E3-9099-C40C66FF867C}">
                    <a14:compatExt spid="_x0000_s9265"/>
                  </a:ext>
                  <a:ext uri="{FF2B5EF4-FFF2-40B4-BE49-F238E27FC236}">
                    <a16:creationId xmlns:a16="http://schemas.microsoft.com/office/drawing/2014/main" id="{00000000-0008-0000-0100-000031240000}"/>
                  </a:ext>
                </a:extLst>
              </xdr:cNvPr>
              <xdr:cNvSpPr/>
            </xdr:nvSpPr>
            <xdr:spPr bwMode="auto">
              <a:xfrm>
                <a:off x="443865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FN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112059</xdr:colOff>
          <xdr:row>32</xdr:row>
          <xdr:rowOff>212349</xdr:rowOff>
        </xdr:from>
        <xdr:to>
          <xdr:col>8</xdr:col>
          <xdr:colOff>745624</xdr:colOff>
          <xdr:row>36</xdr:row>
          <xdr:rowOff>11205</xdr:rowOff>
        </xdr:to>
        <xdr:grpSp>
          <xdr:nvGrpSpPr>
            <xdr:cNvPr id="53" name="그룹 52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GrpSpPr/>
          </xdr:nvGrpSpPr>
          <xdr:grpSpPr>
            <a:xfrm>
              <a:off x="102534" y="6498849"/>
              <a:ext cx="3948265" cy="579906"/>
              <a:chOff x="771525" y="352423"/>
              <a:chExt cx="4530696" cy="647698"/>
            </a:xfrm>
          </xdr:grpSpPr>
          <xdr:sp macro="" textlink="">
            <xdr:nvSpPr>
              <xdr:cNvPr id="9266" name="Group Box 50" hidden="1">
                <a:extLst>
                  <a:ext uri="{63B3BB69-23CF-44E3-9099-C40C66FF867C}">
                    <a14:compatExt spid="_x0000_s9266"/>
                  </a:ext>
                  <a:ext uri="{FF2B5EF4-FFF2-40B4-BE49-F238E27FC236}">
                    <a16:creationId xmlns:a16="http://schemas.microsoft.com/office/drawing/2014/main" id="{00000000-0008-0000-0100-000032240000}"/>
                  </a:ext>
                </a:extLst>
              </xdr:cNvPr>
              <xdr:cNvSpPr/>
            </xdr:nvSpPr>
            <xdr:spPr bwMode="auto">
              <a:xfrm>
                <a:off x="771525" y="352423"/>
                <a:ext cx="4530696" cy="64769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비교채권 그룹2</a:t>
                </a:r>
              </a:p>
            </xdr:txBody>
          </xdr:sp>
          <xdr:sp macro="" textlink="">
            <xdr:nvSpPr>
              <xdr:cNvPr id="9267" name="Drop Down 51" hidden="1">
                <a:extLst>
                  <a:ext uri="{63B3BB69-23CF-44E3-9099-C40C66FF867C}">
                    <a14:compatExt spid="_x0000_s9267"/>
                  </a:ext>
                  <a:ext uri="{FF2B5EF4-FFF2-40B4-BE49-F238E27FC236}">
                    <a16:creationId xmlns:a16="http://schemas.microsoft.com/office/drawing/2014/main" id="{00000000-0008-0000-0100-000033240000}"/>
                  </a:ext>
                </a:extLst>
              </xdr:cNvPr>
              <xdr:cNvSpPr/>
            </xdr:nvSpPr>
            <xdr:spPr bwMode="auto">
              <a:xfrm>
                <a:off x="895350" y="533400"/>
                <a:ext cx="144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268" name="Option Button 52" hidden="1">
                <a:extLst>
                  <a:ext uri="{63B3BB69-23CF-44E3-9099-C40C66FF867C}">
                    <a14:compatExt spid="_x0000_s9268"/>
                  </a:ext>
                  <a:ext uri="{FF2B5EF4-FFF2-40B4-BE49-F238E27FC236}">
                    <a16:creationId xmlns:a16="http://schemas.microsoft.com/office/drawing/2014/main" id="{00000000-0008-0000-0100-000034240000}"/>
                  </a:ext>
                </a:extLst>
              </xdr:cNvPr>
              <xdr:cNvSpPr/>
            </xdr:nvSpPr>
            <xdr:spPr bwMode="auto">
              <a:xfrm>
                <a:off x="2476500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민평3사</a:t>
                </a:r>
              </a:p>
            </xdr:txBody>
          </xdr:sp>
          <xdr:sp macro="" textlink="">
            <xdr:nvSpPr>
              <xdr:cNvPr id="9269" name="Option Button 53" hidden="1">
                <a:extLst>
                  <a:ext uri="{63B3BB69-23CF-44E3-9099-C40C66FF867C}">
                    <a14:compatExt spid="_x0000_s9269"/>
                  </a:ext>
                  <a:ext uri="{FF2B5EF4-FFF2-40B4-BE49-F238E27FC236}">
                    <a16:creationId xmlns:a16="http://schemas.microsoft.com/office/drawing/2014/main" id="{00000000-0008-0000-0100-000035240000}"/>
                  </a:ext>
                </a:extLst>
              </xdr:cNvPr>
              <xdr:cNvSpPr/>
            </xdr:nvSpPr>
            <xdr:spPr bwMode="auto">
              <a:xfrm>
                <a:off x="3133725" y="542925"/>
                <a:ext cx="72390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민평4사</a:t>
                </a:r>
              </a:p>
            </xdr:txBody>
          </xdr:sp>
          <xdr:sp macro="" textlink="">
            <xdr:nvSpPr>
              <xdr:cNvPr id="9270" name="Option Button 54" hidden="1">
                <a:extLst>
                  <a:ext uri="{63B3BB69-23CF-44E3-9099-C40C66FF867C}">
                    <a14:compatExt spid="_x0000_s9270"/>
                  </a:ext>
                  <a:ext uri="{FF2B5EF4-FFF2-40B4-BE49-F238E27FC236}">
                    <a16:creationId xmlns:a16="http://schemas.microsoft.com/office/drawing/2014/main" id="{00000000-0008-0000-0100-000036240000}"/>
                  </a:ext>
                </a:extLst>
              </xdr:cNvPr>
              <xdr:cNvSpPr/>
            </xdr:nvSpPr>
            <xdr:spPr bwMode="auto">
              <a:xfrm>
                <a:off x="24765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KAP</a:t>
                </a:r>
              </a:p>
            </xdr:txBody>
          </xdr:sp>
          <xdr:sp macro="" textlink="">
            <xdr:nvSpPr>
              <xdr:cNvPr id="9271" name="Option Button 55" hidden="1">
                <a:extLst>
                  <a:ext uri="{63B3BB69-23CF-44E3-9099-C40C66FF867C}">
                    <a14:compatExt spid="_x0000_s9271"/>
                  </a:ext>
                  <a:ext uri="{FF2B5EF4-FFF2-40B4-BE49-F238E27FC236}">
                    <a16:creationId xmlns:a16="http://schemas.microsoft.com/office/drawing/2014/main" id="{00000000-0008-0000-0100-000037240000}"/>
                  </a:ext>
                </a:extLst>
              </xdr:cNvPr>
              <xdr:cNvSpPr/>
            </xdr:nvSpPr>
            <xdr:spPr bwMode="auto">
              <a:xfrm>
                <a:off x="3133725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KIS</a:t>
                </a:r>
              </a:p>
            </xdr:txBody>
          </xdr:sp>
          <xdr:sp macro="" textlink="">
            <xdr:nvSpPr>
              <xdr:cNvPr id="9272" name="Option Button 56" hidden="1">
                <a:extLst>
                  <a:ext uri="{63B3BB69-23CF-44E3-9099-C40C66FF867C}">
                    <a14:compatExt spid="_x0000_s9272"/>
                  </a:ext>
                  <a:ext uri="{FF2B5EF4-FFF2-40B4-BE49-F238E27FC236}">
                    <a16:creationId xmlns:a16="http://schemas.microsoft.com/office/drawing/2014/main" id="{00000000-0008-0000-0100-000038240000}"/>
                  </a:ext>
                </a:extLst>
              </xdr:cNvPr>
              <xdr:cNvSpPr/>
            </xdr:nvSpPr>
            <xdr:spPr bwMode="auto">
              <a:xfrm>
                <a:off x="377190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NICE</a:t>
                </a:r>
              </a:p>
            </xdr:txBody>
          </xdr:sp>
          <xdr:sp macro="" textlink="">
            <xdr:nvSpPr>
              <xdr:cNvPr id="9273" name="Option Button 57" hidden="1">
                <a:extLst>
                  <a:ext uri="{63B3BB69-23CF-44E3-9099-C40C66FF867C}">
                    <a14:compatExt spid="_x0000_s9273"/>
                  </a:ext>
                  <a:ext uri="{FF2B5EF4-FFF2-40B4-BE49-F238E27FC236}">
                    <a16:creationId xmlns:a16="http://schemas.microsoft.com/office/drawing/2014/main" id="{00000000-0008-0000-0100-000039240000}"/>
                  </a:ext>
                </a:extLst>
              </xdr:cNvPr>
              <xdr:cNvSpPr/>
            </xdr:nvSpPr>
            <xdr:spPr bwMode="auto">
              <a:xfrm>
                <a:off x="4438650" y="752475"/>
                <a:ext cx="514350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FN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2</xdr:col>
          <xdr:colOff>9525</xdr:colOff>
          <xdr:row>2</xdr:row>
          <xdr:rowOff>112059</xdr:rowOff>
        </xdr:from>
        <xdr:to>
          <xdr:col>9</xdr:col>
          <xdr:colOff>419</xdr:colOff>
          <xdr:row>6</xdr:row>
          <xdr:rowOff>7844</xdr:rowOff>
        </xdr:to>
        <xdr:grpSp>
          <xdr:nvGrpSpPr>
            <xdr:cNvPr id="2" name="그룹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GrpSpPr/>
          </xdr:nvGrpSpPr>
          <xdr:grpSpPr>
            <a:xfrm>
              <a:off x="110378" y="616324"/>
              <a:ext cx="3980188" cy="590549"/>
              <a:chOff x="771525" y="1504953"/>
              <a:chExt cx="4198134" cy="647700"/>
            </a:xfrm>
          </xdr:grpSpPr>
          <xdr:sp macro="" textlink="">
            <xdr:nvSpPr>
              <xdr:cNvPr id="13313" name="Group Box 1" hidden="1">
                <a:extLst>
                  <a:ext uri="{63B3BB69-23CF-44E3-9099-C40C66FF867C}">
                    <a14:compatExt spid="_x0000_s13313"/>
                  </a:ext>
                  <a:ext uri="{FF2B5EF4-FFF2-40B4-BE49-F238E27FC236}">
                    <a16:creationId xmlns:a16="http://schemas.microsoft.com/office/drawing/2014/main" id="{00000000-0008-0000-0200-000001340000}"/>
                  </a:ext>
                </a:extLst>
              </xdr:cNvPr>
              <xdr:cNvSpPr/>
            </xdr:nvSpPr>
            <xdr:spPr bwMode="auto">
              <a:xfrm>
                <a:off x="771525" y="1504953"/>
                <a:ext cx="4198134" cy="64770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기준채권 그룹</a:t>
                </a:r>
              </a:p>
            </xdr:txBody>
          </xdr:sp>
          <xdr:sp macro="" textlink="">
            <xdr:nvSpPr>
              <xdr:cNvPr id="13314" name="Drop Down 2" hidden="1">
                <a:extLst>
                  <a:ext uri="{63B3BB69-23CF-44E3-9099-C40C66FF867C}">
                    <a14:compatExt spid="_x0000_s13314"/>
                  </a:ext>
                  <a:ext uri="{FF2B5EF4-FFF2-40B4-BE49-F238E27FC236}">
                    <a16:creationId xmlns:a16="http://schemas.microsoft.com/office/drawing/2014/main" id="{00000000-0008-0000-0200-000002340000}"/>
                  </a:ext>
                </a:extLst>
              </xdr:cNvPr>
              <xdr:cNvSpPr/>
            </xdr:nvSpPr>
            <xdr:spPr bwMode="auto">
              <a:xfrm>
                <a:off x="895350" y="1685925"/>
                <a:ext cx="1440000" cy="1800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315" name="Option Button 3" hidden="1">
                <a:extLst>
                  <a:ext uri="{63B3BB69-23CF-44E3-9099-C40C66FF867C}">
                    <a14:compatExt spid="_x0000_s13315"/>
                  </a:ext>
                  <a:ext uri="{FF2B5EF4-FFF2-40B4-BE49-F238E27FC236}">
                    <a16:creationId xmlns:a16="http://schemas.microsoft.com/office/drawing/2014/main" id="{00000000-0008-0000-0200-000003340000}"/>
                  </a:ext>
                </a:extLst>
              </xdr:cNvPr>
              <xdr:cNvSpPr/>
            </xdr:nvSpPr>
            <xdr:spPr bwMode="auto">
              <a:xfrm>
                <a:off x="2476500" y="1695450"/>
                <a:ext cx="100153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민평3사 (익일)</a:t>
                </a:r>
              </a:p>
            </xdr:txBody>
          </xdr:sp>
          <xdr:sp macro="" textlink="">
            <xdr:nvSpPr>
              <xdr:cNvPr id="13316" name="Option Button 4" hidden="1">
                <a:extLst>
                  <a:ext uri="{63B3BB69-23CF-44E3-9099-C40C66FF867C}">
                    <a14:compatExt spid="_x0000_s13316"/>
                  </a:ext>
                  <a:ext uri="{FF2B5EF4-FFF2-40B4-BE49-F238E27FC236}">
                    <a16:creationId xmlns:a16="http://schemas.microsoft.com/office/drawing/2014/main" id="{00000000-0008-0000-0200-000004340000}"/>
                  </a:ext>
                </a:extLst>
              </xdr:cNvPr>
              <xdr:cNvSpPr/>
            </xdr:nvSpPr>
            <xdr:spPr bwMode="auto">
              <a:xfrm>
                <a:off x="3532769" y="1695450"/>
                <a:ext cx="100153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민평4사 (익일)</a:t>
                </a:r>
              </a:p>
            </xdr:txBody>
          </xdr:sp>
          <xdr:sp macro="" textlink="">
            <xdr:nvSpPr>
              <xdr:cNvPr id="13371" name="Option Button 59" hidden="1">
                <a:extLst>
                  <a:ext uri="{63B3BB69-23CF-44E3-9099-C40C66FF867C}">
                    <a14:compatExt spid="_x0000_s13371"/>
                  </a:ext>
                  <a:ext uri="{FF2B5EF4-FFF2-40B4-BE49-F238E27FC236}">
                    <a16:creationId xmlns:a16="http://schemas.microsoft.com/office/drawing/2014/main" id="{00000000-0008-0000-0200-00003B340000}"/>
                  </a:ext>
                </a:extLst>
              </xdr:cNvPr>
              <xdr:cNvSpPr/>
            </xdr:nvSpPr>
            <xdr:spPr bwMode="auto">
              <a:xfrm>
                <a:off x="2476500" y="1879610"/>
                <a:ext cx="100153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장내 국채</a:t>
                </a:r>
              </a:p>
            </xdr:txBody>
          </xdr:sp>
          <xdr:sp macro="" textlink="">
            <xdr:nvSpPr>
              <xdr:cNvPr id="13372" name="Option Button 60" hidden="1">
                <a:extLst>
                  <a:ext uri="{63B3BB69-23CF-44E3-9099-C40C66FF867C}">
                    <a14:compatExt spid="_x0000_s13372"/>
                  </a:ext>
                  <a:ext uri="{FF2B5EF4-FFF2-40B4-BE49-F238E27FC236}">
                    <a16:creationId xmlns:a16="http://schemas.microsoft.com/office/drawing/2014/main" id="{00000000-0008-0000-0200-00003C340000}"/>
                  </a:ext>
                </a:extLst>
              </xdr:cNvPr>
              <xdr:cNvSpPr/>
            </xdr:nvSpPr>
            <xdr:spPr bwMode="auto">
              <a:xfrm>
                <a:off x="3532769" y="1879610"/>
                <a:ext cx="100153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장외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13</xdr:row>
          <xdr:rowOff>9525</xdr:rowOff>
        </xdr:from>
        <xdr:to>
          <xdr:col>3</xdr:col>
          <xdr:colOff>409575</xdr:colOff>
          <xdr:row>14</xdr:row>
          <xdr:rowOff>28575</xdr:rowOff>
        </xdr:to>
        <xdr:sp macro="" textlink="">
          <xdr:nvSpPr>
            <xdr:cNvPr id="13322" name="Drop Down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2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9525</xdr:rowOff>
        </xdr:from>
        <xdr:to>
          <xdr:col>3</xdr:col>
          <xdr:colOff>409575</xdr:colOff>
          <xdr:row>16</xdr:row>
          <xdr:rowOff>28575</xdr:rowOff>
        </xdr:to>
        <xdr:sp macro="" textlink="">
          <xdr:nvSpPr>
            <xdr:cNvPr id="13323" name="Drop Down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2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29</xdr:row>
          <xdr:rowOff>9525</xdr:rowOff>
        </xdr:from>
        <xdr:to>
          <xdr:col>3</xdr:col>
          <xdr:colOff>409575</xdr:colOff>
          <xdr:row>30</xdr:row>
          <xdr:rowOff>28575</xdr:rowOff>
        </xdr:to>
        <xdr:sp macro="" textlink="">
          <xdr:nvSpPr>
            <xdr:cNvPr id="13324" name="Drop Down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2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25</xdr:row>
          <xdr:rowOff>9525</xdr:rowOff>
        </xdr:from>
        <xdr:to>
          <xdr:col>3</xdr:col>
          <xdr:colOff>409575</xdr:colOff>
          <xdr:row>26</xdr:row>
          <xdr:rowOff>28575</xdr:rowOff>
        </xdr:to>
        <xdr:sp macro="" textlink="">
          <xdr:nvSpPr>
            <xdr:cNvPr id="13329" name="Drop Down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2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23</xdr:row>
          <xdr:rowOff>9525</xdr:rowOff>
        </xdr:from>
        <xdr:to>
          <xdr:col>3</xdr:col>
          <xdr:colOff>409575</xdr:colOff>
          <xdr:row>24</xdr:row>
          <xdr:rowOff>28575</xdr:rowOff>
        </xdr:to>
        <xdr:sp macro="" textlink="">
          <xdr:nvSpPr>
            <xdr:cNvPr id="13330" name="Drop Down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2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19</xdr:row>
          <xdr:rowOff>9525</xdr:rowOff>
        </xdr:from>
        <xdr:to>
          <xdr:col>3</xdr:col>
          <xdr:colOff>409575</xdr:colOff>
          <xdr:row>20</xdr:row>
          <xdr:rowOff>28575</xdr:rowOff>
        </xdr:to>
        <xdr:sp macro="" textlink="">
          <xdr:nvSpPr>
            <xdr:cNvPr id="13331" name="Drop Down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2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17</xdr:row>
          <xdr:rowOff>9525</xdr:rowOff>
        </xdr:from>
        <xdr:to>
          <xdr:col>3</xdr:col>
          <xdr:colOff>409575</xdr:colOff>
          <xdr:row>18</xdr:row>
          <xdr:rowOff>28575</xdr:rowOff>
        </xdr:to>
        <xdr:sp macro="" textlink="">
          <xdr:nvSpPr>
            <xdr:cNvPr id="13332" name="Drop Down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2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21</xdr:row>
          <xdr:rowOff>9525</xdr:rowOff>
        </xdr:from>
        <xdr:to>
          <xdr:col>3</xdr:col>
          <xdr:colOff>409575</xdr:colOff>
          <xdr:row>22</xdr:row>
          <xdr:rowOff>28575</xdr:rowOff>
        </xdr:to>
        <xdr:sp macro="" textlink="">
          <xdr:nvSpPr>
            <xdr:cNvPr id="13333" name="Drop Down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2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27</xdr:row>
          <xdr:rowOff>9525</xdr:rowOff>
        </xdr:from>
        <xdr:to>
          <xdr:col>3</xdr:col>
          <xdr:colOff>409575</xdr:colOff>
          <xdr:row>28</xdr:row>
          <xdr:rowOff>28575</xdr:rowOff>
        </xdr:to>
        <xdr:sp macro="" textlink="">
          <xdr:nvSpPr>
            <xdr:cNvPr id="13334" name="Drop Down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2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9</xdr:col>
          <xdr:colOff>249219</xdr:colOff>
          <xdr:row>3</xdr:row>
          <xdr:rowOff>161364</xdr:rowOff>
        </xdr:from>
        <xdr:to>
          <xdr:col>11</xdr:col>
          <xdr:colOff>218739</xdr:colOff>
          <xdr:row>5</xdr:row>
          <xdr:rowOff>24204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GrpSpPr/>
          </xdr:nvGrpSpPr>
          <xdr:grpSpPr>
            <a:xfrm>
              <a:off x="4339366" y="788893"/>
              <a:ext cx="1269402" cy="243840"/>
              <a:chOff x="4910864" y="779927"/>
              <a:chExt cx="1439732" cy="311075"/>
            </a:xfrm>
          </xdr:grpSpPr>
          <xdr:sp macro="" textlink="">
            <xdr:nvSpPr>
              <xdr:cNvPr id="13374" name="Group Box 62" hidden="1">
                <a:extLst>
                  <a:ext uri="{63B3BB69-23CF-44E3-9099-C40C66FF867C}">
                    <a14:compatExt spid="_x0000_s13374"/>
                  </a:ext>
                  <a:ext uri="{FF2B5EF4-FFF2-40B4-BE49-F238E27FC236}">
                    <a16:creationId xmlns:a16="http://schemas.microsoft.com/office/drawing/2014/main" id="{00000000-0008-0000-0200-00003E340000}"/>
                  </a:ext>
                </a:extLst>
              </xdr:cNvPr>
              <xdr:cNvSpPr/>
            </xdr:nvSpPr>
            <xdr:spPr bwMode="auto">
              <a:xfrm>
                <a:off x="4910864" y="779927"/>
                <a:ext cx="1439732" cy="31107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</xdr:sp>
          <xdr:sp macro="" textlink="">
            <xdr:nvSpPr>
              <xdr:cNvPr id="13375" name="Option Button 63" hidden="1">
                <a:extLst>
                  <a:ext uri="{63B3BB69-23CF-44E3-9099-C40C66FF867C}">
                    <a14:compatExt spid="_x0000_s13375"/>
                  </a:ext>
                  <a:ext uri="{FF2B5EF4-FFF2-40B4-BE49-F238E27FC236}">
                    <a16:creationId xmlns:a16="http://schemas.microsoft.com/office/drawing/2014/main" id="{00000000-0008-0000-0200-00003F340000}"/>
                  </a:ext>
                </a:extLst>
              </xdr:cNvPr>
              <xdr:cNvSpPr/>
            </xdr:nvSpPr>
            <xdr:spPr bwMode="auto">
              <a:xfrm>
                <a:off x="4958827" y="816685"/>
                <a:ext cx="612000" cy="25011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수익률</a:t>
                </a:r>
              </a:p>
            </xdr:txBody>
          </xdr:sp>
          <xdr:sp macro="" textlink="">
            <xdr:nvSpPr>
              <xdr:cNvPr id="13376" name="Option Button 64" hidden="1">
                <a:extLst>
                  <a:ext uri="{63B3BB69-23CF-44E3-9099-C40C66FF867C}">
                    <a14:compatExt spid="_x0000_s13376"/>
                  </a:ext>
                  <a:ext uri="{FF2B5EF4-FFF2-40B4-BE49-F238E27FC236}">
                    <a16:creationId xmlns:a16="http://schemas.microsoft.com/office/drawing/2014/main" id="{00000000-0008-0000-0200-000040340000}"/>
                  </a:ext>
                </a:extLst>
              </xdr:cNvPr>
              <xdr:cNvSpPr/>
            </xdr:nvSpPr>
            <xdr:spPr bwMode="auto">
              <a:xfrm>
                <a:off x="5667039" y="816685"/>
                <a:ext cx="540000" cy="25011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가격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15</xdr:row>
          <xdr:rowOff>9525</xdr:rowOff>
        </xdr:from>
        <xdr:to>
          <xdr:col>3</xdr:col>
          <xdr:colOff>409575</xdr:colOff>
          <xdr:row>16</xdr:row>
          <xdr:rowOff>28575</xdr:rowOff>
        </xdr:to>
        <xdr:sp macro="" textlink="">
          <xdr:nvSpPr>
            <xdr:cNvPr id="13377" name="Drop Down 65" hidden="1">
              <a:extLst>
                <a:ext uri="{63B3BB69-23CF-44E3-9099-C40C66FF867C}">
                  <a14:compatExt spid="_x0000_s13377"/>
                </a:ext>
                <a:ext uri="{FF2B5EF4-FFF2-40B4-BE49-F238E27FC236}">
                  <a16:creationId xmlns:a16="http://schemas.microsoft.com/office/drawing/2014/main" id="{00000000-0008-0000-0200-00004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17</xdr:row>
          <xdr:rowOff>9525</xdr:rowOff>
        </xdr:from>
        <xdr:to>
          <xdr:col>3</xdr:col>
          <xdr:colOff>409575</xdr:colOff>
          <xdr:row>18</xdr:row>
          <xdr:rowOff>28575</xdr:rowOff>
        </xdr:to>
        <xdr:sp macro="" textlink="">
          <xdr:nvSpPr>
            <xdr:cNvPr id="13378" name="Drop Down 66" hidden="1">
              <a:extLst>
                <a:ext uri="{63B3BB69-23CF-44E3-9099-C40C66FF867C}">
                  <a14:compatExt spid="_x0000_s13378"/>
                </a:ext>
                <a:ext uri="{FF2B5EF4-FFF2-40B4-BE49-F238E27FC236}">
                  <a16:creationId xmlns:a16="http://schemas.microsoft.com/office/drawing/2014/main" id="{00000000-0008-0000-0200-00004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19</xdr:row>
          <xdr:rowOff>9525</xdr:rowOff>
        </xdr:from>
        <xdr:to>
          <xdr:col>3</xdr:col>
          <xdr:colOff>409575</xdr:colOff>
          <xdr:row>20</xdr:row>
          <xdr:rowOff>28575</xdr:rowOff>
        </xdr:to>
        <xdr:sp macro="" textlink="">
          <xdr:nvSpPr>
            <xdr:cNvPr id="13379" name="Drop Down 67" hidden="1">
              <a:extLst>
                <a:ext uri="{63B3BB69-23CF-44E3-9099-C40C66FF867C}">
                  <a14:compatExt spid="_x0000_s13379"/>
                </a:ext>
                <a:ext uri="{FF2B5EF4-FFF2-40B4-BE49-F238E27FC236}">
                  <a16:creationId xmlns:a16="http://schemas.microsoft.com/office/drawing/2014/main" id="{00000000-0008-0000-0200-00004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21</xdr:row>
          <xdr:rowOff>9525</xdr:rowOff>
        </xdr:from>
        <xdr:to>
          <xdr:col>3</xdr:col>
          <xdr:colOff>409575</xdr:colOff>
          <xdr:row>22</xdr:row>
          <xdr:rowOff>28575</xdr:rowOff>
        </xdr:to>
        <xdr:sp macro="" textlink="">
          <xdr:nvSpPr>
            <xdr:cNvPr id="13380" name="Drop Down 68" hidden="1">
              <a:extLst>
                <a:ext uri="{63B3BB69-23CF-44E3-9099-C40C66FF867C}">
                  <a14:compatExt spid="_x0000_s13380"/>
                </a:ext>
                <a:ext uri="{FF2B5EF4-FFF2-40B4-BE49-F238E27FC236}">
                  <a16:creationId xmlns:a16="http://schemas.microsoft.com/office/drawing/2014/main" id="{00000000-0008-0000-0200-00004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23</xdr:row>
          <xdr:rowOff>9525</xdr:rowOff>
        </xdr:from>
        <xdr:to>
          <xdr:col>3</xdr:col>
          <xdr:colOff>409575</xdr:colOff>
          <xdr:row>24</xdr:row>
          <xdr:rowOff>28575</xdr:rowOff>
        </xdr:to>
        <xdr:sp macro="" textlink="">
          <xdr:nvSpPr>
            <xdr:cNvPr id="13381" name="Drop Down 69" hidden="1">
              <a:extLst>
                <a:ext uri="{63B3BB69-23CF-44E3-9099-C40C66FF867C}">
                  <a14:compatExt spid="_x0000_s13381"/>
                </a:ext>
                <a:ext uri="{FF2B5EF4-FFF2-40B4-BE49-F238E27FC236}">
                  <a16:creationId xmlns:a16="http://schemas.microsoft.com/office/drawing/2014/main" id="{00000000-0008-0000-0200-00004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25</xdr:row>
          <xdr:rowOff>9525</xdr:rowOff>
        </xdr:from>
        <xdr:to>
          <xdr:col>3</xdr:col>
          <xdr:colOff>409575</xdr:colOff>
          <xdr:row>26</xdr:row>
          <xdr:rowOff>28575</xdr:rowOff>
        </xdr:to>
        <xdr:sp macro="" textlink="">
          <xdr:nvSpPr>
            <xdr:cNvPr id="13382" name="Drop Down 70" hidden="1">
              <a:extLst>
                <a:ext uri="{63B3BB69-23CF-44E3-9099-C40C66FF867C}">
                  <a14:compatExt spid="_x0000_s13382"/>
                </a:ext>
                <a:ext uri="{FF2B5EF4-FFF2-40B4-BE49-F238E27FC236}">
                  <a16:creationId xmlns:a16="http://schemas.microsoft.com/office/drawing/2014/main" id="{00000000-0008-0000-0200-00004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27</xdr:row>
          <xdr:rowOff>9525</xdr:rowOff>
        </xdr:from>
        <xdr:to>
          <xdr:col>3</xdr:col>
          <xdr:colOff>409575</xdr:colOff>
          <xdr:row>28</xdr:row>
          <xdr:rowOff>28575</xdr:rowOff>
        </xdr:to>
        <xdr:sp macro="" textlink="">
          <xdr:nvSpPr>
            <xdr:cNvPr id="13383" name="Drop Down 71" hidden="1">
              <a:extLst>
                <a:ext uri="{63B3BB69-23CF-44E3-9099-C40C66FF867C}">
                  <a14:compatExt spid="_x0000_s13383"/>
                </a:ext>
                <a:ext uri="{FF2B5EF4-FFF2-40B4-BE49-F238E27FC236}">
                  <a16:creationId xmlns:a16="http://schemas.microsoft.com/office/drawing/2014/main" id="{00000000-0008-0000-0200-00004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</xdr:colOff>
          <xdr:row>29</xdr:row>
          <xdr:rowOff>9525</xdr:rowOff>
        </xdr:from>
        <xdr:to>
          <xdr:col>3</xdr:col>
          <xdr:colOff>409575</xdr:colOff>
          <xdr:row>30</xdr:row>
          <xdr:rowOff>28575</xdr:rowOff>
        </xdr:to>
        <xdr:sp macro="" textlink="">
          <xdr:nvSpPr>
            <xdr:cNvPr id="13384" name="Drop Down 72" hidden="1">
              <a:extLst>
                <a:ext uri="{63B3BB69-23CF-44E3-9099-C40C66FF867C}">
                  <a14:compatExt spid="_x0000_s13384"/>
                </a:ext>
                <a:ext uri="{FF2B5EF4-FFF2-40B4-BE49-F238E27FC236}">
                  <a16:creationId xmlns:a16="http://schemas.microsoft.com/office/drawing/2014/main" id="{00000000-0008-0000-0200-00004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5" Type="http://schemas.openxmlformats.org/officeDocument/2006/relationships/ctrlProp" Target="../ctrlProps/ctrlProp2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2.xml"/><Relationship Id="rId13" Type="http://schemas.openxmlformats.org/officeDocument/2006/relationships/ctrlProp" Target="../ctrlProps/ctrlProp67.xml"/><Relationship Id="rId18" Type="http://schemas.openxmlformats.org/officeDocument/2006/relationships/ctrlProp" Target="../ctrlProps/ctrlProp72.xml"/><Relationship Id="rId26" Type="http://schemas.openxmlformats.org/officeDocument/2006/relationships/ctrlProp" Target="../ctrlProps/ctrlProp80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75.xml"/><Relationship Id="rId7" Type="http://schemas.openxmlformats.org/officeDocument/2006/relationships/ctrlProp" Target="../ctrlProps/ctrlProp61.xml"/><Relationship Id="rId12" Type="http://schemas.openxmlformats.org/officeDocument/2006/relationships/ctrlProp" Target="../ctrlProps/ctrlProp66.xml"/><Relationship Id="rId17" Type="http://schemas.openxmlformats.org/officeDocument/2006/relationships/ctrlProp" Target="../ctrlProps/ctrlProp71.xml"/><Relationship Id="rId25" Type="http://schemas.openxmlformats.org/officeDocument/2006/relationships/ctrlProp" Target="../ctrlProps/ctrlProp79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70.xml"/><Relationship Id="rId20" Type="http://schemas.openxmlformats.org/officeDocument/2006/relationships/ctrlProp" Target="../ctrlProps/ctrlProp7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0.xml"/><Relationship Id="rId11" Type="http://schemas.openxmlformats.org/officeDocument/2006/relationships/ctrlProp" Target="../ctrlProps/ctrlProp65.xml"/><Relationship Id="rId24" Type="http://schemas.openxmlformats.org/officeDocument/2006/relationships/ctrlProp" Target="../ctrlProps/ctrlProp78.xml"/><Relationship Id="rId5" Type="http://schemas.openxmlformats.org/officeDocument/2006/relationships/ctrlProp" Target="../ctrlProps/ctrlProp59.xml"/><Relationship Id="rId15" Type="http://schemas.openxmlformats.org/officeDocument/2006/relationships/ctrlProp" Target="../ctrlProps/ctrlProp69.xml"/><Relationship Id="rId23" Type="http://schemas.openxmlformats.org/officeDocument/2006/relationships/ctrlProp" Target="../ctrlProps/ctrlProp77.xml"/><Relationship Id="rId10" Type="http://schemas.openxmlformats.org/officeDocument/2006/relationships/ctrlProp" Target="../ctrlProps/ctrlProp64.xml"/><Relationship Id="rId19" Type="http://schemas.openxmlformats.org/officeDocument/2006/relationships/ctrlProp" Target="../ctrlProps/ctrlProp73.xml"/><Relationship Id="rId4" Type="http://schemas.openxmlformats.org/officeDocument/2006/relationships/ctrlProp" Target="../ctrlProps/ctrlProp58.xml"/><Relationship Id="rId9" Type="http://schemas.openxmlformats.org/officeDocument/2006/relationships/ctrlProp" Target="../ctrlProps/ctrlProp63.xml"/><Relationship Id="rId14" Type="http://schemas.openxmlformats.org/officeDocument/2006/relationships/ctrlProp" Target="../ctrlProps/ctrlProp68.xml"/><Relationship Id="rId22" Type="http://schemas.openxmlformats.org/officeDocument/2006/relationships/ctrlProp" Target="../ctrlProps/ctrlProp76.xml"/><Relationship Id="rId27" Type="http://schemas.openxmlformats.org/officeDocument/2006/relationships/ctrlProp" Target="../ctrlProps/ctrlProp8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86.xml"/><Relationship Id="rId13" Type="http://schemas.openxmlformats.org/officeDocument/2006/relationships/ctrlProp" Target="../ctrlProps/ctrlProp91.xml"/><Relationship Id="rId18" Type="http://schemas.openxmlformats.org/officeDocument/2006/relationships/ctrlProp" Target="../ctrlProps/ctrlProp96.xml"/><Relationship Id="rId26" Type="http://schemas.openxmlformats.org/officeDocument/2006/relationships/ctrlProp" Target="../ctrlProps/ctrlProp104.xml"/><Relationship Id="rId3" Type="http://schemas.openxmlformats.org/officeDocument/2006/relationships/vmlDrawing" Target="../drawings/vmlDrawing3.vml"/><Relationship Id="rId21" Type="http://schemas.openxmlformats.org/officeDocument/2006/relationships/ctrlProp" Target="../ctrlProps/ctrlProp99.xml"/><Relationship Id="rId7" Type="http://schemas.openxmlformats.org/officeDocument/2006/relationships/ctrlProp" Target="../ctrlProps/ctrlProp85.xml"/><Relationship Id="rId12" Type="http://schemas.openxmlformats.org/officeDocument/2006/relationships/ctrlProp" Target="../ctrlProps/ctrlProp90.xml"/><Relationship Id="rId17" Type="http://schemas.openxmlformats.org/officeDocument/2006/relationships/ctrlProp" Target="../ctrlProps/ctrlProp95.xml"/><Relationship Id="rId25" Type="http://schemas.openxmlformats.org/officeDocument/2006/relationships/ctrlProp" Target="../ctrlProps/ctrlProp103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94.xml"/><Relationship Id="rId20" Type="http://schemas.openxmlformats.org/officeDocument/2006/relationships/ctrlProp" Target="../ctrlProps/ctrlProp98.xml"/><Relationship Id="rId29" Type="http://schemas.openxmlformats.org/officeDocument/2006/relationships/ctrlProp" Target="../ctrlProps/ctrlProp107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84.xml"/><Relationship Id="rId11" Type="http://schemas.openxmlformats.org/officeDocument/2006/relationships/ctrlProp" Target="../ctrlProps/ctrlProp89.xml"/><Relationship Id="rId24" Type="http://schemas.openxmlformats.org/officeDocument/2006/relationships/ctrlProp" Target="../ctrlProps/ctrlProp102.xml"/><Relationship Id="rId5" Type="http://schemas.openxmlformats.org/officeDocument/2006/relationships/ctrlProp" Target="../ctrlProps/ctrlProp83.xml"/><Relationship Id="rId15" Type="http://schemas.openxmlformats.org/officeDocument/2006/relationships/ctrlProp" Target="../ctrlProps/ctrlProp93.xml"/><Relationship Id="rId23" Type="http://schemas.openxmlformats.org/officeDocument/2006/relationships/ctrlProp" Target="../ctrlProps/ctrlProp101.xml"/><Relationship Id="rId28" Type="http://schemas.openxmlformats.org/officeDocument/2006/relationships/ctrlProp" Target="../ctrlProps/ctrlProp106.xml"/><Relationship Id="rId10" Type="http://schemas.openxmlformats.org/officeDocument/2006/relationships/ctrlProp" Target="../ctrlProps/ctrlProp88.xml"/><Relationship Id="rId19" Type="http://schemas.openxmlformats.org/officeDocument/2006/relationships/ctrlProp" Target="../ctrlProps/ctrlProp97.xml"/><Relationship Id="rId4" Type="http://schemas.openxmlformats.org/officeDocument/2006/relationships/ctrlProp" Target="../ctrlProps/ctrlProp82.xml"/><Relationship Id="rId9" Type="http://schemas.openxmlformats.org/officeDocument/2006/relationships/ctrlProp" Target="../ctrlProps/ctrlProp87.xml"/><Relationship Id="rId14" Type="http://schemas.openxmlformats.org/officeDocument/2006/relationships/ctrlProp" Target="../ctrlProps/ctrlProp92.xml"/><Relationship Id="rId22" Type="http://schemas.openxmlformats.org/officeDocument/2006/relationships/ctrlProp" Target="../ctrlProps/ctrlProp100.xml"/><Relationship Id="rId27" Type="http://schemas.openxmlformats.org/officeDocument/2006/relationships/ctrlProp" Target="../ctrlProps/ctrlProp10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"/>
  <sheetViews>
    <sheetView showGridLines="0" showRowColHeaders="0" tabSelected="1" topLeftCell="B1" zoomScale="85" zoomScaleNormal="85" workbookViewId="0">
      <pane ySplit="7" topLeftCell="A8" activePane="bottomLeft" state="frozen"/>
      <selection activeCell="B1" sqref="B1"/>
      <selection pane="bottomLeft" activeCell="B1" sqref="B1"/>
    </sheetView>
  </sheetViews>
  <sheetFormatPr defaultColWidth="0" defaultRowHeight="15" zeroHeight="1"/>
  <cols>
    <col min="1" max="1" width="1.5703125" hidden="1" customWidth="1"/>
    <col min="2" max="2" width="1.5703125" customWidth="1"/>
    <col min="3" max="4" width="5.5703125" customWidth="1"/>
    <col min="5" max="16" width="9.7109375" bestFit="1" customWidth="1"/>
    <col min="17" max="17" width="1" customWidth="1"/>
    <col min="18" max="30" width="9" customWidth="1"/>
    <col min="31" max="16384" width="9" hidden="1"/>
  </cols>
  <sheetData>
    <row r="1" spans="3:29" ht="5.25" customHeight="1"/>
    <row r="2" spans="3:29" ht="34.5" customHeight="1">
      <c r="C2" s="51" t="s">
        <v>848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3:29" ht="9.75" customHeight="1"/>
    <row r="4" spans="3:29">
      <c r="C4" s="55"/>
      <c r="D4" s="55"/>
      <c r="E4" s="55"/>
      <c r="F4" s="55"/>
      <c r="G4" s="55"/>
      <c r="H4" s="55"/>
      <c r="I4" s="55"/>
    </row>
    <row r="5" spans="3:29">
      <c r="C5" s="55"/>
      <c r="D5" s="55"/>
      <c r="E5" s="55"/>
      <c r="F5" s="55"/>
      <c r="G5" s="55"/>
      <c r="H5" s="55"/>
      <c r="I5" s="55"/>
      <c r="J5" s="83" t="str">
        <f ca="1">IF( hist_data!$B$4="#N/A", " 없는 그룹입니다. 다른 채권이나 중개사를 선택하세요", IF(OFFSET(hist_data!$B$7, 0, hist_data!$D$3)=0, " 없는 기물입니다. 다른 기물을 선택하세요", ""))</f>
        <v/>
      </c>
      <c r="K5" s="84"/>
      <c r="L5" s="84"/>
      <c r="M5" s="84"/>
      <c r="N5" s="84"/>
      <c r="O5" s="85"/>
    </row>
    <row r="6" spans="3:29">
      <c r="C6" s="55"/>
      <c r="D6" s="55"/>
      <c r="E6" s="55"/>
      <c r="F6" s="55"/>
      <c r="G6" s="55"/>
      <c r="H6" s="55"/>
      <c r="I6" s="55"/>
    </row>
    <row r="7" spans="3:29" ht="7.5" customHeight="1"/>
    <row r="8" spans="3:29" ht="7.5" customHeight="1"/>
    <row r="9" spans="3:29"/>
    <row r="10" spans="3:29">
      <c r="J10" s="83" t="str">
        <f>IF( hist_data!$S$4="#N/A", " 없는 그룹입니다. 다른 채권이나 중개사를 선택하세요", "" )</f>
        <v/>
      </c>
      <c r="K10" s="84"/>
      <c r="L10" s="84"/>
      <c r="M10" s="84"/>
      <c r="N10" s="84"/>
      <c r="O10" s="85"/>
    </row>
    <row r="11" spans="3:29"/>
    <row r="12" spans="3:29" ht="15.75" thickBot="1"/>
    <row r="13" spans="3:29" ht="15.75" hidden="1" thickBot="1">
      <c r="E13" s="41">
        <f>hist_data!$B7</f>
        <v>45520</v>
      </c>
      <c r="F13" s="41">
        <f>hist_data!$B8</f>
        <v>45518</v>
      </c>
      <c r="G13" s="41">
        <f>hist_data!$B9</f>
        <v>45517</v>
      </c>
      <c r="H13" s="41">
        <f>hist_data!$B10</f>
        <v>45516</v>
      </c>
      <c r="I13" s="41">
        <f>hist_data!$B11</f>
        <v>45513</v>
      </c>
      <c r="J13" s="41">
        <f>hist_data!$B12</f>
        <v>45512</v>
      </c>
      <c r="K13" s="41">
        <f>hist_data!$B13</f>
        <v>45511</v>
      </c>
      <c r="L13" s="41">
        <f>hist_data!$B14</f>
        <v>45510</v>
      </c>
      <c r="M13" s="41">
        <f>hist_data!$B15</f>
        <v>45509</v>
      </c>
      <c r="N13" s="41">
        <f>hist_data!$B16</f>
        <v>45506</v>
      </c>
      <c r="O13" s="41">
        <f>hist_data!$B17</f>
        <v>45505</v>
      </c>
      <c r="P13" s="41">
        <f>hist_data!$B18</f>
        <v>45504</v>
      </c>
      <c r="R13">
        <v>20</v>
      </c>
      <c r="S13">
        <v>20</v>
      </c>
      <c r="T13">
        <v>20</v>
      </c>
      <c r="U13">
        <v>60</v>
      </c>
      <c r="V13">
        <v>60</v>
      </c>
      <c r="W13">
        <v>60</v>
      </c>
      <c r="X13">
        <v>120</v>
      </c>
      <c r="Y13">
        <v>120</v>
      </c>
      <c r="Z13">
        <v>120</v>
      </c>
      <c r="AA13">
        <v>250</v>
      </c>
      <c r="AB13">
        <v>250</v>
      </c>
      <c r="AC13">
        <v>250</v>
      </c>
    </row>
    <row r="14" spans="3:29" s="20" customFormat="1" ht="13.5" customHeight="1">
      <c r="C14" s="90" t="s">
        <v>846</v>
      </c>
      <c r="D14" s="91"/>
      <c r="E14" s="35" t="str">
        <f>TEXT(E$13, "YYYY")</f>
        <v>2024</v>
      </c>
      <c r="F14" s="36" t="str">
        <f t="shared" ref="F14:P14" si="0">TEXT(F$13, "YYYY")</f>
        <v>2024</v>
      </c>
      <c r="G14" s="36" t="str">
        <f t="shared" si="0"/>
        <v>2024</v>
      </c>
      <c r="H14" s="36" t="str">
        <f t="shared" si="0"/>
        <v>2024</v>
      </c>
      <c r="I14" s="36" t="str">
        <f t="shared" si="0"/>
        <v>2024</v>
      </c>
      <c r="J14" s="36" t="str">
        <f t="shared" si="0"/>
        <v>2024</v>
      </c>
      <c r="K14" s="36" t="str">
        <f t="shared" si="0"/>
        <v>2024</v>
      </c>
      <c r="L14" s="36" t="str">
        <f t="shared" si="0"/>
        <v>2024</v>
      </c>
      <c r="M14" s="36" t="str">
        <f t="shared" si="0"/>
        <v>2024</v>
      </c>
      <c r="N14" s="36" t="str">
        <f t="shared" si="0"/>
        <v>2024</v>
      </c>
      <c r="O14" s="36" t="str">
        <f t="shared" si="0"/>
        <v>2024</v>
      </c>
      <c r="P14" s="37" t="str">
        <f t="shared" si="0"/>
        <v>2024</v>
      </c>
      <c r="R14" s="94" t="s">
        <v>839</v>
      </c>
      <c r="S14" s="95"/>
      <c r="T14" s="96"/>
      <c r="U14" s="94" t="s">
        <v>840</v>
      </c>
      <c r="V14" s="95"/>
      <c r="W14" s="96"/>
      <c r="X14" s="94" t="s">
        <v>842</v>
      </c>
      <c r="Y14" s="95"/>
      <c r="Z14" s="96"/>
      <c r="AA14" s="94" t="s">
        <v>841</v>
      </c>
      <c r="AB14" s="95"/>
      <c r="AC14" s="96"/>
    </row>
    <row r="15" spans="3:29" s="20" customFormat="1" ht="13.5" customHeight="1" thickBot="1">
      <c r="C15" s="92"/>
      <c r="D15" s="93"/>
      <c r="E15" s="38" t="str">
        <f>TEXT(E$13, "MM-DD")</f>
        <v>08-16</v>
      </c>
      <c r="F15" s="39" t="str">
        <f t="shared" ref="F15:P15" si="1">TEXT(F$13, "MM-DD")</f>
        <v>08-14</v>
      </c>
      <c r="G15" s="39" t="str">
        <f t="shared" si="1"/>
        <v>08-13</v>
      </c>
      <c r="H15" s="39" t="str">
        <f t="shared" si="1"/>
        <v>08-12</v>
      </c>
      <c r="I15" s="39" t="str">
        <f t="shared" si="1"/>
        <v>08-09</v>
      </c>
      <c r="J15" s="39" t="str">
        <f t="shared" si="1"/>
        <v>08-08</v>
      </c>
      <c r="K15" s="39" t="str">
        <f t="shared" si="1"/>
        <v>08-07</v>
      </c>
      <c r="L15" s="39" t="str">
        <f t="shared" si="1"/>
        <v>08-06</v>
      </c>
      <c r="M15" s="39" t="str">
        <f t="shared" si="1"/>
        <v>08-05</v>
      </c>
      <c r="N15" s="39" t="str">
        <f t="shared" si="1"/>
        <v>08-02</v>
      </c>
      <c r="O15" s="39" t="str">
        <f t="shared" si="1"/>
        <v>08-01</v>
      </c>
      <c r="P15" s="40" t="str">
        <f t="shared" si="1"/>
        <v>07-31</v>
      </c>
      <c r="Q15" s="27"/>
      <c r="R15" s="38" t="s">
        <v>843</v>
      </c>
      <c r="S15" s="39" t="s">
        <v>845</v>
      </c>
      <c r="T15" s="40" t="s">
        <v>844</v>
      </c>
      <c r="U15" s="38" t="s">
        <v>843</v>
      </c>
      <c r="V15" s="39" t="s">
        <v>845</v>
      </c>
      <c r="W15" s="40" t="s">
        <v>844</v>
      </c>
      <c r="X15" s="38" t="s">
        <v>843</v>
      </c>
      <c r="Y15" s="39" t="s">
        <v>845</v>
      </c>
      <c r="Z15" s="40" t="s">
        <v>844</v>
      </c>
      <c r="AA15" s="38" t="s">
        <v>843</v>
      </c>
      <c r="AB15" s="39" t="s">
        <v>845</v>
      </c>
      <c r="AC15" s="40" t="s">
        <v>844</v>
      </c>
    </row>
    <row r="16" spans="3:29" s="20" customFormat="1" ht="13.5" thickBot="1">
      <c r="C16" s="50" t="s">
        <v>838</v>
      </c>
      <c r="D16" s="44" t="s">
        <v>837</v>
      </c>
      <c r="E16" s="45" cm="1">
        <f t="array" ref="E16">IF( INDEX( hist_data!$B$6:$R$256, MATCH(E$13, hist_data!$B$6:$B$256, 0), hist_data!$D$3+1)=0, "", INDEX( hist_data!$B$6:$R$256, MATCH(E$13, hist_data!$B$6:$B$256, 0), hist_data!$D$3+1))</f>
        <v>2.9220000000000002</v>
      </c>
      <c r="F16" s="28" cm="1">
        <f t="array" ref="F16">IF( INDEX( hist_data!$B$6:$R$256, MATCH(F$13, hist_data!$B$6:$B$256, 0), hist_data!$D$3+1)=0, "", INDEX( hist_data!$B$6:$R$256, MATCH(F$13, hist_data!$B$6:$B$256, 0), hist_data!$D$3+1))</f>
        <v>2.887</v>
      </c>
      <c r="G16" s="28" cm="1">
        <f t="array" ref="G16">IF( INDEX( hist_data!$B$6:$R$256, MATCH(G$13, hist_data!$B$6:$B$256, 0), hist_data!$D$3+1)=0, "", INDEX( hist_data!$B$6:$R$256, MATCH(G$13, hist_data!$B$6:$B$256, 0), hist_data!$D$3+1))</f>
        <v>2.915</v>
      </c>
      <c r="H16" s="28" cm="1">
        <f t="array" ref="H16">IF( INDEX( hist_data!$B$6:$R$256, MATCH(H$13, hist_data!$B$6:$B$256, 0), hist_data!$D$3+1)=0, "", INDEX( hist_data!$B$6:$R$256, MATCH(H$13, hist_data!$B$6:$B$256, 0), hist_data!$D$3+1))</f>
        <v>2.9449999999999998</v>
      </c>
      <c r="I16" s="28" cm="1">
        <f t="array" ref="I16">IF( INDEX( hist_data!$B$6:$R$256, MATCH(I$13, hist_data!$B$6:$B$256, 0), hist_data!$D$3+1)=0, "", INDEX( hist_data!$B$6:$R$256, MATCH(I$13, hist_data!$B$6:$B$256, 0), hist_data!$D$3+1))</f>
        <v>2.94</v>
      </c>
      <c r="J16" s="28" cm="1">
        <f t="array" ref="J16">IF( INDEX( hist_data!$B$6:$R$256, MATCH(J$13, hist_data!$B$6:$B$256, 0), hist_data!$D$3+1)=0, "", INDEX( hist_data!$B$6:$R$256, MATCH(J$13, hist_data!$B$6:$B$256, 0), hist_data!$D$3+1))</f>
        <v>2.919</v>
      </c>
      <c r="K16" s="28" cm="1">
        <f t="array" ref="K16">IF( INDEX( hist_data!$B$6:$R$256, MATCH(K$13, hist_data!$B$6:$B$256, 0), hist_data!$D$3+1)=0, "", INDEX( hist_data!$B$6:$R$256, MATCH(K$13, hist_data!$B$6:$B$256, 0), hist_data!$D$3+1))</f>
        <v>2.931</v>
      </c>
      <c r="L16" s="28" cm="1">
        <f t="array" ref="L16">IF( INDEX( hist_data!$B$6:$R$256, MATCH(L$13, hist_data!$B$6:$B$256, 0), hist_data!$D$3+1)=0, "", INDEX( hist_data!$B$6:$R$256, MATCH(L$13, hist_data!$B$6:$B$256, 0), hist_data!$D$3+1))</f>
        <v>2.94</v>
      </c>
      <c r="M16" s="28" cm="1">
        <f t="array" ref="M16">IF( INDEX( hist_data!$B$6:$R$256, MATCH(M$13, hist_data!$B$6:$B$256, 0), hist_data!$D$3+1)=0, "", INDEX( hist_data!$B$6:$R$256, MATCH(M$13, hist_data!$B$6:$B$256, 0), hist_data!$D$3+1))</f>
        <v>2.8149999999999999</v>
      </c>
      <c r="N16" s="28" cm="1">
        <f t="array" ref="N16">IF( INDEX( hist_data!$B$6:$R$256, MATCH(N$13, hist_data!$B$6:$B$256, 0), hist_data!$D$3+1)=0, "", INDEX( hist_data!$B$6:$R$256, MATCH(N$13, hist_data!$B$6:$B$256, 0), hist_data!$D$3+1))</f>
        <v>2.9359999999999999</v>
      </c>
      <c r="O16" s="28" cm="1">
        <f t="array" ref="O16">IF( INDEX( hist_data!$B$6:$R$256, MATCH(O$13, hist_data!$B$6:$B$256, 0), hist_data!$D$3+1)=0, "", INDEX( hist_data!$B$6:$R$256, MATCH(O$13, hist_data!$B$6:$B$256, 0), hist_data!$D$3+1))</f>
        <v>2.9750000000000001</v>
      </c>
      <c r="P16" s="29" cm="1">
        <f t="array" ref="P16">IF( INDEX( hist_data!$B$6:$R$256, MATCH(P$13, hist_data!$B$6:$B$256, 0), hist_data!$D$3+1)=0, "", INDEX( hist_data!$B$6:$R$256, MATCH(P$13, hist_data!$B$6:$B$256, 0), hist_data!$D$3+1))</f>
        <v>3</v>
      </c>
      <c r="R16" s="45">
        <f ca="1">IF( $E16="", "", AVERAGE( OFFSET( hist_data!$B$7, 0, hist_data!$D$3, R$13) ) )</f>
        <v>2.970050000000001</v>
      </c>
      <c r="S16" s="28">
        <f ca="1">IF( $E16="", "", MAX( OFFSET( hist_data!$B$7, 0, hist_data!$D$3, S$13) ) )</f>
        <v>3.0870000000000002</v>
      </c>
      <c r="T16" s="29">
        <f ca="1">IF( $E16="", "", MIN( OFFSET( hist_data!$B$7, 0, hist_data!$D$3, T$13) ) )</f>
        <v>2.8149999999999999</v>
      </c>
      <c r="U16" s="45">
        <f ca="1">IF( $E16="", "", AVERAGE( OFFSET( hist_data!$B$7, 0, hist_data!$D$3, U$13) ) )</f>
        <v>3.1466333333333325</v>
      </c>
      <c r="V16" s="28">
        <f ca="1">IF( $E16="", "", MAX( OFFSET( hist_data!$B$7, 0, hist_data!$D$3, V$13) ) )</f>
        <v>3.452</v>
      </c>
      <c r="W16" s="29">
        <f ca="1">IF( $E16="", "", MIN( OFFSET( hist_data!$B$7, 0, hist_data!$D$3, W$13) ) )</f>
        <v>2.8149999999999999</v>
      </c>
      <c r="X16" s="45">
        <f ca="1">IF( $E16="", "", AVERAGE( OFFSET( hist_data!$B$7, 0, hist_data!$D$3, X$13) ) )</f>
        <v>3.2661916666666659</v>
      </c>
      <c r="Y16" s="28">
        <f ca="1">IF( $E16="", "", MAX( OFFSET( hist_data!$B$7, 0, hist_data!$D$3, Y$13) ) )</f>
        <v>3.54</v>
      </c>
      <c r="Z16" s="29">
        <f ca="1">IF( $E16="", "", MIN( OFFSET( hist_data!$B$7, 0, hist_data!$D$3, Z$13) ) )</f>
        <v>2.8149999999999999</v>
      </c>
      <c r="AA16" s="45">
        <f ca="1">IF( $E16="", "", AVERAGE( OFFSET( hist_data!$B$7, 0, hist_data!$D$3, AA$13) ) )</f>
        <v>3.4509519999999996</v>
      </c>
      <c r="AB16" s="28">
        <f ca="1">IF( $E16="", "", MAX( OFFSET( hist_data!$B$7, 0, hist_data!$D$3, AB$13) ) )</f>
        <v>4.1399999999999997</v>
      </c>
      <c r="AC16" s="29">
        <f ca="1">IF( $E16="", "", MIN( OFFSET( hist_data!$B$7, 0, hist_data!$D$3, AC$13) ) )</f>
        <v>2.8149999999999999</v>
      </c>
    </row>
    <row r="17" spans="1:29" s="20" customFormat="1" ht="12.75">
      <c r="A17" s="20">
        <v>1</v>
      </c>
      <c r="C17" s="21" t="str" cm="1">
        <f t="array" ref="C17">INDEX(hist_data!$A$6:$A$21, Hist!$A17)</f>
        <v>03M</v>
      </c>
      <c r="D17" s="42"/>
      <c r="E17" s="46" cm="1">
        <f t="array" ref="E17">IF( INDEX(hist_data!$S$6:$AI$256, MATCH(E$13, hist_data!$S$6:$S$256, 0), MATCH($C17, hist_data!$A$6:$A$21, 0)+1)=0, "", INDEX(hist_data!$S$6:$AI$256, MATCH(E$13, hist_data!$S$6:$S$256, 0), MATCH($C17, hist_data!$A$6:$A$21, 0)+1) )</f>
        <v>3.3929999999999998</v>
      </c>
      <c r="F17" s="22" cm="1">
        <f t="array" ref="F17">IF( INDEX(hist_data!$S$6:$AI$256, MATCH(F$13, hist_data!$S$6:$S$256, 0), MATCH($C17, hist_data!$A$6:$A$21, 0)+1)=0, "", INDEX(hist_data!$S$6:$AI$256, MATCH(F$13, hist_data!$S$6:$S$256, 0), MATCH($C17, hist_data!$A$6:$A$21, 0)+1) )</f>
        <v>3.3879999999999999</v>
      </c>
      <c r="G17" s="22" cm="1">
        <f t="array" ref="G17">IF( INDEX(hist_data!$S$6:$AI$256, MATCH(G$13, hist_data!$S$6:$S$256, 0), MATCH($C17, hist_data!$A$6:$A$21, 0)+1)=0, "", INDEX(hist_data!$S$6:$AI$256, MATCH(G$13, hist_data!$S$6:$S$256, 0), MATCH($C17, hist_data!$A$6:$A$21, 0)+1) )</f>
        <v>3.3860000000000001</v>
      </c>
      <c r="H17" s="22" cm="1">
        <f t="array" ref="H17">IF( INDEX(hist_data!$S$6:$AI$256, MATCH(H$13, hist_data!$S$6:$S$256, 0), MATCH($C17, hist_data!$A$6:$A$21, 0)+1)=0, "", INDEX(hist_data!$S$6:$AI$256, MATCH(H$13, hist_data!$S$6:$S$256, 0), MATCH($C17, hist_data!$A$6:$A$21, 0)+1) )</f>
        <v>3.3860000000000001</v>
      </c>
      <c r="I17" s="22" cm="1">
        <f t="array" ref="I17">IF( INDEX(hist_data!$S$6:$AI$256, MATCH(I$13, hist_data!$S$6:$S$256, 0), MATCH($C17, hist_data!$A$6:$A$21, 0)+1)=0, "", INDEX(hist_data!$S$6:$AI$256, MATCH(I$13, hist_data!$S$6:$S$256, 0), MATCH($C17, hist_data!$A$6:$A$21, 0)+1) )</f>
        <v>3.383</v>
      </c>
      <c r="J17" s="22" cm="1">
        <f t="array" ref="J17">IF( INDEX(hist_data!$S$6:$AI$256, MATCH(J$13, hist_data!$S$6:$S$256, 0), MATCH($C17, hist_data!$A$6:$A$21, 0)+1)=0, "", INDEX(hist_data!$S$6:$AI$256, MATCH(J$13, hist_data!$S$6:$S$256, 0), MATCH($C17, hist_data!$A$6:$A$21, 0)+1) )</f>
        <v>3.38</v>
      </c>
      <c r="K17" s="22" cm="1">
        <f t="array" ref="K17">IF( INDEX(hist_data!$S$6:$AI$256, MATCH(K$13, hist_data!$S$6:$S$256, 0), MATCH($C17, hist_data!$A$6:$A$21, 0)+1)=0, "", INDEX(hist_data!$S$6:$AI$256, MATCH(K$13, hist_data!$S$6:$S$256, 0), MATCH($C17, hist_data!$A$6:$A$21, 0)+1) )</f>
        <v>3.3759999999999999</v>
      </c>
      <c r="L17" s="22" cm="1">
        <f t="array" ref="L17">IF( INDEX(hist_data!$S$6:$AI$256, MATCH(L$13, hist_data!$S$6:$S$256, 0), MATCH($C17, hist_data!$A$6:$A$21, 0)+1)=0, "", INDEX(hist_data!$S$6:$AI$256, MATCH(L$13, hist_data!$S$6:$S$256, 0), MATCH($C17, hist_data!$A$6:$A$21, 0)+1) )</f>
        <v>3.3610000000000002</v>
      </c>
      <c r="M17" s="22" cm="1">
        <f t="array" ref="M17">IF( INDEX(hist_data!$S$6:$AI$256, MATCH(M$13, hist_data!$S$6:$S$256, 0), MATCH($C17, hist_data!$A$6:$A$21, 0)+1)=0, "", INDEX(hist_data!$S$6:$AI$256, MATCH(M$13, hist_data!$S$6:$S$256, 0), MATCH($C17, hist_data!$A$6:$A$21, 0)+1) )</f>
        <v>3.351</v>
      </c>
      <c r="N17" s="22" cm="1">
        <f t="array" ref="N17">IF( INDEX(hist_data!$S$6:$AI$256, MATCH(N$13, hist_data!$S$6:$S$256, 0), MATCH($C17, hist_data!$A$6:$A$21, 0)+1)=0, "", INDEX(hist_data!$S$6:$AI$256, MATCH(N$13, hist_data!$S$6:$S$256, 0), MATCH($C17, hist_data!$A$6:$A$21, 0)+1) )</f>
        <v>3.39</v>
      </c>
      <c r="O17" s="22" cm="1">
        <f t="array" ref="O17">IF( INDEX(hist_data!$S$6:$AI$256, MATCH(O$13, hist_data!$S$6:$S$256, 0), MATCH($C17, hist_data!$A$6:$A$21, 0)+1)=0, "", INDEX(hist_data!$S$6:$AI$256, MATCH(O$13, hist_data!$S$6:$S$256, 0), MATCH($C17, hist_data!$A$6:$A$21, 0)+1) )</f>
        <v>3.3929999999999998</v>
      </c>
      <c r="P17" s="23" cm="1">
        <f t="array" ref="P17">IF( INDEX(hist_data!$S$6:$AI$256, MATCH(P$13, hist_data!$S$6:$S$256, 0), MATCH($C17, hist_data!$A$6:$A$21, 0)+1)=0, "", INDEX(hist_data!$S$6:$AI$256, MATCH(P$13, hist_data!$S$6:$S$256, 0), MATCH($C17, hist_data!$A$6:$A$21, 0)+1) )</f>
        <v>3.3929999999999998</v>
      </c>
      <c r="R17" s="46">
        <f ca="1">IF($E17="", "", AVERAGE( OFFSET( hist_data!$S$7, 0, MATCH($C17, hist_data!$A$6:$A$21, 0), R$13 ) ))</f>
        <v>3.3868000000000009</v>
      </c>
      <c r="S17" s="22">
        <f ca="1">IF($E17="","",MAX(OFFSET(hist_data!$S$7,0,MATCH($C17,hist_data!$A$6:$A$21,0),S$13)))</f>
        <v>3.3980000000000001</v>
      </c>
      <c r="T17" s="23">
        <f ca="1">IF($E17="","",MIN(OFFSET(hist_data!$S$7,0,MATCH($C17,hist_data!$A$6:$A$21,0),T$13)))</f>
        <v>3.351</v>
      </c>
      <c r="U17" s="46">
        <f ca="1">IF($E17="", "", AVERAGE( OFFSET( hist_data!$S$7, 0, MATCH($C17, hist_data!$A$6:$A$21, 0), U$13 ) ))</f>
        <v>3.4558333333333331</v>
      </c>
      <c r="V17" s="22">
        <f ca="1">IF($E17="","",MAX(OFFSET(hist_data!$S$7,0,MATCH($C17,hist_data!$A$6:$A$21,0),V$13)))</f>
        <v>3.5339999999999998</v>
      </c>
      <c r="W17" s="23">
        <f ca="1">IF($E17="","",MIN(OFFSET(hist_data!$S$7,0,MATCH($C17,hist_data!$A$6:$A$21,0),W$13)))</f>
        <v>3.351</v>
      </c>
      <c r="X17" s="46">
        <f ca="1">IF($E17="", "", AVERAGE( OFFSET( hist_data!$S$7, 0, MATCH($C17, hist_data!$A$6:$A$21, 0), X$13 ) ))</f>
        <v>3.508016666666669</v>
      </c>
      <c r="Y17" s="22">
        <f ca="1">IF($E17="","",MAX(OFFSET(hist_data!$S$7,0,MATCH($C17,hist_data!$A$6:$A$21,0),Y$13)))</f>
        <v>3.6339999999999999</v>
      </c>
      <c r="Z17" s="23">
        <f ca="1">IF($E17="","",MIN(OFFSET(hist_data!$S$7,0,MATCH($C17,hist_data!$A$6:$A$21,0),Z$13)))</f>
        <v>3.351</v>
      </c>
      <c r="AA17" s="46">
        <f ca="1">IF($E17="", "", AVERAGE( OFFSET( hist_data!$S$7, 0, MATCH($C17, hist_data!$A$6:$A$21, 0), AA$13 ) ))</f>
        <v>3.6417479999999993</v>
      </c>
      <c r="AB17" s="22">
        <f ca="1">IF($E17="","",MAX(OFFSET(hist_data!$S$7,0,MATCH($C17,hist_data!$A$6:$A$21,0),AB$13)))</f>
        <v>3.9119999999999999</v>
      </c>
      <c r="AC17" s="23">
        <f ca="1">IF($E17="","",MIN(OFFSET(hist_data!$S$7,0,MATCH($C17,hist_data!$A$6:$A$21,0),AC$13)))</f>
        <v>3.351</v>
      </c>
    </row>
    <row r="18" spans="1:29" s="20" customFormat="1" ht="12.75">
      <c r="C18" s="88" t="s">
        <v>836</v>
      </c>
      <c r="D18" s="89"/>
      <c r="E18" s="56">
        <f>IFERROR( (E$16-E17)*100, "")</f>
        <v>-47.099999999999966</v>
      </c>
      <c r="F18" s="30">
        <f t="shared" ref="F18" si="2">IFERROR( (F$16-F17)*100, "")</f>
        <v>-50.099999999999987</v>
      </c>
      <c r="G18" s="30">
        <f t="shared" ref="G18" si="3">IFERROR( (G$16-G17)*100, "")</f>
        <v>-47.100000000000009</v>
      </c>
      <c r="H18" s="30">
        <f t="shared" ref="H18" si="4">IFERROR( (H$16-H17)*100, "")</f>
        <v>-44.10000000000003</v>
      </c>
      <c r="I18" s="30">
        <f t="shared" ref="I18" si="5">IFERROR( (I$16-I17)*100, "")</f>
        <v>-44.300000000000004</v>
      </c>
      <c r="J18" s="30">
        <f t="shared" ref="J18" si="6">IFERROR( (J$16-J17)*100, "")</f>
        <v>-46.099999999999987</v>
      </c>
      <c r="K18" s="30">
        <f t="shared" ref="K18" si="7">IFERROR( (K$16-K17)*100, "")</f>
        <v>-44.499999999999986</v>
      </c>
      <c r="L18" s="30">
        <f t="shared" ref="L18" si="8">IFERROR( (L$16-L17)*100, "")</f>
        <v>-42.100000000000023</v>
      </c>
      <c r="M18" s="30">
        <f t="shared" ref="M18" si="9">IFERROR( (M$16-M17)*100, "")</f>
        <v>-53.6</v>
      </c>
      <c r="N18" s="30">
        <f t="shared" ref="N18" si="10">IFERROR( (N$16-N17)*100, "")</f>
        <v>-45.40000000000002</v>
      </c>
      <c r="O18" s="30">
        <f t="shared" ref="O18" si="11">IFERROR( (O$16-O17)*100, "")</f>
        <v>-41.799999999999969</v>
      </c>
      <c r="P18" s="31">
        <f t="shared" ref="P18" si="12">IFERROR( (P$16-P17)*100, "")</f>
        <v>-39.299999999999983</v>
      </c>
      <c r="R18" s="47">
        <f ca="1">IFERROR( (R$16-R17)*100, "")</f>
        <v>-41.674999999999997</v>
      </c>
      <c r="S18" s="30">
        <f t="shared" ref="S18:AC18" ca="1" si="13">IFERROR( (S$16-S17)*100, "")</f>
        <v>-31.099999999999994</v>
      </c>
      <c r="T18" s="31">
        <f t="shared" ca="1" si="13"/>
        <v>-53.6</v>
      </c>
      <c r="U18" s="47">
        <f t="shared" ca="1" si="13"/>
        <v>-30.920000000000059</v>
      </c>
      <c r="V18" s="30">
        <f t="shared" ca="1" si="13"/>
        <v>-8.1999999999999851</v>
      </c>
      <c r="W18" s="31">
        <f t="shared" ca="1" si="13"/>
        <v>-53.6</v>
      </c>
      <c r="X18" s="47">
        <f t="shared" ca="1" si="13"/>
        <v>-24.182500000000307</v>
      </c>
      <c r="Y18" s="30">
        <f t="shared" ca="1" si="13"/>
        <v>-9.3999999999999861</v>
      </c>
      <c r="Z18" s="31">
        <f t="shared" ca="1" si="13"/>
        <v>-53.6</v>
      </c>
      <c r="AA18" s="47">
        <f t="shared" ca="1" si="13"/>
        <v>-19.079599999999974</v>
      </c>
      <c r="AB18" s="30">
        <f t="shared" ca="1" si="13"/>
        <v>22.799999999999976</v>
      </c>
      <c r="AC18" s="31">
        <f t="shared" ca="1" si="13"/>
        <v>-53.6</v>
      </c>
    </row>
    <row r="19" spans="1:29" s="20" customFormat="1" ht="12.75">
      <c r="A19" s="20">
        <v>2</v>
      </c>
      <c r="C19" s="24" t="str" cm="1">
        <f t="array" ref="C19">INDEX(hist_data!$A$6:$A$21, Hist!$A19)</f>
        <v>06M</v>
      </c>
      <c r="D19" s="43"/>
      <c r="E19" s="48" cm="1">
        <f t="array" ref="E19">IF( INDEX(hist_data!$S$6:$AI$256, MATCH(E$13, hist_data!$S$6:$S$256, 0), MATCH($C19, hist_data!$A$6:$A$21, 0)+1)=0, "", INDEX(hist_data!$S$6:$AI$256, MATCH(E$13, hist_data!$S$6:$S$256, 0), MATCH($C19, hist_data!$A$6:$A$21, 0)+1) )</f>
        <v>3.3610000000000002</v>
      </c>
      <c r="F19" s="25" cm="1">
        <f t="array" ref="F19">IF( INDEX(hist_data!$S$6:$AI$256, MATCH(F$13, hist_data!$S$6:$S$256, 0), MATCH($C19, hist_data!$A$6:$A$21, 0)+1)=0, "", INDEX(hist_data!$S$6:$AI$256, MATCH(F$13, hist_data!$S$6:$S$256, 0), MATCH($C19, hist_data!$A$6:$A$21, 0)+1) )</f>
        <v>3.3479999999999999</v>
      </c>
      <c r="G19" s="25" cm="1">
        <f t="array" ref="G19">IF( INDEX(hist_data!$S$6:$AI$256, MATCH(G$13, hist_data!$S$6:$S$256, 0), MATCH($C19, hist_data!$A$6:$A$21, 0)+1)=0, "", INDEX(hist_data!$S$6:$AI$256, MATCH(G$13, hist_data!$S$6:$S$256, 0), MATCH($C19, hist_data!$A$6:$A$21, 0)+1) )</f>
        <v>3.3479999999999999</v>
      </c>
      <c r="H19" s="25" cm="1">
        <f t="array" ref="H19">IF( INDEX(hist_data!$S$6:$AI$256, MATCH(H$13, hist_data!$S$6:$S$256, 0), MATCH($C19, hist_data!$A$6:$A$21, 0)+1)=0, "", INDEX(hist_data!$S$6:$AI$256, MATCH(H$13, hist_data!$S$6:$S$256, 0), MATCH($C19, hist_data!$A$6:$A$21, 0)+1) )</f>
        <v>3.3479999999999999</v>
      </c>
      <c r="I19" s="25" cm="1">
        <f t="array" ref="I19">IF( INDEX(hist_data!$S$6:$AI$256, MATCH(I$13, hist_data!$S$6:$S$256, 0), MATCH($C19, hist_data!$A$6:$A$21, 0)+1)=0, "", INDEX(hist_data!$S$6:$AI$256, MATCH(I$13, hist_data!$S$6:$S$256, 0), MATCH($C19, hist_data!$A$6:$A$21, 0)+1) )</f>
        <v>3.3420000000000001</v>
      </c>
      <c r="J19" s="25" cm="1">
        <f t="array" ref="J19">IF( INDEX(hist_data!$S$6:$AI$256, MATCH(J$13, hist_data!$S$6:$S$256, 0), MATCH($C19, hist_data!$A$6:$A$21, 0)+1)=0, "", INDEX(hist_data!$S$6:$AI$256, MATCH(J$13, hist_data!$S$6:$S$256, 0), MATCH($C19, hist_data!$A$6:$A$21, 0)+1) )</f>
        <v>3.3420000000000001</v>
      </c>
      <c r="K19" s="25" cm="1">
        <f t="array" ref="K19">IF( INDEX(hist_data!$S$6:$AI$256, MATCH(K$13, hist_data!$S$6:$S$256, 0), MATCH($C19, hist_data!$A$6:$A$21, 0)+1)=0, "", INDEX(hist_data!$S$6:$AI$256, MATCH(K$13, hist_data!$S$6:$S$256, 0), MATCH($C19, hist_data!$A$6:$A$21, 0)+1) )</f>
        <v>3.343</v>
      </c>
      <c r="L19" s="25" cm="1">
        <f t="array" ref="L19">IF( INDEX(hist_data!$S$6:$AI$256, MATCH(L$13, hist_data!$S$6:$S$256, 0), MATCH($C19, hist_data!$A$6:$A$21, 0)+1)=0, "", INDEX(hist_data!$S$6:$AI$256, MATCH(L$13, hist_data!$S$6:$S$256, 0), MATCH($C19, hist_data!$A$6:$A$21, 0)+1) )</f>
        <v>3.3439999999999999</v>
      </c>
      <c r="M19" s="25" cm="1">
        <f t="array" ref="M19">IF( INDEX(hist_data!$S$6:$AI$256, MATCH(M$13, hist_data!$S$6:$S$256, 0), MATCH($C19, hist_data!$A$6:$A$21, 0)+1)=0, "", INDEX(hist_data!$S$6:$AI$256, MATCH(M$13, hist_data!$S$6:$S$256, 0), MATCH($C19, hist_data!$A$6:$A$21, 0)+1) )</f>
        <v>3.3279999999999998</v>
      </c>
      <c r="N19" s="25" cm="1">
        <f t="array" ref="N19">IF( INDEX(hist_data!$S$6:$AI$256, MATCH(N$13, hist_data!$S$6:$S$256, 0), MATCH($C19, hist_data!$A$6:$A$21, 0)+1)=0, "", INDEX(hist_data!$S$6:$AI$256, MATCH(N$13, hist_data!$S$6:$S$256, 0), MATCH($C19, hist_data!$A$6:$A$21, 0)+1) )</f>
        <v>3.379</v>
      </c>
      <c r="O19" s="25" cm="1">
        <f t="array" ref="O19">IF( INDEX(hist_data!$S$6:$AI$256, MATCH(O$13, hist_data!$S$6:$S$256, 0), MATCH($C19, hist_data!$A$6:$A$21, 0)+1)=0, "", INDEX(hist_data!$S$6:$AI$256, MATCH(O$13, hist_data!$S$6:$S$256, 0), MATCH($C19, hist_data!$A$6:$A$21, 0)+1) )</f>
        <v>3.3860000000000001</v>
      </c>
      <c r="P19" s="26" cm="1">
        <f t="array" ref="P19">IF( INDEX(hist_data!$S$6:$AI$256, MATCH(P$13, hist_data!$S$6:$S$256, 0), MATCH($C19, hist_data!$A$6:$A$21, 0)+1)=0, "", INDEX(hist_data!$S$6:$AI$256, MATCH(P$13, hist_data!$S$6:$S$256, 0), MATCH($C19, hist_data!$A$6:$A$21, 0)+1) )</f>
        <v>3.391</v>
      </c>
      <c r="R19" s="48">
        <f ca="1">IF($E19="", "", AVERAGE( OFFSET( hist_data!$S$7, 0, MATCH($C19, hist_data!$A$6:$A$21, 0), R$13 ) ))</f>
        <v>3.3722500000000002</v>
      </c>
      <c r="S19" s="25">
        <f ca="1">IF($E19="","",MAX(OFFSET(hist_data!$S$7,0,MATCH($C19,hist_data!$A$6:$A$21,0),S$13)))</f>
        <v>3.411</v>
      </c>
      <c r="T19" s="26">
        <f ca="1">IF($E19="","",MIN(OFFSET(hist_data!$S$7,0,MATCH($C19,hist_data!$A$6:$A$21,0),T$13)))</f>
        <v>3.3279999999999998</v>
      </c>
      <c r="U19" s="48">
        <f ca="1">IF($E19="", "", AVERAGE( OFFSET( hist_data!$S$7, 0, MATCH($C19, hist_data!$A$6:$A$21, 0), U$13 ) ))</f>
        <v>3.4641166666666674</v>
      </c>
      <c r="V19" s="25">
        <f ca="1">IF($E19="","",MAX(OFFSET(hist_data!$S$7,0,MATCH($C19,hist_data!$A$6:$A$21,0),V$13)))</f>
        <v>3.5830000000000002</v>
      </c>
      <c r="W19" s="26">
        <f ca="1">IF($E19="","",MIN(OFFSET(hist_data!$S$7,0,MATCH($C19,hist_data!$A$6:$A$21,0),W$13)))</f>
        <v>3.3279999999999998</v>
      </c>
      <c r="X19" s="48">
        <f ca="1">IF($E19="", "", AVERAGE( OFFSET( hist_data!$S$7, 0, MATCH($C19, hist_data!$A$6:$A$21, 0), X$13 ) ))</f>
        <v>3.5221250000000004</v>
      </c>
      <c r="Y19" s="25">
        <f ca="1">IF($E19="","",MAX(OFFSET(hist_data!$S$7,0,MATCH($C19,hist_data!$A$6:$A$21,0),Y$13)))</f>
        <v>3.6509999999999998</v>
      </c>
      <c r="Z19" s="26">
        <f ca="1">IF($E19="","",MIN(OFFSET(hist_data!$S$7,0,MATCH($C19,hist_data!$A$6:$A$21,0),Z$13)))</f>
        <v>3.3279999999999998</v>
      </c>
      <c r="AA19" s="48">
        <f ca="1">IF($E19="", "", AVERAGE( OFFSET( hist_data!$S$7, 0, MATCH($C19, hist_data!$A$6:$A$21, 0), AA$13 ) ))</f>
        <v>3.679743999999999</v>
      </c>
      <c r="AB19" s="25">
        <f ca="1">IF($E19="","",MAX(OFFSET(hist_data!$S$7,0,MATCH($C19,hist_data!$A$6:$A$21,0),AB$13)))</f>
        <v>4.0250000000000004</v>
      </c>
      <c r="AC19" s="26">
        <f ca="1">IF($E19="","",MIN(OFFSET(hist_data!$S$7,0,MATCH($C19,hist_data!$A$6:$A$21,0),AC$13)))</f>
        <v>3.3279999999999998</v>
      </c>
    </row>
    <row r="20" spans="1:29" s="20" customFormat="1" ht="12.75">
      <c r="C20" s="88" t="s">
        <v>836</v>
      </c>
      <c r="D20" s="89"/>
      <c r="E20" s="47">
        <f t="shared" ref="E20" si="14">IFERROR( (E$16-E19)*100, "")</f>
        <v>-43.900000000000006</v>
      </c>
      <c r="F20" s="30">
        <f t="shared" ref="F20" si="15">IFERROR( (F$16-F19)*100, "")</f>
        <v>-46.099999999999987</v>
      </c>
      <c r="G20" s="30">
        <f t="shared" ref="G20" si="16">IFERROR( (G$16-G19)*100, "")</f>
        <v>-43.299999999999983</v>
      </c>
      <c r="H20" s="30">
        <f t="shared" ref="H20" si="17">IFERROR( (H$16-H19)*100, "")</f>
        <v>-40.300000000000004</v>
      </c>
      <c r="I20" s="30">
        <f t="shared" ref="I20" si="18">IFERROR( (I$16-I19)*100, "")</f>
        <v>-40.200000000000017</v>
      </c>
      <c r="J20" s="30">
        <f t="shared" ref="J20" si="19">IFERROR( (J$16-J19)*100, "")</f>
        <v>-42.300000000000004</v>
      </c>
      <c r="K20" s="30">
        <f t="shared" ref="K20" si="20">IFERROR( (K$16-K19)*100, "")</f>
        <v>-41.199999999999989</v>
      </c>
      <c r="L20" s="30">
        <f t="shared" ref="L20" si="21">IFERROR( (L$16-L19)*100, "")</f>
        <v>-40.399999999999991</v>
      </c>
      <c r="M20" s="30">
        <f t="shared" ref="M20" si="22">IFERROR( (M$16-M19)*100, "")</f>
        <v>-51.29999999999999</v>
      </c>
      <c r="N20" s="30">
        <f t="shared" ref="N20" si="23">IFERROR( (N$16-N19)*100, "")</f>
        <v>-44.300000000000004</v>
      </c>
      <c r="O20" s="30">
        <f t="shared" ref="O20" si="24">IFERROR( (O$16-O19)*100, "")</f>
        <v>-41.1</v>
      </c>
      <c r="P20" s="31">
        <f t="shared" ref="P20" si="25">IFERROR( (P$16-P19)*100, "")</f>
        <v>-39.1</v>
      </c>
      <c r="R20" s="47">
        <f t="shared" ref="R20" ca="1" si="26">IFERROR( (R$16-R19)*100, "")</f>
        <v>-40.219999999999921</v>
      </c>
      <c r="S20" s="30">
        <f t="shared" ref="S20" ca="1" si="27">IFERROR( (S$16-S19)*100, "")</f>
        <v>-32.399999999999984</v>
      </c>
      <c r="T20" s="31">
        <f t="shared" ref="T20" ca="1" si="28">IFERROR( (T$16-T19)*100, "")</f>
        <v>-51.29999999999999</v>
      </c>
      <c r="U20" s="47">
        <f t="shared" ref="U20" ca="1" si="29">IFERROR( (U$16-U19)*100, "")</f>
        <v>-31.748333333333491</v>
      </c>
      <c r="V20" s="30">
        <f t="shared" ref="V20" ca="1" si="30">IFERROR( (V$16-V19)*100, "")</f>
        <v>-13.100000000000023</v>
      </c>
      <c r="W20" s="31">
        <f t="shared" ref="W20" ca="1" si="31">IFERROR( (W$16-W19)*100, "")</f>
        <v>-51.29999999999999</v>
      </c>
      <c r="X20" s="47">
        <f t="shared" ref="X20" ca="1" si="32">IFERROR( (X$16-X19)*100, "")</f>
        <v>-25.593333333333447</v>
      </c>
      <c r="Y20" s="30">
        <f t="shared" ref="Y20" ca="1" si="33">IFERROR( (Y$16-Y19)*100, "")</f>
        <v>-11.099999999999977</v>
      </c>
      <c r="Z20" s="31">
        <f t="shared" ref="Z20" ca="1" si="34">IFERROR( (Z$16-Z19)*100, "")</f>
        <v>-51.29999999999999</v>
      </c>
      <c r="AA20" s="47">
        <f t="shared" ref="AA20" ca="1" si="35">IFERROR( (AA$16-AA19)*100, "")</f>
        <v>-22.879199999999944</v>
      </c>
      <c r="AB20" s="30">
        <f t="shared" ref="AB20" ca="1" si="36">IFERROR( (AB$16-AB19)*100, "")</f>
        <v>11.499999999999932</v>
      </c>
      <c r="AC20" s="31">
        <f t="shared" ref="AC20" ca="1" si="37">IFERROR( (AC$16-AC19)*100, "")</f>
        <v>-51.29999999999999</v>
      </c>
    </row>
    <row r="21" spans="1:29" s="20" customFormat="1" ht="12.75">
      <c r="A21" s="20">
        <v>3</v>
      </c>
      <c r="C21" s="24" t="str" cm="1">
        <f t="array" ref="C21">INDEX(hist_data!$A$6:$A$21, Hist!$A21)</f>
        <v>09M</v>
      </c>
      <c r="D21" s="43"/>
      <c r="E21" s="48" cm="1">
        <f t="array" ref="E21">IF( INDEX(hist_data!$S$6:$AI$256, MATCH(E$13, hist_data!$S$6:$S$256, 0), MATCH($C21, hist_data!$A$6:$A$21, 0)+1)=0, "", INDEX(hist_data!$S$6:$AI$256, MATCH(E$13, hist_data!$S$6:$S$256, 0), MATCH($C21, hist_data!$A$6:$A$21, 0)+1) )</f>
        <v>3.298</v>
      </c>
      <c r="F21" s="25" cm="1">
        <f t="array" ref="F21">IF( INDEX(hist_data!$S$6:$AI$256, MATCH(F$13, hist_data!$S$6:$S$256, 0), MATCH($C21, hist_data!$A$6:$A$21, 0)+1)=0, "", INDEX(hist_data!$S$6:$AI$256, MATCH(F$13, hist_data!$S$6:$S$256, 0), MATCH($C21, hist_data!$A$6:$A$21, 0)+1) )</f>
        <v>3.2829999999999999</v>
      </c>
      <c r="G21" s="25" cm="1">
        <f t="array" ref="G21">IF( INDEX(hist_data!$S$6:$AI$256, MATCH(G$13, hist_data!$S$6:$S$256, 0), MATCH($C21, hist_data!$A$6:$A$21, 0)+1)=0, "", INDEX(hist_data!$S$6:$AI$256, MATCH(G$13, hist_data!$S$6:$S$256, 0), MATCH($C21, hist_data!$A$6:$A$21, 0)+1) )</f>
        <v>3.2839999999999998</v>
      </c>
      <c r="H21" s="25" cm="1">
        <f t="array" ref="H21">IF( INDEX(hist_data!$S$6:$AI$256, MATCH(H$13, hist_data!$S$6:$S$256, 0), MATCH($C21, hist_data!$A$6:$A$21, 0)+1)=0, "", INDEX(hist_data!$S$6:$AI$256, MATCH(H$13, hist_data!$S$6:$S$256, 0), MATCH($C21, hist_data!$A$6:$A$21, 0)+1) )</f>
        <v>3.2869999999999999</v>
      </c>
      <c r="I21" s="25" cm="1">
        <f t="array" ref="I21">IF( INDEX(hist_data!$S$6:$AI$256, MATCH(I$13, hist_data!$S$6:$S$256, 0), MATCH($C21, hist_data!$A$6:$A$21, 0)+1)=0, "", INDEX(hist_data!$S$6:$AI$256, MATCH(I$13, hist_data!$S$6:$S$256, 0), MATCH($C21, hist_data!$A$6:$A$21, 0)+1) )</f>
        <v>3.2810000000000001</v>
      </c>
      <c r="J21" s="25" cm="1">
        <f t="array" ref="J21">IF( INDEX(hist_data!$S$6:$AI$256, MATCH(J$13, hist_data!$S$6:$S$256, 0), MATCH($C21, hist_data!$A$6:$A$21, 0)+1)=0, "", INDEX(hist_data!$S$6:$AI$256, MATCH(J$13, hist_data!$S$6:$S$256, 0), MATCH($C21, hist_data!$A$6:$A$21, 0)+1) )</f>
        <v>3.2789999999999999</v>
      </c>
      <c r="K21" s="25" cm="1">
        <f t="array" ref="K21">IF( INDEX(hist_data!$S$6:$AI$256, MATCH(K$13, hist_data!$S$6:$S$256, 0), MATCH($C21, hist_data!$A$6:$A$21, 0)+1)=0, "", INDEX(hist_data!$S$6:$AI$256, MATCH(K$13, hist_data!$S$6:$S$256, 0), MATCH($C21, hist_data!$A$6:$A$21, 0)+1) )</f>
        <v>3.28</v>
      </c>
      <c r="L21" s="25" cm="1">
        <f t="array" ref="L21">IF( INDEX(hist_data!$S$6:$AI$256, MATCH(L$13, hist_data!$S$6:$S$256, 0), MATCH($C21, hist_data!$A$6:$A$21, 0)+1)=0, "", INDEX(hist_data!$S$6:$AI$256, MATCH(L$13, hist_data!$S$6:$S$256, 0), MATCH($C21, hist_data!$A$6:$A$21, 0)+1) )</f>
        <v>3.278</v>
      </c>
      <c r="M21" s="25" cm="1">
        <f t="array" ref="M21">IF( INDEX(hist_data!$S$6:$AI$256, MATCH(M$13, hist_data!$S$6:$S$256, 0), MATCH($C21, hist_data!$A$6:$A$21, 0)+1)=0, "", INDEX(hist_data!$S$6:$AI$256, MATCH(M$13, hist_data!$S$6:$S$256, 0), MATCH($C21, hist_data!$A$6:$A$21, 0)+1) )</f>
        <v>3.2530000000000001</v>
      </c>
      <c r="N21" s="25" cm="1">
        <f t="array" ref="N21">IF( INDEX(hist_data!$S$6:$AI$256, MATCH(N$13, hist_data!$S$6:$S$256, 0), MATCH($C21, hist_data!$A$6:$A$21, 0)+1)=0, "", INDEX(hist_data!$S$6:$AI$256, MATCH(N$13, hist_data!$S$6:$S$256, 0), MATCH($C21, hist_data!$A$6:$A$21, 0)+1) )</f>
        <v>3.3069999999999999</v>
      </c>
      <c r="O21" s="25" cm="1">
        <f t="array" ref="O21">IF( INDEX(hist_data!$S$6:$AI$256, MATCH(O$13, hist_data!$S$6:$S$256, 0), MATCH($C21, hist_data!$A$6:$A$21, 0)+1)=0, "", INDEX(hist_data!$S$6:$AI$256, MATCH(O$13, hist_data!$S$6:$S$256, 0), MATCH($C21, hist_data!$A$6:$A$21, 0)+1) )</f>
        <v>3.3210000000000002</v>
      </c>
      <c r="P21" s="26" cm="1">
        <f t="array" ref="P21">IF( INDEX(hist_data!$S$6:$AI$256, MATCH(P$13, hist_data!$S$6:$S$256, 0), MATCH($C21, hist_data!$A$6:$A$21, 0)+1)=0, "", INDEX(hist_data!$S$6:$AI$256, MATCH(P$13, hist_data!$S$6:$S$256, 0), MATCH($C21, hist_data!$A$6:$A$21, 0)+1) )</f>
        <v>3.3319999999999999</v>
      </c>
      <c r="R21" s="48">
        <f ca="1">IF($E21="", "", AVERAGE( OFFSET( hist_data!$S$7, 0, MATCH($C21, hist_data!$A$6:$A$21, 0), R$13 ) ))</f>
        <v>3.3130000000000002</v>
      </c>
      <c r="S21" s="25">
        <f ca="1">IF($E21="","",MAX(OFFSET(hist_data!$S$7,0,MATCH($C21,hist_data!$A$6:$A$21,0),S$13)))</f>
        <v>3.37</v>
      </c>
      <c r="T21" s="26">
        <f ca="1">IF($E21="","",MIN(OFFSET(hist_data!$S$7,0,MATCH($C21,hist_data!$A$6:$A$21,0),T$13)))</f>
        <v>3.2530000000000001</v>
      </c>
      <c r="U21" s="48">
        <f ca="1">IF($E21="", "", AVERAGE( OFFSET( hist_data!$S$7, 0, MATCH($C21, hist_data!$A$6:$A$21, 0), U$13 ) ))</f>
        <v>3.4355166666666657</v>
      </c>
      <c r="V21" s="25">
        <f ca="1">IF($E21="","",MAX(OFFSET(hist_data!$S$7,0,MATCH($C21,hist_data!$A$6:$A$21,0),V$13)))</f>
        <v>3.5910000000000002</v>
      </c>
      <c r="W21" s="26">
        <f ca="1">IF($E21="","",MIN(OFFSET(hist_data!$S$7,0,MATCH($C21,hist_data!$A$6:$A$21,0),W$13)))</f>
        <v>3.2530000000000001</v>
      </c>
      <c r="X21" s="48">
        <f ca="1">IF($E21="", "", AVERAGE( OFFSET( hist_data!$S$7, 0, MATCH($C21, hist_data!$A$6:$A$21, 0), X$13 ) ))</f>
        <v>3.5186416666666664</v>
      </c>
      <c r="Y21" s="25">
        <f ca="1">IF($E21="","",MAX(OFFSET(hist_data!$S$7,0,MATCH($C21,hist_data!$A$6:$A$21,0),Y$13)))</f>
        <v>3.673</v>
      </c>
      <c r="Z21" s="26">
        <f ca="1">IF($E21="","",MIN(OFFSET(hist_data!$S$7,0,MATCH($C21,hist_data!$A$6:$A$21,0),Z$13)))</f>
        <v>3.2530000000000001</v>
      </c>
      <c r="AA21" s="48">
        <f ca="1">IF($E21="", "", AVERAGE( OFFSET( hist_data!$S$7, 0, MATCH($C21, hist_data!$A$6:$A$21, 0), AA$13 ) ))</f>
        <v>3.6832439999999989</v>
      </c>
      <c r="AB21" s="25">
        <f ca="1">IF($E21="","",MAX(OFFSET(hist_data!$S$7,0,MATCH($C21,hist_data!$A$6:$A$21,0),AB$13)))</f>
        <v>4.0599999999999996</v>
      </c>
      <c r="AC21" s="26">
        <f ca="1">IF($E21="","",MIN(OFFSET(hist_data!$S$7,0,MATCH($C21,hist_data!$A$6:$A$21,0),AC$13)))</f>
        <v>3.2530000000000001</v>
      </c>
    </row>
    <row r="22" spans="1:29" s="20" customFormat="1" ht="12.75">
      <c r="C22" s="88" t="s">
        <v>836</v>
      </c>
      <c r="D22" s="89"/>
      <c r="E22" s="47">
        <f t="shared" ref="E22" si="38">IFERROR( (E$16-E21)*100, "")</f>
        <v>-37.599999999999987</v>
      </c>
      <c r="F22" s="30">
        <f t="shared" ref="F22" si="39">IFERROR( (F$16-F21)*100, "")</f>
        <v>-39.599999999999994</v>
      </c>
      <c r="G22" s="30">
        <f t="shared" ref="G22" si="40">IFERROR( (G$16-G21)*100, "")</f>
        <v>-36.899999999999977</v>
      </c>
      <c r="H22" s="30">
        <f t="shared" ref="H22" si="41">IFERROR( (H$16-H21)*100, "")</f>
        <v>-34.20000000000001</v>
      </c>
      <c r="I22" s="30">
        <f t="shared" ref="I22" si="42">IFERROR( (I$16-I21)*100, "")</f>
        <v>-34.100000000000023</v>
      </c>
      <c r="J22" s="30">
        <f t="shared" ref="J22" si="43">IFERROR( (J$16-J21)*100, "")</f>
        <v>-35.999999999999986</v>
      </c>
      <c r="K22" s="30">
        <f t="shared" ref="K22" si="44">IFERROR( (K$16-K21)*100, "")</f>
        <v>-34.899999999999977</v>
      </c>
      <c r="L22" s="30">
        <f t="shared" ref="L22" si="45">IFERROR( (L$16-L21)*100, "")</f>
        <v>-33.800000000000011</v>
      </c>
      <c r="M22" s="30">
        <f t="shared" ref="M22" si="46">IFERROR( (M$16-M21)*100, "")</f>
        <v>-43.800000000000018</v>
      </c>
      <c r="N22" s="30">
        <f t="shared" ref="N22" si="47">IFERROR( (N$16-N21)*100, "")</f>
        <v>-37.1</v>
      </c>
      <c r="O22" s="30">
        <f t="shared" ref="O22" si="48">IFERROR( (O$16-O21)*100, "")</f>
        <v>-34.600000000000009</v>
      </c>
      <c r="P22" s="31">
        <f t="shared" ref="P22" si="49">IFERROR( (P$16-P21)*100, "")</f>
        <v>-33.199999999999989</v>
      </c>
      <c r="R22" s="47">
        <f t="shared" ref="R22" ca="1" si="50">IFERROR( (R$16-R21)*100, "")</f>
        <v>-34.294999999999916</v>
      </c>
      <c r="S22" s="30">
        <f t="shared" ref="S22" ca="1" si="51">IFERROR( (S$16-S21)*100, "")</f>
        <v>-28.29999999999999</v>
      </c>
      <c r="T22" s="31">
        <f t="shared" ref="T22" ca="1" si="52">IFERROR( (T$16-T21)*100, "")</f>
        <v>-43.800000000000018</v>
      </c>
      <c r="U22" s="47">
        <f t="shared" ref="U22" ca="1" si="53">IFERROR( (U$16-U21)*100, "")</f>
        <v>-28.888333333333314</v>
      </c>
      <c r="V22" s="30">
        <f t="shared" ref="V22" ca="1" si="54">IFERROR( (V$16-V21)*100, "")</f>
        <v>-13.900000000000023</v>
      </c>
      <c r="W22" s="31">
        <f t="shared" ref="W22" ca="1" si="55">IFERROR( (W$16-W21)*100, "")</f>
        <v>-43.800000000000018</v>
      </c>
      <c r="X22" s="47">
        <f t="shared" ref="X22" ca="1" si="56">IFERROR( (X$16-X21)*100, "")</f>
        <v>-25.245000000000051</v>
      </c>
      <c r="Y22" s="30">
        <f t="shared" ref="Y22" ca="1" si="57">IFERROR( (Y$16-Y21)*100, "")</f>
        <v>-13.3</v>
      </c>
      <c r="Z22" s="31">
        <f t="shared" ref="Z22" ca="1" si="58">IFERROR( (Z$16-Z21)*100, "")</f>
        <v>-43.800000000000018</v>
      </c>
      <c r="AA22" s="47">
        <f t="shared" ref="AA22" ca="1" si="59">IFERROR( (AA$16-AA21)*100, "")</f>
        <v>-23.229199999999928</v>
      </c>
      <c r="AB22" s="30">
        <f t="shared" ref="AB22" ca="1" si="60">IFERROR( (AB$16-AB21)*100, "")</f>
        <v>8.0000000000000071</v>
      </c>
      <c r="AC22" s="31">
        <f t="shared" ref="AC22" ca="1" si="61">IFERROR( (AC$16-AC21)*100, "")</f>
        <v>-43.800000000000018</v>
      </c>
    </row>
    <row r="23" spans="1:29" s="20" customFormat="1" ht="12.75">
      <c r="A23" s="20">
        <v>4</v>
      </c>
      <c r="C23" s="24" t="str" cm="1">
        <f t="array" ref="C23">INDEX(hist_data!$A$6:$A$21, Hist!$A23)</f>
        <v>01Y</v>
      </c>
      <c r="D23" s="43"/>
      <c r="E23" s="48" cm="1">
        <f t="array" ref="E23">IF( INDEX(hist_data!$S$6:$AI$256, MATCH(E$13, hist_data!$S$6:$S$256, 0), MATCH($C23, hist_data!$A$6:$A$21, 0)+1)=0, "", INDEX(hist_data!$S$6:$AI$256, MATCH(E$13, hist_data!$S$6:$S$256, 0), MATCH($C23, hist_data!$A$6:$A$21, 0)+1) )</f>
        <v>3.2589999999999999</v>
      </c>
      <c r="F23" s="25" cm="1">
        <f t="array" ref="F23">IF( INDEX(hist_data!$S$6:$AI$256, MATCH(F$13, hist_data!$S$6:$S$256, 0), MATCH($C23, hist_data!$A$6:$A$21, 0)+1)=0, "", INDEX(hist_data!$S$6:$AI$256, MATCH(F$13, hist_data!$S$6:$S$256, 0), MATCH($C23, hist_data!$A$6:$A$21, 0)+1) )</f>
        <v>3.246</v>
      </c>
      <c r="G23" s="25" cm="1">
        <f t="array" ref="G23">IF( INDEX(hist_data!$S$6:$AI$256, MATCH(G$13, hist_data!$S$6:$S$256, 0), MATCH($C23, hist_data!$A$6:$A$21, 0)+1)=0, "", INDEX(hist_data!$S$6:$AI$256, MATCH(G$13, hist_data!$S$6:$S$256, 0), MATCH($C23, hist_data!$A$6:$A$21, 0)+1) )</f>
        <v>3.2429999999999999</v>
      </c>
      <c r="H23" s="25" cm="1">
        <f t="array" ref="H23">IF( INDEX(hist_data!$S$6:$AI$256, MATCH(H$13, hist_data!$S$6:$S$256, 0), MATCH($C23, hist_data!$A$6:$A$21, 0)+1)=0, "", INDEX(hist_data!$S$6:$AI$256, MATCH(H$13, hist_data!$S$6:$S$256, 0), MATCH($C23, hist_data!$A$6:$A$21, 0)+1) )</f>
        <v>3.2440000000000002</v>
      </c>
      <c r="I23" s="25" cm="1">
        <f t="array" ref="I23">IF( INDEX(hist_data!$S$6:$AI$256, MATCH(I$13, hist_data!$S$6:$S$256, 0), MATCH($C23, hist_data!$A$6:$A$21, 0)+1)=0, "", INDEX(hist_data!$S$6:$AI$256, MATCH(I$13, hist_data!$S$6:$S$256, 0), MATCH($C23, hist_data!$A$6:$A$21, 0)+1) )</f>
        <v>3.238</v>
      </c>
      <c r="J23" s="25" cm="1">
        <f t="array" ref="J23">IF( INDEX(hist_data!$S$6:$AI$256, MATCH(J$13, hist_data!$S$6:$S$256, 0), MATCH($C23, hist_data!$A$6:$A$21, 0)+1)=0, "", INDEX(hist_data!$S$6:$AI$256, MATCH(J$13, hist_data!$S$6:$S$256, 0), MATCH($C23, hist_data!$A$6:$A$21, 0)+1) )</f>
        <v>3.2360000000000002</v>
      </c>
      <c r="K23" s="25" cm="1">
        <f t="array" ref="K23">IF( INDEX(hist_data!$S$6:$AI$256, MATCH(K$13, hist_data!$S$6:$S$256, 0), MATCH($C23, hist_data!$A$6:$A$21, 0)+1)=0, "", INDEX(hist_data!$S$6:$AI$256, MATCH(K$13, hist_data!$S$6:$S$256, 0), MATCH($C23, hist_data!$A$6:$A$21, 0)+1) )</f>
        <v>3.2469999999999999</v>
      </c>
      <c r="L23" s="25" cm="1">
        <f t="array" ref="L23">IF( INDEX(hist_data!$S$6:$AI$256, MATCH(L$13, hist_data!$S$6:$S$256, 0), MATCH($C23, hist_data!$A$6:$A$21, 0)+1)=0, "", INDEX(hist_data!$S$6:$AI$256, MATCH(L$13, hist_data!$S$6:$S$256, 0), MATCH($C23, hist_data!$A$6:$A$21, 0)+1) )</f>
        <v>3.2440000000000002</v>
      </c>
      <c r="M23" s="25" cm="1">
        <f t="array" ref="M23">IF( INDEX(hist_data!$S$6:$AI$256, MATCH(M$13, hist_data!$S$6:$S$256, 0), MATCH($C23, hist_data!$A$6:$A$21, 0)+1)=0, "", INDEX(hist_data!$S$6:$AI$256, MATCH(M$13, hist_data!$S$6:$S$256, 0), MATCH($C23, hist_data!$A$6:$A$21, 0)+1) )</f>
        <v>3.2050000000000001</v>
      </c>
      <c r="N23" s="25" cm="1">
        <f t="array" ref="N23">IF( INDEX(hist_data!$S$6:$AI$256, MATCH(N$13, hist_data!$S$6:$S$256, 0), MATCH($C23, hist_data!$A$6:$A$21, 0)+1)=0, "", INDEX(hist_data!$S$6:$AI$256, MATCH(N$13, hist_data!$S$6:$S$256, 0), MATCH($C23, hist_data!$A$6:$A$21, 0)+1) )</f>
        <v>3.258</v>
      </c>
      <c r="O23" s="25" cm="1">
        <f t="array" ref="O23">IF( INDEX(hist_data!$S$6:$AI$256, MATCH(O$13, hist_data!$S$6:$S$256, 0), MATCH($C23, hist_data!$A$6:$A$21, 0)+1)=0, "", INDEX(hist_data!$S$6:$AI$256, MATCH(O$13, hist_data!$S$6:$S$256, 0), MATCH($C23, hist_data!$A$6:$A$21, 0)+1) )</f>
        <v>3.2770000000000001</v>
      </c>
      <c r="P23" s="26" cm="1">
        <f t="array" ref="P23">IF( INDEX(hist_data!$S$6:$AI$256, MATCH(P$13, hist_data!$S$6:$S$256, 0), MATCH($C23, hist_data!$A$6:$A$21, 0)+1)=0, "", INDEX(hist_data!$S$6:$AI$256, MATCH(P$13, hist_data!$S$6:$S$256, 0), MATCH($C23, hist_data!$A$6:$A$21, 0)+1) )</f>
        <v>3.2959999999999998</v>
      </c>
      <c r="R23" s="48">
        <f ca="1">IF($E23="", "", AVERAGE( OFFSET( hist_data!$S$7, 0, MATCH($C23, hist_data!$A$6:$A$21, 0), R$13 ) ))</f>
        <v>3.28125</v>
      </c>
      <c r="S23" s="25">
        <f ca="1">IF($E23="","",MAX(OFFSET(hist_data!$S$7,0,MATCH($C23,hist_data!$A$6:$A$21,0),S$13)))</f>
        <v>3.3610000000000002</v>
      </c>
      <c r="T23" s="26">
        <f ca="1">IF($E23="","",MIN(OFFSET(hist_data!$S$7,0,MATCH($C23,hist_data!$A$6:$A$21,0),T$13)))</f>
        <v>3.2050000000000001</v>
      </c>
      <c r="U23" s="48">
        <f ca="1">IF($E23="", "", AVERAGE( OFFSET( hist_data!$S$7, 0, MATCH($C23, hist_data!$A$6:$A$21, 0), U$13 ) ))</f>
        <v>3.4165833333333331</v>
      </c>
      <c r="V23" s="25">
        <f ca="1">IF($E23="","",MAX(OFFSET(hist_data!$S$7,0,MATCH($C23,hist_data!$A$6:$A$21,0),V$13)))</f>
        <v>3.5920000000000001</v>
      </c>
      <c r="W23" s="26">
        <f ca="1">IF($E23="","",MIN(OFFSET(hist_data!$S$7,0,MATCH($C23,hist_data!$A$6:$A$21,0),W$13)))</f>
        <v>3.2050000000000001</v>
      </c>
      <c r="X23" s="48">
        <f ca="1">IF($E23="", "", AVERAGE( OFFSET( hist_data!$S$7, 0, MATCH($C23, hist_data!$A$6:$A$21, 0), X$13 ) ))</f>
        <v>3.5050916666666674</v>
      </c>
      <c r="Y23" s="25">
        <f ca="1">IF($E23="","",MAX(OFFSET(hist_data!$S$7,0,MATCH($C23,hist_data!$A$6:$A$21,0),Y$13)))</f>
        <v>3.6720000000000002</v>
      </c>
      <c r="Z23" s="26">
        <f ca="1">IF($E23="","",MIN(OFFSET(hist_data!$S$7,0,MATCH($C23,hist_data!$A$6:$A$21,0),Z$13)))</f>
        <v>3.2050000000000001</v>
      </c>
      <c r="AA23" s="48">
        <f ca="1">IF($E23="", "", AVERAGE( OFFSET( hist_data!$S$7, 0, MATCH($C23, hist_data!$A$6:$A$21, 0), AA$13 ) ))</f>
        <v>3.6786440000000011</v>
      </c>
      <c r="AB23" s="25">
        <f ca="1">IF($E23="","",MAX(OFFSET(hist_data!$S$7,0,MATCH($C23,hist_data!$A$6:$A$21,0),AB$13)))</f>
        <v>4.1050000000000004</v>
      </c>
      <c r="AC23" s="26">
        <f ca="1">IF($E23="","",MIN(OFFSET(hist_data!$S$7,0,MATCH($C23,hist_data!$A$6:$A$21,0),AC$13)))</f>
        <v>3.2050000000000001</v>
      </c>
    </row>
    <row r="24" spans="1:29" s="20" customFormat="1" ht="12.75">
      <c r="C24" s="88" t="s">
        <v>836</v>
      </c>
      <c r="D24" s="89"/>
      <c r="E24" s="47">
        <f t="shared" ref="E24" si="62">IFERROR( (E$16-E23)*100, "")</f>
        <v>-33.699999999999974</v>
      </c>
      <c r="F24" s="30">
        <f t="shared" ref="F24" si="63">IFERROR( (F$16-F23)*100, "")</f>
        <v>-35.9</v>
      </c>
      <c r="G24" s="30">
        <f t="shared" ref="G24" si="64">IFERROR( (G$16-G23)*100, "")</f>
        <v>-32.799999999999983</v>
      </c>
      <c r="H24" s="30">
        <f t="shared" ref="H24" si="65">IFERROR( (H$16-H23)*100, "")</f>
        <v>-29.900000000000038</v>
      </c>
      <c r="I24" s="30">
        <f t="shared" ref="I24" si="66">IFERROR( (I$16-I23)*100, "")</f>
        <v>-29.800000000000004</v>
      </c>
      <c r="J24" s="30">
        <f t="shared" ref="J24" si="67">IFERROR( (J$16-J23)*100, "")</f>
        <v>-31.700000000000017</v>
      </c>
      <c r="K24" s="30">
        <f t="shared" ref="K24" si="68">IFERROR( (K$16-K23)*100, "")</f>
        <v>-31.599999999999984</v>
      </c>
      <c r="L24" s="30">
        <f t="shared" ref="L24" si="69">IFERROR( (L$16-L23)*100, "")</f>
        <v>-30.400000000000027</v>
      </c>
      <c r="M24" s="30">
        <f t="shared" ref="M24" si="70">IFERROR( (M$16-M23)*100, "")</f>
        <v>-39.000000000000014</v>
      </c>
      <c r="N24" s="30">
        <f t="shared" ref="N24" si="71">IFERROR( (N$16-N23)*100, "")</f>
        <v>-32.200000000000003</v>
      </c>
      <c r="O24" s="30">
        <f t="shared" ref="O24" si="72">IFERROR( (O$16-O23)*100, "")</f>
        <v>-30.200000000000003</v>
      </c>
      <c r="P24" s="31">
        <f t="shared" ref="P24" si="73">IFERROR( (P$16-P23)*100, "")</f>
        <v>-29.59999999999998</v>
      </c>
      <c r="R24" s="47">
        <f t="shared" ref="R24" ca="1" si="74">IFERROR( (R$16-R23)*100, "")</f>
        <v>-31.119999999999905</v>
      </c>
      <c r="S24" s="30">
        <f t="shared" ref="S24" ca="1" si="75">IFERROR( (S$16-S23)*100, "")</f>
        <v>-27.400000000000002</v>
      </c>
      <c r="T24" s="31">
        <f t="shared" ref="T24" ca="1" si="76">IFERROR( (T$16-T23)*100, "")</f>
        <v>-39.000000000000014</v>
      </c>
      <c r="U24" s="47">
        <f t="shared" ref="U24" ca="1" si="77">IFERROR( (U$16-U23)*100, "")</f>
        <v>-26.995000000000058</v>
      </c>
      <c r="V24" s="30">
        <f t="shared" ref="V24" ca="1" si="78">IFERROR( (V$16-V23)*100, "")</f>
        <v>-14.000000000000012</v>
      </c>
      <c r="W24" s="31">
        <f t="shared" ref="W24" ca="1" si="79">IFERROR( (W$16-W23)*100, "")</f>
        <v>-39.000000000000014</v>
      </c>
      <c r="X24" s="47">
        <f t="shared" ref="X24" ca="1" si="80">IFERROR( (X$16-X23)*100, "")</f>
        <v>-23.890000000000143</v>
      </c>
      <c r="Y24" s="30">
        <f t="shared" ref="Y24" ca="1" si="81">IFERROR( (Y$16-Y23)*100, "")</f>
        <v>-13.200000000000012</v>
      </c>
      <c r="Z24" s="31">
        <f t="shared" ref="Z24" ca="1" si="82">IFERROR( (Z$16-Z23)*100, "")</f>
        <v>-39.000000000000014</v>
      </c>
      <c r="AA24" s="47">
        <f t="shared" ref="AA24" ca="1" si="83">IFERROR( (AA$16-AA23)*100, "")</f>
        <v>-22.769200000000154</v>
      </c>
      <c r="AB24" s="30">
        <f t="shared" ref="AB24" ca="1" si="84">IFERROR( (AB$16-AB23)*100, "")</f>
        <v>3.4999999999999254</v>
      </c>
      <c r="AC24" s="31">
        <f t="shared" ref="AC24" ca="1" si="85">IFERROR( (AC$16-AC23)*100, "")</f>
        <v>-39.000000000000014</v>
      </c>
    </row>
    <row r="25" spans="1:29" s="20" customFormat="1" ht="12.75">
      <c r="A25" s="20">
        <v>5</v>
      </c>
      <c r="C25" s="24" t="str" cm="1">
        <f t="array" ref="C25">INDEX(hist_data!$A$6:$A$21, Hist!$A25)</f>
        <v>1.5Y</v>
      </c>
      <c r="D25" s="43"/>
      <c r="E25" s="48" cm="1">
        <f t="array" ref="E25">IF( INDEX(hist_data!$S$6:$AI$256, MATCH(E$13, hist_data!$S$6:$S$256, 0), MATCH($C25, hist_data!$A$6:$A$21, 0)+1)=0, "", INDEX(hist_data!$S$6:$AI$256, MATCH(E$13, hist_data!$S$6:$S$256, 0), MATCH($C25, hist_data!$A$6:$A$21, 0)+1) )</f>
        <v>3.1970000000000001</v>
      </c>
      <c r="F25" s="25" cm="1">
        <f t="array" ref="F25">IF( INDEX(hist_data!$S$6:$AI$256, MATCH(F$13, hist_data!$S$6:$S$256, 0), MATCH($C25, hist_data!$A$6:$A$21, 0)+1)=0, "", INDEX(hist_data!$S$6:$AI$256, MATCH(F$13, hist_data!$S$6:$S$256, 0), MATCH($C25, hist_data!$A$6:$A$21, 0)+1) )</f>
        <v>3.16</v>
      </c>
      <c r="G25" s="25" cm="1">
        <f t="array" ref="G25">IF( INDEX(hist_data!$S$6:$AI$256, MATCH(G$13, hist_data!$S$6:$S$256, 0), MATCH($C25, hist_data!$A$6:$A$21, 0)+1)=0, "", INDEX(hist_data!$S$6:$AI$256, MATCH(G$13, hist_data!$S$6:$S$256, 0), MATCH($C25, hist_data!$A$6:$A$21, 0)+1) )</f>
        <v>3.161</v>
      </c>
      <c r="H25" s="25" cm="1">
        <f t="array" ref="H25">IF( INDEX(hist_data!$S$6:$AI$256, MATCH(H$13, hist_data!$S$6:$S$256, 0), MATCH($C25, hist_data!$A$6:$A$21, 0)+1)=0, "", INDEX(hist_data!$S$6:$AI$256, MATCH(H$13, hist_data!$S$6:$S$256, 0), MATCH($C25, hist_data!$A$6:$A$21, 0)+1) )</f>
        <v>3.1709999999999998</v>
      </c>
      <c r="I25" s="25" cm="1">
        <f t="array" ref="I25">IF( INDEX(hist_data!$S$6:$AI$256, MATCH(I$13, hist_data!$S$6:$S$256, 0), MATCH($C25, hist_data!$A$6:$A$21, 0)+1)=0, "", INDEX(hist_data!$S$6:$AI$256, MATCH(I$13, hist_data!$S$6:$S$256, 0), MATCH($C25, hist_data!$A$6:$A$21, 0)+1) )</f>
        <v>3.1680000000000001</v>
      </c>
      <c r="J25" s="25" cm="1">
        <f t="array" ref="J25">IF( INDEX(hist_data!$S$6:$AI$256, MATCH(J$13, hist_data!$S$6:$S$256, 0), MATCH($C25, hist_data!$A$6:$A$21, 0)+1)=0, "", INDEX(hist_data!$S$6:$AI$256, MATCH(J$13, hist_data!$S$6:$S$256, 0), MATCH($C25, hist_data!$A$6:$A$21, 0)+1) )</f>
        <v>3.1629999999999998</v>
      </c>
      <c r="K25" s="25" cm="1">
        <f t="array" ref="K25">IF( INDEX(hist_data!$S$6:$AI$256, MATCH(K$13, hist_data!$S$6:$S$256, 0), MATCH($C25, hist_data!$A$6:$A$21, 0)+1)=0, "", INDEX(hist_data!$S$6:$AI$256, MATCH(K$13, hist_data!$S$6:$S$256, 0), MATCH($C25, hist_data!$A$6:$A$21, 0)+1) )</f>
        <v>3.1789999999999998</v>
      </c>
      <c r="L25" s="25" cm="1">
        <f t="array" ref="L25">IF( INDEX(hist_data!$S$6:$AI$256, MATCH(L$13, hist_data!$S$6:$S$256, 0), MATCH($C25, hist_data!$A$6:$A$21, 0)+1)=0, "", INDEX(hist_data!$S$6:$AI$256, MATCH(L$13, hist_data!$S$6:$S$256, 0), MATCH($C25, hist_data!$A$6:$A$21, 0)+1) )</f>
        <v>3.1789999999999998</v>
      </c>
      <c r="M25" s="25" cm="1">
        <f t="array" ref="M25">IF( INDEX(hist_data!$S$6:$AI$256, MATCH(M$13, hist_data!$S$6:$S$256, 0), MATCH($C25, hist_data!$A$6:$A$21, 0)+1)=0, "", INDEX(hist_data!$S$6:$AI$256, MATCH(M$13, hist_data!$S$6:$S$256, 0), MATCH($C25, hist_data!$A$6:$A$21, 0)+1) )</f>
        <v>3.1080000000000001</v>
      </c>
      <c r="N25" s="25" cm="1">
        <f t="array" ref="N25">IF( INDEX(hist_data!$S$6:$AI$256, MATCH(N$13, hist_data!$S$6:$S$256, 0), MATCH($C25, hist_data!$A$6:$A$21, 0)+1)=0, "", INDEX(hist_data!$S$6:$AI$256, MATCH(N$13, hist_data!$S$6:$S$256, 0), MATCH($C25, hist_data!$A$6:$A$21, 0)+1) )</f>
        <v>3.1859999999999999</v>
      </c>
      <c r="O25" s="25" cm="1">
        <f t="array" ref="O25">IF( INDEX(hist_data!$S$6:$AI$256, MATCH(O$13, hist_data!$S$6:$S$256, 0), MATCH($C25, hist_data!$A$6:$A$21, 0)+1)=0, "", INDEX(hist_data!$S$6:$AI$256, MATCH(O$13, hist_data!$S$6:$S$256, 0), MATCH($C25, hist_data!$A$6:$A$21, 0)+1) )</f>
        <v>3.2210000000000001</v>
      </c>
      <c r="P25" s="26" cm="1">
        <f t="array" ref="P25">IF( INDEX(hist_data!$S$6:$AI$256, MATCH(P$13, hist_data!$S$6:$S$256, 0), MATCH($C25, hist_data!$A$6:$A$21, 0)+1)=0, "", INDEX(hist_data!$S$6:$AI$256, MATCH(P$13, hist_data!$S$6:$S$256, 0), MATCH($C25, hist_data!$A$6:$A$21, 0)+1) )</f>
        <v>3.2330000000000001</v>
      </c>
      <c r="R25" s="48">
        <f ca="1">IF($E25="", "", AVERAGE( OFFSET( hist_data!$S$7, 0, MATCH($C25, hist_data!$A$6:$A$21, 0), R$13 ) ))</f>
        <v>3.20445</v>
      </c>
      <c r="S25" s="25">
        <f ca="1">IF($E25="","",MAX(OFFSET(hist_data!$S$7,0,MATCH($C25,hist_data!$A$6:$A$21,0),S$13)))</f>
        <v>3.27</v>
      </c>
      <c r="T25" s="26">
        <f ca="1">IF($E25="","",MIN(OFFSET(hist_data!$S$7,0,MATCH($C25,hist_data!$A$6:$A$21,0),T$13)))</f>
        <v>3.1080000000000001</v>
      </c>
      <c r="U25" s="48">
        <f ca="1">IF($E25="", "", AVERAGE( OFFSET( hist_data!$S$7, 0, MATCH($C25, hist_data!$A$6:$A$21, 0), U$13 ) ))</f>
        <v>3.350966666666666</v>
      </c>
      <c r="V25" s="25">
        <f ca="1">IF($E25="","",MAX(OFFSET(hist_data!$S$7,0,MATCH($C25,hist_data!$A$6:$A$21,0),V$13)))</f>
        <v>3.6</v>
      </c>
      <c r="W25" s="26">
        <f ca="1">IF($E25="","",MIN(OFFSET(hist_data!$S$7,0,MATCH($C25,hist_data!$A$6:$A$21,0),W$13)))</f>
        <v>3.1080000000000001</v>
      </c>
      <c r="X25" s="48">
        <f ca="1">IF($E25="", "", AVERAGE( OFFSET( hist_data!$S$7, 0, MATCH($C25, hist_data!$A$6:$A$21, 0), X$13 ) ))</f>
        <v>3.4648833333333355</v>
      </c>
      <c r="Y25" s="25">
        <f ca="1">IF($E25="","",MAX(OFFSET(hist_data!$S$7,0,MATCH($C25,hist_data!$A$6:$A$21,0),Y$13)))</f>
        <v>3.6469999999999998</v>
      </c>
      <c r="Z25" s="26">
        <f ca="1">IF($E25="","",MIN(OFFSET(hist_data!$S$7,0,MATCH($C25,hist_data!$A$6:$A$21,0),Z$13)))</f>
        <v>3.1080000000000001</v>
      </c>
      <c r="AA25" s="48">
        <f ca="1">IF($E25="", "", AVERAGE( OFFSET( hist_data!$S$7, 0, MATCH($C25, hist_data!$A$6:$A$21, 0), AA$13 ) ))</f>
        <v>3.6977319999999985</v>
      </c>
      <c r="AB25" s="25">
        <f ca="1">IF($E25="","",MAX(OFFSET(hist_data!$S$7,0,MATCH($C25,hist_data!$A$6:$A$21,0),AB$13)))</f>
        <v>4.3140000000000001</v>
      </c>
      <c r="AC25" s="26">
        <f ca="1">IF($E25="","",MIN(OFFSET(hist_data!$S$7,0,MATCH($C25,hist_data!$A$6:$A$21,0),AC$13)))</f>
        <v>3.1080000000000001</v>
      </c>
    </row>
    <row r="26" spans="1:29" s="20" customFormat="1" ht="12.75">
      <c r="C26" s="88" t="s">
        <v>836</v>
      </c>
      <c r="D26" s="89"/>
      <c r="E26" s="47">
        <f t="shared" ref="E26" si="86">IFERROR( (E$16-E25)*100, "")</f>
        <v>-27.499999999999993</v>
      </c>
      <c r="F26" s="30">
        <f t="shared" ref="F26" si="87">IFERROR( (F$16-F25)*100, "")</f>
        <v>-27.300000000000011</v>
      </c>
      <c r="G26" s="30">
        <f t="shared" ref="G26" si="88">IFERROR( (G$16-G25)*100, "")</f>
        <v>-24.6</v>
      </c>
      <c r="H26" s="30">
        <f t="shared" ref="H26" si="89">IFERROR( (H$16-H25)*100, "")</f>
        <v>-22.599999999999998</v>
      </c>
      <c r="I26" s="30">
        <f t="shared" ref="I26" si="90">IFERROR( (I$16-I25)*100, "")</f>
        <v>-22.800000000000018</v>
      </c>
      <c r="J26" s="30">
        <f t="shared" ref="J26" si="91">IFERROR( (J$16-J25)*100, "")</f>
        <v>-24.399999999999977</v>
      </c>
      <c r="K26" s="30">
        <f t="shared" ref="K26" si="92">IFERROR( (K$16-K25)*100, "")</f>
        <v>-24.799999999999976</v>
      </c>
      <c r="L26" s="30">
        <f t="shared" ref="L26" si="93">IFERROR( (L$16-L25)*100, "")</f>
        <v>-23.899999999999988</v>
      </c>
      <c r="M26" s="30">
        <f t="shared" ref="M26" si="94">IFERROR( (M$16-M25)*100, "")</f>
        <v>-29.300000000000015</v>
      </c>
      <c r="N26" s="30">
        <f t="shared" ref="N26" si="95">IFERROR( (N$16-N25)*100, "")</f>
        <v>-25</v>
      </c>
      <c r="O26" s="30">
        <f t="shared" ref="O26" si="96">IFERROR( (O$16-O25)*100, "")</f>
        <v>-24.6</v>
      </c>
      <c r="P26" s="31">
        <f t="shared" ref="P26" si="97">IFERROR( (P$16-P25)*100, "")</f>
        <v>-23.300000000000011</v>
      </c>
      <c r="R26" s="47">
        <f t="shared" ref="R26" ca="1" si="98">IFERROR( (R$16-R25)*100, "")</f>
        <v>-23.439999999999905</v>
      </c>
      <c r="S26" s="30">
        <f t="shared" ref="S26" ca="1" si="99">IFERROR( (S$16-S25)*100, "")</f>
        <v>-18.299999999999983</v>
      </c>
      <c r="T26" s="31">
        <f t="shared" ref="T26" ca="1" si="100">IFERROR( (T$16-T25)*100, "")</f>
        <v>-29.300000000000015</v>
      </c>
      <c r="U26" s="47">
        <f t="shared" ref="U26" ca="1" si="101">IFERROR( (U$16-U25)*100, "")</f>
        <v>-20.433333333333348</v>
      </c>
      <c r="V26" s="30">
        <f t="shared" ref="V26" ca="1" si="102">IFERROR( (V$16-V25)*100, "")</f>
        <v>-14.800000000000013</v>
      </c>
      <c r="W26" s="31">
        <f t="shared" ref="W26" ca="1" si="103">IFERROR( (W$16-W25)*100, "")</f>
        <v>-29.300000000000015</v>
      </c>
      <c r="X26" s="47">
        <f t="shared" ref="X26" ca="1" si="104">IFERROR( (X$16-X25)*100, "")</f>
        <v>-19.86916666666696</v>
      </c>
      <c r="Y26" s="30">
        <f t="shared" ref="Y26" ca="1" si="105">IFERROR( (Y$16-Y25)*100, "")</f>
        <v>-10.699999999999976</v>
      </c>
      <c r="Z26" s="31">
        <f t="shared" ref="Z26" ca="1" si="106">IFERROR( (Z$16-Z25)*100, "")</f>
        <v>-29.300000000000015</v>
      </c>
      <c r="AA26" s="47">
        <f t="shared" ref="AA26" ca="1" si="107">IFERROR( (AA$16-AA25)*100, "")</f>
        <v>-24.677999999999891</v>
      </c>
      <c r="AB26" s="30">
        <f t="shared" ref="AB26" ca="1" si="108">IFERROR( (AB$16-AB25)*100, "")</f>
        <v>-17.400000000000038</v>
      </c>
      <c r="AC26" s="31">
        <f t="shared" ref="AC26" ca="1" si="109">IFERROR( (AC$16-AC25)*100, "")</f>
        <v>-29.300000000000015</v>
      </c>
    </row>
    <row r="27" spans="1:29" s="20" customFormat="1" ht="12.75">
      <c r="A27" s="20">
        <v>6</v>
      </c>
      <c r="C27" s="24" t="str" cm="1">
        <f t="array" ref="C27">INDEX(hist_data!$A$6:$A$21, Hist!$A27)</f>
        <v>02Y</v>
      </c>
      <c r="D27" s="43"/>
      <c r="E27" s="48" cm="1">
        <f t="array" ref="E27">IF( INDEX(hist_data!$S$6:$AI$256, MATCH(E$13, hist_data!$S$6:$S$256, 0), MATCH($C27, hist_data!$A$6:$A$21, 0)+1)=0, "", INDEX(hist_data!$S$6:$AI$256, MATCH(E$13, hist_data!$S$6:$S$256, 0), MATCH($C27, hist_data!$A$6:$A$21, 0)+1) )</f>
        <v>3.1859999999999999</v>
      </c>
      <c r="F27" s="25" cm="1">
        <f t="array" ref="F27">IF( INDEX(hist_data!$S$6:$AI$256, MATCH(F$13, hist_data!$S$6:$S$256, 0), MATCH($C27, hist_data!$A$6:$A$21, 0)+1)=0, "", INDEX(hist_data!$S$6:$AI$256, MATCH(F$13, hist_data!$S$6:$S$256, 0), MATCH($C27, hist_data!$A$6:$A$21, 0)+1) )</f>
        <v>3.1440000000000001</v>
      </c>
      <c r="G27" s="25" cm="1">
        <f t="array" ref="G27">IF( INDEX(hist_data!$S$6:$AI$256, MATCH(G$13, hist_data!$S$6:$S$256, 0), MATCH($C27, hist_data!$A$6:$A$21, 0)+1)=0, "", INDEX(hist_data!$S$6:$AI$256, MATCH(G$13, hist_data!$S$6:$S$256, 0), MATCH($C27, hist_data!$A$6:$A$21, 0)+1) )</f>
        <v>3.1429999999999998</v>
      </c>
      <c r="H27" s="25" cm="1">
        <f t="array" ref="H27">IF( INDEX(hist_data!$S$6:$AI$256, MATCH(H$13, hist_data!$S$6:$S$256, 0), MATCH($C27, hist_data!$A$6:$A$21, 0)+1)=0, "", INDEX(hist_data!$S$6:$AI$256, MATCH(H$13, hist_data!$S$6:$S$256, 0), MATCH($C27, hist_data!$A$6:$A$21, 0)+1) )</f>
        <v>3.1539999999999999</v>
      </c>
      <c r="I27" s="25" cm="1">
        <f t="array" ref="I27">IF( INDEX(hist_data!$S$6:$AI$256, MATCH(I$13, hist_data!$S$6:$S$256, 0), MATCH($C27, hist_data!$A$6:$A$21, 0)+1)=0, "", INDEX(hist_data!$S$6:$AI$256, MATCH(I$13, hist_data!$S$6:$S$256, 0), MATCH($C27, hist_data!$A$6:$A$21, 0)+1) )</f>
        <v>3.1429999999999998</v>
      </c>
      <c r="J27" s="25" cm="1">
        <f t="array" ref="J27">IF( INDEX(hist_data!$S$6:$AI$256, MATCH(J$13, hist_data!$S$6:$S$256, 0), MATCH($C27, hist_data!$A$6:$A$21, 0)+1)=0, "", INDEX(hist_data!$S$6:$AI$256, MATCH(J$13, hist_data!$S$6:$S$256, 0), MATCH($C27, hist_data!$A$6:$A$21, 0)+1) )</f>
        <v>3.1230000000000002</v>
      </c>
      <c r="K27" s="25" cm="1">
        <f t="array" ref="K27">IF( INDEX(hist_data!$S$6:$AI$256, MATCH(K$13, hist_data!$S$6:$S$256, 0), MATCH($C27, hist_data!$A$6:$A$21, 0)+1)=0, "", INDEX(hist_data!$S$6:$AI$256, MATCH(K$13, hist_data!$S$6:$S$256, 0), MATCH($C27, hist_data!$A$6:$A$21, 0)+1) )</f>
        <v>3.14</v>
      </c>
      <c r="L27" s="25" cm="1">
        <f t="array" ref="L27">IF( INDEX(hist_data!$S$6:$AI$256, MATCH(L$13, hist_data!$S$6:$S$256, 0), MATCH($C27, hist_data!$A$6:$A$21, 0)+1)=0, "", INDEX(hist_data!$S$6:$AI$256, MATCH(L$13, hist_data!$S$6:$S$256, 0), MATCH($C27, hist_data!$A$6:$A$21, 0)+1) )</f>
        <v>3.1539999999999999</v>
      </c>
      <c r="M27" s="25" cm="1">
        <f t="array" ref="M27">IF( INDEX(hist_data!$S$6:$AI$256, MATCH(M$13, hist_data!$S$6:$S$256, 0), MATCH($C27, hist_data!$A$6:$A$21, 0)+1)=0, "", INDEX(hist_data!$S$6:$AI$256, MATCH(M$13, hist_data!$S$6:$S$256, 0), MATCH($C27, hist_data!$A$6:$A$21, 0)+1) )</f>
        <v>3.0489999999999999</v>
      </c>
      <c r="N27" s="25" cm="1">
        <f t="array" ref="N27">IF( INDEX(hist_data!$S$6:$AI$256, MATCH(N$13, hist_data!$S$6:$S$256, 0), MATCH($C27, hist_data!$A$6:$A$21, 0)+1)=0, "", INDEX(hist_data!$S$6:$AI$256, MATCH(N$13, hist_data!$S$6:$S$256, 0), MATCH($C27, hist_data!$A$6:$A$21, 0)+1) )</f>
        <v>3.1549999999999998</v>
      </c>
      <c r="O27" s="25" cm="1">
        <f t="array" ref="O27">IF( INDEX(hist_data!$S$6:$AI$256, MATCH(O$13, hist_data!$S$6:$S$256, 0), MATCH($C27, hist_data!$A$6:$A$21, 0)+1)=0, "", INDEX(hist_data!$S$6:$AI$256, MATCH(O$13, hist_data!$S$6:$S$256, 0), MATCH($C27, hist_data!$A$6:$A$21, 0)+1) )</f>
        <v>3.1829999999999998</v>
      </c>
      <c r="P27" s="26" cm="1">
        <f t="array" ref="P27">IF( INDEX(hist_data!$S$6:$AI$256, MATCH(P$13, hist_data!$S$6:$S$256, 0), MATCH($C27, hist_data!$A$6:$A$21, 0)+1)=0, "", INDEX(hist_data!$S$6:$AI$256, MATCH(P$13, hist_data!$S$6:$S$256, 0), MATCH($C27, hist_data!$A$6:$A$21, 0)+1) )</f>
        <v>3.2</v>
      </c>
      <c r="R27" s="48">
        <f ca="1">IF($E27="", "", AVERAGE( OFFSET( hist_data!$S$7, 0, MATCH($C27, hist_data!$A$6:$A$21, 0), R$13 ) ))</f>
        <v>3.17265</v>
      </c>
      <c r="S27" s="25">
        <f ca="1">IF($E27="","",MAX(OFFSET(hist_data!$S$7,0,MATCH($C27,hist_data!$A$6:$A$21,0),S$13)))</f>
        <v>3.24</v>
      </c>
      <c r="T27" s="26">
        <f ca="1">IF($E27="","",MIN(OFFSET(hist_data!$S$7,0,MATCH($C27,hist_data!$A$6:$A$21,0),T$13)))</f>
        <v>3.0489999999999999</v>
      </c>
      <c r="U27" s="48">
        <f ca="1">IF($E27="", "", AVERAGE( OFFSET( hist_data!$S$7, 0, MATCH($C27, hist_data!$A$6:$A$21, 0), U$13 ) ))</f>
        <v>3.329716666666668</v>
      </c>
      <c r="V27" s="25">
        <f ca="1">IF($E27="","",MAX(OFFSET(hist_data!$S$7,0,MATCH($C27,hist_data!$A$6:$A$21,0),V$13)))</f>
        <v>3.589</v>
      </c>
      <c r="W27" s="26">
        <f ca="1">IF($E27="","",MIN(OFFSET(hist_data!$S$7,0,MATCH($C27,hist_data!$A$6:$A$21,0),W$13)))</f>
        <v>3.0489999999999999</v>
      </c>
      <c r="X27" s="48">
        <f ca="1">IF($E27="", "", AVERAGE( OFFSET( hist_data!$S$7, 0, MATCH($C27, hist_data!$A$6:$A$21, 0), X$13 ) ))</f>
        <v>3.4565416666666668</v>
      </c>
      <c r="Y27" s="25">
        <f ca="1">IF($E27="","",MAX(OFFSET(hist_data!$S$7,0,MATCH($C27,hist_data!$A$6:$A$21,0),Y$13)))</f>
        <v>3.673</v>
      </c>
      <c r="Z27" s="26">
        <f ca="1">IF($E27="","",MIN(OFFSET(hist_data!$S$7,0,MATCH($C27,hist_data!$A$6:$A$21,0),Z$13)))</f>
        <v>3.0489999999999999</v>
      </c>
      <c r="AA27" s="48">
        <f ca="1">IF($E27="", "", AVERAGE( OFFSET( hist_data!$S$7, 0, MATCH($C27, hist_data!$A$6:$A$21, 0), AA$13 ) ))</f>
        <v>3.718220000000001</v>
      </c>
      <c r="AB27" s="25">
        <f ca="1">IF($E27="","",MAX(OFFSET(hist_data!$S$7,0,MATCH($C27,hist_data!$A$6:$A$21,0),AB$13)))</f>
        <v>4.4470000000000001</v>
      </c>
      <c r="AC27" s="26">
        <f ca="1">IF($E27="","",MIN(OFFSET(hist_data!$S$7,0,MATCH($C27,hist_data!$A$6:$A$21,0),AC$13)))</f>
        <v>3.0489999999999999</v>
      </c>
    </row>
    <row r="28" spans="1:29" s="20" customFormat="1" ht="12.75">
      <c r="C28" s="88" t="s">
        <v>836</v>
      </c>
      <c r="D28" s="89"/>
      <c r="E28" s="47">
        <f t="shared" ref="E28" si="110">IFERROR( (E$16-E27)*100, "")</f>
        <v>-26.399999999999977</v>
      </c>
      <c r="F28" s="30">
        <f t="shared" ref="F28" si="111">IFERROR( (F$16-F27)*100, "")</f>
        <v>-25.70000000000001</v>
      </c>
      <c r="G28" s="30">
        <f t="shared" ref="G28" si="112">IFERROR( (G$16-G27)*100, "")</f>
        <v>-22.799999999999976</v>
      </c>
      <c r="H28" s="30">
        <f t="shared" ref="H28" si="113">IFERROR( (H$16-H27)*100, "")</f>
        <v>-20.900000000000006</v>
      </c>
      <c r="I28" s="30">
        <f t="shared" ref="I28" si="114">IFERROR( (I$16-I27)*100, "")</f>
        <v>-20.299999999999983</v>
      </c>
      <c r="J28" s="30">
        <f t="shared" ref="J28" si="115">IFERROR( (J$16-J27)*100, "")</f>
        <v>-20.40000000000002</v>
      </c>
      <c r="K28" s="30">
        <f t="shared" ref="K28" si="116">IFERROR( (K$16-K27)*100, "")</f>
        <v>-20.900000000000006</v>
      </c>
      <c r="L28" s="30">
        <f t="shared" ref="L28" si="117">IFERROR( (L$16-L27)*100, "")</f>
        <v>-21.4</v>
      </c>
      <c r="M28" s="30">
        <f t="shared" ref="M28" si="118">IFERROR( (M$16-M27)*100, "")</f>
        <v>-23.4</v>
      </c>
      <c r="N28" s="30">
        <f t="shared" ref="N28" si="119">IFERROR( (N$16-N27)*100, "")</f>
        <v>-21.899999999999984</v>
      </c>
      <c r="O28" s="30">
        <f t="shared" ref="O28" si="120">IFERROR( (O$16-O27)*100, "")</f>
        <v>-20.799999999999976</v>
      </c>
      <c r="P28" s="31">
        <f t="shared" ref="P28" si="121">IFERROR( (P$16-P27)*100, "")</f>
        <v>-20.000000000000018</v>
      </c>
      <c r="R28" s="47">
        <f t="shared" ref="R28" ca="1" si="122">IFERROR( (R$16-R27)*100, "")</f>
        <v>-20.259999999999899</v>
      </c>
      <c r="S28" s="30">
        <f t="shared" ref="S28" ca="1" si="123">IFERROR( (S$16-S27)*100, "")</f>
        <v>-15.300000000000002</v>
      </c>
      <c r="T28" s="31">
        <f t="shared" ref="T28" ca="1" si="124">IFERROR( (T$16-T27)*100, "")</f>
        <v>-23.4</v>
      </c>
      <c r="U28" s="47">
        <f t="shared" ref="U28" ca="1" si="125">IFERROR( (U$16-U27)*100, "")</f>
        <v>-18.30833333333355</v>
      </c>
      <c r="V28" s="30">
        <f t="shared" ref="V28" ca="1" si="126">IFERROR( (V$16-V27)*100, "")</f>
        <v>-13.700000000000001</v>
      </c>
      <c r="W28" s="31">
        <f t="shared" ref="W28" ca="1" si="127">IFERROR( (W$16-W27)*100, "")</f>
        <v>-23.4</v>
      </c>
      <c r="X28" s="47">
        <f t="shared" ref="X28" ca="1" si="128">IFERROR( (X$16-X27)*100, "")</f>
        <v>-19.035000000000089</v>
      </c>
      <c r="Y28" s="30">
        <f t="shared" ref="Y28" ca="1" si="129">IFERROR( (Y$16-Y27)*100, "")</f>
        <v>-13.3</v>
      </c>
      <c r="Z28" s="31">
        <f t="shared" ref="Z28" ca="1" si="130">IFERROR( (Z$16-Z27)*100, "")</f>
        <v>-23.4</v>
      </c>
      <c r="AA28" s="47">
        <f t="shared" ref="AA28" ca="1" si="131">IFERROR( (AA$16-AA27)*100, "")</f>
        <v>-26.726800000000139</v>
      </c>
      <c r="AB28" s="30">
        <f t="shared" ref="AB28" ca="1" si="132">IFERROR( (AB$16-AB27)*100, "")</f>
        <v>-30.700000000000038</v>
      </c>
      <c r="AC28" s="31">
        <f t="shared" ref="AC28" ca="1" si="133">IFERROR( (AC$16-AC27)*100, "")</f>
        <v>-23.4</v>
      </c>
    </row>
    <row r="29" spans="1:29" s="20" customFormat="1" ht="12.75">
      <c r="A29" s="20">
        <v>7</v>
      </c>
      <c r="C29" s="24" t="str" cm="1">
        <f t="array" ref="C29">INDEX(hist_data!$A$6:$A$21, Hist!$A29)</f>
        <v>2.5Y</v>
      </c>
      <c r="D29" s="43"/>
      <c r="E29" s="48" cm="1">
        <f t="array" ref="E29">IF( INDEX(hist_data!$S$6:$AI$256, MATCH(E$13, hist_data!$S$6:$S$256, 0), MATCH($C29, hist_data!$A$6:$A$21, 0)+1)=0, "", INDEX(hist_data!$S$6:$AI$256, MATCH(E$13, hist_data!$S$6:$S$256, 0), MATCH($C29, hist_data!$A$6:$A$21, 0)+1) )</f>
        <v>3.1560000000000001</v>
      </c>
      <c r="F29" s="25" cm="1">
        <f t="array" ref="F29">IF( INDEX(hist_data!$S$6:$AI$256, MATCH(F$13, hist_data!$S$6:$S$256, 0), MATCH($C29, hist_data!$A$6:$A$21, 0)+1)=0, "", INDEX(hist_data!$S$6:$AI$256, MATCH(F$13, hist_data!$S$6:$S$256, 0), MATCH($C29, hist_data!$A$6:$A$21, 0)+1) )</f>
        <v>3.1160000000000001</v>
      </c>
      <c r="G29" s="25" cm="1">
        <f t="array" ref="G29">IF( INDEX(hist_data!$S$6:$AI$256, MATCH(G$13, hist_data!$S$6:$S$256, 0), MATCH($C29, hist_data!$A$6:$A$21, 0)+1)=0, "", INDEX(hist_data!$S$6:$AI$256, MATCH(G$13, hist_data!$S$6:$S$256, 0), MATCH($C29, hist_data!$A$6:$A$21, 0)+1) )</f>
        <v>3.1269999999999998</v>
      </c>
      <c r="H29" s="25" cm="1">
        <f t="array" ref="H29">IF( INDEX(hist_data!$S$6:$AI$256, MATCH(H$13, hist_data!$S$6:$S$256, 0), MATCH($C29, hist_data!$A$6:$A$21, 0)+1)=0, "", INDEX(hist_data!$S$6:$AI$256, MATCH(H$13, hist_data!$S$6:$S$256, 0), MATCH($C29, hist_data!$A$6:$A$21, 0)+1) )</f>
        <v>3.1459999999999999</v>
      </c>
      <c r="I29" s="25" cm="1">
        <f t="array" ref="I29">IF( INDEX(hist_data!$S$6:$AI$256, MATCH(I$13, hist_data!$S$6:$S$256, 0), MATCH($C29, hist_data!$A$6:$A$21, 0)+1)=0, "", INDEX(hist_data!$S$6:$AI$256, MATCH(I$13, hist_data!$S$6:$S$256, 0), MATCH($C29, hist_data!$A$6:$A$21, 0)+1) )</f>
        <v>3.1339999999999999</v>
      </c>
      <c r="J29" s="25" cm="1">
        <f t="array" ref="J29">IF( INDEX(hist_data!$S$6:$AI$256, MATCH(J$13, hist_data!$S$6:$S$256, 0), MATCH($C29, hist_data!$A$6:$A$21, 0)+1)=0, "", INDEX(hist_data!$S$6:$AI$256, MATCH(J$13, hist_data!$S$6:$S$256, 0), MATCH($C29, hist_data!$A$6:$A$21, 0)+1) )</f>
        <v>3.11</v>
      </c>
      <c r="K29" s="25" cm="1">
        <f t="array" ref="K29">IF( INDEX(hist_data!$S$6:$AI$256, MATCH(K$13, hist_data!$S$6:$S$256, 0), MATCH($C29, hist_data!$A$6:$A$21, 0)+1)=0, "", INDEX(hist_data!$S$6:$AI$256, MATCH(K$13, hist_data!$S$6:$S$256, 0), MATCH($C29, hist_data!$A$6:$A$21, 0)+1) )</f>
        <v>3.1259999999999999</v>
      </c>
      <c r="L29" s="25" cm="1">
        <f t="array" ref="L29">IF( INDEX(hist_data!$S$6:$AI$256, MATCH(L$13, hist_data!$S$6:$S$256, 0), MATCH($C29, hist_data!$A$6:$A$21, 0)+1)=0, "", INDEX(hist_data!$S$6:$AI$256, MATCH(L$13, hist_data!$S$6:$S$256, 0), MATCH($C29, hist_data!$A$6:$A$21, 0)+1) )</f>
        <v>3.1339999999999999</v>
      </c>
      <c r="M29" s="25" cm="1">
        <f t="array" ref="M29">IF( INDEX(hist_data!$S$6:$AI$256, MATCH(M$13, hist_data!$S$6:$S$256, 0), MATCH($C29, hist_data!$A$6:$A$21, 0)+1)=0, "", INDEX(hist_data!$S$6:$AI$256, MATCH(M$13, hist_data!$S$6:$S$256, 0), MATCH($C29, hist_data!$A$6:$A$21, 0)+1) )</f>
        <v>3.02</v>
      </c>
      <c r="N29" s="25" cm="1">
        <f t="array" ref="N29">IF( INDEX(hist_data!$S$6:$AI$256, MATCH(N$13, hist_data!$S$6:$S$256, 0), MATCH($C29, hist_data!$A$6:$A$21, 0)+1)=0, "", INDEX(hist_data!$S$6:$AI$256, MATCH(N$13, hist_data!$S$6:$S$256, 0), MATCH($C29, hist_data!$A$6:$A$21, 0)+1) )</f>
        <v>3.1429999999999998</v>
      </c>
      <c r="O29" s="25" cm="1">
        <f t="array" ref="O29">IF( INDEX(hist_data!$S$6:$AI$256, MATCH(O$13, hist_data!$S$6:$S$256, 0), MATCH($C29, hist_data!$A$6:$A$21, 0)+1)=0, "", INDEX(hist_data!$S$6:$AI$256, MATCH(O$13, hist_data!$S$6:$S$256, 0), MATCH($C29, hist_data!$A$6:$A$21, 0)+1) )</f>
        <v>3.1739999999999999</v>
      </c>
      <c r="P29" s="26" cm="1">
        <f t="array" ref="P29">IF( INDEX(hist_data!$S$6:$AI$256, MATCH(P$13, hist_data!$S$6:$S$256, 0), MATCH($C29, hist_data!$A$6:$A$21, 0)+1)=0, "", INDEX(hist_data!$S$6:$AI$256, MATCH(P$13, hist_data!$S$6:$S$256, 0), MATCH($C29, hist_data!$A$6:$A$21, 0)+1) )</f>
        <v>3.1949999999999998</v>
      </c>
      <c r="R29" s="48">
        <f ca="1">IF($E29="", "", AVERAGE( OFFSET( hist_data!$S$7, 0, MATCH($C29, hist_data!$A$6:$A$21, 0), R$13 ) ))</f>
        <v>3.1602000000000006</v>
      </c>
      <c r="S29" s="25">
        <f ca="1">IF($E29="","",MAX(OFFSET(hist_data!$S$7,0,MATCH($C29,hist_data!$A$6:$A$21,0),S$13)))</f>
        <v>3.238</v>
      </c>
      <c r="T29" s="26">
        <f ca="1">IF($E29="","",MIN(OFFSET(hist_data!$S$7,0,MATCH($C29,hist_data!$A$6:$A$21,0),T$13)))</f>
        <v>3.02</v>
      </c>
      <c r="U29" s="48">
        <f ca="1">IF($E29="", "", AVERAGE( OFFSET( hist_data!$S$7, 0, MATCH($C29, hist_data!$A$6:$A$21, 0), U$13 ) ))</f>
        <v>3.3249166666666663</v>
      </c>
      <c r="V29" s="25">
        <f ca="1">IF($E29="","",MAX(OFFSET(hist_data!$S$7,0,MATCH($C29,hist_data!$A$6:$A$21,0),V$13)))</f>
        <v>3.6040000000000001</v>
      </c>
      <c r="W29" s="26">
        <f ca="1">IF($E29="","",MIN(OFFSET(hist_data!$S$7,0,MATCH($C29,hist_data!$A$6:$A$21,0),W$13)))</f>
        <v>3.02</v>
      </c>
      <c r="X29" s="48">
        <f ca="1">IF($E29="", "", AVERAGE( OFFSET( hist_data!$S$7, 0, MATCH($C29, hist_data!$A$6:$A$21, 0), X$13 ) ))</f>
        <v>3.4554916666666644</v>
      </c>
      <c r="Y29" s="25">
        <f ca="1">IF($E29="","",MAX(OFFSET(hist_data!$S$7,0,MATCH($C29,hist_data!$A$6:$A$21,0),Y$13)))</f>
        <v>3.68</v>
      </c>
      <c r="Z29" s="26">
        <f ca="1">IF($E29="","",MIN(OFFSET(hist_data!$S$7,0,MATCH($C29,hist_data!$A$6:$A$21,0),Z$13)))</f>
        <v>3.02</v>
      </c>
      <c r="AA29" s="48">
        <f ca="1">IF($E29="", "", AVERAGE( OFFSET( hist_data!$S$7, 0, MATCH($C29, hist_data!$A$6:$A$21, 0), AA$13 ) ))</f>
        <v>3.7237159999999982</v>
      </c>
      <c r="AB29" s="25">
        <f ca="1">IF($E29="","",MAX(OFFSET(hist_data!$S$7,0,MATCH($C29,hist_data!$A$6:$A$21,0),AB$13)))</f>
        <v>4.4980000000000002</v>
      </c>
      <c r="AC29" s="26">
        <f ca="1">IF($E29="","",MIN(OFFSET(hist_data!$S$7,0,MATCH($C29,hist_data!$A$6:$A$21,0),AC$13)))</f>
        <v>3.02</v>
      </c>
    </row>
    <row r="30" spans="1:29" s="20" customFormat="1" ht="12.75">
      <c r="C30" s="88" t="s">
        <v>836</v>
      </c>
      <c r="D30" s="89"/>
      <c r="E30" s="47">
        <f t="shared" ref="E30" si="134">IFERROR( (E$16-E29)*100, "")</f>
        <v>-23.4</v>
      </c>
      <c r="F30" s="30">
        <f t="shared" ref="F30" si="135">IFERROR( (F$16-F29)*100, "")</f>
        <v>-22.900000000000009</v>
      </c>
      <c r="G30" s="30">
        <f t="shared" ref="G30" si="136">IFERROR( (G$16-G29)*100, "")</f>
        <v>-21.199999999999974</v>
      </c>
      <c r="H30" s="30">
        <f t="shared" ref="H30" si="137">IFERROR( (H$16-H29)*100, "")</f>
        <v>-20.100000000000009</v>
      </c>
      <c r="I30" s="30">
        <f t="shared" ref="I30" si="138">IFERROR( (I$16-I29)*100, "")</f>
        <v>-19.399999999999995</v>
      </c>
      <c r="J30" s="30">
        <f t="shared" ref="J30" si="139">IFERROR( (J$16-J29)*100, "")</f>
        <v>-19.099999999999984</v>
      </c>
      <c r="K30" s="30">
        <f t="shared" ref="K30" si="140">IFERROR( (K$16-K29)*100, "")</f>
        <v>-19.499999999999986</v>
      </c>
      <c r="L30" s="30">
        <f t="shared" ref="L30" si="141">IFERROR( (L$16-L29)*100, "")</f>
        <v>-19.399999999999995</v>
      </c>
      <c r="M30" s="30">
        <f t="shared" ref="M30" si="142">IFERROR( (M$16-M29)*100, "")</f>
        <v>-20.500000000000007</v>
      </c>
      <c r="N30" s="30">
        <f t="shared" ref="N30" si="143">IFERROR( (N$16-N29)*100, "")</f>
        <v>-20.699999999999985</v>
      </c>
      <c r="O30" s="30">
        <f t="shared" ref="O30" si="144">IFERROR( (O$16-O29)*100, "")</f>
        <v>-19.899999999999984</v>
      </c>
      <c r="P30" s="31">
        <f t="shared" ref="P30" si="145">IFERROR( (P$16-P29)*100, "")</f>
        <v>-19.499999999999986</v>
      </c>
      <c r="R30" s="47">
        <f t="shared" ref="R30" ca="1" si="146">IFERROR( (R$16-R29)*100, "")</f>
        <v>-19.014999999999958</v>
      </c>
      <c r="S30" s="30">
        <f t="shared" ref="S30" ca="1" si="147">IFERROR( (S$16-S29)*100, "")</f>
        <v>-15.09999999999998</v>
      </c>
      <c r="T30" s="31">
        <f t="shared" ref="T30" ca="1" si="148">IFERROR( (T$16-T29)*100, "")</f>
        <v>-20.500000000000007</v>
      </c>
      <c r="U30" s="47">
        <f t="shared" ref="U30" ca="1" si="149">IFERROR( (U$16-U29)*100, "")</f>
        <v>-17.828333333333379</v>
      </c>
      <c r="V30" s="30">
        <f t="shared" ref="V30" ca="1" si="150">IFERROR( (V$16-V29)*100, "")</f>
        <v>-15.200000000000014</v>
      </c>
      <c r="W30" s="31">
        <f t="shared" ref="W30" ca="1" si="151">IFERROR( (W$16-W29)*100, "")</f>
        <v>-20.500000000000007</v>
      </c>
      <c r="X30" s="47">
        <f t="shared" ref="X30" ca="1" si="152">IFERROR( (X$16-X29)*100, "")</f>
        <v>-18.929999999999847</v>
      </c>
      <c r="Y30" s="30">
        <f t="shared" ref="Y30" ca="1" si="153">IFERROR( (Y$16-Y29)*100, "")</f>
        <v>-14.000000000000012</v>
      </c>
      <c r="Z30" s="31">
        <f t="shared" ref="Z30" ca="1" si="154">IFERROR( (Z$16-Z29)*100, "")</f>
        <v>-20.500000000000007</v>
      </c>
      <c r="AA30" s="47">
        <f t="shared" ref="AA30" ca="1" si="155">IFERROR( (AA$16-AA29)*100, "")</f>
        <v>-27.276399999999867</v>
      </c>
      <c r="AB30" s="30">
        <f t="shared" ref="AB30" ca="1" si="156">IFERROR( (AB$16-AB29)*100, "")</f>
        <v>-35.800000000000054</v>
      </c>
      <c r="AC30" s="31">
        <f t="shared" ref="AC30" ca="1" si="157">IFERROR( (AC$16-AC29)*100, "")</f>
        <v>-20.500000000000007</v>
      </c>
    </row>
    <row r="31" spans="1:29" s="20" customFormat="1" ht="12.75">
      <c r="A31" s="20">
        <v>8</v>
      </c>
      <c r="C31" s="24" t="str" cm="1">
        <f t="array" ref="C31">INDEX(hist_data!$A$6:$A$21, Hist!$A31)</f>
        <v>03Y</v>
      </c>
      <c r="D31" s="43"/>
      <c r="E31" s="48" cm="1">
        <f t="array" ref="E31">IF( INDEX(hist_data!$S$6:$AI$256, MATCH(E$13, hist_data!$S$6:$S$256, 0), MATCH($C31, hist_data!$A$6:$A$21, 0)+1)=0, "", INDEX(hist_data!$S$6:$AI$256, MATCH(E$13, hist_data!$S$6:$S$256, 0), MATCH($C31, hist_data!$A$6:$A$21, 0)+1) )</f>
        <v>3.1539999999999999</v>
      </c>
      <c r="F31" s="25" cm="1">
        <f t="array" ref="F31">IF( INDEX(hist_data!$S$6:$AI$256, MATCH(F$13, hist_data!$S$6:$S$256, 0), MATCH($C31, hist_data!$A$6:$A$21, 0)+1)=0, "", INDEX(hist_data!$S$6:$AI$256, MATCH(F$13, hist_data!$S$6:$S$256, 0), MATCH($C31, hist_data!$A$6:$A$21, 0)+1) )</f>
        <v>3.109</v>
      </c>
      <c r="G31" s="25" cm="1">
        <f t="array" ref="G31">IF( INDEX(hist_data!$S$6:$AI$256, MATCH(G$13, hist_data!$S$6:$S$256, 0), MATCH($C31, hist_data!$A$6:$A$21, 0)+1)=0, "", INDEX(hist_data!$S$6:$AI$256, MATCH(G$13, hist_data!$S$6:$S$256, 0), MATCH($C31, hist_data!$A$6:$A$21, 0)+1) )</f>
        <v>3.1269999999999998</v>
      </c>
      <c r="H31" s="25" cm="1">
        <f t="array" ref="H31">IF( INDEX(hist_data!$S$6:$AI$256, MATCH(H$13, hist_data!$S$6:$S$256, 0), MATCH($C31, hist_data!$A$6:$A$21, 0)+1)=0, "", INDEX(hist_data!$S$6:$AI$256, MATCH(H$13, hist_data!$S$6:$S$256, 0), MATCH($C31, hist_data!$A$6:$A$21, 0)+1) )</f>
        <v>3.145</v>
      </c>
      <c r="I31" s="25" cm="1">
        <f t="array" ref="I31">IF( INDEX(hist_data!$S$6:$AI$256, MATCH(I$13, hist_data!$S$6:$S$256, 0), MATCH($C31, hist_data!$A$6:$A$21, 0)+1)=0, "", INDEX(hist_data!$S$6:$AI$256, MATCH(I$13, hist_data!$S$6:$S$256, 0), MATCH($C31, hist_data!$A$6:$A$21, 0)+1) )</f>
        <v>3.1389999999999998</v>
      </c>
      <c r="J31" s="25" cm="1">
        <f t="array" ref="J31">IF( INDEX(hist_data!$S$6:$AI$256, MATCH(J$13, hist_data!$S$6:$S$256, 0), MATCH($C31, hist_data!$A$6:$A$21, 0)+1)=0, "", INDEX(hist_data!$S$6:$AI$256, MATCH(J$13, hist_data!$S$6:$S$256, 0), MATCH($C31, hist_data!$A$6:$A$21, 0)+1) )</f>
        <v>3.1190000000000002</v>
      </c>
      <c r="K31" s="25" cm="1">
        <f t="array" ref="K31">IF( INDEX(hist_data!$S$6:$AI$256, MATCH(K$13, hist_data!$S$6:$S$256, 0), MATCH($C31, hist_data!$A$6:$A$21, 0)+1)=0, "", INDEX(hist_data!$S$6:$AI$256, MATCH(K$13, hist_data!$S$6:$S$256, 0), MATCH($C31, hist_data!$A$6:$A$21, 0)+1) )</f>
        <v>3.133</v>
      </c>
      <c r="L31" s="25" cm="1">
        <f t="array" ref="L31">IF( INDEX(hist_data!$S$6:$AI$256, MATCH(L$13, hist_data!$S$6:$S$256, 0), MATCH($C31, hist_data!$A$6:$A$21, 0)+1)=0, "", INDEX(hist_data!$S$6:$AI$256, MATCH(L$13, hist_data!$S$6:$S$256, 0), MATCH($C31, hist_data!$A$6:$A$21, 0)+1) )</f>
        <v>3.145</v>
      </c>
      <c r="M31" s="25" cm="1">
        <f t="array" ref="M31">IF( INDEX(hist_data!$S$6:$AI$256, MATCH(M$13, hist_data!$S$6:$S$256, 0), MATCH($C31, hist_data!$A$6:$A$21, 0)+1)=0, "", INDEX(hist_data!$S$6:$AI$256, MATCH(M$13, hist_data!$S$6:$S$256, 0), MATCH($C31, hist_data!$A$6:$A$21, 0)+1) )</f>
        <v>3.024</v>
      </c>
      <c r="N31" s="25" cm="1">
        <f t="array" ref="N31">IF( INDEX(hist_data!$S$6:$AI$256, MATCH(N$13, hist_data!$S$6:$S$256, 0), MATCH($C31, hist_data!$A$6:$A$21, 0)+1)=0, "", INDEX(hist_data!$S$6:$AI$256, MATCH(N$13, hist_data!$S$6:$S$256, 0), MATCH($C31, hist_data!$A$6:$A$21, 0)+1) )</f>
        <v>3.14</v>
      </c>
      <c r="O31" s="25" cm="1">
        <f t="array" ref="O31">IF( INDEX(hist_data!$S$6:$AI$256, MATCH(O$13, hist_data!$S$6:$S$256, 0), MATCH($C31, hist_data!$A$6:$A$21, 0)+1)=0, "", INDEX(hist_data!$S$6:$AI$256, MATCH(O$13, hist_data!$S$6:$S$256, 0), MATCH($C31, hist_data!$A$6:$A$21, 0)+1) )</f>
        <v>3.1760000000000002</v>
      </c>
      <c r="P31" s="26" cm="1">
        <f t="array" ref="P31">IF( INDEX(hist_data!$S$6:$AI$256, MATCH(P$13, hist_data!$S$6:$S$256, 0), MATCH($C31, hist_data!$A$6:$A$21, 0)+1)=0, "", INDEX(hist_data!$S$6:$AI$256, MATCH(P$13, hist_data!$S$6:$S$256, 0), MATCH($C31, hist_data!$A$6:$A$21, 0)+1) )</f>
        <v>3.1930000000000001</v>
      </c>
      <c r="R31" s="48">
        <f ca="1">IF($E31="", "", AVERAGE( OFFSET( hist_data!$S$7, 0, MATCH($C31, hist_data!$A$6:$A$21, 0), R$13 ) ))</f>
        <v>3.1624499999999998</v>
      </c>
      <c r="S31" s="25">
        <f ca="1">IF($E31="","",MAX(OFFSET(hist_data!$S$7,0,MATCH($C31,hist_data!$A$6:$A$21,0),S$13)))</f>
        <v>3.242</v>
      </c>
      <c r="T31" s="26">
        <f ca="1">IF($E31="","",MIN(OFFSET(hist_data!$S$7,0,MATCH($C31,hist_data!$A$6:$A$21,0),T$13)))</f>
        <v>3.024</v>
      </c>
      <c r="U31" s="48">
        <f ca="1">IF($E31="", "", AVERAGE( OFFSET( hist_data!$S$7, 0, MATCH($C31, hist_data!$A$6:$A$21, 0), U$13 ) ))</f>
        <v>3.3248500000000005</v>
      </c>
      <c r="V31" s="25">
        <f ca="1">IF($E31="","",MAX(OFFSET(hist_data!$S$7,0,MATCH($C31,hist_data!$A$6:$A$21,0),V$13)))</f>
        <v>3.61</v>
      </c>
      <c r="W31" s="26">
        <f ca="1">IF($E31="","",MIN(OFFSET(hist_data!$S$7,0,MATCH($C31,hist_data!$A$6:$A$21,0),W$13)))</f>
        <v>3.024</v>
      </c>
      <c r="X31" s="48">
        <f ca="1">IF($E31="", "", AVERAGE( OFFSET( hist_data!$S$7, 0, MATCH($C31, hist_data!$A$6:$A$21, 0), X$13 ) ))</f>
        <v>3.4566500000000002</v>
      </c>
      <c r="Y31" s="25">
        <f ca="1">IF($E31="","",MAX(OFFSET(hist_data!$S$7,0,MATCH($C31,hist_data!$A$6:$A$21,0),Y$13)))</f>
        <v>3.7050000000000001</v>
      </c>
      <c r="Z31" s="26">
        <f ca="1">IF($E31="","",MIN(OFFSET(hist_data!$S$7,0,MATCH($C31,hist_data!$A$6:$A$21,0),Z$13)))</f>
        <v>3.024</v>
      </c>
      <c r="AA31" s="48">
        <f ca="1">IF($E31="", "", AVERAGE( OFFSET( hist_data!$S$7, 0, MATCH($C31, hist_data!$A$6:$A$21, 0), AA$13 ) ))</f>
        <v>3.7331600000000025</v>
      </c>
      <c r="AB31" s="25">
        <f ca="1">IF($E31="","",MAX(OFFSET(hist_data!$S$7,0,MATCH($C31,hist_data!$A$6:$A$21,0),AB$13)))</f>
        <v>4.58</v>
      </c>
      <c r="AC31" s="26">
        <f ca="1">IF($E31="","",MIN(OFFSET(hist_data!$S$7,0,MATCH($C31,hist_data!$A$6:$A$21,0),AC$13)))</f>
        <v>3.024</v>
      </c>
    </row>
    <row r="32" spans="1:29" s="20" customFormat="1" ht="12.75">
      <c r="C32" s="88" t="s">
        <v>836</v>
      </c>
      <c r="D32" s="89"/>
      <c r="E32" s="47">
        <f t="shared" ref="E32" si="158">IFERROR( (E$16-E31)*100, "")</f>
        <v>-23.199999999999974</v>
      </c>
      <c r="F32" s="30">
        <f t="shared" ref="F32" si="159">IFERROR( (F$16-F31)*100, "")</f>
        <v>-22.199999999999996</v>
      </c>
      <c r="G32" s="30">
        <f t="shared" ref="G32" si="160">IFERROR( (G$16-G31)*100, "")</f>
        <v>-21.199999999999974</v>
      </c>
      <c r="H32" s="30">
        <f t="shared" ref="H32" si="161">IFERROR( (H$16-H31)*100, "")</f>
        <v>-20.000000000000018</v>
      </c>
      <c r="I32" s="30">
        <f t="shared" ref="I32" si="162">IFERROR( (I$16-I31)*100, "")</f>
        <v>-19.899999999999984</v>
      </c>
      <c r="J32" s="30">
        <f t="shared" ref="J32" si="163">IFERROR( (J$16-J31)*100, "")</f>
        <v>-20.000000000000018</v>
      </c>
      <c r="K32" s="30">
        <f t="shared" ref="K32" si="164">IFERROR( (K$16-K31)*100, "")</f>
        <v>-20.199999999999996</v>
      </c>
      <c r="L32" s="30">
        <f t="shared" ref="L32" si="165">IFERROR( (L$16-L31)*100, "")</f>
        <v>-20.500000000000007</v>
      </c>
      <c r="M32" s="30">
        <f t="shared" ref="M32" si="166">IFERROR( (M$16-M31)*100, "")</f>
        <v>-20.900000000000006</v>
      </c>
      <c r="N32" s="30">
        <f t="shared" ref="N32" si="167">IFERROR( (N$16-N31)*100, "")</f>
        <v>-20.40000000000002</v>
      </c>
      <c r="O32" s="30">
        <f t="shared" ref="O32" si="168">IFERROR( (O$16-O31)*100, "")</f>
        <v>-20.100000000000009</v>
      </c>
      <c r="P32" s="31">
        <f t="shared" ref="P32" si="169">IFERROR( (P$16-P31)*100, "")</f>
        <v>-19.300000000000004</v>
      </c>
      <c r="R32" s="47">
        <f t="shared" ref="R32" ca="1" si="170">IFERROR( (R$16-R31)*100, "")</f>
        <v>-19.239999999999881</v>
      </c>
      <c r="S32" s="30">
        <f t="shared" ref="S32" ca="1" si="171">IFERROR( (S$16-S31)*100, "")</f>
        <v>-15.49999999999998</v>
      </c>
      <c r="T32" s="31">
        <f t="shared" ref="T32" ca="1" si="172">IFERROR( (T$16-T31)*100, "")</f>
        <v>-20.900000000000006</v>
      </c>
      <c r="U32" s="47">
        <f t="shared" ref="U32" ca="1" si="173">IFERROR( (U$16-U31)*100, "")</f>
        <v>-17.8216666666668</v>
      </c>
      <c r="V32" s="30">
        <f t="shared" ref="V32" ca="1" si="174">IFERROR( (V$16-V31)*100, "")</f>
        <v>-15.799999999999992</v>
      </c>
      <c r="W32" s="31">
        <f t="shared" ref="W32" ca="1" si="175">IFERROR( (W$16-W31)*100, "")</f>
        <v>-20.900000000000006</v>
      </c>
      <c r="X32" s="47">
        <f t="shared" ref="X32" ca="1" si="176">IFERROR( (X$16-X31)*100, "")</f>
        <v>-19.045833333333427</v>
      </c>
      <c r="Y32" s="30">
        <f t="shared" ref="Y32" ca="1" si="177">IFERROR( (Y$16-Y31)*100, "")</f>
        <v>-16.500000000000004</v>
      </c>
      <c r="Z32" s="31">
        <f t="shared" ref="Z32" ca="1" si="178">IFERROR( (Z$16-Z31)*100, "")</f>
        <v>-20.900000000000006</v>
      </c>
      <c r="AA32" s="47">
        <f t="shared" ref="AA32" ca="1" si="179">IFERROR( (AA$16-AA31)*100, "")</f>
        <v>-28.220800000000288</v>
      </c>
      <c r="AB32" s="30">
        <f t="shared" ref="AB32" ca="1" si="180">IFERROR( (AB$16-AB31)*100, "")</f>
        <v>-44.000000000000043</v>
      </c>
      <c r="AC32" s="31">
        <f t="shared" ref="AC32" ca="1" si="181">IFERROR( (AC$16-AC31)*100, "")</f>
        <v>-20.900000000000006</v>
      </c>
    </row>
    <row r="33" spans="1:29" s="20" customFormat="1" ht="12.75">
      <c r="A33" s="20">
        <v>9</v>
      </c>
      <c r="C33" s="24" t="str" cm="1">
        <f t="array" ref="C33">INDEX(hist_data!$A$6:$A$21, Hist!$A33)</f>
        <v>04Y</v>
      </c>
      <c r="D33" s="43"/>
      <c r="E33" s="48" cm="1">
        <f t="array" ref="E33">IF( INDEX(hist_data!$S$6:$AI$256, MATCH(E$13, hist_data!$S$6:$S$256, 0), MATCH($C33, hist_data!$A$6:$A$21, 0)+1)=0, "", INDEX(hist_data!$S$6:$AI$256, MATCH(E$13, hist_data!$S$6:$S$256, 0), MATCH($C33, hist_data!$A$6:$A$21, 0)+1) )</f>
        <v>3.1459999999999999</v>
      </c>
      <c r="F33" s="25" cm="1">
        <f t="array" ref="F33">IF( INDEX(hist_data!$S$6:$AI$256, MATCH(F$13, hist_data!$S$6:$S$256, 0), MATCH($C33, hist_data!$A$6:$A$21, 0)+1)=0, "", INDEX(hist_data!$S$6:$AI$256, MATCH(F$13, hist_data!$S$6:$S$256, 0), MATCH($C33, hist_data!$A$6:$A$21, 0)+1) )</f>
        <v>3.1120000000000001</v>
      </c>
      <c r="G33" s="25" cm="1">
        <f t="array" ref="G33">IF( INDEX(hist_data!$S$6:$AI$256, MATCH(G$13, hist_data!$S$6:$S$256, 0), MATCH($C33, hist_data!$A$6:$A$21, 0)+1)=0, "", INDEX(hist_data!$S$6:$AI$256, MATCH(G$13, hist_data!$S$6:$S$256, 0), MATCH($C33, hist_data!$A$6:$A$21, 0)+1) )</f>
        <v>3.1360000000000001</v>
      </c>
      <c r="H33" s="25" cm="1">
        <f t="array" ref="H33">IF( INDEX(hist_data!$S$6:$AI$256, MATCH(H$13, hist_data!$S$6:$S$256, 0), MATCH($C33, hist_data!$A$6:$A$21, 0)+1)=0, "", INDEX(hist_data!$S$6:$AI$256, MATCH(H$13, hist_data!$S$6:$S$256, 0), MATCH($C33, hist_data!$A$6:$A$21, 0)+1) )</f>
        <v>3.1539999999999999</v>
      </c>
      <c r="I33" s="25" cm="1">
        <f t="array" ref="I33">IF( INDEX(hist_data!$S$6:$AI$256, MATCH(I$13, hist_data!$S$6:$S$256, 0), MATCH($C33, hist_data!$A$6:$A$21, 0)+1)=0, "", INDEX(hist_data!$S$6:$AI$256, MATCH(I$13, hist_data!$S$6:$S$256, 0), MATCH($C33, hist_data!$A$6:$A$21, 0)+1) )</f>
        <v>3.15</v>
      </c>
      <c r="J33" s="25" cm="1">
        <f t="array" ref="J33">IF( INDEX(hist_data!$S$6:$AI$256, MATCH(J$13, hist_data!$S$6:$S$256, 0), MATCH($C33, hist_data!$A$6:$A$21, 0)+1)=0, "", INDEX(hist_data!$S$6:$AI$256, MATCH(J$13, hist_data!$S$6:$S$256, 0), MATCH($C33, hist_data!$A$6:$A$21, 0)+1) )</f>
        <v>3.125</v>
      </c>
      <c r="K33" s="25" cm="1">
        <f t="array" ref="K33">IF( INDEX(hist_data!$S$6:$AI$256, MATCH(K$13, hist_data!$S$6:$S$256, 0), MATCH($C33, hist_data!$A$6:$A$21, 0)+1)=0, "", INDEX(hist_data!$S$6:$AI$256, MATCH(K$13, hist_data!$S$6:$S$256, 0), MATCH($C33, hist_data!$A$6:$A$21, 0)+1) )</f>
        <v>3.1389999999999998</v>
      </c>
      <c r="L33" s="25" cm="1">
        <f t="array" ref="L33">IF( INDEX(hist_data!$S$6:$AI$256, MATCH(L$13, hist_data!$S$6:$S$256, 0), MATCH($C33, hist_data!$A$6:$A$21, 0)+1)=0, "", INDEX(hist_data!$S$6:$AI$256, MATCH(L$13, hist_data!$S$6:$S$256, 0), MATCH($C33, hist_data!$A$6:$A$21, 0)+1) )</f>
        <v>3.141</v>
      </c>
      <c r="M33" s="25" cm="1">
        <f t="array" ref="M33">IF( INDEX(hist_data!$S$6:$AI$256, MATCH(M$13, hist_data!$S$6:$S$256, 0), MATCH($C33, hist_data!$A$6:$A$21, 0)+1)=0, "", INDEX(hist_data!$S$6:$AI$256, MATCH(M$13, hist_data!$S$6:$S$256, 0), MATCH($C33, hist_data!$A$6:$A$21, 0)+1) )</f>
        <v>3.016</v>
      </c>
      <c r="N33" s="25" cm="1">
        <f t="array" ref="N33">IF( INDEX(hist_data!$S$6:$AI$256, MATCH(N$13, hist_data!$S$6:$S$256, 0), MATCH($C33, hist_data!$A$6:$A$21, 0)+1)=0, "", INDEX(hist_data!$S$6:$AI$256, MATCH(N$13, hist_data!$S$6:$S$256, 0), MATCH($C33, hist_data!$A$6:$A$21, 0)+1) )</f>
        <v>3.1349999999999998</v>
      </c>
      <c r="O33" s="25" cm="1">
        <f t="array" ref="O33">IF( INDEX(hist_data!$S$6:$AI$256, MATCH(O$13, hist_data!$S$6:$S$256, 0), MATCH($C33, hist_data!$A$6:$A$21, 0)+1)=0, "", INDEX(hist_data!$S$6:$AI$256, MATCH(O$13, hist_data!$S$6:$S$256, 0), MATCH($C33, hist_data!$A$6:$A$21, 0)+1) )</f>
        <v>3.17</v>
      </c>
      <c r="P33" s="26" cm="1">
        <f t="array" ref="P33">IF( INDEX(hist_data!$S$6:$AI$256, MATCH(P$13, hist_data!$S$6:$S$256, 0), MATCH($C33, hist_data!$A$6:$A$21, 0)+1)=0, "", INDEX(hist_data!$S$6:$AI$256, MATCH(P$13, hist_data!$S$6:$S$256, 0), MATCH($C33, hist_data!$A$6:$A$21, 0)+1) )</f>
        <v>3.1960000000000002</v>
      </c>
      <c r="R33" s="48">
        <f ca="1">IF($E33="", "", AVERAGE( OFFSET( hist_data!$S$7, 0, MATCH($C33, hist_data!$A$6:$A$21, 0), R$13 ) ))</f>
        <v>3.1690500000000004</v>
      </c>
      <c r="S33" s="25">
        <f ca="1">IF($E33="","",MAX(OFFSET(hist_data!$S$7,0,MATCH($C33,hist_data!$A$6:$A$21,0),S$13)))</f>
        <v>3.2679999999999998</v>
      </c>
      <c r="T33" s="26">
        <f ca="1">IF($E33="","",MIN(OFFSET(hist_data!$S$7,0,MATCH($C33,hist_data!$A$6:$A$21,0),T$13)))</f>
        <v>3.016</v>
      </c>
      <c r="U33" s="48">
        <f ca="1">IF($E33="", "", AVERAGE( OFFSET( hist_data!$S$7, 0, MATCH($C33, hist_data!$A$6:$A$21, 0), U$13 ) ))</f>
        <v>3.3292500000000009</v>
      </c>
      <c r="V33" s="25">
        <f ca="1">IF($E33="","",MAX(OFFSET(hist_data!$S$7,0,MATCH($C33,hist_data!$A$6:$A$21,0),V$13)))</f>
        <v>3.6240000000000001</v>
      </c>
      <c r="W33" s="26">
        <f ca="1">IF($E33="","",MIN(OFFSET(hist_data!$S$7,0,MATCH($C33,hist_data!$A$6:$A$21,0),W$13)))</f>
        <v>3.016</v>
      </c>
      <c r="X33" s="48">
        <f ca="1">IF($E33="", "", AVERAGE( OFFSET( hist_data!$S$7, 0, MATCH($C33, hist_data!$A$6:$A$21, 0), X$13 ) ))</f>
        <v>3.4600833333333343</v>
      </c>
      <c r="Y33" s="25">
        <f ca="1">IF($E33="","",MAX(OFFSET(hist_data!$S$7,0,MATCH($C33,hist_data!$A$6:$A$21,0),Y$13)))</f>
        <v>3.7229999999999999</v>
      </c>
      <c r="Z33" s="26">
        <f ca="1">IF($E33="","",MIN(OFFSET(hist_data!$S$7,0,MATCH($C33,hist_data!$A$6:$A$21,0),Z$13)))</f>
        <v>3.016</v>
      </c>
      <c r="AA33" s="48">
        <f ca="1">IF($E33="", "", AVERAGE( OFFSET( hist_data!$S$7, 0, MATCH($C33, hist_data!$A$6:$A$21, 0), AA$13 ) ))</f>
        <v>3.7446399999999986</v>
      </c>
      <c r="AB33" s="25">
        <f ca="1">IF($E33="","",MAX(OFFSET(hist_data!$S$7,0,MATCH($C33,hist_data!$A$6:$A$21,0),AB$13)))</f>
        <v>4.6280000000000001</v>
      </c>
      <c r="AC33" s="26">
        <f ca="1">IF($E33="","",MIN(OFFSET(hist_data!$S$7,0,MATCH($C33,hist_data!$A$6:$A$21,0),AC$13)))</f>
        <v>3.016</v>
      </c>
    </row>
    <row r="34" spans="1:29" s="20" customFormat="1" ht="12.75">
      <c r="C34" s="88" t="s">
        <v>836</v>
      </c>
      <c r="D34" s="89"/>
      <c r="E34" s="47">
        <f t="shared" ref="E34" si="182">IFERROR( (E$16-E33)*100, "")</f>
        <v>-22.399999999999977</v>
      </c>
      <c r="F34" s="30">
        <f t="shared" ref="F34" si="183">IFERROR( (F$16-F33)*100, "")</f>
        <v>-22.500000000000007</v>
      </c>
      <c r="G34" s="30">
        <f t="shared" ref="G34" si="184">IFERROR( (G$16-G33)*100, "")</f>
        <v>-22.100000000000009</v>
      </c>
      <c r="H34" s="30">
        <f t="shared" ref="H34" si="185">IFERROR( (H$16-H33)*100, "")</f>
        <v>-20.900000000000006</v>
      </c>
      <c r="I34" s="30">
        <f t="shared" ref="I34" si="186">IFERROR( (I$16-I33)*100, "")</f>
        <v>-20.999999999999996</v>
      </c>
      <c r="J34" s="30">
        <f t="shared" ref="J34" si="187">IFERROR( (J$16-J33)*100, "")</f>
        <v>-20.599999999999994</v>
      </c>
      <c r="K34" s="30">
        <f t="shared" ref="K34" si="188">IFERROR( (K$16-K33)*100, "")</f>
        <v>-20.799999999999976</v>
      </c>
      <c r="L34" s="30">
        <f t="shared" ref="L34" si="189">IFERROR( (L$16-L33)*100, "")</f>
        <v>-20.100000000000009</v>
      </c>
      <c r="M34" s="30">
        <f t="shared" ref="M34" si="190">IFERROR( (M$16-M33)*100, "")</f>
        <v>-20.100000000000009</v>
      </c>
      <c r="N34" s="30">
        <f t="shared" ref="N34" si="191">IFERROR( (N$16-N33)*100, "")</f>
        <v>-19.899999999999984</v>
      </c>
      <c r="O34" s="30">
        <f t="shared" ref="O34" si="192">IFERROR( (O$16-O33)*100, "")</f>
        <v>-19.499999999999986</v>
      </c>
      <c r="P34" s="31">
        <f t="shared" ref="P34" si="193">IFERROR( (P$16-P33)*100, "")</f>
        <v>-19.600000000000016</v>
      </c>
      <c r="R34" s="47">
        <f t="shared" ref="R34" ca="1" si="194">IFERROR( (R$16-R33)*100, "")</f>
        <v>-19.899999999999942</v>
      </c>
      <c r="S34" s="30">
        <f t="shared" ref="S34" ca="1" si="195">IFERROR( (S$16-S33)*100, "")</f>
        <v>-18.099999999999959</v>
      </c>
      <c r="T34" s="31">
        <f t="shared" ref="T34" ca="1" si="196">IFERROR( (T$16-T33)*100, "")</f>
        <v>-20.100000000000009</v>
      </c>
      <c r="U34" s="47">
        <f t="shared" ref="U34" ca="1" si="197">IFERROR( (U$16-U33)*100, "")</f>
        <v>-18.261666666666841</v>
      </c>
      <c r="V34" s="30">
        <f t="shared" ref="V34" ca="1" si="198">IFERROR( (V$16-V33)*100, "")</f>
        <v>-17.200000000000017</v>
      </c>
      <c r="W34" s="31">
        <f t="shared" ref="W34" ca="1" si="199">IFERROR( (W$16-W33)*100, "")</f>
        <v>-20.100000000000009</v>
      </c>
      <c r="X34" s="47">
        <f t="shared" ref="X34" ca="1" si="200">IFERROR( (X$16-X33)*100, "")</f>
        <v>-19.389166666666835</v>
      </c>
      <c r="Y34" s="30">
        <f t="shared" ref="Y34" ca="1" si="201">IFERROR( (Y$16-Y33)*100, "")</f>
        <v>-18.299999999999983</v>
      </c>
      <c r="Z34" s="31">
        <f t="shared" ref="Z34" ca="1" si="202">IFERROR( (Z$16-Z33)*100, "")</f>
        <v>-20.100000000000009</v>
      </c>
      <c r="AA34" s="47">
        <f t="shared" ref="AA34" ca="1" si="203">IFERROR( (AA$16-AA33)*100, "")</f>
        <v>-29.368799999999908</v>
      </c>
      <c r="AB34" s="30">
        <f t="shared" ref="AB34" ca="1" si="204">IFERROR( (AB$16-AB33)*100, "")</f>
        <v>-48.80000000000004</v>
      </c>
      <c r="AC34" s="31">
        <f t="shared" ref="AC34" ca="1" si="205">IFERROR( (AC$16-AC33)*100, "")</f>
        <v>-20.100000000000009</v>
      </c>
    </row>
    <row r="35" spans="1:29" s="20" customFormat="1" ht="12.75">
      <c r="A35" s="20">
        <v>10</v>
      </c>
      <c r="C35" s="24" t="str" cm="1">
        <f t="array" ref="C35">INDEX(hist_data!$A$6:$A$21, Hist!$A35)</f>
        <v>05Y</v>
      </c>
      <c r="D35" s="43"/>
      <c r="E35" s="48" cm="1">
        <f t="array" ref="E35">IF( INDEX(hist_data!$S$6:$AI$256, MATCH(E$13, hist_data!$S$6:$S$256, 0), MATCH($C35, hist_data!$A$6:$A$21, 0)+1)=0, "", INDEX(hist_data!$S$6:$AI$256, MATCH(E$13, hist_data!$S$6:$S$256, 0), MATCH($C35, hist_data!$A$6:$A$21, 0)+1) )</f>
        <v>3.1459999999999999</v>
      </c>
      <c r="F35" s="25" cm="1">
        <f t="array" ref="F35">IF( INDEX(hist_data!$S$6:$AI$256, MATCH(F$13, hist_data!$S$6:$S$256, 0), MATCH($C35, hist_data!$A$6:$A$21, 0)+1)=0, "", INDEX(hist_data!$S$6:$AI$256, MATCH(F$13, hist_data!$S$6:$S$256, 0), MATCH($C35, hist_data!$A$6:$A$21, 0)+1) )</f>
        <v>3.1139999999999999</v>
      </c>
      <c r="G35" s="25" cm="1">
        <f t="array" ref="G35">IF( INDEX(hist_data!$S$6:$AI$256, MATCH(G$13, hist_data!$S$6:$S$256, 0), MATCH($C35, hist_data!$A$6:$A$21, 0)+1)=0, "", INDEX(hist_data!$S$6:$AI$256, MATCH(G$13, hist_data!$S$6:$S$256, 0), MATCH($C35, hist_data!$A$6:$A$21, 0)+1) )</f>
        <v>3.1389999999999998</v>
      </c>
      <c r="H35" s="25" cm="1">
        <f t="array" ref="H35">IF( INDEX(hist_data!$S$6:$AI$256, MATCH(H$13, hist_data!$S$6:$S$256, 0), MATCH($C35, hist_data!$A$6:$A$21, 0)+1)=0, "", INDEX(hist_data!$S$6:$AI$256, MATCH(H$13, hist_data!$S$6:$S$256, 0), MATCH($C35, hist_data!$A$6:$A$21, 0)+1) )</f>
        <v>3.1539999999999999</v>
      </c>
      <c r="I35" s="25" cm="1">
        <f t="array" ref="I35">IF( INDEX(hist_data!$S$6:$AI$256, MATCH(I$13, hist_data!$S$6:$S$256, 0), MATCH($C35, hist_data!$A$6:$A$21, 0)+1)=0, "", INDEX(hist_data!$S$6:$AI$256, MATCH(I$13, hist_data!$S$6:$S$256, 0), MATCH($C35, hist_data!$A$6:$A$21, 0)+1) )</f>
        <v>3.1520000000000001</v>
      </c>
      <c r="J35" s="25" cm="1">
        <f t="array" ref="J35">IF( INDEX(hist_data!$S$6:$AI$256, MATCH(J$13, hist_data!$S$6:$S$256, 0), MATCH($C35, hist_data!$A$6:$A$21, 0)+1)=0, "", INDEX(hist_data!$S$6:$AI$256, MATCH(J$13, hist_data!$S$6:$S$256, 0), MATCH($C35, hist_data!$A$6:$A$21, 0)+1) )</f>
        <v>3.1309999999999998</v>
      </c>
      <c r="K35" s="25" cm="1">
        <f t="array" ref="K35">IF( INDEX(hist_data!$S$6:$AI$256, MATCH(K$13, hist_data!$S$6:$S$256, 0), MATCH($C35, hist_data!$A$6:$A$21, 0)+1)=0, "", INDEX(hist_data!$S$6:$AI$256, MATCH(K$13, hist_data!$S$6:$S$256, 0), MATCH($C35, hist_data!$A$6:$A$21, 0)+1) )</f>
        <v>3.1429999999999998</v>
      </c>
      <c r="L35" s="25" cm="1">
        <f t="array" ref="L35">IF( INDEX(hist_data!$S$6:$AI$256, MATCH(L$13, hist_data!$S$6:$S$256, 0), MATCH($C35, hist_data!$A$6:$A$21, 0)+1)=0, "", INDEX(hist_data!$S$6:$AI$256, MATCH(L$13, hist_data!$S$6:$S$256, 0), MATCH($C35, hist_data!$A$6:$A$21, 0)+1) )</f>
        <v>3.1469999999999998</v>
      </c>
      <c r="M35" s="25" cm="1">
        <f t="array" ref="M35">IF( INDEX(hist_data!$S$6:$AI$256, MATCH(M$13, hist_data!$S$6:$S$256, 0), MATCH($C35, hist_data!$A$6:$A$21, 0)+1)=0, "", INDEX(hist_data!$S$6:$AI$256, MATCH(M$13, hist_data!$S$6:$S$256, 0), MATCH($C35, hist_data!$A$6:$A$21, 0)+1) )</f>
        <v>3.0230000000000001</v>
      </c>
      <c r="N35" s="25" cm="1">
        <f t="array" ref="N35">IF( INDEX(hist_data!$S$6:$AI$256, MATCH(N$13, hist_data!$S$6:$S$256, 0), MATCH($C35, hist_data!$A$6:$A$21, 0)+1)=0, "", INDEX(hist_data!$S$6:$AI$256, MATCH(N$13, hist_data!$S$6:$S$256, 0), MATCH($C35, hist_data!$A$6:$A$21, 0)+1) )</f>
        <v>3.13</v>
      </c>
      <c r="O35" s="25" cm="1">
        <f t="array" ref="O35">IF( INDEX(hist_data!$S$6:$AI$256, MATCH(O$13, hist_data!$S$6:$S$256, 0), MATCH($C35, hist_data!$A$6:$A$21, 0)+1)=0, "", INDEX(hist_data!$S$6:$AI$256, MATCH(O$13, hist_data!$S$6:$S$256, 0), MATCH($C35, hist_data!$A$6:$A$21, 0)+1) )</f>
        <v>3.1680000000000001</v>
      </c>
      <c r="P35" s="26" cm="1">
        <f t="array" ref="P35">IF( INDEX(hist_data!$S$6:$AI$256, MATCH(P$13, hist_data!$S$6:$S$256, 0), MATCH($C35, hist_data!$A$6:$A$21, 0)+1)=0, "", INDEX(hist_data!$S$6:$AI$256, MATCH(P$13, hist_data!$S$6:$S$256, 0), MATCH($C35, hist_data!$A$6:$A$21, 0)+1) )</f>
        <v>3.2</v>
      </c>
      <c r="R35" s="48">
        <f ca="1">IF($E35="", "", AVERAGE( OFFSET( hist_data!$S$7, 0, MATCH($C35, hist_data!$A$6:$A$21, 0), R$13 ) ))</f>
        <v>3.1718000000000002</v>
      </c>
      <c r="S35" s="25">
        <f ca="1">IF($E35="","",MAX(OFFSET(hist_data!$S$7,0,MATCH($C35,hist_data!$A$6:$A$21,0),S$13)))</f>
        <v>3.2730000000000001</v>
      </c>
      <c r="T35" s="26">
        <f ca="1">IF($E35="","",MIN(OFFSET(hist_data!$S$7,0,MATCH($C35,hist_data!$A$6:$A$21,0),T$13)))</f>
        <v>3.0230000000000001</v>
      </c>
      <c r="U35" s="48">
        <f ca="1">IF($E35="", "", AVERAGE( OFFSET( hist_data!$S$7, 0, MATCH($C35, hist_data!$A$6:$A$21, 0), U$13 ) ))</f>
        <v>3.3332000000000006</v>
      </c>
      <c r="V35" s="25">
        <f ca="1">IF($E35="","",MAX(OFFSET(hist_data!$S$7,0,MATCH($C35,hist_data!$A$6:$A$21,0),V$13)))</f>
        <v>3.641</v>
      </c>
      <c r="W35" s="26">
        <f ca="1">IF($E35="","",MIN(OFFSET(hist_data!$S$7,0,MATCH($C35,hist_data!$A$6:$A$21,0),W$13)))</f>
        <v>3.0230000000000001</v>
      </c>
      <c r="X35" s="48">
        <f ca="1">IF($E35="", "", AVERAGE( OFFSET( hist_data!$S$7, 0, MATCH($C35, hist_data!$A$6:$A$21, 0), X$13 ) ))</f>
        <v>3.4700583333333332</v>
      </c>
      <c r="Y35" s="25">
        <f ca="1">IF($E35="","",MAX(OFFSET(hist_data!$S$7,0,MATCH($C35,hist_data!$A$6:$A$21,0),Y$13)))</f>
        <v>3.754</v>
      </c>
      <c r="Z35" s="26">
        <f ca="1">IF($E35="","",MIN(OFFSET(hist_data!$S$7,0,MATCH($C35,hist_data!$A$6:$A$21,0),Z$13)))</f>
        <v>3.0230000000000001</v>
      </c>
      <c r="AA35" s="48">
        <f ca="1">IF($E35="", "", AVERAGE( OFFSET( hist_data!$S$7, 0, MATCH($C35, hist_data!$A$6:$A$21, 0), AA$13 ) ))</f>
        <v>3.7530919999999979</v>
      </c>
      <c r="AB35" s="25">
        <f ca="1">IF($E35="","",MAX(OFFSET(hist_data!$S$7,0,MATCH($C35,hist_data!$A$6:$A$21,0),AB$13)))</f>
        <v>4.673</v>
      </c>
      <c r="AC35" s="26">
        <f ca="1">IF($E35="","",MIN(OFFSET(hist_data!$S$7,0,MATCH($C35,hist_data!$A$6:$A$21,0),AC$13)))</f>
        <v>3.0230000000000001</v>
      </c>
    </row>
    <row r="36" spans="1:29" s="20" customFormat="1" ht="12.75">
      <c r="C36" s="88" t="s">
        <v>836</v>
      </c>
      <c r="D36" s="89"/>
      <c r="E36" s="47">
        <f t="shared" ref="E36" si="206">IFERROR( (E$16-E35)*100, "")</f>
        <v>-22.399999999999977</v>
      </c>
      <c r="F36" s="30">
        <f t="shared" ref="F36" si="207">IFERROR( (F$16-F35)*100, "")</f>
        <v>-22.699999999999989</v>
      </c>
      <c r="G36" s="30">
        <f t="shared" ref="G36" si="208">IFERROR( (G$16-G35)*100, "")</f>
        <v>-22.399999999999977</v>
      </c>
      <c r="H36" s="30">
        <f t="shared" ref="H36" si="209">IFERROR( (H$16-H35)*100, "")</f>
        <v>-20.900000000000006</v>
      </c>
      <c r="I36" s="30">
        <f t="shared" ref="I36" si="210">IFERROR( (I$16-I35)*100, "")</f>
        <v>-21.200000000000017</v>
      </c>
      <c r="J36" s="30">
        <f t="shared" ref="J36" si="211">IFERROR( (J$16-J35)*100, "")</f>
        <v>-21.199999999999974</v>
      </c>
      <c r="K36" s="30">
        <f t="shared" ref="K36" si="212">IFERROR( (K$16-K35)*100, "")</f>
        <v>-21.199999999999974</v>
      </c>
      <c r="L36" s="30">
        <f t="shared" ref="L36" si="213">IFERROR( (L$16-L35)*100, "")</f>
        <v>-20.699999999999985</v>
      </c>
      <c r="M36" s="30">
        <f t="shared" ref="M36" si="214">IFERROR( (M$16-M35)*100, "")</f>
        <v>-20.800000000000018</v>
      </c>
      <c r="N36" s="30">
        <f t="shared" ref="N36" si="215">IFERROR( (N$16-N35)*100, "")</f>
        <v>-19.399999999999995</v>
      </c>
      <c r="O36" s="30">
        <f t="shared" ref="O36" si="216">IFERROR( (O$16-O35)*100, "")</f>
        <v>-19.300000000000004</v>
      </c>
      <c r="P36" s="31">
        <f t="shared" ref="P36" si="217">IFERROR( (P$16-P35)*100, "")</f>
        <v>-20.000000000000018</v>
      </c>
      <c r="R36" s="47">
        <f t="shared" ref="R36" ca="1" si="218">IFERROR( (R$16-R35)*100, "")</f>
        <v>-20.174999999999919</v>
      </c>
      <c r="S36" s="30">
        <f t="shared" ref="S36" ca="1" si="219">IFERROR( (S$16-S35)*100, "")</f>
        <v>-18.599999999999994</v>
      </c>
      <c r="T36" s="31">
        <f t="shared" ref="T36" ca="1" si="220">IFERROR( (T$16-T35)*100, "")</f>
        <v>-20.800000000000018</v>
      </c>
      <c r="U36" s="47">
        <f t="shared" ref="U36" ca="1" si="221">IFERROR( (U$16-U35)*100, "")</f>
        <v>-18.656666666666808</v>
      </c>
      <c r="V36" s="30">
        <f t="shared" ref="V36" ca="1" si="222">IFERROR( (V$16-V35)*100, "")</f>
        <v>-18.900000000000006</v>
      </c>
      <c r="W36" s="31">
        <f t="shared" ref="W36" ca="1" si="223">IFERROR( (W$16-W35)*100, "")</f>
        <v>-20.800000000000018</v>
      </c>
      <c r="X36" s="47">
        <f t="shared" ref="X36" ca="1" si="224">IFERROR( (X$16-X35)*100, "")</f>
        <v>-20.386666666666731</v>
      </c>
      <c r="Y36" s="30">
        <f t="shared" ref="Y36" ca="1" si="225">IFERROR( (Y$16-Y35)*100, "")</f>
        <v>-21.4</v>
      </c>
      <c r="Z36" s="31">
        <f t="shared" ref="Z36" ca="1" si="226">IFERROR( (Z$16-Z35)*100, "")</f>
        <v>-20.800000000000018</v>
      </c>
      <c r="AA36" s="47">
        <f t="shared" ref="AA36" ca="1" si="227">IFERROR( (AA$16-AA35)*100, "")</f>
        <v>-30.213999999999828</v>
      </c>
      <c r="AB36" s="30">
        <f t="shared" ref="AB36" ca="1" si="228">IFERROR( (AB$16-AB35)*100, "")</f>
        <v>-53.30000000000004</v>
      </c>
      <c r="AC36" s="31">
        <f t="shared" ref="AC36" ca="1" si="229">IFERROR( (AC$16-AC35)*100, "")</f>
        <v>-20.800000000000018</v>
      </c>
    </row>
    <row r="37" spans="1:29" s="20" customFormat="1" ht="12.75">
      <c r="A37" s="20">
        <v>11</v>
      </c>
      <c r="C37" s="24" t="str" cm="1">
        <f t="array" ref="C37">INDEX(hist_data!$A$6:$A$21, Hist!$A37)</f>
        <v>07Y</v>
      </c>
      <c r="D37" s="43"/>
      <c r="E37" s="48" cm="1">
        <f t="array" ref="E37">IF( INDEX(hist_data!$S$6:$AI$256, MATCH(E$13, hist_data!$S$6:$S$256, 0), MATCH($C37, hist_data!$A$6:$A$21, 0)+1)=0, "", INDEX(hist_data!$S$6:$AI$256, MATCH(E$13, hist_data!$S$6:$S$256, 0), MATCH($C37, hist_data!$A$6:$A$21, 0)+1) )</f>
        <v>3.1429999999999998</v>
      </c>
      <c r="F37" s="25" cm="1">
        <f t="array" ref="F37">IF( INDEX(hist_data!$S$6:$AI$256, MATCH(F$13, hist_data!$S$6:$S$256, 0), MATCH($C37, hist_data!$A$6:$A$21, 0)+1)=0, "", INDEX(hist_data!$S$6:$AI$256, MATCH(F$13, hist_data!$S$6:$S$256, 0), MATCH($C37, hist_data!$A$6:$A$21, 0)+1) )</f>
        <v>3.11</v>
      </c>
      <c r="G37" s="25" cm="1">
        <f t="array" ref="G37">IF( INDEX(hist_data!$S$6:$AI$256, MATCH(G$13, hist_data!$S$6:$S$256, 0), MATCH($C37, hist_data!$A$6:$A$21, 0)+1)=0, "", INDEX(hist_data!$S$6:$AI$256, MATCH(G$13, hist_data!$S$6:$S$256, 0), MATCH($C37, hist_data!$A$6:$A$21, 0)+1) )</f>
        <v>3.137</v>
      </c>
      <c r="H37" s="25" cm="1">
        <f t="array" ref="H37">IF( INDEX(hist_data!$S$6:$AI$256, MATCH(H$13, hist_data!$S$6:$S$256, 0), MATCH($C37, hist_data!$A$6:$A$21, 0)+1)=0, "", INDEX(hist_data!$S$6:$AI$256, MATCH(H$13, hist_data!$S$6:$S$256, 0), MATCH($C37, hist_data!$A$6:$A$21, 0)+1) )</f>
        <v>3.1560000000000001</v>
      </c>
      <c r="I37" s="25" cm="1">
        <f t="array" ref="I37">IF( INDEX(hist_data!$S$6:$AI$256, MATCH(I$13, hist_data!$S$6:$S$256, 0), MATCH($C37, hist_data!$A$6:$A$21, 0)+1)=0, "", INDEX(hist_data!$S$6:$AI$256, MATCH(I$13, hist_data!$S$6:$S$256, 0), MATCH($C37, hist_data!$A$6:$A$21, 0)+1) )</f>
        <v>3.157</v>
      </c>
      <c r="J37" s="25" cm="1">
        <f t="array" ref="J37">IF( INDEX(hist_data!$S$6:$AI$256, MATCH(J$13, hist_data!$S$6:$S$256, 0), MATCH($C37, hist_data!$A$6:$A$21, 0)+1)=0, "", INDEX(hist_data!$S$6:$AI$256, MATCH(J$13, hist_data!$S$6:$S$256, 0), MATCH($C37, hist_data!$A$6:$A$21, 0)+1) )</f>
        <v>3.1419999999999999</v>
      </c>
      <c r="K37" s="25" cm="1">
        <f t="array" ref="K37">IF( INDEX(hist_data!$S$6:$AI$256, MATCH(K$13, hist_data!$S$6:$S$256, 0), MATCH($C37, hist_data!$A$6:$A$21, 0)+1)=0, "", INDEX(hist_data!$S$6:$AI$256, MATCH(K$13, hist_data!$S$6:$S$256, 0), MATCH($C37, hist_data!$A$6:$A$21, 0)+1) )</f>
        <v>3.1509999999999998</v>
      </c>
      <c r="L37" s="25" cm="1">
        <f t="array" ref="L37">IF( INDEX(hist_data!$S$6:$AI$256, MATCH(L$13, hist_data!$S$6:$S$256, 0), MATCH($C37, hist_data!$A$6:$A$21, 0)+1)=0, "", INDEX(hist_data!$S$6:$AI$256, MATCH(L$13, hist_data!$S$6:$S$256, 0), MATCH($C37, hist_data!$A$6:$A$21, 0)+1) )</f>
        <v>3.15</v>
      </c>
      <c r="M37" s="25" cm="1">
        <f t="array" ref="M37">IF( INDEX(hist_data!$S$6:$AI$256, MATCH(M$13, hist_data!$S$6:$S$256, 0), MATCH($C37, hist_data!$A$6:$A$21, 0)+1)=0, "", INDEX(hist_data!$S$6:$AI$256, MATCH(M$13, hist_data!$S$6:$S$256, 0), MATCH($C37, hist_data!$A$6:$A$21, 0)+1) )</f>
        <v>3.0339999999999998</v>
      </c>
      <c r="N37" s="25" cm="1">
        <f t="array" ref="N37">IF( INDEX(hist_data!$S$6:$AI$256, MATCH(N$13, hist_data!$S$6:$S$256, 0), MATCH($C37, hist_data!$A$6:$A$21, 0)+1)=0, "", INDEX(hist_data!$S$6:$AI$256, MATCH(N$13, hist_data!$S$6:$S$256, 0), MATCH($C37, hist_data!$A$6:$A$21, 0)+1) )</f>
        <v>3.1150000000000002</v>
      </c>
      <c r="O37" s="25" cm="1">
        <f t="array" ref="O37">IF( INDEX(hist_data!$S$6:$AI$256, MATCH(O$13, hist_data!$S$6:$S$256, 0), MATCH($C37, hist_data!$A$6:$A$21, 0)+1)=0, "", INDEX(hist_data!$S$6:$AI$256, MATCH(O$13, hist_data!$S$6:$S$256, 0), MATCH($C37, hist_data!$A$6:$A$21, 0)+1) )</f>
        <v>3.1549999999999998</v>
      </c>
      <c r="P37" s="26" cm="1">
        <f t="array" ref="P37">IF( INDEX(hist_data!$S$6:$AI$256, MATCH(P$13, hist_data!$S$6:$S$256, 0), MATCH($C37, hist_data!$A$6:$A$21, 0)+1)=0, "", INDEX(hist_data!$S$6:$AI$256, MATCH(P$13, hist_data!$S$6:$S$256, 0), MATCH($C37, hist_data!$A$6:$A$21, 0)+1) )</f>
        <v>3.1909999999999998</v>
      </c>
      <c r="R37" s="48">
        <f ca="1">IF($E37="", "", AVERAGE( OFFSET( hist_data!$S$7, 0, MATCH($C37, hist_data!$A$6:$A$21, 0), R$13 ) ))</f>
        <v>3.1743499999999996</v>
      </c>
      <c r="S37" s="25">
        <f ca="1">IF($E37="","",MAX(OFFSET(hist_data!$S$7,0,MATCH($C37,hist_data!$A$6:$A$21,0),S$13)))</f>
        <v>3.2850000000000001</v>
      </c>
      <c r="T37" s="26">
        <f ca="1">IF($E37="","",MIN(OFFSET(hist_data!$S$7,0,MATCH($C37,hist_data!$A$6:$A$21,0),T$13)))</f>
        <v>3.0339999999999998</v>
      </c>
      <c r="U37" s="48">
        <f ca="1">IF($E37="", "", AVERAGE( OFFSET( hist_data!$S$7, 0, MATCH($C37, hist_data!$A$6:$A$21, 0), U$13 ) ))</f>
        <v>3.3426499999999999</v>
      </c>
      <c r="V37" s="25">
        <f ca="1">IF($E37="","",MAX(OFFSET(hist_data!$S$7,0,MATCH($C37,hist_data!$A$6:$A$21,0),V$13)))</f>
        <v>3.6539999999999999</v>
      </c>
      <c r="W37" s="26">
        <f ca="1">IF($E37="","",MIN(OFFSET(hist_data!$S$7,0,MATCH($C37,hist_data!$A$6:$A$21,0),W$13)))</f>
        <v>3.0339999999999998</v>
      </c>
      <c r="X37" s="48">
        <f ca="1">IF($E37="", "", AVERAGE( OFFSET( hist_data!$S$7, 0, MATCH($C37, hist_data!$A$6:$A$21, 0), X$13 ) ))</f>
        <v>3.4918</v>
      </c>
      <c r="Y37" s="25">
        <f ca="1">IF($E37="","",MAX(OFFSET(hist_data!$S$7,0,MATCH($C37,hist_data!$A$6:$A$21,0),Y$13)))</f>
        <v>3.7909999999999999</v>
      </c>
      <c r="Z37" s="26">
        <f ca="1">IF($E37="","",MIN(OFFSET(hist_data!$S$7,0,MATCH($C37,hist_data!$A$6:$A$21,0),Z$13)))</f>
        <v>3.0339999999999998</v>
      </c>
      <c r="AA37" s="48">
        <f ca="1">IF($E37="", "", AVERAGE( OFFSET( hist_data!$S$7, 0, MATCH($C37, hist_data!$A$6:$A$21, 0), AA$13 ) ))</f>
        <v>3.7767879999999985</v>
      </c>
      <c r="AB37" s="25">
        <f ca="1">IF($E37="","",MAX(OFFSET(hist_data!$S$7,0,MATCH($C37,hist_data!$A$6:$A$21,0),AB$13)))</f>
        <v>4.6920000000000002</v>
      </c>
      <c r="AC37" s="26">
        <f ca="1">IF($E37="","",MIN(OFFSET(hist_data!$S$7,0,MATCH($C37,hist_data!$A$6:$A$21,0),AC$13)))</f>
        <v>3.0339999999999998</v>
      </c>
    </row>
    <row r="38" spans="1:29" s="20" customFormat="1" ht="12.75">
      <c r="C38" s="88" t="s">
        <v>836</v>
      </c>
      <c r="D38" s="89"/>
      <c r="E38" s="47">
        <f t="shared" ref="E38" si="230">IFERROR( (E$16-E37)*100, "")</f>
        <v>-22.099999999999966</v>
      </c>
      <c r="F38" s="30">
        <f t="shared" ref="F38" si="231">IFERROR( (F$16-F37)*100, "")</f>
        <v>-22.299999999999986</v>
      </c>
      <c r="G38" s="30">
        <f t="shared" ref="G38" si="232">IFERROR( (G$16-G37)*100, "")</f>
        <v>-22.199999999999996</v>
      </c>
      <c r="H38" s="30">
        <f t="shared" ref="H38" si="233">IFERROR( (H$16-H37)*100, "")</f>
        <v>-21.10000000000003</v>
      </c>
      <c r="I38" s="30">
        <f t="shared" ref="I38" si="234">IFERROR( (I$16-I37)*100, "")</f>
        <v>-21.70000000000001</v>
      </c>
      <c r="J38" s="30">
        <f t="shared" ref="J38" si="235">IFERROR( (J$16-J37)*100, "")</f>
        <v>-22.299999999999986</v>
      </c>
      <c r="K38" s="30">
        <f t="shared" ref="K38" si="236">IFERROR( (K$16-K37)*100, "")</f>
        <v>-21.999999999999975</v>
      </c>
      <c r="L38" s="30">
        <f t="shared" ref="L38" si="237">IFERROR( (L$16-L37)*100, "")</f>
        <v>-20.999999999999996</v>
      </c>
      <c r="M38" s="30">
        <f t="shared" ref="M38" si="238">IFERROR( (M$16-M37)*100, "")</f>
        <v>-21.899999999999984</v>
      </c>
      <c r="N38" s="30">
        <f t="shared" ref="N38" si="239">IFERROR( (N$16-N37)*100, "")</f>
        <v>-17.900000000000027</v>
      </c>
      <c r="O38" s="30">
        <f t="shared" ref="O38" si="240">IFERROR( (O$16-O37)*100, "")</f>
        <v>-17.999999999999972</v>
      </c>
      <c r="P38" s="31">
        <f t="shared" ref="P38" si="241">IFERROR( (P$16-P37)*100, "")</f>
        <v>-19.099999999999984</v>
      </c>
      <c r="R38" s="47">
        <f t="shared" ref="R38" ca="1" si="242">IFERROR( (R$16-R37)*100, "")</f>
        <v>-20.429999999999858</v>
      </c>
      <c r="S38" s="30">
        <f t="shared" ref="S38" ca="1" si="243">IFERROR( (S$16-S37)*100, "")</f>
        <v>-19.799999999999997</v>
      </c>
      <c r="T38" s="31">
        <f t="shared" ref="T38" ca="1" si="244">IFERROR( (T$16-T37)*100, "")</f>
        <v>-21.899999999999984</v>
      </c>
      <c r="U38" s="47">
        <f t="shared" ref="U38" ca="1" si="245">IFERROR( (U$16-U37)*100, "")</f>
        <v>-19.601666666666738</v>
      </c>
      <c r="V38" s="30">
        <f t="shared" ref="V38" ca="1" si="246">IFERROR( (V$16-V37)*100, "")</f>
        <v>-20.199999999999996</v>
      </c>
      <c r="W38" s="31">
        <f t="shared" ref="W38" ca="1" si="247">IFERROR( (W$16-W37)*100, "")</f>
        <v>-21.899999999999984</v>
      </c>
      <c r="X38" s="47">
        <f t="shared" ref="X38" ca="1" si="248">IFERROR( (X$16-X37)*100, "")</f>
        <v>-22.560833333333406</v>
      </c>
      <c r="Y38" s="30">
        <f t="shared" ref="Y38" ca="1" si="249">IFERROR( (Y$16-Y37)*100, "")</f>
        <v>-25.099999999999987</v>
      </c>
      <c r="Z38" s="31">
        <f t="shared" ref="Z38" ca="1" si="250">IFERROR( (Z$16-Z37)*100, "")</f>
        <v>-21.899999999999984</v>
      </c>
      <c r="AA38" s="47">
        <f t="shared" ref="AA38" ca="1" si="251">IFERROR( (AA$16-AA37)*100, "")</f>
        <v>-32.58359999999989</v>
      </c>
      <c r="AB38" s="30">
        <f t="shared" ref="AB38" ca="1" si="252">IFERROR( (AB$16-AB37)*100, "")</f>
        <v>-55.200000000000045</v>
      </c>
      <c r="AC38" s="31">
        <f t="shared" ref="AC38" ca="1" si="253">IFERROR( (AC$16-AC37)*100, "")</f>
        <v>-21.899999999999984</v>
      </c>
    </row>
    <row r="39" spans="1:29" s="20" customFormat="1" ht="12.75">
      <c r="A39" s="20">
        <v>12</v>
      </c>
      <c r="C39" s="24" t="str" cm="1">
        <f t="array" ref="C39">INDEX(hist_data!$A$6:$A$21, Hist!$A39)</f>
        <v>10Y</v>
      </c>
      <c r="D39" s="43"/>
      <c r="E39" s="48" cm="1">
        <f t="array" ref="E39">IF( INDEX(hist_data!$S$6:$AI$256, MATCH(E$13, hist_data!$S$6:$S$256, 0), MATCH($C39, hist_data!$A$6:$A$21, 0)+1)=0, "", INDEX(hist_data!$S$6:$AI$256, MATCH(E$13, hist_data!$S$6:$S$256, 0), MATCH($C39, hist_data!$A$6:$A$21, 0)+1) )</f>
        <v>3.1579999999999999</v>
      </c>
      <c r="F39" s="25" cm="1">
        <f t="array" ref="F39">IF( INDEX(hist_data!$S$6:$AI$256, MATCH(F$13, hist_data!$S$6:$S$256, 0), MATCH($C39, hist_data!$A$6:$A$21, 0)+1)=0, "", INDEX(hist_data!$S$6:$AI$256, MATCH(F$13, hist_data!$S$6:$S$256, 0), MATCH($C39, hist_data!$A$6:$A$21, 0)+1) )</f>
        <v>3.1240000000000001</v>
      </c>
      <c r="G39" s="25" cm="1">
        <f t="array" ref="G39">IF( INDEX(hist_data!$S$6:$AI$256, MATCH(G$13, hist_data!$S$6:$S$256, 0), MATCH($C39, hist_data!$A$6:$A$21, 0)+1)=0, "", INDEX(hist_data!$S$6:$AI$256, MATCH(G$13, hist_data!$S$6:$S$256, 0), MATCH($C39, hist_data!$A$6:$A$21, 0)+1) )</f>
        <v>3.1549999999999998</v>
      </c>
      <c r="H39" s="25" cm="1">
        <f t="array" ref="H39">IF( INDEX(hist_data!$S$6:$AI$256, MATCH(H$13, hist_data!$S$6:$S$256, 0), MATCH($C39, hist_data!$A$6:$A$21, 0)+1)=0, "", INDEX(hist_data!$S$6:$AI$256, MATCH(H$13, hist_data!$S$6:$S$256, 0), MATCH($C39, hist_data!$A$6:$A$21, 0)+1) )</f>
        <v>3.1819999999999999</v>
      </c>
      <c r="I39" s="25" cm="1">
        <f t="array" ref="I39">IF( INDEX(hist_data!$S$6:$AI$256, MATCH(I$13, hist_data!$S$6:$S$256, 0), MATCH($C39, hist_data!$A$6:$A$21, 0)+1)=0, "", INDEX(hist_data!$S$6:$AI$256, MATCH(I$13, hist_data!$S$6:$S$256, 0), MATCH($C39, hist_data!$A$6:$A$21, 0)+1) )</f>
        <v>3.1920000000000002</v>
      </c>
      <c r="J39" s="25" cm="1">
        <f t="array" ref="J39">IF( INDEX(hist_data!$S$6:$AI$256, MATCH(J$13, hist_data!$S$6:$S$256, 0), MATCH($C39, hist_data!$A$6:$A$21, 0)+1)=0, "", INDEX(hist_data!$S$6:$AI$256, MATCH(J$13, hist_data!$S$6:$S$256, 0), MATCH($C39, hist_data!$A$6:$A$21, 0)+1) )</f>
        <v>3.18</v>
      </c>
      <c r="K39" s="25" cm="1">
        <f t="array" ref="K39">IF( INDEX(hist_data!$S$6:$AI$256, MATCH(K$13, hist_data!$S$6:$S$256, 0), MATCH($C39, hist_data!$A$6:$A$21, 0)+1)=0, "", INDEX(hist_data!$S$6:$AI$256, MATCH(K$13, hist_data!$S$6:$S$256, 0), MATCH($C39, hist_data!$A$6:$A$21, 0)+1) )</f>
        <v>3.1829999999999998</v>
      </c>
      <c r="L39" s="25" cm="1">
        <f t="array" ref="L39">IF( INDEX(hist_data!$S$6:$AI$256, MATCH(L$13, hist_data!$S$6:$S$256, 0), MATCH($C39, hist_data!$A$6:$A$21, 0)+1)=0, "", INDEX(hist_data!$S$6:$AI$256, MATCH(L$13, hist_data!$S$6:$S$256, 0), MATCH($C39, hist_data!$A$6:$A$21, 0)+1) )</f>
        <v>3.1739999999999999</v>
      </c>
      <c r="M39" s="25" cm="1">
        <f t="array" ref="M39">IF( INDEX(hist_data!$S$6:$AI$256, MATCH(M$13, hist_data!$S$6:$S$256, 0), MATCH($C39, hist_data!$A$6:$A$21, 0)+1)=0, "", INDEX(hist_data!$S$6:$AI$256, MATCH(M$13, hist_data!$S$6:$S$256, 0), MATCH($C39, hist_data!$A$6:$A$21, 0)+1) )</f>
        <v>3.0659999999999998</v>
      </c>
      <c r="N39" s="25" cm="1">
        <f t="array" ref="N39">IF( INDEX(hist_data!$S$6:$AI$256, MATCH(N$13, hist_data!$S$6:$S$256, 0), MATCH($C39, hist_data!$A$6:$A$21, 0)+1)=0, "", INDEX(hist_data!$S$6:$AI$256, MATCH(N$13, hist_data!$S$6:$S$256, 0), MATCH($C39, hist_data!$A$6:$A$21, 0)+1) )</f>
        <v>3.1309999999999998</v>
      </c>
      <c r="O39" s="25" cm="1">
        <f t="array" ref="O39">IF( INDEX(hist_data!$S$6:$AI$256, MATCH(O$13, hist_data!$S$6:$S$256, 0), MATCH($C39, hist_data!$A$6:$A$21, 0)+1)=0, "", INDEX(hist_data!$S$6:$AI$256, MATCH(O$13, hist_data!$S$6:$S$256, 0), MATCH($C39, hist_data!$A$6:$A$21, 0)+1) )</f>
        <v>3.1720000000000002</v>
      </c>
      <c r="P39" s="26" cm="1">
        <f t="array" ref="P39">IF( INDEX(hist_data!$S$6:$AI$256, MATCH(P$13, hist_data!$S$6:$S$256, 0), MATCH($C39, hist_data!$A$6:$A$21, 0)+1)=0, "", INDEX(hist_data!$S$6:$AI$256, MATCH(P$13, hist_data!$S$6:$S$256, 0), MATCH($C39, hist_data!$A$6:$A$21, 0)+1) )</f>
        <v>3.2149999999999999</v>
      </c>
      <c r="R39" s="48">
        <f ca="1">IF($E39="", "", AVERAGE( OFFSET( hist_data!$S$7, 0, MATCH($C39, hist_data!$A$6:$A$21, 0), R$13 ) ))</f>
        <v>3.2069500000000004</v>
      </c>
      <c r="S39" s="25">
        <f ca="1">IF($E39="","",MAX(OFFSET(hist_data!$S$7,0,MATCH($C39,hist_data!$A$6:$A$21,0),S$13)))</f>
        <v>3.3330000000000002</v>
      </c>
      <c r="T39" s="26">
        <f ca="1">IF($E39="","",MIN(OFFSET(hist_data!$S$7,0,MATCH($C39,hist_data!$A$6:$A$21,0),T$13)))</f>
        <v>3.0659999999999998</v>
      </c>
      <c r="U39" s="48">
        <f ca="1">IF($E39="", "", AVERAGE( OFFSET( hist_data!$S$7, 0, MATCH($C39, hist_data!$A$6:$A$21, 0), U$13 ) ))</f>
        <v>3.3913666666666669</v>
      </c>
      <c r="V39" s="25">
        <f ca="1">IF($E39="","",MAX(OFFSET(hist_data!$S$7,0,MATCH($C39,hist_data!$A$6:$A$21,0),V$13)))</f>
        <v>3.722</v>
      </c>
      <c r="W39" s="26">
        <f ca="1">IF($E39="","",MIN(OFFSET(hist_data!$S$7,0,MATCH($C39,hist_data!$A$6:$A$21,0),W$13)))</f>
        <v>3.0659999999999998</v>
      </c>
      <c r="X39" s="48">
        <f ca="1">IF($E39="", "", AVERAGE( OFFSET( hist_data!$S$7, 0, MATCH($C39, hist_data!$A$6:$A$21, 0), X$13 ) ))</f>
        <v>3.5394083333333328</v>
      </c>
      <c r="Y39" s="25">
        <f ca="1">IF($E39="","",MAX(OFFSET(hist_data!$S$7,0,MATCH($C39,hist_data!$A$6:$A$21,0),Y$13)))</f>
        <v>3.8570000000000002</v>
      </c>
      <c r="Z39" s="26">
        <f ca="1">IF($E39="","",MIN(OFFSET(hist_data!$S$7,0,MATCH($C39,hist_data!$A$6:$A$21,0),Z$13)))</f>
        <v>3.0659999999999998</v>
      </c>
      <c r="AA39" s="48">
        <f ca="1">IF($E39="", "", AVERAGE( OFFSET( hist_data!$S$7, 0, MATCH($C39, hist_data!$A$6:$A$21, 0), AA$13 ) ))</f>
        <v>3.811656000000001</v>
      </c>
      <c r="AB39" s="25">
        <f ca="1">IF($E39="","",MAX(OFFSET(hist_data!$S$7,0,MATCH($C39,hist_data!$A$6:$A$21,0),AB$13)))</f>
        <v>4.7409999999999997</v>
      </c>
      <c r="AC39" s="26">
        <f ca="1">IF($E39="","",MIN(OFFSET(hist_data!$S$7,0,MATCH($C39,hist_data!$A$6:$A$21,0),AC$13)))</f>
        <v>3.0659999999999998</v>
      </c>
    </row>
    <row r="40" spans="1:29" s="20" customFormat="1" ht="12.75">
      <c r="C40" s="88" t="s">
        <v>836</v>
      </c>
      <c r="D40" s="89"/>
      <c r="E40" s="47">
        <f t="shared" ref="E40" si="254">IFERROR( (E$16-E39)*100, "")</f>
        <v>-23.599999999999977</v>
      </c>
      <c r="F40" s="30">
        <f t="shared" ref="F40" si="255">IFERROR( (F$16-F39)*100, "")</f>
        <v>-23.70000000000001</v>
      </c>
      <c r="G40" s="30">
        <f t="shared" ref="G40" si="256">IFERROR( (G$16-G39)*100, "")</f>
        <v>-23.999999999999979</v>
      </c>
      <c r="H40" s="30">
        <f t="shared" ref="H40" si="257">IFERROR( (H$16-H39)*100, "")</f>
        <v>-23.70000000000001</v>
      </c>
      <c r="I40" s="30">
        <f t="shared" ref="I40" si="258">IFERROR( (I$16-I39)*100, "")</f>
        <v>-25.200000000000024</v>
      </c>
      <c r="J40" s="30">
        <f t="shared" ref="J40" si="259">IFERROR( (J$16-J39)*100, "")</f>
        <v>-26.100000000000012</v>
      </c>
      <c r="K40" s="30">
        <f t="shared" ref="K40" si="260">IFERROR( (K$16-K39)*100, "")</f>
        <v>-25.199999999999978</v>
      </c>
      <c r="L40" s="30">
        <f t="shared" ref="L40" si="261">IFERROR( (L$16-L39)*100, "")</f>
        <v>-23.4</v>
      </c>
      <c r="M40" s="30">
        <f t="shared" ref="M40" si="262">IFERROR( (M$16-M39)*100, "")</f>
        <v>-25.099999999999987</v>
      </c>
      <c r="N40" s="30">
        <f t="shared" ref="N40" si="263">IFERROR( (N$16-N39)*100, "")</f>
        <v>-19.499999999999986</v>
      </c>
      <c r="O40" s="30">
        <f t="shared" ref="O40" si="264">IFERROR( (O$16-O39)*100, "")</f>
        <v>-19.700000000000006</v>
      </c>
      <c r="P40" s="31">
        <f t="shared" ref="P40" si="265">IFERROR( (P$16-P39)*100, "")</f>
        <v>-21.499999999999986</v>
      </c>
      <c r="R40" s="47">
        <f t="shared" ref="R40" ca="1" si="266">IFERROR( (R$16-R39)*100, "")</f>
        <v>-23.689999999999944</v>
      </c>
      <c r="S40" s="30">
        <f t="shared" ref="S40" ca="1" si="267">IFERROR( (S$16-S39)*100, "")</f>
        <v>-24.6</v>
      </c>
      <c r="T40" s="31">
        <f t="shared" ref="T40" ca="1" si="268">IFERROR( (T$16-T39)*100, "")</f>
        <v>-25.099999999999987</v>
      </c>
      <c r="U40" s="47">
        <f t="shared" ref="U40" ca="1" si="269">IFERROR( (U$16-U39)*100, "")</f>
        <v>-24.473333333333436</v>
      </c>
      <c r="V40" s="30">
        <f t="shared" ref="V40" ca="1" si="270">IFERROR( (V$16-V39)*100, "")</f>
        <v>-27</v>
      </c>
      <c r="W40" s="31">
        <f t="shared" ref="W40" ca="1" si="271">IFERROR( (W$16-W39)*100, "")</f>
        <v>-25.099999999999987</v>
      </c>
      <c r="X40" s="47">
        <f t="shared" ref="X40" ca="1" si="272">IFERROR( (X$16-X39)*100, "")</f>
        <v>-27.321666666666687</v>
      </c>
      <c r="Y40" s="30">
        <f t="shared" ref="Y40" ca="1" si="273">IFERROR( (Y$16-Y39)*100, "")</f>
        <v>-31.700000000000017</v>
      </c>
      <c r="Z40" s="31">
        <f t="shared" ref="Z40" ca="1" si="274">IFERROR( (Z$16-Z39)*100, "")</f>
        <v>-25.099999999999987</v>
      </c>
      <c r="AA40" s="47">
        <f t="shared" ref="AA40" ca="1" si="275">IFERROR( (AA$16-AA39)*100, "")</f>
        <v>-36.070400000000149</v>
      </c>
      <c r="AB40" s="30">
        <f t="shared" ref="AB40" ca="1" si="276">IFERROR( (AB$16-AB39)*100, "")</f>
        <v>-60.099999999999994</v>
      </c>
      <c r="AC40" s="31">
        <f t="shared" ref="AC40" ca="1" si="277">IFERROR( (AC$16-AC39)*100, "")</f>
        <v>-25.099999999999987</v>
      </c>
    </row>
    <row r="41" spans="1:29" s="20" customFormat="1" ht="12.75">
      <c r="A41" s="20">
        <v>13</v>
      </c>
      <c r="C41" s="24" t="str" cm="1">
        <f t="array" ref="C41">INDEX(hist_data!$A$6:$A$21, Hist!$A41)</f>
        <v>15Y</v>
      </c>
      <c r="D41" s="43"/>
      <c r="E41" s="48" cm="1">
        <f t="array" ref="E41">IF( INDEX(hist_data!$S$6:$AI$256, MATCH(E$13, hist_data!$S$6:$S$256, 0), MATCH($C41, hist_data!$A$6:$A$21, 0)+1)=0, "", INDEX(hist_data!$S$6:$AI$256, MATCH(E$13, hist_data!$S$6:$S$256, 0), MATCH($C41, hist_data!$A$6:$A$21, 0)+1) )</f>
        <v>3.1789999999999998</v>
      </c>
      <c r="F41" s="25" cm="1">
        <f t="array" ref="F41">IF( INDEX(hist_data!$S$6:$AI$256, MATCH(F$13, hist_data!$S$6:$S$256, 0), MATCH($C41, hist_data!$A$6:$A$21, 0)+1)=0, "", INDEX(hist_data!$S$6:$AI$256, MATCH(F$13, hist_data!$S$6:$S$256, 0), MATCH($C41, hist_data!$A$6:$A$21, 0)+1) )</f>
        <v>3.1520000000000001</v>
      </c>
      <c r="G41" s="25" cm="1">
        <f t="array" ref="G41">IF( INDEX(hist_data!$S$6:$AI$256, MATCH(G$13, hist_data!$S$6:$S$256, 0), MATCH($C41, hist_data!$A$6:$A$21, 0)+1)=0, "", INDEX(hist_data!$S$6:$AI$256, MATCH(G$13, hist_data!$S$6:$S$256, 0), MATCH($C41, hist_data!$A$6:$A$21, 0)+1) )</f>
        <v>3.1859999999999999</v>
      </c>
      <c r="H41" s="25" cm="1">
        <f t="array" ref="H41">IF( INDEX(hist_data!$S$6:$AI$256, MATCH(H$13, hist_data!$S$6:$S$256, 0), MATCH($C41, hist_data!$A$6:$A$21, 0)+1)=0, "", INDEX(hist_data!$S$6:$AI$256, MATCH(H$13, hist_data!$S$6:$S$256, 0), MATCH($C41, hist_data!$A$6:$A$21, 0)+1) )</f>
        <v>3.2130000000000001</v>
      </c>
      <c r="I41" s="25" cm="1">
        <f t="array" ref="I41">IF( INDEX(hist_data!$S$6:$AI$256, MATCH(I$13, hist_data!$S$6:$S$256, 0), MATCH($C41, hist_data!$A$6:$A$21, 0)+1)=0, "", INDEX(hist_data!$S$6:$AI$256, MATCH(I$13, hist_data!$S$6:$S$256, 0), MATCH($C41, hist_data!$A$6:$A$21, 0)+1) )</f>
        <v>3.2229999999999999</v>
      </c>
      <c r="J41" s="25" cm="1">
        <f t="array" ref="J41">IF( INDEX(hist_data!$S$6:$AI$256, MATCH(J$13, hist_data!$S$6:$S$256, 0), MATCH($C41, hist_data!$A$6:$A$21, 0)+1)=0, "", INDEX(hist_data!$S$6:$AI$256, MATCH(J$13, hist_data!$S$6:$S$256, 0), MATCH($C41, hist_data!$A$6:$A$21, 0)+1) )</f>
        <v>3.2160000000000002</v>
      </c>
      <c r="K41" s="25" cm="1">
        <f t="array" ref="K41">IF( INDEX(hist_data!$S$6:$AI$256, MATCH(K$13, hist_data!$S$6:$S$256, 0), MATCH($C41, hist_data!$A$6:$A$21, 0)+1)=0, "", INDEX(hist_data!$S$6:$AI$256, MATCH(K$13, hist_data!$S$6:$S$256, 0), MATCH($C41, hist_data!$A$6:$A$21, 0)+1) )</f>
        <v>3.214</v>
      </c>
      <c r="L41" s="25" cm="1">
        <f t="array" ref="L41">IF( INDEX(hist_data!$S$6:$AI$256, MATCH(L$13, hist_data!$S$6:$S$256, 0), MATCH($C41, hist_data!$A$6:$A$21, 0)+1)=0, "", INDEX(hist_data!$S$6:$AI$256, MATCH(L$13, hist_data!$S$6:$S$256, 0), MATCH($C41, hist_data!$A$6:$A$21, 0)+1) )</f>
        <v>3.2130000000000001</v>
      </c>
      <c r="M41" s="25" cm="1">
        <f t="array" ref="M41">IF( INDEX(hist_data!$S$6:$AI$256, MATCH(M$13, hist_data!$S$6:$S$256, 0), MATCH($C41, hist_data!$A$6:$A$21, 0)+1)=0, "", INDEX(hist_data!$S$6:$AI$256, MATCH(M$13, hist_data!$S$6:$S$256, 0), MATCH($C41, hist_data!$A$6:$A$21, 0)+1) )</f>
        <v>3.1160000000000001</v>
      </c>
      <c r="N41" s="25" cm="1">
        <f t="array" ref="N41">IF( INDEX(hist_data!$S$6:$AI$256, MATCH(N$13, hist_data!$S$6:$S$256, 0), MATCH($C41, hist_data!$A$6:$A$21, 0)+1)=0, "", INDEX(hist_data!$S$6:$AI$256, MATCH(N$13, hist_data!$S$6:$S$256, 0), MATCH($C41, hist_data!$A$6:$A$21, 0)+1) )</f>
        <v>3.1779999999999999</v>
      </c>
      <c r="O41" s="25" cm="1">
        <f t="array" ref="O41">IF( INDEX(hist_data!$S$6:$AI$256, MATCH(O$13, hist_data!$S$6:$S$256, 0), MATCH($C41, hist_data!$A$6:$A$21, 0)+1)=0, "", INDEX(hist_data!$S$6:$AI$256, MATCH(O$13, hist_data!$S$6:$S$256, 0), MATCH($C41, hist_data!$A$6:$A$21, 0)+1) )</f>
        <v>3.22</v>
      </c>
      <c r="P41" s="26" cm="1">
        <f t="array" ref="P41">IF( INDEX(hist_data!$S$6:$AI$256, MATCH(P$13, hist_data!$S$6:$S$256, 0), MATCH($C41, hist_data!$A$6:$A$21, 0)+1)=0, "", INDEX(hist_data!$S$6:$AI$256, MATCH(P$13, hist_data!$S$6:$S$256, 0), MATCH($C41, hist_data!$A$6:$A$21, 0)+1) )</f>
        <v>3.258</v>
      </c>
      <c r="R41" s="48">
        <f ca="1">IF($E41="", "", AVERAGE( OFFSET( hist_data!$S$7, 0, MATCH($C41, hist_data!$A$6:$A$21, 0), R$13 ) ))</f>
        <v>3.2428499999999998</v>
      </c>
      <c r="S41" s="25">
        <f ca="1">IF($E41="","",MAX(OFFSET(hist_data!$S$7,0,MATCH($C41,hist_data!$A$6:$A$21,0),S$13)))</f>
        <v>3.36</v>
      </c>
      <c r="T41" s="26">
        <f ca="1">IF($E41="","",MIN(OFFSET(hist_data!$S$7,0,MATCH($C41,hist_data!$A$6:$A$21,0),T$13)))</f>
        <v>3.1160000000000001</v>
      </c>
      <c r="U41" s="48">
        <f ca="1">IF($E41="", "", AVERAGE( OFFSET( hist_data!$S$7, 0, MATCH($C41, hist_data!$A$6:$A$21, 0), U$13 ) ))</f>
        <v>3.4288166666666675</v>
      </c>
      <c r="V41" s="25">
        <f ca="1">IF($E41="","",MAX(OFFSET(hist_data!$S$7,0,MATCH($C41,hist_data!$A$6:$A$21,0),V$13)))</f>
        <v>3.76</v>
      </c>
      <c r="W41" s="26">
        <f ca="1">IF($E41="","",MIN(OFFSET(hist_data!$S$7,0,MATCH($C41,hist_data!$A$6:$A$21,0),W$13)))</f>
        <v>3.1160000000000001</v>
      </c>
      <c r="X41" s="48">
        <f ca="1">IF($E41="", "", AVERAGE( OFFSET( hist_data!$S$7, 0, MATCH($C41, hist_data!$A$6:$A$21, 0), X$13 ) ))</f>
        <v>3.5861000000000027</v>
      </c>
      <c r="Y41" s="25">
        <f ca="1">IF($E41="","",MAX(OFFSET(hist_data!$S$7,0,MATCH($C41,hist_data!$A$6:$A$21,0),Y$13)))</f>
        <v>3.8919999999999999</v>
      </c>
      <c r="Z41" s="26">
        <f ca="1">IF($E41="","",MIN(OFFSET(hist_data!$S$7,0,MATCH($C41,hist_data!$A$6:$A$21,0),Z$13)))</f>
        <v>3.1160000000000001</v>
      </c>
      <c r="AA41" s="48">
        <f ca="1">IF($E41="", "", AVERAGE( OFFSET( hist_data!$S$7, 0, MATCH($C41, hist_data!$A$6:$A$21, 0), AA$13 ) ))</f>
        <v>3.8278520000000014</v>
      </c>
      <c r="AB41" s="25">
        <f ca="1">IF($E41="","",MAX(OFFSET(hist_data!$S$7,0,MATCH($C41,hist_data!$A$6:$A$21,0),AB$13)))</f>
        <v>4.7110000000000003</v>
      </c>
      <c r="AC41" s="26">
        <f ca="1">IF($E41="","",MIN(OFFSET(hist_data!$S$7,0,MATCH($C41,hist_data!$A$6:$A$21,0),AC$13)))</f>
        <v>3.1160000000000001</v>
      </c>
    </row>
    <row r="42" spans="1:29" s="20" customFormat="1" ht="12.75">
      <c r="C42" s="88" t="s">
        <v>836</v>
      </c>
      <c r="D42" s="89"/>
      <c r="E42" s="47">
        <f t="shared" ref="E42" si="278">IFERROR( (E$16-E41)*100, "")</f>
        <v>-25.699999999999967</v>
      </c>
      <c r="F42" s="30">
        <f t="shared" ref="F42" si="279">IFERROR( (F$16-F41)*100, "")</f>
        <v>-26.500000000000014</v>
      </c>
      <c r="G42" s="30">
        <f t="shared" ref="G42" si="280">IFERROR( (G$16-G41)*100, "")</f>
        <v>-27.099999999999991</v>
      </c>
      <c r="H42" s="30">
        <f t="shared" ref="H42" si="281">IFERROR( (H$16-H41)*100, "")</f>
        <v>-26.800000000000026</v>
      </c>
      <c r="I42" s="30">
        <f t="shared" ref="I42" si="282">IFERROR( (I$16-I41)*100, "")</f>
        <v>-28.29999999999999</v>
      </c>
      <c r="J42" s="30">
        <f t="shared" ref="J42" si="283">IFERROR( (J$16-J41)*100, "")</f>
        <v>-29.700000000000017</v>
      </c>
      <c r="K42" s="30">
        <f t="shared" ref="K42" si="284">IFERROR( (K$16-K41)*100, "")</f>
        <v>-28.29999999999999</v>
      </c>
      <c r="L42" s="30">
        <f t="shared" ref="L42" si="285">IFERROR( (L$16-L41)*100, "")</f>
        <v>-27.300000000000011</v>
      </c>
      <c r="M42" s="30">
        <f t="shared" ref="M42" si="286">IFERROR( (M$16-M41)*100, "")</f>
        <v>-30.100000000000016</v>
      </c>
      <c r="N42" s="30">
        <f t="shared" ref="N42" si="287">IFERROR( (N$16-N41)*100, "")</f>
        <v>-24.2</v>
      </c>
      <c r="O42" s="30">
        <f t="shared" ref="O42" si="288">IFERROR( (O$16-O41)*100, "")</f>
        <v>-24.500000000000011</v>
      </c>
      <c r="P42" s="31">
        <f t="shared" ref="P42" si="289">IFERROR( (P$16-P41)*100, "")</f>
        <v>-25.8</v>
      </c>
      <c r="R42" s="47">
        <f t="shared" ref="R42" ca="1" si="290">IFERROR( (R$16-R41)*100, "")</f>
        <v>-27.27999999999988</v>
      </c>
      <c r="S42" s="30">
        <f t="shared" ref="S42" ca="1" si="291">IFERROR( (S$16-S41)*100, "")</f>
        <v>-27.299999999999969</v>
      </c>
      <c r="T42" s="31">
        <f t="shared" ref="T42" ca="1" si="292">IFERROR( (T$16-T41)*100, "")</f>
        <v>-30.100000000000016</v>
      </c>
      <c r="U42" s="47">
        <f t="shared" ref="U42" ca="1" si="293">IFERROR( (U$16-U41)*100, "")</f>
        <v>-28.218333333333501</v>
      </c>
      <c r="V42" s="30">
        <f t="shared" ref="V42" ca="1" si="294">IFERROR( (V$16-V41)*100, "")</f>
        <v>-30.799999999999983</v>
      </c>
      <c r="W42" s="31">
        <f t="shared" ref="W42" ca="1" si="295">IFERROR( (W$16-W41)*100, "")</f>
        <v>-30.100000000000016</v>
      </c>
      <c r="X42" s="47">
        <f t="shared" ref="X42" ca="1" si="296">IFERROR( (X$16-X41)*100, "")</f>
        <v>-31.990833333333679</v>
      </c>
      <c r="Y42" s="30">
        <f t="shared" ref="Y42" ca="1" si="297">IFERROR( (Y$16-Y41)*100, "")</f>
        <v>-35.199999999999989</v>
      </c>
      <c r="Z42" s="31">
        <f t="shared" ref="Z42" ca="1" si="298">IFERROR( (Z$16-Z41)*100, "")</f>
        <v>-30.100000000000016</v>
      </c>
      <c r="AA42" s="47">
        <f t="shared" ref="AA42" ca="1" si="299">IFERROR( (AA$16-AA41)*100, "")</f>
        <v>-37.690000000000182</v>
      </c>
      <c r="AB42" s="30">
        <f t="shared" ref="AB42" ca="1" si="300">IFERROR( (AB$16-AB41)*100, "")</f>
        <v>-57.100000000000065</v>
      </c>
      <c r="AC42" s="31">
        <f t="shared" ref="AC42" ca="1" si="301">IFERROR( (AC$16-AC41)*100, "")</f>
        <v>-30.100000000000016</v>
      </c>
    </row>
    <row r="43" spans="1:29" s="20" customFormat="1" ht="12.75">
      <c r="A43" s="20">
        <v>14</v>
      </c>
      <c r="C43" s="24" t="str" cm="1">
        <f t="array" ref="C43">INDEX(hist_data!$A$6:$A$21, Hist!$A43)</f>
        <v>20Y</v>
      </c>
      <c r="D43" s="43"/>
      <c r="E43" s="48" cm="1">
        <f t="array" ref="E43">IF( INDEX(hist_data!$S$6:$AI$256, MATCH(E$13, hist_data!$S$6:$S$256, 0), MATCH($C43, hist_data!$A$6:$A$21, 0)+1)=0, "", INDEX(hist_data!$S$6:$AI$256, MATCH(E$13, hist_data!$S$6:$S$256, 0), MATCH($C43, hist_data!$A$6:$A$21, 0)+1) )</f>
        <v>3.153</v>
      </c>
      <c r="F43" s="25" cm="1">
        <f t="array" ref="F43">IF( INDEX(hist_data!$S$6:$AI$256, MATCH(F$13, hist_data!$S$6:$S$256, 0), MATCH($C43, hist_data!$A$6:$A$21, 0)+1)=0, "", INDEX(hist_data!$S$6:$AI$256, MATCH(F$13, hist_data!$S$6:$S$256, 0), MATCH($C43, hist_data!$A$6:$A$21, 0)+1) )</f>
        <v>3.1309999999999998</v>
      </c>
      <c r="G43" s="25" cm="1">
        <f t="array" ref="G43">IF( INDEX(hist_data!$S$6:$AI$256, MATCH(G$13, hist_data!$S$6:$S$256, 0), MATCH($C43, hist_data!$A$6:$A$21, 0)+1)=0, "", INDEX(hist_data!$S$6:$AI$256, MATCH(G$13, hist_data!$S$6:$S$256, 0), MATCH($C43, hist_data!$A$6:$A$21, 0)+1) )</f>
        <v>3.1629999999999998</v>
      </c>
      <c r="H43" s="25" cm="1">
        <f t="array" ref="H43">IF( INDEX(hist_data!$S$6:$AI$256, MATCH(H$13, hist_data!$S$6:$S$256, 0), MATCH($C43, hist_data!$A$6:$A$21, 0)+1)=0, "", INDEX(hist_data!$S$6:$AI$256, MATCH(H$13, hist_data!$S$6:$S$256, 0), MATCH($C43, hist_data!$A$6:$A$21, 0)+1) )</f>
        <v>3.1970000000000001</v>
      </c>
      <c r="I43" s="25" cm="1">
        <f t="array" ref="I43">IF( INDEX(hist_data!$S$6:$AI$256, MATCH(I$13, hist_data!$S$6:$S$256, 0), MATCH($C43, hist_data!$A$6:$A$21, 0)+1)=0, "", INDEX(hist_data!$S$6:$AI$256, MATCH(I$13, hist_data!$S$6:$S$256, 0), MATCH($C43, hist_data!$A$6:$A$21, 0)+1) )</f>
        <v>3.2069999999999999</v>
      </c>
      <c r="J43" s="25" cm="1">
        <f t="array" ref="J43">IF( INDEX(hist_data!$S$6:$AI$256, MATCH(J$13, hist_data!$S$6:$S$256, 0), MATCH($C43, hist_data!$A$6:$A$21, 0)+1)=0, "", INDEX(hist_data!$S$6:$AI$256, MATCH(J$13, hist_data!$S$6:$S$256, 0), MATCH($C43, hist_data!$A$6:$A$21, 0)+1) )</f>
        <v>3.2040000000000002</v>
      </c>
      <c r="K43" s="25" cm="1">
        <f t="array" ref="K43">IF( INDEX(hist_data!$S$6:$AI$256, MATCH(K$13, hist_data!$S$6:$S$256, 0), MATCH($C43, hist_data!$A$6:$A$21, 0)+1)=0, "", INDEX(hist_data!$S$6:$AI$256, MATCH(K$13, hist_data!$S$6:$S$256, 0), MATCH($C43, hist_data!$A$6:$A$21, 0)+1) )</f>
        <v>3.198</v>
      </c>
      <c r="L43" s="25" cm="1">
        <f t="array" ref="L43">IF( INDEX(hist_data!$S$6:$AI$256, MATCH(L$13, hist_data!$S$6:$S$256, 0), MATCH($C43, hist_data!$A$6:$A$21, 0)+1)=0, "", INDEX(hist_data!$S$6:$AI$256, MATCH(L$13, hist_data!$S$6:$S$256, 0), MATCH($C43, hist_data!$A$6:$A$21, 0)+1) )</f>
        <v>3.2040000000000002</v>
      </c>
      <c r="M43" s="25" cm="1">
        <f t="array" ref="M43">IF( INDEX(hist_data!$S$6:$AI$256, MATCH(M$13, hist_data!$S$6:$S$256, 0), MATCH($C43, hist_data!$A$6:$A$21, 0)+1)=0, "", INDEX(hist_data!$S$6:$AI$256, MATCH(M$13, hist_data!$S$6:$S$256, 0), MATCH($C43, hist_data!$A$6:$A$21, 0)+1) )</f>
        <v>3.1160000000000001</v>
      </c>
      <c r="N43" s="25" cm="1">
        <f t="array" ref="N43">IF( INDEX(hist_data!$S$6:$AI$256, MATCH(N$13, hist_data!$S$6:$S$256, 0), MATCH($C43, hist_data!$A$6:$A$21, 0)+1)=0, "", INDEX(hist_data!$S$6:$AI$256, MATCH(N$13, hist_data!$S$6:$S$256, 0), MATCH($C43, hist_data!$A$6:$A$21, 0)+1) )</f>
        <v>3.1680000000000001</v>
      </c>
      <c r="O43" s="25" cm="1">
        <f t="array" ref="O43">IF( INDEX(hist_data!$S$6:$AI$256, MATCH(O$13, hist_data!$S$6:$S$256, 0), MATCH($C43, hist_data!$A$6:$A$21, 0)+1)=0, "", INDEX(hist_data!$S$6:$AI$256, MATCH(O$13, hist_data!$S$6:$S$256, 0), MATCH($C43, hist_data!$A$6:$A$21, 0)+1) )</f>
        <v>3.2120000000000002</v>
      </c>
      <c r="P43" s="26" cm="1">
        <f t="array" ref="P43">IF( INDEX(hist_data!$S$6:$AI$256, MATCH(P$13, hist_data!$S$6:$S$256, 0), MATCH($C43, hist_data!$A$6:$A$21, 0)+1)=0, "", INDEX(hist_data!$S$6:$AI$256, MATCH(P$13, hist_data!$S$6:$S$256, 0), MATCH($C43, hist_data!$A$6:$A$21, 0)+1) )</f>
        <v>3.2440000000000002</v>
      </c>
      <c r="R43" s="48">
        <f ca="1">IF($E43="", "", AVERAGE( OFFSET( hist_data!$S$7, 0, MATCH($C43, hist_data!$A$6:$A$21, 0), R$13 ) ))</f>
        <v>3.2250999999999999</v>
      </c>
      <c r="S43" s="25">
        <f ca="1">IF($E43="","",MAX(OFFSET(hist_data!$S$7,0,MATCH($C43,hist_data!$A$6:$A$21,0),S$13)))</f>
        <v>3.3260000000000001</v>
      </c>
      <c r="T43" s="26">
        <f ca="1">IF($E43="","",MIN(OFFSET(hist_data!$S$7,0,MATCH($C43,hist_data!$A$6:$A$21,0),T$13)))</f>
        <v>3.1160000000000001</v>
      </c>
      <c r="U43" s="48">
        <f ca="1">IF($E43="", "", AVERAGE( OFFSET( hist_data!$S$7, 0, MATCH($C43, hist_data!$A$6:$A$21, 0), U$13 ) ))</f>
        <v>3.4081833333333336</v>
      </c>
      <c r="V43" s="25">
        <f ca="1">IF($E43="","",MAX(OFFSET(hist_data!$S$7,0,MATCH($C43,hist_data!$A$6:$A$21,0),V$13)))</f>
        <v>3.7349999999999999</v>
      </c>
      <c r="W43" s="26">
        <f ca="1">IF($E43="","",MIN(OFFSET(hist_data!$S$7,0,MATCH($C43,hist_data!$A$6:$A$21,0),W$13)))</f>
        <v>3.1160000000000001</v>
      </c>
      <c r="X43" s="48">
        <f ca="1">IF($E43="", "", AVERAGE( OFFSET( hist_data!$S$7, 0, MATCH($C43, hist_data!$A$6:$A$21, 0), X$13 ) ))</f>
        <v>3.562008333333333</v>
      </c>
      <c r="Y43" s="25">
        <f ca="1">IF($E43="","",MAX(OFFSET(hist_data!$S$7,0,MATCH($C43,hist_data!$A$6:$A$21,0),Y$13)))</f>
        <v>3.8540000000000001</v>
      </c>
      <c r="Z43" s="26">
        <f ca="1">IF($E43="","",MIN(OFFSET(hist_data!$S$7,0,MATCH($C43,hist_data!$A$6:$A$21,0),Z$13)))</f>
        <v>3.1160000000000001</v>
      </c>
      <c r="AA43" s="48">
        <f ca="1">IF($E43="", "", AVERAGE( OFFSET( hist_data!$S$7, 0, MATCH($C43, hist_data!$A$6:$A$21, 0), AA$13 ) ))</f>
        <v>3.8007159999999995</v>
      </c>
      <c r="AB43" s="25">
        <f ca="1">IF($E43="","",MAX(OFFSET(hist_data!$S$7,0,MATCH($C43,hist_data!$A$6:$A$21,0),AB$13)))</f>
        <v>4.7069999999999999</v>
      </c>
      <c r="AC43" s="26">
        <f ca="1">IF($E43="","",MIN(OFFSET(hist_data!$S$7,0,MATCH($C43,hist_data!$A$6:$A$21,0),AC$13)))</f>
        <v>3.1160000000000001</v>
      </c>
    </row>
    <row r="44" spans="1:29" s="20" customFormat="1" ht="12.75">
      <c r="C44" s="88" t="s">
        <v>836</v>
      </c>
      <c r="D44" s="89"/>
      <c r="E44" s="47">
        <f t="shared" ref="E44" si="302">IFERROR( (E$16-E43)*100, "")</f>
        <v>-23.099999999999987</v>
      </c>
      <c r="F44" s="30">
        <f t="shared" ref="F44" si="303">IFERROR( (F$16-F43)*100, "")</f>
        <v>-24.399999999999977</v>
      </c>
      <c r="G44" s="30">
        <f t="shared" ref="G44" si="304">IFERROR( (G$16-G43)*100, "")</f>
        <v>-24.799999999999976</v>
      </c>
      <c r="H44" s="30">
        <f t="shared" ref="H44" si="305">IFERROR( (H$16-H43)*100, "")</f>
        <v>-25.200000000000024</v>
      </c>
      <c r="I44" s="30">
        <f t="shared" ref="I44" si="306">IFERROR( (I$16-I43)*100, "")</f>
        <v>-26.699999999999989</v>
      </c>
      <c r="J44" s="30">
        <f t="shared" ref="J44" si="307">IFERROR( (J$16-J43)*100, "")</f>
        <v>-28.500000000000014</v>
      </c>
      <c r="K44" s="30">
        <f t="shared" ref="K44" si="308">IFERROR( (K$16-K43)*100, "")</f>
        <v>-26.699999999999989</v>
      </c>
      <c r="L44" s="30">
        <f t="shared" ref="L44" si="309">IFERROR( (L$16-L43)*100, "")</f>
        <v>-26.400000000000023</v>
      </c>
      <c r="M44" s="30">
        <f t="shared" ref="M44" si="310">IFERROR( (M$16-M43)*100, "")</f>
        <v>-30.100000000000016</v>
      </c>
      <c r="N44" s="30">
        <f t="shared" ref="N44" si="311">IFERROR( (N$16-N43)*100, "")</f>
        <v>-23.200000000000021</v>
      </c>
      <c r="O44" s="30">
        <f t="shared" ref="O44" si="312">IFERROR( (O$16-O43)*100, "")</f>
        <v>-23.70000000000001</v>
      </c>
      <c r="P44" s="31">
        <f t="shared" ref="P44" si="313">IFERROR( (P$16-P43)*100, "")</f>
        <v>-24.40000000000002</v>
      </c>
      <c r="R44" s="47">
        <f t="shared" ref="R44" ca="1" si="314">IFERROR( (R$16-R43)*100, "")</f>
        <v>-25.504999999999889</v>
      </c>
      <c r="S44" s="30">
        <f t="shared" ref="S44" ca="1" si="315">IFERROR( (S$16-S43)*100, "")</f>
        <v>-23.899999999999988</v>
      </c>
      <c r="T44" s="31">
        <f t="shared" ref="T44" ca="1" si="316">IFERROR( (T$16-T43)*100, "")</f>
        <v>-30.100000000000016</v>
      </c>
      <c r="U44" s="47">
        <f t="shared" ref="U44" ca="1" si="317">IFERROR( (U$16-U43)*100, "")</f>
        <v>-26.155000000000108</v>
      </c>
      <c r="V44" s="30">
        <f t="shared" ref="V44" ca="1" si="318">IFERROR( (V$16-V43)*100, "")</f>
        <v>-28.29999999999999</v>
      </c>
      <c r="W44" s="31">
        <f t="shared" ref="W44" ca="1" si="319">IFERROR( (W$16-W43)*100, "")</f>
        <v>-30.100000000000016</v>
      </c>
      <c r="X44" s="47">
        <f t="shared" ref="X44" ca="1" si="320">IFERROR( (X$16-X43)*100, "")</f>
        <v>-29.581666666666706</v>
      </c>
      <c r="Y44" s="30">
        <f t="shared" ref="Y44" ca="1" si="321">IFERROR( (Y$16-Y43)*100, "")</f>
        <v>-31.400000000000006</v>
      </c>
      <c r="Z44" s="31">
        <f t="shared" ref="Z44" ca="1" si="322">IFERROR( (Z$16-Z43)*100, "")</f>
        <v>-30.100000000000016</v>
      </c>
      <c r="AA44" s="47">
        <f t="shared" ref="AA44" ca="1" si="323">IFERROR( (AA$16-AA43)*100, "")</f>
        <v>-34.976399999999998</v>
      </c>
      <c r="AB44" s="30">
        <f t="shared" ref="AB44" ca="1" si="324">IFERROR( (AB$16-AB43)*100, "")</f>
        <v>-56.700000000000017</v>
      </c>
      <c r="AC44" s="31">
        <f t="shared" ref="AC44" ca="1" si="325">IFERROR( (AC$16-AC43)*100, "")</f>
        <v>-30.100000000000016</v>
      </c>
    </row>
    <row r="45" spans="1:29" s="20" customFormat="1" ht="12.75">
      <c r="A45" s="20">
        <v>15</v>
      </c>
      <c r="C45" s="24" t="str" cm="1">
        <f t="array" ref="C45">INDEX(hist_data!$A$6:$A$21, Hist!$A45)</f>
        <v>30Y</v>
      </c>
      <c r="D45" s="43"/>
      <c r="E45" s="48" cm="1">
        <f t="array" ref="E45">IF( INDEX(hist_data!$S$6:$AI$256, MATCH(E$13, hist_data!$S$6:$S$256, 0), MATCH($C45, hist_data!$A$6:$A$21, 0)+1)=0, "", INDEX(hist_data!$S$6:$AI$256, MATCH(E$13, hist_data!$S$6:$S$256, 0), MATCH($C45, hist_data!$A$6:$A$21, 0)+1) )</f>
        <v>3.1680000000000001</v>
      </c>
      <c r="F45" s="25" cm="1">
        <f t="array" ref="F45">IF( INDEX(hist_data!$S$6:$AI$256, MATCH(F$13, hist_data!$S$6:$S$256, 0), MATCH($C45, hist_data!$A$6:$A$21, 0)+1)=0, "", INDEX(hist_data!$S$6:$AI$256, MATCH(F$13, hist_data!$S$6:$S$256, 0), MATCH($C45, hist_data!$A$6:$A$21, 0)+1) )</f>
        <v>3.1459999999999999</v>
      </c>
      <c r="G45" s="25" cm="1">
        <f t="array" ref="G45">IF( INDEX(hist_data!$S$6:$AI$256, MATCH(G$13, hist_data!$S$6:$S$256, 0), MATCH($C45, hist_data!$A$6:$A$21, 0)+1)=0, "", INDEX(hist_data!$S$6:$AI$256, MATCH(G$13, hist_data!$S$6:$S$256, 0), MATCH($C45, hist_data!$A$6:$A$21, 0)+1) )</f>
        <v>3.1880000000000002</v>
      </c>
      <c r="H45" s="25" cm="1">
        <f t="array" ref="H45">IF( INDEX(hist_data!$S$6:$AI$256, MATCH(H$13, hist_data!$S$6:$S$256, 0), MATCH($C45, hist_data!$A$6:$A$21, 0)+1)=0, "", INDEX(hist_data!$S$6:$AI$256, MATCH(H$13, hist_data!$S$6:$S$256, 0), MATCH($C45, hist_data!$A$6:$A$21, 0)+1) )</f>
        <v>3.2160000000000002</v>
      </c>
      <c r="I45" s="25" cm="1">
        <f t="array" ref="I45">IF( INDEX(hist_data!$S$6:$AI$256, MATCH(I$13, hist_data!$S$6:$S$256, 0), MATCH($C45, hist_data!$A$6:$A$21, 0)+1)=0, "", INDEX(hist_data!$S$6:$AI$256, MATCH(I$13, hist_data!$S$6:$S$256, 0), MATCH($C45, hist_data!$A$6:$A$21, 0)+1) )</f>
        <v>3.2269999999999999</v>
      </c>
      <c r="J45" s="25" cm="1">
        <f t="array" ref="J45">IF( INDEX(hist_data!$S$6:$AI$256, MATCH(J$13, hist_data!$S$6:$S$256, 0), MATCH($C45, hist_data!$A$6:$A$21, 0)+1)=0, "", INDEX(hist_data!$S$6:$AI$256, MATCH(J$13, hist_data!$S$6:$S$256, 0), MATCH($C45, hist_data!$A$6:$A$21, 0)+1) )</f>
        <v>3.2160000000000002</v>
      </c>
      <c r="K45" s="25" cm="1">
        <f t="array" ref="K45">IF( INDEX(hist_data!$S$6:$AI$256, MATCH(K$13, hist_data!$S$6:$S$256, 0), MATCH($C45, hist_data!$A$6:$A$21, 0)+1)=0, "", INDEX(hist_data!$S$6:$AI$256, MATCH(K$13, hist_data!$S$6:$S$256, 0), MATCH($C45, hist_data!$A$6:$A$21, 0)+1) )</f>
        <v>3.2160000000000002</v>
      </c>
      <c r="L45" s="25" cm="1">
        <f t="array" ref="L45">IF( INDEX(hist_data!$S$6:$AI$256, MATCH(L$13, hist_data!$S$6:$S$256, 0), MATCH($C45, hist_data!$A$6:$A$21, 0)+1)=0, "", INDEX(hist_data!$S$6:$AI$256, MATCH(L$13, hist_data!$S$6:$S$256, 0), MATCH($C45, hist_data!$A$6:$A$21, 0)+1) )</f>
        <v>3.2309999999999999</v>
      </c>
      <c r="M45" s="25" cm="1">
        <f t="array" ref="M45">IF( INDEX(hist_data!$S$6:$AI$256, MATCH(M$13, hist_data!$S$6:$S$256, 0), MATCH($C45, hist_data!$A$6:$A$21, 0)+1)=0, "", INDEX(hist_data!$S$6:$AI$256, MATCH(M$13, hist_data!$S$6:$S$256, 0), MATCH($C45, hist_data!$A$6:$A$21, 0)+1) )</f>
        <v>3.1560000000000001</v>
      </c>
      <c r="N45" s="25" cm="1">
        <f t="array" ref="N45">IF( INDEX(hist_data!$S$6:$AI$256, MATCH(N$13, hist_data!$S$6:$S$256, 0), MATCH($C45, hist_data!$A$6:$A$21, 0)+1)=0, "", INDEX(hist_data!$S$6:$AI$256, MATCH(N$13, hist_data!$S$6:$S$256, 0), MATCH($C45, hist_data!$A$6:$A$21, 0)+1) )</f>
        <v>3.1869999999999998</v>
      </c>
      <c r="O45" s="25" cm="1">
        <f t="array" ref="O45">IF( INDEX(hist_data!$S$6:$AI$256, MATCH(O$13, hist_data!$S$6:$S$256, 0), MATCH($C45, hist_data!$A$6:$A$21, 0)+1)=0, "", INDEX(hist_data!$S$6:$AI$256, MATCH(O$13, hist_data!$S$6:$S$256, 0), MATCH($C45, hist_data!$A$6:$A$21, 0)+1) )</f>
        <v>3.2320000000000002</v>
      </c>
      <c r="P45" s="26" cm="1">
        <f t="array" ref="P45">IF( INDEX(hist_data!$S$6:$AI$256, MATCH(P$13, hist_data!$S$6:$S$256, 0), MATCH($C45, hist_data!$A$6:$A$21, 0)+1)=0, "", INDEX(hist_data!$S$6:$AI$256, MATCH(P$13, hist_data!$S$6:$S$256, 0), MATCH($C45, hist_data!$A$6:$A$21, 0)+1) )</f>
        <v>3.26</v>
      </c>
      <c r="R45" s="48">
        <f ca="1">IF($E45="", "", AVERAGE( OFFSET( hist_data!$S$7, 0, MATCH($C45, hist_data!$A$6:$A$21, 0), R$13 ) ))</f>
        <v>3.2463500000000005</v>
      </c>
      <c r="S45" s="25">
        <f ca="1">IF($E45="","",MAX(OFFSET(hist_data!$S$7,0,MATCH($C45,hist_data!$A$6:$A$21,0),S$13)))</f>
        <v>3.3519999999999999</v>
      </c>
      <c r="T45" s="26">
        <f ca="1">IF($E45="","",MIN(OFFSET(hist_data!$S$7,0,MATCH($C45,hist_data!$A$6:$A$21,0),T$13)))</f>
        <v>3.1459999999999999</v>
      </c>
      <c r="U45" s="48">
        <f ca="1">IF($E45="", "", AVERAGE( OFFSET( hist_data!$S$7, 0, MATCH($C45, hist_data!$A$6:$A$21, 0), U$13 ) ))</f>
        <v>3.4392166666666668</v>
      </c>
      <c r="V45" s="25">
        <f ca="1">IF($E45="","",MAX(OFFSET(hist_data!$S$7,0,MATCH($C45,hist_data!$A$6:$A$21,0),V$13)))</f>
        <v>3.77</v>
      </c>
      <c r="W45" s="26">
        <f ca="1">IF($E45="","",MIN(OFFSET(hist_data!$S$7,0,MATCH($C45,hist_data!$A$6:$A$21,0),W$13)))</f>
        <v>3.1459999999999999</v>
      </c>
      <c r="X45" s="48">
        <f ca="1">IF($E45="", "", AVERAGE( OFFSET( hist_data!$S$7, 0, MATCH($C45, hist_data!$A$6:$A$21, 0), X$13 ) ))</f>
        <v>3.5806916666666684</v>
      </c>
      <c r="Y45" s="25">
        <f ca="1">IF($E45="","",MAX(OFFSET(hist_data!$S$7,0,MATCH($C45,hist_data!$A$6:$A$21,0),Y$13)))</f>
        <v>3.875</v>
      </c>
      <c r="Z45" s="26">
        <f ca="1">IF($E45="","",MIN(OFFSET(hist_data!$S$7,0,MATCH($C45,hist_data!$A$6:$A$21,0),Z$13)))</f>
        <v>3.1459999999999999</v>
      </c>
      <c r="AA45" s="48">
        <f ca="1">IF($E45="", "", AVERAGE( OFFSET( hist_data!$S$7, 0, MATCH($C45, hist_data!$A$6:$A$21, 0), AA$13 ) ))</f>
        <v>3.8177560000000001</v>
      </c>
      <c r="AB45" s="25">
        <f ca="1">IF($E45="","",MAX(OFFSET(hist_data!$S$7,0,MATCH($C45,hist_data!$A$6:$A$21,0),AB$13)))</f>
        <v>4.7450000000000001</v>
      </c>
      <c r="AC45" s="26">
        <f ca="1">IF($E45="","",MIN(OFFSET(hist_data!$S$7,0,MATCH($C45,hist_data!$A$6:$A$21,0),AC$13)))</f>
        <v>3.1459999999999999</v>
      </c>
    </row>
    <row r="46" spans="1:29" s="20" customFormat="1" ht="12.75">
      <c r="C46" s="88" t="s">
        <v>836</v>
      </c>
      <c r="D46" s="89"/>
      <c r="E46" s="47">
        <f t="shared" ref="E46" si="326">IFERROR( (E$16-E45)*100, "")</f>
        <v>-24.6</v>
      </c>
      <c r="F46" s="30">
        <f t="shared" ref="F46" si="327">IFERROR( (F$16-F45)*100, "")</f>
        <v>-25.899999999999991</v>
      </c>
      <c r="G46" s="30">
        <f t="shared" ref="G46" si="328">IFERROR( (G$16-G45)*100, "")</f>
        <v>-27.300000000000011</v>
      </c>
      <c r="H46" s="30">
        <f t="shared" ref="H46" si="329">IFERROR( (H$16-H45)*100, "")</f>
        <v>-27.100000000000037</v>
      </c>
      <c r="I46" s="30">
        <f t="shared" ref="I46" si="330">IFERROR( (I$16-I45)*100, "")</f>
        <v>-28.699999999999992</v>
      </c>
      <c r="J46" s="30">
        <f t="shared" ref="J46" si="331">IFERROR( (J$16-J45)*100, "")</f>
        <v>-29.700000000000017</v>
      </c>
      <c r="K46" s="30">
        <f t="shared" ref="K46" si="332">IFERROR( (K$16-K45)*100, "")</f>
        <v>-28.500000000000014</v>
      </c>
      <c r="L46" s="30">
        <f t="shared" ref="L46" si="333">IFERROR( (L$16-L45)*100, "")</f>
        <v>-29.099999999999994</v>
      </c>
      <c r="M46" s="30">
        <f t="shared" ref="M46" si="334">IFERROR( (M$16-M45)*100, "")</f>
        <v>-34.100000000000023</v>
      </c>
      <c r="N46" s="30">
        <f t="shared" ref="N46" si="335">IFERROR( (N$16-N45)*100, "")</f>
        <v>-25.099999999999987</v>
      </c>
      <c r="O46" s="30">
        <f t="shared" ref="O46" si="336">IFERROR( (O$16-O45)*100, "")</f>
        <v>-25.70000000000001</v>
      </c>
      <c r="P46" s="31">
        <f t="shared" ref="P46" si="337">IFERROR( (P$16-P45)*100, "")</f>
        <v>-25.999999999999979</v>
      </c>
      <c r="R46" s="47">
        <f t="shared" ref="R46" ca="1" si="338">IFERROR( (R$16-R45)*100, "")</f>
        <v>-27.629999999999953</v>
      </c>
      <c r="S46" s="30">
        <f t="shared" ref="S46" ca="1" si="339">IFERROR( (S$16-S45)*100, "")</f>
        <v>-26.499999999999968</v>
      </c>
      <c r="T46" s="31">
        <f t="shared" ref="T46" ca="1" si="340">IFERROR( (T$16-T45)*100, "")</f>
        <v>-33.099999999999994</v>
      </c>
      <c r="U46" s="47">
        <f t="shared" ref="U46" ca="1" si="341">IFERROR( (U$16-U45)*100, "")</f>
        <v>-29.258333333333432</v>
      </c>
      <c r="V46" s="30">
        <f t="shared" ref="V46" ca="1" si="342">IFERROR( (V$16-V45)*100, "")</f>
        <v>-31.800000000000004</v>
      </c>
      <c r="W46" s="31">
        <f t="shared" ref="W46" ca="1" si="343">IFERROR( (W$16-W45)*100, "")</f>
        <v>-33.099999999999994</v>
      </c>
      <c r="X46" s="47">
        <f t="shared" ref="X46" ca="1" si="344">IFERROR( (X$16-X45)*100, "")</f>
        <v>-31.450000000000244</v>
      </c>
      <c r="Y46" s="30">
        <f t="shared" ref="Y46" ca="1" si="345">IFERROR( (Y$16-Y45)*100, "")</f>
        <v>-33.5</v>
      </c>
      <c r="Z46" s="31">
        <f t="shared" ref="Z46" ca="1" si="346">IFERROR( (Z$16-Z45)*100, "")</f>
        <v>-33.099999999999994</v>
      </c>
      <c r="AA46" s="47">
        <f t="shared" ref="AA46" ca="1" si="347">IFERROR( (AA$16-AA45)*100, "")</f>
        <v>-36.680400000000056</v>
      </c>
      <c r="AB46" s="30">
        <f t="shared" ref="AB46" ca="1" si="348">IFERROR( (AB$16-AB45)*100, "")</f>
        <v>-60.500000000000043</v>
      </c>
      <c r="AC46" s="31">
        <f t="shared" ref="AC46" ca="1" si="349">IFERROR( (AC$16-AC45)*100, "")</f>
        <v>-33.099999999999994</v>
      </c>
    </row>
    <row r="47" spans="1:29" s="20" customFormat="1" ht="12.75">
      <c r="A47" s="20">
        <v>16</v>
      </c>
      <c r="C47" s="24" t="str" cm="1">
        <f t="array" ref="C47">INDEX(hist_data!$A$6:$A$21, Hist!$A47)</f>
        <v>50Y</v>
      </c>
      <c r="D47" s="43"/>
      <c r="E47" s="48" t="str" cm="1">
        <f t="array" ref="E47">IF( INDEX(hist_data!$S$6:$AI$256, MATCH(E$13, hist_data!$S$6:$S$256, 0), MATCH($C47, hist_data!$A$6:$A$21, 0)+1)=0, "", INDEX(hist_data!$S$6:$AI$256, MATCH(E$13, hist_data!$S$6:$S$256, 0), MATCH($C47, hist_data!$A$6:$A$21, 0)+1) )</f>
        <v/>
      </c>
      <c r="F47" s="25" t="str" cm="1">
        <f t="array" ref="F47">IF( INDEX(hist_data!$S$6:$AI$256, MATCH(F$13, hist_data!$S$6:$S$256, 0), MATCH($C47, hist_data!$A$6:$A$21, 0)+1)=0, "", INDEX(hist_data!$S$6:$AI$256, MATCH(F$13, hist_data!$S$6:$S$256, 0), MATCH($C47, hist_data!$A$6:$A$21, 0)+1) )</f>
        <v/>
      </c>
      <c r="G47" s="25" t="str" cm="1">
        <f t="array" ref="G47">IF( INDEX(hist_data!$S$6:$AI$256, MATCH(G$13, hist_data!$S$6:$S$256, 0), MATCH($C47, hist_data!$A$6:$A$21, 0)+1)=0, "", INDEX(hist_data!$S$6:$AI$256, MATCH(G$13, hist_data!$S$6:$S$256, 0), MATCH($C47, hist_data!$A$6:$A$21, 0)+1) )</f>
        <v/>
      </c>
      <c r="H47" s="25" t="str" cm="1">
        <f t="array" ref="H47">IF( INDEX(hist_data!$S$6:$AI$256, MATCH(H$13, hist_data!$S$6:$S$256, 0), MATCH($C47, hist_data!$A$6:$A$21, 0)+1)=0, "", INDEX(hist_data!$S$6:$AI$256, MATCH(H$13, hist_data!$S$6:$S$256, 0), MATCH($C47, hist_data!$A$6:$A$21, 0)+1) )</f>
        <v/>
      </c>
      <c r="I47" s="25" t="str" cm="1">
        <f t="array" ref="I47">IF( INDEX(hist_data!$S$6:$AI$256, MATCH(I$13, hist_data!$S$6:$S$256, 0), MATCH($C47, hist_data!$A$6:$A$21, 0)+1)=0, "", INDEX(hist_data!$S$6:$AI$256, MATCH(I$13, hist_data!$S$6:$S$256, 0), MATCH($C47, hist_data!$A$6:$A$21, 0)+1) )</f>
        <v/>
      </c>
      <c r="J47" s="25" t="str" cm="1">
        <f t="array" ref="J47">IF( INDEX(hist_data!$S$6:$AI$256, MATCH(J$13, hist_data!$S$6:$S$256, 0), MATCH($C47, hist_data!$A$6:$A$21, 0)+1)=0, "", INDEX(hist_data!$S$6:$AI$256, MATCH(J$13, hist_data!$S$6:$S$256, 0), MATCH($C47, hist_data!$A$6:$A$21, 0)+1) )</f>
        <v/>
      </c>
      <c r="K47" s="25" t="str" cm="1">
        <f t="array" ref="K47">IF( INDEX(hist_data!$S$6:$AI$256, MATCH(K$13, hist_data!$S$6:$S$256, 0), MATCH($C47, hist_data!$A$6:$A$21, 0)+1)=0, "", INDEX(hist_data!$S$6:$AI$256, MATCH(K$13, hist_data!$S$6:$S$256, 0), MATCH($C47, hist_data!$A$6:$A$21, 0)+1) )</f>
        <v/>
      </c>
      <c r="L47" s="25" t="str" cm="1">
        <f t="array" ref="L47">IF( INDEX(hist_data!$S$6:$AI$256, MATCH(L$13, hist_data!$S$6:$S$256, 0), MATCH($C47, hist_data!$A$6:$A$21, 0)+1)=0, "", INDEX(hist_data!$S$6:$AI$256, MATCH(L$13, hist_data!$S$6:$S$256, 0), MATCH($C47, hist_data!$A$6:$A$21, 0)+1) )</f>
        <v/>
      </c>
      <c r="M47" s="25" t="str" cm="1">
        <f t="array" ref="M47">IF( INDEX(hist_data!$S$6:$AI$256, MATCH(M$13, hist_data!$S$6:$S$256, 0), MATCH($C47, hist_data!$A$6:$A$21, 0)+1)=0, "", INDEX(hist_data!$S$6:$AI$256, MATCH(M$13, hist_data!$S$6:$S$256, 0), MATCH($C47, hist_data!$A$6:$A$21, 0)+1) )</f>
        <v/>
      </c>
      <c r="N47" s="25" t="str" cm="1">
        <f t="array" ref="N47">IF( INDEX(hist_data!$S$6:$AI$256, MATCH(N$13, hist_data!$S$6:$S$256, 0), MATCH($C47, hist_data!$A$6:$A$21, 0)+1)=0, "", INDEX(hist_data!$S$6:$AI$256, MATCH(N$13, hist_data!$S$6:$S$256, 0), MATCH($C47, hist_data!$A$6:$A$21, 0)+1) )</f>
        <v/>
      </c>
      <c r="O47" s="25" t="str" cm="1">
        <f t="array" ref="O47">IF( INDEX(hist_data!$S$6:$AI$256, MATCH(O$13, hist_data!$S$6:$S$256, 0), MATCH($C47, hist_data!$A$6:$A$21, 0)+1)=0, "", INDEX(hist_data!$S$6:$AI$256, MATCH(O$13, hist_data!$S$6:$S$256, 0), MATCH($C47, hist_data!$A$6:$A$21, 0)+1) )</f>
        <v/>
      </c>
      <c r="P47" s="26" t="str" cm="1">
        <f t="array" ref="P47">IF( INDEX(hist_data!$S$6:$AI$256, MATCH(P$13, hist_data!$S$6:$S$256, 0), MATCH($C47, hist_data!$A$6:$A$21, 0)+1)=0, "", INDEX(hist_data!$S$6:$AI$256, MATCH(P$13, hist_data!$S$6:$S$256, 0), MATCH($C47, hist_data!$A$6:$A$21, 0)+1) )</f>
        <v/>
      </c>
      <c r="R47" s="48" t="str">
        <f ca="1">IF($E47="", "", AVERAGE( OFFSET( hist_data!$S$7, 0, MATCH($C47, hist_data!$A$6:$A$21, 0), R$13 ) ))</f>
        <v/>
      </c>
      <c r="S47" s="25" t="str">
        <f ca="1">IF($E47="","",MAX(OFFSET(hist_data!$S$7,0,MATCH($C47,hist_data!$A$6:$A$21,0),S$13)))</f>
        <v/>
      </c>
      <c r="T47" s="26" t="str">
        <f ca="1">IF($E47="","",MIN(OFFSET(hist_data!$S$7,0,MATCH($C47,hist_data!$A$6:$A$21,0),T$13)))</f>
        <v/>
      </c>
      <c r="U47" s="48" t="str">
        <f ca="1">IF($E47="", "", AVERAGE( OFFSET( hist_data!$S$7, 0, MATCH($C47, hist_data!$A$6:$A$21, 0), U$13 ) ))</f>
        <v/>
      </c>
      <c r="V47" s="25" t="str">
        <f ca="1">IF($E47="","",MAX(OFFSET(hist_data!$S$7,0,MATCH($C47,hist_data!$A$6:$A$21,0),V$13)))</f>
        <v/>
      </c>
      <c r="W47" s="26" t="str">
        <f ca="1">IF($E47="","",MIN(OFFSET(hist_data!$S$7,0,MATCH($C47,hist_data!$A$6:$A$21,0),W$13)))</f>
        <v/>
      </c>
      <c r="X47" s="48" t="str">
        <f ca="1">IF($E47="", "", AVERAGE( OFFSET( hist_data!$S$7, 0, MATCH($C47, hist_data!$A$6:$A$21, 0), X$13 ) ))</f>
        <v/>
      </c>
      <c r="Y47" s="25" t="str">
        <f ca="1">IF($E47="","",MAX(OFFSET(hist_data!$S$7,0,MATCH($C47,hist_data!$A$6:$A$21,0),Y$13)))</f>
        <v/>
      </c>
      <c r="Z47" s="26" t="str">
        <f ca="1">IF($E47="","",MIN(OFFSET(hist_data!$S$7,0,MATCH($C47,hist_data!$A$6:$A$21,0),Z$13)))</f>
        <v/>
      </c>
      <c r="AA47" s="48" t="str">
        <f ca="1">IF($E47="", "", AVERAGE( OFFSET( hist_data!$S$7, 0, MATCH($C47, hist_data!$A$6:$A$21, 0), AA$13 ) ))</f>
        <v/>
      </c>
      <c r="AB47" s="25" t="str">
        <f ca="1">IF($E47="","",MAX(OFFSET(hist_data!$S$7,0,MATCH($C47,hist_data!$A$6:$A$21,0),AB$13)))</f>
        <v/>
      </c>
      <c r="AC47" s="26" t="str">
        <f ca="1">IF($E47="","",MIN(OFFSET(hist_data!$S$7,0,MATCH($C47,hist_data!$A$6:$A$21,0),AC$13)))</f>
        <v/>
      </c>
    </row>
    <row r="48" spans="1:29" s="20" customFormat="1" ht="13.5" customHeight="1" thickBot="1">
      <c r="C48" s="86" t="s">
        <v>836</v>
      </c>
      <c r="D48" s="87"/>
      <c r="E48" s="49" t="str">
        <f t="shared" ref="E48:P48" si="350">IFERROR( (E$16-E47)*100, "")</f>
        <v/>
      </c>
      <c r="F48" s="32" t="str">
        <f t="shared" si="350"/>
        <v/>
      </c>
      <c r="G48" s="32" t="str">
        <f t="shared" si="350"/>
        <v/>
      </c>
      <c r="H48" s="32" t="str">
        <f t="shared" si="350"/>
        <v/>
      </c>
      <c r="I48" s="32" t="str">
        <f t="shared" si="350"/>
        <v/>
      </c>
      <c r="J48" s="32" t="str">
        <f t="shared" si="350"/>
        <v/>
      </c>
      <c r="K48" s="32" t="str">
        <f t="shared" si="350"/>
        <v/>
      </c>
      <c r="L48" s="32" t="str">
        <f t="shared" si="350"/>
        <v/>
      </c>
      <c r="M48" s="32" t="str">
        <f t="shared" si="350"/>
        <v/>
      </c>
      <c r="N48" s="32" t="str">
        <f t="shared" si="350"/>
        <v/>
      </c>
      <c r="O48" s="32" t="str">
        <f t="shared" si="350"/>
        <v/>
      </c>
      <c r="P48" s="33" t="str">
        <f t="shared" si="350"/>
        <v/>
      </c>
      <c r="R48" s="49" t="str">
        <f t="shared" ref="R48" ca="1" si="351">IFERROR( (R$16-R47)*100, "")</f>
        <v/>
      </c>
      <c r="S48" s="32" t="str">
        <f t="shared" ref="S48" ca="1" si="352">IFERROR( (S$16-S47)*100, "")</f>
        <v/>
      </c>
      <c r="T48" s="33" t="str">
        <f t="shared" ref="T48" ca="1" si="353">IFERROR( (T$16-T47)*100, "")</f>
        <v/>
      </c>
      <c r="U48" s="49" t="str">
        <f t="shared" ref="U48" ca="1" si="354">IFERROR( (U$16-U47)*100, "")</f>
        <v/>
      </c>
      <c r="V48" s="32" t="str">
        <f t="shared" ref="V48" ca="1" si="355">IFERROR( (V$16-V47)*100, "")</f>
        <v/>
      </c>
      <c r="W48" s="33" t="str">
        <f t="shared" ref="W48" ca="1" si="356">IFERROR( (W$16-W47)*100, "")</f>
        <v/>
      </c>
      <c r="X48" s="49" t="str">
        <f t="shared" ref="X48" ca="1" si="357">IFERROR( (X$16-X47)*100, "")</f>
        <v/>
      </c>
      <c r="Y48" s="32" t="str">
        <f t="shared" ref="Y48" ca="1" si="358">IFERROR( (Y$16-Y47)*100, "")</f>
        <v/>
      </c>
      <c r="Z48" s="33" t="str">
        <f t="shared" ref="Z48" ca="1" si="359">IFERROR( (Z$16-Z47)*100, "")</f>
        <v/>
      </c>
      <c r="AA48" s="49" t="str">
        <f t="shared" ref="AA48" ca="1" si="360">IFERROR( (AA$16-AA47)*100, "")</f>
        <v/>
      </c>
      <c r="AB48" s="32" t="str">
        <f t="shared" ref="AB48" ca="1" si="361">IFERROR( (AB$16-AB47)*100, "")</f>
        <v/>
      </c>
      <c r="AC48" s="33" t="str">
        <f t="shared" ref="AC48" ca="1" si="362">IFERROR( (AC$16-AC47)*100, "")</f>
        <v/>
      </c>
    </row>
    <row r="49" spans="1:29" ht="11.25" customHeight="1"/>
    <row r="50" spans="1:29" ht="6" customHeight="1"/>
    <row r="51" spans="1:29"/>
    <row r="52" spans="1:29">
      <c r="J52" s="83" t="str">
        <f>IF( hist_data!$AJ$4="#N/A", " 없는 그룹입니다. 다른 채권이나 중개사를 선택하세요", "" )</f>
        <v/>
      </c>
      <c r="K52" s="84"/>
      <c r="L52" s="84"/>
      <c r="M52" s="84"/>
      <c r="N52" s="84"/>
      <c r="O52" s="85"/>
    </row>
    <row r="53" spans="1:29"/>
    <row r="54" spans="1:29" ht="15.75" thickBot="1"/>
    <row r="55" spans="1:29" s="20" customFormat="1" ht="13.5" customHeight="1">
      <c r="C55" s="90" t="s">
        <v>846</v>
      </c>
      <c r="D55" s="91"/>
      <c r="E55" s="35" t="str">
        <f>TEXT(E$13, "YYYY")</f>
        <v>2024</v>
      </c>
      <c r="F55" s="36" t="str">
        <f t="shared" ref="F55:P55" si="363">TEXT(F$13, "YYYY")</f>
        <v>2024</v>
      </c>
      <c r="G55" s="36" t="str">
        <f t="shared" si="363"/>
        <v>2024</v>
      </c>
      <c r="H55" s="36" t="str">
        <f t="shared" si="363"/>
        <v>2024</v>
      </c>
      <c r="I55" s="36" t="str">
        <f t="shared" si="363"/>
        <v>2024</v>
      </c>
      <c r="J55" s="36" t="str">
        <f t="shared" si="363"/>
        <v>2024</v>
      </c>
      <c r="K55" s="36" t="str">
        <f t="shared" si="363"/>
        <v>2024</v>
      </c>
      <c r="L55" s="36" t="str">
        <f t="shared" si="363"/>
        <v>2024</v>
      </c>
      <c r="M55" s="36" t="str">
        <f t="shared" si="363"/>
        <v>2024</v>
      </c>
      <c r="N55" s="36" t="str">
        <f t="shared" si="363"/>
        <v>2024</v>
      </c>
      <c r="O55" s="36" t="str">
        <f t="shared" si="363"/>
        <v>2024</v>
      </c>
      <c r="P55" s="37" t="str">
        <f t="shared" si="363"/>
        <v>2024</v>
      </c>
      <c r="R55" s="94" t="s">
        <v>839</v>
      </c>
      <c r="S55" s="95"/>
      <c r="T55" s="96"/>
      <c r="U55" s="94" t="s">
        <v>840</v>
      </c>
      <c r="V55" s="95"/>
      <c r="W55" s="96"/>
      <c r="X55" s="94" t="s">
        <v>842</v>
      </c>
      <c r="Y55" s="95"/>
      <c r="Z55" s="96"/>
      <c r="AA55" s="94" t="s">
        <v>841</v>
      </c>
      <c r="AB55" s="95"/>
      <c r="AC55" s="96"/>
    </row>
    <row r="56" spans="1:29" s="20" customFormat="1" ht="13.5" customHeight="1" thickBot="1">
      <c r="C56" s="92"/>
      <c r="D56" s="93"/>
      <c r="E56" s="38" t="str">
        <f>TEXT(E$13, "MM-DD")</f>
        <v>08-16</v>
      </c>
      <c r="F56" s="39" t="str">
        <f t="shared" ref="F56:P56" si="364">TEXT(F$13, "MM-DD")</f>
        <v>08-14</v>
      </c>
      <c r="G56" s="39" t="str">
        <f t="shared" si="364"/>
        <v>08-13</v>
      </c>
      <c r="H56" s="39" t="str">
        <f t="shared" si="364"/>
        <v>08-12</v>
      </c>
      <c r="I56" s="39" t="str">
        <f t="shared" si="364"/>
        <v>08-09</v>
      </c>
      <c r="J56" s="39" t="str">
        <f t="shared" si="364"/>
        <v>08-08</v>
      </c>
      <c r="K56" s="39" t="str">
        <f t="shared" si="364"/>
        <v>08-07</v>
      </c>
      <c r="L56" s="39" t="str">
        <f t="shared" si="364"/>
        <v>08-06</v>
      </c>
      <c r="M56" s="39" t="str">
        <f t="shared" si="364"/>
        <v>08-05</v>
      </c>
      <c r="N56" s="39" t="str">
        <f t="shared" si="364"/>
        <v>08-02</v>
      </c>
      <c r="O56" s="39" t="str">
        <f t="shared" si="364"/>
        <v>08-01</v>
      </c>
      <c r="P56" s="40" t="str">
        <f t="shared" si="364"/>
        <v>07-31</v>
      </c>
      <c r="Q56" s="27"/>
      <c r="R56" s="38" t="s">
        <v>843</v>
      </c>
      <c r="S56" s="39" t="s">
        <v>845</v>
      </c>
      <c r="T56" s="40" t="s">
        <v>844</v>
      </c>
      <c r="U56" s="38" t="s">
        <v>843</v>
      </c>
      <c r="V56" s="39" t="s">
        <v>845</v>
      </c>
      <c r="W56" s="40" t="s">
        <v>844</v>
      </c>
      <c r="X56" s="38" t="s">
        <v>843</v>
      </c>
      <c r="Y56" s="39" t="s">
        <v>845</v>
      </c>
      <c r="Z56" s="40" t="s">
        <v>844</v>
      </c>
      <c r="AA56" s="38" t="s">
        <v>843</v>
      </c>
      <c r="AB56" s="39" t="s">
        <v>845</v>
      </c>
      <c r="AC56" s="40" t="s">
        <v>844</v>
      </c>
    </row>
    <row r="57" spans="1:29" s="20" customFormat="1" ht="13.5" thickBot="1">
      <c r="C57" s="50" t="s">
        <v>838</v>
      </c>
      <c r="D57" s="44" t="s">
        <v>837</v>
      </c>
      <c r="E57" s="45" cm="1">
        <f t="array" ref="E57">IF( INDEX( hist_data!$B$6:$R$256, MATCH(E$13, hist_data!$B$6:$B$256, 0), hist_data!$D$3+1)=0,"", INDEX( hist_data!$B$6:$R$256, MATCH(E$13, hist_data!$B$6:$B$256, 0), hist_data!$D$3+1))</f>
        <v>2.9220000000000002</v>
      </c>
      <c r="F57" s="28" cm="1">
        <f t="array" ref="F57">IF( INDEX( hist_data!$B$6:$R$256, MATCH(F$13, hist_data!$B$6:$B$256, 0), hist_data!$D$3+1)=0,"", INDEX( hist_data!$B$6:$R$256, MATCH(F$13, hist_data!$B$6:$B$256, 0), hist_data!$D$3+1))</f>
        <v>2.887</v>
      </c>
      <c r="G57" s="28" cm="1">
        <f t="array" ref="G57">IF( INDEX( hist_data!$B$6:$R$256, MATCH(G$13, hist_data!$B$6:$B$256, 0), hist_data!$D$3+1)=0,"", INDEX( hist_data!$B$6:$R$256, MATCH(G$13, hist_data!$B$6:$B$256, 0), hist_data!$D$3+1))</f>
        <v>2.915</v>
      </c>
      <c r="H57" s="28" cm="1">
        <f t="array" ref="H57">IF( INDEX( hist_data!$B$6:$R$256, MATCH(H$13, hist_data!$B$6:$B$256, 0), hist_data!$D$3+1)=0,"", INDEX( hist_data!$B$6:$R$256, MATCH(H$13, hist_data!$B$6:$B$256, 0), hist_data!$D$3+1))</f>
        <v>2.9449999999999998</v>
      </c>
      <c r="I57" s="28" cm="1">
        <f t="array" ref="I57">IF( INDEX( hist_data!$B$6:$R$256, MATCH(I$13, hist_data!$B$6:$B$256, 0), hist_data!$D$3+1)=0,"", INDEX( hist_data!$B$6:$R$256, MATCH(I$13, hist_data!$B$6:$B$256, 0), hist_data!$D$3+1))</f>
        <v>2.94</v>
      </c>
      <c r="J57" s="28" cm="1">
        <f t="array" ref="J57">IF( INDEX( hist_data!$B$6:$R$256, MATCH(J$13, hist_data!$B$6:$B$256, 0), hist_data!$D$3+1)=0,"", INDEX( hist_data!$B$6:$R$256, MATCH(J$13, hist_data!$B$6:$B$256, 0), hist_data!$D$3+1))</f>
        <v>2.919</v>
      </c>
      <c r="K57" s="28" cm="1">
        <f t="array" ref="K57">IF( INDEX( hist_data!$B$6:$R$256, MATCH(K$13, hist_data!$B$6:$B$256, 0), hist_data!$D$3+1)=0,"", INDEX( hist_data!$B$6:$R$256, MATCH(K$13, hist_data!$B$6:$B$256, 0), hist_data!$D$3+1))</f>
        <v>2.931</v>
      </c>
      <c r="L57" s="28" cm="1">
        <f t="array" ref="L57">IF( INDEX( hist_data!$B$6:$R$256, MATCH(L$13, hist_data!$B$6:$B$256, 0), hist_data!$D$3+1)=0,"", INDEX( hist_data!$B$6:$R$256, MATCH(L$13, hist_data!$B$6:$B$256, 0), hist_data!$D$3+1))</f>
        <v>2.94</v>
      </c>
      <c r="M57" s="28" cm="1">
        <f t="array" ref="M57">IF( INDEX( hist_data!$B$6:$R$256, MATCH(M$13, hist_data!$B$6:$B$256, 0), hist_data!$D$3+1)=0,"", INDEX( hist_data!$B$6:$R$256, MATCH(M$13, hist_data!$B$6:$B$256, 0), hist_data!$D$3+1))</f>
        <v>2.8149999999999999</v>
      </c>
      <c r="N57" s="28" cm="1">
        <f t="array" ref="N57">IF( INDEX( hist_data!$B$6:$R$256, MATCH(N$13, hist_data!$B$6:$B$256, 0), hist_data!$D$3+1)=0,"", INDEX( hist_data!$B$6:$R$256, MATCH(N$13, hist_data!$B$6:$B$256, 0), hist_data!$D$3+1))</f>
        <v>2.9359999999999999</v>
      </c>
      <c r="O57" s="28" cm="1">
        <f t="array" ref="O57">IF( INDEX( hist_data!$B$6:$R$256, MATCH(O$13, hist_data!$B$6:$B$256, 0), hist_data!$D$3+1)=0,"", INDEX( hist_data!$B$6:$R$256, MATCH(O$13, hist_data!$B$6:$B$256, 0), hist_data!$D$3+1))</f>
        <v>2.9750000000000001</v>
      </c>
      <c r="P57" s="29" cm="1">
        <f t="array" ref="P57">IF( INDEX( hist_data!$B$6:$R$256, MATCH(P$13, hist_data!$B$6:$B$256, 0), hist_data!$D$3+1)=0,"", INDEX( hist_data!$B$6:$R$256, MATCH(P$13, hist_data!$B$6:$B$256, 0), hist_data!$D$3+1))</f>
        <v>3</v>
      </c>
      <c r="R57" s="45">
        <f ca="1">IF( $E57="", "", AVERAGE( OFFSET( hist_data!$B$7, 0, hist_data!$D$3, R$13) ) )</f>
        <v>2.970050000000001</v>
      </c>
      <c r="S57" s="28">
        <f ca="1">IF( $E57="", "", MAX( OFFSET( hist_data!$B$7, 0, hist_data!$D$3, S$13) ) )</f>
        <v>3.0870000000000002</v>
      </c>
      <c r="T57" s="29">
        <f ca="1">IF( $E57="", "", MIN( OFFSET( hist_data!$B$7, 0, hist_data!$D$3, T$13) ) )</f>
        <v>2.8149999999999999</v>
      </c>
      <c r="U57" s="45">
        <f ca="1">IF( $E57="", "", AVERAGE( OFFSET( hist_data!$B$7, 0, hist_data!$D$3, U$13) ) )</f>
        <v>3.1466333333333325</v>
      </c>
      <c r="V57" s="28">
        <f ca="1">IF( $E57="", "", MAX( OFFSET( hist_data!$B$7, 0, hist_data!$D$3, V$13) ) )</f>
        <v>3.452</v>
      </c>
      <c r="W57" s="29">
        <f ca="1">IF( $E57="", "", MIN( OFFSET( hist_data!$B$7, 0, hist_data!$D$3, W$13) ) )</f>
        <v>2.8149999999999999</v>
      </c>
      <c r="X57" s="45">
        <f ca="1">IF( $E57="", "", AVERAGE( OFFSET( hist_data!$B$7, 0, hist_data!$D$3, X$13) ) )</f>
        <v>3.2661916666666659</v>
      </c>
      <c r="Y57" s="28">
        <f ca="1">IF( $E57="", "", MAX( OFFSET( hist_data!$B$7, 0, hist_data!$D$3, Y$13) ) )</f>
        <v>3.54</v>
      </c>
      <c r="Z57" s="29">
        <f ca="1">IF( $E57="", "", MIN( OFFSET( hist_data!$B$7, 0, hist_data!$D$3, Z$13) ) )</f>
        <v>2.8149999999999999</v>
      </c>
      <c r="AA57" s="45">
        <f ca="1">IF( $E57="", "", AVERAGE( OFFSET( hist_data!$B$7, 0, hist_data!$D$3, AA$13) ) )</f>
        <v>3.4509519999999996</v>
      </c>
      <c r="AB57" s="28">
        <f ca="1">IF( $E57="", "", MAX( OFFSET( hist_data!$B$7, 0, hist_data!$D$3, AB$13) ) )</f>
        <v>4.1399999999999997</v>
      </c>
      <c r="AC57" s="29">
        <f ca="1">IF( $E57="", "", MIN( OFFSET( hist_data!$B$7, 0, hist_data!$D$3, AC$13) ) )</f>
        <v>2.8149999999999999</v>
      </c>
    </row>
    <row r="58" spans="1:29" s="20" customFormat="1" ht="12.75">
      <c r="A58" s="20">
        <v>1</v>
      </c>
      <c r="C58" s="21" t="str" cm="1">
        <f t="array" ref="C58">INDEX(hist_data!$A$6:$A$21, Hist!$A58)</f>
        <v>03M</v>
      </c>
      <c r="D58" s="42"/>
      <c r="E58" s="46" cm="1">
        <f t="array" ref="E58">IF( INDEX(hist_data!$AJ$6:$AZ$256, MATCH(E$13, hist_data!$AJ$6:$AJ$256, 0), MATCH($C58, hist_data!$A$6:$A$21, 0)+1)=0, "", INDEX(hist_data!$AJ$6:$AZ$256, MATCH(E$13, hist_data!$AJ$6:$AJ$256, 0), MATCH($C58, hist_data!$A$6:$A$21, 0)+1) )</f>
        <v>3.2709999999999999</v>
      </c>
      <c r="F58" s="22" cm="1">
        <f t="array" ref="F58">IF( INDEX(hist_data!$AJ$6:$AZ$256, MATCH(F$13, hist_data!$AJ$6:$AJ$256, 0), MATCH($C58, hist_data!$A$6:$A$21, 0)+1)=0, "", INDEX(hist_data!$AJ$6:$AZ$256, MATCH(F$13, hist_data!$AJ$6:$AJ$256, 0), MATCH($C58, hist_data!$A$6:$A$21, 0)+1) )</f>
        <v>3.2709999999999999</v>
      </c>
      <c r="G58" s="22" cm="1">
        <f t="array" ref="G58">IF( INDEX(hist_data!$AJ$6:$AZ$256, MATCH(G$13, hist_data!$AJ$6:$AJ$256, 0), MATCH($C58, hist_data!$A$6:$A$21, 0)+1)=0, "", INDEX(hist_data!$AJ$6:$AZ$256, MATCH(G$13, hist_data!$AJ$6:$AJ$256, 0), MATCH($C58, hist_data!$A$6:$A$21, 0)+1) )</f>
        <v>3.28</v>
      </c>
      <c r="H58" s="22" cm="1">
        <f t="array" ref="H58">IF( INDEX(hist_data!$AJ$6:$AZ$256, MATCH(H$13, hist_data!$AJ$6:$AJ$256, 0), MATCH($C58, hist_data!$A$6:$A$21, 0)+1)=0, "", INDEX(hist_data!$AJ$6:$AZ$256, MATCH(H$13, hist_data!$AJ$6:$AJ$256, 0), MATCH($C58, hist_data!$A$6:$A$21, 0)+1) )</f>
        <v>3.29</v>
      </c>
      <c r="I58" s="22" cm="1">
        <f t="array" ref="I58">IF( INDEX(hist_data!$AJ$6:$AZ$256, MATCH(I$13, hist_data!$AJ$6:$AJ$256, 0), MATCH($C58, hist_data!$A$6:$A$21, 0)+1)=0, "", INDEX(hist_data!$AJ$6:$AZ$256, MATCH(I$13, hist_data!$AJ$6:$AJ$256, 0), MATCH($C58, hist_data!$A$6:$A$21, 0)+1) )</f>
        <v>3.2930000000000001</v>
      </c>
      <c r="J58" s="22" cm="1">
        <f t="array" ref="J58">IF( INDEX(hist_data!$AJ$6:$AZ$256, MATCH(J$13, hist_data!$AJ$6:$AJ$256, 0), MATCH($C58, hist_data!$A$6:$A$21, 0)+1)=0, "", INDEX(hist_data!$AJ$6:$AZ$256, MATCH(J$13, hist_data!$AJ$6:$AJ$256, 0), MATCH($C58, hist_data!$A$6:$A$21, 0)+1) )</f>
        <v>3.2930000000000001</v>
      </c>
      <c r="K58" s="22" cm="1">
        <f t="array" ref="K58">IF( INDEX(hist_data!$AJ$6:$AZ$256, MATCH(K$13, hist_data!$AJ$6:$AJ$256, 0), MATCH($C58, hist_data!$A$6:$A$21, 0)+1)=0, "", INDEX(hist_data!$AJ$6:$AZ$256, MATCH(K$13, hist_data!$AJ$6:$AJ$256, 0), MATCH($C58, hist_data!$A$6:$A$21, 0)+1) )</f>
        <v>3.2949999999999999</v>
      </c>
      <c r="L58" s="22" cm="1">
        <f t="array" ref="L58">IF( INDEX(hist_data!$AJ$6:$AZ$256, MATCH(L$13, hist_data!$AJ$6:$AJ$256, 0), MATCH($C58, hist_data!$A$6:$A$21, 0)+1)=0, "", INDEX(hist_data!$AJ$6:$AZ$256, MATCH(L$13, hist_data!$AJ$6:$AJ$256, 0), MATCH($C58, hist_data!$A$6:$A$21, 0)+1) )</f>
        <v>3.298</v>
      </c>
      <c r="M58" s="22" cm="1">
        <f t="array" ref="M58">IF( INDEX(hist_data!$AJ$6:$AZ$256, MATCH(M$13, hist_data!$AJ$6:$AJ$256, 0), MATCH($C58, hist_data!$A$6:$A$21, 0)+1)=0, "", INDEX(hist_data!$AJ$6:$AZ$256, MATCH(M$13, hist_data!$AJ$6:$AJ$256, 0), MATCH($C58, hist_data!$A$6:$A$21, 0)+1) )</f>
        <v>3.2930000000000001</v>
      </c>
      <c r="N58" s="22" cm="1">
        <f t="array" ref="N58">IF( INDEX(hist_data!$AJ$6:$AZ$256, MATCH(N$13, hist_data!$AJ$6:$AJ$256, 0), MATCH($C58, hist_data!$A$6:$A$21, 0)+1)=0, "", INDEX(hist_data!$AJ$6:$AZ$256, MATCH(N$13, hist_data!$AJ$6:$AJ$256, 0), MATCH($C58, hist_data!$A$6:$A$21, 0)+1) )</f>
        <v>3.34</v>
      </c>
      <c r="O58" s="22" cm="1">
        <f t="array" ref="O58">IF( INDEX(hist_data!$AJ$6:$AZ$256, MATCH(O$13, hist_data!$AJ$6:$AJ$256, 0), MATCH($C58, hist_data!$A$6:$A$21, 0)+1)=0, "", INDEX(hist_data!$AJ$6:$AZ$256, MATCH(O$13, hist_data!$AJ$6:$AJ$256, 0), MATCH($C58, hist_data!$A$6:$A$21, 0)+1) )</f>
        <v>3.343</v>
      </c>
      <c r="P58" s="23" cm="1">
        <f t="array" ref="P58">IF( INDEX(hist_data!$AJ$6:$AZ$256, MATCH(P$13, hist_data!$AJ$6:$AJ$256, 0), MATCH($C58, hist_data!$A$6:$A$21, 0)+1)=0, "", INDEX(hist_data!$AJ$6:$AZ$256, MATCH(P$13, hist_data!$AJ$6:$AJ$256, 0), MATCH($C58, hist_data!$A$6:$A$21, 0)+1) )</f>
        <v>3.343</v>
      </c>
      <c r="R58" s="46">
        <f ca="1">IF($E58="", "", AVERAGE( OFFSET( hist_data!$AJ$7, 0, MATCH($C58, hist_data!$A$6:$A$21, 0), R$13 ) ))</f>
        <v>3.3210000000000002</v>
      </c>
      <c r="S58" s="22">
        <f ca="1">IF($E58="","",MAX(OFFSET(hist_data!$AJ$7,0,MATCH($C58,hist_data!$A$6:$A$21,0),S$13)))</f>
        <v>3.36</v>
      </c>
      <c r="T58" s="23">
        <f ca="1">IF($E58="","",MIN(OFFSET(hist_data!$AJ$7,0,MATCH($C58,hist_data!$A$6:$A$21,0),T$13)))</f>
        <v>3.2709999999999999</v>
      </c>
      <c r="U58" s="46">
        <f ca="1">IF($E58="", "", AVERAGE( OFFSET( hist_data!$AJ$7, 0, MATCH($C58, hist_data!$A$6:$A$21, 0), U$13 ) ))</f>
        <v>3.3884166666666675</v>
      </c>
      <c r="V58" s="22">
        <f ca="1">IF($E58="","",MAX(OFFSET(hist_data!$AJ$7,0,MATCH($C58,hist_data!$A$6:$A$21,0),V$13)))</f>
        <v>3.45</v>
      </c>
      <c r="W58" s="23">
        <f ca="1">IF($E58="","",MIN(OFFSET(hist_data!$AJ$7,0,MATCH($C58,hist_data!$A$6:$A$21,0),W$13)))</f>
        <v>3.2709999999999999</v>
      </c>
      <c r="X58" s="46">
        <f ca="1">IF($E58="", "", AVERAGE( OFFSET( hist_data!$AJ$7, 0, MATCH($C58, hist_data!$A$6:$A$21, 0), X$13 ) ))</f>
        <v>3.4225916666666678</v>
      </c>
      <c r="Y58" s="22">
        <f ca="1">IF($E58="","",MAX(OFFSET(hist_data!$AJ$7,0,MATCH($C58,hist_data!$A$6:$A$21,0),Y$13)))</f>
        <v>3.4750000000000001</v>
      </c>
      <c r="Z58" s="23">
        <f ca="1">IF($E58="","",MIN(OFFSET(hist_data!$AJ$7,0,MATCH($C58,hist_data!$A$6:$A$21,0),Z$13)))</f>
        <v>3.2709999999999999</v>
      </c>
      <c r="AA58" s="46">
        <f ca="1">IF($E58="", "", AVERAGE( OFFSET( hist_data!$AJ$7, 0, MATCH($C58, hist_data!$A$6:$A$21, 0), AA$13 ) ))</f>
        <v>3.4841400000000018</v>
      </c>
      <c r="AB58" s="22">
        <f ca="1">IF($E58="","",MAX(OFFSET(hist_data!$AJ$7,0,MATCH($C58,hist_data!$A$6:$A$21,0),AB$13)))</f>
        <v>3.67</v>
      </c>
      <c r="AC58" s="23">
        <f ca="1">IF($E58="","",MIN(OFFSET(hist_data!$AJ$7,0,MATCH($C58,hist_data!$A$6:$A$21,0),AC$13)))</f>
        <v>3.2709999999999999</v>
      </c>
    </row>
    <row r="59" spans="1:29" s="20" customFormat="1" ht="12.75">
      <c r="C59" s="88" t="s">
        <v>836</v>
      </c>
      <c r="D59" s="89"/>
      <c r="E59" s="47">
        <f>IFERROR( (E$57-E58)*100, "")</f>
        <v>-34.899999999999977</v>
      </c>
      <c r="F59" s="30">
        <f t="shared" ref="F59" si="365">IFERROR( (F$57-F58)*100, "")</f>
        <v>-38.399999999999991</v>
      </c>
      <c r="G59" s="30">
        <f t="shared" ref="G59" si="366">IFERROR( (G$57-G58)*100, "")</f>
        <v>-36.499999999999979</v>
      </c>
      <c r="H59" s="30">
        <f t="shared" ref="H59" si="367">IFERROR( (H$57-H58)*100, "")</f>
        <v>-34.500000000000021</v>
      </c>
      <c r="I59" s="30">
        <f t="shared" ref="I59" si="368">IFERROR( (I$57-I58)*100, "")</f>
        <v>-35.300000000000018</v>
      </c>
      <c r="J59" s="30">
        <f t="shared" ref="J59" si="369">IFERROR( (J$57-J58)*100, "")</f>
        <v>-37.400000000000013</v>
      </c>
      <c r="K59" s="30">
        <f t="shared" ref="K59" si="370">IFERROR( (K$57-K58)*100, "")</f>
        <v>-36.399999999999991</v>
      </c>
      <c r="L59" s="30">
        <f t="shared" ref="L59" si="371">IFERROR( (L$57-L58)*100, "")</f>
        <v>-35.800000000000011</v>
      </c>
      <c r="M59" s="30">
        <f t="shared" ref="M59" si="372">IFERROR( (M$57-M58)*100, "")</f>
        <v>-47.800000000000018</v>
      </c>
      <c r="N59" s="30">
        <f t="shared" ref="N59" si="373">IFERROR( (N$57-N58)*100, "")</f>
        <v>-40.399999999999991</v>
      </c>
      <c r="O59" s="30">
        <f t="shared" ref="O59" si="374">IFERROR( (O$57-O58)*100, "")</f>
        <v>-36.79999999999999</v>
      </c>
      <c r="P59" s="31">
        <f t="shared" ref="P59" si="375">IFERROR( (P$57-P58)*100, "")</f>
        <v>-34.299999999999997</v>
      </c>
      <c r="R59" s="47">
        <f ca="1">IFERROR( (R$16-R58)*100, "")</f>
        <v>-35.094999999999921</v>
      </c>
      <c r="S59" s="30">
        <f t="shared" ref="S59" ca="1" si="376">IFERROR( (S$16-S58)*100, "")</f>
        <v>-27.299999999999969</v>
      </c>
      <c r="T59" s="31">
        <f t="shared" ref="T59" ca="1" si="377">IFERROR( (T$16-T58)*100, "")</f>
        <v>-45.599999999999994</v>
      </c>
      <c r="U59" s="47">
        <f ca="1">IFERROR( (U$16-U58)*100, "")</f>
        <v>-24.178333333333502</v>
      </c>
      <c r="V59" s="30">
        <f t="shared" ref="V59" ca="1" si="378">IFERROR( (V$16-V58)*100, "")</f>
        <v>0.19999999999997797</v>
      </c>
      <c r="W59" s="31">
        <f t="shared" ref="W59" ca="1" si="379">IFERROR( (W$16-W58)*100, "")</f>
        <v>-45.599999999999994</v>
      </c>
      <c r="X59" s="47">
        <f ca="1">IFERROR( (X$16-X58)*100, "")</f>
        <v>-15.640000000000187</v>
      </c>
      <c r="Y59" s="30">
        <f t="shared" ref="Y59" ca="1" si="380">IFERROR( (Y$16-Y58)*100, "")</f>
        <v>6.4999999999999947</v>
      </c>
      <c r="Z59" s="31">
        <f t="shared" ref="Z59" ca="1" si="381">IFERROR( (Z$16-Z58)*100, "")</f>
        <v>-45.599999999999994</v>
      </c>
      <c r="AA59" s="47">
        <f ca="1">IFERROR( (AA$16-AA58)*100, "")</f>
        <v>-3.3188000000002216</v>
      </c>
      <c r="AB59" s="30">
        <f t="shared" ref="AB59" ca="1" si="382">IFERROR( (AB$16-AB58)*100, "")</f>
        <v>46.999999999999972</v>
      </c>
      <c r="AC59" s="31">
        <f t="shared" ref="AC59" ca="1" si="383">IFERROR( (AC$16-AC58)*100, "")</f>
        <v>-45.599999999999994</v>
      </c>
    </row>
    <row r="60" spans="1:29" s="20" customFormat="1" ht="12.75">
      <c r="A60" s="20">
        <v>2</v>
      </c>
      <c r="C60" s="24" t="str" cm="1">
        <f t="array" ref="C60">INDEX(hist_data!$A$6:$A$21, Hist!$A60)</f>
        <v>06M</v>
      </c>
      <c r="D60" s="43"/>
      <c r="E60" s="48" cm="1">
        <f t="array" ref="E60">IF( INDEX(hist_data!$AJ$6:$AZ$256, MATCH(E$13, hist_data!$AJ$6:$AJ$256, 0), MATCH($C60, hist_data!$A$6:$A$21, 0)+1)=0, "", INDEX(hist_data!$AJ$6:$AZ$256, MATCH(E$13, hist_data!$AJ$6:$AJ$256, 0), MATCH($C60, hist_data!$A$6:$A$21, 0)+1) )</f>
        <v>3.169</v>
      </c>
      <c r="F60" s="25" cm="1">
        <f t="array" ref="F60">IF( INDEX(hist_data!$AJ$6:$AZ$256, MATCH(F$13, hist_data!$AJ$6:$AJ$256, 0), MATCH($C60, hist_data!$A$6:$A$21, 0)+1)=0, "", INDEX(hist_data!$AJ$6:$AZ$256, MATCH(F$13, hist_data!$AJ$6:$AJ$256, 0), MATCH($C60, hist_data!$A$6:$A$21, 0)+1) )</f>
        <v>3.1669999999999998</v>
      </c>
      <c r="G60" s="25" cm="1">
        <f t="array" ref="G60">IF( INDEX(hist_data!$AJ$6:$AZ$256, MATCH(G$13, hist_data!$AJ$6:$AJ$256, 0), MATCH($C60, hist_data!$A$6:$A$21, 0)+1)=0, "", INDEX(hist_data!$AJ$6:$AZ$256, MATCH(G$13, hist_data!$AJ$6:$AJ$256, 0), MATCH($C60, hist_data!$A$6:$A$21, 0)+1) )</f>
        <v>3.177</v>
      </c>
      <c r="H60" s="25" cm="1">
        <f t="array" ref="H60">IF( INDEX(hist_data!$AJ$6:$AZ$256, MATCH(H$13, hist_data!$AJ$6:$AJ$256, 0), MATCH($C60, hist_data!$A$6:$A$21, 0)+1)=0, "", INDEX(hist_data!$AJ$6:$AZ$256, MATCH(H$13, hist_data!$AJ$6:$AJ$256, 0), MATCH($C60, hist_data!$A$6:$A$21, 0)+1) )</f>
        <v>3.1880000000000002</v>
      </c>
      <c r="I60" s="25" cm="1">
        <f t="array" ref="I60">IF( INDEX(hist_data!$AJ$6:$AZ$256, MATCH(I$13, hist_data!$AJ$6:$AJ$256, 0), MATCH($C60, hist_data!$A$6:$A$21, 0)+1)=0, "", INDEX(hist_data!$AJ$6:$AZ$256, MATCH(I$13, hist_data!$AJ$6:$AJ$256, 0), MATCH($C60, hist_data!$A$6:$A$21, 0)+1) )</f>
        <v>3.1880000000000002</v>
      </c>
      <c r="J60" s="25" cm="1">
        <f t="array" ref="J60">IF( INDEX(hist_data!$AJ$6:$AZ$256, MATCH(J$13, hist_data!$AJ$6:$AJ$256, 0), MATCH($C60, hist_data!$A$6:$A$21, 0)+1)=0, "", INDEX(hist_data!$AJ$6:$AZ$256, MATCH(J$13, hist_data!$AJ$6:$AJ$256, 0), MATCH($C60, hist_data!$A$6:$A$21, 0)+1) )</f>
        <v>3.1880000000000002</v>
      </c>
      <c r="K60" s="25" cm="1">
        <f t="array" ref="K60">IF( INDEX(hist_data!$AJ$6:$AZ$256, MATCH(K$13, hist_data!$AJ$6:$AJ$256, 0), MATCH($C60, hist_data!$A$6:$A$21, 0)+1)=0, "", INDEX(hist_data!$AJ$6:$AZ$256, MATCH(K$13, hist_data!$AJ$6:$AJ$256, 0), MATCH($C60, hist_data!$A$6:$A$21, 0)+1) )</f>
        <v>3.19</v>
      </c>
      <c r="L60" s="25" cm="1">
        <f t="array" ref="L60">IF( INDEX(hist_data!$AJ$6:$AZ$256, MATCH(L$13, hist_data!$AJ$6:$AJ$256, 0), MATCH($C60, hist_data!$A$6:$A$21, 0)+1)=0, "", INDEX(hist_data!$AJ$6:$AZ$256, MATCH(L$13, hist_data!$AJ$6:$AJ$256, 0), MATCH($C60, hist_data!$A$6:$A$21, 0)+1) )</f>
        <v>3.194</v>
      </c>
      <c r="M60" s="25" cm="1">
        <f t="array" ref="M60">IF( INDEX(hist_data!$AJ$6:$AZ$256, MATCH(M$13, hist_data!$AJ$6:$AJ$256, 0), MATCH($C60, hist_data!$A$6:$A$21, 0)+1)=0, "", INDEX(hist_data!$AJ$6:$AZ$256, MATCH(M$13, hist_data!$AJ$6:$AJ$256, 0), MATCH($C60, hist_data!$A$6:$A$21, 0)+1) )</f>
        <v>3.1840000000000002</v>
      </c>
      <c r="N60" s="25" cm="1">
        <f t="array" ref="N60">IF( INDEX(hist_data!$AJ$6:$AZ$256, MATCH(N$13, hist_data!$AJ$6:$AJ$256, 0), MATCH($C60, hist_data!$A$6:$A$21, 0)+1)=0, "", INDEX(hist_data!$AJ$6:$AZ$256, MATCH(N$13, hist_data!$AJ$6:$AJ$256, 0), MATCH($C60, hist_data!$A$6:$A$21, 0)+1) )</f>
        <v>3.2440000000000002</v>
      </c>
      <c r="O60" s="25" cm="1">
        <f t="array" ref="O60">IF( INDEX(hist_data!$AJ$6:$AZ$256, MATCH(O$13, hist_data!$AJ$6:$AJ$256, 0), MATCH($C60, hist_data!$A$6:$A$21, 0)+1)=0, "", INDEX(hist_data!$AJ$6:$AZ$256, MATCH(O$13, hist_data!$AJ$6:$AJ$256, 0), MATCH($C60, hist_data!$A$6:$A$21, 0)+1) )</f>
        <v>3.25</v>
      </c>
      <c r="P60" s="26" cm="1">
        <f t="array" ref="P60">IF( INDEX(hist_data!$AJ$6:$AZ$256, MATCH(P$13, hist_data!$AJ$6:$AJ$256, 0), MATCH($C60, hist_data!$A$6:$A$21, 0)+1)=0, "", INDEX(hist_data!$AJ$6:$AZ$256, MATCH(P$13, hist_data!$AJ$6:$AJ$256, 0), MATCH($C60, hist_data!$A$6:$A$21, 0)+1) )</f>
        <v>3.2549999999999999</v>
      </c>
      <c r="R60" s="48">
        <f ca="1">IF($E60="", "", AVERAGE( OFFSET( hist_data!$AJ$7, 0, MATCH($C60, hist_data!$A$6:$A$21, 0), R$13 ) ))</f>
        <v>3.2291500000000006</v>
      </c>
      <c r="S60" s="25">
        <f ca="1">IF($E60="","",MAX(OFFSET(hist_data!$AJ$7,0,MATCH($C60,hist_data!$A$6:$A$21,0),S$13)))</f>
        <v>3.2890000000000001</v>
      </c>
      <c r="T60" s="26">
        <f ca="1">IF($E60="","",MIN(OFFSET(hist_data!$AJ$7,0,MATCH($C60,hist_data!$A$6:$A$21,0),T$13)))</f>
        <v>3.1669999999999998</v>
      </c>
      <c r="U60" s="48">
        <f ca="1">IF($E60="", "", AVERAGE( OFFSET( hist_data!$AJ$7, 0, MATCH($C60, hist_data!$A$6:$A$21, 0), U$13 ) ))</f>
        <v>3.3275000000000006</v>
      </c>
      <c r="V60" s="25">
        <f ca="1">IF($E60="","",MAX(OFFSET(hist_data!$AJ$7,0,MATCH($C60,hist_data!$A$6:$A$21,0),V$13)))</f>
        <v>3.4350000000000001</v>
      </c>
      <c r="W60" s="26">
        <f ca="1">IF($E60="","",MIN(OFFSET(hist_data!$AJ$7,0,MATCH($C60,hist_data!$A$6:$A$21,0),W$13)))</f>
        <v>3.1669999999999998</v>
      </c>
      <c r="X60" s="48">
        <f ca="1">IF($E60="", "", AVERAGE( OFFSET( hist_data!$AJ$7, 0, MATCH($C60, hist_data!$A$6:$A$21, 0), X$13 ) ))</f>
        <v>3.3778583333333341</v>
      </c>
      <c r="Y60" s="25">
        <f ca="1">IF($E60="","",MAX(OFFSET(hist_data!$AJ$7,0,MATCH($C60,hist_data!$A$6:$A$21,0),Y$13)))</f>
        <v>3.452</v>
      </c>
      <c r="Z60" s="26">
        <f ca="1">IF($E60="","",MIN(OFFSET(hist_data!$AJ$7,0,MATCH($C60,hist_data!$A$6:$A$21,0),Z$13)))</f>
        <v>3.1669999999999998</v>
      </c>
      <c r="AA60" s="48">
        <f ca="1">IF($E60="", "", AVERAGE( OFFSET( hist_data!$AJ$7, 0, MATCH($C60, hist_data!$A$6:$A$21, 0), AA$13 ) ))</f>
        <v>3.4614160000000007</v>
      </c>
      <c r="AB60" s="25">
        <f ca="1">IF($E60="","",MAX(OFFSET(hist_data!$AJ$7,0,MATCH($C60,hist_data!$A$6:$A$21,0),AB$13)))</f>
        <v>3.69</v>
      </c>
      <c r="AC60" s="26">
        <f ca="1">IF($E60="","",MIN(OFFSET(hist_data!$AJ$7,0,MATCH($C60,hist_data!$A$6:$A$21,0),AC$13)))</f>
        <v>3.1669999999999998</v>
      </c>
    </row>
    <row r="61" spans="1:29" s="20" customFormat="1" ht="12.75">
      <c r="C61" s="88" t="s">
        <v>836</v>
      </c>
      <c r="D61" s="89"/>
      <c r="E61" s="47">
        <f t="shared" ref="E61" si="384">IFERROR( (E$57-E60)*100, "")</f>
        <v>-24.699999999999989</v>
      </c>
      <c r="F61" s="30">
        <f t="shared" ref="F61" si="385">IFERROR( (F$57-F60)*100, "")</f>
        <v>-27.999999999999979</v>
      </c>
      <c r="G61" s="30">
        <f t="shared" ref="G61" si="386">IFERROR( (G$57-G60)*100, "")</f>
        <v>-26.200000000000003</v>
      </c>
      <c r="H61" s="30">
        <f t="shared" ref="H61" si="387">IFERROR( (H$57-H60)*100, "")</f>
        <v>-24.300000000000033</v>
      </c>
      <c r="I61" s="30">
        <f t="shared" ref="I61" si="388">IFERROR( (I$57-I60)*100, "")</f>
        <v>-24.800000000000022</v>
      </c>
      <c r="J61" s="30">
        <f t="shared" ref="J61" si="389">IFERROR( (J$57-J60)*100, "")</f>
        <v>-26.900000000000013</v>
      </c>
      <c r="K61" s="30">
        <f t="shared" ref="K61" si="390">IFERROR( (K$57-K60)*100, "")</f>
        <v>-25.899999999999991</v>
      </c>
      <c r="L61" s="30">
        <f t="shared" ref="L61" si="391">IFERROR( (L$57-L60)*100, "")</f>
        <v>-25.4</v>
      </c>
      <c r="M61" s="30">
        <f t="shared" ref="M61" si="392">IFERROR( (M$57-M60)*100, "")</f>
        <v>-36.90000000000002</v>
      </c>
      <c r="N61" s="30">
        <f t="shared" ref="N61" si="393">IFERROR( (N$57-N60)*100, "")</f>
        <v>-30.800000000000026</v>
      </c>
      <c r="O61" s="30">
        <f t="shared" ref="O61" si="394">IFERROR( (O$57-O60)*100, "")</f>
        <v>-27.499999999999993</v>
      </c>
      <c r="P61" s="31">
        <f t="shared" ref="P61" si="395">IFERROR( (P$57-P60)*100, "")</f>
        <v>-25.499999999999989</v>
      </c>
      <c r="R61" s="47">
        <f t="shared" ref="R61" ca="1" si="396">IFERROR( (R$16-R60)*100, "")</f>
        <v>-25.909999999999968</v>
      </c>
      <c r="S61" s="30">
        <f t="shared" ref="S61" ca="1" si="397">IFERROR( (S$16-S60)*100, "")</f>
        <v>-20.199999999999996</v>
      </c>
      <c r="T61" s="31">
        <f t="shared" ref="T61" ca="1" si="398">IFERROR( (T$16-T60)*100, "")</f>
        <v>-35.199999999999989</v>
      </c>
      <c r="U61" s="47">
        <f t="shared" ref="U61" ca="1" si="399">IFERROR( (U$16-U60)*100, "")</f>
        <v>-18.086666666666808</v>
      </c>
      <c r="V61" s="30">
        <f t="shared" ref="V61" ca="1" si="400">IFERROR( (V$16-V60)*100, "")</f>
        <v>1.6999999999999904</v>
      </c>
      <c r="W61" s="31">
        <f t="shared" ref="W61" ca="1" si="401">IFERROR( (W$16-W60)*100, "")</f>
        <v>-35.199999999999989</v>
      </c>
      <c r="X61" s="47">
        <f t="shared" ref="X61" ca="1" si="402">IFERROR( (X$16-X60)*100, "")</f>
        <v>-11.166666666666814</v>
      </c>
      <c r="Y61" s="30">
        <f t="shared" ref="Y61" ca="1" si="403">IFERROR( (Y$16-Y60)*100, "")</f>
        <v>8.8000000000000078</v>
      </c>
      <c r="Z61" s="31">
        <f t="shared" ref="Z61" ca="1" si="404">IFERROR( (Z$16-Z60)*100, "")</f>
        <v>-35.199999999999989</v>
      </c>
      <c r="AA61" s="47">
        <f t="shared" ref="AA61" ca="1" si="405">IFERROR( (AA$16-AA60)*100, "")</f>
        <v>-1.0464000000001139</v>
      </c>
      <c r="AB61" s="30">
        <f t="shared" ref="AB61" ca="1" si="406">IFERROR( (AB$16-AB60)*100, "")</f>
        <v>44.999999999999972</v>
      </c>
      <c r="AC61" s="31">
        <f t="shared" ref="AC61" ca="1" si="407">IFERROR( (AC$16-AC60)*100, "")</f>
        <v>-35.199999999999989</v>
      </c>
    </row>
    <row r="62" spans="1:29" s="20" customFormat="1" ht="12.75">
      <c r="A62" s="20">
        <v>3</v>
      </c>
      <c r="C62" s="24" t="str" cm="1">
        <f t="array" ref="C62">INDEX(hist_data!$A$6:$A$21, Hist!$A62)</f>
        <v>09M</v>
      </c>
      <c r="D62" s="43"/>
      <c r="E62" s="48" cm="1">
        <f t="array" ref="E62">IF( INDEX(hist_data!$AJ$6:$AZ$256, MATCH(E$13, hist_data!$AJ$6:$AJ$256, 0), MATCH($C62, hist_data!$A$6:$A$21, 0)+1)=0, "", INDEX(hist_data!$AJ$6:$AZ$256, MATCH(E$13, hist_data!$AJ$6:$AJ$256, 0), MATCH($C62, hist_data!$A$6:$A$21, 0)+1) )</f>
        <v>3.097</v>
      </c>
      <c r="F62" s="25" cm="1">
        <f t="array" ref="F62">IF( INDEX(hist_data!$AJ$6:$AZ$256, MATCH(F$13, hist_data!$AJ$6:$AJ$256, 0), MATCH($C62, hist_data!$A$6:$A$21, 0)+1)=0, "", INDEX(hist_data!$AJ$6:$AZ$256, MATCH(F$13, hist_data!$AJ$6:$AJ$256, 0), MATCH($C62, hist_data!$A$6:$A$21, 0)+1) )</f>
        <v>3.0939999999999999</v>
      </c>
      <c r="G62" s="25" cm="1">
        <f t="array" ref="G62">IF( INDEX(hist_data!$AJ$6:$AZ$256, MATCH(G$13, hist_data!$AJ$6:$AJ$256, 0), MATCH($C62, hist_data!$A$6:$A$21, 0)+1)=0, "", INDEX(hist_data!$AJ$6:$AZ$256, MATCH(G$13, hist_data!$AJ$6:$AJ$256, 0), MATCH($C62, hist_data!$A$6:$A$21, 0)+1) )</f>
        <v>3.1059999999999999</v>
      </c>
      <c r="H62" s="25" cm="1">
        <f t="array" ref="H62">IF( INDEX(hist_data!$AJ$6:$AZ$256, MATCH(H$13, hist_data!$AJ$6:$AJ$256, 0), MATCH($C62, hist_data!$A$6:$A$21, 0)+1)=0, "", INDEX(hist_data!$AJ$6:$AZ$256, MATCH(H$13, hist_data!$AJ$6:$AJ$256, 0), MATCH($C62, hist_data!$A$6:$A$21, 0)+1) )</f>
        <v>3.121</v>
      </c>
      <c r="I62" s="25" cm="1">
        <f t="array" ref="I62">IF( INDEX(hist_data!$AJ$6:$AZ$256, MATCH(I$13, hist_data!$AJ$6:$AJ$256, 0), MATCH($C62, hist_data!$A$6:$A$21, 0)+1)=0, "", INDEX(hist_data!$AJ$6:$AZ$256, MATCH(I$13, hist_data!$AJ$6:$AJ$256, 0), MATCH($C62, hist_data!$A$6:$A$21, 0)+1) )</f>
        <v>3.121</v>
      </c>
      <c r="J62" s="25" cm="1">
        <f t="array" ref="J62">IF( INDEX(hist_data!$AJ$6:$AZ$256, MATCH(J$13, hist_data!$AJ$6:$AJ$256, 0), MATCH($C62, hist_data!$A$6:$A$21, 0)+1)=0, "", INDEX(hist_data!$AJ$6:$AZ$256, MATCH(J$13, hist_data!$AJ$6:$AJ$256, 0), MATCH($C62, hist_data!$A$6:$A$21, 0)+1) )</f>
        <v>3.121</v>
      </c>
      <c r="K62" s="25" cm="1">
        <f t="array" ref="K62">IF( INDEX(hist_data!$AJ$6:$AZ$256, MATCH(K$13, hist_data!$AJ$6:$AJ$256, 0), MATCH($C62, hist_data!$A$6:$A$21, 0)+1)=0, "", INDEX(hist_data!$AJ$6:$AZ$256, MATCH(K$13, hist_data!$AJ$6:$AJ$256, 0), MATCH($C62, hist_data!$A$6:$A$21, 0)+1) )</f>
        <v>3.13</v>
      </c>
      <c r="L62" s="25" cm="1">
        <f t="array" ref="L62">IF( INDEX(hist_data!$AJ$6:$AZ$256, MATCH(L$13, hist_data!$AJ$6:$AJ$256, 0), MATCH($C62, hist_data!$A$6:$A$21, 0)+1)=0, "", INDEX(hist_data!$AJ$6:$AZ$256, MATCH(L$13, hist_data!$AJ$6:$AJ$256, 0), MATCH($C62, hist_data!$A$6:$A$21, 0)+1) )</f>
        <v>3.13</v>
      </c>
      <c r="M62" s="25" cm="1">
        <f t="array" ref="M62">IF( INDEX(hist_data!$AJ$6:$AZ$256, MATCH(M$13, hist_data!$AJ$6:$AJ$256, 0), MATCH($C62, hist_data!$A$6:$A$21, 0)+1)=0, "", INDEX(hist_data!$AJ$6:$AZ$256, MATCH(M$13, hist_data!$AJ$6:$AJ$256, 0), MATCH($C62, hist_data!$A$6:$A$21, 0)+1) )</f>
        <v>3.11</v>
      </c>
      <c r="N62" s="25" cm="1">
        <f t="array" ref="N62">IF( INDEX(hist_data!$AJ$6:$AZ$256, MATCH(N$13, hist_data!$AJ$6:$AJ$256, 0), MATCH($C62, hist_data!$A$6:$A$21, 0)+1)=0, "", INDEX(hist_data!$AJ$6:$AZ$256, MATCH(N$13, hist_data!$AJ$6:$AJ$256, 0), MATCH($C62, hist_data!$A$6:$A$21, 0)+1) )</f>
        <v>3.1789999999999998</v>
      </c>
      <c r="O62" s="25" cm="1">
        <f t="array" ref="O62">IF( INDEX(hist_data!$AJ$6:$AZ$256, MATCH(O$13, hist_data!$AJ$6:$AJ$256, 0), MATCH($C62, hist_data!$A$6:$A$21, 0)+1)=0, "", INDEX(hist_data!$AJ$6:$AZ$256, MATCH(O$13, hist_data!$AJ$6:$AJ$256, 0), MATCH($C62, hist_data!$A$6:$A$21, 0)+1) )</f>
        <v>3.1930000000000001</v>
      </c>
      <c r="P62" s="26" cm="1">
        <f t="array" ref="P62">IF( INDEX(hist_data!$AJ$6:$AZ$256, MATCH(P$13, hist_data!$AJ$6:$AJ$256, 0), MATCH($C62, hist_data!$A$6:$A$21, 0)+1)=0, "", INDEX(hist_data!$AJ$6:$AZ$256, MATCH(P$13, hist_data!$AJ$6:$AJ$256, 0), MATCH($C62, hist_data!$A$6:$A$21, 0)+1) )</f>
        <v>3.2040000000000002</v>
      </c>
      <c r="R62" s="48">
        <f ca="1">IF($E62="", "", AVERAGE( OFFSET( hist_data!$AJ$7, 0, MATCH($C62, hist_data!$A$6:$A$21, 0), R$13 ) ))</f>
        <v>3.1759499999999998</v>
      </c>
      <c r="S62" s="25">
        <f ca="1">IF($E62="","",MAX(OFFSET(hist_data!$AJ$7,0,MATCH($C62,hist_data!$A$6:$A$21,0),S$13)))</f>
        <v>3.2690000000000001</v>
      </c>
      <c r="T62" s="26">
        <f ca="1">IF($E62="","",MIN(OFFSET(hist_data!$AJ$7,0,MATCH($C62,hist_data!$A$6:$A$21,0),T$13)))</f>
        <v>3.0939999999999999</v>
      </c>
      <c r="U62" s="48">
        <f ca="1">IF($E62="", "", AVERAGE( OFFSET( hist_data!$AJ$7, 0, MATCH($C62, hist_data!$A$6:$A$21, 0), U$13 ) ))</f>
        <v>3.292566666666668</v>
      </c>
      <c r="V62" s="25">
        <f ca="1">IF($E62="","",MAX(OFFSET(hist_data!$AJ$7,0,MATCH($C62,hist_data!$A$6:$A$21,0),V$13)))</f>
        <v>3.4180000000000001</v>
      </c>
      <c r="W62" s="26">
        <f ca="1">IF($E62="","",MIN(OFFSET(hist_data!$AJ$7,0,MATCH($C62,hist_data!$A$6:$A$21,0),W$13)))</f>
        <v>3.0939999999999999</v>
      </c>
      <c r="X62" s="48">
        <f ca="1">IF($E62="", "", AVERAGE( OFFSET( hist_data!$AJ$7, 0, MATCH($C62, hist_data!$A$6:$A$21, 0), X$13 ) ))</f>
        <v>3.3387833333333332</v>
      </c>
      <c r="Y62" s="25">
        <f ca="1">IF($E62="","",MAX(OFFSET(hist_data!$AJ$7,0,MATCH($C62,hist_data!$A$6:$A$21,0),Y$13)))</f>
        <v>3.4340000000000002</v>
      </c>
      <c r="Z62" s="26">
        <f ca="1">IF($E62="","",MIN(OFFSET(hist_data!$AJ$7,0,MATCH($C62,hist_data!$A$6:$A$21,0),Z$13)))</f>
        <v>3.0939999999999999</v>
      </c>
      <c r="AA62" s="48">
        <f ca="1">IF($E62="", "", AVERAGE( OFFSET( hist_data!$AJ$7, 0, MATCH($C62, hist_data!$A$6:$A$21, 0), AA$13 ) ))</f>
        <v>3.4364400000000006</v>
      </c>
      <c r="AB62" s="25">
        <f ca="1">IF($E62="","",MAX(OFFSET(hist_data!$AJ$7,0,MATCH($C62,hist_data!$A$6:$A$21,0),AB$13)))</f>
        <v>3.7</v>
      </c>
      <c r="AC62" s="26">
        <f ca="1">IF($E62="","",MIN(OFFSET(hist_data!$AJ$7,0,MATCH($C62,hist_data!$A$6:$A$21,0),AC$13)))</f>
        <v>3.0939999999999999</v>
      </c>
    </row>
    <row r="63" spans="1:29" s="20" customFormat="1" ht="12.75">
      <c r="C63" s="88" t="s">
        <v>836</v>
      </c>
      <c r="D63" s="89"/>
      <c r="E63" s="47">
        <f t="shared" ref="E63" si="408">IFERROR( (E$57-E62)*100, "")</f>
        <v>-17.499999999999982</v>
      </c>
      <c r="F63" s="30">
        <f t="shared" ref="F63" si="409">IFERROR( (F$57-F62)*100, "")</f>
        <v>-20.699999999999985</v>
      </c>
      <c r="G63" s="30">
        <f t="shared" ref="G63" si="410">IFERROR( (G$57-G62)*100, "")</f>
        <v>-19.099999999999984</v>
      </c>
      <c r="H63" s="30">
        <f t="shared" ref="H63" si="411">IFERROR( (H$57-H62)*100, "")</f>
        <v>-17.600000000000016</v>
      </c>
      <c r="I63" s="30">
        <f t="shared" ref="I63" si="412">IFERROR( (I$57-I62)*100, "")</f>
        <v>-18.100000000000005</v>
      </c>
      <c r="J63" s="30">
        <f t="shared" ref="J63" si="413">IFERROR( (J$57-J62)*100, "")</f>
        <v>-20.199999999999996</v>
      </c>
      <c r="K63" s="30">
        <f t="shared" ref="K63" si="414">IFERROR( (K$57-K62)*100, "")</f>
        <v>-19.899999999999984</v>
      </c>
      <c r="L63" s="30">
        <f t="shared" ref="L63" si="415">IFERROR( (L$57-L62)*100, "")</f>
        <v>-18.999999999999993</v>
      </c>
      <c r="M63" s="30">
        <f t="shared" ref="M63" si="416">IFERROR( (M$57-M62)*100, "")</f>
        <v>-29.499999999999993</v>
      </c>
      <c r="N63" s="30">
        <f t="shared" ref="N63" si="417">IFERROR( (N$57-N62)*100, "")</f>
        <v>-24.29999999999999</v>
      </c>
      <c r="O63" s="30">
        <f t="shared" ref="O63" si="418">IFERROR( (O$57-O62)*100, "")</f>
        <v>-21.799999999999997</v>
      </c>
      <c r="P63" s="31">
        <f t="shared" ref="P63" si="419">IFERROR( (P$57-P62)*100, "")</f>
        <v>-20.40000000000002</v>
      </c>
      <c r="R63" s="47">
        <f t="shared" ref="R63" ca="1" si="420">IFERROR( (R$16-R62)*100, "")</f>
        <v>-20.589999999999886</v>
      </c>
      <c r="S63" s="30">
        <f t="shared" ref="S63" ca="1" si="421">IFERROR( (S$16-S62)*100, "")</f>
        <v>-18.199999999999996</v>
      </c>
      <c r="T63" s="31">
        <f t="shared" ref="T63" ca="1" si="422">IFERROR( (T$16-T62)*100, "")</f>
        <v>-27.899999999999991</v>
      </c>
      <c r="U63" s="47">
        <f t="shared" ref="U63" ca="1" si="423">IFERROR( (U$16-U62)*100, "")</f>
        <v>-14.593333333333547</v>
      </c>
      <c r="V63" s="30">
        <f t="shared" ref="V63" ca="1" si="424">IFERROR( (V$16-V62)*100, "")</f>
        <v>3.3999999999999808</v>
      </c>
      <c r="W63" s="31">
        <f t="shared" ref="W63" ca="1" si="425">IFERROR( (W$16-W62)*100, "")</f>
        <v>-27.899999999999991</v>
      </c>
      <c r="X63" s="47">
        <f t="shared" ref="X63" ca="1" si="426">IFERROR( (X$16-X62)*100, "")</f>
        <v>-7.2591666666667276</v>
      </c>
      <c r="Y63" s="30">
        <f t="shared" ref="Y63" ca="1" si="427">IFERROR( (Y$16-Y62)*100, "")</f>
        <v>10.599999999999987</v>
      </c>
      <c r="Z63" s="31">
        <f t="shared" ref="Z63" ca="1" si="428">IFERROR( (Z$16-Z62)*100, "")</f>
        <v>-27.899999999999991</v>
      </c>
      <c r="AA63" s="47">
        <f t="shared" ref="AA63" ca="1" si="429">IFERROR( (AA$16-AA62)*100, "")</f>
        <v>1.451199999999897</v>
      </c>
      <c r="AB63" s="30">
        <f t="shared" ref="AB63" ca="1" si="430">IFERROR( (AB$16-AB62)*100, "")</f>
        <v>43.99999999999995</v>
      </c>
      <c r="AC63" s="31">
        <f t="shared" ref="AC63" ca="1" si="431">IFERROR( (AC$16-AC62)*100, "")</f>
        <v>-27.899999999999991</v>
      </c>
    </row>
    <row r="64" spans="1:29" s="20" customFormat="1" ht="12.75">
      <c r="A64" s="20">
        <v>4</v>
      </c>
      <c r="C64" s="24" t="str" cm="1">
        <f t="array" ref="C64">INDEX(hist_data!$A$6:$A$21, Hist!$A64)</f>
        <v>01Y</v>
      </c>
      <c r="D64" s="43"/>
      <c r="E64" s="48" cm="1">
        <f t="array" ref="E64">IF( INDEX(hist_data!$AJ$6:$AZ$256, MATCH(E$13, hist_data!$AJ$6:$AJ$256, 0), MATCH($C64, hist_data!$A$6:$A$21, 0)+1)=0, "", INDEX(hist_data!$AJ$6:$AZ$256, MATCH(E$13, hist_data!$AJ$6:$AJ$256, 0), MATCH($C64, hist_data!$A$6:$A$21, 0)+1) )</f>
        <v>3.0249999999999999</v>
      </c>
      <c r="F64" s="25" cm="1">
        <f t="array" ref="F64">IF( INDEX(hist_data!$AJ$6:$AZ$256, MATCH(F$13, hist_data!$AJ$6:$AJ$256, 0), MATCH($C64, hist_data!$A$6:$A$21, 0)+1)=0, "", INDEX(hist_data!$AJ$6:$AZ$256, MATCH(F$13, hist_data!$AJ$6:$AJ$256, 0), MATCH($C64, hist_data!$A$6:$A$21, 0)+1) )</f>
        <v>3.02</v>
      </c>
      <c r="G64" s="25" cm="1">
        <f t="array" ref="G64">IF( INDEX(hist_data!$AJ$6:$AZ$256, MATCH(G$13, hist_data!$AJ$6:$AJ$256, 0), MATCH($C64, hist_data!$A$6:$A$21, 0)+1)=0, "", INDEX(hist_data!$AJ$6:$AZ$256, MATCH(G$13, hist_data!$AJ$6:$AJ$256, 0), MATCH($C64, hist_data!$A$6:$A$21, 0)+1) )</f>
        <v>3.03</v>
      </c>
      <c r="H64" s="25" cm="1">
        <f t="array" ref="H64">IF( INDEX(hist_data!$AJ$6:$AZ$256, MATCH(H$13, hist_data!$AJ$6:$AJ$256, 0), MATCH($C64, hist_data!$A$6:$A$21, 0)+1)=0, "", INDEX(hist_data!$AJ$6:$AZ$256, MATCH(H$13, hist_data!$AJ$6:$AJ$256, 0), MATCH($C64, hist_data!$A$6:$A$21, 0)+1) )</f>
        <v>3.044</v>
      </c>
      <c r="I64" s="25" cm="1">
        <f t="array" ref="I64">IF( INDEX(hist_data!$AJ$6:$AZ$256, MATCH(I$13, hist_data!$AJ$6:$AJ$256, 0), MATCH($C64, hist_data!$A$6:$A$21, 0)+1)=0, "", INDEX(hist_data!$AJ$6:$AZ$256, MATCH(I$13, hist_data!$AJ$6:$AJ$256, 0), MATCH($C64, hist_data!$A$6:$A$21, 0)+1) )</f>
        <v>3.0470000000000002</v>
      </c>
      <c r="J64" s="25" cm="1">
        <f t="array" ref="J64">IF( INDEX(hist_data!$AJ$6:$AZ$256, MATCH(J$13, hist_data!$AJ$6:$AJ$256, 0), MATCH($C64, hist_data!$A$6:$A$21, 0)+1)=0, "", INDEX(hist_data!$AJ$6:$AZ$256, MATCH(J$13, hist_data!$AJ$6:$AJ$256, 0), MATCH($C64, hist_data!$A$6:$A$21, 0)+1) )</f>
        <v>3.0489999999999999</v>
      </c>
      <c r="K64" s="25" cm="1">
        <f t="array" ref="K64">IF( INDEX(hist_data!$AJ$6:$AZ$256, MATCH(K$13, hist_data!$AJ$6:$AJ$256, 0), MATCH($C64, hist_data!$A$6:$A$21, 0)+1)=0, "", INDEX(hist_data!$AJ$6:$AZ$256, MATCH(K$13, hist_data!$AJ$6:$AJ$256, 0), MATCH($C64, hist_data!$A$6:$A$21, 0)+1) )</f>
        <v>3.07</v>
      </c>
      <c r="L64" s="25" cm="1">
        <f t="array" ref="L64">IF( INDEX(hist_data!$AJ$6:$AZ$256, MATCH(L$13, hist_data!$AJ$6:$AJ$256, 0), MATCH($C64, hist_data!$A$6:$A$21, 0)+1)=0, "", INDEX(hist_data!$AJ$6:$AZ$256, MATCH(L$13, hist_data!$AJ$6:$AJ$256, 0), MATCH($C64, hist_data!$A$6:$A$21, 0)+1) )</f>
        <v>3.0670000000000002</v>
      </c>
      <c r="M64" s="25" cm="1">
        <f t="array" ref="M64">IF( INDEX(hist_data!$AJ$6:$AZ$256, MATCH(M$13, hist_data!$AJ$6:$AJ$256, 0), MATCH($C64, hist_data!$A$6:$A$21, 0)+1)=0, "", INDEX(hist_data!$AJ$6:$AZ$256, MATCH(M$13, hist_data!$AJ$6:$AJ$256, 0), MATCH($C64, hist_data!$A$6:$A$21, 0)+1) )</f>
        <v>3.0259999999999998</v>
      </c>
      <c r="N64" s="25" cm="1">
        <f t="array" ref="N64">IF( INDEX(hist_data!$AJ$6:$AZ$256, MATCH(N$13, hist_data!$AJ$6:$AJ$256, 0), MATCH($C64, hist_data!$A$6:$A$21, 0)+1)=0, "", INDEX(hist_data!$AJ$6:$AZ$256, MATCH(N$13, hist_data!$AJ$6:$AJ$256, 0), MATCH($C64, hist_data!$A$6:$A$21, 0)+1) )</f>
        <v>3.09</v>
      </c>
      <c r="O64" s="25" cm="1">
        <f t="array" ref="O64">IF( INDEX(hist_data!$AJ$6:$AZ$256, MATCH(O$13, hist_data!$AJ$6:$AJ$256, 0), MATCH($C64, hist_data!$A$6:$A$21, 0)+1)=0, "", INDEX(hist_data!$AJ$6:$AZ$256, MATCH(O$13, hist_data!$AJ$6:$AJ$256, 0), MATCH($C64, hist_data!$A$6:$A$21, 0)+1) )</f>
        <v>3.1139999999999999</v>
      </c>
      <c r="P64" s="26" cm="1">
        <f t="array" ref="P64">IF( INDEX(hist_data!$AJ$6:$AZ$256, MATCH(P$13, hist_data!$AJ$6:$AJ$256, 0), MATCH($C64, hist_data!$A$6:$A$21, 0)+1)=0, "", INDEX(hist_data!$AJ$6:$AZ$256, MATCH(P$13, hist_data!$AJ$6:$AJ$256, 0), MATCH($C64, hist_data!$A$6:$A$21, 0)+1) )</f>
        <v>3.1360000000000001</v>
      </c>
      <c r="R64" s="48">
        <f ca="1">IF($E64="", "", AVERAGE( OFFSET( hist_data!$AJ$7, 0, MATCH($C64, hist_data!$A$6:$A$21, 0), R$13 ) ))</f>
        <v>3.1126</v>
      </c>
      <c r="S64" s="25">
        <f ca="1">IF($E64="","",MAX(OFFSET(hist_data!$AJ$7,0,MATCH($C64,hist_data!$A$6:$A$21,0),S$13)))</f>
        <v>3.23</v>
      </c>
      <c r="T64" s="26">
        <f ca="1">IF($E64="","",MIN(OFFSET(hist_data!$AJ$7,0,MATCH($C64,hist_data!$A$6:$A$21,0),T$13)))</f>
        <v>3.02</v>
      </c>
      <c r="U64" s="48">
        <f ca="1">IF($E64="", "", AVERAGE( OFFSET( hist_data!$AJ$7, 0, MATCH($C64, hist_data!$A$6:$A$21, 0), U$13 ) ))</f>
        <v>3.2432499999999993</v>
      </c>
      <c r="V64" s="25">
        <f ca="1">IF($E64="","",MAX(OFFSET(hist_data!$AJ$7,0,MATCH($C64,hist_data!$A$6:$A$21,0),V$13)))</f>
        <v>3.3929999999999998</v>
      </c>
      <c r="W64" s="26">
        <f ca="1">IF($E64="","",MIN(OFFSET(hist_data!$AJ$7,0,MATCH($C64,hist_data!$A$6:$A$21,0),W$13)))</f>
        <v>3.02</v>
      </c>
      <c r="X64" s="48">
        <f ca="1">IF($E64="", "", AVERAGE( OFFSET( hist_data!$AJ$7, 0, MATCH($C64, hist_data!$A$6:$A$21, 0), X$13 ) ))</f>
        <v>3.3114833333333351</v>
      </c>
      <c r="Y64" s="25">
        <f ca="1">IF($E64="","",MAX(OFFSET(hist_data!$AJ$7,0,MATCH($C64,hist_data!$A$6:$A$21,0),Y$13)))</f>
        <v>3.45</v>
      </c>
      <c r="Z64" s="26">
        <f ca="1">IF($E64="","",MIN(OFFSET(hist_data!$AJ$7,0,MATCH($C64,hist_data!$A$6:$A$21,0),Z$13)))</f>
        <v>3.02</v>
      </c>
      <c r="AA64" s="48">
        <f ca="1">IF($E64="", "", AVERAGE( OFFSET( hist_data!$AJ$7, 0, MATCH($C64, hist_data!$A$6:$A$21, 0), AA$13 ) ))</f>
        <v>3.4368599999999998</v>
      </c>
      <c r="AB64" s="25">
        <f ca="1">IF($E64="","",MAX(OFFSET(hist_data!$AJ$7,0,MATCH($C64,hist_data!$A$6:$A$21,0),AB$13)))</f>
        <v>3.8079999999999998</v>
      </c>
      <c r="AC64" s="26">
        <f ca="1">IF($E64="","",MIN(OFFSET(hist_data!$AJ$7,0,MATCH($C64,hist_data!$A$6:$A$21,0),AC$13)))</f>
        <v>3.02</v>
      </c>
    </row>
    <row r="65" spans="1:29" s="20" customFormat="1" ht="12.75">
      <c r="C65" s="88" t="s">
        <v>836</v>
      </c>
      <c r="D65" s="89"/>
      <c r="E65" s="47">
        <f t="shared" ref="E65" si="432">IFERROR( (E$57-E64)*100, "")</f>
        <v>-10.299999999999976</v>
      </c>
      <c r="F65" s="30">
        <f t="shared" ref="F65" si="433">IFERROR( (F$57-F64)*100, "")</f>
        <v>-13.3</v>
      </c>
      <c r="G65" s="30">
        <f t="shared" ref="G65" si="434">IFERROR( (G$57-G64)*100, "")</f>
        <v>-11.499999999999977</v>
      </c>
      <c r="H65" s="30">
        <f t="shared" ref="H65" si="435">IFERROR( (H$57-H64)*100, "")</f>
        <v>-9.9000000000000199</v>
      </c>
      <c r="I65" s="30">
        <f t="shared" ref="I65" si="436">IFERROR( (I$57-I64)*100, "")</f>
        <v>-10.700000000000021</v>
      </c>
      <c r="J65" s="30">
        <f t="shared" ref="J65" si="437">IFERROR( (J$57-J64)*100, "")</f>
        <v>-12.999999999999989</v>
      </c>
      <c r="K65" s="30">
        <f t="shared" ref="K65" si="438">IFERROR( (K$57-K64)*100, "")</f>
        <v>-13.899999999999979</v>
      </c>
      <c r="L65" s="30">
        <f t="shared" ref="L65" si="439">IFERROR( (L$57-L64)*100, "")</f>
        <v>-12.700000000000022</v>
      </c>
      <c r="M65" s="30">
        <f t="shared" ref="M65" si="440">IFERROR( (M$57-M64)*100, "")</f>
        <v>-21.099999999999987</v>
      </c>
      <c r="N65" s="30">
        <f t="shared" ref="N65" si="441">IFERROR( (N$57-N64)*100, "")</f>
        <v>-15.399999999999991</v>
      </c>
      <c r="O65" s="30">
        <f t="shared" ref="O65" si="442">IFERROR( (O$57-O64)*100, "")</f>
        <v>-13.899999999999979</v>
      </c>
      <c r="P65" s="31">
        <f t="shared" ref="P65" si="443">IFERROR( (P$57-P64)*100, "")</f>
        <v>-13.600000000000012</v>
      </c>
      <c r="R65" s="47">
        <f t="shared" ref="R65" ca="1" si="444">IFERROR( (R$16-R64)*100, "")</f>
        <v>-14.254999999999907</v>
      </c>
      <c r="S65" s="30">
        <f t="shared" ref="S65" ca="1" si="445">IFERROR( (S$16-S64)*100, "")</f>
        <v>-14.299999999999979</v>
      </c>
      <c r="T65" s="31">
        <f t="shared" ref="T65" ca="1" si="446">IFERROR( (T$16-T64)*100, "")</f>
        <v>-20.500000000000007</v>
      </c>
      <c r="U65" s="47">
        <f t="shared" ref="U65" ca="1" si="447">IFERROR( (U$16-U64)*100, "")</f>
        <v>-9.6616666666666795</v>
      </c>
      <c r="V65" s="30">
        <f t="shared" ref="V65" ca="1" si="448">IFERROR( (V$16-V64)*100, "")</f>
        <v>5.9000000000000163</v>
      </c>
      <c r="W65" s="31">
        <f t="shared" ref="W65" ca="1" si="449">IFERROR( (W$16-W64)*100, "")</f>
        <v>-20.500000000000007</v>
      </c>
      <c r="X65" s="47">
        <f t="shared" ref="X65" ca="1" si="450">IFERROR( (X$16-X64)*100, "")</f>
        <v>-4.5291666666669173</v>
      </c>
      <c r="Y65" s="30">
        <f t="shared" ref="Y65" ca="1" si="451">IFERROR( (Y$16-Y64)*100, "")</f>
        <v>8.9999999999999858</v>
      </c>
      <c r="Z65" s="31">
        <f t="shared" ref="Z65" ca="1" si="452">IFERROR( (Z$16-Z64)*100, "")</f>
        <v>-20.500000000000007</v>
      </c>
      <c r="AA65" s="47">
        <f t="shared" ref="AA65" ca="1" si="453">IFERROR( (AA$16-AA64)*100, "")</f>
        <v>1.4091999999999771</v>
      </c>
      <c r="AB65" s="30">
        <f t="shared" ref="AB65" ca="1" si="454">IFERROR( (AB$16-AB64)*100, "")</f>
        <v>33.199999999999989</v>
      </c>
      <c r="AC65" s="31">
        <f t="shared" ref="AC65" ca="1" si="455">IFERROR( (AC$16-AC64)*100, "")</f>
        <v>-20.500000000000007</v>
      </c>
    </row>
    <row r="66" spans="1:29" s="20" customFormat="1" ht="12.75">
      <c r="A66" s="20">
        <v>5</v>
      </c>
      <c r="C66" s="24" t="str" cm="1">
        <f t="array" ref="C66">INDEX(hist_data!$A$6:$A$21, Hist!$A66)</f>
        <v>1.5Y</v>
      </c>
      <c r="D66" s="43"/>
      <c r="E66" s="48" cm="1">
        <f t="array" ref="E66">IF( INDEX(hist_data!$AJ$6:$AZ$256, MATCH(E$13, hist_data!$AJ$6:$AJ$256, 0), MATCH($C66, hist_data!$A$6:$A$21, 0)+1)=0, "", INDEX(hist_data!$AJ$6:$AZ$256, MATCH(E$13, hist_data!$AJ$6:$AJ$256, 0), MATCH($C66, hist_data!$A$6:$A$21, 0)+1) )</f>
        <v>3.0430000000000001</v>
      </c>
      <c r="F66" s="25" cm="1">
        <f t="array" ref="F66">IF( INDEX(hist_data!$AJ$6:$AZ$256, MATCH(F$13, hist_data!$AJ$6:$AJ$256, 0), MATCH($C66, hist_data!$A$6:$A$21, 0)+1)=0, "", INDEX(hist_data!$AJ$6:$AZ$256, MATCH(F$13, hist_data!$AJ$6:$AJ$256, 0), MATCH($C66, hist_data!$A$6:$A$21, 0)+1) )</f>
        <v>3.01</v>
      </c>
      <c r="G66" s="25" cm="1">
        <f t="array" ref="G66">IF( INDEX(hist_data!$AJ$6:$AZ$256, MATCH(G$13, hist_data!$AJ$6:$AJ$256, 0), MATCH($C66, hist_data!$A$6:$A$21, 0)+1)=0, "", INDEX(hist_data!$AJ$6:$AZ$256, MATCH(G$13, hist_data!$AJ$6:$AJ$256, 0), MATCH($C66, hist_data!$A$6:$A$21, 0)+1) )</f>
        <v>3.0249999999999999</v>
      </c>
      <c r="H66" s="25" cm="1">
        <f t="array" ref="H66">IF( INDEX(hist_data!$AJ$6:$AZ$256, MATCH(H$13, hist_data!$AJ$6:$AJ$256, 0), MATCH($C66, hist_data!$A$6:$A$21, 0)+1)=0, "", INDEX(hist_data!$AJ$6:$AZ$256, MATCH(H$13, hist_data!$AJ$6:$AJ$256, 0), MATCH($C66, hist_data!$A$6:$A$21, 0)+1) )</f>
        <v>3.0459999999999998</v>
      </c>
      <c r="I66" s="25" cm="1">
        <f t="array" ref="I66">IF( INDEX(hist_data!$AJ$6:$AZ$256, MATCH(I$13, hist_data!$AJ$6:$AJ$256, 0), MATCH($C66, hist_data!$A$6:$A$21, 0)+1)=0, "", INDEX(hist_data!$AJ$6:$AZ$256, MATCH(I$13, hist_data!$AJ$6:$AJ$256, 0), MATCH($C66, hist_data!$A$6:$A$21, 0)+1) )</f>
        <v>3.05</v>
      </c>
      <c r="J66" s="25" cm="1">
        <f t="array" ref="J66">IF( INDEX(hist_data!$AJ$6:$AZ$256, MATCH(J$13, hist_data!$AJ$6:$AJ$256, 0), MATCH($C66, hist_data!$A$6:$A$21, 0)+1)=0, "", INDEX(hist_data!$AJ$6:$AZ$256, MATCH(J$13, hist_data!$AJ$6:$AJ$256, 0), MATCH($C66, hist_data!$A$6:$A$21, 0)+1) )</f>
        <v>3.044</v>
      </c>
      <c r="K66" s="25" cm="1">
        <f t="array" ref="K66">IF( INDEX(hist_data!$AJ$6:$AZ$256, MATCH(K$13, hist_data!$AJ$6:$AJ$256, 0), MATCH($C66, hist_data!$A$6:$A$21, 0)+1)=0, "", INDEX(hist_data!$AJ$6:$AZ$256, MATCH(K$13, hist_data!$AJ$6:$AJ$256, 0), MATCH($C66, hist_data!$A$6:$A$21, 0)+1) )</f>
        <v>3.0609999999999999</v>
      </c>
      <c r="L66" s="25" cm="1">
        <f t="array" ref="L66">IF( INDEX(hist_data!$AJ$6:$AZ$256, MATCH(L$13, hist_data!$AJ$6:$AJ$256, 0), MATCH($C66, hist_data!$A$6:$A$21, 0)+1)=0, "", INDEX(hist_data!$AJ$6:$AZ$256, MATCH(L$13, hist_data!$AJ$6:$AJ$256, 0), MATCH($C66, hist_data!$A$6:$A$21, 0)+1) )</f>
        <v>3.0609999999999999</v>
      </c>
      <c r="M66" s="25" cm="1">
        <f t="array" ref="M66">IF( INDEX(hist_data!$AJ$6:$AZ$256, MATCH(M$13, hist_data!$AJ$6:$AJ$256, 0), MATCH($C66, hist_data!$A$6:$A$21, 0)+1)=0, "", INDEX(hist_data!$AJ$6:$AZ$256, MATCH(M$13, hist_data!$AJ$6:$AJ$256, 0), MATCH($C66, hist_data!$A$6:$A$21, 0)+1) )</f>
        <v>2.9849999999999999</v>
      </c>
      <c r="N66" s="25" cm="1">
        <f t="array" ref="N66">IF( INDEX(hist_data!$AJ$6:$AZ$256, MATCH(N$13, hist_data!$AJ$6:$AJ$256, 0), MATCH($C66, hist_data!$A$6:$A$21, 0)+1)=0, "", INDEX(hist_data!$AJ$6:$AZ$256, MATCH(N$13, hist_data!$AJ$6:$AJ$256, 0), MATCH($C66, hist_data!$A$6:$A$21, 0)+1) )</f>
        <v>3.0750000000000002</v>
      </c>
      <c r="O66" s="25" cm="1">
        <f t="array" ref="O66">IF( INDEX(hist_data!$AJ$6:$AZ$256, MATCH(O$13, hist_data!$AJ$6:$AJ$256, 0), MATCH($C66, hist_data!$A$6:$A$21, 0)+1)=0, "", INDEX(hist_data!$AJ$6:$AZ$256, MATCH(O$13, hist_data!$AJ$6:$AJ$256, 0), MATCH($C66, hist_data!$A$6:$A$21, 0)+1) )</f>
        <v>3.1179999999999999</v>
      </c>
      <c r="P66" s="26" cm="1">
        <f t="array" ref="P66">IF( INDEX(hist_data!$AJ$6:$AZ$256, MATCH(P$13, hist_data!$AJ$6:$AJ$256, 0), MATCH($C66, hist_data!$A$6:$A$21, 0)+1)=0, "", INDEX(hist_data!$AJ$6:$AZ$256, MATCH(P$13, hist_data!$AJ$6:$AJ$256, 0), MATCH($C66, hist_data!$A$6:$A$21, 0)+1) )</f>
        <v>3.13</v>
      </c>
      <c r="R66" s="48">
        <f ca="1">IF($E66="", "", AVERAGE( OFFSET( hist_data!$AJ$7, 0, MATCH($C66, hist_data!$A$6:$A$21, 0), R$13 ) ))</f>
        <v>3.0932500000000003</v>
      </c>
      <c r="S66" s="25">
        <f ca="1">IF($E66="","",MAX(OFFSET(hist_data!$AJ$7,0,MATCH($C66,hist_data!$A$6:$A$21,0),S$13)))</f>
        <v>3.1840000000000002</v>
      </c>
      <c r="T66" s="26">
        <f ca="1">IF($E66="","",MIN(OFFSET(hist_data!$AJ$7,0,MATCH($C66,hist_data!$A$6:$A$21,0),T$13)))</f>
        <v>2.9849999999999999</v>
      </c>
      <c r="U66" s="48">
        <f ca="1">IF($E66="", "", AVERAGE( OFFSET( hist_data!$AJ$7, 0, MATCH($C66, hist_data!$A$6:$A$21, 0), U$13 ) ))</f>
        <v>3.2302333333333331</v>
      </c>
      <c r="V66" s="25">
        <f ca="1">IF($E66="","",MAX(OFFSET(hist_data!$AJ$7,0,MATCH($C66,hist_data!$A$6:$A$21,0),V$13)))</f>
        <v>3.4569999999999999</v>
      </c>
      <c r="W66" s="26">
        <f ca="1">IF($E66="","",MIN(OFFSET(hist_data!$AJ$7,0,MATCH($C66,hist_data!$A$6:$A$21,0),W$13)))</f>
        <v>2.9849999999999999</v>
      </c>
      <c r="X66" s="48">
        <f ca="1">IF($E66="", "", AVERAGE( OFFSET( hist_data!$AJ$7, 0, MATCH($C66, hist_data!$A$6:$A$21, 0), X$13 ) ))</f>
        <v>3.3302666666666645</v>
      </c>
      <c r="Y66" s="25">
        <f ca="1">IF($E66="","",MAX(OFFSET(hist_data!$AJ$7,0,MATCH($C66,hist_data!$A$6:$A$21,0),Y$13)))</f>
        <v>3.508</v>
      </c>
      <c r="Z66" s="26">
        <f ca="1">IF($E66="","",MIN(OFFSET(hist_data!$AJ$7,0,MATCH($C66,hist_data!$A$6:$A$21,0),Z$13)))</f>
        <v>2.9849999999999999</v>
      </c>
      <c r="AA66" s="48">
        <f ca="1">IF($E66="", "", AVERAGE( OFFSET( hist_data!$AJ$7, 0, MATCH($C66, hist_data!$A$6:$A$21, 0), AA$13 ) ))</f>
        <v>3.4962200000000001</v>
      </c>
      <c r="AB66" s="25">
        <f ca="1">IF($E66="","",MAX(OFFSET(hist_data!$AJ$7,0,MATCH($C66,hist_data!$A$6:$A$21,0),AB$13)))</f>
        <v>4.0049999999999999</v>
      </c>
      <c r="AC66" s="26">
        <f ca="1">IF($E66="","",MIN(OFFSET(hist_data!$AJ$7,0,MATCH($C66,hist_data!$A$6:$A$21,0),AC$13)))</f>
        <v>2.9849999999999999</v>
      </c>
    </row>
    <row r="67" spans="1:29" s="20" customFormat="1" ht="12.75">
      <c r="C67" s="88" t="s">
        <v>836</v>
      </c>
      <c r="D67" s="89"/>
      <c r="E67" s="47">
        <f t="shared" ref="E67" si="456">IFERROR( (E$57-E66)*100, "")</f>
        <v>-12.1</v>
      </c>
      <c r="F67" s="30">
        <f t="shared" ref="F67" si="457">IFERROR( (F$57-F66)*100, "")</f>
        <v>-12.299999999999978</v>
      </c>
      <c r="G67" s="30">
        <f t="shared" ref="G67" si="458">IFERROR( (G$57-G66)*100, "")</f>
        <v>-10.999999999999988</v>
      </c>
      <c r="H67" s="30">
        <f t="shared" ref="H67" si="459">IFERROR( (H$57-H66)*100, "")</f>
        <v>-10.099999999999998</v>
      </c>
      <c r="I67" s="30">
        <f t="shared" ref="I67" si="460">IFERROR( (I$57-I66)*100, "")</f>
        <v>-10.999999999999988</v>
      </c>
      <c r="J67" s="30">
        <f t="shared" ref="J67" si="461">IFERROR( (J$57-J66)*100, "")</f>
        <v>-12.5</v>
      </c>
      <c r="K67" s="30">
        <f t="shared" ref="K67" si="462">IFERROR( (K$57-K66)*100, "")</f>
        <v>-12.999999999999989</v>
      </c>
      <c r="L67" s="30">
        <f t="shared" ref="L67" si="463">IFERROR( (L$57-L66)*100, "")</f>
        <v>-12.1</v>
      </c>
      <c r="M67" s="30">
        <f t="shared" ref="M67" si="464">IFERROR( (M$57-M66)*100, "")</f>
        <v>-16.999999999999993</v>
      </c>
      <c r="N67" s="30">
        <f t="shared" ref="N67" si="465">IFERROR( (N$57-N66)*100, "")</f>
        <v>-13.900000000000023</v>
      </c>
      <c r="O67" s="30">
        <f t="shared" ref="O67" si="466">IFERROR( (O$57-O66)*100, "")</f>
        <v>-14.299999999999979</v>
      </c>
      <c r="P67" s="31">
        <f t="shared" ref="P67" si="467">IFERROR( (P$57-P66)*100, "")</f>
        <v>-12.999999999999989</v>
      </c>
      <c r="R67" s="47">
        <f t="shared" ref="R67" ca="1" si="468">IFERROR( (R$16-R66)*100, "")</f>
        <v>-12.319999999999931</v>
      </c>
      <c r="S67" s="30">
        <f t="shared" ref="S67" ca="1" si="469">IFERROR( (S$16-S66)*100, "")</f>
        <v>-9.6999999999999975</v>
      </c>
      <c r="T67" s="31">
        <f t="shared" ref="T67" ca="1" si="470">IFERROR( (T$16-T66)*100, "")</f>
        <v>-16.999999999999993</v>
      </c>
      <c r="U67" s="47">
        <f t="shared" ref="U67" ca="1" si="471">IFERROR( (U$16-U66)*100, "")</f>
        <v>-8.3600000000000563</v>
      </c>
      <c r="V67" s="30">
        <f t="shared" ref="V67" ca="1" si="472">IFERROR( (V$16-V66)*100, "")</f>
        <v>-0.49999999999998934</v>
      </c>
      <c r="W67" s="31">
        <f t="shared" ref="W67" ca="1" si="473">IFERROR( (W$16-W66)*100, "")</f>
        <v>-16.999999999999993</v>
      </c>
      <c r="X67" s="47">
        <f t="shared" ref="X67" ca="1" si="474">IFERROR( (X$16-X66)*100, "")</f>
        <v>-6.407499999999855</v>
      </c>
      <c r="Y67" s="30">
        <f t="shared" ref="Y67" ca="1" si="475">IFERROR( (Y$16-Y66)*100, "")</f>
        <v>3.2000000000000028</v>
      </c>
      <c r="Z67" s="31">
        <f t="shared" ref="Z67" ca="1" si="476">IFERROR( (Z$16-Z66)*100, "")</f>
        <v>-16.999999999999993</v>
      </c>
      <c r="AA67" s="47">
        <f t="shared" ref="AA67" ca="1" si="477">IFERROR( (AA$16-AA66)*100, "")</f>
        <v>-4.526800000000053</v>
      </c>
      <c r="AB67" s="30">
        <f t="shared" ref="AB67" ca="1" si="478">IFERROR( (AB$16-AB66)*100, "")</f>
        <v>13.499999999999979</v>
      </c>
      <c r="AC67" s="31">
        <f t="shared" ref="AC67" ca="1" si="479">IFERROR( (AC$16-AC66)*100, "")</f>
        <v>-16.999999999999993</v>
      </c>
    </row>
    <row r="68" spans="1:29" s="20" customFormat="1" ht="12.75">
      <c r="A68" s="20">
        <v>6</v>
      </c>
      <c r="C68" s="24" t="str" cm="1">
        <f t="array" ref="C68">INDEX(hist_data!$A$6:$A$21, Hist!$A68)</f>
        <v>02Y</v>
      </c>
      <c r="D68" s="43"/>
      <c r="E68" s="48" cm="1">
        <f t="array" ref="E68">IF( INDEX(hist_data!$AJ$6:$AZ$256, MATCH(E$13, hist_data!$AJ$6:$AJ$256, 0), MATCH($C68, hist_data!$A$6:$A$21, 0)+1)=0, "", INDEX(hist_data!$AJ$6:$AZ$256, MATCH(E$13, hist_data!$AJ$6:$AJ$256, 0), MATCH($C68, hist_data!$A$6:$A$21, 0)+1) )</f>
        <v>2.9870000000000001</v>
      </c>
      <c r="F68" s="25" cm="1">
        <f t="array" ref="F68">IF( INDEX(hist_data!$AJ$6:$AZ$256, MATCH(F$13, hist_data!$AJ$6:$AJ$256, 0), MATCH($C68, hist_data!$A$6:$A$21, 0)+1)=0, "", INDEX(hist_data!$AJ$6:$AZ$256, MATCH(F$13, hist_data!$AJ$6:$AJ$256, 0), MATCH($C68, hist_data!$A$6:$A$21, 0)+1) )</f>
        <v>2.9529999999999998</v>
      </c>
      <c r="G68" s="25" cm="1">
        <f t="array" ref="G68">IF( INDEX(hist_data!$AJ$6:$AZ$256, MATCH(G$13, hist_data!$AJ$6:$AJ$256, 0), MATCH($C68, hist_data!$A$6:$A$21, 0)+1)=0, "", INDEX(hist_data!$AJ$6:$AZ$256, MATCH(G$13, hist_data!$AJ$6:$AJ$256, 0), MATCH($C68, hist_data!$A$6:$A$21, 0)+1) )</f>
        <v>2.9710000000000001</v>
      </c>
      <c r="H68" s="25" cm="1">
        <f t="array" ref="H68">IF( INDEX(hist_data!$AJ$6:$AZ$256, MATCH(H$13, hist_data!$AJ$6:$AJ$256, 0), MATCH($C68, hist_data!$A$6:$A$21, 0)+1)=0, "", INDEX(hist_data!$AJ$6:$AZ$256, MATCH(H$13, hist_data!$AJ$6:$AJ$256, 0), MATCH($C68, hist_data!$A$6:$A$21, 0)+1) )</f>
        <v>2.9969999999999999</v>
      </c>
      <c r="I68" s="25" cm="1">
        <f t="array" ref="I68">IF( INDEX(hist_data!$AJ$6:$AZ$256, MATCH(I$13, hist_data!$AJ$6:$AJ$256, 0), MATCH($C68, hist_data!$A$6:$A$21, 0)+1)=0, "", INDEX(hist_data!$AJ$6:$AZ$256, MATCH(I$13, hist_data!$AJ$6:$AJ$256, 0), MATCH($C68, hist_data!$A$6:$A$21, 0)+1) )</f>
        <v>2.99</v>
      </c>
      <c r="J68" s="25" cm="1">
        <f t="array" ref="J68">IF( INDEX(hist_data!$AJ$6:$AZ$256, MATCH(J$13, hist_data!$AJ$6:$AJ$256, 0), MATCH($C68, hist_data!$A$6:$A$21, 0)+1)=0, "", INDEX(hist_data!$AJ$6:$AZ$256, MATCH(J$13, hist_data!$AJ$6:$AJ$256, 0), MATCH($C68, hist_data!$A$6:$A$21, 0)+1) )</f>
        <v>2.97</v>
      </c>
      <c r="K68" s="25" cm="1">
        <f t="array" ref="K68">IF( INDEX(hist_data!$AJ$6:$AZ$256, MATCH(K$13, hist_data!$AJ$6:$AJ$256, 0), MATCH($C68, hist_data!$A$6:$A$21, 0)+1)=0, "", INDEX(hist_data!$AJ$6:$AZ$256, MATCH(K$13, hist_data!$AJ$6:$AJ$256, 0), MATCH($C68, hist_data!$A$6:$A$21, 0)+1) )</f>
        <v>2.9849999999999999</v>
      </c>
      <c r="L68" s="25" cm="1">
        <f t="array" ref="L68">IF( INDEX(hist_data!$AJ$6:$AZ$256, MATCH(L$13, hist_data!$AJ$6:$AJ$256, 0), MATCH($C68, hist_data!$A$6:$A$21, 0)+1)=0, "", INDEX(hist_data!$AJ$6:$AZ$256, MATCH(L$13, hist_data!$AJ$6:$AJ$256, 0), MATCH($C68, hist_data!$A$6:$A$21, 0)+1) )</f>
        <v>2.9990000000000001</v>
      </c>
      <c r="M68" s="25" cm="1">
        <f t="array" ref="M68">IF( INDEX(hist_data!$AJ$6:$AZ$256, MATCH(M$13, hist_data!$AJ$6:$AJ$256, 0), MATCH($C68, hist_data!$A$6:$A$21, 0)+1)=0, "", INDEX(hist_data!$AJ$6:$AZ$256, MATCH(M$13, hist_data!$AJ$6:$AJ$256, 0), MATCH($C68, hist_data!$A$6:$A$21, 0)+1) )</f>
        <v>2.89</v>
      </c>
      <c r="N68" s="25" cm="1">
        <f t="array" ref="N68">IF( INDEX(hist_data!$AJ$6:$AZ$256, MATCH(N$13, hist_data!$AJ$6:$AJ$256, 0), MATCH($C68, hist_data!$A$6:$A$21, 0)+1)=0, "", INDEX(hist_data!$AJ$6:$AZ$256, MATCH(N$13, hist_data!$AJ$6:$AJ$256, 0), MATCH($C68, hist_data!$A$6:$A$21, 0)+1) )</f>
        <v>3.0049999999999999</v>
      </c>
      <c r="O68" s="25" cm="1">
        <f t="array" ref="O68">IF( INDEX(hist_data!$AJ$6:$AZ$256, MATCH(O$13, hist_data!$AJ$6:$AJ$256, 0), MATCH($C68, hist_data!$A$6:$A$21, 0)+1)=0, "", INDEX(hist_data!$AJ$6:$AZ$256, MATCH(O$13, hist_data!$AJ$6:$AJ$256, 0), MATCH($C68, hist_data!$A$6:$A$21, 0)+1) )</f>
        <v>3.0379999999999998</v>
      </c>
      <c r="P68" s="26" cm="1">
        <f t="array" ref="P68">IF( INDEX(hist_data!$AJ$6:$AZ$256, MATCH(P$13, hist_data!$AJ$6:$AJ$256, 0), MATCH($C68, hist_data!$A$6:$A$21, 0)+1)=0, "", INDEX(hist_data!$AJ$6:$AZ$256, MATCH(P$13, hist_data!$AJ$6:$AJ$256, 0), MATCH($C68, hist_data!$A$6:$A$21, 0)+1) )</f>
        <v>3.06</v>
      </c>
      <c r="R68" s="48">
        <f ca="1">IF($E68="", "", AVERAGE( OFFSET( hist_data!$AJ$7, 0, MATCH($C68, hist_data!$A$6:$A$21, 0), R$13 ) ))</f>
        <v>3.0284</v>
      </c>
      <c r="S68" s="25">
        <f ca="1">IF($E68="","",MAX(OFFSET(hist_data!$AJ$7,0,MATCH($C68,hist_data!$A$6:$A$21,0),S$13)))</f>
        <v>3.1320000000000001</v>
      </c>
      <c r="T68" s="26">
        <f ca="1">IF($E68="","",MIN(OFFSET(hist_data!$AJ$7,0,MATCH($C68,hist_data!$A$6:$A$21,0),T$13)))</f>
        <v>2.89</v>
      </c>
      <c r="U68" s="48">
        <f ca="1">IF($E68="", "", AVERAGE( OFFSET( hist_data!$AJ$7, 0, MATCH($C68, hist_data!$A$6:$A$21, 0), U$13 ) ))</f>
        <v>3.1927833333333338</v>
      </c>
      <c r="V68" s="25">
        <f ca="1">IF($E68="","",MAX(OFFSET(hist_data!$AJ$7,0,MATCH($C68,hist_data!$A$6:$A$21,0),V$13)))</f>
        <v>3.4529999999999998</v>
      </c>
      <c r="W68" s="26">
        <f ca="1">IF($E68="","",MIN(OFFSET(hist_data!$AJ$7,0,MATCH($C68,hist_data!$A$6:$A$21,0),W$13)))</f>
        <v>2.89</v>
      </c>
      <c r="X68" s="48">
        <f ca="1">IF($E68="", "", AVERAGE( OFFSET( hist_data!$AJ$7, 0, MATCH($C68, hist_data!$A$6:$A$21, 0), X$13 ) ))</f>
        <v>3.3065083333333334</v>
      </c>
      <c r="Y68" s="25">
        <f ca="1">IF($E68="","",MAX(OFFSET(hist_data!$AJ$7,0,MATCH($C68,hist_data!$A$6:$A$21,0),Y$13)))</f>
        <v>3.5249999999999999</v>
      </c>
      <c r="Z68" s="26">
        <f ca="1">IF($E68="","",MIN(OFFSET(hist_data!$AJ$7,0,MATCH($C68,hist_data!$A$6:$A$21,0),Z$13)))</f>
        <v>2.89</v>
      </c>
      <c r="AA68" s="48">
        <f ca="1">IF($E68="", "", AVERAGE( OFFSET( hist_data!$AJ$7, 0, MATCH($C68, hist_data!$A$6:$A$21, 0), AA$13 ) ))</f>
        <v>3.484900000000001</v>
      </c>
      <c r="AB68" s="25">
        <f ca="1">IF($E68="","",MAX(OFFSET(hist_data!$AJ$7,0,MATCH($C68,hist_data!$A$6:$A$21,0),AB$13)))</f>
        <v>4.0999999999999996</v>
      </c>
      <c r="AC68" s="26">
        <f ca="1">IF($E68="","",MIN(OFFSET(hist_data!$AJ$7,0,MATCH($C68,hist_data!$A$6:$A$21,0),AC$13)))</f>
        <v>2.89</v>
      </c>
    </row>
    <row r="69" spans="1:29" s="20" customFormat="1" ht="12.75">
      <c r="C69" s="88" t="s">
        <v>836</v>
      </c>
      <c r="D69" s="89"/>
      <c r="E69" s="47">
        <f t="shared" ref="E69" si="480">IFERROR( (E$57-E68)*100, "")</f>
        <v>-6.4999999999999947</v>
      </c>
      <c r="F69" s="30">
        <f t="shared" ref="F69" si="481">IFERROR( (F$57-F68)*100, "")</f>
        <v>-6.5999999999999837</v>
      </c>
      <c r="G69" s="30">
        <f t="shared" ref="G69" si="482">IFERROR( (G$57-G68)*100, "")</f>
        <v>-5.600000000000005</v>
      </c>
      <c r="H69" s="30">
        <f t="shared" ref="H69" si="483">IFERROR( (H$57-H68)*100, "")</f>
        <v>-5.2000000000000046</v>
      </c>
      <c r="I69" s="30">
        <f t="shared" ref="I69" si="484">IFERROR( (I$57-I68)*100, "")</f>
        <v>-5.0000000000000266</v>
      </c>
      <c r="J69" s="30">
        <f t="shared" ref="J69" si="485">IFERROR( (J$57-J68)*100, "")</f>
        <v>-5.1000000000000156</v>
      </c>
      <c r="K69" s="30">
        <f t="shared" ref="K69" si="486">IFERROR( (K$57-K68)*100, "")</f>
        <v>-5.3999999999999826</v>
      </c>
      <c r="L69" s="30">
        <f t="shared" ref="L69" si="487">IFERROR( (L$57-L68)*100, "")</f>
        <v>-5.9000000000000163</v>
      </c>
      <c r="M69" s="30">
        <f t="shared" ref="M69" si="488">IFERROR( (M$57-M68)*100, "")</f>
        <v>-7.5000000000000178</v>
      </c>
      <c r="N69" s="30">
        <f t="shared" ref="N69" si="489">IFERROR( (N$57-N68)*100, "")</f>
        <v>-6.899999999999995</v>
      </c>
      <c r="O69" s="30">
        <f t="shared" ref="O69" si="490">IFERROR( (O$57-O68)*100, "")</f>
        <v>-6.2999999999999723</v>
      </c>
      <c r="P69" s="31">
        <f t="shared" ref="P69" si="491">IFERROR( (P$57-P68)*100, "")</f>
        <v>-6.0000000000000053</v>
      </c>
      <c r="R69" s="47">
        <f t="shared" ref="R69" ca="1" si="492">IFERROR( (R$16-R68)*100, "")</f>
        <v>-5.8349999999999014</v>
      </c>
      <c r="S69" s="30">
        <f t="shared" ref="S69" ca="1" si="493">IFERROR( (S$16-S68)*100, "")</f>
        <v>-4.4999999999999929</v>
      </c>
      <c r="T69" s="31">
        <f t="shared" ref="T69" ca="1" si="494">IFERROR( (T$16-T68)*100, "")</f>
        <v>-7.5000000000000178</v>
      </c>
      <c r="U69" s="47">
        <f t="shared" ref="U69" ca="1" si="495">IFERROR( (U$16-U68)*100, "")</f>
        <v>-4.6150000000001246</v>
      </c>
      <c r="V69" s="30">
        <f t="shared" ref="V69" ca="1" si="496">IFERROR( (V$16-V68)*100, "")</f>
        <v>-9.9999999999988987E-2</v>
      </c>
      <c r="W69" s="31">
        <f t="shared" ref="W69" ca="1" si="497">IFERROR( (W$16-W68)*100, "")</f>
        <v>-7.5000000000000178</v>
      </c>
      <c r="X69" s="47">
        <f t="shared" ref="X69" ca="1" si="498">IFERROR( (X$16-X68)*100, "")</f>
        <v>-4.0316666666667444</v>
      </c>
      <c r="Y69" s="30">
        <f t="shared" ref="Y69" ca="1" si="499">IFERROR( (Y$16-Y68)*100, "")</f>
        <v>1.5000000000000124</v>
      </c>
      <c r="Z69" s="31">
        <f t="shared" ref="Z69" ca="1" si="500">IFERROR( (Z$16-Z68)*100, "")</f>
        <v>-7.5000000000000178</v>
      </c>
      <c r="AA69" s="47">
        <f t="shared" ref="AA69" ca="1" si="501">IFERROR( (AA$16-AA68)*100, "")</f>
        <v>-3.3948000000001421</v>
      </c>
      <c r="AB69" s="30">
        <f t="shared" ref="AB69" ca="1" si="502">IFERROR( (AB$16-AB68)*100, "")</f>
        <v>4.0000000000000036</v>
      </c>
      <c r="AC69" s="31">
        <f t="shared" ref="AC69" ca="1" si="503">IFERROR( (AC$16-AC68)*100, "")</f>
        <v>-7.5000000000000178</v>
      </c>
    </row>
    <row r="70" spans="1:29" s="20" customFormat="1" ht="12.75">
      <c r="A70" s="20">
        <v>7</v>
      </c>
      <c r="C70" s="24" t="str" cm="1">
        <f t="array" ref="C70">INDEX(hist_data!$A$6:$A$21, Hist!$A70)</f>
        <v>2.5Y</v>
      </c>
      <c r="D70" s="43"/>
      <c r="E70" s="48" cm="1">
        <f t="array" ref="E70">IF( INDEX(hist_data!$AJ$6:$AZ$256, MATCH(E$13, hist_data!$AJ$6:$AJ$256, 0), MATCH($C70, hist_data!$A$6:$A$21, 0)+1)=0, "", INDEX(hist_data!$AJ$6:$AZ$256, MATCH(E$13, hist_data!$AJ$6:$AJ$256, 0), MATCH($C70, hist_data!$A$6:$A$21, 0)+1) )</f>
        <v>2.9929999999999999</v>
      </c>
      <c r="F70" s="25" cm="1">
        <f t="array" ref="F70">IF( INDEX(hist_data!$AJ$6:$AZ$256, MATCH(F$13, hist_data!$AJ$6:$AJ$256, 0), MATCH($C70, hist_data!$A$6:$A$21, 0)+1)=0, "", INDEX(hist_data!$AJ$6:$AZ$256, MATCH(F$13, hist_data!$AJ$6:$AJ$256, 0), MATCH($C70, hist_data!$A$6:$A$21, 0)+1) )</f>
        <v>2.9590000000000001</v>
      </c>
      <c r="G70" s="25" cm="1">
        <f t="array" ref="G70">IF( INDEX(hist_data!$AJ$6:$AZ$256, MATCH(G$13, hist_data!$AJ$6:$AJ$256, 0), MATCH($C70, hist_data!$A$6:$A$21, 0)+1)=0, "", INDEX(hist_data!$AJ$6:$AZ$256, MATCH(G$13, hist_data!$AJ$6:$AJ$256, 0), MATCH($C70, hist_data!$A$6:$A$21, 0)+1) )</f>
        <v>2.984</v>
      </c>
      <c r="H70" s="25" cm="1">
        <f t="array" ref="H70">IF( INDEX(hist_data!$AJ$6:$AZ$256, MATCH(H$13, hist_data!$AJ$6:$AJ$256, 0), MATCH($C70, hist_data!$A$6:$A$21, 0)+1)=0, "", INDEX(hist_data!$AJ$6:$AZ$256, MATCH(H$13, hist_data!$AJ$6:$AJ$256, 0), MATCH($C70, hist_data!$A$6:$A$21, 0)+1) )</f>
        <v>3.008</v>
      </c>
      <c r="I70" s="25" cm="1">
        <f t="array" ref="I70">IF( INDEX(hist_data!$AJ$6:$AZ$256, MATCH(I$13, hist_data!$AJ$6:$AJ$256, 0), MATCH($C70, hist_data!$A$6:$A$21, 0)+1)=0, "", INDEX(hist_data!$AJ$6:$AZ$256, MATCH(I$13, hist_data!$AJ$6:$AJ$256, 0), MATCH($C70, hist_data!$A$6:$A$21, 0)+1) )</f>
        <v>3.0019999999999998</v>
      </c>
      <c r="J70" s="25" cm="1">
        <f t="array" ref="J70">IF( INDEX(hist_data!$AJ$6:$AZ$256, MATCH(J$13, hist_data!$AJ$6:$AJ$256, 0), MATCH($C70, hist_data!$A$6:$A$21, 0)+1)=0, "", INDEX(hist_data!$AJ$6:$AZ$256, MATCH(J$13, hist_data!$AJ$6:$AJ$256, 0), MATCH($C70, hist_data!$A$6:$A$21, 0)+1) )</f>
        <v>2.98</v>
      </c>
      <c r="K70" s="25" cm="1">
        <f t="array" ref="K70">IF( INDEX(hist_data!$AJ$6:$AZ$256, MATCH(K$13, hist_data!$AJ$6:$AJ$256, 0), MATCH($C70, hist_data!$A$6:$A$21, 0)+1)=0, "", INDEX(hist_data!$AJ$6:$AZ$256, MATCH(K$13, hist_data!$AJ$6:$AJ$256, 0), MATCH($C70, hist_data!$A$6:$A$21, 0)+1) )</f>
        <v>2.9950000000000001</v>
      </c>
      <c r="L70" s="25" cm="1">
        <f t="array" ref="L70">IF( INDEX(hist_data!$AJ$6:$AZ$256, MATCH(L$13, hist_data!$AJ$6:$AJ$256, 0), MATCH($C70, hist_data!$A$6:$A$21, 0)+1)=0, "", INDEX(hist_data!$AJ$6:$AZ$256, MATCH(L$13, hist_data!$AJ$6:$AJ$256, 0), MATCH($C70, hist_data!$A$6:$A$21, 0)+1) )</f>
        <v>3.0030000000000001</v>
      </c>
      <c r="M70" s="25" cm="1">
        <f t="array" ref="M70">IF( INDEX(hist_data!$AJ$6:$AZ$256, MATCH(M$13, hist_data!$AJ$6:$AJ$256, 0), MATCH($C70, hist_data!$A$6:$A$21, 0)+1)=0, "", INDEX(hist_data!$AJ$6:$AZ$256, MATCH(M$13, hist_data!$AJ$6:$AJ$256, 0), MATCH($C70, hist_data!$A$6:$A$21, 0)+1) )</f>
        <v>2.887</v>
      </c>
      <c r="N70" s="25" cm="1">
        <f t="array" ref="N70">IF( INDEX(hist_data!$AJ$6:$AZ$256, MATCH(N$13, hist_data!$AJ$6:$AJ$256, 0), MATCH($C70, hist_data!$A$6:$A$21, 0)+1)=0, "", INDEX(hist_data!$AJ$6:$AZ$256, MATCH(N$13, hist_data!$AJ$6:$AJ$256, 0), MATCH($C70, hist_data!$A$6:$A$21, 0)+1) )</f>
        <v>3.0049999999999999</v>
      </c>
      <c r="O70" s="25" cm="1">
        <f t="array" ref="O70">IF( INDEX(hist_data!$AJ$6:$AZ$256, MATCH(O$13, hist_data!$AJ$6:$AJ$256, 0), MATCH($C70, hist_data!$A$6:$A$21, 0)+1)=0, "", INDEX(hist_data!$AJ$6:$AZ$256, MATCH(O$13, hist_data!$AJ$6:$AJ$256, 0), MATCH($C70, hist_data!$A$6:$A$21, 0)+1) )</f>
        <v>3.0449999999999999</v>
      </c>
      <c r="P70" s="26" cm="1">
        <f t="array" ref="P70">IF( INDEX(hist_data!$AJ$6:$AZ$256, MATCH(P$13, hist_data!$AJ$6:$AJ$256, 0), MATCH($C70, hist_data!$A$6:$A$21, 0)+1)=0, "", INDEX(hist_data!$AJ$6:$AZ$256, MATCH(P$13, hist_data!$AJ$6:$AJ$256, 0), MATCH($C70, hist_data!$A$6:$A$21, 0)+1) )</f>
        <v>3.07</v>
      </c>
      <c r="R70" s="48">
        <f ca="1">IF($E70="", "", AVERAGE( OFFSET( hist_data!$AJ$7, 0, MATCH($C70, hist_data!$A$6:$A$21, 0), R$13 ) ))</f>
        <v>3.0378499999999997</v>
      </c>
      <c r="S70" s="25">
        <f ca="1">IF($E70="","",MAX(OFFSET(hist_data!$AJ$7,0,MATCH($C70,hist_data!$A$6:$A$21,0),S$13)))</f>
        <v>3.1509999999999998</v>
      </c>
      <c r="T70" s="26">
        <f ca="1">IF($E70="","",MIN(OFFSET(hist_data!$AJ$7,0,MATCH($C70,hist_data!$A$6:$A$21,0),T$13)))</f>
        <v>2.887</v>
      </c>
      <c r="U70" s="48">
        <f ca="1">IF($E70="", "", AVERAGE( OFFSET( hist_data!$AJ$7, 0, MATCH($C70, hist_data!$A$6:$A$21, 0), U$13 ) ))</f>
        <v>3.2064166666666671</v>
      </c>
      <c r="V70" s="25">
        <f ca="1">IF($E70="","",MAX(OFFSET(hist_data!$AJ$7,0,MATCH($C70,hist_data!$A$6:$A$21,0),V$13)))</f>
        <v>3.472</v>
      </c>
      <c r="W70" s="26">
        <f ca="1">IF($E70="","",MIN(OFFSET(hist_data!$AJ$7,0,MATCH($C70,hist_data!$A$6:$A$21,0),W$13)))</f>
        <v>2.887</v>
      </c>
      <c r="X70" s="48">
        <f ca="1">IF($E70="", "", AVERAGE( OFFSET( hist_data!$AJ$7, 0, MATCH($C70, hist_data!$A$6:$A$21, 0), X$13 ) ))</f>
        <v>3.3227833333333336</v>
      </c>
      <c r="Y70" s="25">
        <f ca="1">IF($E70="","",MAX(OFFSET(hist_data!$AJ$7,0,MATCH($C70,hist_data!$A$6:$A$21,0),Y$13)))</f>
        <v>3.5539999999999998</v>
      </c>
      <c r="Z70" s="26">
        <f ca="1">IF($E70="","",MIN(OFFSET(hist_data!$AJ$7,0,MATCH($C70,hist_data!$A$6:$A$21,0),Z$13)))</f>
        <v>2.887</v>
      </c>
      <c r="AA70" s="48">
        <f ca="1">IF($E70="", "", AVERAGE( OFFSET( hist_data!$AJ$7, 0, MATCH($C70, hist_data!$A$6:$A$21, 0), AA$13 ) ))</f>
        <v>3.5170080000000028</v>
      </c>
      <c r="AB70" s="25">
        <f ca="1">IF($E70="","",MAX(OFFSET(hist_data!$AJ$7,0,MATCH($C70,hist_data!$A$6:$A$21,0),AB$13)))</f>
        <v>4.1970000000000001</v>
      </c>
      <c r="AC70" s="26">
        <f ca="1">IF($E70="","",MIN(OFFSET(hist_data!$AJ$7,0,MATCH($C70,hist_data!$A$6:$A$21,0),AC$13)))</f>
        <v>2.887</v>
      </c>
    </row>
    <row r="71" spans="1:29" s="20" customFormat="1" ht="12.75">
      <c r="C71" s="88" t="s">
        <v>836</v>
      </c>
      <c r="D71" s="89"/>
      <c r="E71" s="47">
        <f t="shared" ref="E71" si="504">IFERROR( (E$57-E70)*100, "")</f>
        <v>-7.099999999999973</v>
      </c>
      <c r="F71" s="30">
        <f t="shared" ref="F71" si="505">IFERROR( (F$57-F70)*100, "")</f>
        <v>-7.2000000000000064</v>
      </c>
      <c r="G71" s="30">
        <f t="shared" ref="G71" si="506">IFERROR( (G$57-G70)*100, "")</f>
        <v>-6.899999999999995</v>
      </c>
      <c r="H71" s="30">
        <f t="shared" ref="H71" si="507">IFERROR( (H$57-H70)*100, "")</f>
        <v>-6.3000000000000167</v>
      </c>
      <c r="I71" s="30">
        <f t="shared" ref="I71" si="508">IFERROR( (I$57-I70)*100, "")</f>
        <v>-6.1999999999999833</v>
      </c>
      <c r="J71" s="30">
        <f t="shared" ref="J71" si="509">IFERROR( (J$57-J70)*100, "")</f>
        <v>-6.0999999999999943</v>
      </c>
      <c r="K71" s="30">
        <f t="shared" ref="K71" si="510">IFERROR( (K$57-K70)*100, "")</f>
        <v>-6.4000000000000057</v>
      </c>
      <c r="L71" s="30">
        <f t="shared" ref="L71" si="511">IFERROR( (L$57-L70)*100, "")</f>
        <v>-6.3000000000000167</v>
      </c>
      <c r="M71" s="30">
        <f t="shared" ref="M71" si="512">IFERROR( (M$57-M70)*100, "")</f>
        <v>-7.2000000000000064</v>
      </c>
      <c r="N71" s="30">
        <f t="shared" ref="N71" si="513">IFERROR( (N$57-N70)*100, "")</f>
        <v>-6.899999999999995</v>
      </c>
      <c r="O71" s="30">
        <f t="shared" ref="O71" si="514">IFERROR( (O$57-O70)*100, "")</f>
        <v>-6.999999999999984</v>
      </c>
      <c r="P71" s="31">
        <f t="shared" ref="P71" si="515">IFERROR( (P$57-P70)*100, "")</f>
        <v>-6.999999999999984</v>
      </c>
      <c r="R71" s="47">
        <f t="shared" ref="R71" ca="1" si="516">IFERROR( (R$16-R70)*100, "")</f>
        <v>-6.779999999999875</v>
      </c>
      <c r="S71" s="30">
        <f t="shared" ref="S71" ca="1" si="517">IFERROR( (S$16-S70)*100, "")</f>
        <v>-6.3999999999999613</v>
      </c>
      <c r="T71" s="31">
        <f t="shared" ref="T71" ca="1" si="518">IFERROR( (T$16-T70)*100, "")</f>
        <v>-7.2000000000000064</v>
      </c>
      <c r="U71" s="47">
        <f t="shared" ref="U71" ca="1" si="519">IFERROR( (U$16-U70)*100, "")</f>
        <v>-5.9783333333334632</v>
      </c>
      <c r="V71" s="30">
        <f t="shared" ref="V71" ca="1" si="520">IFERROR( (V$16-V70)*100, "")</f>
        <v>-2.0000000000000018</v>
      </c>
      <c r="W71" s="31">
        <f t="shared" ref="W71" ca="1" si="521">IFERROR( (W$16-W70)*100, "")</f>
        <v>-7.2000000000000064</v>
      </c>
      <c r="X71" s="47">
        <f t="shared" ref="X71" ca="1" si="522">IFERROR( (X$16-X70)*100, "")</f>
        <v>-5.6591666666667706</v>
      </c>
      <c r="Y71" s="30">
        <f t="shared" ref="Y71" ca="1" si="523">IFERROR( (Y$16-Y70)*100, "")</f>
        <v>-1.399999999999979</v>
      </c>
      <c r="Z71" s="31">
        <f t="shared" ref="Z71" ca="1" si="524">IFERROR( (Z$16-Z70)*100, "")</f>
        <v>-7.2000000000000064</v>
      </c>
      <c r="AA71" s="47">
        <f t="shared" ref="AA71" ca="1" si="525">IFERROR( (AA$16-AA70)*100, "")</f>
        <v>-6.6056000000003223</v>
      </c>
      <c r="AB71" s="30">
        <f t="shared" ref="AB71" ca="1" si="526">IFERROR( (AB$16-AB70)*100, "")</f>
        <v>-5.7000000000000384</v>
      </c>
      <c r="AC71" s="31">
        <f t="shared" ref="AC71" ca="1" si="527">IFERROR( (AC$16-AC70)*100, "")</f>
        <v>-7.2000000000000064</v>
      </c>
    </row>
    <row r="72" spans="1:29" s="20" customFormat="1" ht="12.75">
      <c r="A72" s="20">
        <v>8</v>
      </c>
      <c r="C72" s="24" t="str" cm="1">
        <f t="array" ref="C72">INDEX(hist_data!$A$6:$A$21, Hist!$A72)</f>
        <v>03Y</v>
      </c>
      <c r="D72" s="43"/>
      <c r="E72" s="48" cm="1">
        <f t="array" ref="E72">IF( INDEX(hist_data!$AJ$6:$AZ$256, MATCH(E$13, hist_data!$AJ$6:$AJ$256, 0), MATCH($C72, hist_data!$A$6:$A$21, 0)+1)=0, "", INDEX(hist_data!$AJ$6:$AZ$256, MATCH(E$13, hist_data!$AJ$6:$AJ$256, 0), MATCH($C72, hist_data!$A$6:$A$21, 0)+1) )</f>
        <v>2.9940000000000002</v>
      </c>
      <c r="F72" s="25" cm="1">
        <f t="array" ref="F72">IF( INDEX(hist_data!$AJ$6:$AZ$256, MATCH(F$13, hist_data!$AJ$6:$AJ$256, 0), MATCH($C72, hist_data!$A$6:$A$21, 0)+1)=0, "", INDEX(hist_data!$AJ$6:$AZ$256, MATCH(F$13, hist_data!$AJ$6:$AJ$256, 0), MATCH($C72, hist_data!$A$6:$A$21, 0)+1) )</f>
        <v>2.9590000000000001</v>
      </c>
      <c r="G72" s="25" cm="1">
        <f t="array" ref="G72">IF( INDEX(hist_data!$AJ$6:$AZ$256, MATCH(G$13, hist_data!$AJ$6:$AJ$256, 0), MATCH($C72, hist_data!$A$6:$A$21, 0)+1)=0, "", INDEX(hist_data!$AJ$6:$AZ$256, MATCH(G$13, hist_data!$AJ$6:$AJ$256, 0), MATCH($C72, hist_data!$A$6:$A$21, 0)+1) )</f>
        <v>2.988</v>
      </c>
      <c r="H72" s="25" cm="1">
        <f t="array" ref="H72">IF( INDEX(hist_data!$AJ$6:$AZ$256, MATCH(H$13, hist_data!$AJ$6:$AJ$256, 0), MATCH($C72, hist_data!$A$6:$A$21, 0)+1)=0, "", INDEX(hist_data!$AJ$6:$AZ$256, MATCH(H$13, hist_data!$AJ$6:$AJ$256, 0), MATCH($C72, hist_data!$A$6:$A$21, 0)+1) )</f>
        <v>3.01</v>
      </c>
      <c r="I72" s="25" cm="1">
        <f t="array" ref="I72">IF( INDEX(hist_data!$AJ$6:$AZ$256, MATCH(I$13, hist_data!$AJ$6:$AJ$256, 0), MATCH($C72, hist_data!$A$6:$A$21, 0)+1)=0, "", INDEX(hist_data!$AJ$6:$AZ$256, MATCH(I$13, hist_data!$AJ$6:$AJ$256, 0), MATCH($C72, hist_data!$A$6:$A$21, 0)+1) )</f>
        <v>3.0049999999999999</v>
      </c>
      <c r="J72" s="25" cm="1">
        <f t="array" ref="J72">IF( INDEX(hist_data!$AJ$6:$AZ$256, MATCH(J$13, hist_data!$AJ$6:$AJ$256, 0), MATCH($C72, hist_data!$A$6:$A$21, 0)+1)=0, "", INDEX(hist_data!$AJ$6:$AZ$256, MATCH(J$13, hist_data!$AJ$6:$AJ$256, 0), MATCH($C72, hist_data!$A$6:$A$21, 0)+1) )</f>
        <v>2.9849999999999999</v>
      </c>
      <c r="K72" s="25" cm="1">
        <f t="array" ref="K72">IF( INDEX(hist_data!$AJ$6:$AZ$256, MATCH(K$13, hist_data!$AJ$6:$AJ$256, 0), MATCH($C72, hist_data!$A$6:$A$21, 0)+1)=0, "", INDEX(hist_data!$AJ$6:$AZ$256, MATCH(K$13, hist_data!$AJ$6:$AJ$256, 0), MATCH($C72, hist_data!$A$6:$A$21, 0)+1) )</f>
        <v>2.9969999999999999</v>
      </c>
      <c r="L72" s="25" cm="1">
        <f t="array" ref="L72">IF( INDEX(hist_data!$AJ$6:$AZ$256, MATCH(L$13, hist_data!$AJ$6:$AJ$256, 0), MATCH($C72, hist_data!$A$6:$A$21, 0)+1)=0, "", INDEX(hist_data!$AJ$6:$AZ$256, MATCH(L$13, hist_data!$AJ$6:$AJ$256, 0), MATCH($C72, hist_data!$A$6:$A$21, 0)+1) )</f>
        <v>3.0049999999999999</v>
      </c>
      <c r="M72" s="25" cm="1">
        <f t="array" ref="M72">IF( INDEX(hist_data!$AJ$6:$AZ$256, MATCH(M$13, hist_data!$AJ$6:$AJ$256, 0), MATCH($C72, hist_data!$A$6:$A$21, 0)+1)=0, "", INDEX(hist_data!$AJ$6:$AZ$256, MATCH(M$13, hist_data!$AJ$6:$AJ$256, 0), MATCH($C72, hist_data!$A$6:$A$21, 0)+1) )</f>
        <v>2.8849999999999998</v>
      </c>
      <c r="N72" s="25" cm="1">
        <f t="array" ref="N72">IF( INDEX(hist_data!$AJ$6:$AZ$256, MATCH(N$13, hist_data!$AJ$6:$AJ$256, 0), MATCH($C72, hist_data!$A$6:$A$21, 0)+1)=0, "", INDEX(hist_data!$AJ$6:$AZ$256, MATCH(N$13, hist_data!$AJ$6:$AJ$256, 0), MATCH($C72, hist_data!$A$6:$A$21, 0)+1) )</f>
        <v>3.0049999999999999</v>
      </c>
      <c r="O72" s="25" cm="1">
        <f t="array" ref="O72">IF( INDEX(hist_data!$AJ$6:$AZ$256, MATCH(O$13, hist_data!$AJ$6:$AJ$256, 0), MATCH($C72, hist_data!$A$6:$A$21, 0)+1)=0, "", INDEX(hist_data!$AJ$6:$AZ$256, MATCH(O$13, hist_data!$AJ$6:$AJ$256, 0), MATCH($C72, hist_data!$A$6:$A$21, 0)+1) )</f>
        <v>3.0419999999999998</v>
      </c>
      <c r="P72" s="26" cm="1">
        <f t="array" ref="P72">IF( INDEX(hist_data!$AJ$6:$AZ$256, MATCH(P$13, hist_data!$AJ$6:$AJ$256, 0), MATCH($C72, hist_data!$A$6:$A$21, 0)+1)=0, "", INDEX(hist_data!$AJ$6:$AZ$256, MATCH(P$13, hist_data!$AJ$6:$AJ$256, 0), MATCH($C72, hist_data!$A$6:$A$21, 0)+1) )</f>
        <v>3.0659999999999998</v>
      </c>
      <c r="R72" s="48">
        <f ca="1">IF($E72="", "", AVERAGE( OFFSET( hist_data!$AJ$7, 0, MATCH($C72, hist_data!$A$6:$A$21, 0), R$13 ) ))</f>
        <v>3.0373000000000001</v>
      </c>
      <c r="S72" s="25">
        <f ca="1">IF($E72="","",MAX(OFFSET(hist_data!$AJ$7,0,MATCH($C72,hist_data!$A$6:$A$21,0),S$13)))</f>
        <v>3.1520000000000001</v>
      </c>
      <c r="T72" s="26">
        <f ca="1">IF($E72="","",MIN(OFFSET(hist_data!$AJ$7,0,MATCH($C72,hist_data!$A$6:$A$21,0),T$13)))</f>
        <v>2.8849999999999998</v>
      </c>
      <c r="U72" s="48">
        <f ca="1">IF($E72="", "", AVERAGE( OFFSET( hist_data!$AJ$7, 0, MATCH($C72, hist_data!$A$6:$A$21, 0), U$13 ) ))</f>
        <v>3.2067500000000009</v>
      </c>
      <c r="V72" s="25">
        <f ca="1">IF($E72="","",MAX(OFFSET(hist_data!$AJ$7,0,MATCH($C72,hist_data!$A$6:$A$21,0),V$13)))</f>
        <v>3.476</v>
      </c>
      <c r="W72" s="26">
        <f ca="1">IF($E72="","",MIN(OFFSET(hist_data!$AJ$7,0,MATCH($C72,hist_data!$A$6:$A$21,0),W$13)))</f>
        <v>2.8849999999999998</v>
      </c>
      <c r="X72" s="48">
        <f ca="1">IF($E72="", "", AVERAGE( OFFSET( hist_data!$AJ$7, 0, MATCH($C72, hist_data!$A$6:$A$21, 0), X$13 ) ))</f>
        <v>3.3201416666666677</v>
      </c>
      <c r="Y72" s="25">
        <f ca="1">IF($E72="","",MAX(OFFSET(hist_data!$AJ$7,0,MATCH($C72,hist_data!$A$6:$A$21,0),Y$13)))</f>
        <v>3.5640000000000001</v>
      </c>
      <c r="Z72" s="26">
        <f ca="1">IF($E72="","",MIN(OFFSET(hist_data!$AJ$7,0,MATCH($C72,hist_data!$A$6:$A$21,0),Z$13)))</f>
        <v>2.8849999999999998</v>
      </c>
      <c r="AA72" s="48">
        <f ca="1">IF($E72="", "", AVERAGE( OFFSET( hist_data!$AJ$7, 0, MATCH($C72, hist_data!$A$6:$A$21, 0), AA$13 ) ))</f>
        <v>3.5227120000000021</v>
      </c>
      <c r="AB72" s="25">
        <f ca="1">IF($E72="","",MAX(OFFSET(hist_data!$AJ$7,0,MATCH($C72,hist_data!$A$6:$A$21,0),AB$13)))</f>
        <v>4.2249999999999996</v>
      </c>
      <c r="AC72" s="26">
        <f ca="1">IF($E72="","",MIN(OFFSET(hist_data!$AJ$7,0,MATCH($C72,hist_data!$A$6:$A$21,0),AC$13)))</f>
        <v>2.8849999999999998</v>
      </c>
    </row>
    <row r="73" spans="1:29" s="20" customFormat="1" ht="12.75">
      <c r="C73" s="88" t="s">
        <v>836</v>
      </c>
      <c r="D73" s="89"/>
      <c r="E73" s="47">
        <f t="shared" ref="E73" si="528">IFERROR( (E$57-E72)*100, "")</f>
        <v>-7.2000000000000064</v>
      </c>
      <c r="F73" s="30">
        <f t="shared" ref="F73" si="529">IFERROR( (F$57-F72)*100, "")</f>
        <v>-7.2000000000000064</v>
      </c>
      <c r="G73" s="30">
        <f t="shared" ref="G73" si="530">IFERROR( (G$57-G72)*100, "")</f>
        <v>-7.2999999999999954</v>
      </c>
      <c r="H73" s="30">
        <f t="shared" ref="H73" si="531">IFERROR( (H$57-H72)*100, "")</f>
        <v>-6.4999999999999947</v>
      </c>
      <c r="I73" s="30">
        <f t="shared" ref="I73" si="532">IFERROR( (I$57-I72)*100, "")</f>
        <v>-6.4999999999999947</v>
      </c>
      <c r="J73" s="30">
        <f t="shared" ref="J73" si="533">IFERROR( (J$57-J72)*100, "")</f>
        <v>-6.5999999999999837</v>
      </c>
      <c r="K73" s="30">
        <f t="shared" ref="K73" si="534">IFERROR( (K$57-K72)*100, "")</f>
        <v>-6.5999999999999837</v>
      </c>
      <c r="L73" s="30">
        <f t="shared" ref="L73" si="535">IFERROR( (L$57-L72)*100, "")</f>
        <v>-6.4999999999999947</v>
      </c>
      <c r="M73" s="30">
        <f t="shared" ref="M73" si="536">IFERROR( (M$57-M72)*100, "")</f>
        <v>-6.999999999999984</v>
      </c>
      <c r="N73" s="30">
        <f t="shared" ref="N73" si="537">IFERROR( (N$57-N72)*100, "")</f>
        <v>-6.899999999999995</v>
      </c>
      <c r="O73" s="30">
        <f t="shared" ref="O73" si="538">IFERROR( (O$57-O72)*100, "")</f>
        <v>-6.6999999999999726</v>
      </c>
      <c r="P73" s="31">
        <f t="shared" ref="P73" si="539">IFERROR( (P$57-P72)*100, "")</f>
        <v>-6.5999999999999837</v>
      </c>
      <c r="R73" s="47">
        <f t="shared" ref="R73" ca="1" si="540">IFERROR( (R$16-R72)*100, "")</f>
        <v>-6.7249999999999144</v>
      </c>
      <c r="S73" s="30">
        <f t="shared" ref="S73" ca="1" si="541">IFERROR( (S$16-S72)*100, "")</f>
        <v>-6.4999999999999947</v>
      </c>
      <c r="T73" s="31">
        <f t="shared" ref="T73" ca="1" si="542">IFERROR( (T$16-T72)*100, "")</f>
        <v>-6.999999999999984</v>
      </c>
      <c r="U73" s="47">
        <f t="shared" ref="U73" ca="1" si="543">IFERROR( (U$16-U72)*100, "")</f>
        <v>-6.0116666666668372</v>
      </c>
      <c r="V73" s="30">
        <f t="shared" ref="V73" ca="1" si="544">IFERROR( (V$16-V72)*100, "")</f>
        <v>-2.4000000000000021</v>
      </c>
      <c r="W73" s="31">
        <f t="shared" ref="W73" ca="1" si="545">IFERROR( (W$16-W72)*100, "")</f>
        <v>-6.999999999999984</v>
      </c>
      <c r="X73" s="47">
        <f t="shared" ref="X73" ca="1" si="546">IFERROR( (X$16-X72)*100, "")</f>
        <v>-5.3950000000001719</v>
      </c>
      <c r="Y73" s="30">
        <f t="shared" ref="Y73" ca="1" si="547">IFERROR( (Y$16-Y72)*100, "")</f>
        <v>-2.4000000000000021</v>
      </c>
      <c r="Z73" s="31">
        <f t="shared" ref="Z73" ca="1" si="548">IFERROR( (Z$16-Z72)*100, "")</f>
        <v>-6.999999999999984</v>
      </c>
      <c r="AA73" s="47">
        <f t="shared" ref="AA73" ca="1" si="549">IFERROR( (AA$16-AA72)*100, "")</f>
        <v>-7.1760000000002488</v>
      </c>
      <c r="AB73" s="30">
        <f t="shared" ref="AB73" ca="1" si="550">IFERROR( (AB$16-AB72)*100, "")</f>
        <v>-8.4999999999999964</v>
      </c>
      <c r="AC73" s="31">
        <f t="shared" ref="AC73" ca="1" si="551">IFERROR( (AC$16-AC72)*100, "")</f>
        <v>-6.999999999999984</v>
      </c>
    </row>
    <row r="74" spans="1:29" s="20" customFormat="1" ht="12.75">
      <c r="A74" s="20">
        <v>9</v>
      </c>
      <c r="C74" s="24" t="str" cm="1">
        <f t="array" ref="C74">INDEX(hist_data!$A$6:$A$21, Hist!$A74)</f>
        <v>04Y</v>
      </c>
      <c r="D74" s="43"/>
      <c r="E74" s="48" t="str" cm="1">
        <f t="array" ref="E74">IF( INDEX(hist_data!$AJ$6:$AZ$256, MATCH(E$13, hist_data!$AJ$6:$AJ$256, 0), MATCH($C74, hist_data!$A$6:$A$21, 0)+1)=0, "", INDEX(hist_data!$AJ$6:$AZ$256, MATCH(E$13, hist_data!$AJ$6:$AJ$256, 0), MATCH($C74, hist_data!$A$6:$A$21, 0)+1) )</f>
        <v/>
      </c>
      <c r="F74" s="25" t="str" cm="1">
        <f t="array" ref="F74">IF( INDEX(hist_data!$AJ$6:$AZ$256, MATCH(F$13, hist_data!$AJ$6:$AJ$256, 0), MATCH($C74, hist_data!$A$6:$A$21, 0)+1)=0, "", INDEX(hist_data!$AJ$6:$AZ$256, MATCH(F$13, hist_data!$AJ$6:$AJ$256, 0), MATCH($C74, hist_data!$A$6:$A$21, 0)+1) )</f>
        <v/>
      </c>
      <c r="G74" s="25" t="str" cm="1">
        <f t="array" ref="G74">IF( INDEX(hist_data!$AJ$6:$AZ$256, MATCH(G$13, hist_data!$AJ$6:$AJ$256, 0), MATCH($C74, hist_data!$A$6:$A$21, 0)+1)=0, "", INDEX(hist_data!$AJ$6:$AZ$256, MATCH(G$13, hist_data!$AJ$6:$AJ$256, 0), MATCH($C74, hist_data!$A$6:$A$21, 0)+1) )</f>
        <v/>
      </c>
      <c r="H74" s="25" t="str" cm="1">
        <f t="array" ref="H74">IF( INDEX(hist_data!$AJ$6:$AZ$256, MATCH(H$13, hist_data!$AJ$6:$AJ$256, 0), MATCH($C74, hist_data!$A$6:$A$21, 0)+1)=0, "", INDEX(hist_data!$AJ$6:$AZ$256, MATCH(H$13, hist_data!$AJ$6:$AJ$256, 0), MATCH($C74, hist_data!$A$6:$A$21, 0)+1) )</f>
        <v/>
      </c>
      <c r="I74" s="25" t="str" cm="1">
        <f t="array" ref="I74">IF( INDEX(hist_data!$AJ$6:$AZ$256, MATCH(I$13, hist_data!$AJ$6:$AJ$256, 0), MATCH($C74, hist_data!$A$6:$A$21, 0)+1)=0, "", INDEX(hist_data!$AJ$6:$AZ$256, MATCH(I$13, hist_data!$AJ$6:$AJ$256, 0), MATCH($C74, hist_data!$A$6:$A$21, 0)+1) )</f>
        <v/>
      </c>
      <c r="J74" s="25" t="str" cm="1">
        <f t="array" ref="J74">IF( INDEX(hist_data!$AJ$6:$AZ$256, MATCH(J$13, hist_data!$AJ$6:$AJ$256, 0), MATCH($C74, hist_data!$A$6:$A$21, 0)+1)=0, "", INDEX(hist_data!$AJ$6:$AZ$256, MATCH(J$13, hist_data!$AJ$6:$AJ$256, 0), MATCH($C74, hist_data!$A$6:$A$21, 0)+1) )</f>
        <v/>
      </c>
      <c r="K74" s="25" t="str" cm="1">
        <f t="array" ref="K74">IF( INDEX(hist_data!$AJ$6:$AZ$256, MATCH(K$13, hist_data!$AJ$6:$AJ$256, 0), MATCH($C74, hist_data!$A$6:$A$21, 0)+1)=0, "", INDEX(hist_data!$AJ$6:$AZ$256, MATCH(K$13, hist_data!$AJ$6:$AJ$256, 0), MATCH($C74, hist_data!$A$6:$A$21, 0)+1) )</f>
        <v/>
      </c>
      <c r="L74" s="25" t="str" cm="1">
        <f t="array" ref="L74">IF( INDEX(hist_data!$AJ$6:$AZ$256, MATCH(L$13, hist_data!$AJ$6:$AJ$256, 0), MATCH($C74, hist_data!$A$6:$A$21, 0)+1)=0, "", INDEX(hist_data!$AJ$6:$AZ$256, MATCH(L$13, hist_data!$AJ$6:$AJ$256, 0), MATCH($C74, hist_data!$A$6:$A$21, 0)+1) )</f>
        <v/>
      </c>
      <c r="M74" s="25" t="str" cm="1">
        <f t="array" ref="M74">IF( INDEX(hist_data!$AJ$6:$AZ$256, MATCH(M$13, hist_data!$AJ$6:$AJ$256, 0), MATCH($C74, hist_data!$A$6:$A$21, 0)+1)=0, "", INDEX(hist_data!$AJ$6:$AZ$256, MATCH(M$13, hist_data!$AJ$6:$AJ$256, 0), MATCH($C74, hist_data!$A$6:$A$21, 0)+1) )</f>
        <v/>
      </c>
      <c r="N74" s="25" t="str" cm="1">
        <f t="array" ref="N74">IF( INDEX(hist_data!$AJ$6:$AZ$256, MATCH(N$13, hist_data!$AJ$6:$AJ$256, 0), MATCH($C74, hist_data!$A$6:$A$21, 0)+1)=0, "", INDEX(hist_data!$AJ$6:$AZ$256, MATCH(N$13, hist_data!$AJ$6:$AJ$256, 0), MATCH($C74, hist_data!$A$6:$A$21, 0)+1) )</f>
        <v/>
      </c>
      <c r="O74" s="25" t="str" cm="1">
        <f t="array" ref="O74">IF( INDEX(hist_data!$AJ$6:$AZ$256, MATCH(O$13, hist_data!$AJ$6:$AJ$256, 0), MATCH($C74, hist_data!$A$6:$A$21, 0)+1)=0, "", INDEX(hist_data!$AJ$6:$AZ$256, MATCH(O$13, hist_data!$AJ$6:$AJ$256, 0), MATCH($C74, hist_data!$A$6:$A$21, 0)+1) )</f>
        <v/>
      </c>
      <c r="P74" s="26" t="str" cm="1">
        <f t="array" ref="P74">IF( INDEX(hist_data!$AJ$6:$AZ$256, MATCH(P$13, hist_data!$AJ$6:$AJ$256, 0), MATCH($C74, hist_data!$A$6:$A$21, 0)+1)=0, "", INDEX(hist_data!$AJ$6:$AZ$256, MATCH(P$13, hist_data!$AJ$6:$AJ$256, 0), MATCH($C74, hist_data!$A$6:$A$21, 0)+1) )</f>
        <v/>
      </c>
      <c r="R74" s="48" t="str">
        <f ca="1">IF($E74="", "", AVERAGE( OFFSET( hist_data!$AJ$7, 0, MATCH($C74, hist_data!$A$6:$A$21, 0), R$13 ) ))</f>
        <v/>
      </c>
      <c r="S74" s="25" t="str">
        <f ca="1">IF($E74="","",MAX(OFFSET(hist_data!$AJ$7,0,MATCH($C74,hist_data!$A$6:$A$21,0),S$13)))</f>
        <v/>
      </c>
      <c r="T74" s="26" t="str">
        <f ca="1">IF($E74="","",MIN(OFFSET(hist_data!$AJ$7,0,MATCH($C74,hist_data!$A$6:$A$21,0),T$13)))</f>
        <v/>
      </c>
      <c r="U74" s="48" t="str">
        <f ca="1">IF($E74="", "", AVERAGE( OFFSET( hist_data!$AJ$7, 0, MATCH($C74, hist_data!$A$6:$A$21, 0), U$13 ) ))</f>
        <v/>
      </c>
      <c r="V74" s="25" t="str">
        <f ca="1">IF($E74="","",MAX(OFFSET(hist_data!$AJ$7,0,MATCH($C74,hist_data!$A$6:$A$21,0),V$13)))</f>
        <v/>
      </c>
      <c r="W74" s="26" t="str">
        <f ca="1">IF($E74="","",MIN(OFFSET(hist_data!$AJ$7,0,MATCH($C74,hist_data!$A$6:$A$21,0),W$13)))</f>
        <v/>
      </c>
      <c r="X74" s="48" t="str">
        <f ca="1">IF($E74="", "", AVERAGE( OFFSET( hist_data!$AJ$7, 0, MATCH($C74, hist_data!$A$6:$A$21, 0), X$13 ) ))</f>
        <v/>
      </c>
      <c r="Y74" s="25" t="str">
        <f ca="1">IF($E74="","",MAX(OFFSET(hist_data!$AJ$7,0,MATCH($C74,hist_data!$A$6:$A$21,0),Y$13)))</f>
        <v/>
      </c>
      <c r="Z74" s="26" t="str">
        <f ca="1">IF($E74="","",MIN(OFFSET(hist_data!$AJ$7,0,MATCH($C74,hist_data!$A$6:$A$21,0),Z$13)))</f>
        <v/>
      </c>
      <c r="AA74" s="48" t="str">
        <f ca="1">IF($E74="", "", AVERAGE( OFFSET( hist_data!$AJ$7, 0, MATCH($C74, hist_data!$A$6:$A$21, 0), AA$13 ) ))</f>
        <v/>
      </c>
      <c r="AB74" s="25" t="str">
        <f ca="1">IF($E74="","",MAX(OFFSET(hist_data!$AJ$7,0,MATCH($C74,hist_data!$A$6:$A$21,0),AB$13)))</f>
        <v/>
      </c>
      <c r="AC74" s="26" t="str">
        <f ca="1">IF($E74="","",MIN(OFFSET(hist_data!$AJ$7,0,MATCH($C74,hist_data!$A$6:$A$21,0),AC$13)))</f>
        <v/>
      </c>
    </row>
    <row r="75" spans="1:29" s="20" customFormat="1" ht="12.75">
      <c r="C75" s="88" t="s">
        <v>836</v>
      </c>
      <c r="D75" s="89"/>
      <c r="E75" s="47" t="str">
        <f t="shared" ref="E75" si="552">IFERROR( (E$57-E74)*100, "")</f>
        <v/>
      </c>
      <c r="F75" s="30" t="str">
        <f t="shared" ref="F75" si="553">IFERROR( (F$57-F74)*100, "")</f>
        <v/>
      </c>
      <c r="G75" s="30" t="str">
        <f t="shared" ref="G75" si="554">IFERROR( (G$57-G74)*100, "")</f>
        <v/>
      </c>
      <c r="H75" s="30" t="str">
        <f t="shared" ref="H75" si="555">IFERROR( (H$57-H74)*100, "")</f>
        <v/>
      </c>
      <c r="I75" s="30" t="str">
        <f t="shared" ref="I75" si="556">IFERROR( (I$57-I74)*100, "")</f>
        <v/>
      </c>
      <c r="J75" s="30" t="str">
        <f t="shared" ref="J75" si="557">IFERROR( (J$57-J74)*100, "")</f>
        <v/>
      </c>
      <c r="K75" s="30" t="str">
        <f t="shared" ref="K75" si="558">IFERROR( (K$57-K74)*100, "")</f>
        <v/>
      </c>
      <c r="L75" s="30" t="str">
        <f t="shared" ref="L75" si="559">IFERROR( (L$57-L74)*100, "")</f>
        <v/>
      </c>
      <c r="M75" s="30" t="str">
        <f t="shared" ref="M75" si="560">IFERROR( (M$57-M74)*100, "")</f>
        <v/>
      </c>
      <c r="N75" s="30" t="str">
        <f t="shared" ref="N75" si="561">IFERROR( (N$57-N74)*100, "")</f>
        <v/>
      </c>
      <c r="O75" s="30" t="str">
        <f t="shared" ref="O75" si="562">IFERROR( (O$57-O74)*100, "")</f>
        <v/>
      </c>
      <c r="P75" s="31" t="str">
        <f t="shared" ref="P75" si="563">IFERROR( (P$57-P74)*100, "")</f>
        <v/>
      </c>
      <c r="R75" s="47" t="str">
        <f t="shared" ref="R75" ca="1" si="564">IFERROR( (R$16-R74)*100, "")</f>
        <v/>
      </c>
      <c r="S75" s="30" t="str">
        <f t="shared" ref="S75" ca="1" si="565">IFERROR( (S$16-S74)*100, "")</f>
        <v/>
      </c>
      <c r="T75" s="31" t="str">
        <f t="shared" ref="T75" ca="1" si="566">IFERROR( (T$16-T74)*100, "")</f>
        <v/>
      </c>
      <c r="U75" s="47" t="str">
        <f t="shared" ref="U75" ca="1" si="567">IFERROR( (U$16-U74)*100, "")</f>
        <v/>
      </c>
      <c r="V75" s="30" t="str">
        <f t="shared" ref="V75" ca="1" si="568">IFERROR( (V$16-V74)*100, "")</f>
        <v/>
      </c>
      <c r="W75" s="31" t="str">
        <f t="shared" ref="W75" ca="1" si="569">IFERROR( (W$16-W74)*100, "")</f>
        <v/>
      </c>
      <c r="X75" s="47" t="str">
        <f t="shared" ref="X75" ca="1" si="570">IFERROR( (X$16-X74)*100, "")</f>
        <v/>
      </c>
      <c r="Y75" s="30" t="str">
        <f t="shared" ref="Y75" ca="1" si="571">IFERROR( (Y$16-Y74)*100, "")</f>
        <v/>
      </c>
      <c r="Z75" s="31" t="str">
        <f t="shared" ref="Z75" ca="1" si="572">IFERROR( (Z$16-Z74)*100, "")</f>
        <v/>
      </c>
      <c r="AA75" s="47" t="str">
        <f t="shared" ref="AA75" ca="1" si="573">IFERROR( (AA$16-AA74)*100, "")</f>
        <v/>
      </c>
      <c r="AB75" s="30" t="str">
        <f t="shared" ref="AB75" ca="1" si="574">IFERROR( (AB$16-AB74)*100, "")</f>
        <v/>
      </c>
      <c r="AC75" s="31" t="str">
        <f t="shared" ref="AC75" ca="1" si="575">IFERROR( (AC$16-AC74)*100, "")</f>
        <v/>
      </c>
    </row>
    <row r="76" spans="1:29" s="20" customFormat="1" ht="12.75">
      <c r="A76" s="20">
        <v>10</v>
      </c>
      <c r="C76" s="24" t="str" cm="1">
        <f t="array" ref="C76">INDEX(hist_data!$A$6:$A$21, Hist!$A76)</f>
        <v>05Y</v>
      </c>
      <c r="D76" s="43"/>
      <c r="E76" s="48" t="str" cm="1">
        <f t="array" ref="E76">IF( INDEX(hist_data!$AJ$6:$AZ$256, MATCH(E$13, hist_data!$AJ$6:$AJ$256, 0), MATCH($C76, hist_data!$A$6:$A$21, 0)+1)=0, "", INDEX(hist_data!$AJ$6:$AZ$256, MATCH(E$13, hist_data!$AJ$6:$AJ$256, 0), MATCH($C76, hist_data!$A$6:$A$21, 0)+1) )</f>
        <v/>
      </c>
      <c r="F76" s="25" t="str" cm="1">
        <f t="array" ref="F76">IF( INDEX(hist_data!$AJ$6:$AZ$256, MATCH(F$13, hist_data!$AJ$6:$AJ$256, 0), MATCH($C76, hist_data!$A$6:$A$21, 0)+1)=0, "", INDEX(hist_data!$AJ$6:$AZ$256, MATCH(F$13, hist_data!$AJ$6:$AJ$256, 0), MATCH($C76, hist_data!$A$6:$A$21, 0)+1) )</f>
        <v/>
      </c>
      <c r="G76" s="25" t="str" cm="1">
        <f t="array" ref="G76">IF( INDEX(hist_data!$AJ$6:$AZ$256, MATCH(G$13, hist_data!$AJ$6:$AJ$256, 0), MATCH($C76, hist_data!$A$6:$A$21, 0)+1)=0, "", INDEX(hist_data!$AJ$6:$AZ$256, MATCH(G$13, hist_data!$AJ$6:$AJ$256, 0), MATCH($C76, hist_data!$A$6:$A$21, 0)+1) )</f>
        <v/>
      </c>
      <c r="H76" s="25" t="str" cm="1">
        <f t="array" ref="H76">IF( INDEX(hist_data!$AJ$6:$AZ$256, MATCH(H$13, hist_data!$AJ$6:$AJ$256, 0), MATCH($C76, hist_data!$A$6:$A$21, 0)+1)=0, "", INDEX(hist_data!$AJ$6:$AZ$256, MATCH(H$13, hist_data!$AJ$6:$AJ$256, 0), MATCH($C76, hist_data!$A$6:$A$21, 0)+1) )</f>
        <v/>
      </c>
      <c r="I76" s="25" t="str" cm="1">
        <f t="array" ref="I76">IF( INDEX(hist_data!$AJ$6:$AZ$256, MATCH(I$13, hist_data!$AJ$6:$AJ$256, 0), MATCH($C76, hist_data!$A$6:$A$21, 0)+1)=0, "", INDEX(hist_data!$AJ$6:$AZ$256, MATCH(I$13, hist_data!$AJ$6:$AJ$256, 0), MATCH($C76, hist_data!$A$6:$A$21, 0)+1) )</f>
        <v/>
      </c>
      <c r="J76" s="25" t="str" cm="1">
        <f t="array" ref="J76">IF( INDEX(hist_data!$AJ$6:$AZ$256, MATCH(J$13, hist_data!$AJ$6:$AJ$256, 0), MATCH($C76, hist_data!$A$6:$A$21, 0)+1)=0, "", INDEX(hist_data!$AJ$6:$AZ$256, MATCH(J$13, hist_data!$AJ$6:$AJ$256, 0), MATCH($C76, hist_data!$A$6:$A$21, 0)+1) )</f>
        <v/>
      </c>
      <c r="K76" s="25" t="str" cm="1">
        <f t="array" ref="K76">IF( INDEX(hist_data!$AJ$6:$AZ$256, MATCH(K$13, hist_data!$AJ$6:$AJ$256, 0), MATCH($C76, hist_data!$A$6:$A$21, 0)+1)=0, "", INDEX(hist_data!$AJ$6:$AZ$256, MATCH(K$13, hist_data!$AJ$6:$AJ$256, 0), MATCH($C76, hist_data!$A$6:$A$21, 0)+1) )</f>
        <v/>
      </c>
      <c r="L76" s="25" t="str" cm="1">
        <f t="array" ref="L76">IF( INDEX(hist_data!$AJ$6:$AZ$256, MATCH(L$13, hist_data!$AJ$6:$AJ$256, 0), MATCH($C76, hist_data!$A$6:$A$21, 0)+1)=0, "", INDEX(hist_data!$AJ$6:$AZ$256, MATCH(L$13, hist_data!$AJ$6:$AJ$256, 0), MATCH($C76, hist_data!$A$6:$A$21, 0)+1) )</f>
        <v/>
      </c>
      <c r="M76" s="25" t="str" cm="1">
        <f t="array" ref="M76">IF( INDEX(hist_data!$AJ$6:$AZ$256, MATCH(M$13, hist_data!$AJ$6:$AJ$256, 0), MATCH($C76, hist_data!$A$6:$A$21, 0)+1)=0, "", INDEX(hist_data!$AJ$6:$AZ$256, MATCH(M$13, hist_data!$AJ$6:$AJ$256, 0), MATCH($C76, hist_data!$A$6:$A$21, 0)+1) )</f>
        <v/>
      </c>
      <c r="N76" s="25" t="str" cm="1">
        <f t="array" ref="N76">IF( INDEX(hist_data!$AJ$6:$AZ$256, MATCH(N$13, hist_data!$AJ$6:$AJ$256, 0), MATCH($C76, hist_data!$A$6:$A$21, 0)+1)=0, "", INDEX(hist_data!$AJ$6:$AZ$256, MATCH(N$13, hist_data!$AJ$6:$AJ$256, 0), MATCH($C76, hist_data!$A$6:$A$21, 0)+1) )</f>
        <v/>
      </c>
      <c r="O76" s="25" t="str" cm="1">
        <f t="array" ref="O76">IF( INDEX(hist_data!$AJ$6:$AZ$256, MATCH(O$13, hist_data!$AJ$6:$AJ$256, 0), MATCH($C76, hist_data!$A$6:$A$21, 0)+1)=0, "", INDEX(hist_data!$AJ$6:$AZ$256, MATCH(O$13, hist_data!$AJ$6:$AJ$256, 0), MATCH($C76, hist_data!$A$6:$A$21, 0)+1) )</f>
        <v/>
      </c>
      <c r="P76" s="26" t="str" cm="1">
        <f t="array" ref="P76">IF( INDEX(hist_data!$AJ$6:$AZ$256, MATCH(P$13, hist_data!$AJ$6:$AJ$256, 0), MATCH($C76, hist_data!$A$6:$A$21, 0)+1)=0, "", INDEX(hist_data!$AJ$6:$AZ$256, MATCH(P$13, hist_data!$AJ$6:$AJ$256, 0), MATCH($C76, hist_data!$A$6:$A$21, 0)+1) )</f>
        <v/>
      </c>
      <c r="R76" s="48" t="str">
        <f ca="1">IF($E76="", "", AVERAGE( OFFSET( hist_data!$AJ$7, 0, MATCH($C76, hist_data!$A$6:$A$21, 0), R$13 ) ))</f>
        <v/>
      </c>
      <c r="S76" s="25" t="str">
        <f ca="1">IF($E76="","",MAX(OFFSET(hist_data!$AJ$7,0,MATCH($C76,hist_data!$A$6:$A$21,0),S$13)))</f>
        <v/>
      </c>
      <c r="T76" s="26" t="str">
        <f ca="1">IF($E76="","",MIN(OFFSET(hist_data!$AJ$7,0,MATCH($C76,hist_data!$A$6:$A$21,0),T$13)))</f>
        <v/>
      </c>
      <c r="U76" s="48" t="str">
        <f ca="1">IF($E76="", "", AVERAGE( OFFSET( hist_data!$AJ$7, 0, MATCH($C76, hist_data!$A$6:$A$21, 0), U$13 ) ))</f>
        <v/>
      </c>
      <c r="V76" s="25" t="str">
        <f ca="1">IF($E76="","",MAX(OFFSET(hist_data!$AJ$7,0,MATCH($C76,hist_data!$A$6:$A$21,0),V$13)))</f>
        <v/>
      </c>
      <c r="W76" s="26" t="str">
        <f ca="1">IF($E76="","",MIN(OFFSET(hist_data!$AJ$7,0,MATCH($C76,hist_data!$A$6:$A$21,0),W$13)))</f>
        <v/>
      </c>
      <c r="X76" s="48" t="str">
        <f ca="1">IF($E76="", "", AVERAGE( OFFSET( hist_data!$AJ$7, 0, MATCH($C76, hist_data!$A$6:$A$21, 0), X$13 ) ))</f>
        <v/>
      </c>
      <c r="Y76" s="25" t="str">
        <f ca="1">IF($E76="","",MAX(OFFSET(hist_data!$AJ$7,0,MATCH($C76,hist_data!$A$6:$A$21,0),Y$13)))</f>
        <v/>
      </c>
      <c r="Z76" s="26" t="str">
        <f ca="1">IF($E76="","",MIN(OFFSET(hist_data!$AJ$7,0,MATCH($C76,hist_data!$A$6:$A$21,0),Z$13)))</f>
        <v/>
      </c>
      <c r="AA76" s="48" t="str">
        <f ca="1">IF($E76="", "", AVERAGE( OFFSET( hist_data!$AJ$7, 0, MATCH($C76, hist_data!$A$6:$A$21, 0), AA$13 ) ))</f>
        <v/>
      </c>
      <c r="AB76" s="25" t="str">
        <f ca="1">IF($E76="","",MAX(OFFSET(hist_data!$AJ$7,0,MATCH($C76,hist_data!$A$6:$A$21,0),AB$13)))</f>
        <v/>
      </c>
      <c r="AC76" s="26" t="str">
        <f ca="1">IF($E76="","",MIN(OFFSET(hist_data!$AJ$7,0,MATCH($C76,hist_data!$A$6:$A$21,0),AC$13)))</f>
        <v/>
      </c>
    </row>
    <row r="77" spans="1:29" s="20" customFormat="1" ht="12.75">
      <c r="C77" s="88" t="s">
        <v>836</v>
      </c>
      <c r="D77" s="89"/>
      <c r="E77" s="47" t="str">
        <f t="shared" ref="E77" si="576">IFERROR( (E$57-E76)*100, "")</f>
        <v/>
      </c>
      <c r="F77" s="30" t="str">
        <f t="shared" ref="F77" si="577">IFERROR( (F$57-F76)*100, "")</f>
        <v/>
      </c>
      <c r="G77" s="30" t="str">
        <f t="shared" ref="G77" si="578">IFERROR( (G$57-G76)*100, "")</f>
        <v/>
      </c>
      <c r="H77" s="30" t="str">
        <f t="shared" ref="H77" si="579">IFERROR( (H$57-H76)*100, "")</f>
        <v/>
      </c>
      <c r="I77" s="30" t="str">
        <f t="shared" ref="I77" si="580">IFERROR( (I$57-I76)*100, "")</f>
        <v/>
      </c>
      <c r="J77" s="30" t="str">
        <f t="shared" ref="J77" si="581">IFERROR( (J$57-J76)*100, "")</f>
        <v/>
      </c>
      <c r="K77" s="30" t="str">
        <f t="shared" ref="K77" si="582">IFERROR( (K$57-K76)*100, "")</f>
        <v/>
      </c>
      <c r="L77" s="30" t="str">
        <f t="shared" ref="L77" si="583">IFERROR( (L$57-L76)*100, "")</f>
        <v/>
      </c>
      <c r="M77" s="30" t="str">
        <f t="shared" ref="M77" si="584">IFERROR( (M$57-M76)*100, "")</f>
        <v/>
      </c>
      <c r="N77" s="30" t="str">
        <f t="shared" ref="N77" si="585">IFERROR( (N$57-N76)*100, "")</f>
        <v/>
      </c>
      <c r="O77" s="30" t="str">
        <f t="shared" ref="O77" si="586">IFERROR( (O$57-O76)*100, "")</f>
        <v/>
      </c>
      <c r="P77" s="31" t="str">
        <f t="shared" ref="P77" si="587">IFERROR( (P$57-P76)*100, "")</f>
        <v/>
      </c>
      <c r="R77" s="47" t="str">
        <f t="shared" ref="R77" ca="1" si="588">IFERROR( (R$16-R76)*100, "")</f>
        <v/>
      </c>
      <c r="S77" s="30" t="str">
        <f t="shared" ref="S77" ca="1" si="589">IFERROR( (S$16-S76)*100, "")</f>
        <v/>
      </c>
      <c r="T77" s="31" t="str">
        <f t="shared" ref="T77" ca="1" si="590">IFERROR( (T$16-T76)*100, "")</f>
        <v/>
      </c>
      <c r="U77" s="47" t="str">
        <f t="shared" ref="U77" ca="1" si="591">IFERROR( (U$16-U76)*100, "")</f>
        <v/>
      </c>
      <c r="V77" s="30" t="str">
        <f t="shared" ref="V77" ca="1" si="592">IFERROR( (V$16-V76)*100, "")</f>
        <v/>
      </c>
      <c r="W77" s="31" t="str">
        <f t="shared" ref="W77" ca="1" si="593">IFERROR( (W$16-W76)*100, "")</f>
        <v/>
      </c>
      <c r="X77" s="47" t="str">
        <f t="shared" ref="X77" ca="1" si="594">IFERROR( (X$16-X76)*100, "")</f>
        <v/>
      </c>
      <c r="Y77" s="30" t="str">
        <f t="shared" ref="Y77" ca="1" si="595">IFERROR( (Y$16-Y76)*100, "")</f>
        <v/>
      </c>
      <c r="Z77" s="31" t="str">
        <f t="shared" ref="Z77" ca="1" si="596">IFERROR( (Z$16-Z76)*100, "")</f>
        <v/>
      </c>
      <c r="AA77" s="47" t="str">
        <f t="shared" ref="AA77" ca="1" si="597">IFERROR( (AA$16-AA76)*100, "")</f>
        <v/>
      </c>
      <c r="AB77" s="30" t="str">
        <f t="shared" ref="AB77" ca="1" si="598">IFERROR( (AB$16-AB76)*100, "")</f>
        <v/>
      </c>
      <c r="AC77" s="31" t="str">
        <f t="shared" ref="AC77" ca="1" si="599">IFERROR( (AC$16-AC76)*100, "")</f>
        <v/>
      </c>
    </row>
    <row r="78" spans="1:29" s="20" customFormat="1" ht="12.75">
      <c r="A78" s="20">
        <v>11</v>
      </c>
      <c r="C78" s="24" t="str" cm="1">
        <f t="array" ref="C78">INDEX(hist_data!$A$6:$A$21, Hist!$A78)</f>
        <v>07Y</v>
      </c>
      <c r="D78" s="43"/>
      <c r="E78" s="48" t="str" cm="1">
        <f t="array" ref="E78">IF( INDEX(hist_data!$AJ$6:$AZ$256, MATCH(E$13, hist_data!$AJ$6:$AJ$256, 0), MATCH($C78, hist_data!$A$6:$A$21, 0)+1)=0, "", INDEX(hist_data!$AJ$6:$AZ$256, MATCH(E$13, hist_data!$AJ$6:$AJ$256, 0), MATCH($C78, hist_data!$A$6:$A$21, 0)+1) )</f>
        <v/>
      </c>
      <c r="F78" s="25" t="str" cm="1">
        <f t="array" ref="F78">IF( INDEX(hist_data!$AJ$6:$AZ$256, MATCH(F$13, hist_data!$AJ$6:$AJ$256, 0), MATCH($C78, hist_data!$A$6:$A$21, 0)+1)=0, "", INDEX(hist_data!$AJ$6:$AZ$256, MATCH(F$13, hist_data!$AJ$6:$AJ$256, 0), MATCH($C78, hist_data!$A$6:$A$21, 0)+1) )</f>
        <v/>
      </c>
      <c r="G78" s="25" t="str" cm="1">
        <f t="array" ref="G78">IF( INDEX(hist_data!$AJ$6:$AZ$256, MATCH(G$13, hist_data!$AJ$6:$AJ$256, 0), MATCH($C78, hist_data!$A$6:$A$21, 0)+1)=0, "", INDEX(hist_data!$AJ$6:$AZ$256, MATCH(G$13, hist_data!$AJ$6:$AJ$256, 0), MATCH($C78, hist_data!$A$6:$A$21, 0)+1) )</f>
        <v/>
      </c>
      <c r="H78" s="25" t="str" cm="1">
        <f t="array" ref="H78">IF( INDEX(hist_data!$AJ$6:$AZ$256, MATCH(H$13, hist_data!$AJ$6:$AJ$256, 0), MATCH($C78, hist_data!$A$6:$A$21, 0)+1)=0, "", INDEX(hist_data!$AJ$6:$AZ$256, MATCH(H$13, hist_data!$AJ$6:$AJ$256, 0), MATCH($C78, hist_data!$A$6:$A$21, 0)+1) )</f>
        <v/>
      </c>
      <c r="I78" s="25" t="str" cm="1">
        <f t="array" ref="I78">IF( INDEX(hist_data!$AJ$6:$AZ$256, MATCH(I$13, hist_data!$AJ$6:$AJ$256, 0), MATCH($C78, hist_data!$A$6:$A$21, 0)+1)=0, "", INDEX(hist_data!$AJ$6:$AZ$256, MATCH(I$13, hist_data!$AJ$6:$AJ$256, 0), MATCH($C78, hist_data!$A$6:$A$21, 0)+1) )</f>
        <v/>
      </c>
      <c r="J78" s="25" t="str" cm="1">
        <f t="array" ref="J78">IF( INDEX(hist_data!$AJ$6:$AZ$256, MATCH(J$13, hist_data!$AJ$6:$AJ$256, 0), MATCH($C78, hist_data!$A$6:$A$21, 0)+1)=0, "", INDEX(hist_data!$AJ$6:$AZ$256, MATCH(J$13, hist_data!$AJ$6:$AJ$256, 0), MATCH($C78, hist_data!$A$6:$A$21, 0)+1) )</f>
        <v/>
      </c>
      <c r="K78" s="25" t="str" cm="1">
        <f t="array" ref="K78">IF( INDEX(hist_data!$AJ$6:$AZ$256, MATCH(K$13, hist_data!$AJ$6:$AJ$256, 0), MATCH($C78, hist_data!$A$6:$A$21, 0)+1)=0, "", INDEX(hist_data!$AJ$6:$AZ$256, MATCH(K$13, hist_data!$AJ$6:$AJ$256, 0), MATCH($C78, hist_data!$A$6:$A$21, 0)+1) )</f>
        <v/>
      </c>
      <c r="L78" s="25" t="str" cm="1">
        <f t="array" ref="L78">IF( INDEX(hist_data!$AJ$6:$AZ$256, MATCH(L$13, hist_data!$AJ$6:$AJ$256, 0), MATCH($C78, hist_data!$A$6:$A$21, 0)+1)=0, "", INDEX(hist_data!$AJ$6:$AZ$256, MATCH(L$13, hist_data!$AJ$6:$AJ$256, 0), MATCH($C78, hist_data!$A$6:$A$21, 0)+1) )</f>
        <v/>
      </c>
      <c r="M78" s="25" t="str" cm="1">
        <f t="array" ref="M78">IF( INDEX(hist_data!$AJ$6:$AZ$256, MATCH(M$13, hist_data!$AJ$6:$AJ$256, 0), MATCH($C78, hist_data!$A$6:$A$21, 0)+1)=0, "", INDEX(hist_data!$AJ$6:$AZ$256, MATCH(M$13, hist_data!$AJ$6:$AJ$256, 0), MATCH($C78, hist_data!$A$6:$A$21, 0)+1) )</f>
        <v/>
      </c>
      <c r="N78" s="25" t="str" cm="1">
        <f t="array" ref="N78">IF( INDEX(hist_data!$AJ$6:$AZ$256, MATCH(N$13, hist_data!$AJ$6:$AJ$256, 0), MATCH($C78, hist_data!$A$6:$A$21, 0)+1)=0, "", INDEX(hist_data!$AJ$6:$AZ$256, MATCH(N$13, hist_data!$AJ$6:$AJ$256, 0), MATCH($C78, hist_data!$A$6:$A$21, 0)+1) )</f>
        <v/>
      </c>
      <c r="O78" s="25" t="str" cm="1">
        <f t="array" ref="O78">IF( INDEX(hist_data!$AJ$6:$AZ$256, MATCH(O$13, hist_data!$AJ$6:$AJ$256, 0), MATCH($C78, hist_data!$A$6:$A$21, 0)+1)=0, "", INDEX(hist_data!$AJ$6:$AZ$256, MATCH(O$13, hist_data!$AJ$6:$AJ$256, 0), MATCH($C78, hist_data!$A$6:$A$21, 0)+1) )</f>
        <v/>
      </c>
      <c r="P78" s="26" t="str" cm="1">
        <f t="array" ref="P78">IF( INDEX(hist_data!$AJ$6:$AZ$256, MATCH(P$13, hist_data!$AJ$6:$AJ$256, 0), MATCH($C78, hist_data!$A$6:$A$21, 0)+1)=0, "", INDEX(hist_data!$AJ$6:$AZ$256, MATCH(P$13, hist_data!$AJ$6:$AJ$256, 0), MATCH($C78, hist_data!$A$6:$A$21, 0)+1) )</f>
        <v/>
      </c>
      <c r="R78" s="48" t="str">
        <f ca="1">IF($E78="", "", AVERAGE( OFFSET( hist_data!$AJ$7, 0, MATCH($C78, hist_data!$A$6:$A$21, 0), R$13 ) ))</f>
        <v/>
      </c>
      <c r="S78" s="25" t="str">
        <f ca="1">IF($E78="","",MAX(OFFSET(hist_data!$AJ$7,0,MATCH($C78,hist_data!$A$6:$A$21,0),S$13)))</f>
        <v/>
      </c>
      <c r="T78" s="26" t="str">
        <f ca="1">IF($E78="","",MIN(OFFSET(hist_data!$AJ$7,0,MATCH($C78,hist_data!$A$6:$A$21,0),T$13)))</f>
        <v/>
      </c>
      <c r="U78" s="48" t="str">
        <f ca="1">IF($E78="", "", AVERAGE( OFFSET( hist_data!$AJ$7, 0, MATCH($C78, hist_data!$A$6:$A$21, 0), U$13 ) ))</f>
        <v/>
      </c>
      <c r="V78" s="25" t="str">
        <f ca="1">IF($E78="","",MAX(OFFSET(hist_data!$AJ$7,0,MATCH($C78,hist_data!$A$6:$A$21,0),V$13)))</f>
        <v/>
      </c>
      <c r="W78" s="26" t="str">
        <f ca="1">IF($E78="","",MIN(OFFSET(hist_data!$AJ$7,0,MATCH($C78,hist_data!$A$6:$A$21,0),W$13)))</f>
        <v/>
      </c>
      <c r="X78" s="48" t="str">
        <f ca="1">IF($E78="", "", AVERAGE( OFFSET( hist_data!$AJ$7, 0, MATCH($C78, hist_data!$A$6:$A$21, 0), X$13 ) ))</f>
        <v/>
      </c>
      <c r="Y78" s="25" t="str">
        <f ca="1">IF($E78="","",MAX(OFFSET(hist_data!$AJ$7,0,MATCH($C78,hist_data!$A$6:$A$21,0),Y$13)))</f>
        <v/>
      </c>
      <c r="Z78" s="26" t="str">
        <f ca="1">IF($E78="","",MIN(OFFSET(hist_data!$AJ$7,0,MATCH($C78,hist_data!$A$6:$A$21,0),Z$13)))</f>
        <v/>
      </c>
      <c r="AA78" s="48" t="str">
        <f ca="1">IF($E78="", "", AVERAGE( OFFSET( hist_data!$AJ$7, 0, MATCH($C78, hist_data!$A$6:$A$21, 0), AA$13 ) ))</f>
        <v/>
      </c>
      <c r="AB78" s="25" t="str">
        <f ca="1">IF($E78="","",MAX(OFFSET(hist_data!$AJ$7,0,MATCH($C78,hist_data!$A$6:$A$21,0),AB$13)))</f>
        <v/>
      </c>
      <c r="AC78" s="26" t="str">
        <f ca="1">IF($E78="","",MIN(OFFSET(hist_data!$AJ$7,0,MATCH($C78,hist_data!$A$6:$A$21,0),AC$13)))</f>
        <v/>
      </c>
    </row>
    <row r="79" spans="1:29" s="20" customFormat="1" ht="12.75">
      <c r="C79" s="88" t="s">
        <v>836</v>
      </c>
      <c r="D79" s="89"/>
      <c r="E79" s="47" t="str">
        <f t="shared" ref="E79" si="600">IFERROR( (E$57-E78)*100, "")</f>
        <v/>
      </c>
      <c r="F79" s="30" t="str">
        <f t="shared" ref="F79" si="601">IFERROR( (F$57-F78)*100, "")</f>
        <v/>
      </c>
      <c r="G79" s="30" t="str">
        <f t="shared" ref="G79" si="602">IFERROR( (G$57-G78)*100, "")</f>
        <v/>
      </c>
      <c r="H79" s="30" t="str">
        <f t="shared" ref="H79" si="603">IFERROR( (H$57-H78)*100, "")</f>
        <v/>
      </c>
      <c r="I79" s="30" t="str">
        <f t="shared" ref="I79" si="604">IFERROR( (I$57-I78)*100, "")</f>
        <v/>
      </c>
      <c r="J79" s="30" t="str">
        <f t="shared" ref="J79" si="605">IFERROR( (J$57-J78)*100, "")</f>
        <v/>
      </c>
      <c r="K79" s="30" t="str">
        <f t="shared" ref="K79" si="606">IFERROR( (K$57-K78)*100, "")</f>
        <v/>
      </c>
      <c r="L79" s="30" t="str">
        <f t="shared" ref="L79" si="607">IFERROR( (L$57-L78)*100, "")</f>
        <v/>
      </c>
      <c r="M79" s="30" t="str">
        <f t="shared" ref="M79" si="608">IFERROR( (M$57-M78)*100, "")</f>
        <v/>
      </c>
      <c r="N79" s="30" t="str">
        <f t="shared" ref="N79" si="609">IFERROR( (N$57-N78)*100, "")</f>
        <v/>
      </c>
      <c r="O79" s="30" t="str">
        <f t="shared" ref="O79" si="610">IFERROR( (O$57-O78)*100, "")</f>
        <v/>
      </c>
      <c r="P79" s="31" t="str">
        <f t="shared" ref="P79" si="611">IFERROR( (P$57-P78)*100, "")</f>
        <v/>
      </c>
      <c r="R79" s="47" t="str">
        <f t="shared" ref="R79" ca="1" si="612">IFERROR( (R$16-R78)*100, "")</f>
        <v/>
      </c>
      <c r="S79" s="30" t="str">
        <f t="shared" ref="S79" ca="1" si="613">IFERROR( (S$16-S78)*100, "")</f>
        <v/>
      </c>
      <c r="T79" s="31" t="str">
        <f t="shared" ref="T79" ca="1" si="614">IFERROR( (T$16-T78)*100, "")</f>
        <v/>
      </c>
      <c r="U79" s="47" t="str">
        <f t="shared" ref="U79" ca="1" si="615">IFERROR( (U$16-U78)*100, "")</f>
        <v/>
      </c>
      <c r="V79" s="30" t="str">
        <f t="shared" ref="V79" ca="1" si="616">IFERROR( (V$16-V78)*100, "")</f>
        <v/>
      </c>
      <c r="W79" s="31" t="str">
        <f t="shared" ref="W79" ca="1" si="617">IFERROR( (W$16-W78)*100, "")</f>
        <v/>
      </c>
      <c r="X79" s="47" t="str">
        <f t="shared" ref="X79" ca="1" si="618">IFERROR( (X$16-X78)*100, "")</f>
        <v/>
      </c>
      <c r="Y79" s="30" t="str">
        <f t="shared" ref="Y79" ca="1" si="619">IFERROR( (Y$16-Y78)*100, "")</f>
        <v/>
      </c>
      <c r="Z79" s="31" t="str">
        <f t="shared" ref="Z79" ca="1" si="620">IFERROR( (Z$16-Z78)*100, "")</f>
        <v/>
      </c>
      <c r="AA79" s="47" t="str">
        <f t="shared" ref="AA79" ca="1" si="621">IFERROR( (AA$16-AA78)*100, "")</f>
        <v/>
      </c>
      <c r="AB79" s="30" t="str">
        <f t="shared" ref="AB79" ca="1" si="622">IFERROR( (AB$16-AB78)*100, "")</f>
        <v/>
      </c>
      <c r="AC79" s="31" t="str">
        <f t="shared" ref="AC79" ca="1" si="623">IFERROR( (AC$16-AC78)*100, "")</f>
        <v/>
      </c>
    </row>
    <row r="80" spans="1:29" s="20" customFormat="1" ht="12.75">
      <c r="A80" s="20">
        <v>12</v>
      </c>
      <c r="C80" s="24" t="str" cm="1">
        <f t="array" ref="C80">INDEX(hist_data!$A$6:$A$21, Hist!$A80)</f>
        <v>10Y</v>
      </c>
      <c r="D80" s="43"/>
      <c r="E80" s="48" t="str" cm="1">
        <f t="array" ref="E80">IF( INDEX(hist_data!$AJ$6:$AZ$256, MATCH(E$13, hist_data!$AJ$6:$AJ$256, 0), MATCH($C80, hist_data!$A$6:$A$21, 0)+1)=0, "", INDEX(hist_data!$AJ$6:$AZ$256, MATCH(E$13, hist_data!$AJ$6:$AJ$256, 0), MATCH($C80, hist_data!$A$6:$A$21, 0)+1) )</f>
        <v/>
      </c>
      <c r="F80" s="25" t="str" cm="1">
        <f t="array" ref="F80">IF( INDEX(hist_data!$AJ$6:$AZ$256, MATCH(F$13, hist_data!$AJ$6:$AJ$256, 0), MATCH($C80, hist_data!$A$6:$A$21, 0)+1)=0, "", INDEX(hist_data!$AJ$6:$AZ$256, MATCH(F$13, hist_data!$AJ$6:$AJ$256, 0), MATCH($C80, hist_data!$A$6:$A$21, 0)+1) )</f>
        <v/>
      </c>
      <c r="G80" s="25" t="str" cm="1">
        <f t="array" ref="G80">IF( INDEX(hist_data!$AJ$6:$AZ$256, MATCH(G$13, hist_data!$AJ$6:$AJ$256, 0), MATCH($C80, hist_data!$A$6:$A$21, 0)+1)=0, "", INDEX(hist_data!$AJ$6:$AZ$256, MATCH(G$13, hist_data!$AJ$6:$AJ$256, 0), MATCH($C80, hist_data!$A$6:$A$21, 0)+1) )</f>
        <v/>
      </c>
      <c r="H80" s="25" t="str" cm="1">
        <f t="array" ref="H80">IF( INDEX(hist_data!$AJ$6:$AZ$256, MATCH(H$13, hist_data!$AJ$6:$AJ$256, 0), MATCH($C80, hist_data!$A$6:$A$21, 0)+1)=0, "", INDEX(hist_data!$AJ$6:$AZ$256, MATCH(H$13, hist_data!$AJ$6:$AJ$256, 0), MATCH($C80, hist_data!$A$6:$A$21, 0)+1) )</f>
        <v/>
      </c>
      <c r="I80" s="25" t="str" cm="1">
        <f t="array" ref="I80">IF( INDEX(hist_data!$AJ$6:$AZ$256, MATCH(I$13, hist_data!$AJ$6:$AJ$256, 0), MATCH($C80, hist_data!$A$6:$A$21, 0)+1)=0, "", INDEX(hist_data!$AJ$6:$AZ$256, MATCH(I$13, hist_data!$AJ$6:$AJ$256, 0), MATCH($C80, hist_data!$A$6:$A$21, 0)+1) )</f>
        <v/>
      </c>
      <c r="J80" s="25" t="str" cm="1">
        <f t="array" ref="J80">IF( INDEX(hist_data!$AJ$6:$AZ$256, MATCH(J$13, hist_data!$AJ$6:$AJ$256, 0), MATCH($C80, hist_data!$A$6:$A$21, 0)+1)=0, "", INDEX(hist_data!$AJ$6:$AZ$256, MATCH(J$13, hist_data!$AJ$6:$AJ$256, 0), MATCH($C80, hist_data!$A$6:$A$21, 0)+1) )</f>
        <v/>
      </c>
      <c r="K80" s="25" t="str" cm="1">
        <f t="array" ref="K80">IF( INDEX(hist_data!$AJ$6:$AZ$256, MATCH(K$13, hist_data!$AJ$6:$AJ$256, 0), MATCH($C80, hist_data!$A$6:$A$21, 0)+1)=0, "", INDEX(hist_data!$AJ$6:$AZ$256, MATCH(K$13, hist_data!$AJ$6:$AJ$256, 0), MATCH($C80, hist_data!$A$6:$A$21, 0)+1) )</f>
        <v/>
      </c>
      <c r="L80" s="25" t="str" cm="1">
        <f t="array" ref="L80">IF( INDEX(hist_data!$AJ$6:$AZ$256, MATCH(L$13, hist_data!$AJ$6:$AJ$256, 0), MATCH($C80, hist_data!$A$6:$A$21, 0)+1)=0, "", INDEX(hist_data!$AJ$6:$AZ$256, MATCH(L$13, hist_data!$AJ$6:$AJ$256, 0), MATCH($C80, hist_data!$A$6:$A$21, 0)+1) )</f>
        <v/>
      </c>
      <c r="M80" s="25" t="str" cm="1">
        <f t="array" ref="M80">IF( INDEX(hist_data!$AJ$6:$AZ$256, MATCH(M$13, hist_data!$AJ$6:$AJ$256, 0), MATCH($C80, hist_data!$A$6:$A$21, 0)+1)=0, "", INDEX(hist_data!$AJ$6:$AZ$256, MATCH(M$13, hist_data!$AJ$6:$AJ$256, 0), MATCH($C80, hist_data!$A$6:$A$21, 0)+1) )</f>
        <v/>
      </c>
      <c r="N80" s="25" t="str" cm="1">
        <f t="array" ref="N80">IF( INDEX(hist_data!$AJ$6:$AZ$256, MATCH(N$13, hist_data!$AJ$6:$AJ$256, 0), MATCH($C80, hist_data!$A$6:$A$21, 0)+1)=0, "", INDEX(hist_data!$AJ$6:$AZ$256, MATCH(N$13, hist_data!$AJ$6:$AJ$256, 0), MATCH($C80, hist_data!$A$6:$A$21, 0)+1) )</f>
        <v/>
      </c>
      <c r="O80" s="25" t="str" cm="1">
        <f t="array" ref="O80">IF( INDEX(hist_data!$AJ$6:$AZ$256, MATCH(O$13, hist_data!$AJ$6:$AJ$256, 0), MATCH($C80, hist_data!$A$6:$A$21, 0)+1)=0, "", INDEX(hist_data!$AJ$6:$AZ$256, MATCH(O$13, hist_data!$AJ$6:$AJ$256, 0), MATCH($C80, hist_data!$A$6:$A$21, 0)+1) )</f>
        <v/>
      </c>
      <c r="P80" s="26" t="str" cm="1">
        <f t="array" ref="P80">IF( INDEX(hist_data!$AJ$6:$AZ$256, MATCH(P$13, hist_data!$AJ$6:$AJ$256, 0), MATCH($C80, hist_data!$A$6:$A$21, 0)+1)=0, "", INDEX(hist_data!$AJ$6:$AZ$256, MATCH(P$13, hist_data!$AJ$6:$AJ$256, 0), MATCH($C80, hist_data!$A$6:$A$21, 0)+1) )</f>
        <v/>
      </c>
      <c r="R80" s="48" t="str">
        <f ca="1">IF($E80="", "", AVERAGE( OFFSET( hist_data!$AJ$7, 0, MATCH($C80, hist_data!$A$6:$A$21, 0), R$13 ) ))</f>
        <v/>
      </c>
      <c r="S80" s="25" t="str">
        <f ca="1">IF($E80="","",MAX(OFFSET(hist_data!$AJ$7,0,MATCH($C80,hist_data!$A$6:$A$21,0),S$13)))</f>
        <v/>
      </c>
      <c r="T80" s="26" t="str">
        <f ca="1">IF($E80="","",MIN(OFFSET(hist_data!$AJ$7,0,MATCH($C80,hist_data!$A$6:$A$21,0),T$13)))</f>
        <v/>
      </c>
      <c r="U80" s="48" t="str">
        <f ca="1">IF($E80="", "", AVERAGE( OFFSET( hist_data!$AJ$7, 0, MATCH($C80, hist_data!$A$6:$A$21, 0), U$13 ) ))</f>
        <v/>
      </c>
      <c r="V80" s="25" t="str">
        <f ca="1">IF($E80="","",MAX(OFFSET(hist_data!$AJ$7,0,MATCH($C80,hist_data!$A$6:$A$21,0),V$13)))</f>
        <v/>
      </c>
      <c r="W80" s="26" t="str">
        <f ca="1">IF($E80="","",MIN(OFFSET(hist_data!$AJ$7,0,MATCH($C80,hist_data!$A$6:$A$21,0),W$13)))</f>
        <v/>
      </c>
      <c r="X80" s="48" t="str">
        <f ca="1">IF($E80="", "", AVERAGE( OFFSET( hist_data!$AJ$7, 0, MATCH($C80, hist_data!$A$6:$A$21, 0), X$13 ) ))</f>
        <v/>
      </c>
      <c r="Y80" s="25" t="str">
        <f ca="1">IF($E80="","",MAX(OFFSET(hist_data!$AJ$7,0,MATCH($C80,hist_data!$A$6:$A$21,0),Y$13)))</f>
        <v/>
      </c>
      <c r="Z80" s="26" t="str">
        <f ca="1">IF($E80="","",MIN(OFFSET(hist_data!$AJ$7,0,MATCH($C80,hist_data!$A$6:$A$21,0),Z$13)))</f>
        <v/>
      </c>
      <c r="AA80" s="48" t="str">
        <f ca="1">IF($E80="", "", AVERAGE( OFFSET( hist_data!$AJ$7, 0, MATCH($C80, hist_data!$A$6:$A$21, 0), AA$13 ) ))</f>
        <v/>
      </c>
      <c r="AB80" s="25" t="str">
        <f ca="1">IF($E80="","",MAX(OFFSET(hist_data!$AJ$7,0,MATCH($C80,hist_data!$A$6:$A$21,0),AB$13)))</f>
        <v/>
      </c>
      <c r="AC80" s="26" t="str">
        <f ca="1">IF($E80="","",MIN(OFFSET(hist_data!$AJ$7,0,MATCH($C80,hist_data!$A$6:$A$21,0),AC$13)))</f>
        <v/>
      </c>
    </row>
    <row r="81" spans="1:29" s="20" customFormat="1" ht="12.75">
      <c r="C81" s="88" t="s">
        <v>836</v>
      </c>
      <c r="D81" s="89"/>
      <c r="E81" s="47" t="str">
        <f t="shared" ref="E81" si="624">IFERROR( (E$57-E80)*100, "")</f>
        <v/>
      </c>
      <c r="F81" s="30" t="str">
        <f t="shared" ref="F81" si="625">IFERROR( (F$57-F80)*100, "")</f>
        <v/>
      </c>
      <c r="G81" s="30" t="str">
        <f t="shared" ref="G81" si="626">IFERROR( (G$57-G80)*100, "")</f>
        <v/>
      </c>
      <c r="H81" s="30" t="str">
        <f t="shared" ref="H81" si="627">IFERROR( (H$57-H80)*100, "")</f>
        <v/>
      </c>
      <c r="I81" s="30" t="str">
        <f t="shared" ref="I81" si="628">IFERROR( (I$57-I80)*100, "")</f>
        <v/>
      </c>
      <c r="J81" s="30" t="str">
        <f t="shared" ref="J81" si="629">IFERROR( (J$57-J80)*100, "")</f>
        <v/>
      </c>
      <c r="K81" s="30" t="str">
        <f t="shared" ref="K81" si="630">IFERROR( (K$57-K80)*100, "")</f>
        <v/>
      </c>
      <c r="L81" s="30" t="str">
        <f t="shared" ref="L81" si="631">IFERROR( (L$57-L80)*100, "")</f>
        <v/>
      </c>
      <c r="M81" s="30" t="str">
        <f t="shared" ref="M81" si="632">IFERROR( (M$57-M80)*100, "")</f>
        <v/>
      </c>
      <c r="N81" s="30" t="str">
        <f t="shared" ref="N81" si="633">IFERROR( (N$57-N80)*100, "")</f>
        <v/>
      </c>
      <c r="O81" s="30" t="str">
        <f t="shared" ref="O81" si="634">IFERROR( (O$57-O80)*100, "")</f>
        <v/>
      </c>
      <c r="P81" s="31" t="str">
        <f t="shared" ref="P81" si="635">IFERROR( (P$57-P80)*100, "")</f>
        <v/>
      </c>
      <c r="R81" s="47" t="str">
        <f t="shared" ref="R81" ca="1" si="636">IFERROR( (R$16-R80)*100, "")</f>
        <v/>
      </c>
      <c r="S81" s="30" t="str">
        <f t="shared" ref="S81" ca="1" si="637">IFERROR( (S$16-S80)*100, "")</f>
        <v/>
      </c>
      <c r="T81" s="31" t="str">
        <f t="shared" ref="T81" ca="1" si="638">IFERROR( (T$16-T80)*100, "")</f>
        <v/>
      </c>
      <c r="U81" s="47" t="str">
        <f t="shared" ref="U81" ca="1" si="639">IFERROR( (U$16-U80)*100, "")</f>
        <v/>
      </c>
      <c r="V81" s="30" t="str">
        <f t="shared" ref="V81" ca="1" si="640">IFERROR( (V$16-V80)*100, "")</f>
        <v/>
      </c>
      <c r="W81" s="31" t="str">
        <f t="shared" ref="W81" ca="1" si="641">IFERROR( (W$16-W80)*100, "")</f>
        <v/>
      </c>
      <c r="X81" s="47" t="str">
        <f t="shared" ref="X81" ca="1" si="642">IFERROR( (X$16-X80)*100, "")</f>
        <v/>
      </c>
      <c r="Y81" s="30" t="str">
        <f t="shared" ref="Y81" ca="1" si="643">IFERROR( (Y$16-Y80)*100, "")</f>
        <v/>
      </c>
      <c r="Z81" s="31" t="str">
        <f t="shared" ref="Z81" ca="1" si="644">IFERROR( (Z$16-Z80)*100, "")</f>
        <v/>
      </c>
      <c r="AA81" s="47" t="str">
        <f t="shared" ref="AA81" ca="1" si="645">IFERROR( (AA$16-AA80)*100, "")</f>
        <v/>
      </c>
      <c r="AB81" s="30" t="str">
        <f t="shared" ref="AB81" ca="1" si="646">IFERROR( (AB$16-AB80)*100, "")</f>
        <v/>
      </c>
      <c r="AC81" s="31" t="str">
        <f t="shared" ref="AC81" ca="1" si="647">IFERROR( (AC$16-AC80)*100, "")</f>
        <v/>
      </c>
    </row>
    <row r="82" spans="1:29" s="20" customFormat="1" ht="12.75">
      <c r="A82" s="20">
        <v>13</v>
      </c>
      <c r="C82" s="24" t="str" cm="1">
        <f t="array" ref="C82">INDEX(hist_data!$A$6:$A$21, Hist!$A82)</f>
        <v>15Y</v>
      </c>
      <c r="D82" s="43"/>
      <c r="E82" s="48" t="str" cm="1">
        <f t="array" ref="E82">IF( INDEX(hist_data!$AJ$6:$AZ$256, MATCH(E$13, hist_data!$AJ$6:$AJ$256, 0), MATCH($C82, hist_data!$A$6:$A$21, 0)+1)=0, "", INDEX(hist_data!$AJ$6:$AZ$256, MATCH(E$13, hist_data!$AJ$6:$AJ$256, 0), MATCH($C82, hist_data!$A$6:$A$21, 0)+1) )</f>
        <v/>
      </c>
      <c r="F82" s="25" t="str" cm="1">
        <f t="array" ref="F82">IF( INDEX(hist_data!$AJ$6:$AZ$256, MATCH(F$13, hist_data!$AJ$6:$AJ$256, 0), MATCH($C82, hist_data!$A$6:$A$21, 0)+1)=0, "", INDEX(hist_data!$AJ$6:$AZ$256, MATCH(F$13, hist_data!$AJ$6:$AJ$256, 0), MATCH($C82, hist_data!$A$6:$A$21, 0)+1) )</f>
        <v/>
      </c>
      <c r="G82" s="25" t="str" cm="1">
        <f t="array" ref="G82">IF( INDEX(hist_data!$AJ$6:$AZ$256, MATCH(G$13, hist_data!$AJ$6:$AJ$256, 0), MATCH($C82, hist_data!$A$6:$A$21, 0)+1)=0, "", INDEX(hist_data!$AJ$6:$AZ$256, MATCH(G$13, hist_data!$AJ$6:$AJ$256, 0), MATCH($C82, hist_data!$A$6:$A$21, 0)+1) )</f>
        <v/>
      </c>
      <c r="H82" s="25" t="str" cm="1">
        <f t="array" ref="H82">IF( INDEX(hist_data!$AJ$6:$AZ$256, MATCH(H$13, hist_data!$AJ$6:$AJ$256, 0), MATCH($C82, hist_data!$A$6:$A$21, 0)+1)=0, "", INDEX(hist_data!$AJ$6:$AZ$256, MATCH(H$13, hist_data!$AJ$6:$AJ$256, 0), MATCH($C82, hist_data!$A$6:$A$21, 0)+1) )</f>
        <v/>
      </c>
      <c r="I82" s="25" t="str" cm="1">
        <f t="array" ref="I82">IF( INDEX(hist_data!$AJ$6:$AZ$256, MATCH(I$13, hist_data!$AJ$6:$AJ$256, 0), MATCH($C82, hist_data!$A$6:$A$21, 0)+1)=0, "", INDEX(hist_data!$AJ$6:$AZ$256, MATCH(I$13, hist_data!$AJ$6:$AJ$256, 0), MATCH($C82, hist_data!$A$6:$A$21, 0)+1) )</f>
        <v/>
      </c>
      <c r="J82" s="25" t="str" cm="1">
        <f t="array" ref="J82">IF( INDEX(hist_data!$AJ$6:$AZ$256, MATCH(J$13, hist_data!$AJ$6:$AJ$256, 0), MATCH($C82, hist_data!$A$6:$A$21, 0)+1)=0, "", INDEX(hist_data!$AJ$6:$AZ$256, MATCH(J$13, hist_data!$AJ$6:$AJ$256, 0), MATCH($C82, hist_data!$A$6:$A$21, 0)+1) )</f>
        <v/>
      </c>
      <c r="K82" s="25" t="str" cm="1">
        <f t="array" ref="K82">IF( INDEX(hist_data!$AJ$6:$AZ$256, MATCH(K$13, hist_data!$AJ$6:$AJ$256, 0), MATCH($C82, hist_data!$A$6:$A$21, 0)+1)=0, "", INDEX(hist_data!$AJ$6:$AZ$256, MATCH(K$13, hist_data!$AJ$6:$AJ$256, 0), MATCH($C82, hist_data!$A$6:$A$21, 0)+1) )</f>
        <v/>
      </c>
      <c r="L82" s="25" t="str" cm="1">
        <f t="array" ref="L82">IF( INDEX(hist_data!$AJ$6:$AZ$256, MATCH(L$13, hist_data!$AJ$6:$AJ$256, 0), MATCH($C82, hist_data!$A$6:$A$21, 0)+1)=0, "", INDEX(hist_data!$AJ$6:$AZ$256, MATCH(L$13, hist_data!$AJ$6:$AJ$256, 0), MATCH($C82, hist_data!$A$6:$A$21, 0)+1) )</f>
        <v/>
      </c>
      <c r="M82" s="25" t="str" cm="1">
        <f t="array" ref="M82">IF( INDEX(hist_data!$AJ$6:$AZ$256, MATCH(M$13, hist_data!$AJ$6:$AJ$256, 0), MATCH($C82, hist_data!$A$6:$A$21, 0)+1)=0, "", INDEX(hist_data!$AJ$6:$AZ$256, MATCH(M$13, hist_data!$AJ$6:$AJ$256, 0), MATCH($C82, hist_data!$A$6:$A$21, 0)+1) )</f>
        <v/>
      </c>
      <c r="N82" s="25" t="str" cm="1">
        <f t="array" ref="N82">IF( INDEX(hist_data!$AJ$6:$AZ$256, MATCH(N$13, hist_data!$AJ$6:$AJ$256, 0), MATCH($C82, hist_data!$A$6:$A$21, 0)+1)=0, "", INDEX(hist_data!$AJ$6:$AZ$256, MATCH(N$13, hist_data!$AJ$6:$AJ$256, 0), MATCH($C82, hist_data!$A$6:$A$21, 0)+1) )</f>
        <v/>
      </c>
      <c r="O82" s="25" t="str" cm="1">
        <f t="array" ref="O82">IF( INDEX(hist_data!$AJ$6:$AZ$256, MATCH(O$13, hist_data!$AJ$6:$AJ$256, 0), MATCH($C82, hist_data!$A$6:$A$21, 0)+1)=0, "", INDEX(hist_data!$AJ$6:$AZ$256, MATCH(O$13, hist_data!$AJ$6:$AJ$256, 0), MATCH($C82, hist_data!$A$6:$A$21, 0)+1) )</f>
        <v/>
      </c>
      <c r="P82" s="26" t="str" cm="1">
        <f t="array" ref="P82">IF( INDEX(hist_data!$AJ$6:$AZ$256, MATCH(P$13, hist_data!$AJ$6:$AJ$256, 0), MATCH($C82, hist_data!$A$6:$A$21, 0)+1)=0, "", INDEX(hist_data!$AJ$6:$AZ$256, MATCH(P$13, hist_data!$AJ$6:$AJ$256, 0), MATCH($C82, hist_data!$A$6:$A$21, 0)+1) )</f>
        <v/>
      </c>
      <c r="R82" s="48" t="str">
        <f ca="1">IF($E82="", "", AVERAGE( OFFSET( hist_data!$AJ$7, 0, MATCH($C82, hist_data!$A$6:$A$21, 0), R$13 ) ))</f>
        <v/>
      </c>
      <c r="S82" s="25" t="str">
        <f ca="1">IF($E82="","",MAX(OFFSET(hist_data!$AJ$7,0,MATCH($C82,hist_data!$A$6:$A$21,0),S$13)))</f>
        <v/>
      </c>
      <c r="T82" s="26" t="str">
        <f ca="1">IF($E82="","",MIN(OFFSET(hist_data!$AJ$7,0,MATCH($C82,hist_data!$A$6:$A$21,0),T$13)))</f>
        <v/>
      </c>
      <c r="U82" s="48" t="str">
        <f ca="1">IF($E82="", "", AVERAGE( OFFSET( hist_data!$AJ$7, 0, MATCH($C82, hist_data!$A$6:$A$21, 0), U$13 ) ))</f>
        <v/>
      </c>
      <c r="V82" s="25" t="str">
        <f ca="1">IF($E82="","",MAX(OFFSET(hist_data!$AJ$7,0,MATCH($C82,hist_data!$A$6:$A$21,0),V$13)))</f>
        <v/>
      </c>
      <c r="W82" s="26" t="str">
        <f ca="1">IF($E82="","",MIN(OFFSET(hist_data!$AJ$7,0,MATCH($C82,hist_data!$A$6:$A$21,0),W$13)))</f>
        <v/>
      </c>
      <c r="X82" s="48" t="str">
        <f ca="1">IF($E82="", "", AVERAGE( OFFSET( hist_data!$AJ$7, 0, MATCH($C82, hist_data!$A$6:$A$21, 0), X$13 ) ))</f>
        <v/>
      </c>
      <c r="Y82" s="25" t="str">
        <f ca="1">IF($E82="","",MAX(OFFSET(hist_data!$AJ$7,0,MATCH($C82,hist_data!$A$6:$A$21,0),Y$13)))</f>
        <v/>
      </c>
      <c r="Z82" s="26" t="str">
        <f ca="1">IF($E82="","",MIN(OFFSET(hist_data!$AJ$7,0,MATCH($C82,hist_data!$A$6:$A$21,0),Z$13)))</f>
        <v/>
      </c>
      <c r="AA82" s="48" t="str">
        <f ca="1">IF($E82="", "", AVERAGE( OFFSET( hist_data!$AJ$7, 0, MATCH($C82, hist_data!$A$6:$A$21, 0), AA$13 ) ))</f>
        <v/>
      </c>
      <c r="AB82" s="25" t="str">
        <f ca="1">IF($E82="","",MAX(OFFSET(hist_data!$AJ$7,0,MATCH($C82,hist_data!$A$6:$A$21,0),AB$13)))</f>
        <v/>
      </c>
      <c r="AC82" s="26" t="str">
        <f ca="1">IF($E82="","",MIN(OFFSET(hist_data!$AJ$7,0,MATCH($C82,hist_data!$A$6:$A$21,0),AC$13)))</f>
        <v/>
      </c>
    </row>
    <row r="83" spans="1:29" s="20" customFormat="1" ht="12.75">
      <c r="C83" s="88" t="s">
        <v>836</v>
      </c>
      <c r="D83" s="89"/>
      <c r="E83" s="47" t="str">
        <f t="shared" ref="E83" si="648">IFERROR( (E$57-E82)*100, "")</f>
        <v/>
      </c>
      <c r="F83" s="30" t="str">
        <f t="shared" ref="F83" si="649">IFERROR( (F$57-F82)*100, "")</f>
        <v/>
      </c>
      <c r="G83" s="30" t="str">
        <f t="shared" ref="G83" si="650">IFERROR( (G$57-G82)*100, "")</f>
        <v/>
      </c>
      <c r="H83" s="30" t="str">
        <f t="shared" ref="H83" si="651">IFERROR( (H$57-H82)*100, "")</f>
        <v/>
      </c>
      <c r="I83" s="30" t="str">
        <f t="shared" ref="I83" si="652">IFERROR( (I$57-I82)*100, "")</f>
        <v/>
      </c>
      <c r="J83" s="30" t="str">
        <f t="shared" ref="J83" si="653">IFERROR( (J$57-J82)*100, "")</f>
        <v/>
      </c>
      <c r="K83" s="30" t="str">
        <f t="shared" ref="K83" si="654">IFERROR( (K$57-K82)*100, "")</f>
        <v/>
      </c>
      <c r="L83" s="30" t="str">
        <f t="shared" ref="L83" si="655">IFERROR( (L$57-L82)*100, "")</f>
        <v/>
      </c>
      <c r="M83" s="30" t="str">
        <f t="shared" ref="M83" si="656">IFERROR( (M$57-M82)*100, "")</f>
        <v/>
      </c>
      <c r="N83" s="30" t="str">
        <f t="shared" ref="N83" si="657">IFERROR( (N$57-N82)*100, "")</f>
        <v/>
      </c>
      <c r="O83" s="30" t="str">
        <f t="shared" ref="O83" si="658">IFERROR( (O$57-O82)*100, "")</f>
        <v/>
      </c>
      <c r="P83" s="31" t="str">
        <f t="shared" ref="P83" si="659">IFERROR( (P$57-P82)*100, "")</f>
        <v/>
      </c>
      <c r="R83" s="47" t="str">
        <f t="shared" ref="R83" ca="1" si="660">IFERROR( (R$16-R82)*100, "")</f>
        <v/>
      </c>
      <c r="S83" s="30" t="str">
        <f t="shared" ref="S83" ca="1" si="661">IFERROR( (S$16-S82)*100, "")</f>
        <v/>
      </c>
      <c r="T83" s="31" t="str">
        <f t="shared" ref="T83" ca="1" si="662">IFERROR( (T$16-T82)*100, "")</f>
        <v/>
      </c>
      <c r="U83" s="47" t="str">
        <f t="shared" ref="U83" ca="1" si="663">IFERROR( (U$16-U82)*100, "")</f>
        <v/>
      </c>
      <c r="V83" s="30" t="str">
        <f t="shared" ref="V83" ca="1" si="664">IFERROR( (V$16-V82)*100, "")</f>
        <v/>
      </c>
      <c r="W83" s="31" t="str">
        <f t="shared" ref="W83" ca="1" si="665">IFERROR( (W$16-W82)*100, "")</f>
        <v/>
      </c>
      <c r="X83" s="47" t="str">
        <f t="shared" ref="X83" ca="1" si="666">IFERROR( (X$16-X82)*100, "")</f>
        <v/>
      </c>
      <c r="Y83" s="30" t="str">
        <f t="shared" ref="Y83" ca="1" si="667">IFERROR( (Y$16-Y82)*100, "")</f>
        <v/>
      </c>
      <c r="Z83" s="31" t="str">
        <f t="shared" ref="Z83" ca="1" si="668">IFERROR( (Z$16-Z82)*100, "")</f>
        <v/>
      </c>
      <c r="AA83" s="47" t="str">
        <f t="shared" ref="AA83" ca="1" si="669">IFERROR( (AA$16-AA82)*100, "")</f>
        <v/>
      </c>
      <c r="AB83" s="30" t="str">
        <f t="shared" ref="AB83" ca="1" si="670">IFERROR( (AB$16-AB82)*100, "")</f>
        <v/>
      </c>
      <c r="AC83" s="31" t="str">
        <f t="shared" ref="AC83" ca="1" si="671">IFERROR( (AC$16-AC82)*100, "")</f>
        <v/>
      </c>
    </row>
    <row r="84" spans="1:29" s="20" customFormat="1" ht="12.75">
      <c r="A84" s="20">
        <v>14</v>
      </c>
      <c r="C84" s="24" t="str" cm="1">
        <f t="array" ref="C84">INDEX(hist_data!$A$6:$A$21, Hist!$A84)</f>
        <v>20Y</v>
      </c>
      <c r="D84" s="43"/>
      <c r="E84" s="48" t="str" cm="1">
        <f t="array" ref="E84">IF( INDEX(hist_data!$AJ$6:$AZ$256, MATCH(E$13, hist_data!$AJ$6:$AJ$256, 0), MATCH($C84, hist_data!$A$6:$A$21, 0)+1)=0, "", INDEX(hist_data!$AJ$6:$AZ$256, MATCH(E$13, hist_data!$AJ$6:$AJ$256, 0), MATCH($C84, hist_data!$A$6:$A$21, 0)+1) )</f>
        <v/>
      </c>
      <c r="F84" s="25" t="str" cm="1">
        <f t="array" ref="F84">IF( INDEX(hist_data!$AJ$6:$AZ$256, MATCH(F$13, hist_data!$AJ$6:$AJ$256, 0), MATCH($C84, hist_data!$A$6:$A$21, 0)+1)=0, "", INDEX(hist_data!$AJ$6:$AZ$256, MATCH(F$13, hist_data!$AJ$6:$AJ$256, 0), MATCH($C84, hist_data!$A$6:$A$21, 0)+1) )</f>
        <v/>
      </c>
      <c r="G84" s="25" t="str" cm="1">
        <f t="array" ref="G84">IF( INDEX(hist_data!$AJ$6:$AZ$256, MATCH(G$13, hist_data!$AJ$6:$AJ$256, 0), MATCH($C84, hist_data!$A$6:$A$21, 0)+1)=0, "", INDEX(hist_data!$AJ$6:$AZ$256, MATCH(G$13, hist_data!$AJ$6:$AJ$256, 0), MATCH($C84, hist_data!$A$6:$A$21, 0)+1) )</f>
        <v/>
      </c>
      <c r="H84" s="25" t="str" cm="1">
        <f t="array" ref="H84">IF( INDEX(hist_data!$AJ$6:$AZ$256, MATCH(H$13, hist_data!$AJ$6:$AJ$256, 0), MATCH($C84, hist_data!$A$6:$A$21, 0)+1)=0, "", INDEX(hist_data!$AJ$6:$AZ$256, MATCH(H$13, hist_data!$AJ$6:$AJ$256, 0), MATCH($C84, hist_data!$A$6:$A$21, 0)+1) )</f>
        <v/>
      </c>
      <c r="I84" s="25" t="str" cm="1">
        <f t="array" ref="I84">IF( INDEX(hist_data!$AJ$6:$AZ$256, MATCH(I$13, hist_data!$AJ$6:$AJ$256, 0), MATCH($C84, hist_data!$A$6:$A$21, 0)+1)=0, "", INDEX(hist_data!$AJ$6:$AZ$256, MATCH(I$13, hist_data!$AJ$6:$AJ$256, 0), MATCH($C84, hist_data!$A$6:$A$21, 0)+1) )</f>
        <v/>
      </c>
      <c r="J84" s="25" t="str" cm="1">
        <f t="array" ref="J84">IF( INDEX(hist_data!$AJ$6:$AZ$256, MATCH(J$13, hist_data!$AJ$6:$AJ$256, 0), MATCH($C84, hist_data!$A$6:$A$21, 0)+1)=0, "", INDEX(hist_data!$AJ$6:$AZ$256, MATCH(J$13, hist_data!$AJ$6:$AJ$256, 0), MATCH($C84, hist_data!$A$6:$A$21, 0)+1) )</f>
        <v/>
      </c>
      <c r="K84" s="25" t="str" cm="1">
        <f t="array" ref="K84">IF( INDEX(hist_data!$AJ$6:$AZ$256, MATCH(K$13, hist_data!$AJ$6:$AJ$256, 0), MATCH($C84, hist_data!$A$6:$A$21, 0)+1)=0, "", INDEX(hist_data!$AJ$6:$AZ$256, MATCH(K$13, hist_data!$AJ$6:$AJ$256, 0), MATCH($C84, hist_data!$A$6:$A$21, 0)+1) )</f>
        <v/>
      </c>
      <c r="L84" s="25" t="str" cm="1">
        <f t="array" ref="L84">IF( INDEX(hist_data!$AJ$6:$AZ$256, MATCH(L$13, hist_data!$AJ$6:$AJ$256, 0), MATCH($C84, hist_data!$A$6:$A$21, 0)+1)=0, "", INDEX(hist_data!$AJ$6:$AZ$256, MATCH(L$13, hist_data!$AJ$6:$AJ$256, 0), MATCH($C84, hist_data!$A$6:$A$21, 0)+1) )</f>
        <v/>
      </c>
      <c r="M84" s="25" t="str" cm="1">
        <f t="array" ref="M84">IF( INDEX(hist_data!$AJ$6:$AZ$256, MATCH(M$13, hist_data!$AJ$6:$AJ$256, 0), MATCH($C84, hist_data!$A$6:$A$21, 0)+1)=0, "", INDEX(hist_data!$AJ$6:$AZ$256, MATCH(M$13, hist_data!$AJ$6:$AJ$256, 0), MATCH($C84, hist_data!$A$6:$A$21, 0)+1) )</f>
        <v/>
      </c>
      <c r="N84" s="25" t="str" cm="1">
        <f t="array" ref="N84">IF( INDEX(hist_data!$AJ$6:$AZ$256, MATCH(N$13, hist_data!$AJ$6:$AJ$256, 0), MATCH($C84, hist_data!$A$6:$A$21, 0)+1)=0, "", INDEX(hist_data!$AJ$6:$AZ$256, MATCH(N$13, hist_data!$AJ$6:$AJ$256, 0), MATCH($C84, hist_data!$A$6:$A$21, 0)+1) )</f>
        <v/>
      </c>
      <c r="O84" s="25" t="str" cm="1">
        <f t="array" ref="O84">IF( INDEX(hist_data!$AJ$6:$AZ$256, MATCH(O$13, hist_data!$AJ$6:$AJ$256, 0), MATCH($C84, hist_data!$A$6:$A$21, 0)+1)=0, "", INDEX(hist_data!$AJ$6:$AZ$256, MATCH(O$13, hist_data!$AJ$6:$AJ$256, 0), MATCH($C84, hist_data!$A$6:$A$21, 0)+1) )</f>
        <v/>
      </c>
      <c r="P84" s="26" t="str" cm="1">
        <f t="array" ref="P84">IF( INDEX(hist_data!$AJ$6:$AZ$256, MATCH(P$13, hist_data!$AJ$6:$AJ$256, 0), MATCH($C84, hist_data!$A$6:$A$21, 0)+1)=0, "", INDEX(hist_data!$AJ$6:$AZ$256, MATCH(P$13, hist_data!$AJ$6:$AJ$256, 0), MATCH($C84, hist_data!$A$6:$A$21, 0)+1) )</f>
        <v/>
      </c>
      <c r="R84" s="48" t="str">
        <f ca="1">IF($E84="", "", AVERAGE( OFFSET( hist_data!$AJ$7, 0, MATCH($C84, hist_data!$A$6:$A$21, 0), R$13 ) ))</f>
        <v/>
      </c>
      <c r="S84" s="25" t="str">
        <f ca="1">IF($E84="","",MAX(OFFSET(hist_data!$AJ$7,0,MATCH($C84,hist_data!$A$6:$A$21,0),S$13)))</f>
        <v/>
      </c>
      <c r="T84" s="26" t="str">
        <f ca="1">IF($E84="","",MIN(OFFSET(hist_data!$AJ$7,0,MATCH($C84,hist_data!$A$6:$A$21,0),T$13)))</f>
        <v/>
      </c>
      <c r="U84" s="48" t="str">
        <f ca="1">IF($E84="", "", AVERAGE( OFFSET( hist_data!$AJ$7, 0, MATCH($C84, hist_data!$A$6:$A$21, 0), U$13 ) ))</f>
        <v/>
      </c>
      <c r="V84" s="25" t="str">
        <f ca="1">IF($E84="","",MAX(OFFSET(hist_data!$AJ$7,0,MATCH($C84,hist_data!$A$6:$A$21,0),V$13)))</f>
        <v/>
      </c>
      <c r="W84" s="26" t="str">
        <f ca="1">IF($E84="","",MIN(OFFSET(hist_data!$AJ$7,0,MATCH($C84,hist_data!$A$6:$A$21,0),W$13)))</f>
        <v/>
      </c>
      <c r="X84" s="48" t="str">
        <f ca="1">IF($E84="", "", AVERAGE( OFFSET( hist_data!$AJ$7, 0, MATCH($C84, hist_data!$A$6:$A$21, 0), X$13 ) ))</f>
        <v/>
      </c>
      <c r="Y84" s="25" t="str">
        <f ca="1">IF($E84="","",MAX(OFFSET(hist_data!$AJ$7,0,MATCH($C84,hist_data!$A$6:$A$21,0),Y$13)))</f>
        <v/>
      </c>
      <c r="Z84" s="26" t="str">
        <f ca="1">IF($E84="","",MIN(OFFSET(hist_data!$AJ$7,0,MATCH($C84,hist_data!$A$6:$A$21,0),Z$13)))</f>
        <v/>
      </c>
      <c r="AA84" s="48" t="str">
        <f ca="1">IF($E84="", "", AVERAGE( OFFSET( hist_data!$AJ$7, 0, MATCH($C84, hist_data!$A$6:$A$21, 0), AA$13 ) ))</f>
        <v/>
      </c>
      <c r="AB84" s="25" t="str">
        <f ca="1">IF($E84="","",MAX(OFFSET(hist_data!$AJ$7,0,MATCH($C84,hist_data!$A$6:$A$21,0),AB$13)))</f>
        <v/>
      </c>
      <c r="AC84" s="26" t="str">
        <f ca="1">IF($E84="","",MIN(OFFSET(hist_data!$AJ$7,0,MATCH($C84,hist_data!$A$6:$A$21,0),AC$13)))</f>
        <v/>
      </c>
    </row>
    <row r="85" spans="1:29" s="20" customFormat="1" ht="12.75">
      <c r="C85" s="88" t="s">
        <v>836</v>
      </c>
      <c r="D85" s="89"/>
      <c r="E85" s="47" t="str">
        <f t="shared" ref="E85" si="672">IFERROR( (E$57-E84)*100, "")</f>
        <v/>
      </c>
      <c r="F85" s="30" t="str">
        <f t="shared" ref="F85" si="673">IFERROR( (F$57-F84)*100, "")</f>
        <v/>
      </c>
      <c r="G85" s="30" t="str">
        <f t="shared" ref="G85" si="674">IFERROR( (G$57-G84)*100, "")</f>
        <v/>
      </c>
      <c r="H85" s="30" t="str">
        <f t="shared" ref="H85" si="675">IFERROR( (H$57-H84)*100, "")</f>
        <v/>
      </c>
      <c r="I85" s="30" t="str">
        <f t="shared" ref="I85" si="676">IFERROR( (I$57-I84)*100, "")</f>
        <v/>
      </c>
      <c r="J85" s="30" t="str">
        <f t="shared" ref="J85" si="677">IFERROR( (J$57-J84)*100, "")</f>
        <v/>
      </c>
      <c r="K85" s="30" t="str">
        <f t="shared" ref="K85" si="678">IFERROR( (K$57-K84)*100, "")</f>
        <v/>
      </c>
      <c r="L85" s="30" t="str">
        <f t="shared" ref="L85" si="679">IFERROR( (L$57-L84)*100, "")</f>
        <v/>
      </c>
      <c r="M85" s="30" t="str">
        <f t="shared" ref="M85" si="680">IFERROR( (M$57-M84)*100, "")</f>
        <v/>
      </c>
      <c r="N85" s="30" t="str">
        <f t="shared" ref="N85" si="681">IFERROR( (N$57-N84)*100, "")</f>
        <v/>
      </c>
      <c r="O85" s="30" t="str">
        <f t="shared" ref="O85" si="682">IFERROR( (O$57-O84)*100, "")</f>
        <v/>
      </c>
      <c r="P85" s="31" t="str">
        <f t="shared" ref="P85" si="683">IFERROR( (P$57-P84)*100, "")</f>
        <v/>
      </c>
      <c r="R85" s="47" t="str">
        <f t="shared" ref="R85" ca="1" si="684">IFERROR( (R$16-R84)*100, "")</f>
        <v/>
      </c>
      <c r="S85" s="30" t="str">
        <f t="shared" ref="S85" ca="1" si="685">IFERROR( (S$16-S84)*100, "")</f>
        <v/>
      </c>
      <c r="T85" s="31" t="str">
        <f t="shared" ref="T85" ca="1" si="686">IFERROR( (T$16-T84)*100, "")</f>
        <v/>
      </c>
      <c r="U85" s="47" t="str">
        <f t="shared" ref="U85" ca="1" si="687">IFERROR( (U$16-U84)*100, "")</f>
        <v/>
      </c>
      <c r="V85" s="30" t="str">
        <f t="shared" ref="V85" ca="1" si="688">IFERROR( (V$16-V84)*100, "")</f>
        <v/>
      </c>
      <c r="W85" s="31" t="str">
        <f t="shared" ref="W85" ca="1" si="689">IFERROR( (W$16-W84)*100, "")</f>
        <v/>
      </c>
      <c r="X85" s="47" t="str">
        <f t="shared" ref="X85" ca="1" si="690">IFERROR( (X$16-X84)*100, "")</f>
        <v/>
      </c>
      <c r="Y85" s="30" t="str">
        <f t="shared" ref="Y85" ca="1" si="691">IFERROR( (Y$16-Y84)*100, "")</f>
        <v/>
      </c>
      <c r="Z85" s="31" t="str">
        <f t="shared" ref="Z85" ca="1" si="692">IFERROR( (Z$16-Z84)*100, "")</f>
        <v/>
      </c>
      <c r="AA85" s="47" t="str">
        <f t="shared" ref="AA85" ca="1" si="693">IFERROR( (AA$16-AA84)*100, "")</f>
        <v/>
      </c>
      <c r="AB85" s="30" t="str">
        <f t="shared" ref="AB85" ca="1" si="694">IFERROR( (AB$16-AB84)*100, "")</f>
        <v/>
      </c>
      <c r="AC85" s="31" t="str">
        <f t="shared" ref="AC85" ca="1" si="695">IFERROR( (AC$16-AC84)*100, "")</f>
        <v/>
      </c>
    </row>
    <row r="86" spans="1:29" s="20" customFormat="1" ht="12.75">
      <c r="A86" s="20">
        <v>15</v>
      </c>
      <c r="C86" s="24" t="str" cm="1">
        <f t="array" ref="C86">INDEX(hist_data!$A$6:$A$21, Hist!$A86)</f>
        <v>30Y</v>
      </c>
      <c r="D86" s="43"/>
      <c r="E86" s="48" t="str" cm="1">
        <f t="array" ref="E86">IF( INDEX(hist_data!$AJ$6:$AZ$256, MATCH(E$13, hist_data!$AJ$6:$AJ$256, 0), MATCH($C86, hist_data!$A$6:$A$21, 0)+1)=0, "", INDEX(hist_data!$AJ$6:$AZ$256, MATCH(E$13, hist_data!$AJ$6:$AJ$256, 0), MATCH($C86, hist_data!$A$6:$A$21, 0)+1) )</f>
        <v/>
      </c>
      <c r="F86" s="25" t="str" cm="1">
        <f t="array" ref="F86">IF( INDEX(hist_data!$AJ$6:$AZ$256, MATCH(F$13, hist_data!$AJ$6:$AJ$256, 0), MATCH($C86, hist_data!$A$6:$A$21, 0)+1)=0, "", INDEX(hist_data!$AJ$6:$AZ$256, MATCH(F$13, hist_data!$AJ$6:$AJ$256, 0), MATCH($C86, hist_data!$A$6:$A$21, 0)+1) )</f>
        <v/>
      </c>
      <c r="G86" s="25" t="str" cm="1">
        <f t="array" ref="G86">IF( INDEX(hist_data!$AJ$6:$AZ$256, MATCH(G$13, hist_data!$AJ$6:$AJ$256, 0), MATCH($C86, hist_data!$A$6:$A$21, 0)+1)=0, "", INDEX(hist_data!$AJ$6:$AZ$256, MATCH(G$13, hist_data!$AJ$6:$AJ$256, 0), MATCH($C86, hist_data!$A$6:$A$21, 0)+1) )</f>
        <v/>
      </c>
      <c r="H86" s="25" t="str" cm="1">
        <f t="array" ref="H86">IF( INDEX(hist_data!$AJ$6:$AZ$256, MATCH(H$13, hist_data!$AJ$6:$AJ$256, 0), MATCH($C86, hist_data!$A$6:$A$21, 0)+1)=0, "", INDEX(hist_data!$AJ$6:$AZ$256, MATCH(H$13, hist_data!$AJ$6:$AJ$256, 0), MATCH($C86, hist_data!$A$6:$A$21, 0)+1) )</f>
        <v/>
      </c>
      <c r="I86" s="25" t="str" cm="1">
        <f t="array" ref="I86">IF( INDEX(hist_data!$AJ$6:$AZ$256, MATCH(I$13, hist_data!$AJ$6:$AJ$256, 0), MATCH($C86, hist_data!$A$6:$A$21, 0)+1)=0, "", INDEX(hist_data!$AJ$6:$AZ$256, MATCH(I$13, hist_data!$AJ$6:$AJ$256, 0), MATCH($C86, hist_data!$A$6:$A$21, 0)+1) )</f>
        <v/>
      </c>
      <c r="J86" s="25" t="str" cm="1">
        <f t="array" ref="J86">IF( INDEX(hist_data!$AJ$6:$AZ$256, MATCH(J$13, hist_data!$AJ$6:$AJ$256, 0), MATCH($C86, hist_data!$A$6:$A$21, 0)+1)=0, "", INDEX(hist_data!$AJ$6:$AZ$256, MATCH(J$13, hist_data!$AJ$6:$AJ$256, 0), MATCH($C86, hist_data!$A$6:$A$21, 0)+1) )</f>
        <v/>
      </c>
      <c r="K86" s="25" t="str" cm="1">
        <f t="array" ref="K86">IF( INDEX(hist_data!$AJ$6:$AZ$256, MATCH(K$13, hist_data!$AJ$6:$AJ$256, 0), MATCH($C86, hist_data!$A$6:$A$21, 0)+1)=0, "", INDEX(hist_data!$AJ$6:$AZ$256, MATCH(K$13, hist_data!$AJ$6:$AJ$256, 0), MATCH($C86, hist_data!$A$6:$A$21, 0)+1) )</f>
        <v/>
      </c>
      <c r="L86" s="25" t="str" cm="1">
        <f t="array" ref="L86">IF( INDEX(hist_data!$AJ$6:$AZ$256, MATCH(L$13, hist_data!$AJ$6:$AJ$256, 0), MATCH($C86, hist_data!$A$6:$A$21, 0)+1)=0, "", INDEX(hist_data!$AJ$6:$AZ$256, MATCH(L$13, hist_data!$AJ$6:$AJ$256, 0), MATCH($C86, hist_data!$A$6:$A$21, 0)+1) )</f>
        <v/>
      </c>
      <c r="M86" s="25" t="str" cm="1">
        <f t="array" ref="M86">IF( INDEX(hist_data!$AJ$6:$AZ$256, MATCH(M$13, hist_data!$AJ$6:$AJ$256, 0), MATCH($C86, hist_data!$A$6:$A$21, 0)+1)=0, "", INDEX(hist_data!$AJ$6:$AZ$256, MATCH(M$13, hist_data!$AJ$6:$AJ$256, 0), MATCH($C86, hist_data!$A$6:$A$21, 0)+1) )</f>
        <v/>
      </c>
      <c r="N86" s="25" t="str" cm="1">
        <f t="array" ref="N86">IF( INDEX(hist_data!$AJ$6:$AZ$256, MATCH(N$13, hist_data!$AJ$6:$AJ$256, 0), MATCH($C86, hist_data!$A$6:$A$21, 0)+1)=0, "", INDEX(hist_data!$AJ$6:$AZ$256, MATCH(N$13, hist_data!$AJ$6:$AJ$256, 0), MATCH($C86, hist_data!$A$6:$A$21, 0)+1) )</f>
        <v/>
      </c>
      <c r="O86" s="25" t="str" cm="1">
        <f t="array" ref="O86">IF( INDEX(hist_data!$AJ$6:$AZ$256, MATCH(O$13, hist_data!$AJ$6:$AJ$256, 0), MATCH($C86, hist_data!$A$6:$A$21, 0)+1)=0, "", INDEX(hist_data!$AJ$6:$AZ$256, MATCH(O$13, hist_data!$AJ$6:$AJ$256, 0), MATCH($C86, hist_data!$A$6:$A$21, 0)+1) )</f>
        <v/>
      </c>
      <c r="P86" s="26" t="str" cm="1">
        <f t="array" ref="P86">IF( INDEX(hist_data!$AJ$6:$AZ$256, MATCH(P$13, hist_data!$AJ$6:$AJ$256, 0), MATCH($C86, hist_data!$A$6:$A$21, 0)+1)=0, "", INDEX(hist_data!$AJ$6:$AZ$256, MATCH(P$13, hist_data!$AJ$6:$AJ$256, 0), MATCH($C86, hist_data!$A$6:$A$21, 0)+1) )</f>
        <v/>
      </c>
      <c r="R86" s="48" t="str">
        <f ca="1">IF($E86="", "", AVERAGE( OFFSET( hist_data!$AJ$7, 0, MATCH($C86, hist_data!$A$6:$A$21, 0), R$13 ) ))</f>
        <v/>
      </c>
      <c r="S86" s="25" t="str">
        <f ca="1">IF($E86="","",MAX(OFFSET(hist_data!$AJ$7,0,MATCH($C86,hist_data!$A$6:$A$21,0),S$13)))</f>
        <v/>
      </c>
      <c r="T86" s="26" t="str">
        <f ca="1">IF($E86="","",MIN(OFFSET(hist_data!$AJ$7,0,MATCH($C86,hist_data!$A$6:$A$21,0),T$13)))</f>
        <v/>
      </c>
      <c r="U86" s="48" t="str">
        <f ca="1">IF($E86="", "", AVERAGE( OFFSET( hist_data!$AJ$7, 0, MATCH($C86, hist_data!$A$6:$A$21, 0), U$13 ) ))</f>
        <v/>
      </c>
      <c r="V86" s="25" t="str">
        <f ca="1">IF($E86="","",MAX(OFFSET(hist_data!$AJ$7,0,MATCH($C86,hist_data!$A$6:$A$21,0),V$13)))</f>
        <v/>
      </c>
      <c r="W86" s="26" t="str">
        <f ca="1">IF($E86="","",MIN(OFFSET(hist_data!$AJ$7,0,MATCH($C86,hist_data!$A$6:$A$21,0),W$13)))</f>
        <v/>
      </c>
      <c r="X86" s="48" t="str">
        <f ca="1">IF($E86="", "", AVERAGE( OFFSET( hist_data!$AJ$7, 0, MATCH($C86, hist_data!$A$6:$A$21, 0), X$13 ) ))</f>
        <v/>
      </c>
      <c r="Y86" s="25" t="str">
        <f ca="1">IF($E86="","",MAX(OFFSET(hist_data!$AJ$7,0,MATCH($C86,hist_data!$A$6:$A$21,0),Y$13)))</f>
        <v/>
      </c>
      <c r="Z86" s="26" t="str">
        <f ca="1">IF($E86="","",MIN(OFFSET(hist_data!$AJ$7,0,MATCH($C86,hist_data!$A$6:$A$21,0),Z$13)))</f>
        <v/>
      </c>
      <c r="AA86" s="48" t="str">
        <f ca="1">IF($E86="", "", AVERAGE( OFFSET( hist_data!$AJ$7, 0, MATCH($C86, hist_data!$A$6:$A$21, 0), AA$13 ) ))</f>
        <v/>
      </c>
      <c r="AB86" s="25" t="str">
        <f ca="1">IF($E86="","",MAX(OFFSET(hist_data!$AJ$7,0,MATCH($C86,hist_data!$A$6:$A$21,0),AB$13)))</f>
        <v/>
      </c>
      <c r="AC86" s="26" t="str">
        <f ca="1">IF($E86="","",MIN(OFFSET(hist_data!$AJ$7,0,MATCH($C86,hist_data!$A$6:$A$21,0),AC$13)))</f>
        <v/>
      </c>
    </row>
    <row r="87" spans="1:29" s="20" customFormat="1" ht="12.75">
      <c r="C87" s="88" t="s">
        <v>836</v>
      </c>
      <c r="D87" s="89"/>
      <c r="E87" s="47" t="str">
        <f t="shared" ref="E87" si="696">IFERROR( (E$57-E86)*100, "")</f>
        <v/>
      </c>
      <c r="F87" s="30" t="str">
        <f t="shared" ref="F87" si="697">IFERROR( (F$57-F86)*100, "")</f>
        <v/>
      </c>
      <c r="G87" s="30" t="str">
        <f t="shared" ref="G87" si="698">IFERROR( (G$57-G86)*100, "")</f>
        <v/>
      </c>
      <c r="H87" s="30" t="str">
        <f t="shared" ref="H87" si="699">IFERROR( (H$57-H86)*100, "")</f>
        <v/>
      </c>
      <c r="I87" s="30" t="str">
        <f t="shared" ref="I87" si="700">IFERROR( (I$57-I86)*100, "")</f>
        <v/>
      </c>
      <c r="J87" s="30" t="str">
        <f t="shared" ref="J87" si="701">IFERROR( (J$57-J86)*100, "")</f>
        <v/>
      </c>
      <c r="K87" s="30" t="str">
        <f t="shared" ref="K87" si="702">IFERROR( (K$57-K86)*100, "")</f>
        <v/>
      </c>
      <c r="L87" s="30" t="str">
        <f t="shared" ref="L87" si="703">IFERROR( (L$57-L86)*100, "")</f>
        <v/>
      </c>
      <c r="M87" s="30" t="str">
        <f t="shared" ref="M87" si="704">IFERROR( (M$57-M86)*100, "")</f>
        <v/>
      </c>
      <c r="N87" s="30" t="str">
        <f t="shared" ref="N87" si="705">IFERROR( (N$57-N86)*100, "")</f>
        <v/>
      </c>
      <c r="O87" s="30" t="str">
        <f t="shared" ref="O87" si="706">IFERROR( (O$57-O86)*100, "")</f>
        <v/>
      </c>
      <c r="P87" s="31" t="str">
        <f t="shared" ref="P87" si="707">IFERROR( (P$57-P86)*100, "")</f>
        <v/>
      </c>
      <c r="R87" s="47" t="str">
        <f t="shared" ref="R87" ca="1" si="708">IFERROR( (R$16-R86)*100, "")</f>
        <v/>
      </c>
      <c r="S87" s="30" t="str">
        <f t="shared" ref="S87" ca="1" si="709">IFERROR( (S$16-S86)*100, "")</f>
        <v/>
      </c>
      <c r="T87" s="31" t="str">
        <f t="shared" ref="T87" ca="1" si="710">IFERROR( (T$16-T86)*100, "")</f>
        <v/>
      </c>
      <c r="U87" s="47" t="str">
        <f t="shared" ref="U87" ca="1" si="711">IFERROR( (U$16-U86)*100, "")</f>
        <v/>
      </c>
      <c r="V87" s="30" t="str">
        <f t="shared" ref="V87" ca="1" si="712">IFERROR( (V$16-V86)*100, "")</f>
        <v/>
      </c>
      <c r="W87" s="31" t="str">
        <f t="shared" ref="W87" ca="1" si="713">IFERROR( (W$16-W86)*100, "")</f>
        <v/>
      </c>
      <c r="X87" s="47" t="str">
        <f t="shared" ref="X87" ca="1" si="714">IFERROR( (X$16-X86)*100, "")</f>
        <v/>
      </c>
      <c r="Y87" s="30" t="str">
        <f t="shared" ref="Y87" ca="1" si="715">IFERROR( (Y$16-Y86)*100, "")</f>
        <v/>
      </c>
      <c r="Z87" s="31" t="str">
        <f t="shared" ref="Z87" ca="1" si="716">IFERROR( (Z$16-Z86)*100, "")</f>
        <v/>
      </c>
      <c r="AA87" s="47" t="str">
        <f t="shared" ref="AA87" ca="1" si="717">IFERROR( (AA$16-AA86)*100, "")</f>
        <v/>
      </c>
      <c r="AB87" s="30" t="str">
        <f t="shared" ref="AB87" ca="1" si="718">IFERROR( (AB$16-AB86)*100, "")</f>
        <v/>
      </c>
      <c r="AC87" s="31" t="str">
        <f t="shared" ref="AC87" ca="1" si="719">IFERROR( (AC$16-AC86)*100, "")</f>
        <v/>
      </c>
    </row>
    <row r="88" spans="1:29" s="20" customFormat="1" ht="12.75">
      <c r="A88" s="20">
        <v>16</v>
      </c>
      <c r="C88" s="24" t="str" cm="1">
        <f t="array" ref="C88">INDEX(hist_data!$A$6:$A$21, Hist!$A88)</f>
        <v>50Y</v>
      </c>
      <c r="D88" s="43"/>
      <c r="E88" s="48" t="str" cm="1">
        <f t="array" ref="E88">IF( INDEX(hist_data!$AJ$6:$AZ$256, MATCH(E$13, hist_data!$AJ$6:$AJ$256, 0), MATCH($C88, hist_data!$A$6:$A$21, 0)+1)=0, "", INDEX(hist_data!$AJ$6:$AZ$256, MATCH(E$13, hist_data!$AJ$6:$AJ$256, 0), MATCH($C88, hist_data!$A$6:$A$21, 0)+1) )</f>
        <v/>
      </c>
      <c r="F88" s="25" t="str" cm="1">
        <f t="array" ref="F88">IF( INDEX(hist_data!$AJ$6:$AZ$256, MATCH(F$13, hist_data!$AJ$6:$AJ$256, 0), MATCH($C88, hist_data!$A$6:$A$21, 0)+1)=0, "", INDEX(hist_data!$AJ$6:$AZ$256, MATCH(F$13, hist_data!$AJ$6:$AJ$256, 0), MATCH($C88, hist_data!$A$6:$A$21, 0)+1) )</f>
        <v/>
      </c>
      <c r="G88" s="25" t="str" cm="1">
        <f t="array" ref="G88">IF( INDEX(hist_data!$AJ$6:$AZ$256, MATCH(G$13, hist_data!$AJ$6:$AJ$256, 0), MATCH($C88, hist_data!$A$6:$A$21, 0)+1)=0, "", INDEX(hist_data!$AJ$6:$AZ$256, MATCH(G$13, hist_data!$AJ$6:$AJ$256, 0), MATCH($C88, hist_data!$A$6:$A$21, 0)+1) )</f>
        <v/>
      </c>
      <c r="H88" s="25" t="str" cm="1">
        <f t="array" ref="H88">IF( INDEX(hist_data!$AJ$6:$AZ$256, MATCH(H$13, hist_data!$AJ$6:$AJ$256, 0), MATCH($C88, hist_data!$A$6:$A$21, 0)+1)=0, "", INDEX(hist_data!$AJ$6:$AZ$256, MATCH(H$13, hist_data!$AJ$6:$AJ$256, 0), MATCH($C88, hist_data!$A$6:$A$21, 0)+1) )</f>
        <v/>
      </c>
      <c r="I88" s="25" t="str" cm="1">
        <f t="array" ref="I88">IF( INDEX(hist_data!$AJ$6:$AZ$256, MATCH(I$13, hist_data!$AJ$6:$AJ$256, 0), MATCH($C88, hist_data!$A$6:$A$21, 0)+1)=0, "", INDEX(hist_data!$AJ$6:$AZ$256, MATCH(I$13, hist_data!$AJ$6:$AJ$256, 0), MATCH($C88, hist_data!$A$6:$A$21, 0)+1) )</f>
        <v/>
      </c>
      <c r="J88" s="25" t="str" cm="1">
        <f t="array" ref="J88">IF( INDEX(hist_data!$AJ$6:$AZ$256, MATCH(J$13, hist_data!$AJ$6:$AJ$256, 0), MATCH($C88, hist_data!$A$6:$A$21, 0)+1)=0, "", INDEX(hist_data!$AJ$6:$AZ$256, MATCH(J$13, hist_data!$AJ$6:$AJ$256, 0), MATCH($C88, hist_data!$A$6:$A$21, 0)+1) )</f>
        <v/>
      </c>
      <c r="K88" s="25" t="str" cm="1">
        <f t="array" ref="K88">IF( INDEX(hist_data!$AJ$6:$AZ$256, MATCH(K$13, hist_data!$AJ$6:$AJ$256, 0), MATCH($C88, hist_data!$A$6:$A$21, 0)+1)=0, "", INDEX(hist_data!$AJ$6:$AZ$256, MATCH(K$13, hist_data!$AJ$6:$AJ$256, 0), MATCH($C88, hist_data!$A$6:$A$21, 0)+1) )</f>
        <v/>
      </c>
      <c r="L88" s="25" t="str" cm="1">
        <f t="array" ref="L88">IF( INDEX(hist_data!$AJ$6:$AZ$256, MATCH(L$13, hist_data!$AJ$6:$AJ$256, 0), MATCH($C88, hist_data!$A$6:$A$21, 0)+1)=0, "", INDEX(hist_data!$AJ$6:$AZ$256, MATCH(L$13, hist_data!$AJ$6:$AJ$256, 0), MATCH($C88, hist_data!$A$6:$A$21, 0)+1) )</f>
        <v/>
      </c>
      <c r="M88" s="25" t="str" cm="1">
        <f t="array" ref="M88">IF( INDEX(hist_data!$AJ$6:$AZ$256, MATCH(M$13, hist_data!$AJ$6:$AJ$256, 0), MATCH($C88, hist_data!$A$6:$A$21, 0)+1)=0, "", INDEX(hist_data!$AJ$6:$AZ$256, MATCH(M$13, hist_data!$AJ$6:$AJ$256, 0), MATCH($C88, hist_data!$A$6:$A$21, 0)+1) )</f>
        <v/>
      </c>
      <c r="N88" s="25" t="str" cm="1">
        <f t="array" ref="N88">IF( INDEX(hist_data!$AJ$6:$AZ$256, MATCH(N$13, hist_data!$AJ$6:$AJ$256, 0), MATCH($C88, hist_data!$A$6:$A$21, 0)+1)=0, "", INDEX(hist_data!$AJ$6:$AZ$256, MATCH(N$13, hist_data!$AJ$6:$AJ$256, 0), MATCH($C88, hist_data!$A$6:$A$21, 0)+1) )</f>
        <v/>
      </c>
      <c r="O88" s="25" t="str" cm="1">
        <f t="array" ref="O88">IF( INDEX(hist_data!$AJ$6:$AZ$256, MATCH(O$13, hist_data!$AJ$6:$AJ$256, 0), MATCH($C88, hist_data!$A$6:$A$21, 0)+1)=0, "", INDEX(hist_data!$AJ$6:$AZ$256, MATCH(O$13, hist_data!$AJ$6:$AJ$256, 0), MATCH($C88, hist_data!$A$6:$A$21, 0)+1) )</f>
        <v/>
      </c>
      <c r="P88" s="26" t="str" cm="1">
        <f t="array" ref="P88">IF( INDEX(hist_data!$AJ$6:$AZ$256, MATCH(P$13, hist_data!$AJ$6:$AJ$256, 0), MATCH($C88, hist_data!$A$6:$A$21, 0)+1)=0, "", INDEX(hist_data!$AJ$6:$AZ$256, MATCH(P$13, hist_data!$AJ$6:$AJ$256, 0), MATCH($C88, hist_data!$A$6:$A$21, 0)+1) )</f>
        <v/>
      </c>
      <c r="R88" s="48" t="str">
        <f ca="1">IF($E88="", "", AVERAGE( OFFSET( hist_data!$AJ$7, 0, MATCH($C88, hist_data!$A$6:$A$21, 0), R$13 ) ))</f>
        <v/>
      </c>
      <c r="S88" s="25" t="str">
        <f ca="1">IF($E88="","",MAX(OFFSET(hist_data!$AJ$7,0,MATCH($C88,hist_data!$A$6:$A$21,0),S$13)))</f>
        <v/>
      </c>
      <c r="T88" s="26" t="str">
        <f ca="1">IF($E88="","",MIN(OFFSET(hist_data!$AJ$7,0,MATCH($C88,hist_data!$A$6:$A$21,0),T$13)))</f>
        <v/>
      </c>
      <c r="U88" s="48" t="str">
        <f ca="1">IF($E88="", "", AVERAGE( OFFSET( hist_data!$AJ$7, 0, MATCH($C88, hist_data!$A$6:$A$21, 0), U$13 ) ))</f>
        <v/>
      </c>
      <c r="V88" s="25" t="str">
        <f ca="1">IF($E88="","",MAX(OFFSET(hist_data!$AJ$7,0,MATCH($C88,hist_data!$A$6:$A$21,0),V$13)))</f>
        <v/>
      </c>
      <c r="W88" s="26" t="str">
        <f ca="1">IF($E88="","",MIN(OFFSET(hist_data!$AJ$7,0,MATCH($C88,hist_data!$A$6:$A$21,0),W$13)))</f>
        <v/>
      </c>
      <c r="X88" s="48" t="str">
        <f ca="1">IF($E88="", "", AVERAGE( OFFSET( hist_data!$AJ$7, 0, MATCH($C88, hist_data!$A$6:$A$21, 0), X$13 ) ))</f>
        <v/>
      </c>
      <c r="Y88" s="25" t="str">
        <f ca="1">IF($E88="","",MAX(OFFSET(hist_data!$AJ$7,0,MATCH($C88,hist_data!$A$6:$A$21,0),Y$13)))</f>
        <v/>
      </c>
      <c r="Z88" s="26" t="str">
        <f ca="1">IF($E88="","",MIN(OFFSET(hist_data!$AJ$7,0,MATCH($C88,hist_data!$A$6:$A$21,0),Z$13)))</f>
        <v/>
      </c>
      <c r="AA88" s="48" t="str">
        <f ca="1">IF($E88="", "", AVERAGE( OFFSET( hist_data!$AJ$7, 0, MATCH($C88, hist_data!$A$6:$A$21, 0), AA$13 ) ))</f>
        <v/>
      </c>
      <c r="AB88" s="25" t="str">
        <f ca="1">IF($E88="","",MAX(OFFSET(hist_data!$AJ$7,0,MATCH($C88,hist_data!$A$6:$A$21,0),AB$13)))</f>
        <v/>
      </c>
      <c r="AC88" s="26" t="str">
        <f ca="1">IF($E88="","",MIN(OFFSET(hist_data!$AJ$7,0,MATCH($C88,hist_data!$A$6:$A$21,0),AC$13)))</f>
        <v/>
      </c>
    </row>
    <row r="89" spans="1:29" s="20" customFormat="1" ht="13.5" customHeight="1" thickBot="1">
      <c r="C89" s="86" t="s">
        <v>836</v>
      </c>
      <c r="D89" s="87"/>
      <c r="E89" s="49" t="str">
        <f t="shared" ref="E89:P89" si="720">IFERROR( (E$57-E88)*100, "")</f>
        <v/>
      </c>
      <c r="F89" s="32" t="str">
        <f t="shared" si="720"/>
        <v/>
      </c>
      <c r="G89" s="32" t="str">
        <f t="shared" si="720"/>
        <v/>
      </c>
      <c r="H89" s="32" t="str">
        <f t="shared" si="720"/>
        <v/>
      </c>
      <c r="I89" s="32" t="str">
        <f t="shared" si="720"/>
        <v/>
      </c>
      <c r="J89" s="32" t="str">
        <f t="shared" si="720"/>
        <v/>
      </c>
      <c r="K89" s="32" t="str">
        <f t="shared" si="720"/>
        <v/>
      </c>
      <c r="L89" s="32" t="str">
        <f t="shared" si="720"/>
        <v/>
      </c>
      <c r="M89" s="32" t="str">
        <f t="shared" si="720"/>
        <v/>
      </c>
      <c r="N89" s="32" t="str">
        <f t="shared" si="720"/>
        <v/>
      </c>
      <c r="O89" s="32" t="str">
        <f t="shared" si="720"/>
        <v/>
      </c>
      <c r="P89" s="33" t="str">
        <f t="shared" si="720"/>
        <v/>
      </c>
      <c r="R89" s="49" t="str">
        <f t="shared" ref="R89" ca="1" si="721">IFERROR( (R$16-R88)*100, "")</f>
        <v/>
      </c>
      <c r="S89" s="32" t="str">
        <f t="shared" ref="S89" ca="1" si="722">IFERROR( (S$16-S88)*100, "")</f>
        <v/>
      </c>
      <c r="T89" s="33" t="str">
        <f t="shared" ref="T89:U89" ca="1" si="723">IFERROR( (T$16-T88)*100, "")</f>
        <v/>
      </c>
      <c r="U89" s="49" t="str">
        <f t="shared" ca="1" si="723"/>
        <v/>
      </c>
      <c r="V89" s="32" t="str">
        <f t="shared" ref="V89" ca="1" si="724">IFERROR( (V$16-V88)*100, "")</f>
        <v/>
      </c>
      <c r="W89" s="33" t="str">
        <f t="shared" ref="W89:X89" ca="1" si="725">IFERROR( (W$16-W88)*100, "")</f>
        <v/>
      </c>
      <c r="X89" s="49" t="str">
        <f t="shared" ca="1" si="725"/>
        <v/>
      </c>
      <c r="Y89" s="32" t="str">
        <f t="shared" ref="Y89" ca="1" si="726">IFERROR( (Y$16-Y88)*100, "")</f>
        <v/>
      </c>
      <c r="Z89" s="33" t="str">
        <f t="shared" ref="Z89:AA89" ca="1" si="727">IFERROR( (Z$16-Z88)*100, "")</f>
        <v/>
      </c>
      <c r="AA89" s="49" t="str">
        <f t="shared" ca="1" si="727"/>
        <v/>
      </c>
      <c r="AB89" s="32" t="str">
        <f t="shared" ref="AB89" ca="1" si="728">IFERROR( (AB$16-AB88)*100, "")</f>
        <v/>
      </c>
      <c r="AC89" s="33" t="str">
        <f t="shared" ref="AC89" ca="1" si="729">IFERROR( (AC$16-AC88)*100, "")</f>
        <v/>
      </c>
    </row>
    <row r="90" spans="1:29"/>
    <row r="91" spans="1:29"/>
  </sheetData>
  <mergeCells count="45">
    <mergeCell ref="R55:T55"/>
    <mergeCell ref="U55:W55"/>
    <mergeCell ref="X55:Z55"/>
    <mergeCell ref="AA55:AC55"/>
    <mergeCell ref="AA14:AC14"/>
    <mergeCell ref="X14:Z14"/>
    <mergeCell ref="U14:W14"/>
    <mergeCell ref="R14:T14"/>
    <mergeCell ref="C14:D15"/>
    <mergeCell ref="C20:D20"/>
    <mergeCell ref="C18:D18"/>
    <mergeCell ref="J10:O10"/>
    <mergeCell ref="J52:O52"/>
    <mergeCell ref="C30:D30"/>
    <mergeCell ref="C28:D28"/>
    <mergeCell ref="C26:D26"/>
    <mergeCell ref="C24:D24"/>
    <mergeCell ref="C22:D22"/>
    <mergeCell ref="C40:D40"/>
    <mergeCell ref="C38:D38"/>
    <mergeCell ref="C36:D36"/>
    <mergeCell ref="C34:D34"/>
    <mergeCell ref="C32:D32"/>
    <mergeCell ref="C59:D59"/>
    <mergeCell ref="C48:D48"/>
    <mergeCell ref="C46:D46"/>
    <mergeCell ref="C44:D44"/>
    <mergeCell ref="C42:D42"/>
    <mergeCell ref="C55:D56"/>
    <mergeCell ref="J5:O5"/>
    <mergeCell ref="C89:D89"/>
    <mergeCell ref="C87:D87"/>
    <mergeCell ref="C85:D85"/>
    <mergeCell ref="C83:D83"/>
    <mergeCell ref="C81:D81"/>
    <mergeCell ref="C79:D79"/>
    <mergeCell ref="C77:D77"/>
    <mergeCell ref="C75:D75"/>
    <mergeCell ref="C73:D73"/>
    <mergeCell ref="C71:D71"/>
    <mergeCell ref="C69:D69"/>
    <mergeCell ref="C67:D67"/>
    <mergeCell ref="C65:D65"/>
    <mergeCell ref="C63:D63"/>
    <mergeCell ref="C61:D61"/>
  </mergeCells>
  <phoneticPr fontId="1" type="noConversion"/>
  <conditionalFormatting sqref="J5:O5">
    <cfRule type="notContainsBlanks" dxfId="5" priority="6">
      <formula>LEN(TRIM(J5))&gt;0</formula>
    </cfRule>
  </conditionalFormatting>
  <conditionalFormatting sqref="J10:O10">
    <cfRule type="notContainsBlanks" dxfId="4" priority="2">
      <formula>LEN(TRIM(J10))&gt;0</formula>
    </cfRule>
  </conditionalFormatting>
  <conditionalFormatting sqref="J52:O52">
    <cfRule type="notContainsBlanks" dxfId="3" priority="1">
      <formula>LEN(TRIM(J52))&gt;0</formula>
    </cfRule>
  </conditionalFormatting>
  <pageMargins left="0.7" right="0.7" top="0.75" bottom="0.75" header="0.3" footer="0.3"/>
  <pageSetup paperSize="9" orientation="portrait" horizontalDpi="0" verticalDpi="0" r:id="rId1"/>
  <ignoredErrors>
    <ignoredError sqref="E18:P48 E59:P89 R18:AC48 R59:AC89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10" r:id="rId4" name="Group Box 62">
              <controlPr defaultSize="0" autoFill="0" autoPict="0">
                <anchor moveWithCells="1">
                  <from>
                    <xdr:col>2</xdr:col>
                    <xdr:colOff>9525</xdr:colOff>
                    <xdr:row>2</xdr:row>
                    <xdr:rowOff>114300</xdr:rowOff>
                  </from>
                  <to>
                    <xdr:col>8</xdr:col>
                    <xdr:colOff>647700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5" name="Drop Down 63">
              <controlPr defaultSize="0" autoLine="0" autoPict="0">
                <anchor moveWithCells="1">
                  <from>
                    <xdr:col>2</xdr:col>
                    <xdr:colOff>123825</xdr:colOff>
                    <xdr:row>3</xdr:row>
                    <xdr:rowOff>152400</xdr:rowOff>
                  </from>
                  <to>
                    <xdr:col>5</xdr:col>
                    <xdr:colOff>104775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" name="Option Button 64">
              <controlPr defaultSize="0" autoFill="0" autoLine="0" autoPict="0">
                <anchor moveWithCells="1">
                  <from>
                    <xdr:col>5</xdr:col>
                    <xdr:colOff>238125</xdr:colOff>
                    <xdr:row>3</xdr:row>
                    <xdr:rowOff>161925</xdr:rowOff>
                  </from>
                  <to>
                    <xdr:col>6</xdr:col>
                    <xdr:colOff>276225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7" name="Option Button 65">
              <controlPr defaultSize="0" autoFill="0" autoLine="0" autoPict="0">
                <anchor moveWithCells="1">
                  <from>
                    <xdr:col>6</xdr:col>
                    <xdr:colOff>209550</xdr:colOff>
                    <xdr:row>3</xdr:row>
                    <xdr:rowOff>161925</xdr:rowOff>
                  </from>
                  <to>
                    <xdr:col>7</xdr:col>
                    <xdr:colOff>247650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8" name="Option Button 66">
              <controlPr defaultSize="0" autoFill="0" autoLine="0" autoPict="0">
                <anchor moveWithCells="1">
                  <from>
                    <xdr:col>5</xdr:col>
                    <xdr:colOff>238125</xdr:colOff>
                    <xdr:row>4</xdr:row>
                    <xdr:rowOff>161925</xdr:rowOff>
                  </from>
                  <to>
                    <xdr:col>6</xdr:col>
                    <xdr:colOff>76200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9" name="Option Button 67">
              <controlPr defaultSize="0" autoFill="0" autoLine="0" autoPict="0">
                <anchor moveWithCells="1">
                  <from>
                    <xdr:col>6</xdr:col>
                    <xdr:colOff>209550</xdr:colOff>
                    <xdr:row>4</xdr:row>
                    <xdr:rowOff>161925</xdr:rowOff>
                  </from>
                  <to>
                    <xdr:col>7</xdr:col>
                    <xdr:colOff>47625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10" name="Option Button 68">
              <controlPr defaultSize="0" autoFill="0" autoLine="0" autoPict="0">
                <anchor moveWithCells="1">
                  <from>
                    <xdr:col>7</xdr:col>
                    <xdr:colOff>161925</xdr:colOff>
                    <xdr:row>4</xdr:row>
                    <xdr:rowOff>161925</xdr:rowOff>
                  </from>
                  <to>
                    <xdr:col>8</xdr:col>
                    <xdr:colOff>0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11" name="Option Button 69">
              <controlPr defaultSize="0" autoFill="0" autoLine="0" autoPict="0">
                <anchor moveWithCells="1">
                  <from>
                    <xdr:col>8</xdr:col>
                    <xdr:colOff>142875</xdr:colOff>
                    <xdr:row>4</xdr:row>
                    <xdr:rowOff>161925</xdr:rowOff>
                  </from>
                  <to>
                    <xdr:col>8</xdr:col>
                    <xdr:colOff>638175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12" name="Drop Down 70">
              <controlPr defaultSize="0" autoLine="0" autoPict="0">
                <anchor moveWithCells="1">
                  <from>
                    <xdr:col>2</xdr:col>
                    <xdr:colOff>123825</xdr:colOff>
                    <xdr:row>4</xdr:row>
                    <xdr:rowOff>171450</xdr:rowOff>
                  </from>
                  <to>
                    <xdr:col>3</xdr:col>
                    <xdr:colOff>295275</xdr:colOff>
                    <xdr:row>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13" name="Drop Down 71">
              <controlPr defaultSize="0" autoLine="0" autoPict="0">
                <anchor moveWithCells="1">
                  <from>
                    <xdr:col>2</xdr:col>
                    <xdr:colOff>9525</xdr:colOff>
                    <xdr:row>16</xdr:row>
                    <xdr:rowOff>9525</xdr:rowOff>
                  </from>
                  <to>
                    <xdr:col>3</xdr:col>
                    <xdr:colOff>409575</xdr:colOff>
                    <xdr:row>17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14" name="Drop Down 72">
              <controlPr defaultSize="0" autoLine="0" autoPict="0">
                <anchor moveWithCells="1">
                  <from>
                    <xdr:col>2</xdr:col>
                    <xdr:colOff>9525</xdr:colOff>
                    <xdr:row>18</xdr:row>
                    <xdr:rowOff>9525</xdr:rowOff>
                  </from>
                  <to>
                    <xdr:col>3</xdr:col>
                    <xdr:colOff>409575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15" name="Drop Down 73">
              <controlPr defaultSize="0" autoLine="0" autoPict="0">
                <anchor moveWithCells="1">
                  <from>
                    <xdr:col>2</xdr:col>
                    <xdr:colOff>9525</xdr:colOff>
                    <xdr:row>32</xdr:row>
                    <xdr:rowOff>9525</xdr:rowOff>
                  </from>
                  <to>
                    <xdr:col>3</xdr:col>
                    <xdr:colOff>409575</xdr:colOff>
                    <xdr:row>33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16" name="Drop Down 74">
              <controlPr defaultSize="0" autoLine="0" autoPict="0">
                <anchor moveWithCells="1">
                  <from>
                    <xdr:col>2</xdr:col>
                    <xdr:colOff>9525</xdr:colOff>
                    <xdr:row>46</xdr:row>
                    <xdr:rowOff>9525</xdr:rowOff>
                  </from>
                  <to>
                    <xdr:col>3</xdr:col>
                    <xdr:colOff>409575</xdr:colOff>
                    <xdr:row>47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17" name="Drop Down 75">
              <controlPr defaultSize="0" autoLine="0" autoPict="0">
                <anchor moveWithCells="1">
                  <from>
                    <xdr:col>2</xdr:col>
                    <xdr:colOff>9525</xdr:colOff>
                    <xdr:row>44</xdr:row>
                    <xdr:rowOff>9525</xdr:rowOff>
                  </from>
                  <to>
                    <xdr:col>3</xdr:col>
                    <xdr:colOff>409575</xdr:colOff>
                    <xdr:row>45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18" name="Drop Down 76">
              <controlPr defaultSize="0" autoLine="0" autoPict="0">
                <anchor moveWithCells="1">
                  <from>
                    <xdr:col>2</xdr:col>
                    <xdr:colOff>9525</xdr:colOff>
                    <xdr:row>40</xdr:row>
                    <xdr:rowOff>9525</xdr:rowOff>
                  </from>
                  <to>
                    <xdr:col>3</xdr:col>
                    <xdr:colOff>409575</xdr:colOff>
                    <xdr:row>41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19" name="Drop Down 77">
              <controlPr defaultSize="0" autoLine="0" autoPict="0">
                <anchor moveWithCells="1">
                  <from>
                    <xdr:col>2</xdr:col>
                    <xdr:colOff>9525</xdr:colOff>
                    <xdr:row>36</xdr:row>
                    <xdr:rowOff>9525</xdr:rowOff>
                  </from>
                  <to>
                    <xdr:col>3</xdr:col>
                    <xdr:colOff>409575</xdr:colOff>
                    <xdr:row>37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20" name="Drop Down 78">
              <controlPr defaultSize="0" autoLine="0" autoPict="0">
                <anchor moveWithCells="1">
                  <from>
                    <xdr:col>2</xdr:col>
                    <xdr:colOff>9525</xdr:colOff>
                    <xdr:row>28</xdr:row>
                    <xdr:rowOff>9525</xdr:rowOff>
                  </from>
                  <to>
                    <xdr:col>3</xdr:col>
                    <xdr:colOff>409575</xdr:colOff>
                    <xdr:row>29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21" name="Drop Down 79">
              <controlPr defaultSize="0" autoLine="0" autoPict="0">
                <anchor moveWithCells="1">
                  <from>
                    <xdr:col>2</xdr:col>
                    <xdr:colOff>9525</xdr:colOff>
                    <xdr:row>26</xdr:row>
                    <xdr:rowOff>9525</xdr:rowOff>
                  </from>
                  <to>
                    <xdr:col>3</xdr:col>
                    <xdr:colOff>409575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22" name="Drop Down 80">
              <controlPr defaultSize="0" autoLine="0" autoPict="0">
                <anchor moveWithCells="1">
                  <from>
                    <xdr:col>2</xdr:col>
                    <xdr:colOff>9525</xdr:colOff>
                    <xdr:row>22</xdr:row>
                    <xdr:rowOff>9525</xdr:rowOff>
                  </from>
                  <to>
                    <xdr:col>3</xdr:col>
                    <xdr:colOff>409575</xdr:colOff>
                    <xdr:row>23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23" name="Drop Down 81">
              <controlPr defaultSize="0" autoLine="0" autoPict="0">
                <anchor moveWithCells="1">
                  <from>
                    <xdr:col>2</xdr:col>
                    <xdr:colOff>9525</xdr:colOff>
                    <xdr:row>20</xdr:row>
                    <xdr:rowOff>9525</xdr:rowOff>
                  </from>
                  <to>
                    <xdr:col>3</xdr:col>
                    <xdr:colOff>409575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24" name="Drop Down 82">
              <controlPr defaultSize="0" autoLine="0" autoPict="0">
                <anchor moveWithCells="1">
                  <from>
                    <xdr:col>2</xdr:col>
                    <xdr:colOff>9525</xdr:colOff>
                    <xdr:row>24</xdr:row>
                    <xdr:rowOff>9525</xdr:rowOff>
                  </from>
                  <to>
                    <xdr:col>3</xdr:col>
                    <xdr:colOff>409575</xdr:colOff>
                    <xdr:row>25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25" name="Drop Down 83">
              <controlPr defaultSize="0" autoLine="0" autoPict="0">
                <anchor moveWithCells="1">
                  <from>
                    <xdr:col>2</xdr:col>
                    <xdr:colOff>9525</xdr:colOff>
                    <xdr:row>30</xdr:row>
                    <xdr:rowOff>9525</xdr:rowOff>
                  </from>
                  <to>
                    <xdr:col>3</xdr:col>
                    <xdr:colOff>409575</xdr:colOff>
                    <xdr:row>31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26" name="Drop Down 84">
              <controlPr defaultSize="0" autoLine="0" autoPict="0">
                <anchor moveWithCells="1">
                  <from>
                    <xdr:col>2</xdr:col>
                    <xdr:colOff>9525</xdr:colOff>
                    <xdr:row>34</xdr:row>
                    <xdr:rowOff>9525</xdr:rowOff>
                  </from>
                  <to>
                    <xdr:col>3</xdr:col>
                    <xdr:colOff>409575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27" name="Drop Down 85">
              <controlPr defaultSize="0" autoLine="0" autoPict="0">
                <anchor moveWithCells="1">
                  <from>
                    <xdr:col>2</xdr:col>
                    <xdr:colOff>9525</xdr:colOff>
                    <xdr:row>38</xdr:row>
                    <xdr:rowOff>9525</xdr:rowOff>
                  </from>
                  <to>
                    <xdr:col>3</xdr:col>
                    <xdr:colOff>409575</xdr:colOff>
                    <xdr:row>39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28" name="Drop Down 86">
              <controlPr defaultSize="0" autoLine="0" autoPict="0">
                <anchor moveWithCells="1">
                  <from>
                    <xdr:col>2</xdr:col>
                    <xdr:colOff>9525</xdr:colOff>
                    <xdr:row>42</xdr:row>
                    <xdr:rowOff>9525</xdr:rowOff>
                  </from>
                  <to>
                    <xdr:col>3</xdr:col>
                    <xdr:colOff>409575</xdr:colOff>
                    <xdr:row>43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29" name="Drop Down 104">
              <controlPr defaultSize="0" autoLine="0" autoPict="0">
                <anchor moveWithCells="1">
                  <from>
                    <xdr:col>2</xdr:col>
                    <xdr:colOff>9525</xdr:colOff>
                    <xdr:row>59</xdr:row>
                    <xdr:rowOff>9525</xdr:rowOff>
                  </from>
                  <to>
                    <xdr:col>3</xdr:col>
                    <xdr:colOff>409575</xdr:colOff>
                    <xdr:row>60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30" name="Drop Down 105">
              <controlPr defaultSize="0" autoLine="0" autoPict="0">
                <anchor moveWithCells="1">
                  <from>
                    <xdr:col>2</xdr:col>
                    <xdr:colOff>9525</xdr:colOff>
                    <xdr:row>73</xdr:row>
                    <xdr:rowOff>9525</xdr:rowOff>
                  </from>
                  <to>
                    <xdr:col>3</xdr:col>
                    <xdr:colOff>409575</xdr:colOff>
                    <xdr:row>74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31" name="Drop Down 106">
              <controlPr defaultSize="0" autoLine="0" autoPict="0">
                <anchor moveWithCells="1">
                  <from>
                    <xdr:col>2</xdr:col>
                    <xdr:colOff>9525</xdr:colOff>
                    <xdr:row>87</xdr:row>
                    <xdr:rowOff>9525</xdr:rowOff>
                  </from>
                  <to>
                    <xdr:col>3</xdr:col>
                    <xdr:colOff>409575</xdr:colOff>
                    <xdr:row>88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32" name="Drop Down 107">
              <controlPr defaultSize="0" autoLine="0" autoPict="0">
                <anchor moveWithCells="1">
                  <from>
                    <xdr:col>2</xdr:col>
                    <xdr:colOff>9525</xdr:colOff>
                    <xdr:row>85</xdr:row>
                    <xdr:rowOff>9525</xdr:rowOff>
                  </from>
                  <to>
                    <xdr:col>3</xdr:col>
                    <xdr:colOff>409575</xdr:colOff>
                    <xdr:row>86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33" name="Drop Down 108">
              <controlPr defaultSize="0" autoLine="0" autoPict="0">
                <anchor moveWithCells="1">
                  <from>
                    <xdr:col>2</xdr:col>
                    <xdr:colOff>9525</xdr:colOff>
                    <xdr:row>81</xdr:row>
                    <xdr:rowOff>9525</xdr:rowOff>
                  </from>
                  <to>
                    <xdr:col>3</xdr:col>
                    <xdr:colOff>409575</xdr:colOff>
                    <xdr:row>82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34" name="Drop Down 109">
              <controlPr defaultSize="0" autoLine="0" autoPict="0">
                <anchor moveWithCells="1">
                  <from>
                    <xdr:col>2</xdr:col>
                    <xdr:colOff>9525</xdr:colOff>
                    <xdr:row>77</xdr:row>
                    <xdr:rowOff>9525</xdr:rowOff>
                  </from>
                  <to>
                    <xdr:col>3</xdr:col>
                    <xdr:colOff>409575</xdr:colOff>
                    <xdr:row>78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35" name="Drop Down 110">
              <controlPr defaultSize="0" autoLine="0" autoPict="0">
                <anchor moveWithCells="1">
                  <from>
                    <xdr:col>2</xdr:col>
                    <xdr:colOff>9525</xdr:colOff>
                    <xdr:row>69</xdr:row>
                    <xdr:rowOff>9525</xdr:rowOff>
                  </from>
                  <to>
                    <xdr:col>3</xdr:col>
                    <xdr:colOff>409575</xdr:colOff>
                    <xdr:row>70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36" name="Drop Down 111">
              <controlPr defaultSize="0" autoLine="0" autoPict="0">
                <anchor moveWithCells="1">
                  <from>
                    <xdr:col>2</xdr:col>
                    <xdr:colOff>9525</xdr:colOff>
                    <xdr:row>67</xdr:row>
                    <xdr:rowOff>9525</xdr:rowOff>
                  </from>
                  <to>
                    <xdr:col>3</xdr:col>
                    <xdr:colOff>409575</xdr:colOff>
                    <xdr:row>68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37" name="Drop Down 112">
              <controlPr defaultSize="0" autoLine="0" autoPict="0">
                <anchor moveWithCells="1">
                  <from>
                    <xdr:col>2</xdr:col>
                    <xdr:colOff>9525</xdr:colOff>
                    <xdr:row>63</xdr:row>
                    <xdr:rowOff>9525</xdr:rowOff>
                  </from>
                  <to>
                    <xdr:col>3</xdr:col>
                    <xdr:colOff>409575</xdr:colOff>
                    <xdr:row>64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38" name="Drop Down 113">
              <controlPr defaultSize="0" autoLine="0" autoPict="0">
                <anchor moveWithCells="1">
                  <from>
                    <xdr:col>2</xdr:col>
                    <xdr:colOff>9525</xdr:colOff>
                    <xdr:row>61</xdr:row>
                    <xdr:rowOff>9525</xdr:rowOff>
                  </from>
                  <to>
                    <xdr:col>3</xdr:col>
                    <xdr:colOff>409575</xdr:colOff>
                    <xdr:row>62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39" name="Drop Down 114">
              <controlPr defaultSize="0" autoLine="0" autoPict="0">
                <anchor moveWithCells="1">
                  <from>
                    <xdr:col>2</xdr:col>
                    <xdr:colOff>9525</xdr:colOff>
                    <xdr:row>65</xdr:row>
                    <xdr:rowOff>9525</xdr:rowOff>
                  </from>
                  <to>
                    <xdr:col>3</xdr:col>
                    <xdr:colOff>409575</xdr:colOff>
                    <xdr:row>66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40" name="Drop Down 115">
              <controlPr defaultSize="0" autoLine="0" autoPict="0">
                <anchor moveWithCells="1">
                  <from>
                    <xdr:col>2</xdr:col>
                    <xdr:colOff>9525</xdr:colOff>
                    <xdr:row>71</xdr:row>
                    <xdr:rowOff>9525</xdr:rowOff>
                  </from>
                  <to>
                    <xdr:col>3</xdr:col>
                    <xdr:colOff>409575</xdr:colOff>
                    <xdr:row>72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41" name="Drop Down 116">
              <controlPr defaultSize="0" autoLine="0" autoPict="0">
                <anchor moveWithCells="1">
                  <from>
                    <xdr:col>2</xdr:col>
                    <xdr:colOff>9525</xdr:colOff>
                    <xdr:row>75</xdr:row>
                    <xdr:rowOff>9525</xdr:rowOff>
                  </from>
                  <to>
                    <xdr:col>3</xdr:col>
                    <xdr:colOff>409575</xdr:colOff>
                    <xdr:row>76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42" name="Drop Down 117">
              <controlPr defaultSize="0" autoLine="0" autoPict="0">
                <anchor moveWithCells="1">
                  <from>
                    <xdr:col>2</xdr:col>
                    <xdr:colOff>9525</xdr:colOff>
                    <xdr:row>79</xdr:row>
                    <xdr:rowOff>9525</xdr:rowOff>
                  </from>
                  <to>
                    <xdr:col>3</xdr:col>
                    <xdr:colOff>409575</xdr:colOff>
                    <xdr:row>80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43" name="Drop Down 118">
              <controlPr defaultSize="0" autoLine="0" autoPict="0">
                <anchor moveWithCells="1">
                  <from>
                    <xdr:col>2</xdr:col>
                    <xdr:colOff>9525</xdr:colOff>
                    <xdr:row>83</xdr:row>
                    <xdr:rowOff>9525</xdr:rowOff>
                  </from>
                  <to>
                    <xdr:col>3</xdr:col>
                    <xdr:colOff>409575</xdr:colOff>
                    <xdr:row>84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44" name="Drop Down 103">
              <controlPr defaultSize="0" autoLine="0" autoPict="0">
                <anchor moveWithCells="1">
                  <from>
                    <xdr:col>2</xdr:col>
                    <xdr:colOff>9525</xdr:colOff>
                    <xdr:row>57</xdr:row>
                    <xdr:rowOff>9525</xdr:rowOff>
                  </from>
                  <to>
                    <xdr:col>3</xdr:col>
                    <xdr:colOff>409575</xdr:colOff>
                    <xdr:row>58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45" name="Group Box 119">
              <controlPr defaultSize="0" autoFill="0" autoPict="0">
                <anchor moveWithCells="1">
                  <from>
                    <xdr:col>2</xdr:col>
                    <xdr:colOff>0</xdr:colOff>
                    <xdr:row>8</xdr:row>
                    <xdr:rowOff>114300</xdr:rowOff>
                  </from>
                  <to>
                    <xdr:col>8</xdr:col>
                    <xdr:colOff>504825</xdr:colOff>
                    <xdr:row>11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46" name="Drop Down 120">
              <controlPr defaultSize="0" autoLine="0" autoPict="0">
                <anchor moveWithCells="1">
                  <from>
                    <xdr:col>2</xdr:col>
                    <xdr:colOff>114300</xdr:colOff>
                    <xdr:row>9</xdr:row>
                    <xdr:rowOff>85725</xdr:rowOff>
                  </from>
                  <to>
                    <xdr:col>5</xdr:col>
                    <xdr:colOff>47625</xdr:colOff>
                    <xdr:row>10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47" name="Option Button 121">
              <controlPr defaultSize="0" autoFill="0" autoLine="0" autoPict="0">
                <anchor moveWithCells="1">
                  <from>
                    <xdr:col>5</xdr:col>
                    <xdr:colOff>180975</xdr:colOff>
                    <xdr:row>9</xdr:row>
                    <xdr:rowOff>95250</xdr:rowOff>
                  </from>
                  <to>
                    <xdr:col>6</xdr:col>
                    <xdr:colOff>200025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48" name="Option Button 122">
              <controlPr defaultSize="0" autoFill="0" autoLine="0" autoPict="0">
                <anchor moveWithCells="1">
                  <from>
                    <xdr:col>6</xdr:col>
                    <xdr:colOff>133350</xdr:colOff>
                    <xdr:row>9</xdr:row>
                    <xdr:rowOff>95250</xdr:rowOff>
                  </from>
                  <to>
                    <xdr:col>7</xdr:col>
                    <xdr:colOff>152400</xdr:colOff>
                    <xdr:row>10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" r:id="rId49" name="Option Button 123">
              <controlPr defaultSize="0" autoFill="0" autoLine="0" autoPict="0">
                <anchor moveWithCells="1">
                  <from>
                    <xdr:col>5</xdr:col>
                    <xdr:colOff>180975</xdr:colOff>
                    <xdr:row>10</xdr:row>
                    <xdr:rowOff>95250</xdr:rowOff>
                  </from>
                  <to>
                    <xdr:col>6</xdr:col>
                    <xdr:colOff>9525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2" r:id="rId50" name="Option Button 124">
              <controlPr defaultSize="0" autoFill="0" autoLine="0" autoPict="0">
                <anchor moveWithCells="1">
                  <from>
                    <xdr:col>6</xdr:col>
                    <xdr:colOff>133350</xdr:colOff>
                    <xdr:row>10</xdr:row>
                    <xdr:rowOff>95250</xdr:rowOff>
                  </from>
                  <to>
                    <xdr:col>6</xdr:col>
                    <xdr:colOff>609600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3" r:id="rId51" name="Option Button 125">
              <controlPr defaultSize="0" autoFill="0" autoLine="0" autoPict="0">
                <anchor moveWithCells="1">
                  <from>
                    <xdr:col>7</xdr:col>
                    <xdr:colOff>76200</xdr:colOff>
                    <xdr:row>10</xdr:row>
                    <xdr:rowOff>95250</xdr:rowOff>
                  </from>
                  <to>
                    <xdr:col>7</xdr:col>
                    <xdr:colOff>552450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4" r:id="rId52" name="Option Button 126">
              <controlPr defaultSize="0" autoFill="0" autoLine="0" autoPict="0">
                <anchor moveWithCells="1">
                  <from>
                    <xdr:col>8</xdr:col>
                    <xdr:colOff>38100</xdr:colOff>
                    <xdr:row>10</xdr:row>
                    <xdr:rowOff>95250</xdr:rowOff>
                  </from>
                  <to>
                    <xdr:col>8</xdr:col>
                    <xdr:colOff>514350</xdr:colOff>
                    <xdr:row>11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5" r:id="rId53" name="Group Box 127">
              <controlPr defaultSize="0" autoFill="0" autoPict="0">
                <anchor moveWithCells="1">
                  <from>
                    <xdr:col>2</xdr:col>
                    <xdr:colOff>0</xdr:colOff>
                    <xdr:row>50</xdr:row>
                    <xdr:rowOff>114300</xdr:rowOff>
                  </from>
                  <to>
                    <xdr:col>8</xdr:col>
                    <xdr:colOff>504825</xdr:colOff>
                    <xdr:row>53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6" r:id="rId54" name="Drop Down 128">
              <controlPr defaultSize="0" autoLine="0" autoPict="0">
                <anchor moveWithCells="1">
                  <from>
                    <xdr:col>2</xdr:col>
                    <xdr:colOff>114300</xdr:colOff>
                    <xdr:row>51</xdr:row>
                    <xdr:rowOff>85725</xdr:rowOff>
                  </from>
                  <to>
                    <xdr:col>4</xdr:col>
                    <xdr:colOff>647700</xdr:colOff>
                    <xdr:row>52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7" r:id="rId55" name="Option Button 129">
              <controlPr defaultSize="0" autoFill="0" autoLine="0" autoPict="0">
                <anchor moveWithCells="1">
                  <from>
                    <xdr:col>5</xdr:col>
                    <xdr:colOff>123825</xdr:colOff>
                    <xdr:row>51</xdr:row>
                    <xdr:rowOff>95250</xdr:rowOff>
                  </from>
                  <to>
                    <xdr:col>6</xdr:col>
                    <xdr:colOff>114300</xdr:colOff>
                    <xdr:row>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8" r:id="rId56" name="Option Button 130">
              <controlPr defaultSize="0" autoFill="0" autoLine="0" autoPict="0">
                <anchor moveWithCells="1">
                  <from>
                    <xdr:col>6</xdr:col>
                    <xdr:colOff>57150</xdr:colOff>
                    <xdr:row>51</xdr:row>
                    <xdr:rowOff>95250</xdr:rowOff>
                  </from>
                  <to>
                    <xdr:col>7</xdr:col>
                    <xdr:colOff>47625</xdr:colOff>
                    <xdr:row>52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9" r:id="rId57" name="Option Button 131">
              <controlPr defaultSize="0" autoFill="0" autoLine="0" autoPict="0">
                <anchor moveWithCells="1">
                  <from>
                    <xdr:col>5</xdr:col>
                    <xdr:colOff>123825</xdr:colOff>
                    <xdr:row>52</xdr:row>
                    <xdr:rowOff>95250</xdr:rowOff>
                  </from>
                  <to>
                    <xdr:col>5</xdr:col>
                    <xdr:colOff>581025</xdr:colOff>
                    <xdr:row>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0" r:id="rId58" name="Option Button 132">
              <controlPr defaultSize="0" autoFill="0" autoLine="0" autoPict="0">
                <anchor moveWithCells="1">
                  <from>
                    <xdr:col>6</xdr:col>
                    <xdr:colOff>57150</xdr:colOff>
                    <xdr:row>52</xdr:row>
                    <xdr:rowOff>95250</xdr:rowOff>
                  </from>
                  <to>
                    <xdr:col>6</xdr:col>
                    <xdr:colOff>514350</xdr:colOff>
                    <xdr:row>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" r:id="rId59" name="Option Button 133">
              <controlPr defaultSize="0" autoFill="0" autoLine="0" autoPict="0">
                <anchor moveWithCells="1">
                  <from>
                    <xdr:col>6</xdr:col>
                    <xdr:colOff>619125</xdr:colOff>
                    <xdr:row>52</xdr:row>
                    <xdr:rowOff>95250</xdr:rowOff>
                  </from>
                  <to>
                    <xdr:col>7</xdr:col>
                    <xdr:colOff>428625</xdr:colOff>
                    <xdr:row>53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2" r:id="rId60" name="Option Button 134">
              <controlPr defaultSize="0" autoFill="0" autoLine="0" autoPict="0">
                <anchor moveWithCells="1">
                  <from>
                    <xdr:col>7</xdr:col>
                    <xdr:colOff>561975</xdr:colOff>
                    <xdr:row>52</xdr:row>
                    <xdr:rowOff>95250</xdr:rowOff>
                  </from>
                  <to>
                    <xdr:col>8</xdr:col>
                    <xdr:colOff>371475</xdr:colOff>
                    <xdr:row>53</xdr:row>
                    <xdr:rowOff>104775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9"/>
  <sheetViews>
    <sheetView showGridLines="0" showRowColHeaders="0" topLeftCell="C1" zoomScaleNormal="100" workbookViewId="0">
      <pane ySplit="7" topLeftCell="A8" activePane="bottomLeft" state="frozen"/>
      <selection activeCell="B1" sqref="B1"/>
      <selection pane="bottomLeft" activeCell="R9" sqref="R9"/>
    </sheetView>
  </sheetViews>
  <sheetFormatPr defaultColWidth="0" defaultRowHeight="15" zeroHeight="1"/>
  <cols>
    <col min="1" max="1" width="9" hidden="1" customWidth="1"/>
    <col min="2" max="2" width="1.5703125" hidden="1" customWidth="1"/>
    <col min="3" max="3" width="1.5703125" customWidth="1"/>
    <col min="4" max="20" width="9.85546875" customWidth="1"/>
    <col min="21" max="23" width="9" customWidth="1"/>
    <col min="24" max="16384" width="9" hidden="1"/>
  </cols>
  <sheetData>
    <row r="1" spans="1:21" ht="5.25" customHeight="1"/>
    <row r="2" spans="1:21" ht="34.5" customHeight="1">
      <c r="D2" s="51" t="s">
        <v>849</v>
      </c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</row>
    <row r="3" spans="1:21" ht="9.75" customHeight="1"/>
    <row r="4" spans="1:21">
      <c r="D4" s="55"/>
      <c r="E4" s="55"/>
      <c r="F4" s="55"/>
      <c r="G4" s="55"/>
      <c r="H4" s="55"/>
      <c r="I4" s="55"/>
    </row>
    <row r="5" spans="1:21">
      <c r="D5" s="55"/>
      <c r="E5" s="55"/>
      <c r="F5" s="55"/>
      <c r="G5" s="55"/>
      <c r="H5" s="55"/>
      <c r="I5" s="55"/>
      <c r="K5" s="83" t="str">
        <f>IF(hist_data!$B$4="#N/A"," 없는 그룹입니다. 다른 채권이나 중개사를 선택하세요","")</f>
        <v/>
      </c>
      <c r="L5" s="84"/>
      <c r="M5" s="84"/>
      <c r="N5" s="84"/>
      <c r="O5" s="84"/>
      <c r="P5" s="85"/>
    </row>
    <row r="6" spans="1:21">
      <c r="D6" s="55"/>
      <c r="E6" s="55"/>
      <c r="F6" s="55"/>
      <c r="G6" s="55"/>
      <c r="H6" s="55"/>
      <c r="I6" s="55"/>
    </row>
    <row r="7" spans="1:21" ht="7.5" customHeight="1"/>
    <row r="8" spans="1:21" ht="7.5" customHeight="1"/>
    <row r="9" spans="1:21">
      <c r="D9" s="60"/>
      <c r="E9" s="60"/>
      <c r="F9" s="60"/>
      <c r="G9" s="60"/>
      <c r="H9" s="60"/>
      <c r="I9" s="60"/>
    </row>
    <row r="10" spans="1:21">
      <c r="D10" s="60"/>
      <c r="E10" s="60"/>
      <c r="F10" s="60"/>
      <c r="G10" s="60"/>
      <c r="H10" s="60"/>
      <c r="I10" s="60"/>
      <c r="K10" s="83" t="str">
        <f>IF( hist_data!$S$4="#N/A", " 없는 그룹입니다. 다른 채권이나 중개사를 선택하세요", "" )</f>
        <v/>
      </c>
      <c r="L10" s="84"/>
      <c r="M10" s="84"/>
      <c r="N10" s="84"/>
      <c r="O10" s="84"/>
      <c r="P10" s="85"/>
    </row>
    <row r="11" spans="1:21">
      <c r="D11" s="60"/>
      <c r="E11" s="60"/>
      <c r="F11" s="60"/>
      <c r="G11" s="60"/>
      <c r="H11" s="60"/>
      <c r="I11" s="60"/>
    </row>
    <row r="12" spans="1:21" ht="8.25" customHeight="1" thickBot="1"/>
    <row r="13" spans="1:21" hidden="1">
      <c r="E13">
        <f ca="1">IF( OFFSET( matrix_data!$B$7, 0, E$14)=0, "", OFFSET( matrix_data!$B$7, 0, E$14) )</f>
        <v>3.3380000000000001</v>
      </c>
      <c r="F13">
        <f ca="1">IF( OFFSET( matrix_data!$B$7, 0, F$14)=0, "", OFFSET( matrix_data!$B$7, 0, F$14) )</f>
        <v>3.2029999999999998</v>
      </c>
      <c r="G13">
        <f ca="1">IF( OFFSET( matrix_data!$B$7, 0, G$14)=0, "", OFFSET( matrix_data!$B$7, 0, G$14) )</f>
        <v>3.1120000000000001</v>
      </c>
      <c r="H13">
        <f ca="1">IF( OFFSET( matrix_data!$B$7, 0, H$14)=0, "", OFFSET( matrix_data!$B$7, 0, H$14) )</f>
        <v>3.052</v>
      </c>
      <c r="I13">
        <f ca="1">IF( OFFSET( matrix_data!$B$7, 0, I$14)=0, "", OFFSET( matrix_data!$B$7, 0, I$14) )</f>
        <v>3.0550000000000002</v>
      </c>
      <c r="J13">
        <f ca="1">IF( OFFSET( matrix_data!$B$7, 0, J$14)=0, "", OFFSET( matrix_data!$B$7, 0, J$14) )</f>
        <v>3.03</v>
      </c>
      <c r="K13">
        <f ca="1">IF( OFFSET( matrix_data!$B$7, 0, K$14)=0, "", OFFSET( matrix_data!$B$7, 0, K$14) )</f>
        <v>2.944</v>
      </c>
      <c r="L13">
        <f ca="1">IF( OFFSET( matrix_data!$B$7, 0, L$14)=0, "", OFFSET( matrix_data!$B$7, 0, L$14) )</f>
        <v>2.9220000000000002</v>
      </c>
      <c r="M13">
        <f ca="1">IF( OFFSET( matrix_data!$B$7, 0, M$14)=0, "", OFFSET( matrix_data!$B$7, 0, M$14) )</f>
        <v>2.9430000000000001</v>
      </c>
      <c r="N13">
        <f ca="1">IF( OFFSET( matrix_data!$B$7, 0, N$14)=0, "", OFFSET( matrix_data!$B$7, 0, N$14) )</f>
        <v>2.93</v>
      </c>
      <c r="O13">
        <f ca="1">IF( OFFSET( matrix_data!$B$7, 0, O$14)=0, "", OFFSET( matrix_data!$B$7, 0, O$14) )</f>
        <v>2.9809999999999999</v>
      </c>
      <c r="P13">
        <f ca="1">IF( OFFSET( matrix_data!$B$7, 0, P$14)=0, "", OFFSET( matrix_data!$B$7, 0, P$14) )</f>
        <v>2.9750000000000001</v>
      </c>
      <c r="Q13">
        <f ca="1">IF( OFFSET( matrix_data!$B$7, 0, Q$14)=0, "", OFFSET( matrix_data!$B$7, 0, Q$14) )</f>
        <v>2.9820000000000002</v>
      </c>
      <c r="R13">
        <f ca="1">IF( OFFSET( matrix_data!$B$7, 0, R$14)=0, "", OFFSET( matrix_data!$B$7, 0, R$14) )</f>
        <v>2.952</v>
      </c>
      <c r="S13">
        <f ca="1">IF( OFFSET( matrix_data!$B$7, 0, S$14)=0, "", OFFSET( matrix_data!$B$7, 0, S$14) )</f>
        <v>2.8519999999999999</v>
      </c>
      <c r="T13">
        <f ca="1">IF( OFFSET( matrix_data!$B$7, 0, T$14)=0, "", OFFSET( matrix_data!$B$7, 0, T$14) )</f>
        <v>2.7629999999999999</v>
      </c>
    </row>
    <row r="14" spans="1:21" ht="15.75" hidden="1" thickBot="1">
      <c r="E14" s="27">
        <v>1</v>
      </c>
      <c r="F14" s="27">
        <v>2</v>
      </c>
      <c r="G14" s="27">
        <v>3</v>
      </c>
      <c r="H14" s="27">
        <v>4</v>
      </c>
      <c r="I14" s="27">
        <v>5</v>
      </c>
      <c r="J14" s="27">
        <v>6</v>
      </c>
      <c r="K14" s="27">
        <v>7</v>
      </c>
      <c r="L14" s="27">
        <v>8</v>
      </c>
      <c r="M14" s="27">
        <v>9</v>
      </c>
      <c r="N14" s="27">
        <v>10</v>
      </c>
      <c r="O14" s="27">
        <v>11</v>
      </c>
      <c r="P14" s="27">
        <v>12</v>
      </c>
      <c r="Q14" s="27">
        <v>13</v>
      </c>
      <c r="R14" s="27">
        <v>14</v>
      </c>
      <c r="S14" s="27">
        <v>15</v>
      </c>
      <c r="T14" s="27">
        <v>16</v>
      </c>
    </row>
    <row r="15" spans="1:21" s="20" customFormat="1" ht="18.75" customHeight="1" thickBot="1">
      <c r="D15" s="50" t="s">
        <v>847</v>
      </c>
      <c r="E15" s="52" t="str" cm="1">
        <f t="array" ref="E15">INDEX(hist_data!$A$6:$A$21, Matrix!$B16)</f>
        <v>03M</v>
      </c>
      <c r="F15" s="53" t="str" cm="1">
        <f t="array" ref="F15">INDEX(hist_data!$A$6:$A$21, Matrix!$B17)</f>
        <v>06M</v>
      </c>
      <c r="G15" s="53" t="str" cm="1">
        <f t="array" ref="G15">INDEX(hist_data!$A$6:$A$21, Matrix!$B18)</f>
        <v>09M</v>
      </c>
      <c r="H15" s="53" t="str" cm="1">
        <f t="array" ref="H15">INDEX(hist_data!$A$6:$A$21, Matrix!$B19)</f>
        <v>01Y</v>
      </c>
      <c r="I15" s="53" t="str" cm="1">
        <f t="array" ref="I15">INDEX(hist_data!$A$6:$A$21, Matrix!$B20)</f>
        <v>1.5Y</v>
      </c>
      <c r="J15" s="53" t="str" cm="1">
        <f t="array" ref="J15">INDEX(hist_data!$A$6:$A$21, Matrix!$B21)</f>
        <v>02Y</v>
      </c>
      <c r="K15" s="53" t="str" cm="1">
        <f t="array" ref="K15">INDEX(hist_data!$A$6:$A$21, Matrix!$B22)</f>
        <v>2.5Y</v>
      </c>
      <c r="L15" s="53" t="str" cm="1">
        <f t="array" ref="L15">INDEX(hist_data!$A$6:$A$21, Matrix!$B23)</f>
        <v>03Y</v>
      </c>
      <c r="M15" s="53" t="str" cm="1">
        <f t="array" ref="M15">INDEX(hist_data!$A$6:$A$21, Matrix!$B24)</f>
        <v>04Y</v>
      </c>
      <c r="N15" s="53" t="str" cm="1">
        <f t="array" ref="N15">INDEX(hist_data!$A$6:$A$21, Matrix!$B25)</f>
        <v>05Y</v>
      </c>
      <c r="O15" s="53" t="str" cm="1">
        <f t="array" ref="O15">INDEX(hist_data!$A$6:$A$21, Matrix!$B26)</f>
        <v>07Y</v>
      </c>
      <c r="P15" s="53" t="str" cm="1">
        <f t="array" ref="P15">INDEX(hist_data!$A$6:$A$21, Matrix!$B27)</f>
        <v>10Y</v>
      </c>
      <c r="Q15" s="53" t="str" cm="1">
        <f t="array" ref="Q15">INDEX(hist_data!$A$6:$A$21, Matrix!$B28)</f>
        <v>15Y</v>
      </c>
      <c r="R15" s="53" t="str" cm="1">
        <f t="array" ref="R15">INDEX(hist_data!$A$6:$A$21, Matrix!$B29)</f>
        <v>20Y</v>
      </c>
      <c r="S15" s="53" t="str" cm="1">
        <f t="array" ref="S15">INDEX(hist_data!$A$6:$A$21, Matrix!$B30)</f>
        <v>30Y</v>
      </c>
      <c r="T15" s="54" t="str" cm="1">
        <f t="array" ref="T15">INDEX(hist_data!$A$6:$A$21, Matrix!$B31)</f>
        <v>50Y</v>
      </c>
    </row>
    <row r="16" spans="1:21" s="20" customFormat="1" ht="18.75" customHeight="1">
      <c r="A16" s="20">
        <f ca="1">IF( OFFSET(matrix_data!$S$7, 0, $B16)=0, "", OFFSET(matrix_data!$S$7, 0, $B16) )</f>
        <v>3.3460000000000001</v>
      </c>
      <c r="B16" s="27">
        <v>1</v>
      </c>
      <c r="D16" s="57" t="str" cm="1">
        <f t="array" ref="D16">INDEX(hist_data!$A$6:$A$21, Matrix!$B16)</f>
        <v>03M</v>
      </c>
      <c r="E16" s="74">
        <f ca="1">IFERROR( (E$13-$A16)*100, "")</f>
        <v>-0.80000000000000071</v>
      </c>
      <c r="F16" s="61">
        <f t="shared" ref="F16:T31" ca="1" si="0">IFERROR( (F$13-$A16)*100, "")</f>
        <v>-14.300000000000024</v>
      </c>
      <c r="G16" s="62">
        <f t="shared" ca="1" si="0"/>
        <v>-23.4</v>
      </c>
      <c r="H16" s="62">
        <f t="shared" ca="1" si="0"/>
        <v>-29.400000000000006</v>
      </c>
      <c r="I16" s="62">
        <f t="shared" ca="1" si="0"/>
        <v>-29.099999999999994</v>
      </c>
      <c r="J16" s="62">
        <f t="shared" ca="1" si="0"/>
        <v>-31.60000000000003</v>
      </c>
      <c r="K16" s="62">
        <f t="shared" ca="1" si="0"/>
        <v>-40.200000000000017</v>
      </c>
      <c r="L16" s="62">
        <f t="shared" ca="1" si="0"/>
        <v>-42.399999999999991</v>
      </c>
      <c r="M16" s="62">
        <f t="shared" ca="1" si="0"/>
        <v>-40.300000000000004</v>
      </c>
      <c r="N16" s="62">
        <f t="shared" ca="1" si="0"/>
        <v>-41.599999999999994</v>
      </c>
      <c r="O16" s="62">
        <f t="shared" ca="1" si="0"/>
        <v>-36.500000000000021</v>
      </c>
      <c r="P16" s="62">
        <f t="shared" ca="1" si="0"/>
        <v>-37.1</v>
      </c>
      <c r="Q16" s="62">
        <f t="shared" ca="1" si="0"/>
        <v>-36.399999999999991</v>
      </c>
      <c r="R16" s="62">
        <f t="shared" ca="1" si="0"/>
        <v>-39.400000000000013</v>
      </c>
      <c r="S16" s="62">
        <f t="shared" ca="1" si="0"/>
        <v>-49.40000000000002</v>
      </c>
      <c r="T16" s="63">
        <f t="shared" ca="1" si="0"/>
        <v>-58.300000000000018</v>
      </c>
    </row>
    <row r="17" spans="1:20" s="20" customFormat="1" ht="18.75" customHeight="1">
      <c r="A17" s="20">
        <f ca="1">IF( OFFSET(matrix_data!$S$7, 0, $B17)=0, "", OFFSET(matrix_data!$S$7, 0, $B17) )</f>
        <v>3.254</v>
      </c>
      <c r="B17" s="27">
        <v>2</v>
      </c>
      <c r="D17" s="58" t="str" cm="1">
        <f t="array" ref="D17">INDEX(hist_data!$A$6:$A$21, Matrix!$B17)</f>
        <v>06M</v>
      </c>
      <c r="E17" s="64"/>
      <c r="F17" s="75">
        <f t="shared" ca="1" si="0"/>
        <v>-5.1000000000000156</v>
      </c>
      <c r="G17" s="65">
        <f t="shared" ca="1" si="0"/>
        <v>-14.19999999999999</v>
      </c>
      <c r="H17" s="66">
        <f t="shared" ca="1" si="0"/>
        <v>-20.199999999999996</v>
      </c>
      <c r="I17" s="66">
        <f t="shared" ca="1" si="0"/>
        <v>-19.899999999999984</v>
      </c>
      <c r="J17" s="66">
        <f t="shared" ca="1" si="0"/>
        <v>-22.40000000000002</v>
      </c>
      <c r="K17" s="66">
        <f t="shared" ca="1" si="0"/>
        <v>-31.000000000000007</v>
      </c>
      <c r="L17" s="66">
        <f t="shared" ca="1" si="0"/>
        <v>-33.199999999999989</v>
      </c>
      <c r="M17" s="66">
        <f t="shared" ca="1" si="0"/>
        <v>-31.099999999999994</v>
      </c>
      <c r="N17" s="66">
        <f t="shared" ca="1" si="0"/>
        <v>-32.399999999999984</v>
      </c>
      <c r="O17" s="66">
        <f t="shared" ca="1" si="0"/>
        <v>-27.300000000000011</v>
      </c>
      <c r="P17" s="66">
        <f t="shared" ca="1" si="0"/>
        <v>-27.899999999999991</v>
      </c>
      <c r="Q17" s="66">
        <f t="shared" ca="1" si="0"/>
        <v>-27.199999999999982</v>
      </c>
      <c r="R17" s="66">
        <f t="shared" ca="1" si="0"/>
        <v>-30.200000000000003</v>
      </c>
      <c r="S17" s="66">
        <f t="shared" ca="1" si="0"/>
        <v>-40.200000000000017</v>
      </c>
      <c r="T17" s="67">
        <f t="shared" ca="1" si="0"/>
        <v>-49.100000000000009</v>
      </c>
    </row>
    <row r="18" spans="1:20" s="20" customFormat="1" ht="18.75" customHeight="1">
      <c r="A18" s="20">
        <f ca="1">IF( OFFSET(matrix_data!$S$7, 0, $B18)=0, "", OFFSET(matrix_data!$S$7, 0, $B18) )</f>
        <v>3.1720000000000002</v>
      </c>
      <c r="B18" s="27">
        <v>3</v>
      </c>
      <c r="D18" s="58" t="str" cm="1">
        <f t="array" ref="D18">INDEX(hist_data!$A$6:$A$21, Matrix!$B18)</f>
        <v>09M</v>
      </c>
      <c r="E18" s="68"/>
      <c r="F18" s="69"/>
      <c r="G18" s="75">
        <f t="shared" ca="1" si="0"/>
        <v>-6.0000000000000053</v>
      </c>
      <c r="H18" s="65">
        <f t="shared" ca="1" si="0"/>
        <v>-12.000000000000011</v>
      </c>
      <c r="I18" s="66">
        <f t="shared" ca="1" si="0"/>
        <v>-11.7</v>
      </c>
      <c r="J18" s="66">
        <f t="shared" ca="1" si="0"/>
        <v>-14.200000000000035</v>
      </c>
      <c r="K18" s="66">
        <f t="shared" ca="1" si="0"/>
        <v>-22.800000000000018</v>
      </c>
      <c r="L18" s="66">
        <f t="shared" ca="1" si="0"/>
        <v>-25</v>
      </c>
      <c r="M18" s="66">
        <f t="shared" ca="1" si="0"/>
        <v>-22.900000000000009</v>
      </c>
      <c r="N18" s="66">
        <f t="shared" ca="1" si="0"/>
        <v>-24.2</v>
      </c>
      <c r="O18" s="66">
        <f t="shared" ca="1" si="0"/>
        <v>-19.10000000000003</v>
      </c>
      <c r="P18" s="66">
        <f t="shared" ca="1" si="0"/>
        <v>-19.700000000000006</v>
      </c>
      <c r="Q18" s="66">
        <f t="shared" ca="1" si="0"/>
        <v>-18.999999999999993</v>
      </c>
      <c r="R18" s="66">
        <f t="shared" ca="1" si="0"/>
        <v>-22.000000000000021</v>
      </c>
      <c r="S18" s="66">
        <f t="shared" ca="1" si="0"/>
        <v>-32.000000000000028</v>
      </c>
      <c r="T18" s="67">
        <f t="shared" ca="1" si="0"/>
        <v>-40.900000000000027</v>
      </c>
    </row>
    <row r="19" spans="1:20" s="20" customFormat="1" ht="18.75" customHeight="1">
      <c r="A19" s="20">
        <f ca="1">IF( OFFSET(matrix_data!$S$7, 0, $B19)=0, "", OFFSET(matrix_data!$S$7, 0, $B19) )</f>
        <v>3.089</v>
      </c>
      <c r="B19" s="27">
        <v>4</v>
      </c>
      <c r="D19" s="58" t="str" cm="1">
        <f t="array" ref="D19">INDEX(hist_data!$A$6:$A$21, Matrix!$B19)</f>
        <v>01Y</v>
      </c>
      <c r="E19" s="68"/>
      <c r="F19" s="66"/>
      <c r="G19" s="69"/>
      <c r="H19" s="75">
        <f t="shared" ca="1" si="0"/>
        <v>-3.6999999999999922</v>
      </c>
      <c r="I19" s="65">
        <f t="shared" ca="1" si="0"/>
        <v>-3.3999999999999808</v>
      </c>
      <c r="J19" s="66">
        <f t="shared" ca="1" si="0"/>
        <v>-5.9000000000000163</v>
      </c>
      <c r="K19" s="66">
        <f t="shared" ca="1" si="0"/>
        <v>-14.500000000000002</v>
      </c>
      <c r="L19" s="66">
        <f t="shared" ca="1" si="0"/>
        <v>-16.699999999999982</v>
      </c>
      <c r="M19" s="66">
        <f t="shared" ca="1" si="0"/>
        <v>-14.599999999999991</v>
      </c>
      <c r="N19" s="66">
        <f t="shared" ca="1" si="0"/>
        <v>-15.899999999999981</v>
      </c>
      <c r="O19" s="66">
        <f t="shared" ca="1" si="0"/>
        <v>-10.80000000000001</v>
      </c>
      <c r="P19" s="66">
        <f t="shared" ca="1" si="0"/>
        <v>-11.399999999999988</v>
      </c>
      <c r="Q19" s="66">
        <f t="shared" ca="1" si="0"/>
        <v>-10.699999999999976</v>
      </c>
      <c r="R19" s="66">
        <f t="shared" ca="1" si="0"/>
        <v>-13.700000000000001</v>
      </c>
      <c r="S19" s="66">
        <f t="shared" ca="1" si="0"/>
        <v>-23.70000000000001</v>
      </c>
      <c r="T19" s="67">
        <f t="shared" ca="1" si="0"/>
        <v>-32.600000000000009</v>
      </c>
    </row>
    <row r="20" spans="1:20" s="20" customFormat="1" ht="18.75" customHeight="1">
      <c r="A20" s="20">
        <f ca="1">IF( OFFSET(matrix_data!$S$7, 0, $B20)=0, "", OFFSET(matrix_data!$S$7, 0, $B20) )</f>
        <v>3.077</v>
      </c>
      <c r="B20" s="27">
        <v>5</v>
      </c>
      <c r="D20" s="58" t="str" cm="1">
        <f t="array" ref="D20">INDEX(hist_data!$A$6:$A$21, Matrix!$B20)</f>
        <v>1.5Y</v>
      </c>
      <c r="E20" s="68"/>
      <c r="F20" s="66"/>
      <c r="G20" s="66"/>
      <c r="H20" s="69"/>
      <c r="I20" s="75">
        <f t="shared" ca="1" si="0"/>
        <v>-2.1999999999999797</v>
      </c>
      <c r="J20" s="65">
        <f t="shared" ca="1" si="0"/>
        <v>-4.7000000000000153</v>
      </c>
      <c r="K20" s="66">
        <f t="shared" ca="1" si="0"/>
        <v>-13.3</v>
      </c>
      <c r="L20" s="66">
        <f t="shared" ca="1" si="0"/>
        <v>-15.49999999999998</v>
      </c>
      <c r="M20" s="66">
        <f t="shared" ca="1" si="0"/>
        <v>-13.39999999999999</v>
      </c>
      <c r="N20" s="66">
        <f t="shared" ca="1" si="0"/>
        <v>-14.69999999999998</v>
      </c>
      <c r="O20" s="66">
        <f t="shared" ca="1" si="0"/>
        <v>-9.6000000000000085</v>
      </c>
      <c r="P20" s="66">
        <f t="shared" ca="1" si="0"/>
        <v>-10.199999999999987</v>
      </c>
      <c r="Q20" s="66">
        <f t="shared" ca="1" si="0"/>
        <v>-9.4999999999999751</v>
      </c>
      <c r="R20" s="66">
        <f t="shared" ca="1" si="0"/>
        <v>-12.5</v>
      </c>
      <c r="S20" s="66">
        <f t="shared" ca="1" si="0"/>
        <v>-22.500000000000007</v>
      </c>
      <c r="T20" s="67">
        <f t="shared" ca="1" si="0"/>
        <v>-31.400000000000006</v>
      </c>
    </row>
    <row r="21" spans="1:20" s="20" customFormat="1" ht="18.75" customHeight="1">
      <c r="A21" s="20">
        <f ca="1">IF( OFFSET(matrix_data!$S$7, 0, $B21)=0, "", OFFSET(matrix_data!$S$7, 0, $B21) )</f>
        <v>3.0539999999999998</v>
      </c>
      <c r="B21" s="27">
        <v>6</v>
      </c>
      <c r="D21" s="58" t="str" cm="1">
        <f t="array" ref="D21">INDEX(hist_data!$A$6:$A$21, Matrix!$B21)</f>
        <v>02Y</v>
      </c>
      <c r="E21" s="68"/>
      <c r="F21" s="66"/>
      <c r="G21" s="66"/>
      <c r="H21" s="66"/>
      <c r="I21" s="69"/>
      <c r="J21" s="75">
        <f t="shared" ca="1" si="0"/>
        <v>-2.4000000000000021</v>
      </c>
      <c r="K21" s="65">
        <f t="shared" ca="1" si="0"/>
        <v>-10.999999999999988</v>
      </c>
      <c r="L21" s="66">
        <f t="shared" ca="1" si="0"/>
        <v>-13.199999999999967</v>
      </c>
      <c r="M21" s="66">
        <f t="shared" ca="1" si="0"/>
        <v>-11.099999999999977</v>
      </c>
      <c r="N21" s="66">
        <f t="shared" ca="1" si="0"/>
        <v>-12.399999999999967</v>
      </c>
      <c r="O21" s="66">
        <f t="shared" ca="1" si="0"/>
        <v>-7.2999999999999954</v>
      </c>
      <c r="P21" s="66">
        <f t="shared" ca="1" si="0"/>
        <v>-7.8999999999999737</v>
      </c>
      <c r="Q21" s="66">
        <f t="shared" ca="1" si="0"/>
        <v>-7.199999999999962</v>
      </c>
      <c r="R21" s="66">
        <f t="shared" ca="1" si="0"/>
        <v>-10.199999999999987</v>
      </c>
      <c r="S21" s="66">
        <f t="shared" ca="1" si="0"/>
        <v>-20.199999999999996</v>
      </c>
      <c r="T21" s="67">
        <f t="shared" ca="1" si="0"/>
        <v>-29.099999999999994</v>
      </c>
    </row>
    <row r="22" spans="1:20" s="20" customFormat="1" ht="18.75" customHeight="1">
      <c r="A22" s="20">
        <f ca="1">IF( OFFSET(matrix_data!$S$7, 0, $B22)=0, "", OFFSET(matrix_data!$S$7, 0, $B22) )</f>
        <v>3.012</v>
      </c>
      <c r="B22" s="27">
        <v>7</v>
      </c>
      <c r="D22" s="58" t="str" cm="1">
        <f t="array" ref="D22">INDEX(hist_data!$A$6:$A$21, Matrix!$B22)</f>
        <v>2.5Y</v>
      </c>
      <c r="E22" s="68"/>
      <c r="F22" s="66"/>
      <c r="G22" s="66"/>
      <c r="H22" s="66"/>
      <c r="I22" s="66"/>
      <c r="J22" s="69"/>
      <c r="K22" s="75">
        <f t="shared" ca="1" si="0"/>
        <v>-6.800000000000006</v>
      </c>
      <c r="L22" s="65">
        <f t="shared" ca="1" si="0"/>
        <v>-8.9999999999999858</v>
      </c>
      <c r="M22" s="66">
        <f t="shared" ca="1" si="0"/>
        <v>-6.899999999999995</v>
      </c>
      <c r="N22" s="66">
        <f t="shared" ca="1" si="0"/>
        <v>-8.1999999999999851</v>
      </c>
      <c r="O22" s="66">
        <f t="shared" ca="1" si="0"/>
        <v>-3.1000000000000139</v>
      </c>
      <c r="P22" s="66">
        <f t="shared" ca="1" si="0"/>
        <v>-3.6999999999999922</v>
      </c>
      <c r="Q22" s="66">
        <f t="shared" ca="1" si="0"/>
        <v>-2.9999999999999805</v>
      </c>
      <c r="R22" s="66">
        <f t="shared" ca="1" si="0"/>
        <v>-6.0000000000000053</v>
      </c>
      <c r="S22" s="66">
        <f t="shared" ca="1" si="0"/>
        <v>-16.000000000000014</v>
      </c>
      <c r="T22" s="67">
        <f t="shared" ca="1" si="0"/>
        <v>-24.900000000000013</v>
      </c>
    </row>
    <row r="23" spans="1:20" s="20" customFormat="1" ht="18.75" customHeight="1">
      <c r="A23" s="20">
        <f ca="1">IF( OFFSET(matrix_data!$S$7, 0, $B23)=0, "", OFFSET(matrix_data!$S$7, 0, $B23) )</f>
        <v>3.01</v>
      </c>
      <c r="B23" s="27">
        <v>8</v>
      </c>
      <c r="D23" s="58" t="str" cm="1">
        <f t="array" ref="D23">INDEX(hist_data!$A$6:$A$21, Matrix!$B23)</f>
        <v>03Y</v>
      </c>
      <c r="E23" s="68"/>
      <c r="F23" s="66"/>
      <c r="G23" s="66"/>
      <c r="H23" s="66"/>
      <c r="I23" s="66"/>
      <c r="J23" s="66"/>
      <c r="K23" s="69"/>
      <c r="L23" s="75">
        <f t="shared" ca="1" si="0"/>
        <v>-8.7999999999999634</v>
      </c>
      <c r="M23" s="65">
        <f t="shared" ca="1" si="0"/>
        <v>-6.6999999999999726</v>
      </c>
      <c r="N23" s="66">
        <f t="shared" ca="1" si="0"/>
        <v>-7.9999999999999627</v>
      </c>
      <c r="O23" s="66">
        <f t="shared" ca="1" si="0"/>
        <v>-2.8999999999999915</v>
      </c>
      <c r="P23" s="66">
        <f t="shared" ca="1" si="0"/>
        <v>-3.4999999999999698</v>
      </c>
      <c r="Q23" s="66">
        <f t="shared" ca="1" si="0"/>
        <v>-2.7999999999999581</v>
      </c>
      <c r="R23" s="66">
        <f t="shared" ca="1" si="0"/>
        <v>-5.7999999999999829</v>
      </c>
      <c r="S23" s="66">
        <f t="shared" ca="1" si="0"/>
        <v>-15.799999999999992</v>
      </c>
      <c r="T23" s="67">
        <f t="shared" ca="1" si="0"/>
        <v>-24.699999999999989</v>
      </c>
    </row>
    <row r="24" spans="1:20" s="20" customFormat="1" ht="18.75" customHeight="1">
      <c r="A24" s="20">
        <f ca="1">IF( OFFSET(matrix_data!$S$7, 0, $B24)=0, "", OFFSET(matrix_data!$S$7, 0, $B24) )</f>
        <v>3.0110000000000001</v>
      </c>
      <c r="B24" s="27">
        <v>9</v>
      </c>
      <c r="D24" s="58" t="str" cm="1">
        <f t="array" ref="D24">INDEX(hist_data!$A$6:$A$21, Matrix!$B24)</f>
        <v>04Y</v>
      </c>
      <c r="E24" s="68"/>
      <c r="F24" s="66"/>
      <c r="G24" s="66"/>
      <c r="H24" s="66"/>
      <c r="I24" s="66"/>
      <c r="J24" s="66"/>
      <c r="K24" s="66"/>
      <c r="L24" s="69"/>
      <c r="M24" s="75">
        <f t="shared" ca="1" si="0"/>
        <v>-6.800000000000006</v>
      </c>
      <c r="N24" s="65">
        <f t="shared" ca="1" si="0"/>
        <v>-8.0999999999999961</v>
      </c>
      <c r="O24" s="66">
        <f t="shared" ca="1" si="0"/>
        <v>-3.0000000000000249</v>
      </c>
      <c r="P24" s="66">
        <f t="shared" ca="1" si="0"/>
        <v>-3.6000000000000032</v>
      </c>
      <c r="Q24" s="66">
        <f t="shared" ca="1" si="0"/>
        <v>-2.8999999999999915</v>
      </c>
      <c r="R24" s="66">
        <f t="shared" ca="1" si="0"/>
        <v>-5.9000000000000163</v>
      </c>
      <c r="S24" s="66">
        <f t="shared" ca="1" si="0"/>
        <v>-15.900000000000025</v>
      </c>
      <c r="T24" s="67">
        <f t="shared" ca="1" si="0"/>
        <v>-24.800000000000022</v>
      </c>
    </row>
    <row r="25" spans="1:20" s="20" customFormat="1" ht="18.75" customHeight="1">
      <c r="A25" s="20">
        <f ca="1">IF( OFFSET(matrix_data!$S$7, 0, $B25)=0, "", OFFSET(matrix_data!$S$7, 0, $B25) )</f>
        <v>3.052</v>
      </c>
      <c r="B25" s="27">
        <v>10</v>
      </c>
      <c r="D25" s="58" t="str" cm="1">
        <f t="array" ref="D25">INDEX(hist_data!$A$6:$A$21, Matrix!$B25)</f>
        <v>05Y</v>
      </c>
      <c r="E25" s="68"/>
      <c r="F25" s="66"/>
      <c r="G25" s="66"/>
      <c r="H25" s="66"/>
      <c r="I25" s="66"/>
      <c r="J25" s="66"/>
      <c r="K25" s="66"/>
      <c r="L25" s="66"/>
      <c r="M25" s="69"/>
      <c r="N25" s="75">
        <f t="shared" ca="1" si="0"/>
        <v>-12.199999999999989</v>
      </c>
      <c r="O25" s="65">
        <f t="shared" ca="1" si="0"/>
        <v>-7.1000000000000174</v>
      </c>
      <c r="P25" s="66">
        <f t="shared" ca="1" si="0"/>
        <v>-7.6999999999999957</v>
      </c>
      <c r="Q25" s="66">
        <f t="shared" ca="1" si="0"/>
        <v>-6.999999999999984</v>
      </c>
      <c r="R25" s="66">
        <f t="shared" ca="1" si="0"/>
        <v>-10.000000000000009</v>
      </c>
      <c r="S25" s="66">
        <f t="shared" ca="1" si="0"/>
        <v>-20.000000000000018</v>
      </c>
      <c r="T25" s="67">
        <f t="shared" ca="1" si="0"/>
        <v>-28.900000000000013</v>
      </c>
    </row>
    <row r="26" spans="1:20" s="20" customFormat="1" ht="18.75" customHeight="1">
      <c r="A26" s="20" t="str">
        <f ca="1">IF( OFFSET(matrix_data!$S$7, 0, $B26)=0, "", OFFSET(matrix_data!$S$7, 0, $B26) )</f>
        <v/>
      </c>
      <c r="B26" s="27">
        <v>11</v>
      </c>
      <c r="D26" s="58" t="str" cm="1">
        <f t="array" ref="D26">INDEX(hist_data!$A$6:$A$21, Matrix!$B26)</f>
        <v>07Y</v>
      </c>
      <c r="E26" s="68"/>
      <c r="F26" s="66"/>
      <c r="G26" s="66"/>
      <c r="H26" s="66"/>
      <c r="I26" s="66"/>
      <c r="J26" s="66"/>
      <c r="K26" s="66"/>
      <c r="L26" s="66"/>
      <c r="M26" s="66"/>
      <c r="N26" s="69"/>
      <c r="O26" s="75" t="str">
        <f t="shared" ca="1" si="0"/>
        <v/>
      </c>
      <c r="P26" s="65" t="str">
        <f t="shared" ca="1" si="0"/>
        <v/>
      </c>
      <c r="Q26" s="66" t="str">
        <f t="shared" ca="1" si="0"/>
        <v/>
      </c>
      <c r="R26" s="66" t="str">
        <f t="shared" ca="1" si="0"/>
        <v/>
      </c>
      <c r="S26" s="66" t="str">
        <f t="shared" ca="1" si="0"/>
        <v/>
      </c>
      <c r="T26" s="67" t="str">
        <f t="shared" ca="1" si="0"/>
        <v/>
      </c>
    </row>
    <row r="27" spans="1:20" s="20" customFormat="1" ht="18.75" customHeight="1">
      <c r="A27" s="20" t="str">
        <f ca="1">IF( OFFSET(matrix_data!$S$7, 0, $B27)=0, "", OFFSET(matrix_data!$S$7, 0, $B27) )</f>
        <v/>
      </c>
      <c r="B27" s="27">
        <v>12</v>
      </c>
      <c r="D27" s="58" t="str" cm="1">
        <f t="array" ref="D27">INDEX(hist_data!$A$6:$A$21, Matrix!$B27)</f>
        <v>10Y</v>
      </c>
      <c r="E27" s="68"/>
      <c r="F27" s="66"/>
      <c r="G27" s="66"/>
      <c r="H27" s="66"/>
      <c r="I27" s="66"/>
      <c r="J27" s="66"/>
      <c r="K27" s="66"/>
      <c r="L27" s="66"/>
      <c r="M27" s="66"/>
      <c r="N27" s="66"/>
      <c r="O27" s="69"/>
      <c r="P27" s="75" t="str">
        <f t="shared" ca="1" si="0"/>
        <v/>
      </c>
      <c r="Q27" s="65" t="str">
        <f t="shared" ca="1" si="0"/>
        <v/>
      </c>
      <c r="R27" s="66" t="str">
        <f t="shared" ca="1" si="0"/>
        <v/>
      </c>
      <c r="S27" s="66" t="str">
        <f t="shared" ca="1" si="0"/>
        <v/>
      </c>
      <c r="T27" s="67" t="str">
        <f t="shared" ca="1" si="0"/>
        <v/>
      </c>
    </row>
    <row r="28" spans="1:20" s="20" customFormat="1" ht="18.75" customHeight="1">
      <c r="A28" s="20" t="str">
        <f ca="1">IF( OFFSET(matrix_data!$S$7, 0, $B28)=0, "", OFFSET(matrix_data!$S$7, 0, $B28) )</f>
        <v/>
      </c>
      <c r="B28" s="27">
        <v>13</v>
      </c>
      <c r="D28" s="58" t="str" cm="1">
        <f t="array" ref="D28">INDEX(hist_data!$A$6:$A$21, Matrix!$B28)</f>
        <v>15Y</v>
      </c>
      <c r="E28" s="68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9"/>
      <c r="Q28" s="75" t="str">
        <f t="shared" ca="1" si="0"/>
        <v/>
      </c>
      <c r="R28" s="65" t="str">
        <f t="shared" ca="1" si="0"/>
        <v/>
      </c>
      <c r="S28" s="66" t="str">
        <f t="shared" ca="1" si="0"/>
        <v/>
      </c>
      <c r="T28" s="67" t="str">
        <f t="shared" ca="1" si="0"/>
        <v/>
      </c>
    </row>
    <row r="29" spans="1:20" s="20" customFormat="1" ht="18.75" customHeight="1">
      <c r="A29" s="20" t="str">
        <f ca="1">IF( OFFSET(matrix_data!$S$7, 0, $B29)=0, "", OFFSET(matrix_data!$S$7, 0, $B29) )</f>
        <v/>
      </c>
      <c r="B29" s="27">
        <v>14</v>
      </c>
      <c r="D29" s="58" t="str" cm="1">
        <f t="array" ref="D29">INDEX(hist_data!$A$6:$A$21, Matrix!$B29)</f>
        <v>20Y</v>
      </c>
      <c r="E29" s="68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9"/>
      <c r="R29" s="75" t="str">
        <f t="shared" ca="1" si="0"/>
        <v/>
      </c>
      <c r="S29" s="65" t="str">
        <f t="shared" ca="1" si="0"/>
        <v/>
      </c>
      <c r="T29" s="67" t="str">
        <f t="shared" ca="1" si="0"/>
        <v/>
      </c>
    </row>
    <row r="30" spans="1:20" s="20" customFormat="1" ht="18.75" customHeight="1">
      <c r="A30" s="20" t="str">
        <f ca="1">IF( OFFSET(matrix_data!$S$7, 0, $B30)=0, "", OFFSET(matrix_data!$S$7, 0, $B30) )</f>
        <v/>
      </c>
      <c r="B30" s="27">
        <v>15</v>
      </c>
      <c r="D30" s="58" t="str" cm="1">
        <f t="array" ref="D30">INDEX(hist_data!$A$6:$A$21, Matrix!$B30)</f>
        <v>30Y</v>
      </c>
      <c r="E30" s="68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9"/>
      <c r="S30" s="75" t="str">
        <f t="shared" ca="1" si="0"/>
        <v/>
      </c>
      <c r="T30" s="70" t="str">
        <f t="shared" ca="1" si="0"/>
        <v/>
      </c>
    </row>
    <row r="31" spans="1:20" s="20" customFormat="1" ht="18.75" customHeight="1" thickBot="1">
      <c r="A31" s="20" t="str">
        <f ca="1">IF( OFFSET(matrix_data!$S$7, 0, $B31)=0, "", OFFSET(matrix_data!$S$7, 0, $B31) )</f>
        <v/>
      </c>
      <c r="B31" s="27">
        <v>16</v>
      </c>
      <c r="D31" s="59" t="str" cm="1">
        <f t="array" ref="D31">INDEX(hist_data!$A$6:$A$21, Matrix!$B31)</f>
        <v>50Y</v>
      </c>
      <c r="E31" s="71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3"/>
      <c r="T31" s="76" t="str">
        <f t="shared" ca="1" si="0"/>
        <v/>
      </c>
    </row>
    <row r="32" spans="1:20"/>
    <row r="33" spans="1:20"/>
    <row r="34" spans="1:20">
      <c r="D34" s="60"/>
      <c r="E34" s="60"/>
      <c r="F34" s="60"/>
      <c r="G34" s="60"/>
      <c r="H34" s="60"/>
      <c r="I34" s="60"/>
    </row>
    <row r="35" spans="1:20">
      <c r="D35" s="60"/>
      <c r="E35" s="60"/>
      <c r="F35" s="60"/>
      <c r="G35" s="60"/>
      <c r="H35" s="60"/>
      <c r="I35" s="60"/>
      <c r="K35" s="83" t="str">
        <f>IF( hist_data!$AJ$4="#N/A", " 없는 그룹입니다. 다른 채권이나 중개사를 선택하세요", "" )</f>
        <v/>
      </c>
      <c r="L35" s="84"/>
      <c r="M35" s="84"/>
      <c r="N35" s="84"/>
      <c r="O35" s="84"/>
      <c r="P35" s="85"/>
    </row>
    <row r="36" spans="1:20">
      <c r="D36" s="60"/>
      <c r="E36" s="60"/>
      <c r="F36" s="60"/>
      <c r="G36" s="60"/>
      <c r="H36" s="60"/>
      <c r="I36" s="60"/>
    </row>
    <row r="37" spans="1:20" ht="8.25" customHeight="1" thickBot="1"/>
    <row r="38" spans="1:20" hidden="1">
      <c r="E38">
        <f ca="1">IF( OFFSET( matrix_data!$B$7, 0, E$14)=0, "", OFFSET( matrix_data!$B$7, 0, E$14) )</f>
        <v>3.3380000000000001</v>
      </c>
      <c r="F38">
        <f ca="1">IF( OFFSET( matrix_data!$B$7, 0, F$14)=0, "", OFFSET( matrix_data!$B$7, 0, F$14) )</f>
        <v>3.2029999999999998</v>
      </c>
      <c r="G38">
        <f ca="1">IF( OFFSET( matrix_data!$B$7, 0, G$14)=0, "", OFFSET( matrix_data!$B$7, 0, G$14) )</f>
        <v>3.1120000000000001</v>
      </c>
      <c r="H38">
        <f ca="1">IF( OFFSET( matrix_data!$B$7, 0, H$14)=0, "", OFFSET( matrix_data!$B$7, 0, H$14) )</f>
        <v>3.052</v>
      </c>
      <c r="I38">
        <f ca="1">IF( OFFSET( matrix_data!$B$7, 0, I$14)=0, "", OFFSET( matrix_data!$B$7, 0, I$14) )</f>
        <v>3.0550000000000002</v>
      </c>
      <c r="J38">
        <f ca="1">IF( OFFSET( matrix_data!$B$7, 0, J$14)=0, "", OFFSET( matrix_data!$B$7, 0, J$14) )</f>
        <v>3.03</v>
      </c>
      <c r="K38">
        <f ca="1">IF( OFFSET( matrix_data!$B$7, 0, K$14)=0, "", OFFSET( matrix_data!$B$7, 0, K$14) )</f>
        <v>2.944</v>
      </c>
      <c r="L38">
        <f ca="1">IF( OFFSET( matrix_data!$B$7, 0, L$14)=0, "", OFFSET( matrix_data!$B$7, 0, L$14) )</f>
        <v>2.9220000000000002</v>
      </c>
      <c r="M38">
        <f ca="1">IF( OFFSET( matrix_data!$B$7, 0, M$14)=0, "", OFFSET( matrix_data!$B$7, 0, M$14) )</f>
        <v>2.9430000000000001</v>
      </c>
      <c r="N38">
        <f ca="1">IF( OFFSET( matrix_data!$B$7, 0, N$14)=0, "", OFFSET( matrix_data!$B$7, 0, N$14) )</f>
        <v>2.93</v>
      </c>
      <c r="O38">
        <f ca="1">IF( OFFSET( matrix_data!$B$7, 0, O$14)=0, "", OFFSET( matrix_data!$B$7, 0, O$14) )</f>
        <v>2.9809999999999999</v>
      </c>
      <c r="P38">
        <f ca="1">IF( OFFSET( matrix_data!$B$7, 0, P$14)=0, "", OFFSET( matrix_data!$B$7, 0, P$14) )</f>
        <v>2.9750000000000001</v>
      </c>
      <c r="Q38">
        <f ca="1">IF( OFFSET( matrix_data!$B$7, 0, Q$14)=0, "", OFFSET( matrix_data!$B$7, 0, Q$14) )</f>
        <v>2.9820000000000002</v>
      </c>
      <c r="R38">
        <f ca="1">IF( OFFSET( matrix_data!$B$7, 0, R$14)=0, "", OFFSET( matrix_data!$B$7, 0, R$14) )</f>
        <v>2.952</v>
      </c>
      <c r="S38">
        <f ca="1">IF( OFFSET( matrix_data!$B$7, 0, S$14)=0, "", OFFSET( matrix_data!$B$7, 0, S$14) )</f>
        <v>2.8519999999999999</v>
      </c>
      <c r="T38">
        <f ca="1">IF( OFFSET( matrix_data!$B$7, 0, T$14)=0, "", OFFSET( matrix_data!$B$7, 0, T$14) )</f>
        <v>2.7629999999999999</v>
      </c>
    </row>
    <row r="39" spans="1:20" ht="15.75" hidden="1" thickBot="1">
      <c r="E39" s="27">
        <v>1</v>
      </c>
      <c r="F39" s="27">
        <v>2</v>
      </c>
      <c r="G39" s="27">
        <v>3</v>
      </c>
      <c r="H39" s="27">
        <v>4</v>
      </c>
      <c r="I39" s="27">
        <v>5</v>
      </c>
      <c r="J39" s="27">
        <v>6</v>
      </c>
      <c r="K39" s="27">
        <v>7</v>
      </c>
      <c r="L39" s="27">
        <v>8</v>
      </c>
      <c r="M39" s="27">
        <v>9</v>
      </c>
      <c r="N39" s="27">
        <v>10</v>
      </c>
      <c r="O39" s="27">
        <v>11</v>
      </c>
      <c r="P39" s="27">
        <v>12</v>
      </c>
      <c r="Q39" s="27">
        <v>13</v>
      </c>
      <c r="R39" s="27">
        <v>14</v>
      </c>
      <c r="S39" s="27">
        <v>15</v>
      </c>
      <c r="T39" s="27">
        <v>16</v>
      </c>
    </row>
    <row r="40" spans="1:20" s="20" customFormat="1" ht="18.75" customHeight="1" thickBot="1">
      <c r="D40" s="50" t="s">
        <v>847</v>
      </c>
      <c r="E40" s="52" t="str" cm="1">
        <f t="array" ref="E40">INDEX(hist_data!$A$6:$A$21, Matrix!$B41)</f>
        <v>03M</v>
      </c>
      <c r="F40" s="53" t="str" cm="1">
        <f t="array" ref="F40">INDEX(hist_data!$A$6:$A$21, Matrix!$B42)</f>
        <v>06M</v>
      </c>
      <c r="G40" s="53" t="str" cm="1">
        <f t="array" ref="G40">INDEX(hist_data!$A$6:$A$21, Matrix!$B43)</f>
        <v>09M</v>
      </c>
      <c r="H40" s="53" t="str" cm="1">
        <f t="array" ref="H40">INDEX(hist_data!$A$6:$A$21, Matrix!$B44)</f>
        <v>01Y</v>
      </c>
      <c r="I40" s="53" t="str" cm="1">
        <f t="array" ref="I40">INDEX(hist_data!$A$6:$A$21, Matrix!$B45)</f>
        <v>1.5Y</v>
      </c>
      <c r="J40" s="53" t="str" cm="1">
        <f t="array" ref="J40">INDEX(hist_data!$A$6:$A$21, Matrix!$B46)</f>
        <v>02Y</v>
      </c>
      <c r="K40" s="53" t="str" cm="1">
        <f t="array" ref="K40">INDEX(hist_data!$A$6:$A$21, Matrix!$B47)</f>
        <v>2.5Y</v>
      </c>
      <c r="L40" s="53" t="str" cm="1">
        <f t="array" ref="L40">INDEX(hist_data!$A$6:$A$21, Matrix!$B48)</f>
        <v>03Y</v>
      </c>
      <c r="M40" s="53" t="str" cm="1">
        <f t="array" ref="M40">INDEX(hist_data!$A$6:$A$21, Matrix!$B49)</f>
        <v>04Y</v>
      </c>
      <c r="N40" s="53" t="str" cm="1">
        <f t="array" ref="N40">INDEX(hist_data!$A$6:$A$21, Matrix!$B50)</f>
        <v>05Y</v>
      </c>
      <c r="O40" s="53" t="str" cm="1">
        <f t="array" ref="O40">INDEX(hist_data!$A$6:$A$21, Matrix!$B51)</f>
        <v>07Y</v>
      </c>
      <c r="P40" s="53" t="str" cm="1">
        <f t="array" ref="P40">INDEX(hist_data!$A$6:$A$21, Matrix!$B52)</f>
        <v>10Y</v>
      </c>
      <c r="Q40" s="53" t="str" cm="1">
        <f t="array" ref="Q40">INDEX(hist_data!$A$6:$A$21, Matrix!$B53)</f>
        <v>15Y</v>
      </c>
      <c r="R40" s="53" t="str" cm="1">
        <f t="array" ref="R40">INDEX(hist_data!$A$6:$A$21, Matrix!$B54)</f>
        <v>20Y</v>
      </c>
      <c r="S40" s="53" t="str" cm="1">
        <f t="array" ref="S40">INDEX(hist_data!$A$6:$A$21, Matrix!$B55)</f>
        <v>30Y</v>
      </c>
      <c r="T40" s="54" t="str" cm="1">
        <f t="array" ref="T40">INDEX(hist_data!$A$6:$A$21, Matrix!$B56)</f>
        <v>50Y</v>
      </c>
    </row>
    <row r="41" spans="1:20" s="20" customFormat="1" ht="18.75" customHeight="1">
      <c r="A41" s="20">
        <f ca="1">IF( OFFSET(matrix_data!$AJ$7, 0, $B41)=0, "", OFFSET(matrix_data!$AJ$7, 0, $B41) )</f>
        <v>3.2709999999999999</v>
      </c>
      <c r="B41" s="27">
        <v>1</v>
      </c>
      <c r="D41" s="57" t="str" cm="1">
        <f t="array" ref="D41">INDEX(hist_data!$A$6:$A$21, Matrix!$B41)</f>
        <v>03M</v>
      </c>
      <c r="E41" s="74">
        <f ca="1">IFERROR( (E$13-$A41)*100, "")</f>
        <v>6.7000000000000171</v>
      </c>
      <c r="F41" s="61">
        <f t="shared" ref="F41:T56" ca="1" si="1">IFERROR( (F$13-$A41)*100, "")</f>
        <v>-6.800000000000006</v>
      </c>
      <c r="G41" s="62">
        <f t="shared" ca="1" si="1"/>
        <v>-15.899999999999981</v>
      </c>
      <c r="H41" s="62">
        <f t="shared" ca="1" si="1"/>
        <v>-21.899999999999984</v>
      </c>
      <c r="I41" s="62">
        <f t="shared" ca="1" si="1"/>
        <v>-21.599999999999973</v>
      </c>
      <c r="J41" s="62">
        <f t="shared" ca="1" si="1"/>
        <v>-24.100000000000009</v>
      </c>
      <c r="K41" s="62">
        <f t="shared" ca="1" si="1"/>
        <v>-32.699999999999996</v>
      </c>
      <c r="L41" s="62">
        <f t="shared" ca="1" si="1"/>
        <v>-34.899999999999977</v>
      </c>
      <c r="M41" s="62">
        <f t="shared" ca="1" si="1"/>
        <v>-32.799999999999983</v>
      </c>
      <c r="N41" s="62">
        <f t="shared" ca="1" si="1"/>
        <v>-34.099999999999973</v>
      </c>
      <c r="O41" s="62">
        <f t="shared" ca="1" si="1"/>
        <v>-29.000000000000004</v>
      </c>
      <c r="P41" s="62">
        <f t="shared" ca="1" si="1"/>
        <v>-29.59999999999998</v>
      </c>
      <c r="Q41" s="62">
        <f t="shared" ca="1" si="1"/>
        <v>-28.89999999999997</v>
      </c>
      <c r="R41" s="62">
        <f t="shared" ca="1" si="1"/>
        <v>-31.899999999999995</v>
      </c>
      <c r="S41" s="62">
        <f t="shared" ca="1" si="1"/>
        <v>-41.900000000000006</v>
      </c>
      <c r="T41" s="63">
        <f t="shared" ca="1" si="1"/>
        <v>-50.8</v>
      </c>
    </row>
    <row r="42" spans="1:20" s="20" customFormat="1" ht="18.75" customHeight="1">
      <c r="A42" s="20">
        <f ca="1">IF( OFFSET(matrix_data!$AJ$7, 0, $B42)=0, "", OFFSET(matrix_data!$AJ$7, 0, $B42) )</f>
        <v>3.169</v>
      </c>
      <c r="B42" s="27">
        <v>2</v>
      </c>
      <c r="D42" s="58" t="str" cm="1">
        <f t="array" ref="D42">INDEX(hist_data!$A$6:$A$21, Matrix!$B42)</f>
        <v>06M</v>
      </c>
      <c r="E42" s="64"/>
      <c r="F42" s="75">
        <f t="shared" ca="1" si="1"/>
        <v>3.3999999999999808</v>
      </c>
      <c r="G42" s="65">
        <f t="shared" ca="1" si="1"/>
        <v>-5.699999999999994</v>
      </c>
      <c r="H42" s="66">
        <f t="shared" ca="1" si="1"/>
        <v>-11.7</v>
      </c>
      <c r="I42" s="66">
        <f t="shared" ca="1" si="1"/>
        <v>-11.399999999999988</v>
      </c>
      <c r="J42" s="66">
        <f t="shared" ca="1" si="1"/>
        <v>-13.900000000000023</v>
      </c>
      <c r="K42" s="66">
        <f t="shared" ca="1" si="1"/>
        <v>-22.500000000000007</v>
      </c>
      <c r="L42" s="66">
        <f t="shared" ca="1" si="1"/>
        <v>-24.699999999999989</v>
      </c>
      <c r="M42" s="66">
        <f t="shared" ca="1" si="1"/>
        <v>-22.599999999999998</v>
      </c>
      <c r="N42" s="66">
        <f t="shared" ca="1" si="1"/>
        <v>-23.899999999999988</v>
      </c>
      <c r="O42" s="66">
        <f t="shared" ca="1" si="1"/>
        <v>-18.800000000000018</v>
      </c>
      <c r="P42" s="66">
        <f t="shared" ca="1" si="1"/>
        <v>-19.399999999999995</v>
      </c>
      <c r="Q42" s="66">
        <f t="shared" ca="1" si="1"/>
        <v>-18.699999999999982</v>
      </c>
      <c r="R42" s="66">
        <f t="shared" ca="1" si="1"/>
        <v>-21.70000000000001</v>
      </c>
      <c r="S42" s="66">
        <f t="shared" ca="1" si="1"/>
        <v>-31.700000000000017</v>
      </c>
      <c r="T42" s="67">
        <f t="shared" ca="1" si="1"/>
        <v>-40.600000000000016</v>
      </c>
    </row>
    <row r="43" spans="1:20" s="20" customFormat="1" ht="18.75" customHeight="1">
      <c r="A43" s="20">
        <f ca="1">IF( OFFSET(matrix_data!$AJ$7, 0, $B43)=0, "", OFFSET(matrix_data!$AJ$7, 0, $B43) )</f>
        <v>3.097</v>
      </c>
      <c r="B43" s="27">
        <v>3</v>
      </c>
      <c r="D43" s="58" t="str" cm="1">
        <f t="array" ref="D43">INDEX(hist_data!$A$6:$A$21, Matrix!$B43)</f>
        <v>09M</v>
      </c>
      <c r="E43" s="68"/>
      <c r="F43" s="69"/>
      <c r="G43" s="75">
        <f t="shared" ca="1" si="1"/>
        <v>1.5000000000000124</v>
      </c>
      <c r="H43" s="65">
        <f t="shared" ca="1" si="1"/>
        <v>-4.4999999999999929</v>
      </c>
      <c r="I43" s="66">
        <f t="shared" ca="1" si="1"/>
        <v>-4.1999999999999815</v>
      </c>
      <c r="J43" s="66">
        <f t="shared" ca="1" si="1"/>
        <v>-6.7000000000000171</v>
      </c>
      <c r="K43" s="66">
        <f t="shared" ca="1" si="1"/>
        <v>-15.300000000000002</v>
      </c>
      <c r="L43" s="66">
        <f t="shared" ca="1" si="1"/>
        <v>-17.499999999999982</v>
      </c>
      <c r="M43" s="66">
        <f t="shared" ca="1" si="1"/>
        <v>-15.399999999999991</v>
      </c>
      <c r="N43" s="66">
        <f t="shared" ca="1" si="1"/>
        <v>-16.699999999999982</v>
      </c>
      <c r="O43" s="66">
        <f t="shared" ca="1" si="1"/>
        <v>-11.60000000000001</v>
      </c>
      <c r="P43" s="66">
        <f t="shared" ca="1" si="1"/>
        <v>-12.199999999999989</v>
      </c>
      <c r="Q43" s="66">
        <f t="shared" ca="1" si="1"/>
        <v>-11.499999999999977</v>
      </c>
      <c r="R43" s="66">
        <f t="shared" ca="1" si="1"/>
        <v>-14.500000000000002</v>
      </c>
      <c r="S43" s="66">
        <f t="shared" ca="1" si="1"/>
        <v>-24.500000000000011</v>
      </c>
      <c r="T43" s="67">
        <f t="shared" ca="1" si="1"/>
        <v>-33.400000000000006</v>
      </c>
    </row>
    <row r="44" spans="1:20" s="20" customFormat="1" ht="18.75" customHeight="1">
      <c r="A44" s="20">
        <f ca="1">IF( OFFSET(matrix_data!$AJ$7, 0, $B44)=0, "", OFFSET(matrix_data!$AJ$7, 0, $B44) )</f>
        <v>3.0249999999999999</v>
      </c>
      <c r="B44" s="27">
        <v>4</v>
      </c>
      <c r="D44" s="58" t="str" cm="1">
        <f t="array" ref="D44">INDEX(hist_data!$A$6:$A$21, Matrix!$B44)</f>
        <v>01Y</v>
      </c>
      <c r="E44" s="68"/>
      <c r="F44" s="66"/>
      <c r="G44" s="69"/>
      <c r="H44" s="75">
        <f t="shared" ca="1" si="1"/>
        <v>2.7000000000000135</v>
      </c>
      <c r="I44" s="65">
        <f t="shared" ca="1" si="1"/>
        <v>3.0000000000000249</v>
      </c>
      <c r="J44" s="66">
        <f t="shared" ca="1" si="1"/>
        <v>0.49999999999998934</v>
      </c>
      <c r="K44" s="66">
        <f t="shared" ca="1" si="1"/>
        <v>-8.0999999999999961</v>
      </c>
      <c r="L44" s="66">
        <f t="shared" ca="1" si="1"/>
        <v>-10.299999999999976</v>
      </c>
      <c r="M44" s="66">
        <f t="shared" ca="1" si="1"/>
        <v>-8.1999999999999851</v>
      </c>
      <c r="N44" s="66">
        <f t="shared" ca="1" si="1"/>
        <v>-9.4999999999999751</v>
      </c>
      <c r="O44" s="66">
        <f t="shared" ca="1" si="1"/>
        <v>-4.4000000000000039</v>
      </c>
      <c r="P44" s="66">
        <f t="shared" ca="1" si="1"/>
        <v>-4.9999999999999822</v>
      </c>
      <c r="Q44" s="66">
        <f t="shared" ca="1" si="1"/>
        <v>-4.2999999999999705</v>
      </c>
      <c r="R44" s="66">
        <f t="shared" ca="1" si="1"/>
        <v>-7.2999999999999954</v>
      </c>
      <c r="S44" s="66">
        <f t="shared" ca="1" si="1"/>
        <v>-17.300000000000004</v>
      </c>
      <c r="T44" s="67">
        <f t="shared" ca="1" si="1"/>
        <v>-26.200000000000003</v>
      </c>
    </row>
    <row r="45" spans="1:20" s="20" customFormat="1" ht="18.75" customHeight="1">
      <c r="A45" s="20">
        <f ca="1">IF( OFFSET(matrix_data!$AJ$7, 0, $B45)=0, "", OFFSET(matrix_data!$AJ$7, 0, $B45) )</f>
        <v>3.0430000000000001</v>
      </c>
      <c r="B45" s="27">
        <v>5</v>
      </c>
      <c r="D45" s="58" t="str" cm="1">
        <f t="array" ref="D45">INDEX(hist_data!$A$6:$A$21, Matrix!$B45)</f>
        <v>1.5Y</v>
      </c>
      <c r="E45" s="68"/>
      <c r="F45" s="66"/>
      <c r="G45" s="66"/>
      <c r="H45" s="69"/>
      <c r="I45" s="75">
        <f t="shared" ca="1" si="1"/>
        <v>1.2000000000000011</v>
      </c>
      <c r="J45" s="65">
        <f t="shared" ca="1" si="1"/>
        <v>-1.3000000000000345</v>
      </c>
      <c r="K45" s="66">
        <f t="shared" ca="1" si="1"/>
        <v>-9.9000000000000199</v>
      </c>
      <c r="L45" s="66">
        <f t="shared" ca="1" si="1"/>
        <v>-12.1</v>
      </c>
      <c r="M45" s="66">
        <f t="shared" ca="1" si="1"/>
        <v>-10.000000000000009</v>
      </c>
      <c r="N45" s="66">
        <f t="shared" ca="1" si="1"/>
        <v>-11.299999999999999</v>
      </c>
      <c r="O45" s="66">
        <f t="shared" ca="1" si="1"/>
        <v>-6.2000000000000277</v>
      </c>
      <c r="P45" s="66">
        <f t="shared" ca="1" si="1"/>
        <v>-6.800000000000006</v>
      </c>
      <c r="Q45" s="66">
        <f t="shared" ca="1" si="1"/>
        <v>-6.0999999999999943</v>
      </c>
      <c r="R45" s="66">
        <f t="shared" ca="1" si="1"/>
        <v>-9.1000000000000192</v>
      </c>
      <c r="S45" s="66">
        <f t="shared" ca="1" si="1"/>
        <v>-19.10000000000003</v>
      </c>
      <c r="T45" s="67">
        <f t="shared" ca="1" si="1"/>
        <v>-28.000000000000025</v>
      </c>
    </row>
    <row r="46" spans="1:20" s="20" customFormat="1" ht="18.75" customHeight="1">
      <c r="A46" s="20">
        <f ca="1">IF( OFFSET(matrix_data!$AJ$7, 0, $B46)=0, "", OFFSET(matrix_data!$AJ$7, 0, $B46) )</f>
        <v>2.9870000000000001</v>
      </c>
      <c r="B46" s="27">
        <v>6</v>
      </c>
      <c r="D46" s="58" t="str" cm="1">
        <f t="array" ref="D46">INDEX(hist_data!$A$6:$A$21, Matrix!$B46)</f>
        <v>02Y</v>
      </c>
      <c r="E46" s="68"/>
      <c r="F46" s="66"/>
      <c r="G46" s="66"/>
      <c r="H46" s="66"/>
      <c r="I46" s="69"/>
      <c r="J46" s="75">
        <f t="shared" ca="1" si="1"/>
        <v>4.2999999999999705</v>
      </c>
      <c r="K46" s="65">
        <f t="shared" ca="1" si="1"/>
        <v>-4.3000000000000149</v>
      </c>
      <c r="L46" s="66">
        <f t="shared" ca="1" si="1"/>
        <v>-6.4999999999999947</v>
      </c>
      <c r="M46" s="66">
        <f t="shared" ca="1" si="1"/>
        <v>-4.4000000000000039</v>
      </c>
      <c r="N46" s="66">
        <f t="shared" ca="1" si="1"/>
        <v>-5.699999999999994</v>
      </c>
      <c r="O46" s="66">
        <f t="shared" ca="1" si="1"/>
        <v>-0.60000000000002274</v>
      </c>
      <c r="P46" s="66">
        <f t="shared" ca="1" si="1"/>
        <v>-1.2000000000000011</v>
      </c>
      <c r="Q46" s="66">
        <f t="shared" ca="1" si="1"/>
        <v>-0.49999999999998934</v>
      </c>
      <c r="R46" s="66">
        <f t="shared" ca="1" si="1"/>
        <v>-3.5000000000000142</v>
      </c>
      <c r="S46" s="66">
        <f t="shared" ca="1" si="1"/>
        <v>-13.500000000000023</v>
      </c>
      <c r="T46" s="67">
        <f t="shared" ca="1" si="1"/>
        <v>-22.40000000000002</v>
      </c>
    </row>
    <row r="47" spans="1:20" s="20" customFormat="1" ht="18.75" customHeight="1">
      <c r="A47" s="20">
        <f ca="1">IF( OFFSET(matrix_data!$AJ$7, 0, $B47)=0, "", OFFSET(matrix_data!$AJ$7, 0, $B47) )</f>
        <v>2.9929999999999999</v>
      </c>
      <c r="B47" s="27">
        <v>7</v>
      </c>
      <c r="D47" s="58" t="str" cm="1">
        <f t="array" ref="D47">INDEX(hist_data!$A$6:$A$21, Matrix!$B47)</f>
        <v>2.5Y</v>
      </c>
      <c r="E47" s="68"/>
      <c r="F47" s="66"/>
      <c r="G47" s="66"/>
      <c r="H47" s="66"/>
      <c r="I47" s="66"/>
      <c r="J47" s="69"/>
      <c r="K47" s="75">
        <f t="shared" ca="1" si="1"/>
        <v>-4.8999999999999932</v>
      </c>
      <c r="L47" s="65">
        <f t="shared" ca="1" si="1"/>
        <v>-7.099999999999973</v>
      </c>
      <c r="M47" s="66">
        <f t="shared" ca="1" si="1"/>
        <v>-4.9999999999999822</v>
      </c>
      <c r="N47" s="66">
        <f t="shared" ca="1" si="1"/>
        <v>-6.2999999999999723</v>
      </c>
      <c r="O47" s="66">
        <f t="shared" ca="1" si="1"/>
        <v>-1.2000000000000011</v>
      </c>
      <c r="P47" s="66">
        <f t="shared" ca="1" si="1"/>
        <v>-1.7999999999999794</v>
      </c>
      <c r="Q47" s="66">
        <f t="shared" ca="1" si="1"/>
        <v>-1.0999999999999677</v>
      </c>
      <c r="R47" s="66">
        <f t="shared" ca="1" si="1"/>
        <v>-4.0999999999999925</v>
      </c>
      <c r="S47" s="66">
        <f t="shared" ca="1" si="1"/>
        <v>-14.100000000000001</v>
      </c>
      <c r="T47" s="67">
        <f t="shared" ca="1" si="1"/>
        <v>-23</v>
      </c>
    </row>
    <row r="48" spans="1:20" s="20" customFormat="1" ht="18.75" customHeight="1">
      <c r="A48" s="20">
        <f ca="1">IF( OFFSET(matrix_data!$AJ$7, 0, $B48)=0, "", OFFSET(matrix_data!$AJ$7, 0, $B48) )</f>
        <v>2.9940000000000002</v>
      </c>
      <c r="B48" s="27">
        <v>8</v>
      </c>
      <c r="D48" s="58" t="str" cm="1">
        <f t="array" ref="D48">INDEX(hist_data!$A$6:$A$21, Matrix!$B48)</f>
        <v>03Y</v>
      </c>
      <c r="E48" s="68"/>
      <c r="F48" s="66"/>
      <c r="G48" s="66"/>
      <c r="H48" s="66"/>
      <c r="I48" s="66"/>
      <c r="J48" s="66"/>
      <c r="K48" s="69"/>
      <c r="L48" s="75">
        <f t="shared" ca="1" si="1"/>
        <v>-7.2000000000000064</v>
      </c>
      <c r="M48" s="65">
        <f t="shared" ca="1" si="1"/>
        <v>-5.1000000000000156</v>
      </c>
      <c r="N48" s="66">
        <f t="shared" ca="1" si="1"/>
        <v>-6.4000000000000057</v>
      </c>
      <c r="O48" s="66">
        <f t="shared" ca="1" si="1"/>
        <v>-1.3000000000000345</v>
      </c>
      <c r="P48" s="66">
        <f t="shared" ca="1" si="1"/>
        <v>-1.9000000000000128</v>
      </c>
      <c r="Q48" s="66">
        <f t="shared" ca="1" si="1"/>
        <v>-1.2000000000000011</v>
      </c>
      <c r="R48" s="66">
        <f t="shared" ca="1" si="1"/>
        <v>-4.2000000000000259</v>
      </c>
      <c r="S48" s="66">
        <f t="shared" ca="1" si="1"/>
        <v>-14.200000000000035</v>
      </c>
      <c r="T48" s="67">
        <f t="shared" ca="1" si="1"/>
        <v>-23.10000000000003</v>
      </c>
    </row>
    <row r="49" spans="1:20" s="20" customFormat="1" ht="18.75" customHeight="1">
      <c r="A49" s="20" t="str">
        <f ca="1">IF( OFFSET(matrix_data!$AJ$7, 0, $B49)=0, "", OFFSET(matrix_data!$AJ$7, 0, $B49) )</f>
        <v/>
      </c>
      <c r="B49" s="27">
        <v>9</v>
      </c>
      <c r="D49" s="58" t="str" cm="1">
        <f t="array" ref="D49">INDEX(hist_data!$A$6:$A$21, Matrix!$B49)</f>
        <v>04Y</v>
      </c>
      <c r="E49" s="68"/>
      <c r="F49" s="66"/>
      <c r="G49" s="66"/>
      <c r="H49" s="66"/>
      <c r="I49" s="66"/>
      <c r="J49" s="66"/>
      <c r="K49" s="66"/>
      <c r="L49" s="69"/>
      <c r="M49" s="75" t="str">
        <f t="shared" ca="1" si="1"/>
        <v/>
      </c>
      <c r="N49" s="65" t="str">
        <f t="shared" ca="1" si="1"/>
        <v/>
      </c>
      <c r="O49" s="66" t="str">
        <f t="shared" ca="1" si="1"/>
        <v/>
      </c>
      <c r="P49" s="66" t="str">
        <f t="shared" ca="1" si="1"/>
        <v/>
      </c>
      <c r="Q49" s="66" t="str">
        <f t="shared" ca="1" si="1"/>
        <v/>
      </c>
      <c r="R49" s="66" t="str">
        <f t="shared" ca="1" si="1"/>
        <v/>
      </c>
      <c r="S49" s="66" t="str">
        <f t="shared" ca="1" si="1"/>
        <v/>
      </c>
      <c r="T49" s="67" t="str">
        <f t="shared" ca="1" si="1"/>
        <v/>
      </c>
    </row>
    <row r="50" spans="1:20" s="20" customFormat="1" ht="18.75" customHeight="1">
      <c r="A50" s="20" t="str">
        <f ca="1">IF( OFFSET(matrix_data!$AJ$7, 0, $B50)=0, "", OFFSET(matrix_data!$AJ$7, 0, $B50) )</f>
        <v/>
      </c>
      <c r="B50" s="27">
        <v>10</v>
      </c>
      <c r="D50" s="58" t="str" cm="1">
        <f t="array" ref="D50">INDEX(hist_data!$A$6:$A$21, Matrix!$B50)</f>
        <v>05Y</v>
      </c>
      <c r="E50" s="68"/>
      <c r="F50" s="66"/>
      <c r="G50" s="66"/>
      <c r="H50" s="66"/>
      <c r="I50" s="66"/>
      <c r="J50" s="66"/>
      <c r="K50" s="66"/>
      <c r="L50" s="66"/>
      <c r="M50" s="69"/>
      <c r="N50" s="75" t="str">
        <f t="shared" ca="1" si="1"/>
        <v/>
      </c>
      <c r="O50" s="65" t="str">
        <f t="shared" ca="1" si="1"/>
        <v/>
      </c>
      <c r="P50" s="66" t="str">
        <f t="shared" ca="1" si="1"/>
        <v/>
      </c>
      <c r="Q50" s="66" t="str">
        <f t="shared" ca="1" si="1"/>
        <v/>
      </c>
      <c r="R50" s="66" t="str">
        <f t="shared" ca="1" si="1"/>
        <v/>
      </c>
      <c r="S50" s="66" t="str">
        <f t="shared" ca="1" si="1"/>
        <v/>
      </c>
      <c r="T50" s="67" t="str">
        <f t="shared" ca="1" si="1"/>
        <v/>
      </c>
    </row>
    <row r="51" spans="1:20" s="20" customFormat="1" ht="18.75" customHeight="1">
      <c r="A51" s="20" t="str">
        <f ca="1">IF( OFFSET(matrix_data!$AJ$7, 0, $B51)=0, "", OFFSET(matrix_data!$AJ$7, 0, $B51) )</f>
        <v/>
      </c>
      <c r="B51" s="27">
        <v>11</v>
      </c>
      <c r="D51" s="58" t="str" cm="1">
        <f t="array" ref="D51">INDEX(hist_data!$A$6:$A$21, Matrix!$B51)</f>
        <v>07Y</v>
      </c>
      <c r="E51" s="68"/>
      <c r="F51" s="66"/>
      <c r="G51" s="66"/>
      <c r="H51" s="66"/>
      <c r="I51" s="66"/>
      <c r="J51" s="66"/>
      <c r="K51" s="66"/>
      <c r="L51" s="66"/>
      <c r="M51" s="66"/>
      <c r="N51" s="69"/>
      <c r="O51" s="75" t="str">
        <f t="shared" ca="1" si="1"/>
        <v/>
      </c>
      <c r="P51" s="65" t="str">
        <f t="shared" ca="1" si="1"/>
        <v/>
      </c>
      <c r="Q51" s="66" t="str">
        <f t="shared" ca="1" si="1"/>
        <v/>
      </c>
      <c r="R51" s="66" t="str">
        <f t="shared" ca="1" si="1"/>
        <v/>
      </c>
      <c r="S51" s="66" t="str">
        <f t="shared" ca="1" si="1"/>
        <v/>
      </c>
      <c r="T51" s="67" t="str">
        <f t="shared" ca="1" si="1"/>
        <v/>
      </c>
    </row>
    <row r="52" spans="1:20" s="20" customFormat="1" ht="18.75" customHeight="1">
      <c r="A52" s="20" t="str">
        <f ca="1">IF( OFFSET(matrix_data!$AJ$7, 0, $B52)=0, "", OFFSET(matrix_data!$AJ$7, 0, $B52) )</f>
        <v/>
      </c>
      <c r="B52" s="27">
        <v>12</v>
      </c>
      <c r="D52" s="58" t="str" cm="1">
        <f t="array" ref="D52">INDEX(hist_data!$A$6:$A$21, Matrix!$B52)</f>
        <v>10Y</v>
      </c>
      <c r="E52" s="68"/>
      <c r="F52" s="66"/>
      <c r="G52" s="66"/>
      <c r="H52" s="66"/>
      <c r="I52" s="66"/>
      <c r="J52" s="66"/>
      <c r="K52" s="66"/>
      <c r="L52" s="66"/>
      <c r="M52" s="66"/>
      <c r="N52" s="66"/>
      <c r="O52" s="69"/>
      <c r="P52" s="75" t="str">
        <f t="shared" ca="1" si="1"/>
        <v/>
      </c>
      <c r="Q52" s="65" t="str">
        <f t="shared" ca="1" si="1"/>
        <v/>
      </c>
      <c r="R52" s="66" t="str">
        <f t="shared" ca="1" si="1"/>
        <v/>
      </c>
      <c r="S52" s="66" t="str">
        <f t="shared" ca="1" si="1"/>
        <v/>
      </c>
      <c r="T52" s="67" t="str">
        <f t="shared" ca="1" si="1"/>
        <v/>
      </c>
    </row>
    <row r="53" spans="1:20" s="20" customFormat="1" ht="18.75" customHeight="1">
      <c r="A53" s="20" t="str">
        <f ca="1">IF( OFFSET(matrix_data!$AJ$7, 0, $B53)=0, "", OFFSET(matrix_data!$AJ$7, 0, $B53) )</f>
        <v/>
      </c>
      <c r="B53" s="27">
        <v>13</v>
      </c>
      <c r="D53" s="58" t="str" cm="1">
        <f t="array" ref="D53">INDEX(hist_data!$A$6:$A$21, Matrix!$B53)</f>
        <v>15Y</v>
      </c>
      <c r="E53" s="68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9"/>
      <c r="Q53" s="75" t="str">
        <f t="shared" ca="1" si="1"/>
        <v/>
      </c>
      <c r="R53" s="65" t="str">
        <f t="shared" ca="1" si="1"/>
        <v/>
      </c>
      <c r="S53" s="66" t="str">
        <f t="shared" ca="1" si="1"/>
        <v/>
      </c>
      <c r="T53" s="67" t="str">
        <f t="shared" ca="1" si="1"/>
        <v/>
      </c>
    </row>
    <row r="54" spans="1:20" s="20" customFormat="1" ht="18.75" customHeight="1">
      <c r="A54" s="20" t="str">
        <f ca="1">IF( OFFSET(matrix_data!$AJ$7, 0, $B54)=0, "", OFFSET(matrix_data!$AJ$7, 0, $B54) )</f>
        <v/>
      </c>
      <c r="B54" s="27">
        <v>14</v>
      </c>
      <c r="D54" s="58" t="str" cm="1">
        <f t="array" ref="D54">INDEX(hist_data!$A$6:$A$21, Matrix!$B54)</f>
        <v>20Y</v>
      </c>
      <c r="E54" s="68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9"/>
      <c r="R54" s="75" t="str">
        <f t="shared" ca="1" si="1"/>
        <v/>
      </c>
      <c r="S54" s="65" t="str">
        <f t="shared" ca="1" si="1"/>
        <v/>
      </c>
      <c r="T54" s="67" t="str">
        <f t="shared" ca="1" si="1"/>
        <v/>
      </c>
    </row>
    <row r="55" spans="1:20" s="20" customFormat="1" ht="18.75" customHeight="1">
      <c r="A55" s="20" t="str">
        <f ca="1">IF( OFFSET(matrix_data!$AJ$7, 0, $B55)=0, "", OFFSET(matrix_data!$AJ$7, 0, $B55) )</f>
        <v/>
      </c>
      <c r="B55" s="27">
        <v>15</v>
      </c>
      <c r="D55" s="58" t="str" cm="1">
        <f t="array" ref="D55">INDEX(hist_data!$A$6:$A$21, Matrix!$B55)</f>
        <v>30Y</v>
      </c>
      <c r="E55" s="68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9"/>
      <c r="S55" s="75" t="str">
        <f t="shared" ca="1" si="1"/>
        <v/>
      </c>
      <c r="T55" s="70" t="str">
        <f t="shared" ca="1" si="1"/>
        <v/>
      </c>
    </row>
    <row r="56" spans="1:20" s="20" customFormat="1" ht="18.75" customHeight="1" thickBot="1">
      <c r="A56" s="20" t="str">
        <f ca="1">IF( OFFSET(matrix_data!$AJ$7, 0, $B56)=0, "", OFFSET(matrix_data!$AJ$7, 0, $B56) )</f>
        <v/>
      </c>
      <c r="B56" s="27">
        <v>16</v>
      </c>
      <c r="D56" s="59" t="str" cm="1">
        <f t="array" ref="D56">INDEX(hist_data!$A$6:$A$21, Matrix!$B56)</f>
        <v>50Y</v>
      </c>
      <c r="E56" s="71"/>
      <c r="F56" s="72"/>
      <c r="G56" s="72"/>
      <c r="H56" s="72"/>
      <c r="I56" s="72"/>
      <c r="J56" s="72"/>
      <c r="K56" s="72"/>
      <c r="L56" s="72"/>
      <c r="M56" s="72"/>
      <c r="N56" s="72"/>
      <c r="O56" s="72"/>
      <c r="P56" s="72"/>
      <c r="Q56" s="72"/>
      <c r="R56" s="72"/>
      <c r="S56" s="73"/>
      <c r="T56" s="76" t="str">
        <f t="shared" ca="1" si="1"/>
        <v/>
      </c>
    </row>
    <row r="57" spans="1:20"/>
    <row r="58" spans="1:20"/>
    <row r="59" spans="1:20"/>
  </sheetData>
  <mergeCells count="3">
    <mergeCell ref="K35:P35"/>
    <mergeCell ref="K5:P5"/>
    <mergeCell ref="K10:P10"/>
  </mergeCells>
  <phoneticPr fontId="1" type="noConversion"/>
  <conditionalFormatting sqref="K5:P5">
    <cfRule type="notContainsBlanks" dxfId="2" priority="3">
      <formula>LEN(TRIM(K5))&gt;0</formula>
    </cfRule>
  </conditionalFormatting>
  <conditionalFormatting sqref="K10:P10">
    <cfRule type="notContainsBlanks" dxfId="1" priority="2">
      <formula>LEN(TRIM(K10))&gt;0</formula>
    </cfRule>
  </conditionalFormatting>
  <conditionalFormatting sqref="K35:P35">
    <cfRule type="notContainsBlanks" dxfId="0" priority="1">
      <formula>LEN(TRIM(K35))&gt;0</formula>
    </cfRule>
  </conditionalFormatting>
  <pageMargins left="0.7" right="0.7" top="0.75" bottom="0.75" header="0.3" footer="0.3"/>
  <pageSetup paperSize="9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>
                  <from>
                    <xdr:col>3</xdr:col>
                    <xdr:colOff>9525</xdr:colOff>
                    <xdr:row>2</xdr:row>
                    <xdr:rowOff>114300</xdr:rowOff>
                  </from>
                  <to>
                    <xdr:col>9</xdr:col>
                    <xdr:colOff>19050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3</xdr:col>
                    <xdr:colOff>123825</xdr:colOff>
                    <xdr:row>3</xdr:row>
                    <xdr:rowOff>152400</xdr:rowOff>
                  </from>
                  <to>
                    <xdr:col>5</xdr:col>
                    <xdr:colOff>114300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Option Button 3">
              <controlPr defaultSize="0" autoFill="0" autoLine="0" autoPict="0">
                <anchor moveWithCells="1">
                  <from>
                    <xdr:col>5</xdr:col>
                    <xdr:colOff>238125</xdr:colOff>
                    <xdr:row>3</xdr:row>
                    <xdr:rowOff>161925</xdr:rowOff>
                  </from>
                  <to>
                    <xdr:col>6</xdr:col>
                    <xdr:colOff>238125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Option Button 4">
              <controlPr defaultSize="0" autoFill="0" autoLine="0" autoPict="0">
                <anchor moveWithCells="1">
                  <from>
                    <xdr:col>6</xdr:col>
                    <xdr:colOff>180975</xdr:colOff>
                    <xdr:row>3</xdr:row>
                    <xdr:rowOff>161925</xdr:rowOff>
                  </from>
                  <to>
                    <xdr:col>7</xdr:col>
                    <xdr:colOff>171450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Option Button 5">
              <controlPr defaultSize="0" autoFill="0" autoLine="0" autoPict="0">
                <anchor moveWithCells="1">
                  <from>
                    <xdr:col>5</xdr:col>
                    <xdr:colOff>238125</xdr:colOff>
                    <xdr:row>4</xdr:row>
                    <xdr:rowOff>161925</xdr:rowOff>
                  </from>
                  <to>
                    <xdr:col>6</xdr:col>
                    <xdr:colOff>47625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9" name="Option Button 6">
              <controlPr defaultSize="0" autoFill="0" autoLine="0" autoPict="0">
                <anchor moveWithCells="1">
                  <from>
                    <xdr:col>6</xdr:col>
                    <xdr:colOff>180975</xdr:colOff>
                    <xdr:row>4</xdr:row>
                    <xdr:rowOff>161925</xdr:rowOff>
                  </from>
                  <to>
                    <xdr:col>6</xdr:col>
                    <xdr:colOff>638175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10" name="Option Button 7">
              <controlPr defaultSize="0" autoFill="0" autoLine="0" autoPict="0">
                <anchor moveWithCells="1">
                  <from>
                    <xdr:col>7</xdr:col>
                    <xdr:colOff>95250</xdr:colOff>
                    <xdr:row>4</xdr:row>
                    <xdr:rowOff>161925</xdr:rowOff>
                  </from>
                  <to>
                    <xdr:col>7</xdr:col>
                    <xdr:colOff>561975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1" name="Option Button 8">
              <controlPr defaultSize="0" autoFill="0" autoLine="0" autoPict="0">
                <anchor moveWithCells="1">
                  <from>
                    <xdr:col>8</xdr:col>
                    <xdr:colOff>47625</xdr:colOff>
                    <xdr:row>4</xdr:row>
                    <xdr:rowOff>161925</xdr:rowOff>
                  </from>
                  <to>
                    <xdr:col>8</xdr:col>
                    <xdr:colOff>504825</xdr:colOff>
                    <xdr:row>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8" r:id="rId12" name="Group Box 42">
              <controlPr defaultSize="0" autoFill="0" autoPict="0">
                <anchor moveWithCells="1">
                  <from>
                    <xdr:col>3</xdr:col>
                    <xdr:colOff>0</xdr:colOff>
                    <xdr:row>7</xdr:row>
                    <xdr:rowOff>95250</xdr:rowOff>
                  </from>
                  <to>
                    <xdr:col>9</xdr:col>
                    <xdr:colOff>9525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59" r:id="rId13" name="Drop Down 43">
              <controlPr defaultSize="0" autoLine="0" autoPict="0">
                <anchor moveWithCells="1">
                  <from>
                    <xdr:col>3</xdr:col>
                    <xdr:colOff>114300</xdr:colOff>
                    <xdr:row>8</xdr:row>
                    <xdr:rowOff>161925</xdr:rowOff>
                  </from>
                  <to>
                    <xdr:col>5</xdr:col>
                    <xdr:colOff>104775</xdr:colOff>
                    <xdr:row>9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0" r:id="rId14" name="Option Button 44">
              <controlPr defaultSize="0" autoFill="0" autoLine="0" autoPict="0">
                <anchor moveWithCells="1">
                  <from>
                    <xdr:col>5</xdr:col>
                    <xdr:colOff>228600</xdr:colOff>
                    <xdr:row>8</xdr:row>
                    <xdr:rowOff>171450</xdr:rowOff>
                  </from>
                  <to>
                    <xdr:col>6</xdr:col>
                    <xdr:colOff>228600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1" r:id="rId15" name="Option Button 45">
              <controlPr defaultSize="0" autoFill="0" autoLine="0" autoPict="0">
                <anchor moveWithCells="1">
                  <from>
                    <xdr:col>6</xdr:col>
                    <xdr:colOff>171450</xdr:colOff>
                    <xdr:row>8</xdr:row>
                    <xdr:rowOff>171450</xdr:rowOff>
                  </from>
                  <to>
                    <xdr:col>7</xdr:col>
                    <xdr:colOff>161925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2" r:id="rId16" name="Option Button 46">
              <controlPr defaultSize="0" autoFill="0" autoLine="0" autoPict="0">
                <anchor moveWithCells="1">
                  <from>
                    <xdr:col>5</xdr:col>
                    <xdr:colOff>228600</xdr:colOff>
                    <xdr:row>9</xdr:row>
                    <xdr:rowOff>171450</xdr:rowOff>
                  </from>
                  <to>
                    <xdr:col>6</xdr:col>
                    <xdr:colOff>38100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3" r:id="rId17" name="Option Button 47">
              <controlPr defaultSize="0" autoFill="0" autoLine="0" autoPict="0">
                <anchor moveWithCells="1">
                  <from>
                    <xdr:col>6</xdr:col>
                    <xdr:colOff>171450</xdr:colOff>
                    <xdr:row>9</xdr:row>
                    <xdr:rowOff>171450</xdr:rowOff>
                  </from>
                  <to>
                    <xdr:col>6</xdr:col>
                    <xdr:colOff>628650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4" r:id="rId18" name="Option Button 48">
              <controlPr defaultSize="0" autoFill="0" autoLine="0" autoPict="0">
                <anchor moveWithCells="1">
                  <from>
                    <xdr:col>7</xdr:col>
                    <xdr:colOff>85725</xdr:colOff>
                    <xdr:row>9</xdr:row>
                    <xdr:rowOff>171450</xdr:rowOff>
                  </from>
                  <to>
                    <xdr:col>7</xdr:col>
                    <xdr:colOff>552450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5" r:id="rId19" name="Option Button 49">
              <controlPr defaultSize="0" autoFill="0" autoLine="0" autoPict="0">
                <anchor moveWithCells="1">
                  <from>
                    <xdr:col>8</xdr:col>
                    <xdr:colOff>38100</xdr:colOff>
                    <xdr:row>9</xdr:row>
                    <xdr:rowOff>171450</xdr:rowOff>
                  </from>
                  <to>
                    <xdr:col>8</xdr:col>
                    <xdr:colOff>495300</xdr:colOff>
                    <xdr:row>10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6" r:id="rId20" name="Group Box 50">
              <controlPr defaultSize="0" autoFill="0" autoPict="0">
                <anchor moveWithCells="1">
                  <from>
                    <xdr:col>2</xdr:col>
                    <xdr:colOff>104775</xdr:colOff>
                    <xdr:row>33</xdr:row>
                    <xdr:rowOff>0</xdr:rowOff>
                  </from>
                  <to>
                    <xdr:col>9</xdr:col>
                    <xdr:colOff>0</xdr:colOff>
                    <xdr:row>36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7" r:id="rId21" name="Drop Down 51">
              <controlPr defaultSize="0" autoLine="0" autoPict="0">
                <anchor moveWithCells="1">
                  <from>
                    <xdr:col>3</xdr:col>
                    <xdr:colOff>104775</xdr:colOff>
                    <xdr:row>33</xdr:row>
                    <xdr:rowOff>161925</xdr:rowOff>
                  </from>
                  <to>
                    <xdr:col>5</xdr:col>
                    <xdr:colOff>47625</xdr:colOff>
                    <xdr:row>34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8" r:id="rId22" name="Option Button 52">
              <controlPr defaultSize="0" autoFill="0" autoLine="0" autoPict="0">
                <anchor moveWithCells="1">
                  <from>
                    <xdr:col>5</xdr:col>
                    <xdr:colOff>171450</xdr:colOff>
                    <xdr:row>33</xdr:row>
                    <xdr:rowOff>171450</xdr:rowOff>
                  </from>
                  <to>
                    <xdr:col>6</xdr:col>
                    <xdr:colOff>142875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69" r:id="rId23" name="Option Button 53">
              <controlPr defaultSize="0" autoFill="0" autoLine="0" autoPict="0">
                <anchor moveWithCells="1">
                  <from>
                    <xdr:col>6</xdr:col>
                    <xdr:colOff>85725</xdr:colOff>
                    <xdr:row>33</xdr:row>
                    <xdr:rowOff>171450</xdr:rowOff>
                  </from>
                  <to>
                    <xdr:col>7</xdr:col>
                    <xdr:colOff>57150</xdr:colOff>
                    <xdr:row>34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0" r:id="rId24" name="Option Button 54">
              <controlPr defaultSize="0" autoFill="0" autoLine="0" autoPict="0">
                <anchor moveWithCells="1">
                  <from>
                    <xdr:col>5</xdr:col>
                    <xdr:colOff>171450</xdr:colOff>
                    <xdr:row>34</xdr:row>
                    <xdr:rowOff>171450</xdr:rowOff>
                  </from>
                  <to>
                    <xdr:col>5</xdr:col>
                    <xdr:colOff>619125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1" r:id="rId25" name="Option Button 55">
              <controlPr defaultSize="0" autoFill="0" autoLine="0" autoPict="0">
                <anchor moveWithCells="1">
                  <from>
                    <xdr:col>6</xdr:col>
                    <xdr:colOff>85725</xdr:colOff>
                    <xdr:row>34</xdr:row>
                    <xdr:rowOff>171450</xdr:rowOff>
                  </from>
                  <to>
                    <xdr:col>6</xdr:col>
                    <xdr:colOff>533400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2" r:id="rId26" name="Option Button 56">
              <controlPr defaultSize="0" autoFill="0" autoLine="0" autoPict="0">
                <anchor moveWithCells="1">
                  <from>
                    <xdr:col>6</xdr:col>
                    <xdr:colOff>638175</xdr:colOff>
                    <xdr:row>34</xdr:row>
                    <xdr:rowOff>171450</xdr:rowOff>
                  </from>
                  <to>
                    <xdr:col>7</xdr:col>
                    <xdr:colOff>428625</xdr:colOff>
                    <xdr:row>35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73" r:id="rId27" name="Option Button 57">
              <controlPr defaultSize="0" autoFill="0" autoLine="0" autoPict="0">
                <anchor moveWithCells="1">
                  <from>
                    <xdr:col>7</xdr:col>
                    <xdr:colOff>561975</xdr:colOff>
                    <xdr:row>34</xdr:row>
                    <xdr:rowOff>171450</xdr:rowOff>
                  </from>
                  <to>
                    <xdr:col>8</xdr:col>
                    <xdr:colOff>352425</xdr:colOff>
                    <xdr:row>35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4"/>
  <sheetViews>
    <sheetView showGridLines="0" showRowColHeaders="0" topLeftCell="B1" zoomScale="85" zoomScaleNormal="85" workbookViewId="0">
      <pane ySplit="7" topLeftCell="A8" activePane="bottomLeft" state="frozen"/>
      <selection activeCell="B1" sqref="B1"/>
      <selection pane="bottomLeft" activeCell="B1" sqref="B1"/>
    </sheetView>
  </sheetViews>
  <sheetFormatPr defaultColWidth="0" defaultRowHeight="17.45" customHeight="1" zeroHeight="1"/>
  <cols>
    <col min="1" max="1" width="1.5703125" hidden="1" customWidth="1"/>
    <col min="2" max="2" width="1.5703125" customWidth="1"/>
    <col min="3" max="3" width="5.5703125" style="78" customWidth="1"/>
    <col min="4" max="4" width="5.5703125" customWidth="1"/>
    <col min="5" max="16" width="9.7109375" bestFit="1" customWidth="1"/>
    <col min="17" max="17" width="1" customWidth="1"/>
    <col min="18" max="30" width="9" customWidth="1"/>
    <col min="31" max="16384" width="9" hidden="1"/>
  </cols>
  <sheetData>
    <row r="1" spans="1:29" ht="5.25" customHeight="1"/>
    <row r="2" spans="1:29" ht="34.5" customHeight="1">
      <c r="C2" s="79" t="s">
        <v>850</v>
      </c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</row>
    <row r="3" spans="1:29" ht="9.75" customHeight="1"/>
    <row r="4" spans="1:29" ht="15">
      <c r="C4" s="80"/>
      <c r="D4" s="55"/>
      <c r="E4" s="55"/>
      <c r="F4" s="55"/>
      <c r="G4" s="55"/>
      <c r="H4" s="55"/>
      <c r="I4" s="55"/>
    </row>
    <row r="5" spans="1:29" ht="15">
      <c r="C5" s="80"/>
      <c r="D5" s="55"/>
      <c r="E5" s="55"/>
      <c r="F5" s="55"/>
      <c r="G5" s="55"/>
      <c r="H5" s="55"/>
      <c r="I5" s="55"/>
    </row>
    <row r="6" spans="1:29" ht="15">
      <c r="C6" s="80"/>
      <c r="D6" s="55"/>
      <c r="E6" s="55"/>
      <c r="F6" s="55"/>
      <c r="G6" s="55"/>
      <c r="H6" s="55"/>
      <c r="I6" s="55"/>
    </row>
    <row r="7" spans="1:29" ht="7.5" customHeight="1"/>
    <row r="8" spans="1:29" ht="7.5" customHeight="1" thickBot="1"/>
    <row r="9" spans="1:29" ht="7.5" hidden="1" customHeight="1">
      <c r="E9">
        <v>1</v>
      </c>
      <c r="F9">
        <v>2</v>
      </c>
      <c r="G9">
        <v>3</v>
      </c>
      <c r="H9">
        <v>4</v>
      </c>
      <c r="I9">
        <v>5</v>
      </c>
      <c r="J9">
        <v>6</v>
      </c>
      <c r="K9">
        <v>7</v>
      </c>
      <c r="L9">
        <v>8</v>
      </c>
      <c r="M9">
        <v>9</v>
      </c>
      <c r="N9">
        <v>10</v>
      </c>
      <c r="O9">
        <v>11</v>
      </c>
      <c r="P9">
        <v>12</v>
      </c>
    </row>
    <row r="10" spans="1:29" ht="15.75" hidden="1" thickBot="1">
      <c r="E10" s="41" cm="1">
        <f t="array" ref="E10">INDEX( 지표물_data!$B$7:$S$256, E$9, 지표물_data!$B$3*2-1)</f>
        <v>45523</v>
      </c>
      <c r="F10" s="41" cm="1">
        <f t="array" ref="F10">INDEX( 지표물_data!$B$7:$S$256, F$9, 지표물_data!$B$3*2-1)</f>
        <v>45520</v>
      </c>
      <c r="G10" s="41" cm="1">
        <f t="array" ref="G10">INDEX( 지표물_data!$B$7:$S$256, G$9, 지표물_data!$B$3*2-1)</f>
        <v>45518</v>
      </c>
      <c r="H10" s="41" cm="1">
        <f t="array" ref="H10">INDEX( 지표물_data!$B$7:$S$256, H$9, 지표물_data!$B$3*2-1)</f>
        <v>45517</v>
      </c>
      <c r="I10" s="41" cm="1">
        <f t="array" ref="I10">INDEX( 지표물_data!$B$7:$S$256, I$9, 지표물_data!$B$3*2-1)</f>
        <v>45516</v>
      </c>
      <c r="J10" s="41" cm="1">
        <f t="array" ref="J10">INDEX( 지표물_data!$B$7:$S$256, J$9, 지표물_data!$B$3*2-1)</f>
        <v>45513</v>
      </c>
      <c r="K10" s="41" cm="1">
        <f t="array" ref="K10">INDEX( 지표물_data!$B$7:$S$256, K$9, 지표물_data!$B$3*2-1)</f>
        <v>45512</v>
      </c>
      <c r="L10" s="41" cm="1">
        <f t="array" ref="L10">INDEX( 지표물_data!$B$7:$S$256, L$9, 지표물_data!$B$3*2-1)</f>
        <v>45511</v>
      </c>
      <c r="M10" s="41" cm="1">
        <f t="array" ref="M10">INDEX( 지표물_data!$B$7:$S$256, M$9, 지표물_data!$B$3*2-1)</f>
        <v>45510</v>
      </c>
      <c r="N10" s="41" cm="1">
        <f t="array" ref="N10">INDEX( 지표물_data!$B$7:$S$256, N$9, 지표물_data!$B$3*2-1)</f>
        <v>45509</v>
      </c>
      <c r="O10" s="41" cm="1">
        <f t="array" ref="O10">INDEX( 지표물_data!$B$7:$S$256, O$9, 지표물_data!$B$3*2-1)</f>
        <v>45506</v>
      </c>
      <c r="P10" s="41" cm="1">
        <f t="array" ref="P10">INDEX( 지표물_data!$B$7:$S$256, P$9, 지표물_data!$B$3*2-1)</f>
        <v>45505</v>
      </c>
      <c r="R10" s="82">
        <f ca="1">지표물_data!$V$2</f>
        <v>27</v>
      </c>
      <c r="S10" s="82">
        <f ca="1">지표물_data!$V$2</f>
        <v>27</v>
      </c>
      <c r="T10" s="82">
        <f ca="1">지표물_data!$V$2</f>
        <v>27</v>
      </c>
      <c r="U10">
        <f ca="1">지표물_data!$W$2</f>
        <v>83</v>
      </c>
      <c r="V10">
        <f ca="1">지표물_data!$W$2</f>
        <v>83</v>
      </c>
      <c r="W10">
        <f ca="1">지표물_data!$W$2</f>
        <v>83</v>
      </c>
      <c r="X10">
        <f ca="1">지표물_data!$X$2</f>
        <v>167</v>
      </c>
      <c r="Y10">
        <f ca="1">지표물_data!$X$2</f>
        <v>167</v>
      </c>
      <c r="Z10">
        <f ca="1">지표물_data!$X$2</f>
        <v>167</v>
      </c>
      <c r="AA10">
        <f ca="1">지표물_data!$Y$2</f>
        <v>349</v>
      </c>
      <c r="AB10">
        <f ca="1">지표물_data!$Y$2</f>
        <v>349</v>
      </c>
      <c r="AC10">
        <f ca="1">지표물_data!$Y$2</f>
        <v>349</v>
      </c>
    </row>
    <row r="11" spans="1:29" s="20" customFormat="1" ht="13.5" customHeight="1">
      <c r="C11" s="90" t="s">
        <v>846</v>
      </c>
      <c r="D11" s="91"/>
      <c r="E11" s="35" t="str">
        <f>TEXT(E$10, "YYYY")</f>
        <v>2024</v>
      </c>
      <c r="F11" s="36" t="str">
        <f t="shared" ref="F11:P11" si="0">TEXT(F$10, "YYYY")</f>
        <v>2024</v>
      </c>
      <c r="G11" s="36" t="str">
        <f t="shared" si="0"/>
        <v>2024</v>
      </c>
      <c r="H11" s="36" t="str">
        <f t="shared" si="0"/>
        <v>2024</v>
      </c>
      <c r="I11" s="36" t="str">
        <f t="shared" si="0"/>
        <v>2024</v>
      </c>
      <c r="J11" s="36" t="str">
        <f t="shared" si="0"/>
        <v>2024</v>
      </c>
      <c r="K11" s="36" t="str">
        <f t="shared" si="0"/>
        <v>2024</v>
      </c>
      <c r="L11" s="36" t="str">
        <f t="shared" si="0"/>
        <v>2024</v>
      </c>
      <c r="M11" s="36" t="str">
        <f t="shared" si="0"/>
        <v>2024</v>
      </c>
      <c r="N11" s="36" t="str">
        <f t="shared" si="0"/>
        <v>2024</v>
      </c>
      <c r="O11" s="36" t="str">
        <f t="shared" si="0"/>
        <v>2024</v>
      </c>
      <c r="P11" s="37" t="str">
        <f t="shared" si="0"/>
        <v>2024</v>
      </c>
      <c r="R11" s="94" t="s">
        <v>839</v>
      </c>
      <c r="S11" s="95"/>
      <c r="T11" s="96"/>
      <c r="U11" s="94" t="s">
        <v>840</v>
      </c>
      <c r="V11" s="95"/>
      <c r="W11" s="96"/>
      <c r="X11" s="94" t="s">
        <v>842</v>
      </c>
      <c r="Y11" s="95"/>
      <c r="Z11" s="96"/>
      <c r="AA11" s="94" t="s">
        <v>841</v>
      </c>
      <c r="AB11" s="95"/>
      <c r="AC11" s="96"/>
    </row>
    <row r="12" spans="1:29" s="20" customFormat="1" ht="13.5" customHeight="1" thickBot="1">
      <c r="C12" s="92"/>
      <c r="D12" s="93"/>
      <c r="E12" s="38" t="str">
        <f>TEXT(E$10, "MM-DD")</f>
        <v>08-19</v>
      </c>
      <c r="F12" s="39" t="str">
        <f t="shared" ref="F12:P12" si="1">TEXT(F$10, "MM-DD")</f>
        <v>08-16</v>
      </c>
      <c r="G12" s="39" t="str">
        <f t="shared" si="1"/>
        <v>08-14</v>
      </c>
      <c r="H12" s="39" t="str">
        <f t="shared" si="1"/>
        <v>08-13</v>
      </c>
      <c r="I12" s="39" t="str">
        <f t="shared" si="1"/>
        <v>08-12</v>
      </c>
      <c r="J12" s="39" t="str">
        <f t="shared" si="1"/>
        <v>08-09</v>
      </c>
      <c r="K12" s="39" t="str">
        <f t="shared" si="1"/>
        <v>08-08</v>
      </c>
      <c r="L12" s="39" t="str">
        <f t="shared" si="1"/>
        <v>08-07</v>
      </c>
      <c r="M12" s="39" t="str">
        <f t="shared" si="1"/>
        <v>08-06</v>
      </c>
      <c r="N12" s="39" t="str">
        <f t="shared" si="1"/>
        <v>08-05</v>
      </c>
      <c r="O12" s="39" t="str">
        <f t="shared" si="1"/>
        <v>08-02</v>
      </c>
      <c r="P12" s="40" t="str">
        <f t="shared" si="1"/>
        <v>08-01</v>
      </c>
      <c r="Q12" s="27"/>
      <c r="R12" s="38" t="s">
        <v>843</v>
      </c>
      <c r="S12" s="39" t="s">
        <v>845</v>
      </c>
      <c r="T12" s="40" t="s">
        <v>844</v>
      </c>
      <c r="U12" s="38" t="s">
        <v>843</v>
      </c>
      <c r="V12" s="39" t="s">
        <v>845</v>
      </c>
      <c r="W12" s="40" t="s">
        <v>844</v>
      </c>
      <c r="X12" s="38" t="s">
        <v>843</v>
      </c>
      <c r="Y12" s="39" t="s">
        <v>845</v>
      </c>
      <c r="Z12" s="40" t="s">
        <v>844</v>
      </c>
      <c r="AA12" s="38" t="s">
        <v>843</v>
      </c>
      <c r="AB12" s="39" t="s">
        <v>845</v>
      </c>
      <c r="AC12" s="40" t="s">
        <v>844</v>
      </c>
    </row>
    <row r="13" spans="1:29" s="20" customFormat="1" ht="13.5" thickBot="1">
      <c r="C13" s="50" t="s">
        <v>838</v>
      </c>
      <c r="D13" s="44" t="s">
        <v>837</v>
      </c>
      <c r="E13" s="45" cm="1">
        <f t="array" ref="E13">IF( INDEX( 지표물_data!$B$6:$R$256, MATCH(E$10, 지표물_data!$B$6:$B$256, 0), 지표물_data!$D$3+1)=0, "", INDEX( 지표물_data!$B$6:$R$256, MATCH(E$10, 지표물_data!$B$6:$B$256, 0), 지표물_data!$D$3+1))</f>
        <v>3.0419999999999998</v>
      </c>
      <c r="F13" s="28" cm="1">
        <f t="array" ref="F13">IF( INDEX( 지표물_data!$B$6:$R$256, MATCH(F$10, 지표물_data!$B$6:$B$256, 0), 지표물_data!$D$3+1)=0, "", INDEX( 지표물_data!$B$6:$R$256, MATCH(F$10, 지표물_data!$B$6:$B$256, 0), 지표물_data!$D$3+1))</f>
        <v>3.04</v>
      </c>
      <c r="G13" s="28" cm="1">
        <f t="array" ref="G13">IF( INDEX( 지표물_data!$B$6:$R$256, MATCH(G$10, 지표물_data!$B$6:$B$256, 0), 지표물_data!$D$3+1)=0, "", INDEX( 지표물_data!$B$6:$R$256, MATCH(G$10, 지표물_data!$B$6:$B$256, 0), 지표물_data!$D$3+1))</f>
        <v>2.9929999999999999</v>
      </c>
      <c r="H13" s="28" cm="1">
        <f t="array" ref="H13">IF( INDEX( 지표물_data!$B$6:$R$256, MATCH(H$10, 지표물_data!$B$6:$B$256, 0), 지표물_data!$D$3+1)=0, "", INDEX( 지표물_data!$B$6:$R$256, MATCH(H$10, 지표물_data!$B$6:$B$256, 0), 지표물_data!$D$3+1))</f>
        <v>3.0219999999999998</v>
      </c>
      <c r="I13" s="28" cm="1">
        <f t="array" ref="I13">IF( INDEX( 지표물_data!$B$6:$R$256, MATCH(I$10, 지표물_data!$B$6:$B$256, 0), 지표물_data!$D$3+1)=0, "", INDEX( 지표물_data!$B$6:$R$256, MATCH(I$10, 지표물_data!$B$6:$B$256, 0), 지표물_data!$D$3+1))</f>
        <v>3.0369999999999999</v>
      </c>
      <c r="J13" s="28" cm="1">
        <f t="array" ref="J13">IF( INDEX( 지표물_data!$B$6:$R$256, MATCH(J$10, 지표물_data!$B$6:$B$256, 0), 지표물_data!$D$3+1)=0, "", INDEX( 지표물_data!$B$6:$R$256, MATCH(J$10, 지표물_data!$B$6:$B$256, 0), 지표물_data!$D$3+1))</f>
        <v>3.0339999999999998</v>
      </c>
      <c r="K13" s="28" cm="1">
        <f t="array" ref="K13">IF( INDEX( 지표물_data!$B$6:$R$256, MATCH(K$10, 지표물_data!$B$6:$B$256, 0), 지표물_data!$D$3+1)=0, "", INDEX( 지표물_data!$B$6:$R$256, MATCH(K$10, 지표물_data!$B$6:$B$256, 0), 지표물_data!$D$3+1))</f>
        <v>3.0150000000000001</v>
      </c>
      <c r="L13" s="28" cm="1">
        <f t="array" ref="L13">IF( INDEX( 지표물_data!$B$6:$R$256, MATCH(L$10, 지표물_data!$B$6:$B$256, 0), 지표물_data!$D$3+1)=0, "", INDEX( 지표물_data!$B$6:$R$256, MATCH(L$10, 지표물_data!$B$6:$B$256, 0), 지표물_data!$D$3+1))</f>
        <v>3.0329999999999999</v>
      </c>
      <c r="M13" s="28" cm="1">
        <f t="array" ref="M13">IF( INDEX( 지표물_data!$B$6:$R$256, MATCH(M$10, 지표물_data!$B$6:$B$256, 0), 지표물_data!$D$3+1)=0, "", INDEX( 지표물_data!$B$6:$R$256, MATCH(M$10, 지표물_data!$B$6:$B$256, 0), 지표물_data!$D$3+1))</f>
        <v>3.016</v>
      </c>
      <c r="N13" s="28" cm="1">
        <f t="array" ref="N13">IF( INDEX( 지표물_data!$B$6:$R$256, MATCH(N$10, 지표물_data!$B$6:$B$256, 0), 지표물_data!$D$3+1)=0, "", INDEX( 지표물_data!$B$6:$R$256, MATCH(N$10, 지표물_data!$B$6:$B$256, 0), 지표물_data!$D$3+1))</f>
        <v>2.9470000000000001</v>
      </c>
      <c r="O13" s="28" cm="1">
        <f t="array" ref="O13">IF( INDEX( 지표물_data!$B$6:$R$256, MATCH(O$10, 지표물_data!$B$6:$B$256, 0), 지표물_data!$D$3+1)=0, "", INDEX( 지표물_data!$B$6:$R$256, MATCH(O$10, 지표물_data!$B$6:$B$256, 0), 지표물_data!$D$3+1))</f>
        <v>3.0369999999999999</v>
      </c>
      <c r="P13" s="29" cm="1">
        <f t="array" ref="P13">IF( INDEX( 지표물_data!$B$6:$R$256, MATCH(P$10, 지표물_data!$B$6:$B$256, 0), 지표물_data!$D$3+1)=0, "", INDEX( 지표물_data!$B$6:$R$256, MATCH(P$10, 지표물_data!$B$6:$B$256, 0), 지표물_data!$D$3+1))</f>
        <v>3.07</v>
      </c>
      <c r="R13" s="45">
        <f ca="1">IFERROR( AVERAGE( OFFSET(지표물_data!$U$6, 지표물_data!$U$3, 지표물_data!$B$3, R$10+2) ), "")</f>
        <v>3.0549473684210526</v>
      </c>
      <c r="S13" s="28">
        <f ca="1">IFERROR( MAX( OFFSET(지표물_data!$U$6, 지표물_data!$U$3, 지표물_data!$B$3, R$10+2) ), "")</f>
        <v>3.153</v>
      </c>
      <c r="T13" s="29">
        <f ca="1">IFERROR( MIN( OFFSET(지표물_data!$U$6, 지표물_data!$U$3, 지표물_data!$B$3, R$10+2) ), "")</f>
        <v>2.9470000000000001</v>
      </c>
      <c r="U13" s="45">
        <f ca="1">IFERROR( AVERAGE( OFFSET(지표물_data!$U$6, 지표물_data!$U$3, 지표물_data!$B$3, U$10+2) ), "")</f>
        <v>3.1982944827586213</v>
      </c>
      <c r="V13" s="28">
        <f ca="1">IFERROR( MAX( OFFSET(지표물_data!$U$6, 지표물_data!$U$3, 지표물_data!$B$3, U$10+2) ), "")</f>
        <v>3.4687800000000002</v>
      </c>
      <c r="W13" s="29">
        <f ca="1">IFERROR( MIN( OFFSET(지표물_data!$U$6, 지표물_data!$U$3, 지표물_data!$B$3, U$10+2) ), "")</f>
        <v>2.9470000000000001</v>
      </c>
      <c r="X13" s="45">
        <f ca="1">IFERROR( AVERAGE( OFFSET(지표물_data!$U$6, 지표물_data!$U$3, 지표물_data!$B$3, X$10+2) ), "")</f>
        <v>3.3103098245614042</v>
      </c>
      <c r="Y13" s="28">
        <f ca="1">IFERROR( MAX( OFFSET(지표물_data!$U$6, 지표물_data!$U$3, 지표물_data!$B$3, X$10+2) ), "")</f>
        <v>3.53</v>
      </c>
      <c r="Z13" s="29">
        <f ca="1">IFERROR( MIN( OFFSET(지표물_data!$U$6, 지표물_data!$U$3, 지표물_data!$B$3, X$10+2) ), "")</f>
        <v>2.9470000000000001</v>
      </c>
      <c r="AA13" s="45">
        <f ca="1">IFERROR( AVERAGE( OFFSET(지표물_data!$U$6, 지표물_data!$U$3, 지표물_data!$B$3, AA$10+2) ), "")</f>
        <v>3.4695775862068983</v>
      </c>
      <c r="AB13" s="28">
        <f ca="1">IFERROR( MAX( OFFSET(지표물_data!$U$6, 지표물_data!$U$3, 지표물_data!$B$3, AA$10+2) ), "")</f>
        <v>4.0510000000000002</v>
      </c>
      <c r="AC13" s="29">
        <f ca="1">IFERROR( MIN( OFFSET(지표물_data!$U$6, 지표물_data!$U$3, 지표물_data!$B$3, AA$10+2) ), "")</f>
        <v>2.9470000000000001</v>
      </c>
    </row>
    <row r="14" spans="1:29" s="20" customFormat="1" ht="12.75">
      <c r="A14" s="20">
        <v>1</v>
      </c>
      <c r="C14" s="77" t="str" cm="1">
        <f t="array" ref="C14">INDEX(지표물_data!$A$27:$A$35, $A14)</f>
        <v>KR1035G00002</v>
      </c>
      <c r="D14" s="42"/>
      <c r="E14" s="46">
        <f ca="1">IFERROR( OFFSET(지표물_data!$B$6, MATCH(E$10, OFFSET( 지표물_data!$B$6, 0, $A14*2-2, 1000), 0) -1, $A14*2-1), "")</f>
        <v>3.0419999999999998</v>
      </c>
      <c r="F14" s="22">
        <f ca="1">IFERROR( OFFSET(지표물_data!$B$6, MATCH(F$10, OFFSET( 지표물_data!$B$6, 0, $A14*2-2, 1000), 0) -1, $A14*2-1), "")</f>
        <v>3.04</v>
      </c>
      <c r="G14" s="22">
        <f ca="1">IFERROR( OFFSET(지표물_data!$B$6, MATCH(G$10, OFFSET( 지표물_data!$B$6, 0, $A14*2-2, 1000), 0) -1, $A14*2-1), "")</f>
        <v>2.9929999999999999</v>
      </c>
      <c r="H14" s="22">
        <f ca="1">IFERROR( OFFSET(지표물_data!$B$6, MATCH(H$10, OFFSET( 지표물_data!$B$6, 0, $A14*2-2, 1000), 0) -1, $A14*2-1), "")</f>
        <v>3.0219999999999998</v>
      </c>
      <c r="I14" s="22">
        <f ca="1">IFERROR( OFFSET(지표물_data!$B$6, MATCH(I$10, OFFSET( 지표물_data!$B$6, 0, $A14*2-2, 1000), 0) -1, $A14*2-1), "")</f>
        <v>3.0369999999999999</v>
      </c>
      <c r="J14" s="22">
        <f ca="1">IFERROR( OFFSET(지표물_data!$B$6, MATCH(J$10, OFFSET( 지표물_data!$B$6, 0, $A14*2-2, 1000), 0) -1, $A14*2-1), "")</f>
        <v>3.0339999999999998</v>
      </c>
      <c r="K14" s="22">
        <f ca="1">IFERROR( OFFSET(지표물_data!$B$6, MATCH(K$10, OFFSET( 지표물_data!$B$6, 0, $A14*2-2, 1000), 0) -1, $A14*2-1), "")</f>
        <v>3.0150000000000001</v>
      </c>
      <c r="L14" s="22">
        <f ca="1">IFERROR( OFFSET(지표물_data!$B$6, MATCH(L$10, OFFSET( 지표물_data!$B$6, 0, $A14*2-2, 1000), 0) -1, $A14*2-1), "")</f>
        <v>3.0329999999999999</v>
      </c>
      <c r="M14" s="22">
        <f ca="1">IFERROR( OFFSET(지표물_data!$B$6, MATCH(M$10, OFFSET( 지표물_data!$B$6, 0, $A14*2-2, 1000), 0) -1, $A14*2-1), "")</f>
        <v>3.016</v>
      </c>
      <c r="N14" s="22">
        <f ca="1">IFERROR( OFFSET(지표물_data!$B$6, MATCH(N$10, OFFSET( 지표물_data!$B$6, 0, $A14*2-2, 1000), 0) -1, $A14*2-1), "")</f>
        <v>2.9470000000000001</v>
      </c>
      <c r="O14" s="22">
        <f ca="1">IFERROR( OFFSET(지표물_data!$B$6, MATCH(O$10, OFFSET( 지표물_data!$B$6, 0, $A14*2-2, 1000), 0) -1, $A14*2-1), "")</f>
        <v>3.0369999999999999</v>
      </c>
      <c r="P14" s="23">
        <f ca="1">IFERROR( OFFSET(지표물_data!$B$6, MATCH(P$10, OFFSET( 지표물_data!$B$6, 0, $A14*2-2, 1000), 0) -1, $A14*2-1), "")</f>
        <v>3.07</v>
      </c>
      <c r="R14" s="46">
        <f ca="1">IFERROR( AVERAGE( OFFSET(지표물_data!$U$6, 지표물_data!$U$3, 지표물!$A14, R$10+2) ), "")</f>
        <v>3.0549473684210526</v>
      </c>
      <c r="S14" s="22">
        <f ca="1">IFERROR( MAX( OFFSET(지표물_data!$U$6, 지표물_data!$U$3, 지표물!$A14, R$10+2) ), "")</f>
        <v>3.153</v>
      </c>
      <c r="T14" s="23">
        <f ca="1">IFERROR( MIN( OFFSET(지표물_data!$U$6, 지표물_data!$U$3, 지표물!$A14, R$10+2) ), "")</f>
        <v>2.9470000000000001</v>
      </c>
      <c r="U14" s="46">
        <f ca="1">IFERROR( AVERAGE( OFFSET(지표물_data!$U$6, 지표물_data!$U$3, 지표물!$A14, U$10+2) ), "")</f>
        <v>3.1982944827586213</v>
      </c>
      <c r="V14" s="22">
        <f ca="1">IFERROR( MAX( OFFSET(지표물_data!$U$6, 지표물_data!$U$3, 지표물!$A14, U$10+2) ), "")</f>
        <v>3.4687800000000002</v>
      </c>
      <c r="W14" s="23">
        <f ca="1">IFERROR( MIN( OFFSET(지표물_data!$U$6, 지표물_data!$U$3, 지표물!$A14, U$10+2) ), "")</f>
        <v>2.9470000000000001</v>
      </c>
      <c r="X14" s="46">
        <f ca="1">IFERROR( AVERAGE( OFFSET(지표물_data!$U$6, 지표물_data!$U$3, 지표물!$A14, X$10+2) ), "")</f>
        <v>3.3103098245614042</v>
      </c>
      <c r="Y14" s="22">
        <f ca="1">IFERROR( MAX( OFFSET(지표물_data!$U$6, 지표물_data!$U$3, 지표물!$A14, X$10+2) ), "")</f>
        <v>3.53</v>
      </c>
      <c r="Z14" s="23">
        <f ca="1">IFERROR( MIN( OFFSET(지표물_data!$U$6, 지표물_data!$U$3, 지표물!$A14, X$10+2) ), "")</f>
        <v>2.9470000000000001</v>
      </c>
      <c r="AA14" s="46">
        <f ca="1">IFERROR( AVERAGE( OFFSET(지표물_data!$U$6, 지표물_data!$U$3, 지표물!$A14, AA$10+2) ), "")</f>
        <v>3.4695775862068983</v>
      </c>
      <c r="AB14" s="22">
        <f ca="1">IFERROR( MAX( OFFSET(지표물_data!$U$6, 지표물_data!$U$3, 지표물!$A14, AA$10+2) ), "")</f>
        <v>4.0510000000000002</v>
      </c>
      <c r="AC14" s="23">
        <f ca="1">IFERROR( MIN( OFFSET(지표물_data!$U$6, 지표물_data!$U$3, 지표물!$A14, AA$10+2) ), "")</f>
        <v>2.9470000000000001</v>
      </c>
    </row>
    <row r="15" spans="1:29" s="20" customFormat="1" ht="13.5" thickBot="1">
      <c r="C15" s="88" t="s">
        <v>836</v>
      </c>
      <c r="D15" s="89"/>
      <c r="E15" s="56">
        <f ca="1">IFERROR( (E$13-E14)*100, "")</f>
        <v>0</v>
      </c>
      <c r="F15" s="30">
        <f t="shared" ref="F15:P15" ca="1" si="2">IFERROR( (F$13-F14)*100, "")</f>
        <v>0</v>
      </c>
      <c r="G15" s="30">
        <f t="shared" ca="1" si="2"/>
        <v>0</v>
      </c>
      <c r="H15" s="30">
        <f t="shared" ca="1" si="2"/>
        <v>0</v>
      </c>
      <c r="I15" s="30">
        <f t="shared" ca="1" si="2"/>
        <v>0</v>
      </c>
      <c r="J15" s="30">
        <f t="shared" ca="1" si="2"/>
        <v>0</v>
      </c>
      <c r="K15" s="30">
        <f t="shared" ca="1" si="2"/>
        <v>0</v>
      </c>
      <c r="L15" s="30">
        <f t="shared" ca="1" si="2"/>
        <v>0</v>
      </c>
      <c r="M15" s="30">
        <f t="shared" ca="1" si="2"/>
        <v>0</v>
      </c>
      <c r="N15" s="30">
        <f t="shared" ca="1" si="2"/>
        <v>0</v>
      </c>
      <c r="O15" s="30">
        <f t="shared" ca="1" si="2"/>
        <v>0</v>
      </c>
      <c r="P15" s="31">
        <f t="shared" ca="1" si="2"/>
        <v>0</v>
      </c>
      <c r="R15" s="47">
        <f ca="1">IFERROR( (R$13-R14)*100, "")</f>
        <v>0</v>
      </c>
      <c r="S15" s="30">
        <f t="shared" ref="S15:AC15" ca="1" si="3">IFERROR( (S$13-S14)*100, "")</f>
        <v>0</v>
      </c>
      <c r="T15" s="31">
        <f t="shared" ca="1" si="3"/>
        <v>0</v>
      </c>
      <c r="U15" s="47">
        <f t="shared" ca="1" si="3"/>
        <v>0</v>
      </c>
      <c r="V15" s="30">
        <f t="shared" ca="1" si="3"/>
        <v>0</v>
      </c>
      <c r="W15" s="31">
        <f t="shared" ca="1" si="3"/>
        <v>0</v>
      </c>
      <c r="X15" s="47">
        <f t="shared" ca="1" si="3"/>
        <v>0</v>
      </c>
      <c r="Y15" s="30">
        <f t="shared" ca="1" si="3"/>
        <v>0</v>
      </c>
      <c r="Z15" s="31">
        <f t="shared" ca="1" si="3"/>
        <v>0</v>
      </c>
      <c r="AA15" s="47">
        <f t="shared" ca="1" si="3"/>
        <v>0</v>
      </c>
      <c r="AB15" s="30">
        <f t="shared" ca="1" si="3"/>
        <v>0</v>
      </c>
      <c r="AC15" s="31">
        <f t="shared" ca="1" si="3"/>
        <v>0</v>
      </c>
    </row>
    <row r="16" spans="1:29" s="20" customFormat="1" ht="12.75">
      <c r="A16" s="20">
        <v>2</v>
      </c>
      <c r="C16" s="77" t="str" cm="1">
        <f t="array" ref="C16">INDEX(지표물_data!$A$27:$A$35, $A16)</f>
        <v>KR1035G00003</v>
      </c>
      <c r="D16" s="43"/>
      <c r="E16" s="48">
        <f ca="1">IFERROR( OFFSET(지표물_data!$B$6, MATCH(E$10, OFFSET( 지표물_data!$B$6, 0, $A16*2-2, 1000), 0) -1, $A16*2-1), "")</f>
        <v>2.9249999999999998</v>
      </c>
      <c r="F16" s="25">
        <f ca="1">IFERROR( OFFSET(지표물_data!$B$6, MATCH(F$10, OFFSET( 지표물_data!$B$6, 0, $A16*2-2, 1000), 0) -1, $A16*2-1), "")</f>
        <v>2.9220000000000002</v>
      </c>
      <c r="G16" s="25">
        <f ca="1">IFERROR( OFFSET(지표물_data!$B$6, MATCH(G$10, OFFSET( 지표물_data!$B$6, 0, $A16*2-2, 1000), 0) -1, $A16*2-1), "")</f>
        <v>2.887</v>
      </c>
      <c r="H16" s="25">
        <f ca="1">IFERROR( OFFSET(지표물_data!$B$6, MATCH(H$10, OFFSET( 지표물_data!$B$6, 0, $A16*2-2, 1000), 0) -1, $A16*2-1), "")</f>
        <v>2.915</v>
      </c>
      <c r="I16" s="25">
        <f ca="1">IFERROR( OFFSET(지표물_data!$B$6, MATCH(I$10, OFFSET( 지표물_data!$B$6, 0, $A16*2-2, 1000), 0) -1, $A16*2-1), "")</f>
        <v>2.9449999999999998</v>
      </c>
      <c r="J16" s="25">
        <f ca="1">IFERROR( OFFSET(지표물_data!$B$6, MATCH(J$10, OFFSET( 지표물_data!$B$6, 0, $A16*2-2, 1000), 0) -1, $A16*2-1), "")</f>
        <v>2.9420000000000002</v>
      </c>
      <c r="K16" s="25">
        <f ca="1">IFERROR( OFFSET(지표물_data!$B$6, MATCH(K$10, OFFSET( 지표물_data!$B$6, 0, $A16*2-2, 1000), 0) -1, $A16*2-1), "")</f>
        <v>2.91</v>
      </c>
      <c r="L16" s="25">
        <f ca="1">IFERROR( OFFSET(지표물_data!$B$6, MATCH(L$10, OFFSET( 지표물_data!$B$6, 0, $A16*2-2, 1000), 0) -1, $A16*2-1), "")</f>
        <v>2.8149999999999999</v>
      </c>
      <c r="M16" s="25">
        <f ca="1">IFERROR( OFFSET(지표물_data!$B$6, MATCH(M$10, OFFSET( 지표물_data!$B$6, 0, $A16*2-2, 1000), 0) -1, $A16*2-1), "")</f>
        <v>2.9369999999999998</v>
      </c>
      <c r="N16" s="25">
        <f ca="1">IFERROR( OFFSET(지표물_data!$B$6, MATCH(N$10, OFFSET( 지표물_data!$B$6, 0, $A16*2-2, 1000), 0) -1, $A16*2-1), "")</f>
        <v>2.82</v>
      </c>
      <c r="O16" s="25">
        <f ca="1">IFERROR( OFFSET(지표물_data!$B$6, MATCH(O$10, OFFSET( 지표물_data!$B$6, 0, $A16*2-2, 1000), 0) -1, $A16*2-1), "")</f>
        <v>2.9369999999999998</v>
      </c>
      <c r="P16" s="26">
        <f ca="1">IFERROR( OFFSET(지표물_data!$B$6, MATCH(P$10, OFFSET( 지표물_data!$B$6, 0, $A16*2-2, 1000), 0) -1, $A16*2-1), "")</f>
        <v>2.972</v>
      </c>
      <c r="R16" s="48">
        <f ca="1">IFERROR( AVERAGE( OFFSET(지표물_data!$U$6, 지표물_data!$U$3, 지표물!$A16, R$10+2) ), "")</f>
        <v>2.9509621052631578</v>
      </c>
      <c r="S16" s="25">
        <f ca="1">IFERROR( MAX( OFFSET(지표물_data!$U$6, 지표물_data!$U$3, 지표물!$A16, R$10+2) ), "")</f>
        <v>3.0870000000000002</v>
      </c>
      <c r="T16" s="26">
        <f ca="1">IFERROR( MIN( OFFSET(지표물_data!$U$6, 지표물_data!$U$3, 지표물!$A16, R$10+2) ), "")</f>
        <v>2.8149999999999999</v>
      </c>
      <c r="U16" s="48">
        <f ca="1">IFERROR( AVERAGE( OFFSET(지표물_data!$U$6, 지표물_data!$U$3, 지표물!$A16, U$10+2) ), "")</f>
        <v>3.1321944827586199</v>
      </c>
      <c r="V16" s="25">
        <f ca="1">IFERROR( MAX( OFFSET(지표물_data!$U$6, 지표물_data!$U$3, 지표물!$A16, U$10+2) ), "")</f>
        <v>3.4529999999999998</v>
      </c>
      <c r="W16" s="26">
        <f ca="1">IFERROR( MIN( OFFSET(지표물_data!$U$6, 지표물_data!$U$3, 지표물!$A16, U$10+2) ), "")</f>
        <v>2.8149999999999999</v>
      </c>
      <c r="X16" s="48">
        <f ca="1">IFERROR( AVERAGE( OFFSET(지표물_data!$U$6, 지표물_data!$U$3, 지표물!$A16, X$10+2) ), "")</f>
        <v>3.2577705263157886</v>
      </c>
      <c r="Y16" s="25">
        <f ca="1">IFERROR( MAX( OFFSET(지표물_data!$U$6, 지표물_data!$U$3, 지표물!$A16, X$10+2) ), "")</f>
        <v>3.5419999999999998</v>
      </c>
      <c r="Z16" s="26">
        <f ca="1">IFERROR( MIN( OFFSET(지표물_data!$U$6, 지표물_data!$U$3, 지표물!$A16, X$10+2) ), "")</f>
        <v>2.8149999999999999</v>
      </c>
      <c r="AA16" s="48">
        <f ca="1">IFERROR( AVERAGE( OFFSET(지표물_data!$U$6, 지표물_data!$U$3, 지표물!$A16, AA$10+2) ), "")</f>
        <v>3.4312016309012887</v>
      </c>
      <c r="AB16" s="25">
        <f ca="1">IFERROR( MAX( OFFSET(지표물_data!$U$6, 지표물_data!$U$3, 지표물!$A16, AA$10+2) ), "")</f>
        <v>4.1120000000000001</v>
      </c>
      <c r="AC16" s="26">
        <f ca="1">IFERROR( MIN( OFFSET(지표물_data!$U$6, 지표물_data!$U$3, 지표물!$A16, AA$10+2) ), "")</f>
        <v>2.8149999999999999</v>
      </c>
    </row>
    <row r="17" spans="1:29" s="20" customFormat="1" ht="13.5" thickBot="1">
      <c r="C17" s="88" t="s">
        <v>836</v>
      </c>
      <c r="D17" s="89"/>
      <c r="E17" s="47">
        <f t="shared" ref="E17:P17" ca="1" si="4">IFERROR( (E$13-E16)*100, "")</f>
        <v>11.7</v>
      </c>
      <c r="F17" s="30">
        <f t="shared" ca="1" si="4"/>
        <v>11.799999999999988</v>
      </c>
      <c r="G17" s="30">
        <f t="shared" ca="1" si="4"/>
        <v>10.599999999999987</v>
      </c>
      <c r="H17" s="30">
        <f t="shared" ca="1" si="4"/>
        <v>10.699999999999976</v>
      </c>
      <c r="I17" s="30">
        <f t="shared" ca="1" si="4"/>
        <v>9.2000000000000082</v>
      </c>
      <c r="J17" s="30">
        <f t="shared" ca="1" si="4"/>
        <v>9.1999999999999638</v>
      </c>
      <c r="K17" s="30">
        <f t="shared" ca="1" si="4"/>
        <v>10.499999999999998</v>
      </c>
      <c r="L17" s="30">
        <f t="shared" ca="1" si="4"/>
        <v>21.799999999999997</v>
      </c>
      <c r="M17" s="30">
        <f t="shared" ca="1" si="4"/>
        <v>7.9000000000000181</v>
      </c>
      <c r="N17" s="30">
        <f t="shared" ca="1" si="4"/>
        <v>12.700000000000022</v>
      </c>
      <c r="O17" s="30">
        <f t="shared" ca="1" si="4"/>
        <v>10.000000000000009</v>
      </c>
      <c r="P17" s="31">
        <f t="shared" ca="1" si="4"/>
        <v>9.7999999999999865</v>
      </c>
      <c r="R17" s="47">
        <f t="shared" ref="R17:AC17" ca="1" si="5">IFERROR( (R$13-R16)*100, "")</f>
        <v>10.39852631578948</v>
      </c>
      <c r="S17" s="30">
        <f t="shared" ca="1" si="5"/>
        <v>6.5999999999999837</v>
      </c>
      <c r="T17" s="31">
        <f t="shared" ca="1" si="5"/>
        <v>13.200000000000012</v>
      </c>
      <c r="U17" s="47">
        <f t="shared" ca="1" si="5"/>
        <v>6.610000000000138</v>
      </c>
      <c r="V17" s="30">
        <f t="shared" ca="1" si="5"/>
        <v>1.5780000000000349</v>
      </c>
      <c r="W17" s="31">
        <f t="shared" ca="1" si="5"/>
        <v>13.200000000000012</v>
      </c>
      <c r="X17" s="47">
        <f t="shared" ca="1" si="5"/>
        <v>5.2539298245615651</v>
      </c>
      <c r="Y17" s="30">
        <f t="shared" ca="1" si="5"/>
        <v>-1.2000000000000011</v>
      </c>
      <c r="Z17" s="31">
        <f t="shared" ca="1" si="5"/>
        <v>13.200000000000012</v>
      </c>
      <c r="AA17" s="47">
        <f t="shared" ca="1" si="5"/>
        <v>3.8375955305609555</v>
      </c>
      <c r="AB17" s="30">
        <f t="shared" ca="1" si="5"/>
        <v>-6.0999999999999943</v>
      </c>
      <c r="AC17" s="31">
        <f t="shared" ca="1" si="5"/>
        <v>13.200000000000012</v>
      </c>
    </row>
    <row r="18" spans="1:29" s="20" customFormat="1" ht="12.75">
      <c r="A18" s="20">
        <v>3</v>
      </c>
      <c r="C18" s="77" t="str" cm="1">
        <f t="array" ref="C18">INDEX(지표물_data!$A$27:$A$35, $A18)</f>
        <v>KR1035G00005</v>
      </c>
      <c r="D18" s="43"/>
      <c r="E18" s="48">
        <f ca="1">IFERROR( OFFSET(지표물_data!$B$6, MATCH(E$10, OFFSET( 지표물_data!$B$6, 0, $A18*2-2, 1000), 0) -1, $A18*2-1), "")</f>
        <v>2.9350000000000001</v>
      </c>
      <c r="F18" s="25">
        <f ca="1">IFERROR( OFFSET(지표물_data!$B$6, MATCH(F$10, OFFSET( 지표물_data!$B$6, 0, $A18*2-2, 1000), 0) -1, $A18*2-1), "")</f>
        <v>2.93</v>
      </c>
      <c r="G18" s="25">
        <f ca="1">IFERROR( OFFSET(지표물_data!$B$6, MATCH(G$10, OFFSET( 지표물_data!$B$6, 0, $A18*2-2, 1000), 0) -1, $A18*2-1), "")</f>
        <v>2.8969999999999998</v>
      </c>
      <c r="H18" s="25">
        <f ca="1">IFERROR( OFFSET(지표물_data!$B$6, MATCH(H$10, OFFSET( 지표물_data!$B$6, 0, $A18*2-2, 1000), 0) -1, $A18*2-1), "")</f>
        <v>2.9329999999999998</v>
      </c>
      <c r="I18" s="25">
        <f ca="1">IFERROR( OFFSET(지표물_data!$B$6, MATCH(I$10, OFFSET( 지표물_data!$B$6, 0, $A18*2-2, 1000), 0) -1, $A18*2-1), "")</f>
        <v>2.9569999999999999</v>
      </c>
      <c r="J18" s="25">
        <f ca="1">IFERROR( OFFSET(지표물_data!$B$6, MATCH(J$10, OFFSET( 지표물_data!$B$6, 0, $A18*2-2, 1000), 0) -1, $A18*2-1), "")</f>
        <v>2.95</v>
      </c>
      <c r="K18" s="25">
        <f ca="1">IFERROR( OFFSET(지표물_data!$B$6, MATCH(K$10, OFFSET( 지표물_data!$B$6, 0, $A18*2-2, 1000), 0) -1, $A18*2-1), "")</f>
        <v>2.93</v>
      </c>
      <c r="L18" s="25">
        <f ca="1">IFERROR( OFFSET(지표물_data!$B$6, MATCH(L$10, OFFSET( 지표물_data!$B$6, 0, $A18*2-2, 1000), 0) -1, $A18*2-1), "")</f>
        <v>2.9550000000000001</v>
      </c>
      <c r="M18" s="25">
        <f ca="1">IFERROR( OFFSET(지표물_data!$B$6, MATCH(M$10, OFFSET( 지표물_data!$B$6, 0, $A18*2-2, 1000), 0) -1, $A18*2-1), "")</f>
        <v>2.9550000000000001</v>
      </c>
      <c r="N18" s="25">
        <f ca="1">IFERROR( OFFSET(지표물_data!$B$6, MATCH(N$10, OFFSET( 지표물_data!$B$6, 0, $A18*2-2, 1000), 0) -1, $A18*2-1), "")</f>
        <v>2.855</v>
      </c>
      <c r="O18" s="25">
        <f ca="1">IFERROR( OFFSET(지표물_data!$B$6, MATCH(O$10, OFFSET( 지표물_data!$B$6, 0, $A18*2-2, 1000), 0) -1, $A18*2-1), "")</f>
        <v>2.94</v>
      </c>
      <c r="P18" s="26">
        <f ca="1">IFERROR( OFFSET(지표물_data!$B$6, MATCH(P$10, OFFSET( 지표물_data!$B$6, 0, $A18*2-2, 1000), 0) -1, $A18*2-1), "")</f>
        <v>2.9849999999999999</v>
      </c>
      <c r="R18" s="48">
        <f ca="1">IFERROR( AVERAGE( OFFSET(지표물_data!$U$6, 지표물_data!$U$3, 지표물!$A18, R$10+2) ), "")</f>
        <v>2.9828463157894745</v>
      </c>
      <c r="S18" s="25">
        <f ca="1">IFERROR( MAX( OFFSET(지표물_data!$U$6, 지표물_data!$U$3, 지표물!$A18, R$10+2) ), "")</f>
        <v>3.1120000000000001</v>
      </c>
      <c r="T18" s="26">
        <f ca="1">IFERROR( MIN( OFFSET(지표물_data!$U$6, 지표물_data!$U$3, 지표물!$A18, R$10+2) ), "")</f>
        <v>2.855</v>
      </c>
      <c r="U18" s="48">
        <f ca="1">IFERROR( AVERAGE( OFFSET(지표물_data!$U$6, 지표물_data!$U$3, 지표물!$A18, U$10+2) ), "")</f>
        <v>3.162035862068965</v>
      </c>
      <c r="V18" s="25">
        <f ca="1">IFERROR( MAX( OFFSET(지표물_data!$U$6, 지표물_data!$U$3, 지표물!$A18, U$10+2) ), "")</f>
        <v>3.5</v>
      </c>
      <c r="W18" s="26">
        <f ca="1">IFERROR( MIN( OFFSET(지표물_data!$U$6, 지표물_data!$U$3, 지표물!$A18, U$10+2) ), "")</f>
        <v>2.855</v>
      </c>
      <c r="X18" s="48">
        <f ca="1">IFERROR( AVERAGE( OFFSET(지표물_data!$U$6, 지표물_data!$U$3, 지표물!$A18, X$10+2) ), "")</f>
        <v>3.2943691228070171</v>
      </c>
      <c r="Y18" s="25">
        <f ca="1">IFERROR( MAX( OFFSET(지표물_data!$U$6, 지표물_data!$U$3, 지표물!$A18, X$10+2) ), "")</f>
        <v>3.625</v>
      </c>
      <c r="Z18" s="26">
        <f ca="1">IFERROR( MIN( OFFSET(지표물_data!$U$6, 지표물_data!$U$3, 지표물!$A18, X$10+2) ), "")</f>
        <v>2.855</v>
      </c>
      <c r="AA18" s="48">
        <f ca="1">IFERROR( AVERAGE( OFFSET(지표물_data!$U$6, 지표물_data!$U$3, 지표물!$A18, AA$10+2) ), "")</f>
        <v>3.4724682403433476</v>
      </c>
      <c r="AB18" s="25">
        <f ca="1">IFERROR( MAX( OFFSET(지표물_data!$U$6, 지표물_data!$U$3, 지표물!$A18, AA$10+2) ), "")</f>
        <v>4.242</v>
      </c>
      <c r="AC18" s="26">
        <f ca="1">IFERROR( MIN( OFFSET(지표물_data!$U$6, 지표물_data!$U$3, 지표물!$A18, AA$10+2) ), "")</f>
        <v>2.855</v>
      </c>
    </row>
    <row r="19" spans="1:29" s="20" customFormat="1" ht="13.5" thickBot="1">
      <c r="C19" s="88" t="s">
        <v>836</v>
      </c>
      <c r="D19" s="89"/>
      <c r="E19" s="47">
        <f t="shared" ref="E19:P19" ca="1" si="6">IFERROR( (E$13-E18)*100, "")</f>
        <v>10.699999999999976</v>
      </c>
      <c r="F19" s="30">
        <f t="shared" ca="1" si="6"/>
        <v>10.999999999999988</v>
      </c>
      <c r="G19" s="30">
        <f t="shared" ca="1" si="6"/>
        <v>9.6000000000000085</v>
      </c>
      <c r="H19" s="30">
        <f t="shared" ca="1" si="6"/>
        <v>8.8999999999999968</v>
      </c>
      <c r="I19" s="30">
        <f t="shared" ca="1" si="6"/>
        <v>8.0000000000000071</v>
      </c>
      <c r="J19" s="30">
        <f t="shared" ca="1" si="6"/>
        <v>8.3999999999999631</v>
      </c>
      <c r="K19" s="30">
        <f t="shared" ca="1" si="6"/>
        <v>8.4999999999999964</v>
      </c>
      <c r="L19" s="30">
        <f t="shared" ca="1" si="6"/>
        <v>7.7999999999999847</v>
      </c>
      <c r="M19" s="30">
        <f t="shared" ca="1" si="6"/>
        <v>6.0999999999999943</v>
      </c>
      <c r="N19" s="30">
        <f t="shared" ca="1" si="6"/>
        <v>9.2000000000000082</v>
      </c>
      <c r="O19" s="30">
        <f t="shared" ca="1" si="6"/>
        <v>9.6999999999999975</v>
      </c>
      <c r="P19" s="31">
        <f t="shared" ca="1" si="6"/>
        <v>8.4999999999999964</v>
      </c>
      <c r="R19" s="47">
        <f t="shared" ref="R19:AC19" ca="1" si="7">IFERROR( (R$13-R18)*100, "")</f>
        <v>7.2101052631578177</v>
      </c>
      <c r="S19" s="30">
        <f t="shared" ca="1" si="7"/>
        <v>4.0999999999999925</v>
      </c>
      <c r="T19" s="31">
        <f t="shared" ca="1" si="7"/>
        <v>9.2000000000000082</v>
      </c>
      <c r="U19" s="47">
        <f t="shared" ca="1" si="7"/>
        <v>3.625862068965624</v>
      </c>
      <c r="V19" s="30">
        <f t="shared" ca="1" si="7"/>
        <v>-3.1219999999999803</v>
      </c>
      <c r="W19" s="31">
        <f t="shared" ca="1" si="7"/>
        <v>9.2000000000000082</v>
      </c>
      <c r="X19" s="47">
        <f t="shared" ca="1" si="7"/>
        <v>1.594070175438711</v>
      </c>
      <c r="Y19" s="30">
        <f t="shared" ca="1" si="7"/>
        <v>-9.5000000000000195</v>
      </c>
      <c r="Z19" s="31">
        <f t="shared" ca="1" si="7"/>
        <v>9.2000000000000082</v>
      </c>
      <c r="AA19" s="47">
        <f t="shared" ca="1" si="7"/>
        <v>-0.28906541364492888</v>
      </c>
      <c r="AB19" s="30">
        <f t="shared" ca="1" si="7"/>
        <v>-19.099999999999984</v>
      </c>
      <c r="AC19" s="31">
        <f t="shared" ca="1" si="7"/>
        <v>9.2000000000000082</v>
      </c>
    </row>
    <row r="20" spans="1:29" s="20" customFormat="1" ht="12.75">
      <c r="A20" s="20">
        <v>4</v>
      </c>
      <c r="C20" s="77" t="str" cm="1">
        <f t="array" ref="C20">INDEX(지표물_data!$A$27:$A$35, $A20)</f>
        <v>KR1035G00010</v>
      </c>
      <c r="D20" s="43"/>
      <c r="E20" s="48">
        <f ca="1">IFERROR( OFFSET(지표물_data!$B$6, MATCH(E$10, OFFSET( 지표물_data!$B$6, 0, $A20*2-2, 1000), 0) -1, $A20*2-1), "")</f>
        <v>2.9870000000000001</v>
      </c>
      <c r="F20" s="25">
        <f ca="1">IFERROR( OFFSET(지표물_data!$B$6, MATCH(F$10, OFFSET( 지표물_data!$B$6, 0, $A20*2-2, 1000), 0) -1, $A20*2-1), "")</f>
        <v>2.9750000000000001</v>
      </c>
      <c r="G20" s="25">
        <f ca="1">IFERROR( OFFSET(지표물_data!$B$6, MATCH(G$10, OFFSET( 지표물_data!$B$6, 0, $A20*2-2, 1000), 0) -1, $A20*2-1), "")</f>
        <v>2.9420000000000002</v>
      </c>
      <c r="H20" s="25">
        <f ca="1">IFERROR( OFFSET(지표물_data!$B$6, MATCH(H$10, OFFSET( 지표물_data!$B$6, 0, $A20*2-2, 1000), 0) -1, $A20*2-1), "")</f>
        <v>2.9750000000000001</v>
      </c>
      <c r="I20" s="25">
        <f ca="1">IFERROR( OFFSET(지표물_data!$B$6, MATCH(I$10, OFFSET( 지표물_data!$B$6, 0, $A20*2-2, 1000), 0) -1, $A20*2-1), "")</f>
        <v>3.0049999999999999</v>
      </c>
      <c r="J20" s="25">
        <f ca="1">IFERROR( OFFSET(지표물_data!$B$6, MATCH(J$10, OFFSET( 지표물_data!$B$6, 0, $A20*2-2, 1000), 0) -1, $A20*2-1), "")</f>
        <v>3.012</v>
      </c>
      <c r="K20" s="25">
        <f ca="1">IFERROR( OFFSET(지표물_data!$B$6, MATCH(K$10, OFFSET( 지표물_data!$B$6, 0, $A20*2-2, 1000), 0) -1, $A20*2-1), "")</f>
        <v>2.992</v>
      </c>
      <c r="L20" s="25">
        <f ca="1">IFERROR( OFFSET(지표물_data!$B$6, MATCH(L$10, OFFSET( 지표물_data!$B$6, 0, $A20*2-2, 1000), 0) -1, $A20*2-1), "")</f>
        <v>3.01</v>
      </c>
      <c r="M20" s="25">
        <f ca="1">IFERROR( OFFSET(지표물_data!$B$6, MATCH(M$10, OFFSET( 지표물_data!$B$6, 0, $A20*2-2, 1000), 0) -1, $A20*2-1), "")</f>
        <v>3.01</v>
      </c>
      <c r="N20" s="25">
        <f ca="1">IFERROR( OFFSET(지표물_data!$B$6, MATCH(N$10, OFFSET( 지표물_data!$B$6, 0, $A20*2-2, 1000), 0) -1, $A20*2-1), "")</f>
        <v>2.895</v>
      </c>
      <c r="O20" s="25">
        <f ca="1">IFERROR( OFFSET(지표물_data!$B$6, MATCH(O$10, OFFSET( 지표물_data!$B$6, 0, $A20*2-2, 1000), 0) -1, $A20*2-1), "")</f>
        <v>3.1795200000000001</v>
      </c>
      <c r="P20" s="26">
        <f ca="1">IFERROR( OFFSET(지표물_data!$B$6, MATCH(P$10, OFFSET( 지표물_data!$B$6, 0, $A20*2-2, 1000), 0) -1, $A20*2-1), "")</f>
        <v>3.0049999999999999</v>
      </c>
      <c r="R20" s="48">
        <f ca="1">IFERROR( AVERAGE( OFFSET(지표물_data!$U$6, 지표물_data!$U$3, 지표물!$A20, R$10+2) ), "")</f>
        <v>3.0498952631578953</v>
      </c>
      <c r="S20" s="25">
        <f ca="1">IFERROR( MAX( OFFSET(지표물_data!$U$6, 지표물_data!$U$3, 지표물!$A20, R$10+2) ), "")</f>
        <v>3.1795200000000001</v>
      </c>
      <c r="T20" s="26">
        <f ca="1">IFERROR( MIN( OFFSET(지표물_data!$U$6, 지표물_data!$U$3, 지표물!$A20, R$10+2) ), "")</f>
        <v>2.895</v>
      </c>
      <c r="U20" s="48">
        <f ca="1">IFERROR( AVERAGE( OFFSET(지표물_data!$U$6, 지표물_data!$U$3, 지표물!$A20, U$10+2) ), "")</f>
        <v>3.2244312068965524</v>
      </c>
      <c r="V20" s="25">
        <f ca="1">IFERROR( MAX( OFFSET(지표물_data!$U$6, 지표물_data!$U$3, 지표물!$A20, U$10+2) ), "")</f>
        <v>3.58</v>
      </c>
      <c r="W20" s="26">
        <f ca="1">IFERROR( MIN( OFFSET(지표물_data!$U$6, 지표물_data!$U$3, 지표물!$A20, U$10+2) ), "")</f>
        <v>2.895</v>
      </c>
      <c r="X20" s="48">
        <f ca="1">IFERROR( AVERAGE( OFFSET(지표물_data!$U$6, 지표물_data!$U$3, 지표물!$A20, X$10+2) ), "")</f>
        <v>3.3550527192982469</v>
      </c>
      <c r="Y20" s="25">
        <f ca="1">IFERROR( MAX( OFFSET(지표물_data!$U$6, 지표물_data!$U$3, 지표물!$A20, X$10+2) ), "")</f>
        <v>3.71</v>
      </c>
      <c r="Z20" s="26">
        <f ca="1">IFERROR( MIN( OFFSET(지표물_data!$U$6, 지표물_data!$U$3, 지표물!$A20, X$10+2) ), "")</f>
        <v>2.895</v>
      </c>
      <c r="AA20" s="48">
        <f ca="1">IFERROR( AVERAGE( OFFSET(지표물_data!$U$6, 지표물_data!$U$3, 지표물!$A20, AA$10+2) ), "")</f>
        <v>3.5346043162393155</v>
      </c>
      <c r="AB20" s="25">
        <f ca="1">IFERROR( MAX( OFFSET(지표물_data!$U$6, 지표물_data!$U$3, 지표물!$A20, AA$10+2) ), "")</f>
        <v>4.3920000000000003</v>
      </c>
      <c r="AC20" s="26">
        <f ca="1">IFERROR( MIN( OFFSET(지표물_data!$U$6, 지표물_data!$U$3, 지표물!$A20, AA$10+2) ), "")</f>
        <v>2.895</v>
      </c>
    </row>
    <row r="21" spans="1:29" s="20" customFormat="1" ht="13.5" thickBot="1">
      <c r="C21" s="88" t="s">
        <v>836</v>
      </c>
      <c r="D21" s="89"/>
      <c r="E21" s="47">
        <f t="shared" ref="E21:P21" ca="1" si="8">IFERROR( (E$13-E20)*100, "")</f>
        <v>5.4999999999999716</v>
      </c>
      <c r="F21" s="30">
        <f t="shared" ca="1" si="8"/>
        <v>6.4999999999999947</v>
      </c>
      <c r="G21" s="30">
        <f t="shared" ca="1" si="8"/>
        <v>5.0999999999999712</v>
      </c>
      <c r="H21" s="30">
        <f t="shared" ca="1" si="8"/>
        <v>4.6999999999999709</v>
      </c>
      <c r="I21" s="30">
        <f t="shared" ca="1" si="8"/>
        <v>3.2000000000000028</v>
      </c>
      <c r="J21" s="30">
        <f t="shared" ca="1" si="8"/>
        <v>2.1999999999999797</v>
      </c>
      <c r="K21" s="30">
        <f t="shared" ca="1" si="8"/>
        <v>2.3000000000000131</v>
      </c>
      <c r="L21" s="30">
        <f t="shared" ca="1" si="8"/>
        <v>2.3000000000000131</v>
      </c>
      <c r="M21" s="30">
        <f t="shared" ca="1" si="8"/>
        <v>0.60000000000002274</v>
      </c>
      <c r="N21" s="30">
        <f t="shared" ca="1" si="8"/>
        <v>5.2000000000000046</v>
      </c>
      <c r="O21" s="30">
        <f t="shared" ca="1" si="8"/>
        <v>-14.25200000000002</v>
      </c>
      <c r="P21" s="31">
        <f t="shared" ca="1" si="8"/>
        <v>6.4999999999999947</v>
      </c>
      <c r="R21" s="47">
        <f t="shared" ref="R21:AC21" ca="1" si="9">IFERROR( (R$13-R20)*100, "")</f>
        <v>0.50521052631573582</v>
      </c>
      <c r="S21" s="30">
        <f t="shared" ca="1" si="9"/>
        <v>-2.6520000000000099</v>
      </c>
      <c r="T21" s="31">
        <f t="shared" ca="1" si="9"/>
        <v>5.2000000000000046</v>
      </c>
      <c r="U21" s="47">
        <f t="shared" ca="1" si="9"/>
        <v>-2.6136724137931111</v>
      </c>
      <c r="V21" s="30">
        <f t="shared" ca="1" si="9"/>
        <v>-11.121999999999987</v>
      </c>
      <c r="W21" s="31">
        <f t="shared" ca="1" si="9"/>
        <v>5.2000000000000046</v>
      </c>
      <c r="X21" s="47">
        <f t="shared" ca="1" si="9"/>
        <v>-4.4742894736842675</v>
      </c>
      <c r="Y21" s="30">
        <f t="shared" ca="1" si="9"/>
        <v>-18.000000000000014</v>
      </c>
      <c r="Z21" s="31">
        <f t="shared" ca="1" si="9"/>
        <v>5.2000000000000046</v>
      </c>
      <c r="AA21" s="47">
        <f t="shared" ca="1" si="9"/>
        <v>-6.5026730032417213</v>
      </c>
      <c r="AB21" s="30">
        <f t="shared" ca="1" si="9"/>
        <v>-34.100000000000023</v>
      </c>
      <c r="AC21" s="31">
        <f t="shared" ca="1" si="9"/>
        <v>5.2000000000000046</v>
      </c>
    </row>
    <row r="22" spans="1:29" s="20" customFormat="1" ht="12.75">
      <c r="A22" s="20">
        <v>5</v>
      </c>
      <c r="C22" s="77" t="str" cm="1">
        <f t="array" ref="C22">INDEX(지표물_data!$A$27:$A$35, $A22)</f>
        <v>KR1035G00020</v>
      </c>
      <c r="D22" s="43"/>
      <c r="E22" s="48">
        <f ca="1">IFERROR( OFFSET(지표물_data!$B$6, MATCH(E$10, OFFSET( 지표물_data!$B$6, 0, $A22*2-2, 1000), 0) -1, $A22*2-1), "")</f>
        <v>2.9670000000000001</v>
      </c>
      <c r="F22" s="25">
        <f ca="1">IFERROR( OFFSET(지표물_data!$B$6, MATCH(F$10, OFFSET( 지표물_data!$B$6, 0, $A22*2-2, 1000), 0) -1, $A22*2-1), "")</f>
        <v>2.9350000000000001</v>
      </c>
      <c r="G22" s="25">
        <f ca="1">IFERROR( OFFSET(지표물_data!$B$6, MATCH(G$10, OFFSET( 지표물_data!$B$6, 0, $A22*2-2, 1000), 0) -1, $A22*2-1), "")</f>
        <v>2.93</v>
      </c>
      <c r="H22" s="25">
        <f ca="1">IFERROR( OFFSET(지표물_data!$B$6, MATCH(H$10, OFFSET( 지표물_data!$B$6, 0, $A22*2-2, 1000), 0) -1, $A22*2-1), "")</f>
        <v>2.95</v>
      </c>
      <c r="I22" s="25">
        <f ca="1">IFERROR( OFFSET(지표물_data!$B$6, MATCH(I$10, OFFSET( 지표물_data!$B$6, 0, $A22*2-2, 1000), 0) -1, $A22*2-1), "")</f>
        <v>2.99</v>
      </c>
      <c r="J22" s="25">
        <f ca="1">IFERROR( OFFSET(지표물_data!$B$6, MATCH(J$10, OFFSET( 지표물_data!$B$6, 0, $A22*2-2, 1000), 0) -1, $A22*2-1), "")</f>
        <v>3.0019999999999998</v>
      </c>
      <c r="K22" s="25">
        <f ca="1">IFERROR( OFFSET(지표물_data!$B$6, MATCH(K$10, OFFSET( 지표물_data!$B$6, 0, $A22*2-2, 1000), 0) -1, $A22*2-1), "")</f>
        <v>3.1230000000000002</v>
      </c>
      <c r="L22" s="25">
        <f ca="1">IFERROR( OFFSET(지표물_data!$B$6, MATCH(L$10, OFFSET( 지표물_data!$B$6, 0, $A22*2-2, 1000), 0) -1, $A22*2-1), "")</f>
        <v>2.99</v>
      </c>
      <c r="M22" s="25">
        <f ca="1">IFERROR( OFFSET(지표물_data!$B$6, MATCH(M$10, OFFSET( 지표물_data!$B$6, 0, $A22*2-2, 1000), 0) -1, $A22*2-1), "")</f>
        <v>3</v>
      </c>
      <c r="N22" s="25">
        <f ca="1">IFERROR( OFFSET(지표물_data!$B$6, MATCH(N$10, OFFSET( 지표물_data!$B$6, 0, $A22*2-2, 1000), 0) -1, $A22*2-1), "")</f>
        <v>2.92</v>
      </c>
      <c r="O22" s="25">
        <f ca="1">IFERROR( OFFSET(지표물_data!$B$6, MATCH(O$10, OFFSET( 지표물_data!$B$6, 0, $A22*2-2, 1000), 0) -1, $A22*2-1), "")</f>
        <v>2.9620000000000002</v>
      </c>
      <c r="P22" s="26">
        <f ca="1">IFERROR( OFFSET(지표물_data!$B$6, MATCH(P$10, OFFSET( 지표물_data!$B$6, 0, $A22*2-2, 1000), 0) -1, $A22*2-1), "")</f>
        <v>3.0049999999999999</v>
      </c>
      <c r="R22" s="48">
        <f ca="1">IFERROR( AVERAGE( OFFSET(지표물_data!$U$6, 지표물_data!$U$3, 지표물!$A22, R$10+2) ), "")</f>
        <v>3.0182105263157895</v>
      </c>
      <c r="S22" s="25">
        <f ca="1">IFERROR( MAX( OFFSET(지표물_data!$U$6, 지표물_data!$U$3, 지표물!$A22, R$10+2) ), "")</f>
        <v>3.1230000000000002</v>
      </c>
      <c r="T22" s="26">
        <f ca="1">IFERROR( MIN( OFFSET(지표물_data!$U$6, 지표물_data!$U$3, 지표물!$A22, R$10+2) ), "")</f>
        <v>2.92</v>
      </c>
      <c r="U22" s="48">
        <f ca="1">IFERROR( AVERAGE( OFFSET(지표물_data!$U$6, 지표물_data!$U$3, 지표물!$A22, U$10+2) ), "")</f>
        <v>3.1856</v>
      </c>
      <c r="V22" s="25">
        <f ca="1">IFERROR( MAX( OFFSET(지표물_data!$U$6, 지표물_data!$U$3, 지표물!$A22, U$10+2) ), "")</f>
        <v>3.61</v>
      </c>
      <c r="W22" s="26">
        <f ca="1">IFERROR( MIN( OFFSET(지표물_data!$U$6, 지표물_data!$U$3, 지표물!$A22, U$10+2) ), "")</f>
        <v>2.92</v>
      </c>
      <c r="X22" s="48">
        <f ca="1">IFERROR( AVERAGE( OFFSET(지표물_data!$U$6, 지표물_data!$U$3, 지표물!$A22, X$10+2) ), "")</f>
        <v>3.309112280701755</v>
      </c>
      <c r="Y22" s="25">
        <f ca="1">IFERROR( MAX( OFFSET(지표물_data!$U$6, 지표물_data!$U$3, 지표물!$A22, X$10+2) ), "")</f>
        <v>3.62</v>
      </c>
      <c r="Z22" s="26">
        <f ca="1">IFERROR( MIN( OFFSET(지표물_data!$U$6, 지표물_data!$U$3, 지표물!$A22, X$10+2) ), "")</f>
        <v>2.92</v>
      </c>
      <c r="AA22" s="48">
        <f ca="1">IFERROR( AVERAGE( OFFSET(지표물_data!$U$6, 지표물_data!$U$3, 지표물!$A22, AA$10+2) ), "")</f>
        <v>3.4728697424892694</v>
      </c>
      <c r="AB22" s="25">
        <f ca="1">IFERROR( MAX( OFFSET(지표물_data!$U$6, 지표물_data!$U$3, 지표물!$A22, AA$10+2) ), "")</f>
        <v>4.34</v>
      </c>
      <c r="AC22" s="26">
        <f ca="1">IFERROR( MIN( OFFSET(지표물_data!$U$6, 지표물_data!$U$3, 지표물!$A22, AA$10+2) ), "")</f>
        <v>2.92</v>
      </c>
    </row>
    <row r="23" spans="1:29" s="20" customFormat="1" ht="13.5" thickBot="1">
      <c r="C23" s="88" t="s">
        <v>836</v>
      </c>
      <c r="D23" s="89"/>
      <c r="E23" s="47">
        <f t="shared" ref="E23:P23" ca="1" si="10">IFERROR( (E$13-E22)*100, "")</f>
        <v>7.4999999999999734</v>
      </c>
      <c r="F23" s="30">
        <f t="shared" ca="1" si="10"/>
        <v>10.499999999999998</v>
      </c>
      <c r="G23" s="30">
        <f t="shared" ca="1" si="10"/>
        <v>6.2999999999999723</v>
      </c>
      <c r="H23" s="30">
        <f t="shared" ca="1" si="10"/>
        <v>7.199999999999962</v>
      </c>
      <c r="I23" s="30">
        <f t="shared" ca="1" si="10"/>
        <v>4.6999999999999709</v>
      </c>
      <c r="J23" s="30">
        <f t="shared" ca="1" si="10"/>
        <v>3.2000000000000028</v>
      </c>
      <c r="K23" s="30">
        <f t="shared" ca="1" si="10"/>
        <v>-10.80000000000001</v>
      </c>
      <c r="L23" s="30">
        <f t="shared" ca="1" si="10"/>
        <v>4.2999999999999705</v>
      </c>
      <c r="M23" s="30">
        <f t="shared" ca="1" si="10"/>
        <v>1.6000000000000014</v>
      </c>
      <c r="N23" s="30">
        <f t="shared" ca="1" si="10"/>
        <v>2.7000000000000135</v>
      </c>
      <c r="O23" s="30">
        <f t="shared" ca="1" si="10"/>
        <v>7.4999999999999734</v>
      </c>
      <c r="P23" s="31">
        <f t="shared" ca="1" si="10"/>
        <v>6.4999999999999947</v>
      </c>
      <c r="R23" s="47">
        <f t="shared" ref="R23:AC23" ca="1" si="11">IFERROR( (R$13-R22)*100, "")</f>
        <v>3.6736842105263179</v>
      </c>
      <c r="S23" s="30">
        <f t="shared" ca="1" si="11"/>
        <v>2.9999999999999805</v>
      </c>
      <c r="T23" s="31">
        <f t="shared" ca="1" si="11"/>
        <v>2.7000000000000135</v>
      </c>
      <c r="U23" s="47">
        <f t="shared" ca="1" si="11"/>
        <v>1.2694482758621284</v>
      </c>
      <c r="V23" s="30">
        <f t="shared" ca="1" si="11"/>
        <v>-14.121999999999968</v>
      </c>
      <c r="W23" s="31">
        <f t="shared" ca="1" si="11"/>
        <v>2.7000000000000135</v>
      </c>
      <c r="X23" s="47">
        <f t="shared" ca="1" si="11"/>
        <v>0.11975438596492083</v>
      </c>
      <c r="Y23" s="30">
        <f t="shared" ca="1" si="11"/>
        <v>-9.0000000000000302</v>
      </c>
      <c r="Z23" s="31">
        <f t="shared" ca="1" si="11"/>
        <v>2.7000000000000135</v>
      </c>
      <c r="AA23" s="47">
        <f t="shared" ca="1" si="11"/>
        <v>-0.3292156282371117</v>
      </c>
      <c r="AB23" s="30">
        <f t="shared" ca="1" si="11"/>
        <v>-28.89999999999997</v>
      </c>
      <c r="AC23" s="31">
        <f t="shared" ca="1" si="11"/>
        <v>2.7000000000000135</v>
      </c>
    </row>
    <row r="24" spans="1:29" s="20" customFormat="1" ht="12.75">
      <c r="A24" s="20">
        <v>6</v>
      </c>
      <c r="C24" s="77" t="str" cm="1">
        <f t="array" ref="C24">INDEX(지표물_data!$A$27:$A$35, $A24)</f>
        <v>KR1035G00030</v>
      </c>
      <c r="D24" s="43"/>
      <c r="E24" s="48">
        <f ca="1">IFERROR( OFFSET(지표물_data!$B$6, MATCH(E$10, OFFSET( 지표물_data!$B$6, 0, $A24*2-2, 1000), 0) -1, $A24*2-1), "")</f>
        <v>2.8650000000000002</v>
      </c>
      <c r="F24" s="25">
        <f ca="1">IFERROR( OFFSET(지표물_data!$B$6, MATCH(F$10, OFFSET( 지표물_data!$B$6, 0, $A24*2-2, 1000), 0) -1, $A24*2-1), "")</f>
        <v>2.855</v>
      </c>
      <c r="G24" s="25">
        <f ca="1">IFERROR( OFFSET(지표물_data!$B$6, MATCH(G$10, OFFSET( 지표물_data!$B$6, 0, $A24*2-2, 1000), 0) -1, $A24*2-1), "")</f>
        <v>2.84</v>
      </c>
      <c r="H24" s="25">
        <f ca="1">IFERROR( OFFSET(지표물_data!$B$6, MATCH(H$10, OFFSET( 지표물_data!$B$6, 0, $A24*2-2, 1000), 0) -1, $A24*2-1), "")</f>
        <v>2.87</v>
      </c>
      <c r="I24" s="25">
        <f ca="1">IFERROR( OFFSET(지표물_data!$B$6, MATCH(I$10, OFFSET( 지표물_data!$B$6, 0, $A24*2-2, 1000), 0) -1, $A24*2-1), "")</f>
        <v>2.9</v>
      </c>
      <c r="J24" s="25">
        <f ca="1">IFERROR( OFFSET(지표물_data!$B$6, MATCH(J$10, OFFSET( 지표물_data!$B$6, 0, $A24*2-2, 1000), 0) -1, $A24*2-1), "")</f>
        <v>2.9119999999999999</v>
      </c>
      <c r="K24" s="25">
        <f ca="1">IFERROR( OFFSET(지표물_data!$B$6, MATCH(K$10, OFFSET( 지표물_data!$B$6, 0, $A24*2-2, 1000), 0) -1, $A24*2-1), "")</f>
        <v>2.895</v>
      </c>
      <c r="L24" s="25">
        <f ca="1">IFERROR( OFFSET(지표물_data!$B$6, MATCH(L$10, OFFSET( 지표물_data!$B$6, 0, $A24*2-2, 1000), 0) -1, $A24*2-1), "")</f>
        <v>2.92</v>
      </c>
      <c r="M24" s="25">
        <f ca="1">IFERROR( OFFSET(지표물_data!$B$6, MATCH(M$10, OFFSET( 지표물_data!$B$6, 0, $A24*2-2, 1000), 0) -1, $A24*2-1), "")</f>
        <v>2.8959999999999999</v>
      </c>
      <c r="N24" s="25">
        <f ca="1">IFERROR( OFFSET(지표물_data!$B$6, MATCH(N$10, OFFSET( 지표물_data!$B$6, 0, $A24*2-2, 1000), 0) -1, $A24*2-1), "")</f>
        <v>2.8050000000000002</v>
      </c>
      <c r="O24" s="25">
        <f ca="1">IFERROR( OFFSET(지표물_data!$B$6, MATCH(O$10, OFFSET( 지표물_data!$B$6, 0, $A24*2-2, 1000), 0) -1, $A24*2-1), "")</f>
        <v>2.8719999999999999</v>
      </c>
      <c r="P24" s="26">
        <f ca="1">IFERROR( OFFSET(지표물_data!$B$6, MATCH(P$10, OFFSET( 지표물_data!$B$6, 0, $A24*2-2, 1000), 0) -1, $A24*2-1), "")</f>
        <v>2.915</v>
      </c>
      <c r="R24" s="48">
        <f ca="1">IFERROR( AVERAGE( OFFSET(지표물_data!$U$6, 지표물_data!$U$3, 지표물!$A24, R$10+2) ), "")</f>
        <v>2.9264315789473683</v>
      </c>
      <c r="S24" s="25">
        <f ca="1">IFERROR( MAX( OFFSET(지표물_data!$U$6, 지표물_data!$U$3, 지표물!$A24, R$10+2) ), "")</f>
        <v>3.0592000000000001</v>
      </c>
      <c r="T24" s="26">
        <f ca="1">IFERROR( MIN( OFFSET(지표물_data!$U$6, 지표물_data!$U$3, 지표물!$A24, R$10+2) ), "")</f>
        <v>2.8050000000000002</v>
      </c>
      <c r="U24" s="48">
        <f ca="1">IFERROR( AVERAGE( OFFSET(지표물_data!$U$6, 지표물_data!$U$3, 지표물!$A24, U$10+2) ), "")</f>
        <v>3.1095896551724134</v>
      </c>
      <c r="V24" s="25">
        <f ca="1">IFERROR( MAX( OFFSET(지표물_data!$U$6, 지표물_data!$U$3, 지표물!$A24, U$10+2) ), "")</f>
        <v>3.43</v>
      </c>
      <c r="W24" s="26">
        <f ca="1">IFERROR( MIN( OFFSET(지표물_data!$U$6, 지표물_data!$U$3, 지표물!$A24, U$10+2) ), "")</f>
        <v>2.8050000000000002</v>
      </c>
      <c r="X24" s="48">
        <f ca="1">IFERROR( AVERAGE( OFFSET(지표물_data!$U$6, 지표물_data!$U$3, 지표물!$A24, X$10+2) ), "")</f>
        <v>3.2277028947368431</v>
      </c>
      <c r="Y24" s="25">
        <f ca="1">IFERROR( MAX( OFFSET(지표물_data!$U$6, 지표물_data!$U$3, 지표물!$A24, X$10+2) ), "")</f>
        <v>3.5470000000000002</v>
      </c>
      <c r="Z24" s="26">
        <f ca="1">IFERROR( MIN( OFFSET(지표물_data!$U$6, 지표물_data!$U$3, 지표물!$A24, X$10+2) ), "")</f>
        <v>2.8050000000000002</v>
      </c>
      <c r="AA24" s="48">
        <f ca="1">IFERROR( AVERAGE( OFFSET(지표물_data!$U$6, 지표물_data!$U$3, 지표물!$A24, AA$10+2) ), "")</f>
        <v>3.4075435042735029</v>
      </c>
      <c r="AB24" s="25">
        <f ca="1">IFERROR( MAX( OFFSET(지표물_data!$U$6, 지표물_data!$U$3, 지표물!$A24, AA$10+2) ), "")</f>
        <v>4.2969999999999997</v>
      </c>
      <c r="AC24" s="26">
        <f ca="1">IFERROR( MIN( OFFSET(지표물_data!$U$6, 지표물_data!$U$3, 지표물!$A24, AA$10+2) ), "")</f>
        <v>2.8050000000000002</v>
      </c>
    </row>
    <row r="25" spans="1:29" s="20" customFormat="1" ht="13.5" thickBot="1">
      <c r="C25" s="88" t="s">
        <v>836</v>
      </c>
      <c r="D25" s="89"/>
      <c r="E25" s="47">
        <f t="shared" ref="E25:P25" ca="1" si="12">IFERROR( (E$13-E24)*100, "")</f>
        <v>17.69999999999996</v>
      </c>
      <c r="F25" s="30">
        <f t="shared" ca="1" si="12"/>
        <v>18.500000000000007</v>
      </c>
      <c r="G25" s="30">
        <f t="shared" ca="1" si="12"/>
        <v>15.300000000000002</v>
      </c>
      <c r="H25" s="30">
        <f t="shared" ca="1" si="12"/>
        <v>15.199999999999969</v>
      </c>
      <c r="I25" s="30">
        <f t="shared" ca="1" si="12"/>
        <v>13.700000000000001</v>
      </c>
      <c r="J25" s="30">
        <f t="shared" ca="1" si="12"/>
        <v>12.199999999999989</v>
      </c>
      <c r="K25" s="30">
        <f t="shared" ca="1" si="12"/>
        <v>12.000000000000011</v>
      </c>
      <c r="L25" s="30">
        <f t="shared" ca="1" si="12"/>
        <v>11.299999999999999</v>
      </c>
      <c r="M25" s="30">
        <f t="shared" ca="1" si="12"/>
        <v>12.000000000000011</v>
      </c>
      <c r="N25" s="30">
        <f t="shared" ca="1" si="12"/>
        <v>14.19999999999999</v>
      </c>
      <c r="O25" s="30">
        <f t="shared" ca="1" si="12"/>
        <v>16.500000000000004</v>
      </c>
      <c r="P25" s="31">
        <f t="shared" ca="1" si="12"/>
        <v>15.49999999999998</v>
      </c>
      <c r="R25" s="47">
        <f t="shared" ref="R25:AC25" ca="1" si="13">IFERROR( (R$13-R24)*100, "")</f>
        <v>12.851578947368436</v>
      </c>
      <c r="S25" s="30">
        <f t="shared" ca="1" si="13"/>
        <v>9.3799999999999883</v>
      </c>
      <c r="T25" s="31">
        <f t="shared" ca="1" si="13"/>
        <v>14.19999999999999</v>
      </c>
      <c r="U25" s="47">
        <f t="shared" ca="1" si="13"/>
        <v>8.8704827586207902</v>
      </c>
      <c r="V25" s="30">
        <f t="shared" ca="1" si="13"/>
        <v>3.8780000000000037</v>
      </c>
      <c r="W25" s="31">
        <f t="shared" ca="1" si="13"/>
        <v>14.19999999999999</v>
      </c>
      <c r="X25" s="47">
        <f t="shared" ca="1" si="13"/>
        <v>8.2606929824561082</v>
      </c>
      <c r="Y25" s="30">
        <f t="shared" ca="1" si="13"/>
        <v>-1.7000000000000348</v>
      </c>
      <c r="Z25" s="31">
        <f t="shared" ca="1" si="13"/>
        <v>14.19999999999999</v>
      </c>
      <c r="AA25" s="47">
        <f t="shared" ca="1" si="13"/>
        <v>6.2034081933395324</v>
      </c>
      <c r="AB25" s="30">
        <f t="shared" ca="1" si="13"/>
        <v>-24.599999999999955</v>
      </c>
      <c r="AC25" s="31">
        <f t="shared" ca="1" si="13"/>
        <v>14.19999999999999</v>
      </c>
    </row>
    <row r="26" spans="1:29" s="20" customFormat="1" ht="12.75">
      <c r="A26" s="20">
        <v>7</v>
      </c>
      <c r="C26" s="77" t="str" cm="1">
        <f t="array" ref="C26">INDEX(지표물_data!$A$27:$A$35, $A26)</f>
        <v>KR1035G00050</v>
      </c>
      <c r="D26" s="43"/>
      <c r="E26" s="48">
        <f ca="1">IFERROR( OFFSET(지표물_data!$B$6, MATCH(E$10, OFFSET( 지표물_data!$B$6, 0, $A26*2-2, 1000), 0) -1, $A26*2-1), "")</f>
        <v>2.75</v>
      </c>
      <c r="F26" s="25">
        <f ca="1">IFERROR( OFFSET(지표물_data!$B$6, MATCH(F$10, OFFSET( 지표물_data!$B$6, 0, $A26*2-2, 1000), 0) -1, $A26*2-1), "")</f>
        <v>2.7650000000000001</v>
      </c>
      <c r="G26" s="25" t="str">
        <f ca="1">IFERROR( OFFSET(지표물_data!$B$6, MATCH(G$10, OFFSET( 지표물_data!$B$6, 0, $A26*2-2, 1000), 0) -1, $A26*2-1), "")</f>
        <v/>
      </c>
      <c r="H26" s="25" t="str">
        <f ca="1">IFERROR( OFFSET(지표물_data!$B$6, MATCH(H$10, OFFSET( 지표물_data!$B$6, 0, $A26*2-2, 1000), 0) -1, $A26*2-1), "")</f>
        <v/>
      </c>
      <c r="I26" s="25" t="str">
        <f ca="1">IFERROR( OFFSET(지표물_data!$B$6, MATCH(I$10, OFFSET( 지표물_data!$B$6, 0, $A26*2-2, 1000), 0) -1, $A26*2-1), "")</f>
        <v/>
      </c>
      <c r="J26" s="25" t="str">
        <f ca="1">IFERROR( OFFSET(지표물_data!$B$6, MATCH(J$10, OFFSET( 지표물_data!$B$6, 0, $A26*2-2, 1000), 0) -1, $A26*2-1), "")</f>
        <v/>
      </c>
      <c r="K26" s="25" t="str">
        <f ca="1">IFERROR( OFFSET(지표물_data!$B$6, MATCH(K$10, OFFSET( 지표물_data!$B$6, 0, $A26*2-2, 1000), 0) -1, $A26*2-1), "")</f>
        <v/>
      </c>
      <c r="L26" s="25" t="str">
        <f ca="1">IFERROR( OFFSET(지표물_data!$B$6, MATCH(L$10, OFFSET( 지표물_data!$B$6, 0, $A26*2-2, 1000), 0) -1, $A26*2-1), "")</f>
        <v/>
      </c>
      <c r="M26" s="25" t="str">
        <f ca="1">IFERROR( OFFSET(지표물_data!$B$6, MATCH(M$10, OFFSET( 지표물_data!$B$6, 0, $A26*2-2, 1000), 0) -1, $A26*2-1), "")</f>
        <v/>
      </c>
      <c r="N26" s="25" t="str">
        <f ca="1">IFERROR( OFFSET(지표물_data!$B$6, MATCH(N$10, OFFSET( 지표물_data!$B$6, 0, $A26*2-2, 1000), 0) -1, $A26*2-1), "")</f>
        <v/>
      </c>
      <c r="O26" s="25">
        <f ca="1">IFERROR( OFFSET(지표물_data!$B$6, MATCH(O$10, OFFSET( 지표물_data!$B$6, 0, $A26*2-2, 1000), 0) -1, $A26*2-1), "")</f>
        <v>2.8010000000000002</v>
      </c>
      <c r="P26" s="26" t="str">
        <f ca="1">IFERROR( OFFSET(지표물_data!$B$6, MATCH(P$10, OFFSET( 지표물_data!$B$6, 0, $A26*2-2, 1000), 0) -1, $A26*2-1), "")</f>
        <v/>
      </c>
      <c r="R26" s="48">
        <f ca="1">IFERROR( AVERAGE( OFFSET(지표물_data!$U$6, 지표물_data!$U$3, 지표물!$A26, R$10+2) ), "")</f>
        <v>2.8420560000000004</v>
      </c>
      <c r="S26" s="25">
        <f ca="1">IFERROR( MAX( OFFSET(지표물_data!$U$6, 지표물_data!$U$3, 지표물!$A26, R$10+2) ), "")</f>
        <v>2.91004</v>
      </c>
      <c r="T26" s="26">
        <f ca="1">IFERROR( MIN( OFFSET(지표물_data!$U$6, 지표물_data!$U$3, 지표물!$A26, R$10+2) ), "")</f>
        <v>2.7650000000000001</v>
      </c>
      <c r="U26" s="48">
        <f ca="1">IFERROR( AVERAGE( OFFSET(지표물_data!$U$6, 지표물_data!$U$3, 지표물!$A26, U$10+2) ), "")</f>
        <v>3.0833208333333331</v>
      </c>
      <c r="V26" s="25">
        <f ca="1">IFERROR( MAX( OFFSET(지표물_data!$U$6, 지표물_data!$U$3, 지표물!$A26, U$10+2) ), "")</f>
        <v>3.351</v>
      </c>
      <c r="W26" s="26">
        <f ca="1">IFERROR( MIN( OFFSET(지표물_data!$U$6, 지표물_data!$U$3, 지표물!$A26, U$10+2) ), "")</f>
        <v>2.7650000000000001</v>
      </c>
      <c r="X26" s="48">
        <f ca="1">IFERROR( AVERAGE( OFFSET(지표물_data!$U$6, 지표물_data!$U$3, 지표물!$A26, X$10+2) ), "")</f>
        <v>3.1881309523809516</v>
      </c>
      <c r="Y26" s="25">
        <f ca="1">IFERROR( MAX( OFFSET(지표물_data!$U$6, 지표물_data!$U$3, 지표물!$A26, X$10+2) ), "")</f>
        <v>3.4369999999999998</v>
      </c>
      <c r="Z26" s="26">
        <f ca="1">IFERROR( MIN( OFFSET(지표물_data!$U$6, 지표물_data!$U$3, 지표물!$A26, X$10+2) ), "")</f>
        <v>2.7650000000000001</v>
      </c>
      <c r="AA26" s="48">
        <f ca="1">IFERROR( AVERAGE( OFFSET(지표물_data!$U$6, 지표물_data!$U$3, 지표물!$A26, AA$10+2) ), "")</f>
        <v>3.389163736263737</v>
      </c>
      <c r="AB26" s="25">
        <f ca="1">IFERROR( MAX( OFFSET(지표물_data!$U$6, 지표물_data!$U$3, 지표물!$A26, AA$10+2) ), "")</f>
        <v>4.2169999999999996</v>
      </c>
      <c r="AC26" s="26">
        <f ca="1">IFERROR( MIN( OFFSET(지표물_data!$U$6, 지표물_data!$U$3, 지표물!$A26, AA$10+2) ), "")</f>
        <v>2.7650000000000001</v>
      </c>
    </row>
    <row r="27" spans="1:29" s="20" customFormat="1" ht="13.5" thickBot="1">
      <c r="C27" s="88" t="s">
        <v>836</v>
      </c>
      <c r="D27" s="89"/>
      <c r="E27" s="47">
        <f t="shared" ref="E27:P27" ca="1" si="14">IFERROR( (E$13-E26)*100, "")</f>
        <v>29.199999999999982</v>
      </c>
      <c r="F27" s="30">
        <f t="shared" ca="1" si="14"/>
        <v>27.499999999999993</v>
      </c>
      <c r="G27" s="30" t="str">
        <f t="shared" ca="1" si="14"/>
        <v/>
      </c>
      <c r="H27" s="30" t="str">
        <f t="shared" ca="1" si="14"/>
        <v/>
      </c>
      <c r="I27" s="30" t="str">
        <f t="shared" ca="1" si="14"/>
        <v/>
      </c>
      <c r="J27" s="30" t="str">
        <f t="shared" ca="1" si="14"/>
        <v/>
      </c>
      <c r="K27" s="30" t="str">
        <f t="shared" ca="1" si="14"/>
        <v/>
      </c>
      <c r="L27" s="30" t="str">
        <f t="shared" ca="1" si="14"/>
        <v/>
      </c>
      <c r="M27" s="30" t="str">
        <f t="shared" ca="1" si="14"/>
        <v/>
      </c>
      <c r="N27" s="30" t="str">
        <f t="shared" ca="1" si="14"/>
        <v/>
      </c>
      <c r="O27" s="30">
        <f t="shared" ca="1" si="14"/>
        <v>23.599999999999977</v>
      </c>
      <c r="P27" s="31" t="str">
        <f t="shared" ca="1" si="14"/>
        <v/>
      </c>
      <c r="R27" s="47">
        <f t="shared" ref="R27:AC27" ca="1" si="15">IFERROR( (R$13-R26)*100, "")</f>
        <v>21.289136842105229</v>
      </c>
      <c r="S27" s="30">
        <f t="shared" ca="1" si="15"/>
        <v>24.296000000000006</v>
      </c>
      <c r="T27" s="31">
        <f t="shared" ca="1" si="15"/>
        <v>18.199999999999996</v>
      </c>
      <c r="U27" s="47">
        <f t="shared" ca="1" si="15"/>
        <v>11.49736494252882</v>
      </c>
      <c r="V27" s="30">
        <f t="shared" ca="1" si="15"/>
        <v>11.778000000000022</v>
      </c>
      <c r="W27" s="31">
        <f t="shared" ca="1" si="15"/>
        <v>18.199999999999996</v>
      </c>
      <c r="X27" s="47">
        <f t="shared" ca="1" si="15"/>
        <v>12.217887218045265</v>
      </c>
      <c r="Y27" s="30">
        <f t="shared" ca="1" si="15"/>
        <v>9.2999999999999972</v>
      </c>
      <c r="Z27" s="31">
        <f t="shared" ca="1" si="15"/>
        <v>18.199999999999996</v>
      </c>
      <c r="AA27" s="47">
        <f t="shared" ca="1" si="15"/>
        <v>8.0413849943161253</v>
      </c>
      <c r="AB27" s="30">
        <f t="shared" ca="1" si="15"/>
        <v>-16.599999999999948</v>
      </c>
      <c r="AC27" s="31">
        <f t="shared" ca="1" si="15"/>
        <v>18.199999999999996</v>
      </c>
    </row>
    <row r="28" spans="1:29" s="20" customFormat="1" ht="12.75">
      <c r="A28" s="20">
        <v>8</v>
      </c>
      <c r="C28" s="77" t="str" cm="1">
        <f t="array" ref="C28">INDEX(지표물_data!$A$27:$A$35, $A28)</f>
        <v>KR3101000100</v>
      </c>
      <c r="D28" s="43"/>
      <c r="E28" s="48">
        <f ca="1">IFERROR( OFFSET(지표물_data!$B$6, MATCH(E$10, OFFSET( 지표물_data!$B$6, 0, $A28*2-2, 1000), 0) -1, $A28*2-1), "")</f>
        <v>2.99</v>
      </c>
      <c r="F28" s="25">
        <f ca="1">IFERROR( OFFSET(지표물_data!$B$6, MATCH(F$10, OFFSET( 지표물_data!$B$6, 0, $A28*2-2, 1000), 0) -1, $A28*2-1), "")</f>
        <v>2.9870000000000001</v>
      </c>
      <c r="G28" s="25">
        <f ca="1">IFERROR( OFFSET(지표물_data!$B$6, MATCH(G$10, OFFSET( 지표물_data!$B$6, 0, $A28*2-2, 1000), 0) -1, $A28*2-1), "")</f>
        <v>2.952</v>
      </c>
      <c r="H28" s="25">
        <f ca="1">IFERROR( OFFSET(지표물_data!$B$6, MATCH(H$10, OFFSET( 지표물_data!$B$6, 0, $A28*2-2, 1000), 0) -1, $A28*2-1), "")</f>
        <v>2.9750000000000001</v>
      </c>
      <c r="I28" s="25">
        <f ca="1">IFERROR( OFFSET(지표물_data!$B$6, MATCH(I$10, OFFSET( 지표물_data!$B$6, 0, $A28*2-2, 1000), 0) -1, $A28*2-1), "")</f>
        <v>2.9950000000000001</v>
      </c>
      <c r="J28" s="25">
        <f ca="1">IFERROR( OFFSET(지표물_data!$B$6, MATCH(J$10, OFFSET( 지표물_data!$B$6, 0, $A28*2-2, 1000), 0) -1, $A28*2-1), "")</f>
        <v>2.99</v>
      </c>
      <c r="K28" s="25">
        <f ca="1">IFERROR( OFFSET(지표물_data!$B$6, MATCH(K$10, OFFSET( 지표물_data!$B$6, 0, $A28*2-2, 1000), 0) -1, $A28*2-1), "")</f>
        <v>2.97</v>
      </c>
      <c r="L28" s="25">
        <f ca="1">IFERROR( OFFSET(지표물_data!$B$6, MATCH(L$10, OFFSET( 지표물_data!$B$6, 0, $A28*2-2, 1000), 0) -1, $A28*2-1), "")</f>
        <v>2.9950000000000001</v>
      </c>
      <c r="M28" s="25">
        <f ca="1">IFERROR( OFFSET(지표물_data!$B$6, MATCH(M$10, OFFSET( 지표물_data!$B$6, 0, $A28*2-2, 1000), 0) -1, $A28*2-1), "")</f>
        <v>2.9649999999999999</v>
      </c>
      <c r="N28" s="25">
        <f ca="1">IFERROR( OFFSET(지표물_data!$B$6, MATCH(N$10, OFFSET( 지표물_data!$B$6, 0, $A28*2-2, 1000), 0) -1, $A28*2-1), "")</f>
        <v>2.89</v>
      </c>
      <c r="O28" s="25">
        <f ca="1">IFERROR( OFFSET(지표물_data!$B$6, MATCH(O$10, OFFSET( 지표물_data!$B$6, 0, $A28*2-2, 1000), 0) -1, $A28*2-1), "")</f>
        <v>3.0379999999999998</v>
      </c>
      <c r="P28" s="26">
        <f ca="1">IFERROR( OFFSET(지표물_data!$B$6, MATCH(P$10, OFFSET( 지표물_data!$B$6, 0, $A28*2-2, 1000), 0) -1, $A28*2-1), "")</f>
        <v>3.0150000000000001</v>
      </c>
      <c r="R28" s="48">
        <f ca="1">IFERROR( AVERAGE( OFFSET(지표물_data!$U$6, 지표물_data!$U$3, 지표물!$A28, R$10+2) ), "")</f>
        <v>3.0227368421052629</v>
      </c>
      <c r="S28" s="25">
        <f ca="1">IFERROR( MAX( OFFSET(지표물_data!$U$6, 지표물_data!$U$3, 지표물!$A28, R$10+2) ), "")</f>
        <v>3.1320000000000001</v>
      </c>
      <c r="T28" s="26">
        <f ca="1">IFERROR( MIN( OFFSET(지표물_data!$U$6, 지표물_data!$U$3, 지표물!$A28, R$10+2) ), "")</f>
        <v>2.89</v>
      </c>
      <c r="U28" s="48">
        <f ca="1">IFERROR( AVERAGE( OFFSET(지표물_data!$U$6, 지표물_data!$U$3, 지표물!$A28, U$10+2) ), "")</f>
        <v>3.1846379310344823</v>
      </c>
      <c r="V28" s="25">
        <f ca="1">IFERROR( MAX( OFFSET(지표물_data!$U$6, 지표물_data!$U$3, 지표물!$A28, U$10+2) ), "")</f>
        <v>3.4350000000000001</v>
      </c>
      <c r="W28" s="26">
        <f ca="1">IFERROR( MIN( OFFSET(지표물_data!$U$6, 지표물_data!$U$3, 지표물!$A28, U$10+2) ), "")</f>
        <v>2.89</v>
      </c>
      <c r="X28" s="48">
        <f ca="1">IFERROR( AVERAGE( OFFSET(지표물_data!$U$6, 지표물_data!$U$3, 지표물!$A28, X$10+2) ), "")</f>
        <v>3.3006315789473679</v>
      </c>
      <c r="Y28" s="25">
        <f ca="1">IFERROR( MAX( OFFSET(지표물_data!$U$6, 지표물_data!$U$3, 지표물!$A28, X$10+2) ), "")</f>
        <v>3.5270000000000001</v>
      </c>
      <c r="Z28" s="26">
        <f ca="1">IFERROR( MIN( OFFSET(지표물_data!$U$6, 지표물_data!$U$3, 지표물!$A28, X$10+2) ), "")</f>
        <v>2.89</v>
      </c>
      <c r="AA28" s="48">
        <f ca="1">IFERROR( AVERAGE( OFFSET(지표물_data!$U$6, 지표물_data!$U$3, 지표물!$A28, AA$10+2) ), "")</f>
        <v>3.4675236051502143</v>
      </c>
      <c r="AB28" s="25">
        <f ca="1">IFERROR( MAX( OFFSET(지표물_data!$U$6, 지표물_data!$U$3, 지표물!$A28, AA$10+2) ), "")</f>
        <v>4.12</v>
      </c>
      <c r="AC28" s="26">
        <f ca="1">IFERROR( MIN( OFFSET(지표물_data!$U$6, 지표물_data!$U$3, 지표물!$A28, AA$10+2) ), "")</f>
        <v>2.89</v>
      </c>
    </row>
    <row r="29" spans="1:29" s="20" customFormat="1" ht="13.5" thickBot="1">
      <c r="C29" s="88" t="s">
        <v>836</v>
      </c>
      <c r="D29" s="89"/>
      <c r="E29" s="47">
        <f t="shared" ref="E29:P29" ca="1" si="16">IFERROR( (E$13-E28)*100, "")</f>
        <v>5.1999999999999602</v>
      </c>
      <c r="F29" s="30">
        <f t="shared" ca="1" si="16"/>
        <v>5.2999999999999936</v>
      </c>
      <c r="G29" s="30">
        <f t="shared" ca="1" si="16"/>
        <v>4.0999999999999925</v>
      </c>
      <c r="H29" s="30">
        <f t="shared" ca="1" si="16"/>
        <v>4.6999999999999709</v>
      </c>
      <c r="I29" s="30">
        <f t="shared" ca="1" si="16"/>
        <v>4.1999999999999815</v>
      </c>
      <c r="J29" s="30">
        <f t="shared" ca="1" si="16"/>
        <v>4.3999999999999595</v>
      </c>
      <c r="K29" s="30">
        <f t="shared" ca="1" si="16"/>
        <v>4.4999999999999929</v>
      </c>
      <c r="L29" s="30">
        <f t="shared" ca="1" si="16"/>
        <v>3.7999999999999812</v>
      </c>
      <c r="M29" s="30">
        <f t="shared" ca="1" si="16"/>
        <v>5.1000000000000156</v>
      </c>
      <c r="N29" s="30">
        <f t="shared" ca="1" si="16"/>
        <v>5.699999999999994</v>
      </c>
      <c r="O29" s="30">
        <f t="shared" ca="1" si="16"/>
        <v>-9.9999999999988987E-2</v>
      </c>
      <c r="P29" s="31">
        <f t="shared" ca="1" si="16"/>
        <v>5.4999999999999716</v>
      </c>
      <c r="R29" s="47">
        <f t="shared" ref="R29:AC29" ca="1" si="17">IFERROR( (R$13-R28)*100, "")</f>
        <v>3.2210526315789689</v>
      </c>
      <c r="S29" s="30">
        <f t="shared" ca="1" si="17"/>
        <v>2.0999999999999908</v>
      </c>
      <c r="T29" s="31">
        <f t="shared" ca="1" si="17"/>
        <v>5.699999999999994</v>
      </c>
      <c r="U29" s="47">
        <f t="shared" ca="1" si="17"/>
        <v>1.3656551724138932</v>
      </c>
      <c r="V29" s="30">
        <f t="shared" ca="1" si="17"/>
        <v>3.3780000000000143</v>
      </c>
      <c r="W29" s="31">
        <f t="shared" ca="1" si="17"/>
        <v>5.699999999999994</v>
      </c>
      <c r="X29" s="47">
        <f t="shared" ca="1" si="17"/>
        <v>0.9678245614036296</v>
      </c>
      <c r="Y29" s="30">
        <f t="shared" ca="1" si="17"/>
        <v>0.29999999999996696</v>
      </c>
      <c r="Z29" s="31">
        <f t="shared" ca="1" si="17"/>
        <v>5.699999999999994</v>
      </c>
      <c r="AA29" s="47">
        <f t="shared" ca="1" si="17"/>
        <v>0.20539810566839733</v>
      </c>
      <c r="AB29" s="30">
        <f t="shared" ca="1" si="17"/>
        <v>-6.899999999999995</v>
      </c>
      <c r="AC29" s="31">
        <f t="shared" ca="1" si="17"/>
        <v>5.699999999999994</v>
      </c>
    </row>
    <row r="30" spans="1:29" s="20" customFormat="1" ht="12.75">
      <c r="A30" s="20">
        <v>9</v>
      </c>
      <c r="C30" s="77" t="str" cm="1">
        <f t="array" ref="C30">INDEX(지표물_data!$A$27:$A$35, $A30)</f>
        <v>KR1035M00200</v>
      </c>
      <c r="D30" s="43"/>
      <c r="E30" s="48" t="str">
        <f ca="1">IFERROR( OFFSET(지표물_data!$B$6, MATCH(E$10, OFFSET( 지표물_data!$B$6, 0, $A30*2-2, 1000), 0) -1, $A30*2-1), "")</f>
        <v/>
      </c>
      <c r="F30" s="25" t="str">
        <f ca="1">IFERROR( OFFSET(지표물_data!$B$6, MATCH(F$10, OFFSET( 지표물_data!$B$6, 0, $A30*2-2, 1000), 0) -1, $A30*2-1), "")</f>
        <v/>
      </c>
      <c r="G30" s="25" t="str">
        <f ca="1">IFERROR( OFFSET(지표물_data!$B$6, MATCH(G$10, OFFSET( 지표물_data!$B$6, 0, $A30*2-2, 1000), 0) -1, $A30*2-1), "")</f>
        <v/>
      </c>
      <c r="H30" s="25">
        <f ca="1">IFERROR( OFFSET(지표물_data!$B$6, MATCH(H$10, OFFSET( 지표물_data!$B$6, 0, $A30*2-2, 1000), 0) -1, $A30*2-1), "")</f>
        <v>0.72199999999999998</v>
      </c>
      <c r="I30" s="25" t="str">
        <f ca="1">IFERROR( OFFSET(지표물_data!$B$6, MATCH(I$10, OFFSET( 지표물_data!$B$6, 0, $A30*2-2, 1000), 0) -1, $A30*2-1), "")</f>
        <v/>
      </c>
      <c r="J30" s="25">
        <f ca="1">IFERROR( OFFSET(지표물_data!$B$6, MATCH(J$10, OFFSET( 지표물_data!$B$6, 0, $A30*2-2, 1000), 0) -1, $A30*2-1), "")</f>
        <v>0.75</v>
      </c>
      <c r="K30" s="25" t="str">
        <f ca="1">IFERROR( OFFSET(지표물_data!$B$6, MATCH(K$10, OFFSET( 지표물_data!$B$6, 0, $A30*2-2, 1000), 0) -1, $A30*2-1), "")</f>
        <v/>
      </c>
      <c r="L30" s="25">
        <f ca="1">IFERROR( OFFSET(지표물_data!$B$6, MATCH(L$10, OFFSET( 지표물_data!$B$6, 0, $A30*2-2, 1000), 0) -1, $A30*2-1), "")</f>
        <v>0.7</v>
      </c>
      <c r="M30" s="25" t="str">
        <f ca="1">IFERROR( OFFSET(지표물_data!$B$6, MATCH(M$10, OFFSET( 지표물_data!$B$6, 0, $A30*2-2, 1000), 0) -1, $A30*2-1), "")</f>
        <v/>
      </c>
      <c r="N30" s="25" t="str">
        <f ca="1">IFERROR( OFFSET(지표물_data!$B$6, MATCH(N$10, OFFSET( 지표물_data!$B$6, 0, $A30*2-2, 1000), 0) -1, $A30*2-1), "")</f>
        <v/>
      </c>
      <c r="O30" s="25">
        <f ca="1">IFERROR( OFFSET(지표물_data!$B$6, MATCH(O$10, OFFSET( 지표물_data!$B$6, 0, $A30*2-2, 1000), 0) -1, $A30*2-1), "")</f>
        <v>0.67500000000000004</v>
      </c>
      <c r="P30" s="26" t="str">
        <f ca="1">IFERROR( OFFSET(지표물_data!$B$6, MATCH(P$10, OFFSET( 지표물_data!$B$6, 0, $A30*2-2, 1000), 0) -1, $A30*2-1), "")</f>
        <v/>
      </c>
      <c r="R30" s="48">
        <f ca="1">IFERROR( AVERAGE( OFFSET(지표물_data!$U$6, 지표물_data!$U$3, 지표물!$A30, R$10+2) ), "")</f>
        <v>0.75933333333333308</v>
      </c>
      <c r="S30" s="25">
        <f ca="1">IFERROR( MAX( OFFSET(지표물_data!$U$6, 지표물_data!$U$3, 지표물!$A30, R$10+2) ), "")</f>
        <v>0.85499999999999998</v>
      </c>
      <c r="T30" s="26">
        <f ca="1">IFERROR( MIN( OFFSET(지표물_data!$U$6, 지표물_data!$U$3, 지표물!$A30, R$10+2) ), "")</f>
        <v>0.67500000000000004</v>
      </c>
      <c r="U30" s="48">
        <f ca="1">IFERROR( AVERAGE( OFFSET(지표물_data!$U$6, 지표물_data!$U$3, 지표물!$A30, U$10+2) ), "")</f>
        <v>0.82727272727272705</v>
      </c>
      <c r="V30" s="25">
        <f ca="1">IFERROR( MAX( OFFSET(지표물_data!$U$6, 지표물_data!$U$3, 지표물!$A30, U$10+2) ), "")</f>
        <v>0.98399999999999999</v>
      </c>
      <c r="W30" s="26">
        <f ca="1">IFERROR( MIN( OFFSET(지표물_data!$U$6, 지표물_data!$U$3, 지표물!$A30, U$10+2) ), "")</f>
        <v>0.65300000000000002</v>
      </c>
      <c r="X30" s="48">
        <f ca="1">IFERROR( AVERAGE( OFFSET(지표물_data!$U$6, 지표물_data!$U$3, 지표물!$A30, X$10+2) ), "")</f>
        <v>0.7765215909090909</v>
      </c>
      <c r="Y30" s="25">
        <f ca="1">IFERROR( MAX( OFFSET(지표물_data!$U$6, 지표물_data!$U$3, 지표물!$A30, X$10+2) ), "")</f>
        <v>0.98399999999999999</v>
      </c>
      <c r="Z30" s="26">
        <f ca="1">IFERROR( MIN( OFFSET(지표물_data!$U$6, 지표물_data!$U$3, 지표물!$A30, X$10+2) ), "")</f>
        <v>0.61031999999999997</v>
      </c>
      <c r="AA30" s="48">
        <f ca="1">IFERROR( AVERAGE( OFFSET(지표물_data!$U$6, 지표물_data!$U$3, 지표물!$A30, AA$10+2) ), "")</f>
        <v>0.94495819047619056</v>
      </c>
      <c r="AB30" s="25">
        <f ca="1">IFERROR( MAX( OFFSET(지표물_data!$U$6, 지표물_data!$U$3, 지표물!$A30, AA$10+2) ), "")</f>
        <v>1.4830000000000001</v>
      </c>
      <c r="AC30" s="26">
        <f ca="1">IFERROR( MIN( OFFSET(지표물_data!$U$6, 지표물_data!$U$3, 지표물!$A30, AA$10+2) ), "")</f>
        <v>0.61031999999999997</v>
      </c>
    </row>
    <row r="31" spans="1:29" s="20" customFormat="1" ht="13.5" thickBot="1">
      <c r="C31" s="86" t="s">
        <v>836</v>
      </c>
      <c r="D31" s="87"/>
      <c r="E31" s="49" t="str">
        <f t="shared" ref="E31:P31" ca="1" si="18">IFERROR( (E$13-E30)*100, "")</f>
        <v/>
      </c>
      <c r="F31" s="32" t="str">
        <f t="shared" ca="1" si="18"/>
        <v/>
      </c>
      <c r="G31" s="32" t="str">
        <f t="shared" ca="1" si="18"/>
        <v/>
      </c>
      <c r="H31" s="32">
        <f t="shared" ca="1" si="18"/>
        <v>229.99999999999997</v>
      </c>
      <c r="I31" s="32" t="str">
        <f t="shared" ca="1" si="18"/>
        <v/>
      </c>
      <c r="J31" s="32">
        <f t="shared" ca="1" si="18"/>
        <v>228.39999999999998</v>
      </c>
      <c r="K31" s="32" t="str">
        <f t="shared" ca="1" si="18"/>
        <v/>
      </c>
      <c r="L31" s="32">
        <f t="shared" ca="1" si="18"/>
        <v>233.3</v>
      </c>
      <c r="M31" s="32" t="str">
        <f t="shared" ca="1" si="18"/>
        <v/>
      </c>
      <c r="N31" s="32" t="str">
        <f t="shared" ca="1" si="18"/>
        <v/>
      </c>
      <c r="O31" s="32">
        <f t="shared" ca="1" si="18"/>
        <v>236.20000000000002</v>
      </c>
      <c r="P31" s="33" t="str">
        <f t="shared" ca="1" si="18"/>
        <v/>
      </c>
      <c r="R31" s="49">
        <f t="shared" ref="R31:AC31" ca="1" si="19">IFERROR( (R$13-R30)*100, "")</f>
        <v>229.56140350877195</v>
      </c>
      <c r="S31" s="32">
        <f t="shared" ca="1" si="19"/>
        <v>229.8</v>
      </c>
      <c r="T31" s="33">
        <f t="shared" ca="1" si="19"/>
        <v>227.20000000000002</v>
      </c>
      <c r="U31" s="49">
        <f t="shared" ca="1" si="19"/>
        <v>237.1021755485894</v>
      </c>
      <c r="V31" s="32">
        <f t="shared" ca="1" si="19"/>
        <v>248.47800000000001</v>
      </c>
      <c r="W31" s="33">
        <f t="shared" ca="1" si="19"/>
        <v>229.4</v>
      </c>
      <c r="X31" s="49">
        <f t="shared" ca="1" si="19"/>
        <v>253.37882336523134</v>
      </c>
      <c r="Y31" s="32">
        <f t="shared" ca="1" si="19"/>
        <v>254.6</v>
      </c>
      <c r="Z31" s="33">
        <f t="shared" ca="1" si="19"/>
        <v>233.66800000000003</v>
      </c>
      <c r="AA31" s="49">
        <f t="shared" ca="1" si="19"/>
        <v>252.46193957307077</v>
      </c>
      <c r="AB31" s="32">
        <f t="shared" ca="1" si="19"/>
        <v>256.8</v>
      </c>
      <c r="AC31" s="33">
        <f t="shared" ca="1" si="19"/>
        <v>233.66800000000003</v>
      </c>
    </row>
    <row r="32" spans="1:29" ht="11.25" customHeight="1"/>
    <row r="33" ht="15"/>
    <row r="34" ht="17.45" customHeight="1"/>
  </sheetData>
  <mergeCells count="14">
    <mergeCell ref="C25:D25"/>
    <mergeCell ref="C27:D27"/>
    <mergeCell ref="C29:D29"/>
    <mergeCell ref="C31:D31"/>
    <mergeCell ref="AA11:AC11"/>
    <mergeCell ref="C15:D15"/>
    <mergeCell ref="C17:D17"/>
    <mergeCell ref="C19:D19"/>
    <mergeCell ref="C21:D21"/>
    <mergeCell ref="C23:D23"/>
    <mergeCell ref="C11:D12"/>
    <mergeCell ref="R11:T11"/>
    <mergeCell ref="U11:W11"/>
    <mergeCell ref="X11:Z11"/>
  </mergeCells>
  <phoneticPr fontId="1" type="noConversion"/>
  <pageMargins left="0.7" right="0.7" top="0.75" bottom="0.75" header="0.3" footer="0.3"/>
  <pageSetup paperSize="9" orientation="portrait" horizontalDpi="0" verticalDpi="0" r:id="rId1"/>
  <ignoredErrors>
    <ignoredError sqref="E15:P31 R16:AC31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Group Box 1">
              <controlPr defaultSize="0" autoFill="0" autoPict="0">
                <anchor moveWithCells="1">
                  <from>
                    <xdr:col>2</xdr:col>
                    <xdr:colOff>9525</xdr:colOff>
                    <xdr:row>2</xdr:row>
                    <xdr:rowOff>114300</xdr:rowOff>
                  </from>
                  <to>
                    <xdr:col>9</xdr:col>
                    <xdr:colOff>0</xdr:colOff>
                    <xdr:row>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Drop Down 2">
              <controlPr defaultSize="0" autoLine="0" autoPict="0">
                <anchor moveWithCells="1">
                  <from>
                    <xdr:col>2</xdr:col>
                    <xdr:colOff>123825</xdr:colOff>
                    <xdr:row>3</xdr:row>
                    <xdr:rowOff>152400</xdr:rowOff>
                  </from>
                  <to>
                    <xdr:col>5</xdr:col>
                    <xdr:colOff>104775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Option Button 3">
              <controlPr defaultSize="0" autoFill="0" autoLine="0" autoPict="0">
                <anchor moveWithCells="1">
                  <from>
                    <xdr:col>5</xdr:col>
                    <xdr:colOff>238125</xdr:colOff>
                    <xdr:row>3</xdr:row>
                    <xdr:rowOff>161925</xdr:rowOff>
                  </from>
                  <to>
                    <xdr:col>6</xdr:col>
                    <xdr:colOff>533400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Option Button 4">
              <controlPr defaultSize="0" autoFill="0" autoLine="0" autoPict="0">
                <anchor moveWithCells="1">
                  <from>
                    <xdr:col>6</xdr:col>
                    <xdr:colOff>590550</xdr:colOff>
                    <xdr:row>3</xdr:row>
                    <xdr:rowOff>161925</xdr:rowOff>
                  </from>
                  <to>
                    <xdr:col>8</xdr:col>
                    <xdr:colOff>238125</xdr:colOff>
                    <xdr:row>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8" name="Drop Down 11">
              <controlPr defaultSize="0" autoLine="0" autoPict="0">
                <anchor moveWithCells="1">
                  <from>
                    <xdr:col>2</xdr:col>
                    <xdr:colOff>9525</xdr:colOff>
                    <xdr:row>15</xdr:row>
                    <xdr:rowOff>9525</xdr:rowOff>
                  </from>
                  <to>
                    <xdr:col>3</xdr:col>
                    <xdr:colOff>409575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9" name="Drop Down 12">
              <controlPr defaultSize="0" autoLine="0" autoPict="0">
                <anchor moveWithCells="1">
                  <from>
                    <xdr:col>2</xdr:col>
                    <xdr:colOff>9525</xdr:colOff>
                    <xdr:row>29</xdr:row>
                    <xdr:rowOff>9525</xdr:rowOff>
                  </from>
                  <to>
                    <xdr:col>3</xdr:col>
                    <xdr:colOff>409575</xdr:colOff>
                    <xdr:row>30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10" name="Drop Down 17">
              <controlPr defaultSize="0" autoLine="0" autoPict="0">
                <anchor moveWithCells="1">
                  <from>
                    <xdr:col>2</xdr:col>
                    <xdr:colOff>9525</xdr:colOff>
                    <xdr:row>25</xdr:row>
                    <xdr:rowOff>9525</xdr:rowOff>
                  </from>
                  <to>
                    <xdr:col>3</xdr:col>
                    <xdr:colOff>409575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11" name="Drop Down 18">
              <controlPr defaultSize="0" autoLine="0" autoPict="0">
                <anchor moveWithCells="1">
                  <from>
                    <xdr:col>2</xdr:col>
                    <xdr:colOff>9525</xdr:colOff>
                    <xdr:row>23</xdr:row>
                    <xdr:rowOff>9525</xdr:rowOff>
                  </from>
                  <to>
                    <xdr:col>3</xdr:col>
                    <xdr:colOff>409575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12" name="Drop Down 19">
              <controlPr defaultSize="0" autoLine="0" autoPict="0">
                <anchor moveWithCells="1">
                  <from>
                    <xdr:col>2</xdr:col>
                    <xdr:colOff>9525</xdr:colOff>
                    <xdr:row>19</xdr:row>
                    <xdr:rowOff>9525</xdr:rowOff>
                  </from>
                  <to>
                    <xdr:col>3</xdr:col>
                    <xdr:colOff>409575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13" name="Drop Down 20">
              <controlPr defaultSize="0" autoLine="0" autoPict="0">
                <anchor moveWithCells="1">
                  <from>
                    <xdr:col>2</xdr:col>
                    <xdr:colOff>9525</xdr:colOff>
                    <xdr:row>17</xdr:row>
                    <xdr:rowOff>9525</xdr:rowOff>
                  </from>
                  <to>
                    <xdr:col>3</xdr:col>
                    <xdr:colOff>409575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14" name="Drop Down 21">
              <controlPr defaultSize="0" autoLine="0" autoPict="0">
                <anchor moveWithCells="1">
                  <from>
                    <xdr:col>2</xdr:col>
                    <xdr:colOff>9525</xdr:colOff>
                    <xdr:row>21</xdr:row>
                    <xdr:rowOff>9525</xdr:rowOff>
                  </from>
                  <to>
                    <xdr:col>3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15" name="Drop Down 22">
              <controlPr defaultSize="0" autoLine="0" autoPict="0">
                <anchor moveWithCells="1">
                  <from>
                    <xdr:col>2</xdr:col>
                    <xdr:colOff>9525</xdr:colOff>
                    <xdr:row>27</xdr:row>
                    <xdr:rowOff>9525</xdr:rowOff>
                  </from>
                  <to>
                    <xdr:col>3</xdr:col>
                    <xdr:colOff>409575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1" r:id="rId16" name="Option Button 59">
              <controlPr defaultSize="0" autoFill="0" autoLine="0" autoPict="0">
                <anchor moveWithCells="1">
                  <from>
                    <xdr:col>5</xdr:col>
                    <xdr:colOff>238125</xdr:colOff>
                    <xdr:row>4</xdr:row>
                    <xdr:rowOff>142875</xdr:rowOff>
                  </from>
                  <to>
                    <xdr:col>6</xdr:col>
                    <xdr:colOff>533400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2" r:id="rId17" name="Option Button 60">
              <controlPr defaultSize="0" autoFill="0" autoLine="0" autoPict="0">
                <anchor moveWithCells="1">
                  <from>
                    <xdr:col>6</xdr:col>
                    <xdr:colOff>590550</xdr:colOff>
                    <xdr:row>4</xdr:row>
                    <xdr:rowOff>142875</xdr:rowOff>
                  </from>
                  <to>
                    <xdr:col>8</xdr:col>
                    <xdr:colOff>238125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4" r:id="rId18" name="Group Box 62">
              <controlPr defaultSize="0" autoFill="0" autoPict="0">
                <anchor moveWithCells="1">
                  <from>
                    <xdr:col>9</xdr:col>
                    <xdr:colOff>247650</xdr:colOff>
                    <xdr:row>3</xdr:row>
                    <xdr:rowOff>161925</xdr:rowOff>
                  </from>
                  <to>
                    <xdr:col>11</xdr:col>
                    <xdr:colOff>219075</xdr:colOff>
                    <xdr:row>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5" r:id="rId19" name="Option Button 63">
              <controlPr defaultSize="0" autoFill="0" autoLine="0" autoPict="0">
                <anchor moveWithCells="1">
                  <from>
                    <xdr:col>9</xdr:col>
                    <xdr:colOff>295275</xdr:colOff>
                    <xdr:row>3</xdr:row>
                    <xdr:rowOff>190500</xdr:rowOff>
                  </from>
                  <to>
                    <xdr:col>10</xdr:col>
                    <xdr:colOff>180975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6" r:id="rId20" name="Option Button 64">
              <controlPr defaultSize="0" autoFill="0" autoLine="0" autoPict="0">
                <anchor moveWithCells="1">
                  <from>
                    <xdr:col>10</xdr:col>
                    <xdr:colOff>266700</xdr:colOff>
                    <xdr:row>3</xdr:row>
                    <xdr:rowOff>190500</xdr:rowOff>
                  </from>
                  <to>
                    <xdr:col>11</xdr:col>
                    <xdr:colOff>95250</xdr:colOff>
                    <xdr:row>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21" name="Drop Down 10">
              <controlPr defaultSize="0" autoLine="0" autoPict="0">
                <anchor moveWithCells="1">
                  <from>
                    <xdr:col>2</xdr:col>
                    <xdr:colOff>9525</xdr:colOff>
                    <xdr:row>13</xdr:row>
                    <xdr:rowOff>9525</xdr:rowOff>
                  </from>
                  <to>
                    <xdr:col>3</xdr:col>
                    <xdr:colOff>409575</xdr:colOff>
                    <xdr:row>14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7" r:id="rId22" name="Drop Down 65">
              <controlPr defaultSize="0" autoLine="0" autoPict="0">
                <anchor moveWithCells="1">
                  <from>
                    <xdr:col>2</xdr:col>
                    <xdr:colOff>9525</xdr:colOff>
                    <xdr:row>15</xdr:row>
                    <xdr:rowOff>9525</xdr:rowOff>
                  </from>
                  <to>
                    <xdr:col>3</xdr:col>
                    <xdr:colOff>409575</xdr:colOff>
                    <xdr:row>16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8" r:id="rId23" name="Drop Down 66">
              <controlPr defaultSize="0" autoLine="0" autoPict="0">
                <anchor moveWithCells="1">
                  <from>
                    <xdr:col>2</xdr:col>
                    <xdr:colOff>9525</xdr:colOff>
                    <xdr:row>17</xdr:row>
                    <xdr:rowOff>9525</xdr:rowOff>
                  </from>
                  <to>
                    <xdr:col>3</xdr:col>
                    <xdr:colOff>409575</xdr:colOff>
                    <xdr:row>18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79" r:id="rId24" name="Drop Down 67">
              <controlPr defaultSize="0" autoLine="0" autoPict="0">
                <anchor moveWithCells="1">
                  <from>
                    <xdr:col>2</xdr:col>
                    <xdr:colOff>9525</xdr:colOff>
                    <xdr:row>19</xdr:row>
                    <xdr:rowOff>9525</xdr:rowOff>
                  </from>
                  <to>
                    <xdr:col>3</xdr:col>
                    <xdr:colOff>409575</xdr:colOff>
                    <xdr:row>20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0" r:id="rId25" name="Drop Down 68">
              <controlPr defaultSize="0" autoLine="0" autoPict="0">
                <anchor moveWithCells="1">
                  <from>
                    <xdr:col>2</xdr:col>
                    <xdr:colOff>9525</xdr:colOff>
                    <xdr:row>21</xdr:row>
                    <xdr:rowOff>9525</xdr:rowOff>
                  </from>
                  <to>
                    <xdr:col>3</xdr:col>
                    <xdr:colOff>409575</xdr:colOff>
                    <xdr:row>22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1" r:id="rId26" name="Drop Down 69">
              <controlPr defaultSize="0" autoLine="0" autoPict="0">
                <anchor moveWithCells="1">
                  <from>
                    <xdr:col>2</xdr:col>
                    <xdr:colOff>9525</xdr:colOff>
                    <xdr:row>23</xdr:row>
                    <xdr:rowOff>9525</xdr:rowOff>
                  </from>
                  <to>
                    <xdr:col>3</xdr:col>
                    <xdr:colOff>409575</xdr:colOff>
                    <xdr:row>24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2" r:id="rId27" name="Drop Down 70">
              <controlPr defaultSize="0" autoLine="0" autoPict="0">
                <anchor moveWithCells="1">
                  <from>
                    <xdr:col>2</xdr:col>
                    <xdr:colOff>9525</xdr:colOff>
                    <xdr:row>25</xdr:row>
                    <xdr:rowOff>9525</xdr:rowOff>
                  </from>
                  <to>
                    <xdr:col>3</xdr:col>
                    <xdr:colOff>409575</xdr:colOff>
                    <xdr:row>26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3" r:id="rId28" name="Drop Down 71">
              <controlPr defaultSize="0" autoLine="0" autoPict="0">
                <anchor moveWithCells="1">
                  <from>
                    <xdr:col>2</xdr:col>
                    <xdr:colOff>9525</xdr:colOff>
                    <xdr:row>27</xdr:row>
                    <xdr:rowOff>9525</xdr:rowOff>
                  </from>
                  <to>
                    <xdr:col>3</xdr:col>
                    <xdr:colOff>409575</xdr:colOff>
                    <xdr:row>28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84" r:id="rId29" name="Drop Down 72">
              <controlPr defaultSize="0" autoLine="0" autoPict="0">
                <anchor moveWithCells="1">
                  <from>
                    <xdr:col>2</xdr:col>
                    <xdr:colOff>9525</xdr:colOff>
                    <xdr:row>29</xdr:row>
                    <xdr:rowOff>9525</xdr:rowOff>
                  </from>
                  <to>
                    <xdr:col>3</xdr:col>
                    <xdr:colOff>409575</xdr:colOff>
                    <xdr:row>30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256"/>
  <sheetViews>
    <sheetView workbookViewId="0">
      <selection activeCell="B4" sqref="B4"/>
    </sheetView>
  </sheetViews>
  <sheetFormatPr defaultRowHeight="15"/>
  <cols>
    <col min="2" max="2" width="10.5703125" customWidth="1"/>
    <col min="3" max="3" width="11.140625" bestFit="1" customWidth="1"/>
    <col min="5" max="5" width="11.140625" bestFit="1" customWidth="1"/>
    <col min="19" max="19" width="10.5703125" customWidth="1"/>
  </cols>
  <sheetData>
    <row r="1" spans="1:52">
      <c r="B1" s="1" t="s">
        <v>0</v>
      </c>
      <c r="C1" s="2">
        <v>36543</v>
      </c>
      <c r="D1" s="1" t="s">
        <v>1</v>
      </c>
      <c r="E1" s="2">
        <f ca="1">TODAY()</f>
        <v>45523</v>
      </c>
      <c r="F1" s="1" t="s">
        <v>2</v>
      </c>
      <c r="G1">
        <v>250</v>
      </c>
      <c r="H1" s="1" t="s">
        <v>3</v>
      </c>
      <c r="I1" t="s">
        <v>4</v>
      </c>
      <c r="J1" s="1" t="s">
        <v>5</v>
      </c>
      <c r="K1" t="s">
        <v>6</v>
      </c>
      <c r="L1" s="1" t="s">
        <v>7</v>
      </c>
      <c r="M1">
        <v>0</v>
      </c>
      <c r="N1" s="1" t="s">
        <v>8</v>
      </c>
      <c r="O1" t="s">
        <v>9</v>
      </c>
    </row>
    <row r="2" spans="1:52">
      <c r="B2" t="s">
        <v>824</v>
      </c>
      <c r="C2" t="s">
        <v>826</v>
      </c>
      <c r="D2" t="s">
        <v>825</v>
      </c>
      <c r="S2" t="s">
        <v>824</v>
      </c>
      <c r="T2" t="s">
        <v>826</v>
      </c>
      <c r="AJ2" t="s">
        <v>824</v>
      </c>
      <c r="AK2" t="s">
        <v>826</v>
      </c>
    </row>
    <row r="3" spans="1:52">
      <c r="B3">
        <v>1</v>
      </c>
      <c r="C3">
        <v>1</v>
      </c>
      <c r="D3">
        <v>8</v>
      </c>
      <c r="S3">
        <v>7</v>
      </c>
      <c r="T3">
        <v>1</v>
      </c>
      <c r="AJ3">
        <v>12</v>
      </c>
      <c r="AK3">
        <v>1</v>
      </c>
    </row>
    <row r="4" spans="1:52">
      <c r="B4" t="str" cm="1">
        <f t="array" ref="B4">IF( INDEX(IR_code!$C$2:$U$82, hist_data!B3, 3*C3-2) = "", NA(), INDEX(IR_code!$C$2:$U$82, hist_data!B3, 3*C3-2) )</f>
        <v>BONDAVG01</v>
      </c>
      <c r="S4" t="str" cm="1">
        <f t="array" ref="S4">IF( INDEX(IR_code!$C$2:$U$82, hist_data!S3, 3*T3-2) = "", NA(), INDEX(IR_code!$C$2:$U$82, hist_data!S3, 3*T3-2) )</f>
        <v>BONDAVG09</v>
      </c>
      <c r="AJ4" t="str" cm="1">
        <f t="array" ref="AJ4">IF( INDEX(IR_code!$C$2:$U$82, hist_data!AJ3, 3*AK3-2) = "", NA(), INDEX(IR_code!$C$2:$U$82, hist_data!AJ3, 3*AK3-2) )</f>
        <v>BONDAVG14</v>
      </c>
    </row>
    <row r="5" spans="1:52">
      <c r="B5" t="str">
        <f ca="1">_xll.IMDH("IR",B4,B6:R6,$C$1,$E$1,$G$1,"Per="&amp;$I$1&amp;",sort="&amp;$K$1&amp;",real=true,Bizday="&amp;$M$1&amp;",Quote="&amp;$O$1&amp;",Pos=20,Orient=V,DtFmt=1,TmFmt=1,unit=true")</f>
        <v>조회[BONDAVG01]</v>
      </c>
      <c r="S5" t="str">
        <f ca="1">_xll.IMDH("IR",S4,S6:AI6,$C$1,$E$1,$G$1,"Per="&amp;$I$1&amp;",sort="&amp;$K$1&amp;",real=true,Bizday="&amp;$M$1&amp;",Quote="&amp;$O$1&amp;",Pos=20,Orient=V,DtFmt=1,TmFmt=1,unit=true")</f>
        <v>조회[BONDAVG09]</v>
      </c>
      <c r="AJ5" t="str">
        <f ca="1">_xll.IMDH("IR",AJ4,AJ6:AZ6,$C$1,$E$1,$G$1,"Per="&amp;$I$1&amp;",sort="&amp;$K$1&amp;",real=true,Bizday="&amp;$M$1&amp;",Quote="&amp;$O$1&amp;",Pos=20,Orient=V,DtFmt=1,TmFmt=1,unit=true")</f>
        <v>조회[BONDAVG14]</v>
      </c>
    </row>
    <row r="6" spans="1:52">
      <c r="A6" s="34" t="s">
        <v>827</v>
      </c>
      <c r="B6" s="3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  <c r="M6" s="4" t="s">
        <v>21</v>
      </c>
      <c r="N6" s="4" t="s">
        <v>22</v>
      </c>
      <c r="O6" s="4" t="s">
        <v>23</v>
      </c>
      <c r="P6" s="4" t="s">
        <v>24</v>
      </c>
      <c r="Q6" s="4" t="s">
        <v>25</v>
      </c>
      <c r="R6" s="4" t="s">
        <v>26</v>
      </c>
      <c r="S6" s="3" t="s">
        <v>10</v>
      </c>
      <c r="T6" s="4" t="s">
        <v>11</v>
      </c>
      <c r="U6" s="4" t="s">
        <v>12</v>
      </c>
      <c r="V6" s="4" t="s">
        <v>13</v>
      </c>
      <c r="W6" s="4" t="s">
        <v>14</v>
      </c>
      <c r="X6" s="4" t="s">
        <v>15</v>
      </c>
      <c r="Y6" s="4" t="s">
        <v>16</v>
      </c>
      <c r="Z6" s="4" t="s">
        <v>17</v>
      </c>
      <c r="AA6" s="4" t="s">
        <v>18</v>
      </c>
      <c r="AB6" s="4" t="s">
        <v>19</v>
      </c>
      <c r="AC6" s="4" t="s">
        <v>20</v>
      </c>
      <c r="AD6" s="4" t="s">
        <v>21</v>
      </c>
      <c r="AE6" s="4" t="s">
        <v>22</v>
      </c>
      <c r="AF6" s="4" t="s">
        <v>23</v>
      </c>
      <c r="AG6" s="4" t="s">
        <v>24</v>
      </c>
      <c r="AH6" s="4" t="s">
        <v>25</v>
      </c>
      <c r="AI6" s="4" t="s">
        <v>26</v>
      </c>
      <c r="AJ6" s="3" t="s">
        <v>10</v>
      </c>
      <c r="AK6" s="4" t="s">
        <v>11</v>
      </c>
      <c r="AL6" s="4" t="s">
        <v>12</v>
      </c>
      <c r="AM6" s="4" t="s">
        <v>13</v>
      </c>
      <c r="AN6" s="4" t="s">
        <v>14</v>
      </c>
      <c r="AO6" s="4" t="s">
        <v>15</v>
      </c>
      <c r="AP6" s="4" t="s">
        <v>16</v>
      </c>
      <c r="AQ6" s="4" t="s">
        <v>17</v>
      </c>
      <c r="AR6" s="4" t="s">
        <v>18</v>
      </c>
      <c r="AS6" s="4" t="s">
        <v>19</v>
      </c>
      <c r="AT6" s="4" t="s">
        <v>20</v>
      </c>
      <c r="AU6" s="4" t="s">
        <v>21</v>
      </c>
      <c r="AV6" s="4" t="s">
        <v>22</v>
      </c>
      <c r="AW6" s="4" t="s">
        <v>23</v>
      </c>
      <c r="AX6" s="4" t="s">
        <v>24</v>
      </c>
      <c r="AY6" s="4" t="s">
        <v>25</v>
      </c>
      <c r="AZ6" s="4" t="s">
        <v>26</v>
      </c>
    </row>
    <row r="7" spans="1:52">
      <c r="A7" s="34" t="s">
        <v>828</v>
      </c>
      <c r="B7" s="2">
        <v>45520</v>
      </c>
      <c r="C7">
        <v>3.3380000000000001</v>
      </c>
      <c r="D7">
        <v>3.2029999999999998</v>
      </c>
      <c r="E7">
        <v>3.1120000000000001</v>
      </c>
      <c r="F7">
        <v>3.052</v>
      </c>
      <c r="G7">
        <v>3.0550000000000002</v>
      </c>
      <c r="H7">
        <v>3.03</v>
      </c>
      <c r="I7">
        <v>2.944</v>
      </c>
      <c r="J7">
        <v>2.9220000000000002</v>
      </c>
      <c r="K7">
        <v>2.9430000000000001</v>
      </c>
      <c r="L7">
        <v>2.93</v>
      </c>
      <c r="M7">
        <v>2.9809999999999999</v>
      </c>
      <c r="N7">
        <v>2.9750000000000001</v>
      </c>
      <c r="O7">
        <v>2.9820000000000002</v>
      </c>
      <c r="P7">
        <v>2.952</v>
      </c>
      <c r="Q7">
        <v>2.8519999999999999</v>
      </c>
      <c r="R7">
        <v>2.7629999999999999</v>
      </c>
      <c r="S7" s="2">
        <v>45520</v>
      </c>
      <c r="T7">
        <v>3.3929999999999998</v>
      </c>
      <c r="U7">
        <v>3.3610000000000002</v>
      </c>
      <c r="V7">
        <v>3.298</v>
      </c>
      <c r="W7">
        <v>3.2589999999999999</v>
      </c>
      <c r="X7">
        <v>3.1970000000000001</v>
      </c>
      <c r="Y7">
        <v>3.1859999999999999</v>
      </c>
      <c r="Z7">
        <v>3.1560000000000001</v>
      </c>
      <c r="AA7">
        <v>3.1539999999999999</v>
      </c>
      <c r="AB7">
        <v>3.1459999999999999</v>
      </c>
      <c r="AC7">
        <v>3.1459999999999999</v>
      </c>
      <c r="AD7">
        <v>3.1429999999999998</v>
      </c>
      <c r="AE7">
        <v>3.1579999999999999</v>
      </c>
      <c r="AF7">
        <v>3.1789999999999998</v>
      </c>
      <c r="AG7">
        <v>3.153</v>
      </c>
      <c r="AH7">
        <v>3.1680000000000001</v>
      </c>
      <c r="AI7">
        <v>0</v>
      </c>
      <c r="AJ7" s="2">
        <v>45520</v>
      </c>
      <c r="AK7">
        <v>3.2709999999999999</v>
      </c>
      <c r="AL7">
        <v>3.169</v>
      </c>
      <c r="AM7">
        <v>3.097</v>
      </c>
      <c r="AN7">
        <v>3.0249999999999999</v>
      </c>
      <c r="AO7">
        <v>3.0430000000000001</v>
      </c>
      <c r="AP7">
        <v>2.9870000000000001</v>
      </c>
      <c r="AQ7">
        <v>2.9929999999999999</v>
      </c>
      <c r="AR7">
        <v>2.9940000000000002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s="34" t="s">
        <v>829</v>
      </c>
      <c r="B8" s="2">
        <v>45518</v>
      </c>
      <c r="C8">
        <v>3.3380000000000001</v>
      </c>
      <c r="D8">
        <v>3.2029999999999998</v>
      </c>
      <c r="E8">
        <v>3.1110000000000002</v>
      </c>
      <c r="F8">
        <v>3.0449999999999999</v>
      </c>
      <c r="G8">
        <v>3.0350000000000001</v>
      </c>
      <c r="H8">
        <v>3.0009999999999999</v>
      </c>
      <c r="I8">
        <v>2.9119999999999999</v>
      </c>
      <c r="J8">
        <v>2.887</v>
      </c>
      <c r="K8">
        <v>2.915</v>
      </c>
      <c r="L8">
        <v>2.8980000000000001</v>
      </c>
      <c r="M8">
        <v>2.9489999999999998</v>
      </c>
      <c r="N8">
        <v>2.94</v>
      </c>
      <c r="O8">
        <v>2.9540000000000002</v>
      </c>
      <c r="P8">
        <v>2.93</v>
      </c>
      <c r="Q8">
        <v>2.83</v>
      </c>
      <c r="R8">
        <v>2.7719999999999998</v>
      </c>
      <c r="S8" s="2">
        <v>45518</v>
      </c>
      <c r="T8">
        <v>3.3879999999999999</v>
      </c>
      <c r="U8">
        <v>3.3479999999999999</v>
      </c>
      <c r="V8">
        <v>3.2829999999999999</v>
      </c>
      <c r="W8">
        <v>3.246</v>
      </c>
      <c r="X8">
        <v>3.16</v>
      </c>
      <c r="Y8">
        <v>3.1440000000000001</v>
      </c>
      <c r="Z8">
        <v>3.1160000000000001</v>
      </c>
      <c r="AA8">
        <v>3.109</v>
      </c>
      <c r="AB8">
        <v>3.1120000000000001</v>
      </c>
      <c r="AC8">
        <v>3.1139999999999999</v>
      </c>
      <c r="AD8">
        <v>3.11</v>
      </c>
      <c r="AE8">
        <v>3.1240000000000001</v>
      </c>
      <c r="AF8">
        <v>3.1520000000000001</v>
      </c>
      <c r="AG8">
        <v>3.1309999999999998</v>
      </c>
      <c r="AH8">
        <v>3.1459999999999999</v>
      </c>
      <c r="AI8">
        <v>0</v>
      </c>
      <c r="AJ8" s="2">
        <v>45518</v>
      </c>
      <c r="AK8">
        <v>3.2709999999999999</v>
      </c>
      <c r="AL8">
        <v>3.1669999999999998</v>
      </c>
      <c r="AM8">
        <v>3.0939999999999999</v>
      </c>
      <c r="AN8">
        <v>3.02</v>
      </c>
      <c r="AO8">
        <v>3.01</v>
      </c>
      <c r="AP8">
        <v>2.9529999999999998</v>
      </c>
      <c r="AQ8">
        <v>2.9590000000000001</v>
      </c>
      <c r="AR8">
        <v>2.9590000000000001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s="34" t="s">
        <v>830</v>
      </c>
      <c r="B9" s="2">
        <v>45517</v>
      </c>
      <c r="C9">
        <v>3.3410000000000002</v>
      </c>
      <c r="D9">
        <v>3.206</v>
      </c>
      <c r="E9">
        <v>3.1160000000000001</v>
      </c>
      <c r="F9">
        <v>3.0550000000000002</v>
      </c>
      <c r="G9">
        <v>3.048</v>
      </c>
      <c r="H9">
        <v>3.02</v>
      </c>
      <c r="I9">
        <v>2.9369999999999998</v>
      </c>
      <c r="J9">
        <v>2.915</v>
      </c>
      <c r="K9">
        <v>2.9449999999999998</v>
      </c>
      <c r="L9">
        <v>2.93</v>
      </c>
      <c r="M9">
        <v>2.98</v>
      </c>
      <c r="N9">
        <v>2.9750000000000001</v>
      </c>
      <c r="O9">
        <v>2.9889999999999999</v>
      </c>
      <c r="P9">
        <v>2.9620000000000002</v>
      </c>
      <c r="Q9">
        <v>2.8719999999999999</v>
      </c>
      <c r="R9">
        <v>2.8149999999999999</v>
      </c>
      <c r="S9" s="2">
        <v>45517</v>
      </c>
      <c r="T9">
        <v>3.3860000000000001</v>
      </c>
      <c r="U9">
        <v>3.3479999999999999</v>
      </c>
      <c r="V9">
        <v>3.2839999999999998</v>
      </c>
      <c r="W9">
        <v>3.2429999999999999</v>
      </c>
      <c r="X9">
        <v>3.161</v>
      </c>
      <c r="Y9">
        <v>3.1429999999999998</v>
      </c>
      <c r="Z9">
        <v>3.1269999999999998</v>
      </c>
      <c r="AA9">
        <v>3.1269999999999998</v>
      </c>
      <c r="AB9">
        <v>3.1360000000000001</v>
      </c>
      <c r="AC9">
        <v>3.1389999999999998</v>
      </c>
      <c r="AD9">
        <v>3.137</v>
      </c>
      <c r="AE9">
        <v>3.1549999999999998</v>
      </c>
      <c r="AF9">
        <v>3.1859999999999999</v>
      </c>
      <c r="AG9">
        <v>3.1629999999999998</v>
      </c>
      <c r="AH9">
        <v>3.1880000000000002</v>
      </c>
      <c r="AI9">
        <v>0</v>
      </c>
      <c r="AJ9" s="2">
        <v>45517</v>
      </c>
      <c r="AK9">
        <v>3.28</v>
      </c>
      <c r="AL9">
        <v>3.177</v>
      </c>
      <c r="AM9">
        <v>3.1059999999999999</v>
      </c>
      <c r="AN9">
        <v>3.03</v>
      </c>
      <c r="AO9">
        <v>3.0249999999999999</v>
      </c>
      <c r="AP9">
        <v>2.9710000000000001</v>
      </c>
      <c r="AQ9">
        <v>2.984</v>
      </c>
      <c r="AR9">
        <v>2.988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s="34" t="s">
        <v>817</v>
      </c>
      <c r="B10" s="2">
        <v>45516</v>
      </c>
      <c r="C10">
        <v>3.3460000000000001</v>
      </c>
      <c r="D10">
        <v>3.2160000000000002</v>
      </c>
      <c r="E10">
        <v>3.13</v>
      </c>
      <c r="F10">
        <v>3.08</v>
      </c>
      <c r="G10">
        <v>3.06</v>
      </c>
      <c r="H10">
        <v>3.0350000000000001</v>
      </c>
      <c r="I10">
        <v>2.97</v>
      </c>
      <c r="J10">
        <v>2.9449999999999998</v>
      </c>
      <c r="K10">
        <v>2.9729999999999999</v>
      </c>
      <c r="L10">
        <v>2.9590000000000001</v>
      </c>
      <c r="M10">
        <v>3.01</v>
      </c>
      <c r="N10">
        <v>3.0019999999999998</v>
      </c>
      <c r="O10">
        <v>3.016</v>
      </c>
      <c r="P10">
        <v>2.99</v>
      </c>
      <c r="Q10">
        <v>2.9</v>
      </c>
      <c r="R10">
        <v>2.8420000000000001</v>
      </c>
      <c r="S10" s="2">
        <v>45516</v>
      </c>
      <c r="T10">
        <v>3.3860000000000001</v>
      </c>
      <c r="U10">
        <v>3.3479999999999999</v>
      </c>
      <c r="V10">
        <v>3.2869999999999999</v>
      </c>
      <c r="W10">
        <v>3.2440000000000002</v>
      </c>
      <c r="X10">
        <v>3.1709999999999998</v>
      </c>
      <c r="Y10">
        <v>3.1539999999999999</v>
      </c>
      <c r="Z10">
        <v>3.1459999999999999</v>
      </c>
      <c r="AA10">
        <v>3.145</v>
      </c>
      <c r="AB10">
        <v>3.1539999999999999</v>
      </c>
      <c r="AC10">
        <v>3.1539999999999999</v>
      </c>
      <c r="AD10">
        <v>3.1560000000000001</v>
      </c>
      <c r="AE10">
        <v>3.1819999999999999</v>
      </c>
      <c r="AF10">
        <v>3.2130000000000001</v>
      </c>
      <c r="AG10">
        <v>3.1970000000000001</v>
      </c>
      <c r="AH10">
        <v>3.2160000000000002</v>
      </c>
      <c r="AI10">
        <v>0</v>
      </c>
      <c r="AJ10" s="2">
        <v>45516</v>
      </c>
      <c r="AK10">
        <v>3.29</v>
      </c>
      <c r="AL10">
        <v>3.1880000000000002</v>
      </c>
      <c r="AM10">
        <v>3.121</v>
      </c>
      <c r="AN10">
        <v>3.044</v>
      </c>
      <c r="AO10">
        <v>3.0459999999999998</v>
      </c>
      <c r="AP10">
        <v>2.9969999999999999</v>
      </c>
      <c r="AQ10">
        <v>3.008</v>
      </c>
      <c r="AR10">
        <v>3.01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s="34" t="s">
        <v>831</v>
      </c>
      <c r="B11" s="2">
        <v>45513</v>
      </c>
      <c r="C11">
        <v>3.3479999999999999</v>
      </c>
      <c r="D11">
        <v>3.2160000000000002</v>
      </c>
      <c r="E11">
        <v>3.13</v>
      </c>
      <c r="F11">
        <v>3.08</v>
      </c>
      <c r="G11">
        <v>3.0579999999999998</v>
      </c>
      <c r="H11">
        <v>3.0310000000000001</v>
      </c>
      <c r="I11">
        <v>2.96</v>
      </c>
      <c r="J11">
        <v>2.94</v>
      </c>
      <c r="K11">
        <v>2.97</v>
      </c>
      <c r="L11">
        <v>2.9569999999999999</v>
      </c>
      <c r="M11">
        <v>3.0129999999999999</v>
      </c>
      <c r="N11">
        <v>3.012</v>
      </c>
      <c r="O11">
        <v>3.0259999999999998</v>
      </c>
      <c r="P11">
        <v>3</v>
      </c>
      <c r="Q11">
        <v>2.91</v>
      </c>
      <c r="R11">
        <v>2.8530000000000002</v>
      </c>
      <c r="S11" s="2">
        <v>45513</v>
      </c>
      <c r="T11">
        <v>3.383</v>
      </c>
      <c r="U11">
        <v>3.3420000000000001</v>
      </c>
      <c r="V11">
        <v>3.2810000000000001</v>
      </c>
      <c r="W11">
        <v>3.238</v>
      </c>
      <c r="X11">
        <v>3.1680000000000001</v>
      </c>
      <c r="Y11">
        <v>3.1429999999999998</v>
      </c>
      <c r="Z11">
        <v>3.1339999999999999</v>
      </c>
      <c r="AA11">
        <v>3.1389999999999998</v>
      </c>
      <c r="AB11">
        <v>3.15</v>
      </c>
      <c r="AC11">
        <v>3.1520000000000001</v>
      </c>
      <c r="AD11">
        <v>3.157</v>
      </c>
      <c r="AE11">
        <v>3.1920000000000002</v>
      </c>
      <c r="AF11">
        <v>3.2229999999999999</v>
      </c>
      <c r="AG11">
        <v>3.2069999999999999</v>
      </c>
      <c r="AH11">
        <v>3.2269999999999999</v>
      </c>
      <c r="AI11">
        <v>0</v>
      </c>
      <c r="AJ11" s="2">
        <v>45513</v>
      </c>
      <c r="AK11">
        <v>3.2930000000000001</v>
      </c>
      <c r="AL11">
        <v>3.1880000000000002</v>
      </c>
      <c r="AM11">
        <v>3.121</v>
      </c>
      <c r="AN11">
        <v>3.0470000000000002</v>
      </c>
      <c r="AO11">
        <v>3.05</v>
      </c>
      <c r="AP11">
        <v>2.99</v>
      </c>
      <c r="AQ11">
        <v>3.0019999999999998</v>
      </c>
      <c r="AR11">
        <v>3.0049999999999999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s="34" t="s">
        <v>818</v>
      </c>
      <c r="B12" s="2">
        <v>45512</v>
      </c>
      <c r="C12">
        <v>3.351</v>
      </c>
      <c r="D12">
        <v>3.2160000000000002</v>
      </c>
      <c r="E12">
        <v>3.1259999999999999</v>
      </c>
      <c r="F12">
        <v>3.0790000000000002</v>
      </c>
      <c r="G12">
        <v>3.0550000000000002</v>
      </c>
      <c r="H12">
        <v>3.0150000000000001</v>
      </c>
      <c r="I12">
        <v>2.9350000000000001</v>
      </c>
      <c r="J12">
        <v>2.919</v>
      </c>
      <c r="K12">
        <v>2.9449999999999998</v>
      </c>
      <c r="L12">
        <v>2.9390000000000001</v>
      </c>
      <c r="M12">
        <v>2.9980000000000002</v>
      </c>
      <c r="N12">
        <v>3</v>
      </c>
      <c r="O12">
        <v>3.0190000000000001</v>
      </c>
      <c r="P12">
        <v>2.9950000000000001</v>
      </c>
      <c r="Q12">
        <v>2.9</v>
      </c>
      <c r="R12">
        <v>2.8420000000000001</v>
      </c>
      <c r="S12" s="2">
        <v>45512</v>
      </c>
      <c r="T12">
        <v>3.38</v>
      </c>
      <c r="U12">
        <v>3.3420000000000001</v>
      </c>
      <c r="V12">
        <v>3.2789999999999999</v>
      </c>
      <c r="W12">
        <v>3.2360000000000002</v>
      </c>
      <c r="X12">
        <v>3.1629999999999998</v>
      </c>
      <c r="Y12">
        <v>3.1230000000000002</v>
      </c>
      <c r="Z12">
        <v>3.11</v>
      </c>
      <c r="AA12">
        <v>3.1190000000000002</v>
      </c>
      <c r="AB12">
        <v>3.125</v>
      </c>
      <c r="AC12">
        <v>3.1309999999999998</v>
      </c>
      <c r="AD12">
        <v>3.1419999999999999</v>
      </c>
      <c r="AE12">
        <v>3.18</v>
      </c>
      <c r="AF12">
        <v>3.2160000000000002</v>
      </c>
      <c r="AG12">
        <v>3.2040000000000002</v>
      </c>
      <c r="AH12">
        <v>3.2160000000000002</v>
      </c>
      <c r="AI12">
        <v>0</v>
      </c>
      <c r="AJ12" s="2">
        <v>45512</v>
      </c>
      <c r="AK12">
        <v>3.2930000000000001</v>
      </c>
      <c r="AL12">
        <v>3.1880000000000002</v>
      </c>
      <c r="AM12">
        <v>3.121</v>
      </c>
      <c r="AN12">
        <v>3.0489999999999999</v>
      </c>
      <c r="AO12">
        <v>3.044</v>
      </c>
      <c r="AP12">
        <v>2.97</v>
      </c>
      <c r="AQ12">
        <v>2.98</v>
      </c>
      <c r="AR12">
        <v>2.9849999999999999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s="34" t="s">
        <v>832</v>
      </c>
      <c r="B13" s="2">
        <v>45511</v>
      </c>
      <c r="C13">
        <v>3.355</v>
      </c>
      <c r="D13">
        <v>3.2309999999999999</v>
      </c>
      <c r="E13">
        <v>3.1379999999999999</v>
      </c>
      <c r="F13">
        <v>3.1019999999999999</v>
      </c>
      <c r="G13">
        <v>3.07</v>
      </c>
      <c r="H13">
        <v>3.0310000000000001</v>
      </c>
      <c r="I13">
        <v>2.952</v>
      </c>
      <c r="J13">
        <v>2.931</v>
      </c>
      <c r="K13">
        <v>2.956</v>
      </c>
      <c r="L13">
        <v>2.95</v>
      </c>
      <c r="M13">
        <v>3.0059999999999998</v>
      </c>
      <c r="N13">
        <v>3.0019999999999998</v>
      </c>
      <c r="O13">
        <v>3.0169999999999999</v>
      </c>
      <c r="P13">
        <v>2.9889999999999999</v>
      </c>
      <c r="Q13">
        <v>2.9</v>
      </c>
      <c r="R13">
        <v>2.8420000000000001</v>
      </c>
      <c r="S13" s="2">
        <v>45511</v>
      </c>
      <c r="T13">
        <v>3.3759999999999999</v>
      </c>
      <c r="U13">
        <v>3.343</v>
      </c>
      <c r="V13">
        <v>3.28</v>
      </c>
      <c r="W13">
        <v>3.2469999999999999</v>
      </c>
      <c r="X13">
        <v>3.1789999999999998</v>
      </c>
      <c r="Y13">
        <v>3.14</v>
      </c>
      <c r="Z13">
        <v>3.1259999999999999</v>
      </c>
      <c r="AA13">
        <v>3.133</v>
      </c>
      <c r="AB13">
        <v>3.1389999999999998</v>
      </c>
      <c r="AC13">
        <v>3.1429999999999998</v>
      </c>
      <c r="AD13">
        <v>3.1509999999999998</v>
      </c>
      <c r="AE13">
        <v>3.1829999999999998</v>
      </c>
      <c r="AF13">
        <v>3.214</v>
      </c>
      <c r="AG13">
        <v>3.198</v>
      </c>
      <c r="AH13">
        <v>3.2160000000000002</v>
      </c>
      <c r="AI13">
        <v>0</v>
      </c>
      <c r="AJ13" s="2">
        <v>45511</v>
      </c>
      <c r="AK13">
        <v>3.2949999999999999</v>
      </c>
      <c r="AL13">
        <v>3.19</v>
      </c>
      <c r="AM13">
        <v>3.13</v>
      </c>
      <c r="AN13">
        <v>3.07</v>
      </c>
      <c r="AO13">
        <v>3.0609999999999999</v>
      </c>
      <c r="AP13">
        <v>2.9849999999999999</v>
      </c>
      <c r="AQ13">
        <v>2.9950000000000001</v>
      </c>
      <c r="AR13">
        <v>2.9969999999999999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s="34" t="s">
        <v>833</v>
      </c>
      <c r="B14" s="2">
        <v>45510</v>
      </c>
      <c r="C14">
        <v>3.34</v>
      </c>
      <c r="D14">
        <v>3.2330000000000001</v>
      </c>
      <c r="E14">
        <v>3.121</v>
      </c>
      <c r="F14">
        <v>3.1040000000000001</v>
      </c>
      <c r="G14">
        <v>3.0750000000000002</v>
      </c>
      <c r="H14">
        <v>3.04</v>
      </c>
      <c r="I14">
        <v>2.9580000000000002</v>
      </c>
      <c r="J14">
        <v>2.94</v>
      </c>
      <c r="K14">
        <v>2.96</v>
      </c>
      <c r="L14">
        <v>2.9550000000000001</v>
      </c>
      <c r="M14">
        <v>3.0049999999999999</v>
      </c>
      <c r="N14">
        <v>2.9969999999999999</v>
      </c>
      <c r="O14">
        <v>3.0169999999999999</v>
      </c>
      <c r="P14">
        <v>2.9950000000000001</v>
      </c>
      <c r="Q14">
        <v>2.915</v>
      </c>
      <c r="R14">
        <v>2.8570000000000002</v>
      </c>
      <c r="S14" s="2">
        <v>45510</v>
      </c>
      <c r="T14">
        <v>3.3610000000000002</v>
      </c>
      <c r="U14">
        <v>3.3439999999999999</v>
      </c>
      <c r="V14">
        <v>3.278</v>
      </c>
      <c r="W14">
        <v>3.2440000000000002</v>
      </c>
      <c r="X14">
        <v>3.1789999999999998</v>
      </c>
      <c r="Y14">
        <v>3.1539999999999999</v>
      </c>
      <c r="Z14">
        <v>3.1339999999999999</v>
      </c>
      <c r="AA14">
        <v>3.145</v>
      </c>
      <c r="AB14">
        <v>3.141</v>
      </c>
      <c r="AC14">
        <v>3.1469999999999998</v>
      </c>
      <c r="AD14">
        <v>3.15</v>
      </c>
      <c r="AE14">
        <v>3.1739999999999999</v>
      </c>
      <c r="AF14">
        <v>3.2130000000000001</v>
      </c>
      <c r="AG14">
        <v>3.2040000000000002</v>
      </c>
      <c r="AH14">
        <v>3.2309999999999999</v>
      </c>
      <c r="AI14">
        <v>0</v>
      </c>
      <c r="AJ14" s="2">
        <v>45510</v>
      </c>
      <c r="AK14">
        <v>3.298</v>
      </c>
      <c r="AL14">
        <v>3.194</v>
      </c>
      <c r="AM14">
        <v>3.13</v>
      </c>
      <c r="AN14">
        <v>3.0670000000000002</v>
      </c>
      <c r="AO14">
        <v>3.0609999999999999</v>
      </c>
      <c r="AP14">
        <v>2.9990000000000001</v>
      </c>
      <c r="AQ14">
        <v>3.0030000000000001</v>
      </c>
      <c r="AR14">
        <v>3.0049999999999999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s="34" t="s">
        <v>834</v>
      </c>
      <c r="B15" s="2">
        <v>45509</v>
      </c>
      <c r="C15">
        <v>3.331</v>
      </c>
      <c r="D15">
        <v>3.1960000000000002</v>
      </c>
      <c r="E15">
        <v>3.0830000000000002</v>
      </c>
      <c r="F15">
        <v>3.06</v>
      </c>
      <c r="G15">
        <v>3.0059999999999998</v>
      </c>
      <c r="H15">
        <v>2.9260000000000002</v>
      </c>
      <c r="I15">
        <v>2.8380000000000001</v>
      </c>
      <c r="J15">
        <v>2.8149999999999999</v>
      </c>
      <c r="K15">
        <v>2.835</v>
      </c>
      <c r="L15">
        <v>2.83</v>
      </c>
      <c r="M15">
        <v>2.89</v>
      </c>
      <c r="N15">
        <v>2.8919999999999999</v>
      </c>
      <c r="O15">
        <v>2.92</v>
      </c>
      <c r="P15">
        <v>2.907</v>
      </c>
      <c r="Q15">
        <v>2.84</v>
      </c>
      <c r="R15">
        <v>2.782</v>
      </c>
      <c r="S15" s="2">
        <v>45509</v>
      </c>
      <c r="T15">
        <v>3.351</v>
      </c>
      <c r="U15">
        <v>3.3279999999999998</v>
      </c>
      <c r="V15">
        <v>3.2530000000000001</v>
      </c>
      <c r="W15">
        <v>3.2050000000000001</v>
      </c>
      <c r="X15">
        <v>3.1080000000000001</v>
      </c>
      <c r="Y15">
        <v>3.0489999999999999</v>
      </c>
      <c r="Z15">
        <v>3.02</v>
      </c>
      <c r="AA15">
        <v>3.024</v>
      </c>
      <c r="AB15">
        <v>3.016</v>
      </c>
      <c r="AC15">
        <v>3.0230000000000001</v>
      </c>
      <c r="AD15">
        <v>3.0339999999999998</v>
      </c>
      <c r="AE15">
        <v>3.0659999999999998</v>
      </c>
      <c r="AF15">
        <v>3.1160000000000001</v>
      </c>
      <c r="AG15">
        <v>3.1160000000000001</v>
      </c>
      <c r="AH15">
        <v>3.1560000000000001</v>
      </c>
      <c r="AI15">
        <v>0</v>
      </c>
      <c r="AJ15" s="2">
        <v>45509</v>
      </c>
      <c r="AK15">
        <v>3.2930000000000001</v>
      </c>
      <c r="AL15">
        <v>3.1840000000000002</v>
      </c>
      <c r="AM15">
        <v>3.11</v>
      </c>
      <c r="AN15">
        <v>3.0259999999999998</v>
      </c>
      <c r="AO15">
        <v>2.9849999999999999</v>
      </c>
      <c r="AP15">
        <v>2.89</v>
      </c>
      <c r="AQ15">
        <v>2.887</v>
      </c>
      <c r="AR15">
        <v>2.8849999999999998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s="34" t="s">
        <v>835</v>
      </c>
      <c r="B16" s="2">
        <v>45506</v>
      </c>
      <c r="C16">
        <v>3.3650000000000002</v>
      </c>
      <c r="D16">
        <v>3.25</v>
      </c>
      <c r="E16">
        <v>3.145</v>
      </c>
      <c r="F16">
        <v>3.1269999999999998</v>
      </c>
      <c r="G16">
        <v>3.09</v>
      </c>
      <c r="H16">
        <v>3.0369999999999999</v>
      </c>
      <c r="I16">
        <v>2.9670000000000001</v>
      </c>
      <c r="J16">
        <v>2.9359999999999999</v>
      </c>
      <c r="K16">
        <v>2.9590000000000001</v>
      </c>
      <c r="L16">
        <v>2.9420000000000002</v>
      </c>
      <c r="M16">
        <v>2.9849999999999999</v>
      </c>
      <c r="N16">
        <v>2.97</v>
      </c>
      <c r="O16">
        <v>2.9870000000000001</v>
      </c>
      <c r="P16">
        <v>2.9620000000000002</v>
      </c>
      <c r="Q16">
        <v>2.8730000000000002</v>
      </c>
      <c r="R16">
        <v>2.8149999999999999</v>
      </c>
      <c r="S16" s="2">
        <v>45506</v>
      </c>
      <c r="T16">
        <v>3.39</v>
      </c>
      <c r="U16">
        <v>3.379</v>
      </c>
      <c r="V16">
        <v>3.3069999999999999</v>
      </c>
      <c r="W16">
        <v>3.258</v>
      </c>
      <c r="X16">
        <v>3.1859999999999999</v>
      </c>
      <c r="Y16">
        <v>3.1549999999999998</v>
      </c>
      <c r="Z16">
        <v>3.1429999999999998</v>
      </c>
      <c r="AA16">
        <v>3.14</v>
      </c>
      <c r="AB16">
        <v>3.1349999999999998</v>
      </c>
      <c r="AC16">
        <v>3.13</v>
      </c>
      <c r="AD16">
        <v>3.1150000000000002</v>
      </c>
      <c r="AE16">
        <v>3.1309999999999998</v>
      </c>
      <c r="AF16">
        <v>3.1779999999999999</v>
      </c>
      <c r="AG16">
        <v>3.1680000000000001</v>
      </c>
      <c r="AH16">
        <v>3.1869999999999998</v>
      </c>
      <c r="AI16">
        <v>0</v>
      </c>
      <c r="AJ16" s="2">
        <v>45506</v>
      </c>
      <c r="AK16">
        <v>3.34</v>
      </c>
      <c r="AL16">
        <v>3.2440000000000002</v>
      </c>
      <c r="AM16">
        <v>3.1789999999999998</v>
      </c>
      <c r="AN16">
        <v>3.09</v>
      </c>
      <c r="AO16">
        <v>3.0750000000000002</v>
      </c>
      <c r="AP16">
        <v>3.0049999999999999</v>
      </c>
      <c r="AQ16">
        <v>3.0049999999999999</v>
      </c>
      <c r="AR16">
        <v>3.0049999999999999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s="34" t="s">
        <v>819</v>
      </c>
      <c r="B17" s="2">
        <v>45505</v>
      </c>
      <c r="C17">
        <v>3.3690000000000002</v>
      </c>
      <c r="D17">
        <v>3.2549999999999999</v>
      </c>
      <c r="E17">
        <v>3.161</v>
      </c>
      <c r="F17">
        <v>3.1389999999999998</v>
      </c>
      <c r="G17">
        <v>3.105</v>
      </c>
      <c r="H17">
        <v>3.06</v>
      </c>
      <c r="I17">
        <v>3.0070000000000001</v>
      </c>
      <c r="J17">
        <v>2.9750000000000001</v>
      </c>
      <c r="K17">
        <v>2.9990000000000001</v>
      </c>
      <c r="L17">
        <v>2.9849999999999999</v>
      </c>
      <c r="M17">
        <v>3.028</v>
      </c>
      <c r="N17">
        <v>3.012</v>
      </c>
      <c r="O17">
        <v>3.0289999999999999</v>
      </c>
      <c r="P17">
        <v>3.0049999999999999</v>
      </c>
      <c r="Q17">
        <v>2.9169999999999998</v>
      </c>
      <c r="R17">
        <v>2.86</v>
      </c>
      <c r="S17" s="2">
        <v>45505</v>
      </c>
      <c r="T17">
        <v>3.3929999999999998</v>
      </c>
      <c r="U17">
        <v>3.3860000000000001</v>
      </c>
      <c r="V17">
        <v>3.3210000000000002</v>
      </c>
      <c r="W17">
        <v>3.2770000000000001</v>
      </c>
      <c r="X17">
        <v>3.2210000000000001</v>
      </c>
      <c r="Y17">
        <v>3.1829999999999998</v>
      </c>
      <c r="Z17">
        <v>3.1739999999999999</v>
      </c>
      <c r="AA17">
        <v>3.1760000000000002</v>
      </c>
      <c r="AB17">
        <v>3.17</v>
      </c>
      <c r="AC17">
        <v>3.1680000000000001</v>
      </c>
      <c r="AD17">
        <v>3.1549999999999998</v>
      </c>
      <c r="AE17">
        <v>3.1720000000000002</v>
      </c>
      <c r="AF17">
        <v>3.22</v>
      </c>
      <c r="AG17">
        <v>3.2120000000000002</v>
      </c>
      <c r="AH17">
        <v>3.2320000000000002</v>
      </c>
      <c r="AI17">
        <v>0</v>
      </c>
      <c r="AJ17" s="2">
        <v>45505</v>
      </c>
      <c r="AK17">
        <v>3.343</v>
      </c>
      <c r="AL17">
        <v>3.25</v>
      </c>
      <c r="AM17">
        <v>3.1930000000000001</v>
      </c>
      <c r="AN17">
        <v>3.1139999999999999</v>
      </c>
      <c r="AO17">
        <v>3.1179999999999999</v>
      </c>
      <c r="AP17">
        <v>3.0379999999999998</v>
      </c>
      <c r="AQ17">
        <v>3.0449999999999999</v>
      </c>
      <c r="AR17">
        <v>3.0419999999999998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s="34" t="s">
        <v>820</v>
      </c>
      <c r="B18" s="2">
        <v>45504</v>
      </c>
      <c r="C18">
        <v>3.3780000000000001</v>
      </c>
      <c r="D18">
        <v>3.2559999999999998</v>
      </c>
      <c r="E18">
        <v>3.165</v>
      </c>
      <c r="F18">
        <v>3.1440000000000001</v>
      </c>
      <c r="G18">
        <v>3.1139999999999999</v>
      </c>
      <c r="H18">
        <v>3.0739999999999998</v>
      </c>
      <c r="I18">
        <v>3.0350000000000001</v>
      </c>
      <c r="J18">
        <v>3</v>
      </c>
      <c r="K18">
        <v>3.03</v>
      </c>
      <c r="L18">
        <v>3.02</v>
      </c>
      <c r="M18">
        <v>3.069</v>
      </c>
      <c r="N18">
        <v>3.0569999999999999</v>
      </c>
      <c r="O18">
        <v>3.0680000000000001</v>
      </c>
      <c r="P18">
        <v>3.0369999999999999</v>
      </c>
      <c r="Q18">
        <v>2.9449999999999998</v>
      </c>
      <c r="R18">
        <v>2.887</v>
      </c>
      <c r="S18" s="2">
        <v>45504</v>
      </c>
      <c r="T18">
        <v>3.3929999999999998</v>
      </c>
      <c r="U18">
        <v>3.391</v>
      </c>
      <c r="V18">
        <v>3.3319999999999999</v>
      </c>
      <c r="W18">
        <v>3.2959999999999998</v>
      </c>
      <c r="X18">
        <v>3.2330000000000001</v>
      </c>
      <c r="Y18">
        <v>3.2</v>
      </c>
      <c r="Z18">
        <v>3.1949999999999998</v>
      </c>
      <c r="AA18">
        <v>3.1930000000000001</v>
      </c>
      <c r="AB18">
        <v>3.1960000000000002</v>
      </c>
      <c r="AC18">
        <v>3.2</v>
      </c>
      <c r="AD18">
        <v>3.1909999999999998</v>
      </c>
      <c r="AE18">
        <v>3.2149999999999999</v>
      </c>
      <c r="AF18">
        <v>3.258</v>
      </c>
      <c r="AG18">
        <v>3.2440000000000002</v>
      </c>
      <c r="AH18">
        <v>3.26</v>
      </c>
      <c r="AI18">
        <v>0</v>
      </c>
      <c r="AJ18" s="2">
        <v>45504</v>
      </c>
      <c r="AK18">
        <v>3.343</v>
      </c>
      <c r="AL18">
        <v>3.2549999999999999</v>
      </c>
      <c r="AM18">
        <v>3.2040000000000002</v>
      </c>
      <c r="AN18">
        <v>3.1360000000000001</v>
      </c>
      <c r="AO18">
        <v>3.13</v>
      </c>
      <c r="AP18">
        <v>3.06</v>
      </c>
      <c r="AQ18">
        <v>3.07</v>
      </c>
      <c r="AR18">
        <v>3.0659999999999998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s="34" t="s">
        <v>821</v>
      </c>
      <c r="B19" s="2">
        <v>45503</v>
      </c>
      <c r="C19">
        <v>3.3759999999999999</v>
      </c>
      <c r="D19">
        <v>3.2559999999999998</v>
      </c>
      <c r="E19">
        <v>3.1680000000000001</v>
      </c>
      <c r="F19">
        <v>3.1469999999999998</v>
      </c>
      <c r="G19">
        <v>3.1150000000000002</v>
      </c>
      <c r="H19">
        <v>3.069</v>
      </c>
      <c r="I19">
        <v>3.024</v>
      </c>
      <c r="J19">
        <v>2.9940000000000002</v>
      </c>
      <c r="K19">
        <v>3.0169999999999999</v>
      </c>
      <c r="L19">
        <v>3.0089999999999999</v>
      </c>
      <c r="M19">
        <v>3.0619999999999998</v>
      </c>
      <c r="N19">
        <v>3.0550000000000002</v>
      </c>
      <c r="O19">
        <v>3.0649999999999999</v>
      </c>
      <c r="P19">
        <v>3.0350000000000001</v>
      </c>
      <c r="Q19">
        <v>2.9420000000000002</v>
      </c>
      <c r="R19">
        <v>2.8849999999999998</v>
      </c>
      <c r="S19" s="2">
        <v>45503</v>
      </c>
      <c r="T19">
        <v>3.3929999999999998</v>
      </c>
      <c r="U19">
        <v>3.3889999999999998</v>
      </c>
      <c r="V19">
        <v>3.3319999999999999</v>
      </c>
      <c r="W19">
        <v>3.3</v>
      </c>
      <c r="X19">
        <v>3.23</v>
      </c>
      <c r="Y19">
        <v>3.2</v>
      </c>
      <c r="Z19">
        <v>3.1859999999999999</v>
      </c>
      <c r="AA19">
        <v>3.1869999999999998</v>
      </c>
      <c r="AB19">
        <v>3.1819999999999999</v>
      </c>
      <c r="AC19">
        <v>3.1869999999999998</v>
      </c>
      <c r="AD19">
        <v>3.1859999999999999</v>
      </c>
      <c r="AE19">
        <v>3.2149999999999999</v>
      </c>
      <c r="AF19">
        <v>3.258</v>
      </c>
      <c r="AG19">
        <v>3.2440000000000002</v>
      </c>
      <c r="AH19">
        <v>3.2589999999999999</v>
      </c>
      <c r="AI19">
        <v>0</v>
      </c>
      <c r="AJ19" s="2">
        <v>45503</v>
      </c>
      <c r="AK19">
        <v>3.343</v>
      </c>
      <c r="AL19">
        <v>3.2570000000000001</v>
      </c>
      <c r="AM19">
        <v>3.2090000000000001</v>
      </c>
      <c r="AN19">
        <v>3.1480000000000001</v>
      </c>
      <c r="AO19">
        <v>3.125</v>
      </c>
      <c r="AP19">
        <v>3.06</v>
      </c>
      <c r="AQ19">
        <v>3.0649999999999999</v>
      </c>
      <c r="AR19">
        <v>3.06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s="34" t="s">
        <v>822</v>
      </c>
      <c r="B20" s="2">
        <v>45502</v>
      </c>
      <c r="C20">
        <v>3.375</v>
      </c>
      <c r="D20">
        <v>3.258</v>
      </c>
      <c r="E20">
        <v>3.165</v>
      </c>
      <c r="F20">
        <v>3.1419999999999999</v>
      </c>
      <c r="G20">
        <v>3.1019999999999999</v>
      </c>
      <c r="H20">
        <v>3.0529999999999999</v>
      </c>
      <c r="I20">
        <v>3.0019999999999998</v>
      </c>
      <c r="J20">
        <v>2.972</v>
      </c>
      <c r="K20">
        <v>2.9950000000000001</v>
      </c>
      <c r="L20">
        <v>2.9860000000000002</v>
      </c>
      <c r="M20">
        <v>3.0430000000000001</v>
      </c>
      <c r="N20">
        <v>3.0419999999999998</v>
      </c>
      <c r="O20">
        <v>3.0539999999999998</v>
      </c>
      <c r="P20">
        <v>3.0249999999999999</v>
      </c>
      <c r="Q20">
        <v>2.9369999999999998</v>
      </c>
      <c r="R20">
        <v>2.88</v>
      </c>
      <c r="S20" s="2">
        <v>45502</v>
      </c>
      <c r="T20">
        <v>3.39</v>
      </c>
      <c r="U20">
        <v>3.3879999999999999</v>
      </c>
      <c r="V20">
        <v>3.3279999999999998</v>
      </c>
      <c r="W20">
        <v>3.2959999999999998</v>
      </c>
      <c r="X20">
        <v>3.2130000000000001</v>
      </c>
      <c r="Y20">
        <v>3.1749999999999998</v>
      </c>
      <c r="Z20">
        <v>3.16</v>
      </c>
      <c r="AA20">
        <v>3.1619999999999999</v>
      </c>
      <c r="AB20">
        <v>3.1560000000000001</v>
      </c>
      <c r="AC20">
        <v>3.16</v>
      </c>
      <c r="AD20">
        <v>3.1629999999999998</v>
      </c>
      <c r="AE20">
        <v>3.2010000000000001</v>
      </c>
      <c r="AF20">
        <v>3.246</v>
      </c>
      <c r="AG20">
        <v>3.234</v>
      </c>
      <c r="AH20">
        <v>3.254</v>
      </c>
      <c r="AI20">
        <v>0</v>
      </c>
      <c r="AJ20" s="2">
        <v>45502</v>
      </c>
      <c r="AK20">
        <v>3.343</v>
      </c>
      <c r="AL20">
        <v>3.2570000000000001</v>
      </c>
      <c r="AM20">
        <v>3.2109999999999999</v>
      </c>
      <c r="AN20">
        <v>3.1480000000000001</v>
      </c>
      <c r="AO20">
        <v>3.1080000000000001</v>
      </c>
      <c r="AP20">
        <v>3.04</v>
      </c>
      <c r="AQ20">
        <v>3.044</v>
      </c>
      <c r="AR20">
        <v>3.0390000000000001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s="34" t="s">
        <v>823</v>
      </c>
      <c r="B21" s="2">
        <v>45499</v>
      </c>
      <c r="C21">
        <v>3.3780000000000001</v>
      </c>
      <c r="D21">
        <v>3.2749999999999999</v>
      </c>
      <c r="E21">
        <v>3.18</v>
      </c>
      <c r="F21">
        <v>3.165</v>
      </c>
      <c r="G21">
        <v>3.137</v>
      </c>
      <c r="H21">
        <v>3.0880000000000001</v>
      </c>
      <c r="I21">
        <v>3.05</v>
      </c>
      <c r="J21">
        <v>3.0169999999999999</v>
      </c>
      <c r="K21">
        <v>3.048</v>
      </c>
      <c r="L21">
        <v>3.04</v>
      </c>
      <c r="M21">
        <v>3.1019999999999999</v>
      </c>
      <c r="N21">
        <v>3.1040000000000001</v>
      </c>
      <c r="O21">
        <v>3.1139999999999999</v>
      </c>
      <c r="P21">
        <v>3.0819999999999999</v>
      </c>
      <c r="Q21">
        <v>2.99</v>
      </c>
      <c r="R21">
        <v>2.9319999999999999</v>
      </c>
      <c r="S21" s="2">
        <v>45499</v>
      </c>
      <c r="T21">
        <v>3.3929999999999998</v>
      </c>
      <c r="U21">
        <v>3.3929999999999998</v>
      </c>
      <c r="V21">
        <v>3.3330000000000002</v>
      </c>
      <c r="W21">
        <v>3.31</v>
      </c>
      <c r="X21">
        <v>3.2429999999999999</v>
      </c>
      <c r="Y21">
        <v>3.2029999999999998</v>
      </c>
      <c r="Z21">
        <v>3.1970000000000001</v>
      </c>
      <c r="AA21">
        <v>3.198</v>
      </c>
      <c r="AB21">
        <v>3.206</v>
      </c>
      <c r="AC21">
        <v>3.2109999999999999</v>
      </c>
      <c r="AD21">
        <v>3.2189999999999999</v>
      </c>
      <c r="AE21">
        <v>3.2650000000000001</v>
      </c>
      <c r="AF21">
        <v>3.306</v>
      </c>
      <c r="AG21">
        <v>3.2909999999999999</v>
      </c>
      <c r="AH21">
        <v>3.3069999999999999</v>
      </c>
      <c r="AI21">
        <v>0</v>
      </c>
      <c r="AJ21" s="2">
        <v>45499</v>
      </c>
      <c r="AK21">
        <v>3.3479999999999999</v>
      </c>
      <c r="AL21">
        <v>3.2639999999999998</v>
      </c>
      <c r="AM21">
        <v>3.2229999999999999</v>
      </c>
      <c r="AN21">
        <v>3.1680000000000001</v>
      </c>
      <c r="AO21">
        <v>3.1459999999999999</v>
      </c>
      <c r="AP21">
        <v>3.08</v>
      </c>
      <c r="AQ21">
        <v>3.089</v>
      </c>
      <c r="AR21">
        <v>3.0840000000000001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B22" s="2">
        <v>45498</v>
      </c>
      <c r="C22">
        <v>3.3780000000000001</v>
      </c>
      <c r="D22">
        <v>3.28</v>
      </c>
      <c r="E22">
        <v>3.2029999999999998</v>
      </c>
      <c r="F22">
        <v>3.1890000000000001</v>
      </c>
      <c r="G22">
        <v>3.1349999999999998</v>
      </c>
      <c r="H22">
        <v>3.0920000000000001</v>
      </c>
      <c r="I22">
        <v>3.048</v>
      </c>
      <c r="J22">
        <v>3.02</v>
      </c>
      <c r="K22">
        <v>3.0569999999999999</v>
      </c>
      <c r="L22">
        <v>3.052</v>
      </c>
      <c r="M22">
        <v>3.1160000000000001</v>
      </c>
      <c r="N22">
        <v>3.1219999999999999</v>
      </c>
      <c r="O22">
        <v>3.1259999999999999</v>
      </c>
      <c r="P22">
        <v>3.085</v>
      </c>
      <c r="Q22">
        <v>3</v>
      </c>
      <c r="R22">
        <v>2.9420000000000002</v>
      </c>
      <c r="S22" s="2">
        <v>45498</v>
      </c>
      <c r="T22">
        <v>3.3929999999999998</v>
      </c>
      <c r="U22">
        <v>3.3889999999999998</v>
      </c>
      <c r="V22">
        <v>3.3330000000000002</v>
      </c>
      <c r="W22">
        <v>3.3149999999999999</v>
      </c>
      <c r="X22">
        <v>3.24</v>
      </c>
      <c r="Y22">
        <v>3.1920000000000002</v>
      </c>
      <c r="Z22">
        <v>3.1850000000000001</v>
      </c>
      <c r="AA22">
        <v>3.1920000000000002</v>
      </c>
      <c r="AB22">
        <v>3.2120000000000002</v>
      </c>
      <c r="AC22">
        <v>3.22</v>
      </c>
      <c r="AD22">
        <v>3.2309999999999999</v>
      </c>
      <c r="AE22">
        <v>3.2829999999999999</v>
      </c>
      <c r="AF22">
        <v>3.3180000000000001</v>
      </c>
      <c r="AG22">
        <v>3.294</v>
      </c>
      <c r="AH22">
        <v>3.3170000000000002</v>
      </c>
      <c r="AI22">
        <v>0</v>
      </c>
      <c r="AJ22" s="2">
        <v>45498</v>
      </c>
      <c r="AK22">
        <v>3.3479999999999999</v>
      </c>
      <c r="AL22">
        <v>3.2650000000000001</v>
      </c>
      <c r="AM22">
        <v>3.2280000000000002</v>
      </c>
      <c r="AN22">
        <v>3.1819999999999999</v>
      </c>
      <c r="AO22">
        <v>3.1480000000000001</v>
      </c>
      <c r="AP22">
        <v>3.0750000000000002</v>
      </c>
      <c r="AQ22">
        <v>3.089</v>
      </c>
      <c r="AR22">
        <v>3.0859999999999999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B23" s="2">
        <v>45497</v>
      </c>
      <c r="C23">
        <v>3.3780000000000001</v>
      </c>
      <c r="D23">
        <v>3.286</v>
      </c>
      <c r="E23">
        <v>3.214</v>
      </c>
      <c r="F23">
        <v>3.21</v>
      </c>
      <c r="G23">
        <v>3.1589999999999998</v>
      </c>
      <c r="H23">
        <v>3.1150000000000002</v>
      </c>
      <c r="I23">
        <v>3.0750000000000002</v>
      </c>
      <c r="J23">
        <v>3.0449999999999999</v>
      </c>
      <c r="K23">
        <v>3.085</v>
      </c>
      <c r="L23">
        <v>3.0739999999999998</v>
      </c>
      <c r="M23">
        <v>3.1320000000000001</v>
      </c>
      <c r="N23">
        <v>3.1320000000000001</v>
      </c>
      <c r="O23">
        <v>3.133</v>
      </c>
      <c r="P23">
        <v>3.0870000000000002</v>
      </c>
      <c r="Q23">
        <v>3.0049999999999999</v>
      </c>
      <c r="R23">
        <v>2.9470000000000001</v>
      </c>
      <c r="S23" s="2">
        <v>45497</v>
      </c>
      <c r="T23">
        <v>3.395</v>
      </c>
      <c r="U23">
        <v>3.399</v>
      </c>
      <c r="V23">
        <v>3.347</v>
      </c>
      <c r="W23">
        <v>3.3359999999999999</v>
      </c>
      <c r="X23">
        <v>3.2629999999999999</v>
      </c>
      <c r="Y23">
        <v>3.2149999999999999</v>
      </c>
      <c r="Z23">
        <v>3.21</v>
      </c>
      <c r="AA23">
        <v>3.214</v>
      </c>
      <c r="AB23">
        <v>3.2370000000000001</v>
      </c>
      <c r="AC23">
        <v>3.2370000000000001</v>
      </c>
      <c r="AD23">
        <v>3.2450000000000001</v>
      </c>
      <c r="AE23">
        <v>3.2930000000000001</v>
      </c>
      <c r="AF23">
        <v>3.3250000000000002</v>
      </c>
      <c r="AG23">
        <v>3.2959999999999998</v>
      </c>
      <c r="AH23">
        <v>3.3220000000000001</v>
      </c>
      <c r="AI23">
        <v>0</v>
      </c>
      <c r="AJ23" s="2">
        <v>45497</v>
      </c>
      <c r="AK23">
        <v>3.3530000000000002</v>
      </c>
      <c r="AL23">
        <v>3.2789999999999999</v>
      </c>
      <c r="AM23">
        <v>3.2429999999999999</v>
      </c>
      <c r="AN23">
        <v>3.2040000000000002</v>
      </c>
      <c r="AO23">
        <v>3.1739999999999999</v>
      </c>
      <c r="AP23">
        <v>3.0979999999999999</v>
      </c>
      <c r="AQ23">
        <v>3.1139999999999999</v>
      </c>
      <c r="AR23">
        <v>3.11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B24" s="2">
        <v>45496</v>
      </c>
      <c r="C24">
        <v>3.38</v>
      </c>
      <c r="D24">
        <v>3.2930000000000001</v>
      </c>
      <c r="E24">
        <v>3.22</v>
      </c>
      <c r="F24">
        <v>3.2240000000000002</v>
      </c>
      <c r="G24">
        <v>3.1829999999999998</v>
      </c>
      <c r="H24">
        <v>3.1429999999999998</v>
      </c>
      <c r="I24">
        <v>3.113</v>
      </c>
      <c r="J24">
        <v>3.0870000000000002</v>
      </c>
      <c r="K24">
        <v>3.1219999999999999</v>
      </c>
      <c r="L24">
        <v>3.1120000000000001</v>
      </c>
      <c r="M24">
        <v>3.1709999999999998</v>
      </c>
      <c r="N24">
        <v>3.1720000000000002</v>
      </c>
      <c r="O24">
        <v>3.1680000000000001</v>
      </c>
      <c r="P24">
        <v>3.117</v>
      </c>
      <c r="Q24">
        <v>3.0350000000000001</v>
      </c>
      <c r="R24">
        <v>2.9769999999999999</v>
      </c>
      <c r="S24" s="2">
        <v>45496</v>
      </c>
      <c r="T24">
        <v>3.3980000000000001</v>
      </c>
      <c r="U24">
        <v>3.411</v>
      </c>
      <c r="V24">
        <v>3.3660000000000001</v>
      </c>
      <c r="W24">
        <v>3.3570000000000002</v>
      </c>
      <c r="X24">
        <v>3.27</v>
      </c>
      <c r="Y24">
        <v>3.24</v>
      </c>
      <c r="Z24">
        <v>3.238</v>
      </c>
      <c r="AA24">
        <v>3.242</v>
      </c>
      <c r="AB24">
        <v>3.2679999999999998</v>
      </c>
      <c r="AC24">
        <v>3.2730000000000001</v>
      </c>
      <c r="AD24">
        <v>3.2850000000000001</v>
      </c>
      <c r="AE24">
        <v>3.3330000000000002</v>
      </c>
      <c r="AF24">
        <v>3.36</v>
      </c>
      <c r="AG24">
        <v>3.3260000000000001</v>
      </c>
      <c r="AH24">
        <v>3.3519999999999999</v>
      </c>
      <c r="AI24">
        <v>0</v>
      </c>
      <c r="AJ24" s="2">
        <v>45496</v>
      </c>
      <c r="AK24">
        <v>3.355</v>
      </c>
      <c r="AL24">
        <v>3.2890000000000001</v>
      </c>
      <c r="AM24">
        <v>3.2629999999999999</v>
      </c>
      <c r="AN24">
        <v>3.2269999999999999</v>
      </c>
      <c r="AO24">
        <v>3.1840000000000002</v>
      </c>
      <c r="AP24">
        <v>3.1320000000000001</v>
      </c>
      <c r="AQ24">
        <v>3.1509999999999998</v>
      </c>
      <c r="AR24">
        <v>3.1520000000000001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B25" s="2">
        <v>45495</v>
      </c>
      <c r="C25">
        <v>3.3809999999999998</v>
      </c>
      <c r="D25">
        <v>3.2930000000000001</v>
      </c>
      <c r="E25">
        <v>3.2210000000000001</v>
      </c>
      <c r="F25">
        <v>3.23</v>
      </c>
      <c r="G25">
        <v>3.1789999999999998</v>
      </c>
      <c r="H25">
        <v>3.1259999999999999</v>
      </c>
      <c r="I25">
        <v>3.0950000000000002</v>
      </c>
      <c r="J25">
        <v>3.069</v>
      </c>
      <c r="K25">
        <v>3.1</v>
      </c>
      <c r="L25">
        <v>3.085</v>
      </c>
      <c r="M25">
        <v>3.1429999999999998</v>
      </c>
      <c r="N25">
        <v>3.1429999999999998</v>
      </c>
      <c r="O25">
        <v>3.141</v>
      </c>
      <c r="P25">
        <v>3.0950000000000002</v>
      </c>
      <c r="Q25">
        <v>3.0139999999999998</v>
      </c>
      <c r="R25">
        <v>2.956</v>
      </c>
      <c r="S25" s="2">
        <v>45495</v>
      </c>
      <c r="T25">
        <v>3.3969999999999998</v>
      </c>
      <c r="U25">
        <v>3.4079999999999999</v>
      </c>
      <c r="V25">
        <v>3.3679999999999999</v>
      </c>
      <c r="W25">
        <v>3.3570000000000002</v>
      </c>
      <c r="X25">
        <v>3.25</v>
      </c>
      <c r="Y25">
        <v>3.2240000000000002</v>
      </c>
      <c r="Z25">
        <v>3.2240000000000002</v>
      </c>
      <c r="AA25">
        <v>3.226</v>
      </c>
      <c r="AB25">
        <v>3.2469999999999999</v>
      </c>
      <c r="AC25">
        <v>3.246</v>
      </c>
      <c r="AD25">
        <v>3.254</v>
      </c>
      <c r="AE25">
        <v>3.3039999999999998</v>
      </c>
      <c r="AF25">
        <v>3.3330000000000002</v>
      </c>
      <c r="AG25">
        <v>3.3050000000000002</v>
      </c>
      <c r="AH25">
        <v>3.331</v>
      </c>
      <c r="AI25">
        <v>0</v>
      </c>
      <c r="AJ25" s="2">
        <v>45495</v>
      </c>
      <c r="AK25">
        <v>3.36</v>
      </c>
      <c r="AL25">
        <v>3.2890000000000001</v>
      </c>
      <c r="AM25">
        <v>3.2669999999999999</v>
      </c>
      <c r="AN25">
        <v>3.2269999999999999</v>
      </c>
      <c r="AO25">
        <v>3.1640000000000001</v>
      </c>
      <c r="AP25">
        <v>3.1150000000000002</v>
      </c>
      <c r="AQ25">
        <v>3.1339999999999999</v>
      </c>
      <c r="AR25">
        <v>3.1339999999999999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B26" s="2">
        <v>45492</v>
      </c>
      <c r="C26">
        <v>3.3809999999999998</v>
      </c>
      <c r="D26">
        <v>3.2930000000000001</v>
      </c>
      <c r="E26">
        <v>3.2210000000000001</v>
      </c>
      <c r="F26">
        <v>3.2280000000000002</v>
      </c>
      <c r="G26">
        <v>3.1819999999999999</v>
      </c>
      <c r="H26">
        <v>3.137</v>
      </c>
      <c r="I26">
        <v>3.1</v>
      </c>
      <c r="J26">
        <v>3.0720000000000001</v>
      </c>
      <c r="K26">
        <v>3.1070000000000002</v>
      </c>
      <c r="L26">
        <v>3.0950000000000002</v>
      </c>
      <c r="M26">
        <v>3.153</v>
      </c>
      <c r="N26">
        <v>3.1520000000000001</v>
      </c>
      <c r="O26">
        <v>3.1509999999999998</v>
      </c>
      <c r="P26">
        <v>3.105</v>
      </c>
      <c r="Q26">
        <v>3.0249999999999999</v>
      </c>
      <c r="R26">
        <v>2.9670000000000001</v>
      </c>
      <c r="S26" s="2">
        <v>45492</v>
      </c>
      <c r="T26">
        <v>3.3969999999999998</v>
      </c>
      <c r="U26">
        <v>3.4079999999999999</v>
      </c>
      <c r="V26">
        <v>3.37</v>
      </c>
      <c r="W26">
        <v>3.3610000000000002</v>
      </c>
      <c r="X26">
        <v>3.254</v>
      </c>
      <c r="Y26">
        <v>3.23</v>
      </c>
      <c r="Z26">
        <v>3.2229999999999999</v>
      </c>
      <c r="AA26">
        <v>3.2240000000000002</v>
      </c>
      <c r="AB26">
        <v>3.2530000000000001</v>
      </c>
      <c r="AC26">
        <v>3.2549999999999999</v>
      </c>
      <c r="AD26">
        <v>3.2629999999999999</v>
      </c>
      <c r="AE26">
        <v>3.3130000000000002</v>
      </c>
      <c r="AF26">
        <v>3.343</v>
      </c>
      <c r="AG26">
        <v>3.3149999999999999</v>
      </c>
      <c r="AH26">
        <v>3.3420000000000001</v>
      </c>
      <c r="AI26">
        <v>0</v>
      </c>
      <c r="AJ26" s="2">
        <v>45492</v>
      </c>
      <c r="AK26">
        <v>3.36</v>
      </c>
      <c r="AL26">
        <v>3.2890000000000001</v>
      </c>
      <c r="AM26">
        <v>3.2690000000000001</v>
      </c>
      <c r="AN26">
        <v>3.23</v>
      </c>
      <c r="AO26">
        <v>3.1680000000000001</v>
      </c>
      <c r="AP26">
        <v>3.1230000000000002</v>
      </c>
      <c r="AQ26">
        <v>3.14</v>
      </c>
      <c r="AR26">
        <v>3.14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B27" s="2">
        <v>45491</v>
      </c>
      <c r="C27">
        <v>3.3809999999999998</v>
      </c>
      <c r="D27">
        <v>3.2909999999999999</v>
      </c>
      <c r="E27">
        <v>3.2149999999999999</v>
      </c>
      <c r="F27">
        <v>3.2109999999999999</v>
      </c>
      <c r="G27">
        <v>3.1669999999999998</v>
      </c>
      <c r="H27">
        <v>3.1179999999999999</v>
      </c>
      <c r="I27">
        <v>3.085</v>
      </c>
      <c r="J27">
        <v>3.06</v>
      </c>
      <c r="K27">
        <v>3.0939999999999999</v>
      </c>
      <c r="L27">
        <v>3.0819999999999999</v>
      </c>
      <c r="M27">
        <v>3.137</v>
      </c>
      <c r="N27">
        <v>3.1349999999999998</v>
      </c>
      <c r="O27">
        <v>3.1349999999999998</v>
      </c>
      <c r="P27">
        <v>3.089</v>
      </c>
      <c r="Q27">
        <v>3.01</v>
      </c>
      <c r="R27">
        <v>2.952</v>
      </c>
      <c r="S27" s="2">
        <v>45491</v>
      </c>
      <c r="T27">
        <v>3.4020000000000001</v>
      </c>
      <c r="U27">
        <v>3.4169999999999998</v>
      </c>
      <c r="V27">
        <v>3.3769999999999998</v>
      </c>
      <c r="W27">
        <v>3.3570000000000002</v>
      </c>
      <c r="X27">
        <v>3.24</v>
      </c>
      <c r="Y27">
        <v>3.2210000000000001</v>
      </c>
      <c r="Z27">
        <v>3.2080000000000002</v>
      </c>
      <c r="AA27">
        <v>3.2109999999999999</v>
      </c>
      <c r="AB27">
        <v>3.2389999999999999</v>
      </c>
      <c r="AC27">
        <v>3.2410000000000001</v>
      </c>
      <c r="AD27">
        <v>3.246</v>
      </c>
      <c r="AE27">
        <v>3.2959999999999998</v>
      </c>
      <c r="AF27">
        <v>3.3279999999999998</v>
      </c>
      <c r="AG27">
        <v>3.2989999999999999</v>
      </c>
      <c r="AH27">
        <v>3.3260000000000001</v>
      </c>
      <c r="AI27">
        <v>0</v>
      </c>
      <c r="AJ27" s="2">
        <v>45491</v>
      </c>
      <c r="AK27">
        <v>3.3660000000000001</v>
      </c>
      <c r="AL27">
        <v>3.2890000000000001</v>
      </c>
      <c r="AM27">
        <v>3.2690000000000001</v>
      </c>
      <c r="AN27">
        <v>3.222</v>
      </c>
      <c r="AO27">
        <v>3.15</v>
      </c>
      <c r="AP27">
        <v>3.11</v>
      </c>
      <c r="AQ27">
        <v>3.1269999999999998</v>
      </c>
      <c r="AR27">
        <v>3.125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B28" s="2">
        <v>45490</v>
      </c>
      <c r="C28">
        <v>3.38</v>
      </c>
      <c r="D28">
        <v>3.286</v>
      </c>
      <c r="E28">
        <v>3.2080000000000002</v>
      </c>
      <c r="F28">
        <v>3.2010000000000001</v>
      </c>
      <c r="G28">
        <v>3.1579999999999999</v>
      </c>
      <c r="H28">
        <v>3.1110000000000002</v>
      </c>
      <c r="I28">
        <v>3.0779999999999998</v>
      </c>
      <c r="J28">
        <v>3.0529999999999999</v>
      </c>
      <c r="K28">
        <v>3.0870000000000002</v>
      </c>
      <c r="L28">
        <v>3.0739999999999998</v>
      </c>
      <c r="M28">
        <v>3.1349999999999998</v>
      </c>
      <c r="N28">
        <v>3.14</v>
      </c>
      <c r="O28">
        <v>3.145</v>
      </c>
      <c r="P28">
        <v>3.1019999999999999</v>
      </c>
      <c r="Q28">
        <v>3.0249999999999999</v>
      </c>
      <c r="R28">
        <v>2.9670000000000001</v>
      </c>
      <c r="S28" s="2">
        <v>45490</v>
      </c>
      <c r="T28">
        <v>3.399</v>
      </c>
      <c r="U28">
        <v>3.4089999999999998</v>
      </c>
      <c r="V28">
        <v>3.37</v>
      </c>
      <c r="W28">
        <v>3.3380000000000001</v>
      </c>
      <c r="X28">
        <v>3.2330000000000001</v>
      </c>
      <c r="Y28">
        <v>3.222</v>
      </c>
      <c r="Z28">
        <v>3.206</v>
      </c>
      <c r="AA28">
        <v>3.2069999999999999</v>
      </c>
      <c r="AB28">
        <v>3.2330000000000001</v>
      </c>
      <c r="AC28">
        <v>3.2349999999999999</v>
      </c>
      <c r="AD28">
        <v>3.2450000000000001</v>
      </c>
      <c r="AE28">
        <v>3.302</v>
      </c>
      <c r="AF28">
        <v>3.3380000000000001</v>
      </c>
      <c r="AG28">
        <v>3.3130000000000002</v>
      </c>
      <c r="AH28">
        <v>3.3410000000000002</v>
      </c>
      <c r="AI28">
        <v>0</v>
      </c>
      <c r="AJ28" s="2">
        <v>45490</v>
      </c>
      <c r="AK28">
        <v>3.363</v>
      </c>
      <c r="AL28">
        <v>3.282</v>
      </c>
      <c r="AM28">
        <v>3.26</v>
      </c>
      <c r="AN28">
        <v>3.1960000000000002</v>
      </c>
      <c r="AO28">
        <v>3.141</v>
      </c>
      <c r="AP28">
        <v>3.11</v>
      </c>
      <c r="AQ28">
        <v>3.1219999999999999</v>
      </c>
      <c r="AR28">
        <v>3.1190000000000002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B29" s="2">
        <v>45489</v>
      </c>
      <c r="C29">
        <v>3.3759999999999999</v>
      </c>
      <c r="D29">
        <v>3.278</v>
      </c>
      <c r="E29">
        <v>3.198</v>
      </c>
      <c r="F29">
        <v>3.19</v>
      </c>
      <c r="G29">
        <v>3.137</v>
      </c>
      <c r="H29">
        <v>3.0950000000000002</v>
      </c>
      <c r="I29">
        <v>3.06</v>
      </c>
      <c r="J29">
        <v>3.0350000000000001</v>
      </c>
      <c r="K29">
        <v>3.07</v>
      </c>
      <c r="L29">
        <v>3.06</v>
      </c>
      <c r="M29">
        <v>3.1280000000000001</v>
      </c>
      <c r="N29">
        <v>3.137</v>
      </c>
      <c r="O29">
        <v>3.1440000000000001</v>
      </c>
      <c r="P29">
        <v>3.1030000000000002</v>
      </c>
      <c r="Q29">
        <v>3.03</v>
      </c>
      <c r="R29">
        <v>2.972</v>
      </c>
      <c r="S29" s="2">
        <v>45489</v>
      </c>
      <c r="T29">
        <v>3.3969999999999998</v>
      </c>
      <c r="U29">
        <v>3.4079999999999999</v>
      </c>
      <c r="V29">
        <v>3.37</v>
      </c>
      <c r="W29">
        <v>3.3380000000000001</v>
      </c>
      <c r="X29">
        <v>3.2229999999999999</v>
      </c>
      <c r="Y29">
        <v>3.2010000000000001</v>
      </c>
      <c r="Z29">
        <v>3.19</v>
      </c>
      <c r="AA29">
        <v>3.1949999999999998</v>
      </c>
      <c r="AB29">
        <v>3.2170000000000001</v>
      </c>
      <c r="AC29">
        <v>3.2210000000000001</v>
      </c>
      <c r="AD29">
        <v>3.238</v>
      </c>
      <c r="AE29">
        <v>3.3</v>
      </c>
      <c r="AF29">
        <v>3.3370000000000002</v>
      </c>
      <c r="AG29">
        <v>3.3140000000000001</v>
      </c>
      <c r="AH29">
        <v>3.3460000000000001</v>
      </c>
      <c r="AI29">
        <v>0</v>
      </c>
      <c r="AJ29" s="2">
        <v>45489</v>
      </c>
      <c r="AK29">
        <v>3.363</v>
      </c>
      <c r="AL29">
        <v>3.2789999999999999</v>
      </c>
      <c r="AM29">
        <v>3.2570000000000001</v>
      </c>
      <c r="AN29">
        <v>3.1859999999999999</v>
      </c>
      <c r="AO29">
        <v>3.1259999999999999</v>
      </c>
      <c r="AP29">
        <v>3.0870000000000002</v>
      </c>
      <c r="AQ29">
        <v>3.1030000000000002</v>
      </c>
      <c r="AR29">
        <v>3.1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B30" s="2">
        <v>45488</v>
      </c>
      <c r="C30">
        <v>3.3780000000000001</v>
      </c>
      <c r="D30">
        <v>3.2829999999999999</v>
      </c>
      <c r="E30">
        <v>3.2090000000000001</v>
      </c>
      <c r="F30">
        <v>3.1949999999999998</v>
      </c>
      <c r="G30">
        <v>3.1549999999999998</v>
      </c>
      <c r="H30">
        <v>3.13</v>
      </c>
      <c r="I30">
        <v>3.0950000000000002</v>
      </c>
      <c r="J30">
        <v>3.0720000000000001</v>
      </c>
      <c r="K30">
        <v>3.1080000000000001</v>
      </c>
      <c r="L30">
        <v>3.097</v>
      </c>
      <c r="M30">
        <v>3.1659999999999999</v>
      </c>
      <c r="N30">
        <v>3.1749999999999998</v>
      </c>
      <c r="O30">
        <v>3.1840000000000002</v>
      </c>
      <c r="P30">
        <v>3.145</v>
      </c>
      <c r="Q30">
        <v>3.0670000000000002</v>
      </c>
      <c r="R30">
        <v>3.01</v>
      </c>
      <c r="S30" s="2">
        <v>45488</v>
      </c>
      <c r="T30">
        <v>3.4009999999999998</v>
      </c>
      <c r="U30">
        <v>3.411</v>
      </c>
      <c r="V30">
        <v>3.3820000000000001</v>
      </c>
      <c r="W30">
        <v>3.3460000000000001</v>
      </c>
      <c r="X30">
        <v>3.2440000000000002</v>
      </c>
      <c r="Y30">
        <v>3.242</v>
      </c>
      <c r="Z30">
        <v>3.2280000000000002</v>
      </c>
      <c r="AA30">
        <v>3.2360000000000002</v>
      </c>
      <c r="AB30">
        <v>3.2530000000000001</v>
      </c>
      <c r="AC30">
        <v>3.2570000000000001</v>
      </c>
      <c r="AD30">
        <v>3.2749999999999999</v>
      </c>
      <c r="AE30">
        <v>3.3380000000000001</v>
      </c>
      <c r="AF30">
        <v>3.3759999999999999</v>
      </c>
      <c r="AG30">
        <v>3.3559999999999999</v>
      </c>
      <c r="AH30">
        <v>3.383</v>
      </c>
      <c r="AI30">
        <v>0</v>
      </c>
      <c r="AJ30" s="2">
        <v>45488</v>
      </c>
      <c r="AK30">
        <v>3.367</v>
      </c>
      <c r="AL30">
        <v>3.282</v>
      </c>
      <c r="AM30">
        <v>3.2690000000000001</v>
      </c>
      <c r="AN30">
        <v>3.198</v>
      </c>
      <c r="AO30">
        <v>3.1469999999999998</v>
      </c>
      <c r="AP30">
        <v>3.125</v>
      </c>
      <c r="AQ30">
        <v>3.14</v>
      </c>
      <c r="AR30">
        <v>3.133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B31" s="2">
        <v>45485</v>
      </c>
      <c r="C31">
        <v>3.3809999999999998</v>
      </c>
      <c r="D31">
        <v>3.286</v>
      </c>
      <c r="E31">
        <v>3.2109999999999999</v>
      </c>
      <c r="F31">
        <v>3.194</v>
      </c>
      <c r="G31">
        <v>3.165</v>
      </c>
      <c r="H31">
        <v>3.1509999999999998</v>
      </c>
      <c r="I31">
        <v>3.117</v>
      </c>
      <c r="J31">
        <v>3.093</v>
      </c>
      <c r="K31">
        <v>3.121</v>
      </c>
      <c r="L31">
        <v>3.1040000000000001</v>
      </c>
      <c r="M31">
        <v>3.1659999999999999</v>
      </c>
      <c r="N31">
        <v>3.1669999999999998</v>
      </c>
      <c r="O31">
        <v>3.177</v>
      </c>
      <c r="P31">
        <v>3.1389999999999998</v>
      </c>
      <c r="Q31">
        <v>3.0579999999999998</v>
      </c>
      <c r="R31">
        <v>3.0009999999999999</v>
      </c>
      <c r="S31" s="2">
        <v>45485</v>
      </c>
      <c r="T31">
        <v>3.4020000000000001</v>
      </c>
      <c r="U31">
        <v>3.4129999999999998</v>
      </c>
      <c r="V31">
        <v>3.3839999999999999</v>
      </c>
      <c r="W31">
        <v>3.3530000000000002</v>
      </c>
      <c r="X31">
        <v>3.262</v>
      </c>
      <c r="Y31">
        <v>3.262</v>
      </c>
      <c r="Z31">
        <v>3.2519999999999998</v>
      </c>
      <c r="AA31">
        <v>3.2570000000000001</v>
      </c>
      <c r="AB31">
        <v>3.2669999999999999</v>
      </c>
      <c r="AC31">
        <v>3.2650000000000001</v>
      </c>
      <c r="AD31">
        <v>3.2749999999999999</v>
      </c>
      <c r="AE31">
        <v>3.33</v>
      </c>
      <c r="AF31">
        <v>3.3690000000000002</v>
      </c>
      <c r="AG31">
        <v>3.35</v>
      </c>
      <c r="AH31">
        <v>3.3740000000000001</v>
      </c>
      <c r="AI31">
        <v>0</v>
      </c>
      <c r="AJ31" s="2">
        <v>45485</v>
      </c>
      <c r="AK31">
        <v>3.367</v>
      </c>
      <c r="AL31">
        <v>3.282</v>
      </c>
      <c r="AM31">
        <v>3.2690000000000001</v>
      </c>
      <c r="AN31">
        <v>3.2029999999999998</v>
      </c>
      <c r="AO31">
        <v>3.1640000000000001</v>
      </c>
      <c r="AP31">
        <v>3.1429999999999998</v>
      </c>
      <c r="AQ31">
        <v>3.1619999999999999</v>
      </c>
      <c r="AR31">
        <v>3.1549999999999998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B32" s="2">
        <v>45484</v>
      </c>
      <c r="C32">
        <v>3.3839999999999999</v>
      </c>
      <c r="D32">
        <v>3.29</v>
      </c>
      <c r="E32">
        <v>3.2490000000000001</v>
      </c>
      <c r="F32">
        <v>3.226</v>
      </c>
      <c r="G32">
        <v>3.21</v>
      </c>
      <c r="H32">
        <v>3.2069999999999999</v>
      </c>
      <c r="I32">
        <v>3.1850000000000001</v>
      </c>
      <c r="J32">
        <v>3.1579999999999999</v>
      </c>
      <c r="K32">
        <v>3.1909999999999998</v>
      </c>
      <c r="L32">
        <v>3.17</v>
      </c>
      <c r="M32">
        <v>3.2280000000000002</v>
      </c>
      <c r="N32">
        <v>3.222</v>
      </c>
      <c r="O32">
        <v>3.2309999999999999</v>
      </c>
      <c r="P32">
        <v>3.1920000000000002</v>
      </c>
      <c r="Q32">
        <v>3.11</v>
      </c>
      <c r="R32">
        <v>3.08</v>
      </c>
      <c r="S32" s="2">
        <v>45484</v>
      </c>
      <c r="T32">
        <v>3.4049999999999998</v>
      </c>
      <c r="U32">
        <v>3.419</v>
      </c>
      <c r="V32">
        <v>3.391</v>
      </c>
      <c r="W32">
        <v>3.3719999999999999</v>
      </c>
      <c r="X32">
        <v>3.3069999999999999</v>
      </c>
      <c r="Y32">
        <v>3.319</v>
      </c>
      <c r="Z32">
        <v>3.319</v>
      </c>
      <c r="AA32">
        <v>3.3220000000000001</v>
      </c>
      <c r="AB32">
        <v>3.335</v>
      </c>
      <c r="AC32">
        <v>3.331</v>
      </c>
      <c r="AD32">
        <v>3.3370000000000002</v>
      </c>
      <c r="AE32">
        <v>3.3849999999999998</v>
      </c>
      <c r="AF32">
        <v>3.423</v>
      </c>
      <c r="AG32">
        <v>3.403</v>
      </c>
      <c r="AH32">
        <v>3.4260000000000002</v>
      </c>
      <c r="AI32">
        <v>0</v>
      </c>
      <c r="AJ32" s="2">
        <v>45484</v>
      </c>
      <c r="AK32">
        <v>3.37</v>
      </c>
      <c r="AL32">
        <v>3.2879999999999998</v>
      </c>
      <c r="AM32">
        <v>3.2759999999999998</v>
      </c>
      <c r="AN32">
        <v>3.222</v>
      </c>
      <c r="AO32">
        <v>3.2080000000000002</v>
      </c>
      <c r="AP32">
        <v>3.2</v>
      </c>
      <c r="AQ32">
        <v>3.2250000000000001</v>
      </c>
      <c r="AR32">
        <v>3.2189999999999999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2:52">
      <c r="B33" s="2">
        <v>45483</v>
      </c>
      <c r="C33">
        <v>3.363</v>
      </c>
      <c r="D33">
        <v>3.2629999999999999</v>
      </c>
      <c r="E33">
        <v>3.2210000000000001</v>
      </c>
      <c r="F33">
        <v>3.1989999999999998</v>
      </c>
      <c r="G33">
        <v>3.18</v>
      </c>
      <c r="H33">
        <v>3.1549999999999998</v>
      </c>
      <c r="I33">
        <v>3.14</v>
      </c>
      <c r="J33">
        <v>3.117</v>
      </c>
      <c r="K33">
        <v>3.1520000000000001</v>
      </c>
      <c r="L33">
        <v>3.1339999999999999</v>
      </c>
      <c r="M33">
        <v>3.1970000000000001</v>
      </c>
      <c r="N33">
        <v>3.1949999999999998</v>
      </c>
      <c r="O33">
        <v>3.2050000000000001</v>
      </c>
      <c r="P33">
        <v>3.17</v>
      </c>
      <c r="Q33">
        <v>3.0950000000000002</v>
      </c>
      <c r="R33">
        <v>3.0649999999999999</v>
      </c>
      <c r="S33" s="2">
        <v>45483</v>
      </c>
      <c r="T33">
        <v>3.39</v>
      </c>
      <c r="U33">
        <v>3.3969999999999998</v>
      </c>
      <c r="V33">
        <v>3.3639999999999999</v>
      </c>
      <c r="W33">
        <v>3.3380000000000001</v>
      </c>
      <c r="X33">
        <v>3.2669999999999999</v>
      </c>
      <c r="Y33">
        <v>3.2810000000000001</v>
      </c>
      <c r="Z33">
        <v>3.2829999999999999</v>
      </c>
      <c r="AA33">
        <v>3.2909999999999999</v>
      </c>
      <c r="AB33">
        <v>3.2959999999999998</v>
      </c>
      <c r="AC33">
        <v>3.2949999999999999</v>
      </c>
      <c r="AD33">
        <v>3.3050000000000002</v>
      </c>
      <c r="AE33">
        <v>3.359</v>
      </c>
      <c r="AF33">
        <v>3.399</v>
      </c>
      <c r="AG33">
        <v>3.3809999999999998</v>
      </c>
      <c r="AH33">
        <v>3.411</v>
      </c>
      <c r="AI33">
        <v>0</v>
      </c>
      <c r="AJ33" s="2">
        <v>45483</v>
      </c>
      <c r="AK33">
        <v>3.3559999999999999</v>
      </c>
      <c r="AL33">
        <v>3.2650000000000001</v>
      </c>
      <c r="AM33">
        <v>3.25</v>
      </c>
      <c r="AN33">
        <v>3.1880000000000002</v>
      </c>
      <c r="AO33">
        <v>3.1619999999999999</v>
      </c>
      <c r="AP33">
        <v>3.1509999999999998</v>
      </c>
      <c r="AQ33">
        <v>3.18</v>
      </c>
      <c r="AR33">
        <v>3.1749999999999998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2:52">
      <c r="B34" s="2">
        <v>45482</v>
      </c>
      <c r="C34">
        <v>3.3610000000000002</v>
      </c>
      <c r="D34">
        <v>3.2610000000000001</v>
      </c>
      <c r="E34">
        <v>3.218</v>
      </c>
      <c r="F34">
        <v>3.1970000000000001</v>
      </c>
      <c r="G34">
        <v>3.173</v>
      </c>
      <c r="H34">
        <v>3.1549999999999998</v>
      </c>
      <c r="I34">
        <v>3.1440000000000001</v>
      </c>
      <c r="J34">
        <v>3.12</v>
      </c>
      <c r="K34">
        <v>3.15</v>
      </c>
      <c r="L34">
        <v>3.14</v>
      </c>
      <c r="M34">
        <v>3.202</v>
      </c>
      <c r="N34">
        <v>3.2</v>
      </c>
      <c r="O34">
        <v>3.21</v>
      </c>
      <c r="P34">
        <v>3.1739999999999999</v>
      </c>
      <c r="Q34">
        <v>3.1059999999999999</v>
      </c>
      <c r="R34">
        <v>3.0760000000000001</v>
      </c>
      <c r="S34" s="2">
        <v>45482</v>
      </c>
      <c r="T34">
        <v>3.3879999999999999</v>
      </c>
      <c r="U34">
        <v>3.3919999999999999</v>
      </c>
      <c r="V34">
        <v>3.359</v>
      </c>
      <c r="W34">
        <v>3.3279999999999998</v>
      </c>
      <c r="X34">
        <v>3.2639999999999998</v>
      </c>
      <c r="Y34">
        <v>3.2770000000000001</v>
      </c>
      <c r="Z34">
        <v>3.2869999999999999</v>
      </c>
      <c r="AA34">
        <v>3.294</v>
      </c>
      <c r="AB34">
        <v>3.2959999999999998</v>
      </c>
      <c r="AC34">
        <v>3.3</v>
      </c>
      <c r="AD34">
        <v>3.31</v>
      </c>
      <c r="AE34">
        <v>3.3660000000000001</v>
      </c>
      <c r="AF34">
        <v>3.4039999999999999</v>
      </c>
      <c r="AG34">
        <v>3.3849999999999998</v>
      </c>
      <c r="AH34">
        <v>3.4220000000000002</v>
      </c>
      <c r="AI34">
        <v>0</v>
      </c>
      <c r="AJ34" s="2">
        <v>45482</v>
      </c>
      <c r="AK34">
        <v>3.351</v>
      </c>
      <c r="AL34">
        <v>3.2570000000000001</v>
      </c>
      <c r="AM34">
        <v>3.2440000000000002</v>
      </c>
      <c r="AN34">
        <v>3.1760000000000002</v>
      </c>
      <c r="AO34">
        <v>3.16</v>
      </c>
      <c r="AP34">
        <v>3.1429999999999998</v>
      </c>
      <c r="AQ34">
        <v>3.1720000000000002</v>
      </c>
      <c r="AR34">
        <v>3.173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2:52">
      <c r="B35" s="2">
        <v>45481</v>
      </c>
      <c r="C35">
        <v>3.3650000000000002</v>
      </c>
      <c r="D35">
        <v>3.2610000000000001</v>
      </c>
      <c r="E35">
        <v>3.218</v>
      </c>
      <c r="F35">
        <v>3.2</v>
      </c>
      <c r="G35">
        <v>3.173</v>
      </c>
      <c r="H35">
        <v>3.1619999999999999</v>
      </c>
      <c r="I35">
        <v>3.1440000000000001</v>
      </c>
      <c r="J35">
        <v>3.12</v>
      </c>
      <c r="K35">
        <v>3.153</v>
      </c>
      <c r="L35">
        <v>3.1419999999999999</v>
      </c>
      <c r="M35">
        <v>3.2080000000000002</v>
      </c>
      <c r="N35">
        <v>3.21</v>
      </c>
      <c r="O35">
        <v>3.22</v>
      </c>
      <c r="P35">
        <v>3.18</v>
      </c>
      <c r="Q35">
        <v>3.113</v>
      </c>
      <c r="R35">
        <v>3.0830000000000002</v>
      </c>
      <c r="S35" s="2">
        <v>45481</v>
      </c>
      <c r="T35">
        <v>3.3980000000000001</v>
      </c>
      <c r="U35">
        <v>3.3980000000000001</v>
      </c>
      <c r="V35">
        <v>3.367</v>
      </c>
      <c r="W35">
        <v>3.3330000000000002</v>
      </c>
      <c r="X35">
        <v>3.27</v>
      </c>
      <c r="Y35">
        <v>3.2839999999999998</v>
      </c>
      <c r="Z35">
        <v>3.2879999999999998</v>
      </c>
      <c r="AA35">
        <v>3.2959999999999998</v>
      </c>
      <c r="AB35">
        <v>3.3</v>
      </c>
      <c r="AC35">
        <v>3.3029999999999999</v>
      </c>
      <c r="AD35">
        <v>3.3159999999999998</v>
      </c>
      <c r="AE35">
        <v>3.3769999999999998</v>
      </c>
      <c r="AF35">
        <v>3.4140000000000001</v>
      </c>
      <c r="AG35">
        <v>3.3919999999999999</v>
      </c>
      <c r="AH35">
        <v>3.43</v>
      </c>
      <c r="AI35">
        <v>0</v>
      </c>
      <c r="AJ35" s="2">
        <v>45481</v>
      </c>
      <c r="AK35">
        <v>3.355</v>
      </c>
      <c r="AL35">
        <v>3.26</v>
      </c>
      <c r="AM35">
        <v>3.2469999999999999</v>
      </c>
      <c r="AN35">
        <v>3.18</v>
      </c>
      <c r="AO35">
        <v>3.161</v>
      </c>
      <c r="AP35">
        <v>3.1419999999999999</v>
      </c>
      <c r="AQ35">
        <v>3.1720000000000002</v>
      </c>
      <c r="AR35">
        <v>3.1749999999999998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2:52">
      <c r="B36" s="2">
        <v>45478</v>
      </c>
      <c r="C36">
        <v>3.37</v>
      </c>
      <c r="D36">
        <v>3.2629999999999999</v>
      </c>
      <c r="E36">
        <v>3.2290000000000001</v>
      </c>
      <c r="F36">
        <v>3.21</v>
      </c>
      <c r="G36">
        <v>3.1680000000000001</v>
      </c>
      <c r="H36">
        <v>3.145</v>
      </c>
      <c r="I36">
        <v>3.1349999999999998</v>
      </c>
      <c r="J36">
        <v>3.1150000000000002</v>
      </c>
      <c r="K36">
        <v>3.1549999999999998</v>
      </c>
      <c r="L36">
        <v>3.1469999999999998</v>
      </c>
      <c r="M36">
        <v>3.2130000000000001</v>
      </c>
      <c r="N36">
        <v>3.2149999999999999</v>
      </c>
      <c r="O36">
        <v>3.2210000000000001</v>
      </c>
      <c r="P36">
        <v>3.177</v>
      </c>
      <c r="Q36">
        <v>3.1120000000000001</v>
      </c>
      <c r="R36">
        <v>3.0819999999999999</v>
      </c>
      <c r="S36" s="2">
        <v>45478</v>
      </c>
      <c r="T36">
        <v>3.4209999999999998</v>
      </c>
      <c r="U36">
        <v>3.4180000000000001</v>
      </c>
      <c r="V36">
        <v>3.387</v>
      </c>
      <c r="W36">
        <v>3.3519999999999999</v>
      </c>
      <c r="X36">
        <v>3.274</v>
      </c>
      <c r="Y36">
        <v>3.2749999999999999</v>
      </c>
      <c r="Z36">
        <v>3.2829999999999999</v>
      </c>
      <c r="AA36">
        <v>3.294</v>
      </c>
      <c r="AB36">
        <v>3.302</v>
      </c>
      <c r="AC36">
        <v>3.306</v>
      </c>
      <c r="AD36">
        <v>3.3210000000000002</v>
      </c>
      <c r="AE36">
        <v>3.3820000000000001</v>
      </c>
      <c r="AF36">
        <v>3.4159999999999999</v>
      </c>
      <c r="AG36">
        <v>3.3889999999999998</v>
      </c>
      <c r="AH36">
        <v>3.4289999999999998</v>
      </c>
      <c r="AI36">
        <v>0</v>
      </c>
      <c r="AJ36" s="2">
        <v>45478</v>
      </c>
      <c r="AK36">
        <v>3.37</v>
      </c>
      <c r="AL36">
        <v>3.2719999999999998</v>
      </c>
      <c r="AM36">
        <v>3.262</v>
      </c>
      <c r="AN36">
        <v>3.1920000000000002</v>
      </c>
      <c r="AO36">
        <v>3.1589999999999998</v>
      </c>
      <c r="AP36">
        <v>3.13</v>
      </c>
      <c r="AQ36">
        <v>3.1640000000000001</v>
      </c>
      <c r="AR36">
        <v>3.17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2:52">
      <c r="B37" s="2">
        <v>45477</v>
      </c>
      <c r="C37">
        <v>3.3759999999999999</v>
      </c>
      <c r="D37">
        <v>3.266</v>
      </c>
      <c r="E37">
        <v>3.2360000000000002</v>
      </c>
      <c r="F37">
        <v>3.2130000000000001</v>
      </c>
      <c r="G37">
        <v>3.177</v>
      </c>
      <c r="H37">
        <v>3.15</v>
      </c>
      <c r="I37">
        <v>3.145</v>
      </c>
      <c r="J37">
        <v>3.1219999999999999</v>
      </c>
      <c r="K37">
        <v>3.1659999999999999</v>
      </c>
      <c r="L37">
        <v>3.16</v>
      </c>
      <c r="M37">
        <v>3.2280000000000002</v>
      </c>
      <c r="N37">
        <v>3.2349999999999999</v>
      </c>
      <c r="O37">
        <v>3.246</v>
      </c>
      <c r="P37">
        <v>3.2069999999999999</v>
      </c>
      <c r="Q37">
        <v>3.1469999999999998</v>
      </c>
      <c r="R37">
        <v>3.117</v>
      </c>
      <c r="S37" s="2">
        <v>45477</v>
      </c>
      <c r="T37">
        <v>3.4319999999999999</v>
      </c>
      <c r="U37">
        <v>3.4319999999999999</v>
      </c>
      <c r="V37">
        <v>3.4060000000000001</v>
      </c>
      <c r="W37">
        <v>3.3690000000000002</v>
      </c>
      <c r="X37">
        <v>3.2890000000000001</v>
      </c>
      <c r="Y37">
        <v>3.2810000000000001</v>
      </c>
      <c r="Z37">
        <v>3.2930000000000001</v>
      </c>
      <c r="AA37">
        <v>3.2989999999999999</v>
      </c>
      <c r="AB37">
        <v>3.3119999999999998</v>
      </c>
      <c r="AC37">
        <v>3.32</v>
      </c>
      <c r="AD37">
        <v>3.3359999999999999</v>
      </c>
      <c r="AE37">
        <v>3.4009999999999998</v>
      </c>
      <c r="AF37">
        <v>3.4409999999999998</v>
      </c>
      <c r="AG37">
        <v>3.419</v>
      </c>
      <c r="AH37">
        <v>3.464</v>
      </c>
      <c r="AI37">
        <v>0</v>
      </c>
      <c r="AJ37" s="2">
        <v>45477</v>
      </c>
      <c r="AK37">
        <v>3.375</v>
      </c>
      <c r="AL37">
        <v>3.2879999999999998</v>
      </c>
      <c r="AM37">
        <v>3.2679999999999998</v>
      </c>
      <c r="AN37">
        <v>3.2</v>
      </c>
      <c r="AO37">
        <v>3.169</v>
      </c>
      <c r="AP37">
        <v>3.1349999999999998</v>
      </c>
      <c r="AQ37">
        <v>3.173</v>
      </c>
      <c r="AR37">
        <v>3.18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2:52">
      <c r="B38" s="2">
        <v>45476</v>
      </c>
      <c r="C38">
        <v>3.3959999999999999</v>
      </c>
      <c r="D38">
        <v>3.2810000000000001</v>
      </c>
      <c r="E38">
        <v>3.262</v>
      </c>
      <c r="F38">
        <v>3.2429999999999999</v>
      </c>
      <c r="G38">
        <v>3.2090000000000001</v>
      </c>
      <c r="H38">
        <v>3.194</v>
      </c>
      <c r="I38">
        <v>3.18</v>
      </c>
      <c r="J38">
        <v>3.16</v>
      </c>
      <c r="K38">
        <v>3.1970000000000001</v>
      </c>
      <c r="L38">
        <v>3.1920000000000002</v>
      </c>
      <c r="M38">
        <v>3.2629999999999999</v>
      </c>
      <c r="N38">
        <v>3.2749999999999999</v>
      </c>
      <c r="O38">
        <v>3.2810000000000001</v>
      </c>
      <c r="P38">
        <v>3.2370000000000001</v>
      </c>
      <c r="Q38">
        <v>3.1760000000000002</v>
      </c>
      <c r="R38">
        <v>3.1459999999999999</v>
      </c>
      <c r="S38" s="2">
        <v>45476</v>
      </c>
      <c r="T38">
        <v>3.4649999999999999</v>
      </c>
      <c r="U38">
        <v>3.4649999999999999</v>
      </c>
      <c r="V38">
        <v>3.4369999999999998</v>
      </c>
      <c r="W38">
        <v>3.4079999999999999</v>
      </c>
      <c r="X38">
        <v>3.3380000000000001</v>
      </c>
      <c r="Y38">
        <v>3.3359999999999999</v>
      </c>
      <c r="Z38">
        <v>3.3330000000000002</v>
      </c>
      <c r="AA38">
        <v>3.3410000000000002</v>
      </c>
      <c r="AB38">
        <v>3.347</v>
      </c>
      <c r="AC38">
        <v>3.355</v>
      </c>
      <c r="AD38">
        <v>3.3730000000000002</v>
      </c>
      <c r="AE38">
        <v>3.4420000000000002</v>
      </c>
      <c r="AF38">
        <v>3.476</v>
      </c>
      <c r="AG38">
        <v>3.4489999999999998</v>
      </c>
      <c r="AH38">
        <v>3.4929999999999999</v>
      </c>
      <c r="AI38">
        <v>0</v>
      </c>
      <c r="AJ38" s="2">
        <v>45476</v>
      </c>
      <c r="AK38">
        <v>3.4</v>
      </c>
      <c r="AL38">
        <v>3.327</v>
      </c>
      <c r="AM38">
        <v>3.3</v>
      </c>
      <c r="AN38">
        <v>3.24</v>
      </c>
      <c r="AO38">
        <v>3.2130000000000001</v>
      </c>
      <c r="AP38">
        <v>3.1850000000000001</v>
      </c>
      <c r="AQ38">
        <v>3.2120000000000002</v>
      </c>
      <c r="AR38">
        <v>3.218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2:52">
      <c r="B39" s="2">
        <v>45475</v>
      </c>
      <c r="C39">
        <v>3.4060000000000001</v>
      </c>
      <c r="D39">
        <v>3.2959999999999998</v>
      </c>
      <c r="E39">
        <v>3.2810000000000001</v>
      </c>
      <c r="F39">
        <v>3.2559999999999998</v>
      </c>
      <c r="G39">
        <v>3.218</v>
      </c>
      <c r="H39">
        <v>3.1949999999999998</v>
      </c>
      <c r="I39">
        <v>3.1850000000000001</v>
      </c>
      <c r="J39">
        <v>3.165</v>
      </c>
      <c r="K39">
        <v>3.1949999999999998</v>
      </c>
      <c r="L39">
        <v>3.1920000000000002</v>
      </c>
      <c r="M39">
        <v>3.266</v>
      </c>
      <c r="N39">
        <v>3.28</v>
      </c>
      <c r="O39">
        <v>3.286</v>
      </c>
      <c r="P39">
        <v>3.242</v>
      </c>
      <c r="Q39">
        <v>3.1819999999999999</v>
      </c>
      <c r="R39">
        <v>3.1520000000000001</v>
      </c>
      <c r="S39" s="2">
        <v>45475</v>
      </c>
      <c r="T39">
        <v>3.4830000000000001</v>
      </c>
      <c r="U39">
        <v>3.4820000000000002</v>
      </c>
      <c r="V39">
        <v>3.456</v>
      </c>
      <c r="W39">
        <v>3.4369999999999998</v>
      </c>
      <c r="X39">
        <v>3.35</v>
      </c>
      <c r="Y39">
        <v>3.3380000000000001</v>
      </c>
      <c r="Z39">
        <v>3.3410000000000002</v>
      </c>
      <c r="AA39">
        <v>3.3460000000000001</v>
      </c>
      <c r="AB39">
        <v>3.3479999999999999</v>
      </c>
      <c r="AC39">
        <v>3.3570000000000002</v>
      </c>
      <c r="AD39">
        <v>3.383</v>
      </c>
      <c r="AE39">
        <v>3.452</v>
      </c>
      <c r="AF39">
        <v>3.4870000000000001</v>
      </c>
      <c r="AG39">
        <v>3.4630000000000001</v>
      </c>
      <c r="AH39">
        <v>3.508</v>
      </c>
      <c r="AI39">
        <v>0</v>
      </c>
      <c r="AJ39" s="2">
        <v>45475</v>
      </c>
      <c r="AK39">
        <v>3.42</v>
      </c>
      <c r="AL39">
        <v>3.3620000000000001</v>
      </c>
      <c r="AM39">
        <v>3.319</v>
      </c>
      <c r="AN39">
        <v>3.274</v>
      </c>
      <c r="AO39">
        <v>3.23</v>
      </c>
      <c r="AP39">
        <v>3.2050000000000001</v>
      </c>
      <c r="AQ39">
        <v>3.226</v>
      </c>
      <c r="AR39">
        <v>3.23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2:52">
      <c r="B40" s="2">
        <v>45474</v>
      </c>
      <c r="C40">
        <v>3.42</v>
      </c>
      <c r="D40">
        <v>3.3210000000000002</v>
      </c>
      <c r="E40">
        <v>3.31</v>
      </c>
      <c r="F40">
        <v>3.29</v>
      </c>
      <c r="G40">
        <v>3.2650000000000001</v>
      </c>
      <c r="H40">
        <v>3.2570000000000001</v>
      </c>
      <c r="I40">
        <v>3.24</v>
      </c>
      <c r="J40">
        <v>3.2069999999999999</v>
      </c>
      <c r="K40">
        <v>3.2450000000000001</v>
      </c>
      <c r="L40">
        <v>3.2349999999999999</v>
      </c>
      <c r="M40">
        <v>3.3039999999999998</v>
      </c>
      <c r="N40">
        <v>3.3069999999999999</v>
      </c>
      <c r="O40">
        <v>3.3109999999999999</v>
      </c>
      <c r="P40">
        <v>3.2650000000000001</v>
      </c>
      <c r="Q40">
        <v>3.2050000000000001</v>
      </c>
      <c r="R40">
        <v>3.1749999999999998</v>
      </c>
      <c r="S40" s="2">
        <v>45474</v>
      </c>
      <c r="T40">
        <v>3.5230000000000001</v>
      </c>
      <c r="U40">
        <v>3.524</v>
      </c>
      <c r="V40">
        <v>3.5049999999999999</v>
      </c>
      <c r="W40">
        <v>3.4790000000000001</v>
      </c>
      <c r="X40">
        <v>3.4020000000000001</v>
      </c>
      <c r="Y40">
        <v>3.39</v>
      </c>
      <c r="Z40">
        <v>3.3959999999999999</v>
      </c>
      <c r="AA40">
        <v>3.391</v>
      </c>
      <c r="AB40">
        <v>3.3980000000000001</v>
      </c>
      <c r="AC40">
        <v>3.4</v>
      </c>
      <c r="AD40">
        <v>3.4209999999999998</v>
      </c>
      <c r="AE40">
        <v>3.4790000000000001</v>
      </c>
      <c r="AF40">
        <v>3.512</v>
      </c>
      <c r="AG40">
        <v>3.4860000000000002</v>
      </c>
      <c r="AH40">
        <v>3.5310000000000001</v>
      </c>
      <c r="AI40">
        <v>0</v>
      </c>
      <c r="AJ40" s="2">
        <v>45474</v>
      </c>
      <c r="AK40">
        <v>3.45</v>
      </c>
      <c r="AL40">
        <v>3.399</v>
      </c>
      <c r="AM40">
        <v>3.363</v>
      </c>
      <c r="AN40">
        <v>3.3159999999999998</v>
      </c>
      <c r="AO40">
        <v>3.2839999999999998</v>
      </c>
      <c r="AP40">
        <v>3.2570000000000001</v>
      </c>
      <c r="AQ40">
        <v>3.2770000000000001</v>
      </c>
      <c r="AR40">
        <v>3.2789999999999999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2:52">
      <c r="B41" s="2">
        <v>45471</v>
      </c>
      <c r="C41">
        <v>3.42</v>
      </c>
      <c r="D41">
        <v>3.323</v>
      </c>
      <c r="E41">
        <v>3.3149999999999999</v>
      </c>
      <c r="F41">
        <v>3.2930000000000001</v>
      </c>
      <c r="G41">
        <v>3.262</v>
      </c>
      <c r="H41">
        <v>3.2349999999999999</v>
      </c>
      <c r="I41">
        <v>3.214</v>
      </c>
      <c r="J41">
        <v>3.177</v>
      </c>
      <c r="K41">
        <v>3.2120000000000002</v>
      </c>
      <c r="L41">
        <v>3.1949999999999998</v>
      </c>
      <c r="M41">
        <v>3.2610000000000001</v>
      </c>
      <c r="N41">
        <v>3.26</v>
      </c>
      <c r="O41">
        <v>3.2759999999999998</v>
      </c>
      <c r="P41">
        <v>3.2429999999999999</v>
      </c>
      <c r="Q41">
        <v>3.1970000000000001</v>
      </c>
      <c r="R41">
        <v>3.1669999999999998</v>
      </c>
      <c r="S41" s="2">
        <v>45471</v>
      </c>
      <c r="T41">
        <v>3.5259999999999998</v>
      </c>
      <c r="U41">
        <v>3.53</v>
      </c>
      <c r="V41">
        <v>3.5110000000000001</v>
      </c>
      <c r="W41">
        <v>3.4950000000000001</v>
      </c>
      <c r="X41">
        <v>3.395</v>
      </c>
      <c r="Y41">
        <v>3.38</v>
      </c>
      <c r="Z41">
        <v>3.3719999999999999</v>
      </c>
      <c r="AA41">
        <v>3.363</v>
      </c>
      <c r="AB41">
        <v>3.367</v>
      </c>
      <c r="AC41">
        <v>3.36</v>
      </c>
      <c r="AD41">
        <v>3.3780000000000001</v>
      </c>
      <c r="AE41">
        <v>3.4319999999999999</v>
      </c>
      <c r="AF41">
        <v>3.4769999999999999</v>
      </c>
      <c r="AG41">
        <v>3.464</v>
      </c>
      <c r="AH41">
        <v>3.5230000000000001</v>
      </c>
      <c r="AI41">
        <v>0</v>
      </c>
      <c r="AJ41" s="2">
        <v>45471</v>
      </c>
      <c r="AK41">
        <v>3.45</v>
      </c>
      <c r="AL41">
        <v>3.4020000000000001</v>
      </c>
      <c r="AM41">
        <v>3.3650000000000002</v>
      </c>
      <c r="AN41">
        <v>3.3239999999999998</v>
      </c>
      <c r="AO41">
        <v>3.27</v>
      </c>
      <c r="AP41">
        <v>3.2450000000000001</v>
      </c>
      <c r="AQ41">
        <v>3.2549999999999999</v>
      </c>
      <c r="AR41">
        <v>3.254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2:52">
      <c r="B42" s="2">
        <v>45470</v>
      </c>
      <c r="C42">
        <v>3.42</v>
      </c>
      <c r="D42">
        <v>3.3359999999999999</v>
      </c>
      <c r="E42">
        <v>3.3559999999999999</v>
      </c>
      <c r="F42">
        <v>3.335</v>
      </c>
      <c r="G42">
        <v>3.298</v>
      </c>
      <c r="H42">
        <v>3.27</v>
      </c>
      <c r="I42">
        <v>3.2450000000000001</v>
      </c>
      <c r="J42">
        <v>3.2120000000000002</v>
      </c>
      <c r="K42">
        <v>3.2469999999999999</v>
      </c>
      <c r="L42">
        <v>3.2360000000000002</v>
      </c>
      <c r="M42">
        <v>3.3010000000000002</v>
      </c>
      <c r="N42">
        <v>3.2949999999999999</v>
      </c>
      <c r="O42">
        <v>3.3090000000000002</v>
      </c>
      <c r="P42">
        <v>3.2719999999999998</v>
      </c>
      <c r="Q42">
        <v>3.22</v>
      </c>
      <c r="R42">
        <v>3.19</v>
      </c>
      <c r="S42" s="2">
        <v>45470</v>
      </c>
      <c r="T42">
        <v>3.5259999999999998</v>
      </c>
      <c r="U42">
        <v>3.5350000000000001</v>
      </c>
      <c r="V42">
        <v>3.5209999999999999</v>
      </c>
      <c r="W42">
        <v>3.5139999999999998</v>
      </c>
      <c r="X42">
        <v>3.4249999999999998</v>
      </c>
      <c r="Y42">
        <v>3.415</v>
      </c>
      <c r="Z42">
        <v>3.403</v>
      </c>
      <c r="AA42">
        <v>3.3980000000000001</v>
      </c>
      <c r="AB42">
        <v>3.4020000000000001</v>
      </c>
      <c r="AC42">
        <v>3.4049999999999998</v>
      </c>
      <c r="AD42">
        <v>3.4180000000000001</v>
      </c>
      <c r="AE42">
        <v>3.4670000000000001</v>
      </c>
      <c r="AF42">
        <v>3.51</v>
      </c>
      <c r="AG42">
        <v>3.4929999999999999</v>
      </c>
      <c r="AH42">
        <v>3.5459999999999998</v>
      </c>
      <c r="AI42">
        <v>0</v>
      </c>
      <c r="AJ42" s="2">
        <v>45470</v>
      </c>
      <c r="AK42">
        <v>3.45</v>
      </c>
      <c r="AL42">
        <v>3.407</v>
      </c>
      <c r="AM42">
        <v>3.375</v>
      </c>
      <c r="AN42">
        <v>3.3420000000000001</v>
      </c>
      <c r="AO42">
        <v>3.3</v>
      </c>
      <c r="AP42">
        <v>3.28</v>
      </c>
      <c r="AQ42">
        <v>3.29</v>
      </c>
      <c r="AR42">
        <v>3.29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2:52">
      <c r="B43" s="2">
        <v>45469</v>
      </c>
      <c r="C43">
        <v>3.42</v>
      </c>
      <c r="D43">
        <v>3.3359999999999999</v>
      </c>
      <c r="E43">
        <v>3.3559999999999999</v>
      </c>
      <c r="F43">
        <v>3.335</v>
      </c>
      <c r="G43">
        <v>3.2970000000000002</v>
      </c>
      <c r="H43">
        <v>3.258</v>
      </c>
      <c r="I43">
        <v>3.24</v>
      </c>
      <c r="J43">
        <v>3.2080000000000002</v>
      </c>
      <c r="K43">
        <v>3.2349999999999999</v>
      </c>
      <c r="L43">
        <v>3.2250000000000001</v>
      </c>
      <c r="M43">
        <v>3.286</v>
      </c>
      <c r="N43">
        <v>3.2749999999999999</v>
      </c>
      <c r="O43">
        <v>3.2839999999999998</v>
      </c>
      <c r="P43">
        <v>3.2429999999999999</v>
      </c>
      <c r="Q43">
        <v>3.19</v>
      </c>
      <c r="R43">
        <v>3.16</v>
      </c>
      <c r="S43" s="2">
        <v>45469</v>
      </c>
      <c r="T43">
        <v>3.5259999999999998</v>
      </c>
      <c r="U43">
        <v>3.54</v>
      </c>
      <c r="V43">
        <v>3.5209999999999999</v>
      </c>
      <c r="W43">
        <v>3.512</v>
      </c>
      <c r="X43">
        <v>3.4249999999999998</v>
      </c>
      <c r="Y43">
        <v>3.4</v>
      </c>
      <c r="Z43">
        <v>3.399</v>
      </c>
      <c r="AA43">
        <v>3.3940000000000001</v>
      </c>
      <c r="AB43">
        <v>3.387</v>
      </c>
      <c r="AC43">
        <v>3.39</v>
      </c>
      <c r="AD43">
        <v>3.4009999999999998</v>
      </c>
      <c r="AE43">
        <v>3.4470000000000001</v>
      </c>
      <c r="AF43">
        <v>3.4860000000000002</v>
      </c>
      <c r="AG43">
        <v>3.464</v>
      </c>
      <c r="AH43">
        <v>3.516</v>
      </c>
      <c r="AI43">
        <v>0</v>
      </c>
      <c r="AJ43" s="2">
        <v>45469</v>
      </c>
      <c r="AK43">
        <v>3.45</v>
      </c>
      <c r="AL43">
        <v>3.4119999999999999</v>
      </c>
      <c r="AM43">
        <v>3.375</v>
      </c>
      <c r="AN43">
        <v>3.3439999999999999</v>
      </c>
      <c r="AO43">
        <v>3.2959999999999998</v>
      </c>
      <c r="AP43">
        <v>3.27</v>
      </c>
      <c r="AQ43">
        <v>3.282</v>
      </c>
      <c r="AR43">
        <v>3.28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2:52">
      <c r="B44" s="2">
        <v>45468</v>
      </c>
      <c r="C44">
        <v>3.42</v>
      </c>
      <c r="D44">
        <v>3.3380000000000001</v>
      </c>
      <c r="E44">
        <v>3.3559999999999999</v>
      </c>
      <c r="F44">
        <v>3.3359999999999999</v>
      </c>
      <c r="G44">
        <v>3.2970000000000002</v>
      </c>
      <c r="H44">
        <v>3.2549999999999999</v>
      </c>
      <c r="I44">
        <v>3.23</v>
      </c>
      <c r="J44">
        <v>3.2</v>
      </c>
      <c r="K44">
        <v>3.2269999999999999</v>
      </c>
      <c r="L44">
        <v>3.2120000000000002</v>
      </c>
      <c r="M44">
        <v>3.2759999999999998</v>
      </c>
      <c r="N44">
        <v>3.27</v>
      </c>
      <c r="O44">
        <v>3.282</v>
      </c>
      <c r="P44">
        <v>3.242</v>
      </c>
      <c r="Q44">
        <v>3.18</v>
      </c>
      <c r="R44">
        <v>3.15</v>
      </c>
      <c r="S44" s="2">
        <v>45468</v>
      </c>
      <c r="T44">
        <v>3.5259999999999998</v>
      </c>
      <c r="U44">
        <v>3.54</v>
      </c>
      <c r="V44">
        <v>3.5259999999999998</v>
      </c>
      <c r="W44">
        <v>3.5169999999999999</v>
      </c>
      <c r="X44">
        <v>3.4249999999999998</v>
      </c>
      <c r="Y44">
        <v>3.3879999999999999</v>
      </c>
      <c r="Z44">
        <v>3.3889999999999998</v>
      </c>
      <c r="AA44">
        <v>3.3849999999999998</v>
      </c>
      <c r="AB44">
        <v>3.3820000000000001</v>
      </c>
      <c r="AC44">
        <v>3.379</v>
      </c>
      <c r="AD44">
        <v>3.391</v>
      </c>
      <c r="AE44">
        <v>3.4430000000000001</v>
      </c>
      <c r="AF44">
        <v>3.484</v>
      </c>
      <c r="AG44">
        <v>3.4660000000000002</v>
      </c>
      <c r="AH44">
        <v>3.5129999999999999</v>
      </c>
      <c r="AI44">
        <v>0</v>
      </c>
      <c r="AJ44" s="2">
        <v>45468</v>
      </c>
      <c r="AK44">
        <v>3.45</v>
      </c>
      <c r="AL44">
        <v>3.4119999999999999</v>
      </c>
      <c r="AM44">
        <v>3.379</v>
      </c>
      <c r="AN44">
        <v>3.3450000000000002</v>
      </c>
      <c r="AO44">
        <v>3.2949999999999999</v>
      </c>
      <c r="AP44">
        <v>3.26</v>
      </c>
      <c r="AQ44">
        <v>3.2730000000000001</v>
      </c>
      <c r="AR44">
        <v>3.2709999999999999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2:52">
      <c r="B45" s="2">
        <v>45467</v>
      </c>
      <c r="C45">
        <v>3.423</v>
      </c>
      <c r="D45">
        <v>3.3410000000000002</v>
      </c>
      <c r="E45">
        <v>3.3580000000000001</v>
      </c>
      <c r="F45">
        <v>3.3439999999999999</v>
      </c>
      <c r="G45">
        <v>3.302</v>
      </c>
      <c r="H45">
        <v>3.254</v>
      </c>
      <c r="I45">
        <v>3.22</v>
      </c>
      <c r="J45">
        <v>3.1920000000000002</v>
      </c>
      <c r="K45">
        <v>3.22</v>
      </c>
      <c r="L45">
        <v>3.2120000000000002</v>
      </c>
      <c r="M45">
        <v>3.2709999999999999</v>
      </c>
      <c r="N45">
        <v>3.262</v>
      </c>
      <c r="O45">
        <v>3.2759999999999998</v>
      </c>
      <c r="P45">
        <v>3.24</v>
      </c>
      <c r="Q45">
        <v>3.17</v>
      </c>
      <c r="R45">
        <v>3.14</v>
      </c>
      <c r="S45" s="2">
        <v>45467</v>
      </c>
      <c r="T45">
        <v>3.5249999999999999</v>
      </c>
      <c r="U45">
        <v>3.54</v>
      </c>
      <c r="V45">
        <v>3.5259999999999998</v>
      </c>
      <c r="W45">
        <v>3.5169999999999999</v>
      </c>
      <c r="X45">
        <v>3.4220000000000002</v>
      </c>
      <c r="Y45">
        <v>3.3879999999999999</v>
      </c>
      <c r="Z45">
        <v>3.3809999999999998</v>
      </c>
      <c r="AA45">
        <v>3.3780000000000001</v>
      </c>
      <c r="AB45">
        <v>3.375</v>
      </c>
      <c r="AC45">
        <v>3.3759999999999999</v>
      </c>
      <c r="AD45">
        <v>3.3849999999999998</v>
      </c>
      <c r="AE45">
        <v>3.4350000000000001</v>
      </c>
      <c r="AF45">
        <v>3.4780000000000002</v>
      </c>
      <c r="AG45">
        <v>3.464</v>
      </c>
      <c r="AH45">
        <v>3.5030000000000001</v>
      </c>
      <c r="AI45">
        <v>0</v>
      </c>
      <c r="AJ45" s="2">
        <v>45467</v>
      </c>
      <c r="AK45">
        <v>3.45</v>
      </c>
      <c r="AL45">
        <v>3.4119999999999999</v>
      </c>
      <c r="AM45">
        <v>3.379</v>
      </c>
      <c r="AN45">
        <v>3.3450000000000002</v>
      </c>
      <c r="AO45">
        <v>3.2890000000000001</v>
      </c>
      <c r="AP45">
        <v>3.2549999999999999</v>
      </c>
      <c r="AQ45">
        <v>3.2679999999999998</v>
      </c>
      <c r="AR45">
        <v>3.2679999999999998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2:52">
      <c r="B46" s="2">
        <v>45464</v>
      </c>
      <c r="C46">
        <v>3.4159999999999999</v>
      </c>
      <c r="D46">
        <v>3.3359999999999999</v>
      </c>
      <c r="E46">
        <v>3.3450000000000002</v>
      </c>
      <c r="F46">
        <v>3.3370000000000002</v>
      </c>
      <c r="G46">
        <v>3.2879999999999998</v>
      </c>
      <c r="H46">
        <v>3.2309999999999999</v>
      </c>
      <c r="I46">
        <v>3.1949999999999998</v>
      </c>
      <c r="J46">
        <v>3.16</v>
      </c>
      <c r="K46">
        <v>3.19</v>
      </c>
      <c r="L46">
        <v>3.19</v>
      </c>
      <c r="M46">
        <v>3.25</v>
      </c>
      <c r="N46">
        <v>3.242</v>
      </c>
      <c r="O46">
        <v>3.26</v>
      </c>
      <c r="P46">
        <v>3.2269999999999999</v>
      </c>
      <c r="Q46">
        <v>3.157</v>
      </c>
      <c r="R46">
        <v>3.1269999999999998</v>
      </c>
      <c r="S46" s="2">
        <v>45464</v>
      </c>
      <c r="T46">
        <v>3.5230000000000001</v>
      </c>
      <c r="U46">
        <v>3.5379999999999998</v>
      </c>
      <c r="V46">
        <v>3.5209999999999999</v>
      </c>
      <c r="W46">
        <v>3.5070000000000001</v>
      </c>
      <c r="X46">
        <v>3.411</v>
      </c>
      <c r="Y46">
        <v>3.3679999999999999</v>
      </c>
      <c r="Z46">
        <v>3.3580000000000001</v>
      </c>
      <c r="AA46">
        <v>3.343</v>
      </c>
      <c r="AB46">
        <v>3.3420000000000001</v>
      </c>
      <c r="AC46">
        <v>3.3490000000000002</v>
      </c>
      <c r="AD46">
        <v>3.3639999999999999</v>
      </c>
      <c r="AE46">
        <v>3.415</v>
      </c>
      <c r="AF46">
        <v>3.4620000000000002</v>
      </c>
      <c r="AG46">
        <v>3.4510000000000001</v>
      </c>
      <c r="AH46">
        <v>3.49</v>
      </c>
      <c r="AI46">
        <v>0</v>
      </c>
      <c r="AJ46" s="2">
        <v>45464</v>
      </c>
      <c r="AK46">
        <v>3.448</v>
      </c>
      <c r="AL46">
        <v>3.41</v>
      </c>
      <c r="AM46">
        <v>3.3740000000000001</v>
      </c>
      <c r="AN46">
        <v>3.335</v>
      </c>
      <c r="AO46">
        <v>3.28</v>
      </c>
      <c r="AP46">
        <v>3.2349999999999999</v>
      </c>
      <c r="AQ46">
        <v>3.2440000000000002</v>
      </c>
      <c r="AR46">
        <v>3.24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2:52">
      <c r="B47" s="2">
        <v>45463</v>
      </c>
      <c r="C47">
        <v>3.4159999999999999</v>
      </c>
      <c r="D47">
        <v>3.3380000000000001</v>
      </c>
      <c r="E47">
        <v>3.3450000000000002</v>
      </c>
      <c r="F47">
        <v>3.3439999999999999</v>
      </c>
      <c r="G47">
        <v>3.3079999999999998</v>
      </c>
      <c r="H47">
        <v>3.26</v>
      </c>
      <c r="I47">
        <v>3.2250000000000001</v>
      </c>
      <c r="J47">
        <v>3.1949999999999998</v>
      </c>
      <c r="K47">
        <v>3.22</v>
      </c>
      <c r="L47">
        <v>3.22</v>
      </c>
      <c r="M47">
        <v>3.2789999999999999</v>
      </c>
      <c r="N47">
        <v>3.27</v>
      </c>
      <c r="O47">
        <v>3.278</v>
      </c>
      <c r="P47">
        <v>3.2349999999999999</v>
      </c>
      <c r="Q47">
        <v>3.16</v>
      </c>
      <c r="R47">
        <v>3.13</v>
      </c>
      <c r="S47" s="2">
        <v>45463</v>
      </c>
      <c r="T47">
        <v>3.5230000000000001</v>
      </c>
      <c r="U47">
        <v>3.5379999999999998</v>
      </c>
      <c r="V47">
        <v>3.5209999999999999</v>
      </c>
      <c r="W47">
        <v>3.5179999999999998</v>
      </c>
      <c r="X47">
        <v>3.4289999999999998</v>
      </c>
      <c r="Y47">
        <v>3.387</v>
      </c>
      <c r="Z47">
        <v>3.3860000000000001</v>
      </c>
      <c r="AA47">
        <v>3.379</v>
      </c>
      <c r="AB47">
        <v>3.37</v>
      </c>
      <c r="AC47">
        <v>3.3809999999999998</v>
      </c>
      <c r="AD47">
        <v>3.3940000000000001</v>
      </c>
      <c r="AE47">
        <v>3.4430000000000001</v>
      </c>
      <c r="AF47">
        <v>3.48</v>
      </c>
      <c r="AG47">
        <v>3.4590000000000001</v>
      </c>
      <c r="AH47">
        <v>3.4929999999999999</v>
      </c>
      <c r="AI47">
        <v>0</v>
      </c>
      <c r="AJ47" s="2">
        <v>45463</v>
      </c>
      <c r="AK47">
        <v>3.448</v>
      </c>
      <c r="AL47">
        <v>3.41</v>
      </c>
      <c r="AM47">
        <v>3.3740000000000001</v>
      </c>
      <c r="AN47">
        <v>3.3420000000000001</v>
      </c>
      <c r="AO47">
        <v>3.3</v>
      </c>
      <c r="AP47">
        <v>3.2559999999999998</v>
      </c>
      <c r="AQ47">
        <v>3.2709999999999999</v>
      </c>
      <c r="AR47">
        <v>3.2709999999999999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2:52">
      <c r="B48" s="2">
        <v>45462</v>
      </c>
      <c r="C48">
        <v>3.4159999999999999</v>
      </c>
      <c r="D48">
        <v>3.335</v>
      </c>
      <c r="E48">
        <v>3.34</v>
      </c>
      <c r="F48">
        <v>3.3319999999999999</v>
      </c>
      <c r="G48">
        <v>3.2930000000000001</v>
      </c>
      <c r="H48">
        <v>3.2250000000000001</v>
      </c>
      <c r="I48">
        <v>3.1779999999999999</v>
      </c>
      <c r="J48">
        <v>3.15</v>
      </c>
      <c r="K48">
        <v>3.18</v>
      </c>
      <c r="L48">
        <v>3.18</v>
      </c>
      <c r="M48">
        <v>3.2370000000000001</v>
      </c>
      <c r="N48">
        <v>3.2250000000000001</v>
      </c>
      <c r="O48">
        <v>3.2349999999999999</v>
      </c>
      <c r="P48">
        <v>3.1949999999999998</v>
      </c>
      <c r="Q48">
        <v>3.117</v>
      </c>
      <c r="R48">
        <v>3.0870000000000002</v>
      </c>
      <c r="S48" s="2">
        <v>45462</v>
      </c>
      <c r="T48">
        <v>3.5179999999999998</v>
      </c>
      <c r="U48">
        <v>3.5350000000000001</v>
      </c>
      <c r="V48">
        <v>3.5129999999999999</v>
      </c>
      <c r="W48">
        <v>3.5129999999999999</v>
      </c>
      <c r="X48">
        <v>3.4220000000000002</v>
      </c>
      <c r="Y48">
        <v>3.3650000000000002</v>
      </c>
      <c r="Z48">
        <v>3.3439999999999999</v>
      </c>
      <c r="AA48">
        <v>3.3340000000000001</v>
      </c>
      <c r="AB48">
        <v>3.331</v>
      </c>
      <c r="AC48">
        <v>3.3420000000000001</v>
      </c>
      <c r="AD48">
        <v>3.3530000000000002</v>
      </c>
      <c r="AE48">
        <v>3.3980000000000001</v>
      </c>
      <c r="AF48">
        <v>3.4369999999999998</v>
      </c>
      <c r="AG48">
        <v>3.419</v>
      </c>
      <c r="AH48">
        <v>3.45</v>
      </c>
      <c r="AI48">
        <v>0</v>
      </c>
      <c r="AJ48" s="2">
        <v>45462</v>
      </c>
      <c r="AK48">
        <v>3.4430000000000001</v>
      </c>
      <c r="AL48">
        <v>3.4049999999999998</v>
      </c>
      <c r="AM48">
        <v>3.359</v>
      </c>
      <c r="AN48">
        <v>3.3290000000000002</v>
      </c>
      <c r="AO48">
        <v>3.286</v>
      </c>
      <c r="AP48">
        <v>3.23</v>
      </c>
      <c r="AQ48">
        <v>3.2389999999999999</v>
      </c>
      <c r="AR48">
        <v>3.238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2:52">
      <c r="B49" s="2">
        <v>45461</v>
      </c>
      <c r="C49">
        <v>3.4180000000000001</v>
      </c>
      <c r="D49">
        <v>3.3359999999999999</v>
      </c>
      <c r="E49">
        <v>3.3439999999999999</v>
      </c>
      <c r="F49">
        <v>3.3359999999999999</v>
      </c>
      <c r="G49">
        <v>3.3159999999999998</v>
      </c>
      <c r="H49">
        <v>3.2749999999999999</v>
      </c>
      <c r="I49">
        <v>3.2269999999999999</v>
      </c>
      <c r="J49">
        <v>3.2069999999999999</v>
      </c>
      <c r="K49">
        <v>3.2349999999999999</v>
      </c>
      <c r="L49">
        <v>3.23</v>
      </c>
      <c r="M49">
        <v>3.2869999999999999</v>
      </c>
      <c r="N49">
        <v>3.2770000000000001</v>
      </c>
      <c r="O49">
        <v>3.2810000000000001</v>
      </c>
      <c r="P49">
        <v>3.2349999999999999</v>
      </c>
      <c r="Q49">
        <v>3.15</v>
      </c>
      <c r="R49">
        <v>3.12</v>
      </c>
      <c r="S49" s="2">
        <v>45461</v>
      </c>
      <c r="T49">
        <v>3.52</v>
      </c>
      <c r="U49">
        <v>3.5350000000000001</v>
      </c>
      <c r="V49">
        <v>3.516</v>
      </c>
      <c r="W49">
        <v>3.52</v>
      </c>
      <c r="X49">
        <v>3.4489999999999998</v>
      </c>
      <c r="Y49">
        <v>3.4079999999999999</v>
      </c>
      <c r="Z49">
        <v>3.3919999999999999</v>
      </c>
      <c r="AA49">
        <v>3.39</v>
      </c>
      <c r="AB49">
        <v>3.3839999999999999</v>
      </c>
      <c r="AC49">
        <v>3.3860000000000001</v>
      </c>
      <c r="AD49">
        <v>3.399</v>
      </c>
      <c r="AE49">
        <v>3.45</v>
      </c>
      <c r="AF49">
        <v>3.4830000000000001</v>
      </c>
      <c r="AG49">
        <v>3.4590000000000001</v>
      </c>
      <c r="AH49">
        <v>3.4830000000000001</v>
      </c>
      <c r="AI49">
        <v>0</v>
      </c>
      <c r="AJ49" s="2">
        <v>45461</v>
      </c>
      <c r="AK49">
        <v>3.4430000000000001</v>
      </c>
      <c r="AL49">
        <v>3.407</v>
      </c>
      <c r="AM49">
        <v>3.3650000000000002</v>
      </c>
      <c r="AN49">
        <v>3.3340000000000001</v>
      </c>
      <c r="AO49">
        <v>3.3130000000000002</v>
      </c>
      <c r="AP49">
        <v>3.2749999999999999</v>
      </c>
      <c r="AQ49">
        <v>3.282</v>
      </c>
      <c r="AR49">
        <v>3.2810000000000001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2:52">
      <c r="B50" s="2">
        <v>45460</v>
      </c>
      <c r="C50">
        <v>3.4159999999999999</v>
      </c>
      <c r="D50">
        <v>3.3279999999999998</v>
      </c>
      <c r="E50">
        <v>3.3439999999999999</v>
      </c>
      <c r="F50">
        <v>3.3359999999999999</v>
      </c>
      <c r="G50">
        <v>3.3159999999999998</v>
      </c>
      <c r="H50">
        <v>3.28</v>
      </c>
      <c r="I50">
        <v>3.2280000000000002</v>
      </c>
      <c r="J50">
        <v>3.2080000000000002</v>
      </c>
      <c r="K50">
        <v>3.2349999999999999</v>
      </c>
      <c r="L50">
        <v>3.23</v>
      </c>
      <c r="M50">
        <v>3.286</v>
      </c>
      <c r="N50">
        <v>3.2749999999999999</v>
      </c>
      <c r="O50">
        <v>3.286</v>
      </c>
      <c r="P50">
        <v>3.2469999999999999</v>
      </c>
      <c r="Q50">
        <v>3.1869999999999998</v>
      </c>
      <c r="R50">
        <v>3.157</v>
      </c>
      <c r="S50" s="2">
        <v>45460</v>
      </c>
      <c r="T50">
        <v>3.52</v>
      </c>
      <c r="U50">
        <v>3.5350000000000001</v>
      </c>
      <c r="V50">
        <v>3.516</v>
      </c>
      <c r="W50">
        <v>3.5190000000000001</v>
      </c>
      <c r="X50">
        <v>3.4489999999999998</v>
      </c>
      <c r="Y50">
        <v>3.407</v>
      </c>
      <c r="Z50">
        <v>3.391</v>
      </c>
      <c r="AA50">
        <v>3.39</v>
      </c>
      <c r="AB50">
        <v>3.3809999999999998</v>
      </c>
      <c r="AC50">
        <v>3.3849999999999998</v>
      </c>
      <c r="AD50">
        <v>3.3959999999999999</v>
      </c>
      <c r="AE50">
        <v>3.4489999999999998</v>
      </c>
      <c r="AF50">
        <v>3.4889999999999999</v>
      </c>
      <c r="AG50">
        <v>3.4710000000000001</v>
      </c>
      <c r="AH50">
        <v>3.52</v>
      </c>
      <c r="AI50">
        <v>0</v>
      </c>
      <c r="AJ50" s="2">
        <v>45460</v>
      </c>
      <c r="AK50">
        <v>3.4430000000000001</v>
      </c>
      <c r="AL50">
        <v>3.407</v>
      </c>
      <c r="AM50">
        <v>3.3650000000000002</v>
      </c>
      <c r="AN50">
        <v>3.3340000000000001</v>
      </c>
      <c r="AO50">
        <v>3.3149999999999999</v>
      </c>
      <c r="AP50">
        <v>3.2749999999999999</v>
      </c>
      <c r="AQ50">
        <v>3.2810000000000001</v>
      </c>
      <c r="AR50">
        <v>3.28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2:52">
      <c r="B51" s="2">
        <v>45457</v>
      </c>
      <c r="C51">
        <v>3.4159999999999999</v>
      </c>
      <c r="D51">
        <v>3.335</v>
      </c>
      <c r="E51">
        <v>3.3540000000000001</v>
      </c>
      <c r="F51">
        <v>3.3439999999999999</v>
      </c>
      <c r="G51">
        <v>3.327</v>
      </c>
      <c r="H51">
        <v>3.3180000000000001</v>
      </c>
      <c r="I51">
        <v>3.2650000000000001</v>
      </c>
      <c r="J51">
        <v>3.242</v>
      </c>
      <c r="K51">
        <v>3.27</v>
      </c>
      <c r="L51">
        <v>3.262</v>
      </c>
      <c r="M51">
        <v>3.3149999999999999</v>
      </c>
      <c r="N51">
        <v>3.3</v>
      </c>
      <c r="O51">
        <v>3.3090000000000002</v>
      </c>
      <c r="P51">
        <v>3.2669999999999999</v>
      </c>
      <c r="Q51">
        <v>3.2050000000000001</v>
      </c>
      <c r="R51">
        <v>3.1749999999999998</v>
      </c>
      <c r="S51" s="2">
        <v>45457</v>
      </c>
      <c r="T51">
        <v>3.5219999999999998</v>
      </c>
      <c r="U51">
        <v>3.5390000000000001</v>
      </c>
      <c r="V51">
        <v>3.528</v>
      </c>
      <c r="W51">
        <v>3.53</v>
      </c>
      <c r="X51">
        <v>3.4689999999999999</v>
      </c>
      <c r="Y51">
        <v>3.4340000000000002</v>
      </c>
      <c r="Z51">
        <v>3.4209999999999998</v>
      </c>
      <c r="AA51">
        <v>3.4159999999999999</v>
      </c>
      <c r="AB51">
        <v>3.4060000000000001</v>
      </c>
      <c r="AC51">
        <v>3.4079999999999999</v>
      </c>
      <c r="AD51">
        <v>3.4169999999999998</v>
      </c>
      <c r="AE51">
        <v>3.47</v>
      </c>
      <c r="AF51">
        <v>3.51</v>
      </c>
      <c r="AG51">
        <v>3.4929999999999999</v>
      </c>
      <c r="AH51">
        <v>3.54</v>
      </c>
      <c r="AI51">
        <v>0</v>
      </c>
      <c r="AJ51" s="2">
        <v>45457</v>
      </c>
      <c r="AK51">
        <v>3.4449999999999998</v>
      </c>
      <c r="AL51">
        <v>3.41</v>
      </c>
      <c r="AM51">
        <v>3.375</v>
      </c>
      <c r="AN51">
        <v>3.3460000000000001</v>
      </c>
      <c r="AO51">
        <v>3.3370000000000002</v>
      </c>
      <c r="AP51">
        <v>3.3090000000000002</v>
      </c>
      <c r="AQ51">
        <v>3.3140000000000001</v>
      </c>
      <c r="AR51">
        <v>3.3090000000000002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2:52">
      <c r="B52" s="2">
        <v>45456</v>
      </c>
      <c r="C52">
        <v>3.4159999999999999</v>
      </c>
      <c r="D52">
        <v>3.343</v>
      </c>
      <c r="E52">
        <v>3.3559999999999999</v>
      </c>
      <c r="F52">
        <v>3.3439999999999999</v>
      </c>
      <c r="G52">
        <v>3.3319999999999999</v>
      </c>
      <c r="H52">
        <v>3.3450000000000002</v>
      </c>
      <c r="I52">
        <v>3.3</v>
      </c>
      <c r="J52">
        <v>3.278</v>
      </c>
      <c r="K52">
        <v>3.3109999999999999</v>
      </c>
      <c r="L52">
        <v>3.3</v>
      </c>
      <c r="M52">
        <v>3.36</v>
      </c>
      <c r="N52">
        <v>3.3519999999999999</v>
      </c>
      <c r="O52">
        <v>3.3460000000000001</v>
      </c>
      <c r="P52">
        <v>3.29</v>
      </c>
      <c r="Q52">
        <v>3.2250000000000001</v>
      </c>
      <c r="R52">
        <v>3.2090000000000001</v>
      </c>
      <c r="S52" s="2">
        <v>45456</v>
      </c>
      <c r="T52">
        <v>3.53</v>
      </c>
      <c r="U52">
        <v>3.5470000000000002</v>
      </c>
      <c r="V52">
        <v>3.5449999999999999</v>
      </c>
      <c r="W52">
        <v>3.5419999999999998</v>
      </c>
      <c r="X52">
        <v>3.4849999999999999</v>
      </c>
      <c r="Y52">
        <v>3.4620000000000002</v>
      </c>
      <c r="Z52">
        <v>3.4580000000000002</v>
      </c>
      <c r="AA52">
        <v>3.4540000000000002</v>
      </c>
      <c r="AB52">
        <v>3.4420000000000002</v>
      </c>
      <c r="AC52">
        <v>3.4430000000000001</v>
      </c>
      <c r="AD52">
        <v>3.4620000000000002</v>
      </c>
      <c r="AE52">
        <v>3.5219999999999998</v>
      </c>
      <c r="AF52">
        <v>3.548</v>
      </c>
      <c r="AG52">
        <v>3.516</v>
      </c>
      <c r="AH52">
        <v>3.56</v>
      </c>
      <c r="AI52">
        <v>0</v>
      </c>
      <c r="AJ52" s="2">
        <v>45456</v>
      </c>
      <c r="AK52">
        <v>3.4449999999999998</v>
      </c>
      <c r="AL52">
        <v>3.415</v>
      </c>
      <c r="AM52">
        <v>3.3889999999999998</v>
      </c>
      <c r="AN52">
        <v>3.36</v>
      </c>
      <c r="AO52">
        <v>3.3580000000000001</v>
      </c>
      <c r="AP52">
        <v>3.335</v>
      </c>
      <c r="AQ52">
        <v>3.3420000000000001</v>
      </c>
      <c r="AR52">
        <v>3.3420000000000001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2:52">
      <c r="B53" s="2">
        <v>45455</v>
      </c>
      <c r="C53">
        <v>3.42</v>
      </c>
      <c r="D53">
        <v>3.351</v>
      </c>
      <c r="E53">
        <v>3.363</v>
      </c>
      <c r="F53">
        <v>3.3439999999999999</v>
      </c>
      <c r="G53">
        <v>3.3340000000000001</v>
      </c>
      <c r="H53">
        <v>3.36</v>
      </c>
      <c r="I53">
        <v>3.3119999999999998</v>
      </c>
      <c r="J53">
        <v>3.2949999999999999</v>
      </c>
      <c r="K53">
        <v>3.33</v>
      </c>
      <c r="L53">
        <v>3.3149999999999999</v>
      </c>
      <c r="M53">
        <v>3.3759999999999999</v>
      </c>
      <c r="N53">
        <v>3.37</v>
      </c>
      <c r="O53">
        <v>3.3660000000000001</v>
      </c>
      <c r="P53">
        <v>3.3119999999999998</v>
      </c>
      <c r="Q53">
        <v>3.2370000000000001</v>
      </c>
      <c r="R53">
        <v>3.222</v>
      </c>
      <c r="S53" s="2">
        <v>45455</v>
      </c>
      <c r="T53">
        <v>3.5339999999999998</v>
      </c>
      <c r="U53">
        <v>3.5579999999999998</v>
      </c>
      <c r="V53">
        <v>3.5579999999999998</v>
      </c>
      <c r="W53">
        <v>3.5529999999999999</v>
      </c>
      <c r="X53">
        <v>3.5009999999999999</v>
      </c>
      <c r="Y53">
        <v>3.4750000000000001</v>
      </c>
      <c r="Z53">
        <v>3.4660000000000002</v>
      </c>
      <c r="AA53">
        <v>3.464</v>
      </c>
      <c r="AB53">
        <v>3.4590000000000001</v>
      </c>
      <c r="AC53">
        <v>3.4550000000000001</v>
      </c>
      <c r="AD53">
        <v>3.4769999999999999</v>
      </c>
      <c r="AE53">
        <v>3.5390000000000001</v>
      </c>
      <c r="AF53">
        <v>3.5680000000000001</v>
      </c>
      <c r="AG53">
        <v>3.5379999999999998</v>
      </c>
      <c r="AH53">
        <v>3.5720000000000001</v>
      </c>
      <c r="AI53">
        <v>0</v>
      </c>
      <c r="AJ53" s="2">
        <v>45455</v>
      </c>
      <c r="AK53">
        <v>3.448</v>
      </c>
      <c r="AL53">
        <v>3.4249999999999998</v>
      </c>
      <c r="AM53">
        <v>3.399</v>
      </c>
      <c r="AN53">
        <v>3.37</v>
      </c>
      <c r="AO53">
        <v>3.3719999999999999</v>
      </c>
      <c r="AP53">
        <v>3.35</v>
      </c>
      <c r="AQ53">
        <v>3.3570000000000002</v>
      </c>
      <c r="AR53">
        <v>3.36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2:52">
      <c r="B54" s="2">
        <v>45454</v>
      </c>
      <c r="C54">
        <v>3.4180000000000001</v>
      </c>
      <c r="D54">
        <v>3.363</v>
      </c>
      <c r="E54">
        <v>3.3660000000000001</v>
      </c>
      <c r="F54">
        <v>3.3530000000000002</v>
      </c>
      <c r="G54">
        <v>3.3460000000000001</v>
      </c>
      <c r="H54">
        <v>3.39</v>
      </c>
      <c r="I54">
        <v>3.35</v>
      </c>
      <c r="J54">
        <v>3.3319999999999999</v>
      </c>
      <c r="K54">
        <v>3.37</v>
      </c>
      <c r="L54">
        <v>3.36</v>
      </c>
      <c r="M54">
        <v>3.4209999999999998</v>
      </c>
      <c r="N54">
        <v>3.4159999999999999</v>
      </c>
      <c r="O54">
        <v>3.4060000000000001</v>
      </c>
      <c r="P54">
        <v>3.347</v>
      </c>
      <c r="Q54">
        <v>3.2650000000000001</v>
      </c>
      <c r="R54">
        <v>3.2490000000000001</v>
      </c>
      <c r="S54" s="2">
        <v>45454</v>
      </c>
      <c r="T54">
        <v>3.5339999999999998</v>
      </c>
      <c r="U54">
        <v>3.5619999999999998</v>
      </c>
      <c r="V54">
        <v>3.5619999999999998</v>
      </c>
      <c r="W54">
        <v>3.5609999999999999</v>
      </c>
      <c r="X54">
        <v>3.5230000000000001</v>
      </c>
      <c r="Y54">
        <v>3.5059999999999998</v>
      </c>
      <c r="Z54">
        <v>3.5089999999999999</v>
      </c>
      <c r="AA54">
        <v>3.504</v>
      </c>
      <c r="AB54">
        <v>3.4980000000000002</v>
      </c>
      <c r="AC54">
        <v>3.5</v>
      </c>
      <c r="AD54">
        <v>3.5219999999999998</v>
      </c>
      <c r="AE54">
        <v>3.585</v>
      </c>
      <c r="AF54">
        <v>3.6080000000000001</v>
      </c>
      <c r="AG54">
        <v>3.573</v>
      </c>
      <c r="AH54">
        <v>3.6</v>
      </c>
      <c r="AI54">
        <v>0</v>
      </c>
      <c r="AJ54" s="2">
        <v>45454</v>
      </c>
      <c r="AK54">
        <v>3.448</v>
      </c>
      <c r="AL54">
        <v>3.4289999999999998</v>
      </c>
      <c r="AM54">
        <v>3.4020000000000001</v>
      </c>
      <c r="AN54">
        <v>3.375</v>
      </c>
      <c r="AO54">
        <v>3.391</v>
      </c>
      <c r="AP54">
        <v>3.3759999999999999</v>
      </c>
      <c r="AQ54">
        <v>3.39</v>
      </c>
      <c r="AR54">
        <v>3.395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2:52">
      <c r="B55" s="2">
        <v>45453</v>
      </c>
      <c r="C55">
        <v>3.4180000000000001</v>
      </c>
      <c r="D55">
        <v>3.38</v>
      </c>
      <c r="E55">
        <v>3.3530000000000002</v>
      </c>
      <c r="F55">
        <v>3.347</v>
      </c>
      <c r="G55">
        <v>3.3519999999999999</v>
      </c>
      <c r="H55">
        <v>3.403</v>
      </c>
      <c r="I55">
        <v>3.3690000000000002</v>
      </c>
      <c r="J55">
        <v>3.3450000000000002</v>
      </c>
      <c r="K55">
        <v>3.3849999999999998</v>
      </c>
      <c r="L55">
        <v>3.3839999999999999</v>
      </c>
      <c r="M55">
        <v>3.44</v>
      </c>
      <c r="N55">
        <v>3.4319999999999999</v>
      </c>
      <c r="O55">
        <v>3.4260000000000002</v>
      </c>
      <c r="P55">
        <v>3.37</v>
      </c>
      <c r="Q55">
        <v>3.29</v>
      </c>
      <c r="R55">
        <v>3.274</v>
      </c>
      <c r="S55" s="2">
        <v>45453</v>
      </c>
      <c r="T55">
        <v>3.5339999999999998</v>
      </c>
      <c r="U55">
        <v>3.5619999999999998</v>
      </c>
      <c r="V55">
        <v>3.5640000000000001</v>
      </c>
      <c r="W55">
        <v>3.5649999999999999</v>
      </c>
      <c r="X55">
        <v>3.532</v>
      </c>
      <c r="Y55">
        <v>3.5179999999999998</v>
      </c>
      <c r="Z55">
        <v>3.5310000000000001</v>
      </c>
      <c r="AA55">
        <v>3.5190000000000001</v>
      </c>
      <c r="AB55">
        <v>3.5129999999999999</v>
      </c>
      <c r="AC55">
        <v>3.524</v>
      </c>
      <c r="AD55">
        <v>3.5409999999999999</v>
      </c>
      <c r="AE55">
        <v>3.601</v>
      </c>
      <c r="AF55">
        <v>3.6280000000000001</v>
      </c>
      <c r="AG55">
        <v>3.5960000000000001</v>
      </c>
      <c r="AH55">
        <v>3.625</v>
      </c>
      <c r="AI55">
        <v>0</v>
      </c>
      <c r="AJ55" s="2">
        <v>45453</v>
      </c>
      <c r="AK55">
        <v>3.448</v>
      </c>
      <c r="AL55">
        <v>3.4289999999999998</v>
      </c>
      <c r="AM55">
        <v>3.4049999999999998</v>
      </c>
      <c r="AN55">
        <v>3.375</v>
      </c>
      <c r="AO55">
        <v>3.3980000000000001</v>
      </c>
      <c r="AP55">
        <v>3.3849999999999998</v>
      </c>
      <c r="AQ55">
        <v>3.4</v>
      </c>
      <c r="AR55">
        <v>3.4049999999999998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2:52">
      <c r="B56" s="2">
        <v>45450</v>
      </c>
      <c r="C56">
        <v>3.4129999999999998</v>
      </c>
      <c r="D56">
        <v>3.41</v>
      </c>
      <c r="E56">
        <v>3.35</v>
      </c>
      <c r="F56">
        <v>3.3439999999999999</v>
      </c>
      <c r="G56">
        <v>3.339</v>
      </c>
      <c r="H56">
        <v>3.355</v>
      </c>
      <c r="I56">
        <v>3.335</v>
      </c>
      <c r="J56">
        <v>3.3079999999999998</v>
      </c>
      <c r="K56">
        <v>3.3319999999999999</v>
      </c>
      <c r="L56">
        <v>3.33</v>
      </c>
      <c r="M56">
        <v>3.3740000000000001</v>
      </c>
      <c r="N56">
        <v>3.3849999999999998</v>
      </c>
      <c r="O56">
        <v>3.3690000000000002</v>
      </c>
      <c r="P56">
        <v>3.327</v>
      </c>
      <c r="Q56">
        <v>3.26</v>
      </c>
      <c r="R56">
        <v>3.2440000000000002</v>
      </c>
      <c r="S56" s="2">
        <v>45450</v>
      </c>
      <c r="T56">
        <v>3.53</v>
      </c>
      <c r="U56">
        <v>3.5579999999999998</v>
      </c>
      <c r="V56">
        <v>3.5609999999999999</v>
      </c>
      <c r="W56">
        <v>3.552</v>
      </c>
      <c r="X56">
        <v>3.4980000000000002</v>
      </c>
      <c r="Y56">
        <v>3.476</v>
      </c>
      <c r="Z56">
        <v>3.4820000000000002</v>
      </c>
      <c r="AA56">
        <v>3.4670000000000001</v>
      </c>
      <c r="AB56">
        <v>3.468</v>
      </c>
      <c r="AC56">
        <v>3.4769999999999999</v>
      </c>
      <c r="AD56">
        <v>3.4830000000000001</v>
      </c>
      <c r="AE56">
        <v>3.5329999999999999</v>
      </c>
      <c r="AF56">
        <v>3.5720000000000001</v>
      </c>
      <c r="AG56">
        <v>3.5550000000000002</v>
      </c>
      <c r="AH56">
        <v>3.5960000000000001</v>
      </c>
      <c r="AI56">
        <v>0</v>
      </c>
      <c r="AJ56" s="2">
        <v>45450</v>
      </c>
      <c r="AK56">
        <v>3.448</v>
      </c>
      <c r="AL56">
        <v>3.427</v>
      </c>
      <c r="AM56">
        <v>3.4009999999999998</v>
      </c>
      <c r="AN56">
        <v>3.363</v>
      </c>
      <c r="AO56">
        <v>3.3620000000000001</v>
      </c>
      <c r="AP56">
        <v>3.34</v>
      </c>
      <c r="AQ56">
        <v>3.3479999999999999</v>
      </c>
      <c r="AR56">
        <v>3.35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2:52">
      <c r="B57" s="2">
        <v>45448</v>
      </c>
      <c r="C57">
        <v>3.4079999999999999</v>
      </c>
      <c r="D57">
        <v>3.4380000000000002</v>
      </c>
      <c r="E57">
        <v>3.363</v>
      </c>
      <c r="F57">
        <v>3.3519999999999999</v>
      </c>
      <c r="G57">
        <v>3.3570000000000002</v>
      </c>
      <c r="H57">
        <v>3.3839999999999999</v>
      </c>
      <c r="I57">
        <v>3.37</v>
      </c>
      <c r="J57">
        <v>3.343</v>
      </c>
      <c r="K57">
        <v>3.3719999999999999</v>
      </c>
      <c r="L57">
        <v>3.367</v>
      </c>
      <c r="M57">
        <v>3.4169999999999998</v>
      </c>
      <c r="N57">
        <v>3.4319999999999999</v>
      </c>
      <c r="O57">
        <v>3.411</v>
      </c>
      <c r="P57">
        <v>3.3650000000000002</v>
      </c>
      <c r="Q57">
        <v>3.2949999999999999</v>
      </c>
      <c r="R57">
        <v>3.2789999999999999</v>
      </c>
      <c r="S57" s="2">
        <v>45448</v>
      </c>
      <c r="T57">
        <v>3.5310000000000001</v>
      </c>
      <c r="U57">
        <v>3.5619999999999998</v>
      </c>
      <c r="V57">
        <v>3.5659999999999998</v>
      </c>
      <c r="W57">
        <v>3.5609999999999999</v>
      </c>
      <c r="X57">
        <v>3.516</v>
      </c>
      <c r="Y57">
        <v>3.5019999999999998</v>
      </c>
      <c r="Z57">
        <v>3.5169999999999999</v>
      </c>
      <c r="AA57">
        <v>3.5019999999999998</v>
      </c>
      <c r="AB57">
        <v>3.508</v>
      </c>
      <c r="AC57">
        <v>3.512</v>
      </c>
      <c r="AD57">
        <v>3.5209999999999999</v>
      </c>
      <c r="AE57">
        <v>3.5760000000000001</v>
      </c>
      <c r="AF57">
        <v>3.6139999999999999</v>
      </c>
      <c r="AG57">
        <v>3.5920000000000001</v>
      </c>
      <c r="AH57">
        <v>3.63</v>
      </c>
      <c r="AI57">
        <v>0</v>
      </c>
      <c r="AJ57" s="2">
        <v>45448</v>
      </c>
      <c r="AK57">
        <v>3.45</v>
      </c>
      <c r="AL57">
        <v>3.43</v>
      </c>
      <c r="AM57">
        <v>3.4049999999999998</v>
      </c>
      <c r="AN57">
        <v>3.3730000000000002</v>
      </c>
      <c r="AO57">
        <v>3.38</v>
      </c>
      <c r="AP57">
        <v>3.3650000000000002</v>
      </c>
      <c r="AQ57">
        <v>3.3809999999999998</v>
      </c>
      <c r="AR57">
        <v>3.3849999999999998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2:52">
      <c r="B58" s="2">
        <v>45447</v>
      </c>
      <c r="C58">
        <v>3.403</v>
      </c>
      <c r="D58">
        <v>3.4529999999999998</v>
      </c>
      <c r="E58">
        <v>3.371</v>
      </c>
      <c r="F58">
        <v>3.3679999999999999</v>
      </c>
      <c r="G58">
        <v>3.375</v>
      </c>
      <c r="H58">
        <v>3.415</v>
      </c>
      <c r="I58">
        <v>3.4049999999999998</v>
      </c>
      <c r="J58">
        <v>3.3919999999999999</v>
      </c>
      <c r="K58">
        <v>3.4119999999999999</v>
      </c>
      <c r="L58">
        <v>3.4169999999999998</v>
      </c>
      <c r="M58">
        <v>3.4620000000000002</v>
      </c>
      <c r="N58">
        <v>3.472</v>
      </c>
      <c r="O58">
        <v>3.4489999999999998</v>
      </c>
      <c r="P58">
        <v>3.4</v>
      </c>
      <c r="Q58">
        <v>3.3220000000000001</v>
      </c>
      <c r="R58">
        <v>3.3069999999999999</v>
      </c>
      <c r="S58" s="2">
        <v>45447</v>
      </c>
      <c r="T58">
        <v>3.5329999999999999</v>
      </c>
      <c r="U58">
        <v>3.57</v>
      </c>
      <c r="V58">
        <v>3.5760000000000001</v>
      </c>
      <c r="W58">
        <v>3.5720000000000001</v>
      </c>
      <c r="X58">
        <v>3.5470000000000002</v>
      </c>
      <c r="Y58">
        <v>3.5339999999999998</v>
      </c>
      <c r="Z58">
        <v>3.552</v>
      </c>
      <c r="AA58">
        <v>3.552</v>
      </c>
      <c r="AB58">
        <v>3.5459999999999998</v>
      </c>
      <c r="AC58">
        <v>3.5569999999999999</v>
      </c>
      <c r="AD58">
        <v>3.56</v>
      </c>
      <c r="AE58">
        <v>3.6160000000000001</v>
      </c>
      <c r="AF58">
        <v>3.6520000000000001</v>
      </c>
      <c r="AG58">
        <v>3.6269999999999998</v>
      </c>
      <c r="AH58">
        <v>3.657</v>
      </c>
      <c r="AI58">
        <v>0</v>
      </c>
      <c r="AJ58" s="2">
        <v>45447</v>
      </c>
      <c r="AK58">
        <v>3.45</v>
      </c>
      <c r="AL58">
        <v>3.4340000000000002</v>
      </c>
      <c r="AM58">
        <v>3.41</v>
      </c>
      <c r="AN58">
        <v>3.38</v>
      </c>
      <c r="AO58">
        <v>3.4129999999999998</v>
      </c>
      <c r="AP58">
        <v>3.399</v>
      </c>
      <c r="AQ58">
        <v>3.4140000000000001</v>
      </c>
      <c r="AR58">
        <v>3.419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2:52">
      <c r="B59" s="2">
        <v>45446</v>
      </c>
      <c r="C59">
        <v>3.403</v>
      </c>
      <c r="D59">
        <v>3.456</v>
      </c>
      <c r="E59">
        <v>3.383</v>
      </c>
      <c r="F59">
        <v>3.3759999999999999</v>
      </c>
      <c r="G59">
        <v>3.395</v>
      </c>
      <c r="H59">
        <v>3.4460000000000002</v>
      </c>
      <c r="I59">
        <v>3.4369999999999998</v>
      </c>
      <c r="J59">
        <v>3.4319999999999999</v>
      </c>
      <c r="K59">
        <v>3.46</v>
      </c>
      <c r="L59">
        <v>3.4670000000000001</v>
      </c>
      <c r="M59">
        <v>3.52</v>
      </c>
      <c r="N59">
        <v>3.5369999999999999</v>
      </c>
      <c r="O59">
        <v>3.504</v>
      </c>
      <c r="P59">
        <v>3.4470000000000001</v>
      </c>
      <c r="Q59">
        <v>3.367</v>
      </c>
      <c r="R59">
        <v>3.3519999999999999</v>
      </c>
      <c r="S59" s="2">
        <v>45446</v>
      </c>
      <c r="T59">
        <v>3.5339999999999998</v>
      </c>
      <c r="U59">
        <v>3.58</v>
      </c>
      <c r="V59">
        <v>3.5859999999999999</v>
      </c>
      <c r="W59">
        <v>3.5870000000000002</v>
      </c>
      <c r="X59">
        <v>3.5819999999999999</v>
      </c>
      <c r="Y59">
        <v>3.5720000000000001</v>
      </c>
      <c r="Z59">
        <v>3.5840000000000001</v>
      </c>
      <c r="AA59">
        <v>3.59</v>
      </c>
      <c r="AB59">
        <v>3.5920000000000001</v>
      </c>
      <c r="AC59">
        <v>3.6059999999999999</v>
      </c>
      <c r="AD59">
        <v>3.617</v>
      </c>
      <c r="AE59">
        <v>3.681</v>
      </c>
      <c r="AF59">
        <v>3.71</v>
      </c>
      <c r="AG59">
        <v>3.677</v>
      </c>
      <c r="AH59">
        <v>3.7069999999999999</v>
      </c>
      <c r="AI59">
        <v>0</v>
      </c>
      <c r="AJ59" s="2">
        <v>45446</v>
      </c>
      <c r="AK59">
        <v>3.45</v>
      </c>
      <c r="AL59">
        <v>3.4340000000000002</v>
      </c>
      <c r="AM59">
        <v>3.415</v>
      </c>
      <c r="AN59">
        <v>3.39</v>
      </c>
      <c r="AO59">
        <v>3.4449999999999998</v>
      </c>
      <c r="AP59">
        <v>3.4350000000000001</v>
      </c>
      <c r="AQ59">
        <v>3.45</v>
      </c>
      <c r="AR59">
        <v>3.456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2:52">
      <c r="B60" s="2">
        <v>45443</v>
      </c>
      <c r="C60">
        <v>3.403</v>
      </c>
      <c r="D60">
        <v>3.4590000000000001</v>
      </c>
      <c r="E60">
        <v>3.3929999999999998</v>
      </c>
      <c r="F60">
        <v>3.3860000000000001</v>
      </c>
      <c r="G60">
        <v>3.41</v>
      </c>
      <c r="H60">
        <v>3.4630000000000001</v>
      </c>
      <c r="I60">
        <v>3.4569999999999999</v>
      </c>
      <c r="J60">
        <v>3.452</v>
      </c>
      <c r="K60">
        <v>3.492</v>
      </c>
      <c r="L60">
        <v>3.5019999999999998</v>
      </c>
      <c r="M60">
        <v>3.56</v>
      </c>
      <c r="N60">
        <v>3.58</v>
      </c>
      <c r="O60">
        <v>3.5539999999999998</v>
      </c>
      <c r="P60">
        <v>3.5049999999999999</v>
      </c>
      <c r="Q60">
        <v>3.43</v>
      </c>
      <c r="R60">
        <v>3.4140000000000001</v>
      </c>
      <c r="S60" s="2">
        <v>45443</v>
      </c>
      <c r="T60">
        <v>3.5339999999999998</v>
      </c>
      <c r="U60">
        <v>3.5819999999999999</v>
      </c>
      <c r="V60">
        <v>3.5870000000000002</v>
      </c>
      <c r="W60">
        <v>3.5910000000000002</v>
      </c>
      <c r="X60">
        <v>3.6</v>
      </c>
      <c r="Y60">
        <v>3.589</v>
      </c>
      <c r="Z60">
        <v>3.6040000000000001</v>
      </c>
      <c r="AA60">
        <v>3.61</v>
      </c>
      <c r="AB60">
        <v>3.6240000000000001</v>
      </c>
      <c r="AC60">
        <v>3.641</v>
      </c>
      <c r="AD60">
        <v>3.6539999999999999</v>
      </c>
      <c r="AE60">
        <v>3.722</v>
      </c>
      <c r="AF60">
        <v>3.76</v>
      </c>
      <c r="AG60">
        <v>3.7349999999999999</v>
      </c>
      <c r="AH60">
        <v>3.77</v>
      </c>
      <c r="AI60">
        <v>0</v>
      </c>
      <c r="AJ60" s="2">
        <v>45443</v>
      </c>
      <c r="AK60">
        <v>3.45</v>
      </c>
      <c r="AL60">
        <v>3.4350000000000001</v>
      </c>
      <c r="AM60">
        <v>3.4159999999999999</v>
      </c>
      <c r="AN60">
        <v>3.391</v>
      </c>
      <c r="AO60">
        <v>3.4569999999999999</v>
      </c>
      <c r="AP60">
        <v>3.4529999999999998</v>
      </c>
      <c r="AQ60">
        <v>3.472</v>
      </c>
      <c r="AR60">
        <v>3.476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2:52">
      <c r="B61" s="2">
        <v>45442</v>
      </c>
      <c r="C61">
        <v>3.403</v>
      </c>
      <c r="D61">
        <v>3.4550000000000001</v>
      </c>
      <c r="E61">
        <v>3.403</v>
      </c>
      <c r="F61">
        <v>3.403</v>
      </c>
      <c r="G61">
        <v>3.42</v>
      </c>
      <c r="H61">
        <v>3.4590000000000001</v>
      </c>
      <c r="I61">
        <v>3.45</v>
      </c>
      <c r="J61">
        <v>3.44</v>
      </c>
      <c r="K61">
        <v>3.4849999999999999</v>
      </c>
      <c r="L61">
        <v>3.49</v>
      </c>
      <c r="M61">
        <v>3.548</v>
      </c>
      <c r="N61">
        <v>3.5619999999999998</v>
      </c>
      <c r="O61">
        <v>3.5379999999999998</v>
      </c>
      <c r="P61">
        <v>3.49</v>
      </c>
      <c r="Q61">
        <v>3.41</v>
      </c>
      <c r="R61">
        <v>3.395</v>
      </c>
      <c r="S61" s="2">
        <v>45442</v>
      </c>
      <c r="T61">
        <v>3.5259999999999998</v>
      </c>
      <c r="U61">
        <v>3.569</v>
      </c>
      <c r="V61">
        <v>3.5870000000000002</v>
      </c>
      <c r="W61">
        <v>3.5920000000000001</v>
      </c>
      <c r="X61">
        <v>3.5979999999999999</v>
      </c>
      <c r="Y61">
        <v>3.585</v>
      </c>
      <c r="Z61">
        <v>3.5990000000000002</v>
      </c>
      <c r="AA61">
        <v>3.5979999999999999</v>
      </c>
      <c r="AB61">
        <v>3.6160000000000001</v>
      </c>
      <c r="AC61">
        <v>3.6280000000000001</v>
      </c>
      <c r="AD61">
        <v>3.641</v>
      </c>
      <c r="AE61">
        <v>3.7040000000000002</v>
      </c>
      <c r="AF61">
        <v>3.7440000000000002</v>
      </c>
      <c r="AG61">
        <v>3.72</v>
      </c>
      <c r="AH61">
        <v>3.7509999999999999</v>
      </c>
      <c r="AI61">
        <v>0</v>
      </c>
      <c r="AJ61" s="2">
        <v>45442</v>
      </c>
      <c r="AK61">
        <v>3.4460000000000002</v>
      </c>
      <c r="AL61">
        <v>3.4350000000000001</v>
      </c>
      <c r="AM61">
        <v>3.4180000000000001</v>
      </c>
      <c r="AN61">
        <v>3.3929999999999998</v>
      </c>
      <c r="AO61">
        <v>3.4550000000000001</v>
      </c>
      <c r="AP61">
        <v>3.4470000000000001</v>
      </c>
      <c r="AQ61">
        <v>3.468</v>
      </c>
      <c r="AR61">
        <v>3.4660000000000002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2:52">
      <c r="B62" s="2">
        <v>45441</v>
      </c>
      <c r="C62">
        <v>3.403</v>
      </c>
      <c r="D62">
        <v>3.4550000000000001</v>
      </c>
      <c r="E62">
        <v>3.4</v>
      </c>
      <c r="F62">
        <v>3.4</v>
      </c>
      <c r="G62">
        <v>3.41</v>
      </c>
      <c r="H62">
        <v>3.4449999999999998</v>
      </c>
      <c r="I62">
        <v>3.4319999999999999</v>
      </c>
      <c r="J62">
        <v>3.42</v>
      </c>
      <c r="K62">
        <v>3.4569999999999999</v>
      </c>
      <c r="L62">
        <v>3.4649999999999999</v>
      </c>
      <c r="M62">
        <v>3.5230000000000001</v>
      </c>
      <c r="N62">
        <v>3.5350000000000001</v>
      </c>
      <c r="O62">
        <v>3.5179999999999998</v>
      </c>
      <c r="P62">
        <v>3.4769999999999999</v>
      </c>
      <c r="Q62">
        <v>3.395</v>
      </c>
      <c r="R62">
        <v>3.383</v>
      </c>
      <c r="S62" s="2">
        <v>45441</v>
      </c>
      <c r="T62">
        <v>3.52</v>
      </c>
      <c r="U62">
        <v>3.5619999999999998</v>
      </c>
      <c r="V62">
        <v>3.5760000000000001</v>
      </c>
      <c r="W62">
        <v>3.581</v>
      </c>
      <c r="X62">
        <v>3.5870000000000002</v>
      </c>
      <c r="Y62">
        <v>3.5680000000000001</v>
      </c>
      <c r="Z62">
        <v>3.5779999999999998</v>
      </c>
      <c r="AA62">
        <v>3.5739999999999998</v>
      </c>
      <c r="AB62">
        <v>3.585</v>
      </c>
      <c r="AC62">
        <v>3.5990000000000002</v>
      </c>
      <c r="AD62">
        <v>3.6139999999999999</v>
      </c>
      <c r="AE62">
        <v>3.6779999999999999</v>
      </c>
      <c r="AF62">
        <v>3.7269999999999999</v>
      </c>
      <c r="AG62">
        <v>3.7080000000000002</v>
      </c>
      <c r="AH62">
        <v>3.7360000000000002</v>
      </c>
      <c r="AI62">
        <v>0</v>
      </c>
      <c r="AJ62" s="2">
        <v>45441</v>
      </c>
      <c r="AK62">
        <v>3.44</v>
      </c>
      <c r="AL62">
        <v>3.4279999999999999</v>
      </c>
      <c r="AM62">
        <v>3.407</v>
      </c>
      <c r="AN62">
        <v>3.3809999999999998</v>
      </c>
      <c r="AO62">
        <v>3.44</v>
      </c>
      <c r="AP62">
        <v>3.4279999999999999</v>
      </c>
      <c r="AQ62">
        <v>3.4470000000000001</v>
      </c>
      <c r="AR62">
        <v>3.448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2:52">
      <c r="B63" s="2">
        <v>45440</v>
      </c>
      <c r="C63">
        <v>3.403</v>
      </c>
      <c r="D63">
        <v>3.4529999999999998</v>
      </c>
      <c r="E63">
        <v>3.4</v>
      </c>
      <c r="F63">
        <v>3.3929999999999998</v>
      </c>
      <c r="G63">
        <v>3.407</v>
      </c>
      <c r="H63">
        <v>3.423</v>
      </c>
      <c r="I63">
        <v>3.3980000000000001</v>
      </c>
      <c r="J63">
        <v>3.387</v>
      </c>
      <c r="K63">
        <v>3.4169999999999998</v>
      </c>
      <c r="L63">
        <v>3.415</v>
      </c>
      <c r="M63">
        <v>3.47</v>
      </c>
      <c r="N63">
        <v>3.4769999999999999</v>
      </c>
      <c r="O63">
        <v>3.464</v>
      </c>
      <c r="P63">
        <v>3.427</v>
      </c>
      <c r="Q63">
        <v>3.355</v>
      </c>
      <c r="R63">
        <v>3.343</v>
      </c>
      <c r="S63" s="2">
        <v>45440</v>
      </c>
      <c r="T63">
        <v>3.5209999999999999</v>
      </c>
      <c r="U63">
        <v>3.5659999999999998</v>
      </c>
      <c r="V63">
        <v>3.5720000000000001</v>
      </c>
      <c r="W63">
        <v>3.569</v>
      </c>
      <c r="X63">
        <v>3.5710000000000002</v>
      </c>
      <c r="Y63">
        <v>3.5590000000000002</v>
      </c>
      <c r="Z63">
        <v>3.5579999999999998</v>
      </c>
      <c r="AA63">
        <v>3.55</v>
      </c>
      <c r="AB63">
        <v>3.548</v>
      </c>
      <c r="AC63">
        <v>3.552</v>
      </c>
      <c r="AD63">
        <v>3.5630000000000002</v>
      </c>
      <c r="AE63">
        <v>3.621</v>
      </c>
      <c r="AF63">
        <v>3.6749999999999998</v>
      </c>
      <c r="AG63">
        <v>3.6589999999999998</v>
      </c>
      <c r="AH63">
        <v>3.6960000000000002</v>
      </c>
      <c r="AI63">
        <v>0</v>
      </c>
      <c r="AJ63" s="2">
        <v>45440</v>
      </c>
      <c r="AK63">
        <v>3.4380000000000002</v>
      </c>
      <c r="AL63">
        <v>3.4249999999999998</v>
      </c>
      <c r="AM63">
        <v>3.4009999999999998</v>
      </c>
      <c r="AN63">
        <v>3.367</v>
      </c>
      <c r="AO63">
        <v>3.42</v>
      </c>
      <c r="AP63">
        <v>3.4049999999999998</v>
      </c>
      <c r="AQ63">
        <v>3.4119999999999999</v>
      </c>
      <c r="AR63">
        <v>3.415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2:52">
      <c r="B64" s="2">
        <v>45439</v>
      </c>
      <c r="C64">
        <v>3.403</v>
      </c>
      <c r="D64">
        <v>3.456</v>
      </c>
      <c r="E64">
        <v>3.4049999999999998</v>
      </c>
      <c r="F64">
        <v>3.4049999999999998</v>
      </c>
      <c r="G64">
        <v>3.4260000000000002</v>
      </c>
      <c r="H64">
        <v>3.4449999999999998</v>
      </c>
      <c r="I64">
        <v>3.415</v>
      </c>
      <c r="J64">
        <v>3.41</v>
      </c>
      <c r="K64">
        <v>3.4369999999999998</v>
      </c>
      <c r="L64">
        <v>3.4369999999999998</v>
      </c>
      <c r="M64">
        <v>3.4910000000000001</v>
      </c>
      <c r="N64">
        <v>3.4969999999999999</v>
      </c>
      <c r="O64">
        <v>3.4790000000000001</v>
      </c>
      <c r="P64">
        <v>3.44</v>
      </c>
      <c r="Q64">
        <v>3.36</v>
      </c>
      <c r="R64">
        <v>3.3479999999999999</v>
      </c>
      <c r="S64" s="2">
        <v>45439</v>
      </c>
      <c r="T64">
        <v>3.5259999999999998</v>
      </c>
      <c r="U64">
        <v>3.573</v>
      </c>
      <c r="V64">
        <v>3.581</v>
      </c>
      <c r="W64">
        <v>3.5750000000000002</v>
      </c>
      <c r="X64">
        <v>3.577</v>
      </c>
      <c r="Y64">
        <v>3.5670000000000002</v>
      </c>
      <c r="Z64">
        <v>3.5680000000000001</v>
      </c>
      <c r="AA64">
        <v>3.5659999999999998</v>
      </c>
      <c r="AB64">
        <v>3.5680000000000001</v>
      </c>
      <c r="AC64">
        <v>3.573</v>
      </c>
      <c r="AD64">
        <v>3.585</v>
      </c>
      <c r="AE64">
        <v>3.6429999999999998</v>
      </c>
      <c r="AF64">
        <v>3.6909999999999998</v>
      </c>
      <c r="AG64">
        <v>3.6720000000000002</v>
      </c>
      <c r="AH64">
        <v>3.7010000000000001</v>
      </c>
      <c r="AI64">
        <v>0</v>
      </c>
      <c r="AJ64" s="2">
        <v>45439</v>
      </c>
      <c r="AK64">
        <v>3.4430000000000001</v>
      </c>
      <c r="AL64">
        <v>3.4319999999999999</v>
      </c>
      <c r="AM64">
        <v>3.41</v>
      </c>
      <c r="AN64">
        <v>3.37</v>
      </c>
      <c r="AO64">
        <v>3.4319999999999999</v>
      </c>
      <c r="AP64">
        <v>3.42</v>
      </c>
      <c r="AQ64">
        <v>3.43</v>
      </c>
      <c r="AR64">
        <v>3.4369999999999998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2:52">
      <c r="B65" s="2">
        <v>45436</v>
      </c>
      <c r="C65">
        <v>3.4049999999999998</v>
      </c>
      <c r="D65">
        <v>3.4580000000000002</v>
      </c>
      <c r="E65">
        <v>3.403</v>
      </c>
      <c r="F65">
        <v>3.4129999999999998</v>
      </c>
      <c r="G65">
        <v>3.4350000000000001</v>
      </c>
      <c r="H65">
        <v>3.4489999999999998</v>
      </c>
      <c r="I65">
        <v>3.4220000000000002</v>
      </c>
      <c r="J65">
        <v>3.415</v>
      </c>
      <c r="K65">
        <v>3.44</v>
      </c>
      <c r="L65">
        <v>3.44</v>
      </c>
      <c r="M65">
        <v>3.4980000000000002</v>
      </c>
      <c r="N65">
        <v>3.5070000000000001</v>
      </c>
      <c r="O65">
        <v>3.484</v>
      </c>
      <c r="P65">
        <v>3.44</v>
      </c>
      <c r="Q65">
        <v>3.36</v>
      </c>
      <c r="R65">
        <v>3.3479999999999999</v>
      </c>
      <c r="S65" s="2">
        <v>45436</v>
      </c>
      <c r="T65">
        <v>3.5329999999999999</v>
      </c>
      <c r="U65">
        <v>3.5830000000000002</v>
      </c>
      <c r="V65">
        <v>3.5910000000000002</v>
      </c>
      <c r="W65">
        <v>3.5830000000000002</v>
      </c>
      <c r="X65">
        <v>3.589</v>
      </c>
      <c r="Y65">
        <v>3.58</v>
      </c>
      <c r="Z65">
        <v>3.5779999999999998</v>
      </c>
      <c r="AA65">
        <v>3.5779999999999998</v>
      </c>
      <c r="AB65">
        <v>3.577</v>
      </c>
      <c r="AC65">
        <v>3.58</v>
      </c>
      <c r="AD65">
        <v>3.5920000000000001</v>
      </c>
      <c r="AE65">
        <v>3.653</v>
      </c>
      <c r="AF65">
        <v>3.6960000000000002</v>
      </c>
      <c r="AG65">
        <v>3.6720000000000002</v>
      </c>
      <c r="AH65">
        <v>3.7010000000000001</v>
      </c>
      <c r="AI65">
        <v>0</v>
      </c>
      <c r="AJ65" s="2">
        <v>45436</v>
      </c>
      <c r="AK65">
        <v>3.4449999999999998</v>
      </c>
      <c r="AL65">
        <v>3.4340000000000002</v>
      </c>
      <c r="AM65">
        <v>3.4129999999999998</v>
      </c>
      <c r="AN65">
        <v>3.375</v>
      </c>
      <c r="AO65">
        <v>3.4409999999999998</v>
      </c>
      <c r="AP65">
        <v>3.43</v>
      </c>
      <c r="AQ65">
        <v>3.4380000000000002</v>
      </c>
      <c r="AR65">
        <v>3.4420000000000002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2:52">
      <c r="B66" s="2">
        <v>45435</v>
      </c>
      <c r="C66">
        <v>3.4049999999999998</v>
      </c>
      <c r="D66">
        <v>3.448</v>
      </c>
      <c r="E66">
        <v>3.3849999999999998</v>
      </c>
      <c r="F66">
        <v>3.4079999999999999</v>
      </c>
      <c r="G66">
        <v>3.4260000000000002</v>
      </c>
      <c r="H66">
        <v>3.4350000000000001</v>
      </c>
      <c r="I66">
        <v>3.407</v>
      </c>
      <c r="J66">
        <v>3.4</v>
      </c>
      <c r="K66">
        <v>3.42</v>
      </c>
      <c r="L66">
        <v>3.42</v>
      </c>
      <c r="M66">
        <v>3.4670000000000001</v>
      </c>
      <c r="N66">
        <v>3.4649999999999999</v>
      </c>
      <c r="O66">
        <v>3.45</v>
      </c>
      <c r="P66">
        <v>3.415</v>
      </c>
      <c r="Q66">
        <v>3.32</v>
      </c>
      <c r="R66">
        <v>3.3079999999999998</v>
      </c>
      <c r="S66" s="2">
        <v>45435</v>
      </c>
      <c r="T66">
        <v>3.5329999999999999</v>
      </c>
      <c r="U66">
        <v>3.5779999999999998</v>
      </c>
      <c r="V66">
        <v>3.5840000000000001</v>
      </c>
      <c r="W66">
        <v>3.5760000000000001</v>
      </c>
      <c r="X66">
        <v>3.5790000000000002</v>
      </c>
      <c r="Y66">
        <v>3.5680000000000001</v>
      </c>
      <c r="Z66">
        <v>3.5640000000000001</v>
      </c>
      <c r="AA66">
        <v>3.5640000000000001</v>
      </c>
      <c r="AB66">
        <v>3.56</v>
      </c>
      <c r="AC66">
        <v>3.5619999999999998</v>
      </c>
      <c r="AD66">
        <v>3.5630000000000002</v>
      </c>
      <c r="AE66">
        <v>3.6110000000000002</v>
      </c>
      <c r="AF66">
        <v>3.6629999999999998</v>
      </c>
      <c r="AG66">
        <v>3.6469999999999998</v>
      </c>
      <c r="AH66">
        <v>3.6629999999999998</v>
      </c>
      <c r="AI66">
        <v>0</v>
      </c>
      <c r="AJ66" s="2">
        <v>45435</v>
      </c>
      <c r="AK66">
        <v>3.4430000000000001</v>
      </c>
      <c r="AL66">
        <v>3.4289999999999998</v>
      </c>
      <c r="AM66">
        <v>3.4060000000000001</v>
      </c>
      <c r="AN66">
        <v>3.367</v>
      </c>
      <c r="AO66">
        <v>3.43</v>
      </c>
      <c r="AP66">
        <v>3.4180000000000001</v>
      </c>
      <c r="AQ66">
        <v>3.4249999999999998</v>
      </c>
      <c r="AR66">
        <v>3.43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2:52">
      <c r="B67" s="2">
        <v>45434</v>
      </c>
      <c r="C67">
        <v>3.4079999999999999</v>
      </c>
      <c r="D67">
        <v>3.4510000000000001</v>
      </c>
      <c r="E67">
        <v>3.3849999999999998</v>
      </c>
      <c r="F67">
        <v>3.423</v>
      </c>
      <c r="G67">
        <v>3.4369999999999998</v>
      </c>
      <c r="H67">
        <v>3.4449999999999998</v>
      </c>
      <c r="I67">
        <v>3.4249999999999998</v>
      </c>
      <c r="J67">
        <v>3.415</v>
      </c>
      <c r="K67">
        <v>3.4449999999999998</v>
      </c>
      <c r="L67">
        <v>3.4449999999999998</v>
      </c>
      <c r="M67">
        <v>3.4889999999999999</v>
      </c>
      <c r="N67">
        <v>3.4849999999999999</v>
      </c>
      <c r="O67">
        <v>3.4590000000000001</v>
      </c>
      <c r="P67">
        <v>3.4119999999999999</v>
      </c>
      <c r="Q67">
        <v>3.32</v>
      </c>
      <c r="R67">
        <v>3.3079999999999998</v>
      </c>
      <c r="S67" s="2">
        <v>45434</v>
      </c>
      <c r="T67">
        <v>3.536</v>
      </c>
      <c r="U67">
        <v>3.5819999999999999</v>
      </c>
      <c r="V67">
        <v>3.585</v>
      </c>
      <c r="W67">
        <v>3.58</v>
      </c>
      <c r="X67">
        <v>3.589</v>
      </c>
      <c r="Y67">
        <v>3.585</v>
      </c>
      <c r="Z67">
        <v>3.5819999999999999</v>
      </c>
      <c r="AA67">
        <v>3.5840000000000001</v>
      </c>
      <c r="AB67">
        <v>3.5830000000000002</v>
      </c>
      <c r="AC67">
        <v>3.5870000000000002</v>
      </c>
      <c r="AD67">
        <v>3.5830000000000002</v>
      </c>
      <c r="AE67">
        <v>3.6309999999999998</v>
      </c>
      <c r="AF67">
        <v>3.6720000000000002</v>
      </c>
      <c r="AG67">
        <v>3.6440000000000001</v>
      </c>
      <c r="AH67">
        <v>3.6629999999999998</v>
      </c>
      <c r="AI67">
        <v>0</v>
      </c>
      <c r="AJ67" s="2">
        <v>45434</v>
      </c>
      <c r="AK67">
        <v>3.4460000000000002</v>
      </c>
      <c r="AL67">
        <v>3.4319999999999999</v>
      </c>
      <c r="AM67">
        <v>3.407</v>
      </c>
      <c r="AN67">
        <v>3.37</v>
      </c>
      <c r="AO67">
        <v>3.44</v>
      </c>
      <c r="AP67">
        <v>3.4350000000000001</v>
      </c>
      <c r="AQ67">
        <v>3.4420000000000002</v>
      </c>
      <c r="AR67">
        <v>3.4449999999999998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2:52">
      <c r="B68" s="2">
        <v>45433</v>
      </c>
      <c r="C68">
        <v>3.4079999999999999</v>
      </c>
      <c r="D68">
        <v>3.4510000000000001</v>
      </c>
      <c r="E68">
        <v>3.3849999999999998</v>
      </c>
      <c r="F68">
        <v>3.431</v>
      </c>
      <c r="G68">
        <v>3.4390000000000001</v>
      </c>
      <c r="H68">
        <v>3.444</v>
      </c>
      <c r="I68">
        <v>3.4209999999999998</v>
      </c>
      <c r="J68">
        <v>3.4119999999999999</v>
      </c>
      <c r="K68">
        <v>3.4420000000000002</v>
      </c>
      <c r="L68">
        <v>3.4449999999999998</v>
      </c>
      <c r="M68">
        <v>3.4940000000000002</v>
      </c>
      <c r="N68">
        <v>3.4950000000000001</v>
      </c>
      <c r="O68">
        <v>3.472</v>
      </c>
      <c r="P68">
        <v>3.43</v>
      </c>
      <c r="Q68">
        <v>3.34</v>
      </c>
      <c r="R68">
        <v>3.3279999999999998</v>
      </c>
      <c r="S68" s="2">
        <v>45433</v>
      </c>
      <c r="T68">
        <v>3.5289999999999999</v>
      </c>
      <c r="U68">
        <v>3.5720000000000001</v>
      </c>
      <c r="V68">
        <v>3.5819999999999999</v>
      </c>
      <c r="W68">
        <v>3.5779999999999998</v>
      </c>
      <c r="X68">
        <v>3.5840000000000001</v>
      </c>
      <c r="Y68">
        <v>3.58</v>
      </c>
      <c r="Z68">
        <v>3.58</v>
      </c>
      <c r="AA68">
        <v>3.5819999999999999</v>
      </c>
      <c r="AB68">
        <v>3.581</v>
      </c>
      <c r="AC68">
        <v>3.5870000000000002</v>
      </c>
      <c r="AD68">
        <v>3.5880000000000001</v>
      </c>
      <c r="AE68">
        <v>3.641</v>
      </c>
      <c r="AF68">
        <v>3.6850000000000001</v>
      </c>
      <c r="AG68">
        <v>3.6629999999999998</v>
      </c>
      <c r="AH68">
        <v>3.6829999999999998</v>
      </c>
      <c r="AI68">
        <v>0</v>
      </c>
      <c r="AJ68" s="2">
        <v>45433</v>
      </c>
      <c r="AK68">
        <v>3.4449999999999998</v>
      </c>
      <c r="AL68">
        <v>3.43</v>
      </c>
      <c r="AM68">
        <v>3.407</v>
      </c>
      <c r="AN68">
        <v>3.37</v>
      </c>
      <c r="AO68">
        <v>3.4350000000000001</v>
      </c>
      <c r="AP68">
        <v>3.43</v>
      </c>
      <c r="AQ68">
        <v>3.4390000000000001</v>
      </c>
      <c r="AR68">
        <v>3.4420000000000002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2:52">
      <c r="B69" s="2">
        <v>45432</v>
      </c>
      <c r="C69">
        <v>3.4079999999999999</v>
      </c>
      <c r="D69">
        <v>3.4510000000000001</v>
      </c>
      <c r="E69">
        <v>3.3849999999999998</v>
      </c>
      <c r="F69">
        <v>3.431</v>
      </c>
      <c r="G69">
        <v>3.44</v>
      </c>
      <c r="H69">
        <v>3.4390000000000001</v>
      </c>
      <c r="I69">
        <v>3.4169999999999998</v>
      </c>
      <c r="J69">
        <v>3.407</v>
      </c>
      <c r="K69">
        <v>3.44</v>
      </c>
      <c r="L69">
        <v>3.4420000000000002</v>
      </c>
      <c r="M69">
        <v>3.4940000000000002</v>
      </c>
      <c r="N69">
        <v>3.4969999999999999</v>
      </c>
      <c r="O69">
        <v>3.4849999999999999</v>
      </c>
      <c r="P69">
        <v>3.4529999999999998</v>
      </c>
      <c r="Q69">
        <v>3.36</v>
      </c>
      <c r="R69">
        <v>3.3479999999999999</v>
      </c>
      <c r="S69" s="2">
        <v>45432</v>
      </c>
      <c r="T69">
        <v>3.528</v>
      </c>
      <c r="U69">
        <v>3.5680000000000001</v>
      </c>
      <c r="V69">
        <v>3.5790000000000002</v>
      </c>
      <c r="W69">
        <v>3.5760000000000001</v>
      </c>
      <c r="X69">
        <v>3.5840000000000001</v>
      </c>
      <c r="Y69">
        <v>3.5779999999999998</v>
      </c>
      <c r="Z69">
        <v>3.5750000000000002</v>
      </c>
      <c r="AA69">
        <v>3.5790000000000002</v>
      </c>
      <c r="AB69">
        <v>3.577</v>
      </c>
      <c r="AC69">
        <v>3.5840000000000001</v>
      </c>
      <c r="AD69">
        <v>3.5880000000000001</v>
      </c>
      <c r="AE69">
        <v>3.6429999999999998</v>
      </c>
      <c r="AF69">
        <v>3.6989999999999998</v>
      </c>
      <c r="AG69">
        <v>3.6859999999999999</v>
      </c>
      <c r="AH69">
        <v>3.7029999999999998</v>
      </c>
      <c r="AI69">
        <v>0</v>
      </c>
      <c r="AJ69" s="2">
        <v>45432</v>
      </c>
      <c r="AK69">
        <v>3.4449999999999998</v>
      </c>
      <c r="AL69">
        <v>3.427</v>
      </c>
      <c r="AM69">
        <v>3.4039999999999999</v>
      </c>
      <c r="AN69">
        <v>3.37</v>
      </c>
      <c r="AO69">
        <v>3.4340000000000002</v>
      </c>
      <c r="AP69">
        <v>3.427</v>
      </c>
      <c r="AQ69">
        <v>3.4380000000000002</v>
      </c>
      <c r="AR69">
        <v>3.4420000000000002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2:52">
      <c r="B70" s="2">
        <v>45429</v>
      </c>
      <c r="C70">
        <v>3.403</v>
      </c>
      <c r="D70">
        <v>3.45</v>
      </c>
      <c r="E70">
        <v>3.3809999999999998</v>
      </c>
      <c r="F70">
        <v>3.42</v>
      </c>
      <c r="G70">
        <v>3.4279999999999999</v>
      </c>
      <c r="H70">
        <v>3.415</v>
      </c>
      <c r="I70">
        <v>3.3839999999999999</v>
      </c>
      <c r="J70">
        <v>3.375</v>
      </c>
      <c r="K70">
        <v>3.407</v>
      </c>
      <c r="L70">
        <v>3.41</v>
      </c>
      <c r="M70">
        <v>3.4569999999999999</v>
      </c>
      <c r="N70">
        <v>3.4550000000000001</v>
      </c>
      <c r="O70">
        <v>3.4359999999999999</v>
      </c>
      <c r="P70">
        <v>3.3969999999999998</v>
      </c>
      <c r="Q70">
        <v>3.32</v>
      </c>
      <c r="R70">
        <v>3.3079999999999998</v>
      </c>
      <c r="S70" s="2">
        <v>45429</v>
      </c>
      <c r="T70">
        <v>3.5209999999999999</v>
      </c>
      <c r="U70">
        <v>3.5590000000000002</v>
      </c>
      <c r="V70">
        <v>3.5670000000000002</v>
      </c>
      <c r="W70">
        <v>3.5590000000000002</v>
      </c>
      <c r="X70">
        <v>3.5649999999999999</v>
      </c>
      <c r="Y70">
        <v>3.552</v>
      </c>
      <c r="Z70">
        <v>3.5430000000000001</v>
      </c>
      <c r="AA70">
        <v>3.548</v>
      </c>
      <c r="AB70">
        <v>3.544</v>
      </c>
      <c r="AC70">
        <v>3.552</v>
      </c>
      <c r="AD70">
        <v>3.5510000000000002</v>
      </c>
      <c r="AE70">
        <v>3.601</v>
      </c>
      <c r="AF70">
        <v>3.65</v>
      </c>
      <c r="AG70">
        <v>3.63</v>
      </c>
      <c r="AH70">
        <v>3.6629999999999998</v>
      </c>
      <c r="AI70">
        <v>0</v>
      </c>
      <c r="AJ70" s="2">
        <v>45429</v>
      </c>
      <c r="AK70">
        <v>3.44</v>
      </c>
      <c r="AL70">
        <v>3.42</v>
      </c>
      <c r="AM70">
        <v>3.391</v>
      </c>
      <c r="AN70">
        <v>3.3540000000000001</v>
      </c>
      <c r="AO70">
        <v>3.415</v>
      </c>
      <c r="AP70">
        <v>3.4</v>
      </c>
      <c r="AQ70">
        <v>3.407</v>
      </c>
      <c r="AR70">
        <v>3.41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2:52">
      <c r="B71" s="2">
        <v>45428</v>
      </c>
      <c r="C71">
        <v>3.403</v>
      </c>
      <c r="D71">
        <v>3.45</v>
      </c>
      <c r="E71">
        <v>3.39</v>
      </c>
      <c r="F71">
        <v>3.42</v>
      </c>
      <c r="G71">
        <v>3.42</v>
      </c>
      <c r="H71">
        <v>3.415</v>
      </c>
      <c r="I71">
        <v>3.39</v>
      </c>
      <c r="J71">
        <v>3.3769999999999998</v>
      </c>
      <c r="K71">
        <v>3.41</v>
      </c>
      <c r="L71">
        <v>3.415</v>
      </c>
      <c r="M71">
        <v>3.4649999999999999</v>
      </c>
      <c r="N71">
        <v>3.4649999999999999</v>
      </c>
      <c r="O71">
        <v>3.4409999999999998</v>
      </c>
      <c r="P71">
        <v>3.395</v>
      </c>
      <c r="Q71">
        <v>3.3220000000000001</v>
      </c>
      <c r="R71">
        <v>3.31</v>
      </c>
      <c r="S71" s="2">
        <v>45428</v>
      </c>
      <c r="T71">
        <v>3.5209999999999999</v>
      </c>
      <c r="U71">
        <v>3.5590000000000002</v>
      </c>
      <c r="V71">
        <v>3.5710000000000002</v>
      </c>
      <c r="W71">
        <v>3.5539999999999998</v>
      </c>
      <c r="X71">
        <v>3.5670000000000002</v>
      </c>
      <c r="Y71">
        <v>3.5579999999999998</v>
      </c>
      <c r="Z71">
        <v>3.548</v>
      </c>
      <c r="AA71">
        <v>3.55</v>
      </c>
      <c r="AB71">
        <v>3.5470000000000002</v>
      </c>
      <c r="AC71">
        <v>3.5569999999999999</v>
      </c>
      <c r="AD71">
        <v>3.5579999999999998</v>
      </c>
      <c r="AE71">
        <v>3.6110000000000002</v>
      </c>
      <c r="AF71">
        <v>3.6549999999999998</v>
      </c>
      <c r="AG71">
        <v>3.6280000000000001</v>
      </c>
      <c r="AH71">
        <v>3.665</v>
      </c>
      <c r="AI71">
        <v>0</v>
      </c>
      <c r="AJ71" s="2">
        <v>45428</v>
      </c>
      <c r="AK71">
        <v>3.44</v>
      </c>
      <c r="AL71">
        <v>3.42</v>
      </c>
      <c r="AM71">
        <v>3.391</v>
      </c>
      <c r="AN71">
        <v>3.3519999999999999</v>
      </c>
      <c r="AO71">
        <v>3.415</v>
      </c>
      <c r="AP71">
        <v>3.4049999999999998</v>
      </c>
      <c r="AQ71">
        <v>3.4119999999999999</v>
      </c>
      <c r="AR71">
        <v>3.41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2:52">
      <c r="B72" s="2">
        <v>45426</v>
      </c>
      <c r="C72">
        <v>3.41</v>
      </c>
      <c r="D72">
        <v>3.4550000000000001</v>
      </c>
      <c r="E72">
        <v>3.4129999999999998</v>
      </c>
      <c r="F72">
        <v>3.456</v>
      </c>
      <c r="G72">
        <v>3.4649999999999999</v>
      </c>
      <c r="H72">
        <v>3.4729999999999999</v>
      </c>
      <c r="I72">
        <v>3.456</v>
      </c>
      <c r="J72">
        <v>3.452</v>
      </c>
      <c r="K72">
        <v>3.4870000000000001</v>
      </c>
      <c r="L72">
        <v>3.4950000000000001</v>
      </c>
      <c r="M72">
        <v>3.5449999999999999</v>
      </c>
      <c r="N72">
        <v>3.5449999999999999</v>
      </c>
      <c r="O72">
        <v>3.5179999999999998</v>
      </c>
      <c r="P72">
        <v>3.4729999999999999</v>
      </c>
      <c r="Q72">
        <v>3.3919999999999999</v>
      </c>
      <c r="R72">
        <v>3.38</v>
      </c>
      <c r="S72" s="2">
        <v>45426</v>
      </c>
      <c r="T72">
        <v>3.5310000000000001</v>
      </c>
      <c r="U72">
        <v>3.5710000000000002</v>
      </c>
      <c r="V72">
        <v>3.5920000000000001</v>
      </c>
      <c r="W72">
        <v>3.5779999999999998</v>
      </c>
      <c r="X72">
        <v>3.6120000000000001</v>
      </c>
      <c r="Y72">
        <v>3.6139999999999999</v>
      </c>
      <c r="Z72">
        <v>3.61</v>
      </c>
      <c r="AA72">
        <v>3.62</v>
      </c>
      <c r="AB72">
        <v>3.62</v>
      </c>
      <c r="AC72">
        <v>3.6339999999999999</v>
      </c>
      <c r="AD72">
        <v>3.6379999999999999</v>
      </c>
      <c r="AE72">
        <v>3.6909999999999998</v>
      </c>
      <c r="AF72">
        <v>3.7320000000000002</v>
      </c>
      <c r="AG72">
        <v>3.706</v>
      </c>
      <c r="AH72">
        <v>3.7349999999999999</v>
      </c>
      <c r="AI72">
        <v>0</v>
      </c>
      <c r="AJ72" s="2">
        <v>45426</v>
      </c>
      <c r="AK72">
        <v>3.45</v>
      </c>
      <c r="AL72">
        <v>3.4319999999999999</v>
      </c>
      <c r="AM72">
        <v>3.41</v>
      </c>
      <c r="AN72">
        <v>3.3759999999999999</v>
      </c>
      <c r="AO72">
        <v>3.46</v>
      </c>
      <c r="AP72">
        <v>3.4649999999999999</v>
      </c>
      <c r="AQ72">
        <v>3.4790000000000001</v>
      </c>
      <c r="AR72">
        <v>3.484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2:52">
      <c r="B73" s="2">
        <v>45425</v>
      </c>
      <c r="C73">
        <v>3.41</v>
      </c>
      <c r="D73">
        <v>3.4580000000000002</v>
      </c>
      <c r="E73">
        <v>3.4129999999999998</v>
      </c>
      <c r="F73">
        <v>3.46</v>
      </c>
      <c r="G73">
        <v>3.4660000000000002</v>
      </c>
      <c r="H73">
        <v>3.472</v>
      </c>
      <c r="I73">
        <v>3.4580000000000002</v>
      </c>
      <c r="J73">
        <v>3.452</v>
      </c>
      <c r="K73">
        <v>3.4849999999999999</v>
      </c>
      <c r="L73">
        <v>3.4950000000000001</v>
      </c>
      <c r="M73">
        <v>3.55</v>
      </c>
      <c r="N73">
        <v>3.5550000000000002</v>
      </c>
      <c r="O73">
        <v>3.5310000000000001</v>
      </c>
      <c r="P73">
        <v>3.49</v>
      </c>
      <c r="Q73">
        <v>3.407</v>
      </c>
      <c r="R73">
        <v>3.395</v>
      </c>
      <c r="S73" s="2">
        <v>45425</v>
      </c>
      <c r="T73">
        <v>3.5310000000000001</v>
      </c>
      <c r="U73">
        <v>3.5710000000000002</v>
      </c>
      <c r="V73">
        <v>3.5939999999999999</v>
      </c>
      <c r="W73">
        <v>3.5819999999999999</v>
      </c>
      <c r="X73">
        <v>3.6160000000000001</v>
      </c>
      <c r="Y73">
        <v>3.6139999999999999</v>
      </c>
      <c r="Z73">
        <v>3.6120000000000001</v>
      </c>
      <c r="AA73">
        <v>3.62</v>
      </c>
      <c r="AB73">
        <v>3.617</v>
      </c>
      <c r="AC73">
        <v>3.6360000000000001</v>
      </c>
      <c r="AD73">
        <v>3.6429999999999998</v>
      </c>
      <c r="AE73">
        <v>3.7010000000000001</v>
      </c>
      <c r="AF73">
        <v>3.7450000000000001</v>
      </c>
      <c r="AG73">
        <v>3.7229999999999999</v>
      </c>
      <c r="AH73">
        <v>3.75</v>
      </c>
      <c r="AI73">
        <v>0</v>
      </c>
      <c r="AJ73" s="2">
        <v>45425</v>
      </c>
      <c r="AK73">
        <v>3.45</v>
      </c>
      <c r="AL73">
        <v>3.4319999999999999</v>
      </c>
      <c r="AM73">
        <v>3.4129999999999998</v>
      </c>
      <c r="AN73">
        <v>3.3820000000000001</v>
      </c>
      <c r="AO73">
        <v>3.4649999999999999</v>
      </c>
      <c r="AP73">
        <v>3.464</v>
      </c>
      <c r="AQ73">
        <v>3.4769999999999999</v>
      </c>
      <c r="AR73">
        <v>3.48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2:52">
      <c r="B74" s="2">
        <v>45422</v>
      </c>
      <c r="C74">
        <v>3.411</v>
      </c>
      <c r="D74">
        <v>3.4550000000000001</v>
      </c>
      <c r="E74">
        <v>3.4180000000000001</v>
      </c>
      <c r="F74">
        <v>3.4550000000000001</v>
      </c>
      <c r="G74">
        <v>3.4550000000000001</v>
      </c>
      <c r="H74">
        <v>3.46</v>
      </c>
      <c r="I74">
        <v>3.4409999999999998</v>
      </c>
      <c r="J74">
        <v>3.4340000000000002</v>
      </c>
      <c r="K74">
        <v>3.4660000000000002</v>
      </c>
      <c r="L74">
        <v>3.4750000000000001</v>
      </c>
      <c r="M74">
        <v>3.53</v>
      </c>
      <c r="N74">
        <v>3.5350000000000001</v>
      </c>
      <c r="O74">
        <v>3.5110000000000001</v>
      </c>
      <c r="P74">
        <v>3.47</v>
      </c>
      <c r="Q74">
        <v>3.3919999999999999</v>
      </c>
      <c r="R74">
        <v>3.38</v>
      </c>
      <c r="S74" s="2">
        <v>45422</v>
      </c>
      <c r="T74">
        <v>3.5310000000000001</v>
      </c>
      <c r="U74">
        <v>3.5710000000000002</v>
      </c>
      <c r="V74">
        <v>3.5960000000000001</v>
      </c>
      <c r="W74">
        <v>3.5790000000000002</v>
      </c>
      <c r="X74">
        <v>3.5979999999999999</v>
      </c>
      <c r="Y74">
        <v>3.6</v>
      </c>
      <c r="Z74">
        <v>3.5920000000000001</v>
      </c>
      <c r="AA74">
        <v>3.6</v>
      </c>
      <c r="AB74">
        <v>3.5950000000000002</v>
      </c>
      <c r="AC74">
        <v>3.6139999999999999</v>
      </c>
      <c r="AD74">
        <v>3.6230000000000002</v>
      </c>
      <c r="AE74">
        <v>3.6829999999999998</v>
      </c>
      <c r="AF74">
        <v>3.7269999999999999</v>
      </c>
      <c r="AG74">
        <v>3.7050000000000001</v>
      </c>
      <c r="AH74">
        <v>3.7349999999999999</v>
      </c>
      <c r="AI74">
        <v>0</v>
      </c>
      <c r="AJ74" s="2">
        <v>45422</v>
      </c>
      <c r="AK74">
        <v>3.448</v>
      </c>
      <c r="AL74">
        <v>3.43</v>
      </c>
      <c r="AM74">
        <v>3.4129999999999998</v>
      </c>
      <c r="AN74">
        <v>3.3820000000000001</v>
      </c>
      <c r="AO74">
        <v>3.45</v>
      </c>
      <c r="AP74">
        <v>3.4510000000000001</v>
      </c>
      <c r="AQ74">
        <v>3.46</v>
      </c>
      <c r="AR74">
        <v>3.46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2:52">
      <c r="B75" s="2">
        <v>45421</v>
      </c>
      <c r="C75">
        <v>3.411</v>
      </c>
      <c r="D75">
        <v>3.4550000000000001</v>
      </c>
      <c r="E75">
        <v>3.4159999999999999</v>
      </c>
      <c r="F75">
        <v>3.4550000000000001</v>
      </c>
      <c r="G75">
        <v>3.4529999999999998</v>
      </c>
      <c r="H75">
        <v>3.4729999999999999</v>
      </c>
      <c r="I75">
        <v>3.4649999999999999</v>
      </c>
      <c r="J75">
        <v>3.45</v>
      </c>
      <c r="K75">
        <v>3.4860000000000002</v>
      </c>
      <c r="L75">
        <v>3.4950000000000001</v>
      </c>
      <c r="M75">
        <v>3.552</v>
      </c>
      <c r="N75">
        <v>3.5569999999999999</v>
      </c>
      <c r="O75">
        <v>3.5379999999999998</v>
      </c>
      <c r="P75">
        <v>3.5019999999999998</v>
      </c>
      <c r="Q75">
        <v>3.4220000000000002</v>
      </c>
      <c r="R75">
        <v>3.3969999999999998</v>
      </c>
      <c r="S75" s="2">
        <v>45421</v>
      </c>
      <c r="T75">
        <v>3.5289999999999999</v>
      </c>
      <c r="U75">
        <v>3.569</v>
      </c>
      <c r="V75">
        <v>3.6059999999999999</v>
      </c>
      <c r="W75">
        <v>3.5870000000000002</v>
      </c>
      <c r="X75">
        <v>3.61</v>
      </c>
      <c r="Y75">
        <v>3.6150000000000002</v>
      </c>
      <c r="Z75">
        <v>3.6139999999999999</v>
      </c>
      <c r="AA75">
        <v>3.617</v>
      </c>
      <c r="AB75">
        <v>3.6150000000000002</v>
      </c>
      <c r="AC75">
        <v>3.6339999999999999</v>
      </c>
      <c r="AD75">
        <v>3.645</v>
      </c>
      <c r="AE75">
        <v>3.7050000000000001</v>
      </c>
      <c r="AF75">
        <v>3.7530000000000001</v>
      </c>
      <c r="AG75">
        <v>3.7370000000000001</v>
      </c>
      <c r="AH75">
        <v>3.7650000000000001</v>
      </c>
      <c r="AI75">
        <v>0</v>
      </c>
      <c r="AJ75" s="2">
        <v>45421</v>
      </c>
      <c r="AK75">
        <v>3.45</v>
      </c>
      <c r="AL75">
        <v>3.4340000000000002</v>
      </c>
      <c r="AM75">
        <v>3.4209999999999998</v>
      </c>
      <c r="AN75">
        <v>3.395</v>
      </c>
      <c r="AO75">
        <v>3.4649999999999999</v>
      </c>
      <c r="AP75">
        <v>3.4670000000000001</v>
      </c>
      <c r="AQ75">
        <v>3.48</v>
      </c>
      <c r="AR75">
        <v>3.4740000000000002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2:52">
      <c r="B76" s="2">
        <v>45420</v>
      </c>
      <c r="C76">
        <v>3.4129999999999998</v>
      </c>
      <c r="D76">
        <v>3.4580000000000002</v>
      </c>
      <c r="E76">
        <v>3.4180000000000001</v>
      </c>
      <c r="F76">
        <v>3.4489999999999998</v>
      </c>
      <c r="G76">
        <v>3.4449999999999998</v>
      </c>
      <c r="H76">
        <v>3.4649999999999999</v>
      </c>
      <c r="I76">
        <v>3.4550000000000001</v>
      </c>
      <c r="J76">
        <v>3.4369999999999998</v>
      </c>
      <c r="K76">
        <v>3.47</v>
      </c>
      <c r="L76">
        <v>3.4750000000000001</v>
      </c>
      <c r="M76">
        <v>3.53</v>
      </c>
      <c r="N76">
        <v>3.532</v>
      </c>
      <c r="O76">
        <v>3.508</v>
      </c>
      <c r="P76">
        <v>3.4670000000000001</v>
      </c>
      <c r="Q76">
        <v>3.3849999999999998</v>
      </c>
      <c r="R76">
        <v>3.36</v>
      </c>
      <c r="S76" s="2">
        <v>45420</v>
      </c>
      <c r="T76">
        <v>3.5289999999999999</v>
      </c>
      <c r="U76">
        <v>3.5659999999999998</v>
      </c>
      <c r="V76">
        <v>3.6030000000000002</v>
      </c>
      <c r="W76">
        <v>3.5859999999999999</v>
      </c>
      <c r="X76">
        <v>3.6</v>
      </c>
      <c r="Y76">
        <v>3.6070000000000002</v>
      </c>
      <c r="Z76">
        <v>3.6040000000000001</v>
      </c>
      <c r="AA76">
        <v>3.6030000000000002</v>
      </c>
      <c r="AB76">
        <v>3.5979999999999999</v>
      </c>
      <c r="AC76">
        <v>3.6139999999999999</v>
      </c>
      <c r="AD76">
        <v>3.6280000000000001</v>
      </c>
      <c r="AE76">
        <v>3.6829999999999998</v>
      </c>
      <c r="AF76">
        <v>3.7269999999999999</v>
      </c>
      <c r="AG76">
        <v>3.7050000000000001</v>
      </c>
      <c r="AH76">
        <v>3.7309999999999999</v>
      </c>
      <c r="AI76">
        <v>0</v>
      </c>
      <c r="AJ76" s="2">
        <v>45420</v>
      </c>
      <c r="AK76">
        <v>3.45</v>
      </c>
      <c r="AL76">
        <v>3.4289999999999998</v>
      </c>
      <c r="AM76">
        <v>3.411</v>
      </c>
      <c r="AN76">
        <v>3.3929999999999998</v>
      </c>
      <c r="AO76">
        <v>3.456</v>
      </c>
      <c r="AP76">
        <v>3.4550000000000001</v>
      </c>
      <c r="AQ76">
        <v>3.468</v>
      </c>
      <c r="AR76">
        <v>3.4609999999999999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2:52">
      <c r="B77" s="2">
        <v>45419</v>
      </c>
      <c r="C77">
        <v>3.4159999999999999</v>
      </c>
      <c r="D77">
        <v>3.468</v>
      </c>
      <c r="E77">
        <v>3.4180000000000001</v>
      </c>
      <c r="F77">
        <v>3.45</v>
      </c>
      <c r="G77">
        <v>3.44</v>
      </c>
      <c r="H77">
        <v>3.4710000000000001</v>
      </c>
      <c r="I77">
        <v>3.46</v>
      </c>
      <c r="J77">
        <v>3.4430000000000001</v>
      </c>
      <c r="K77">
        <v>3.476</v>
      </c>
      <c r="L77">
        <v>3.48</v>
      </c>
      <c r="M77">
        <v>3.5350000000000001</v>
      </c>
      <c r="N77">
        <v>3.5369999999999999</v>
      </c>
      <c r="O77">
        <v>3.51</v>
      </c>
      <c r="P77">
        <v>3.4649999999999999</v>
      </c>
      <c r="Q77">
        <v>3.3769999999999998</v>
      </c>
      <c r="R77">
        <v>3.3519999999999999</v>
      </c>
      <c r="S77" s="2">
        <v>45419</v>
      </c>
      <c r="T77">
        <v>3.5289999999999999</v>
      </c>
      <c r="U77">
        <v>3.5640000000000001</v>
      </c>
      <c r="V77">
        <v>3.6059999999999999</v>
      </c>
      <c r="W77">
        <v>3.589</v>
      </c>
      <c r="X77">
        <v>3.6070000000000002</v>
      </c>
      <c r="Y77">
        <v>3.6139999999999999</v>
      </c>
      <c r="Z77">
        <v>3.6080000000000001</v>
      </c>
      <c r="AA77">
        <v>3.609</v>
      </c>
      <c r="AB77">
        <v>3.6030000000000002</v>
      </c>
      <c r="AC77">
        <v>3.6190000000000002</v>
      </c>
      <c r="AD77">
        <v>3.633</v>
      </c>
      <c r="AE77">
        <v>3.6880000000000002</v>
      </c>
      <c r="AF77">
        <v>3.7290000000000001</v>
      </c>
      <c r="AG77">
        <v>3.7040000000000002</v>
      </c>
      <c r="AH77">
        <v>3.7229999999999999</v>
      </c>
      <c r="AI77">
        <v>0</v>
      </c>
      <c r="AJ77" s="2">
        <v>45419</v>
      </c>
      <c r="AK77">
        <v>3.45</v>
      </c>
      <c r="AL77">
        <v>3.4289999999999998</v>
      </c>
      <c r="AM77">
        <v>3.415</v>
      </c>
      <c r="AN77">
        <v>3.3929999999999998</v>
      </c>
      <c r="AO77">
        <v>3.4620000000000002</v>
      </c>
      <c r="AP77">
        <v>3.4620000000000002</v>
      </c>
      <c r="AQ77">
        <v>3.4740000000000002</v>
      </c>
      <c r="AR77">
        <v>3.4670000000000001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2:52">
      <c r="B78" s="2">
        <v>45415</v>
      </c>
      <c r="C78">
        <v>3.4180000000000001</v>
      </c>
      <c r="D78">
        <v>3.4569999999999999</v>
      </c>
      <c r="E78">
        <v>3.4279999999999999</v>
      </c>
      <c r="F78">
        <v>3.4609999999999999</v>
      </c>
      <c r="G78">
        <v>3.4630000000000001</v>
      </c>
      <c r="H78">
        <v>3.5070000000000001</v>
      </c>
      <c r="I78">
        <v>3.5089999999999999</v>
      </c>
      <c r="J78">
        <v>3.5049999999999999</v>
      </c>
      <c r="K78">
        <v>3.5449999999999999</v>
      </c>
      <c r="L78">
        <v>3.552</v>
      </c>
      <c r="M78">
        <v>3.6110000000000002</v>
      </c>
      <c r="N78">
        <v>3.617</v>
      </c>
      <c r="O78">
        <v>3.5819999999999999</v>
      </c>
      <c r="P78">
        <v>3.53</v>
      </c>
      <c r="Q78">
        <v>3.4369999999999998</v>
      </c>
      <c r="R78">
        <v>3.4119999999999999</v>
      </c>
      <c r="S78" s="2">
        <v>45415</v>
      </c>
      <c r="T78">
        <v>3.5310000000000001</v>
      </c>
      <c r="U78">
        <v>3.5720000000000001</v>
      </c>
      <c r="V78">
        <v>3.6179999999999999</v>
      </c>
      <c r="W78">
        <v>3.6240000000000001</v>
      </c>
      <c r="X78">
        <v>3.6389999999999998</v>
      </c>
      <c r="Y78">
        <v>3.6549999999999998</v>
      </c>
      <c r="Z78">
        <v>3.6589999999999998</v>
      </c>
      <c r="AA78">
        <v>3.6720000000000002</v>
      </c>
      <c r="AB78">
        <v>3.67</v>
      </c>
      <c r="AC78">
        <v>3.6890000000000001</v>
      </c>
      <c r="AD78">
        <v>3.7069999999999999</v>
      </c>
      <c r="AE78">
        <v>3.7679999999999998</v>
      </c>
      <c r="AF78">
        <v>3.8010000000000002</v>
      </c>
      <c r="AG78">
        <v>3.7679999999999998</v>
      </c>
      <c r="AH78">
        <v>3.7829999999999999</v>
      </c>
      <c r="AI78">
        <v>0</v>
      </c>
      <c r="AJ78" s="2">
        <v>45415</v>
      </c>
      <c r="AK78">
        <v>3.4550000000000001</v>
      </c>
      <c r="AL78">
        <v>3.4380000000000002</v>
      </c>
      <c r="AM78">
        <v>3.4249999999999998</v>
      </c>
      <c r="AN78">
        <v>3.431</v>
      </c>
      <c r="AO78">
        <v>3.4929999999999999</v>
      </c>
      <c r="AP78">
        <v>3.5019999999999998</v>
      </c>
      <c r="AQ78">
        <v>3.5259999999999998</v>
      </c>
      <c r="AR78">
        <v>3.5289999999999999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2:52">
      <c r="B79" s="2">
        <v>45414</v>
      </c>
      <c r="C79">
        <v>3.4180000000000001</v>
      </c>
      <c r="D79">
        <v>3.452</v>
      </c>
      <c r="E79">
        <v>3.43</v>
      </c>
      <c r="F79">
        <v>3.4620000000000002</v>
      </c>
      <c r="G79">
        <v>3.4649999999999999</v>
      </c>
      <c r="H79">
        <v>3.504</v>
      </c>
      <c r="I79">
        <v>3.51</v>
      </c>
      <c r="J79">
        <v>3.51</v>
      </c>
      <c r="K79">
        <v>3.5590000000000002</v>
      </c>
      <c r="L79">
        <v>3.5649999999999999</v>
      </c>
      <c r="M79">
        <v>3.63</v>
      </c>
      <c r="N79">
        <v>3.6419999999999999</v>
      </c>
      <c r="O79">
        <v>3.605</v>
      </c>
      <c r="P79">
        <v>3.552</v>
      </c>
      <c r="Q79">
        <v>3.4649999999999999</v>
      </c>
      <c r="R79">
        <v>3.44</v>
      </c>
      <c r="S79" s="2">
        <v>45414</v>
      </c>
      <c r="T79">
        <v>3.5310000000000001</v>
      </c>
      <c r="U79">
        <v>3.5680000000000001</v>
      </c>
      <c r="V79">
        <v>3.62</v>
      </c>
      <c r="W79">
        <v>3.6269999999999998</v>
      </c>
      <c r="X79">
        <v>3.6389999999999998</v>
      </c>
      <c r="Y79">
        <v>3.6549999999999998</v>
      </c>
      <c r="Z79">
        <v>3.66</v>
      </c>
      <c r="AA79">
        <v>3.6779999999999999</v>
      </c>
      <c r="AB79">
        <v>3.6819999999999999</v>
      </c>
      <c r="AC79">
        <v>3.702</v>
      </c>
      <c r="AD79">
        <v>3.726</v>
      </c>
      <c r="AE79">
        <v>3.7930000000000001</v>
      </c>
      <c r="AF79">
        <v>3.8239999999999998</v>
      </c>
      <c r="AG79">
        <v>3.7909999999999999</v>
      </c>
      <c r="AH79">
        <v>3.8180000000000001</v>
      </c>
      <c r="AI79">
        <v>0</v>
      </c>
      <c r="AJ79" s="2">
        <v>45414</v>
      </c>
      <c r="AK79">
        <v>3.4550000000000001</v>
      </c>
      <c r="AL79">
        <v>3.4390000000000001</v>
      </c>
      <c r="AM79">
        <v>3.4289999999999998</v>
      </c>
      <c r="AN79">
        <v>3.4359999999999999</v>
      </c>
      <c r="AO79">
        <v>3.4940000000000002</v>
      </c>
      <c r="AP79">
        <v>3.5019999999999998</v>
      </c>
      <c r="AQ79">
        <v>3.5289999999999999</v>
      </c>
      <c r="AR79">
        <v>3.5339999999999998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2:52">
      <c r="B80" s="2">
        <v>45412</v>
      </c>
      <c r="C80">
        <v>3.4180000000000001</v>
      </c>
      <c r="D80">
        <v>3.4420000000000002</v>
      </c>
      <c r="E80">
        <v>3.4350000000000001</v>
      </c>
      <c r="F80">
        <v>3.4689999999999999</v>
      </c>
      <c r="G80">
        <v>3.4740000000000002</v>
      </c>
      <c r="H80">
        <v>3.5190000000000001</v>
      </c>
      <c r="I80">
        <v>3.5259999999999998</v>
      </c>
      <c r="J80">
        <v>3.5249999999999999</v>
      </c>
      <c r="K80">
        <v>3.577</v>
      </c>
      <c r="L80">
        <v>3.585</v>
      </c>
      <c r="M80">
        <v>3.645</v>
      </c>
      <c r="N80">
        <v>3.65</v>
      </c>
      <c r="O80">
        <v>3.6139999999999999</v>
      </c>
      <c r="P80">
        <v>3.5619999999999998</v>
      </c>
      <c r="Q80">
        <v>3.4820000000000002</v>
      </c>
      <c r="R80">
        <v>3.4569999999999999</v>
      </c>
      <c r="S80" s="2">
        <v>45412</v>
      </c>
      <c r="T80">
        <v>3.5350000000000001</v>
      </c>
      <c r="U80">
        <v>3.5590000000000002</v>
      </c>
      <c r="V80">
        <v>3.6160000000000001</v>
      </c>
      <c r="W80">
        <v>3.6389999999999998</v>
      </c>
      <c r="X80">
        <v>3.6469999999999998</v>
      </c>
      <c r="Y80">
        <v>3.669</v>
      </c>
      <c r="Z80">
        <v>3.673</v>
      </c>
      <c r="AA80">
        <v>3.6909999999999998</v>
      </c>
      <c r="AB80">
        <v>3.6949999999999998</v>
      </c>
      <c r="AC80">
        <v>3.7170000000000001</v>
      </c>
      <c r="AD80">
        <v>3.7360000000000002</v>
      </c>
      <c r="AE80">
        <v>3.7959999999999998</v>
      </c>
      <c r="AF80">
        <v>3.8330000000000002</v>
      </c>
      <c r="AG80">
        <v>3.8010000000000002</v>
      </c>
      <c r="AH80">
        <v>3.8340000000000001</v>
      </c>
      <c r="AI80">
        <v>0</v>
      </c>
      <c r="AJ80" s="2">
        <v>45412</v>
      </c>
      <c r="AK80">
        <v>3.4569999999999999</v>
      </c>
      <c r="AL80">
        <v>3.44</v>
      </c>
      <c r="AM80">
        <v>3.431</v>
      </c>
      <c r="AN80">
        <v>3.4460000000000002</v>
      </c>
      <c r="AO80">
        <v>3.5049999999999999</v>
      </c>
      <c r="AP80">
        <v>3.5169999999999999</v>
      </c>
      <c r="AQ80">
        <v>3.544</v>
      </c>
      <c r="AR80">
        <v>3.5489999999999999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2:52">
      <c r="B81" s="2">
        <v>45411</v>
      </c>
      <c r="C81">
        <v>3.4180000000000001</v>
      </c>
      <c r="D81">
        <v>3.4470000000000001</v>
      </c>
      <c r="E81">
        <v>3.44</v>
      </c>
      <c r="F81">
        <v>3.4750000000000001</v>
      </c>
      <c r="G81">
        <v>3.4790000000000001</v>
      </c>
      <c r="H81">
        <v>3.5249999999999999</v>
      </c>
      <c r="I81">
        <v>3.5350000000000001</v>
      </c>
      <c r="J81">
        <v>3.5369999999999999</v>
      </c>
      <c r="K81">
        <v>3.605</v>
      </c>
      <c r="L81">
        <v>3.6120000000000001</v>
      </c>
      <c r="M81">
        <v>3.68</v>
      </c>
      <c r="N81">
        <v>3.69</v>
      </c>
      <c r="O81">
        <v>3.6539999999999999</v>
      </c>
      <c r="P81">
        <v>3.6030000000000002</v>
      </c>
      <c r="Q81">
        <v>3.5169999999999999</v>
      </c>
      <c r="R81">
        <v>3.492</v>
      </c>
      <c r="S81" s="2">
        <v>45411</v>
      </c>
      <c r="T81">
        <v>3.536</v>
      </c>
      <c r="U81">
        <v>3.56</v>
      </c>
      <c r="V81">
        <v>3.6179999999999999</v>
      </c>
      <c r="W81">
        <v>3.64</v>
      </c>
      <c r="X81">
        <v>3.6469999999999998</v>
      </c>
      <c r="Y81">
        <v>3.673</v>
      </c>
      <c r="Z81">
        <v>3.68</v>
      </c>
      <c r="AA81">
        <v>3.7050000000000001</v>
      </c>
      <c r="AB81">
        <v>3.7229999999999999</v>
      </c>
      <c r="AC81">
        <v>3.7450000000000001</v>
      </c>
      <c r="AD81">
        <v>3.7719999999999998</v>
      </c>
      <c r="AE81">
        <v>3.8370000000000002</v>
      </c>
      <c r="AF81">
        <v>3.875</v>
      </c>
      <c r="AG81">
        <v>3.8420000000000001</v>
      </c>
      <c r="AH81">
        <v>3.8690000000000002</v>
      </c>
      <c r="AI81">
        <v>0</v>
      </c>
      <c r="AJ81" s="2">
        <v>45411</v>
      </c>
      <c r="AK81">
        <v>3.46</v>
      </c>
      <c r="AL81">
        <v>3.4430000000000001</v>
      </c>
      <c r="AM81">
        <v>3.4340000000000002</v>
      </c>
      <c r="AN81">
        <v>3.45</v>
      </c>
      <c r="AO81">
        <v>3.508</v>
      </c>
      <c r="AP81">
        <v>3.5249999999999999</v>
      </c>
      <c r="AQ81">
        <v>3.5539999999999998</v>
      </c>
      <c r="AR81">
        <v>3.5609999999999999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2:52">
      <c r="B82" s="2">
        <v>45408</v>
      </c>
      <c r="C82">
        <v>3.4180000000000001</v>
      </c>
      <c r="D82">
        <v>3.4359999999999999</v>
      </c>
      <c r="E82">
        <v>3.431</v>
      </c>
      <c r="F82">
        <v>3.4660000000000002</v>
      </c>
      <c r="G82">
        <v>3.4649999999999999</v>
      </c>
      <c r="H82">
        <v>3.504</v>
      </c>
      <c r="I82">
        <v>3.5150000000000001</v>
      </c>
      <c r="J82">
        <v>3.5179999999999998</v>
      </c>
      <c r="K82">
        <v>3.5779999999999998</v>
      </c>
      <c r="L82">
        <v>3.5840000000000001</v>
      </c>
      <c r="M82">
        <v>3.6640000000000001</v>
      </c>
      <c r="N82">
        <v>3.6850000000000001</v>
      </c>
      <c r="O82">
        <v>3.6520000000000001</v>
      </c>
      <c r="P82">
        <v>3.605</v>
      </c>
      <c r="Q82">
        <v>3.52</v>
      </c>
      <c r="R82">
        <v>3.4950000000000001</v>
      </c>
      <c r="S82" s="2">
        <v>45408</v>
      </c>
      <c r="T82">
        <v>3.53</v>
      </c>
      <c r="U82">
        <v>3.5529999999999999</v>
      </c>
      <c r="V82">
        <v>3.6110000000000002</v>
      </c>
      <c r="W82">
        <v>3.6190000000000002</v>
      </c>
      <c r="X82">
        <v>3.625</v>
      </c>
      <c r="Y82">
        <v>3.6429999999999998</v>
      </c>
      <c r="Z82">
        <v>3.66</v>
      </c>
      <c r="AA82">
        <v>3.6859999999999999</v>
      </c>
      <c r="AB82">
        <v>3.6960000000000002</v>
      </c>
      <c r="AC82">
        <v>3.7170000000000001</v>
      </c>
      <c r="AD82">
        <v>3.7559999999999998</v>
      </c>
      <c r="AE82">
        <v>3.83</v>
      </c>
      <c r="AF82">
        <v>3.8719999999999999</v>
      </c>
      <c r="AG82">
        <v>3.8439999999999999</v>
      </c>
      <c r="AH82">
        <v>3.8719999999999999</v>
      </c>
      <c r="AI82">
        <v>0</v>
      </c>
      <c r="AJ82" s="2">
        <v>45408</v>
      </c>
      <c r="AK82">
        <v>3.456</v>
      </c>
      <c r="AL82">
        <v>3.4390000000000001</v>
      </c>
      <c r="AM82">
        <v>3.43</v>
      </c>
      <c r="AN82">
        <v>3.4350000000000001</v>
      </c>
      <c r="AO82">
        <v>3.488</v>
      </c>
      <c r="AP82">
        <v>3.4950000000000001</v>
      </c>
      <c r="AQ82">
        <v>3.53</v>
      </c>
      <c r="AR82">
        <v>3.5419999999999998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2:52">
      <c r="B83" s="2">
        <v>45407</v>
      </c>
      <c r="C83">
        <v>3.4180000000000001</v>
      </c>
      <c r="D83">
        <v>3.4329999999999998</v>
      </c>
      <c r="E83">
        <v>3.4329999999999998</v>
      </c>
      <c r="F83">
        <v>3.47</v>
      </c>
      <c r="G83">
        <v>3.468</v>
      </c>
      <c r="H83">
        <v>3.52</v>
      </c>
      <c r="I83">
        <v>3.5449999999999999</v>
      </c>
      <c r="J83">
        <v>3.54</v>
      </c>
      <c r="K83">
        <v>3.61</v>
      </c>
      <c r="L83">
        <v>3.625</v>
      </c>
      <c r="M83">
        <v>3.7</v>
      </c>
      <c r="N83">
        <v>3.7109999999999999</v>
      </c>
      <c r="O83">
        <v>3.67</v>
      </c>
      <c r="P83">
        <v>3.6150000000000002</v>
      </c>
      <c r="Q83">
        <v>3.5230000000000001</v>
      </c>
      <c r="R83">
        <v>3.4980000000000002</v>
      </c>
      <c r="S83" s="2">
        <v>45407</v>
      </c>
      <c r="T83">
        <v>3.5209999999999999</v>
      </c>
      <c r="U83">
        <v>3.5470000000000002</v>
      </c>
      <c r="V83">
        <v>3.609</v>
      </c>
      <c r="W83">
        <v>3.6179999999999999</v>
      </c>
      <c r="X83">
        <v>3.6320000000000001</v>
      </c>
      <c r="Y83">
        <v>3.6509999999999998</v>
      </c>
      <c r="Z83">
        <v>3.6789999999999998</v>
      </c>
      <c r="AA83">
        <v>3.6989999999999998</v>
      </c>
      <c r="AB83">
        <v>3.7229999999999999</v>
      </c>
      <c r="AC83">
        <v>3.754</v>
      </c>
      <c r="AD83">
        <v>3.7909999999999999</v>
      </c>
      <c r="AE83">
        <v>3.8570000000000002</v>
      </c>
      <c r="AF83">
        <v>3.8919999999999999</v>
      </c>
      <c r="AG83">
        <v>3.8540000000000001</v>
      </c>
      <c r="AH83">
        <v>3.875</v>
      </c>
      <c r="AI83">
        <v>0</v>
      </c>
      <c r="AJ83" s="2">
        <v>45407</v>
      </c>
      <c r="AK83">
        <v>3.456</v>
      </c>
      <c r="AL83">
        <v>3.4390000000000001</v>
      </c>
      <c r="AM83">
        <v>3.431</v>
      </c>
      <c r="AN83">
        <v>3.4380000000000002</v>
      </c>
      <c r="AO83">
        <v>3.5</v>
      </c>
      <c r="AP83">
        <v>3.5139999999999998</v>
      </c>
      <c r="AQ83">
        <v>3.552</v>
      </c>
      <c r="AR83">
        <v>3.5640000000000001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2:52">
      <c r="B84" s="2">
        <v>45406</v>
      </c>
      <c r="C84">
        <v>3.4180000000000001</v>
      </c>
      <c r="D84">
        <v>3.4329999999999998</v>
      </c>
      <c r="E84">
        <v>3.4350000000000001</v>
      </c>
      <c r="F84">
        <v>3.468</v>
      </c>
      <c r="G84">
        <v>3.4609999999999999</v>
      </c>
      <c r="H84">
        <v>3.5110000000000001</v>
      </c>
      <c r="I84">
        <v>3.5249999999999999</v>
      </c>
      <c r="J84">
        <v>3.5070000000000001</v>
      </c>
      <c r="K84">
        <v>3.5739999999999998</v>
      </c>
      <c r="L84">
        <v>3.5819999999999999</v>
      </c>
      <c r="M84">
        <v>3.65</v>
      </c>
      <c r="N84">
        <v>3.6520000000000001</v>
      </c>
      <c r="O84">
        <v>3.6150000000000002</v>
      </c>
      <c r="P84">
        <v>3.5649999999999999</v>
      </c>
      <c r="Q84">
        <v>3.472</v>
      </c>
      <c r="R84">
        <v>3.4470000000000001</v>
      </c>
      <c r="S84" s="2">
        <v>45406</v>
      </c>
      <c r="T84">
        <v>3.5139999999999998</v>
      </c>
      <c r="U84">
        <v>3.5419999999999998</v>
      </c>
      <c r="V84">
        <v>3.6040000000000001</v>
      </c>
      <c r="W84">
        <v>3.6120000000000001</v>
      </c>
      <c r="X84">
        <v>3.6070000000000002</v>
      </c>
      <c r="Y84">
        <v>3.6269999999999998</v>
      </c>
      <c r="Z84">
        <v>3.657</v>
      </c>
      <c r="AA84">
        <v>3.6659999999999999</v>
      </c>
      <c r="AB84">
        <v>3.6850000000000001</v>
      </c>
      <c r="AC84">
        <v>3.7080000000000002</v>
      </c>
      <c r="AD84">
        <v>3.7410000000000001</v>
      </c>
      <c r="AE84">
        <v>3.798</v>
      </c>
      <c r="AF84">
        <v>3.8359999999999999</v>
      </c>
      <c r="AG84">
        <v>3.8039999999999998</v>
      </c>
      <c r="AH84">
        <v>3.8239999999999998</v>
      </c>
      <c r="AI84">
        <v>0</v>
      </c>
      <c r="AJ84" s="2">
        <v>45406</v>
      </c>
      <c r="AK84">
        <v>3.4550000000000001</v>
      </c>
      <c r="AL84">
        <v>3.4369999999999998</v>
      </c>
      <c r="AM84">
        <v>3.4279999999999999</v>
      </c>
      <c r="AN84">
        <v>3.431</v>
      </c>
      <c r="AO84">
        <v>3.4790000000000001</v>
      </c>
      <c r="AP84">
        <v>3.4950000000000001</v>
      </c>
      <c r="AQ84">
        <v>3.5289999999999999</v>
      </c>
      <c r="AR84">
        <v>3.5310000000000001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2:52">
      <c r="B85" s="2">
        <v>45405</v>
      </c>
      <c r="C85">
        <v>3.4249999999999998</v>
      </c>
      <c r="D85">
        <v>3.44</v>
      </c>
      <c r="E85">
        <v>3.4449999999999998</v>
      </c>
      <c r="F85">
        <v>3.468</v>
      </c>
      <c r="G85">
        <v>3.4580000000000002</v>
      </c>
      <c r="H85">
        <v>3.504</v>
      </c>
      <c r="I85">
        <v>3.51</v>
      </c>
      <c r="J85">
        <v>3.4870000000000001</v>
      </c>
      <c r="K85">
        <v>3.5539999999999998</v>
      </c>
      <c r="L85">
        <v>3.56</v>
      </c>
      <c r="M85">
        <v>3.6280000000000001</v>
      </c>
      <c r="N85">
        <v>3.6349999999999998</v>
      </c>
      <c r="O85">
        <v>3.605</v>
      </c>
      <c r="P85">
        <v>3.56</v>
      </c>
      <c r="Q85">
        <v>3.46</v>
      </c>
      <c r="R85">
        <v>3.4350000000000001</v>
      </c>
      <c r="S85" s="2">
        <v>45405</v>
      </c>
      <c r="T85">
        <v>3.516</v>
      </c>
      <c r="U85">
        <v>3.5489999999999999</v>
      </c>
      <c r="V85">
        <v>3.605</v>
      </c>
      <c r="W85">
        <v>3.6120000000000001</v>
      </c>
      <c r="X85">
        <v>3.6070000000000002</v>
      </c>
      <c r="Y85">
        <v>3.629</v>
      </c>
      <c r="Z85">
        <v>3.6440000000000001</v>
      </c>
      <c r="AA85">
        <v>3.6440000000000001</v>
      </c>
      <c r="AB85">
        <v>3.665</v>
      </c>
      <c r="AC85">
        <v>3.6859999999999999</v>
      </c>
      <c r="AD85">
        <v>3.7189999999999999</v>
      </c>
      <c r="AE85">
        <v>3.7810000000000001</v>
      </c>
      <c r="AF85">
        <v>3.8260000000000001</v>
      </c>
      <c r="AG85">
        <v>3.7989999999999999</v>
      </c>
      <c r="AH85">
        <v>3.8119999999999998</v>
      </c>
      <c r="AI85">
        <v>0</v>
      </c>
      <c r="AJ85" s="2">
        <v>45405</v>
      </c>
      <c r="AK85">
        <v>3.456</v>
      </c>
      <c r="AL85">
        <v>3.444</v>
      </c>
      <c r="AM85">
        <v>3.43</v>
      </c>
      <c r="AN85">
        <v>3.4319999999999999</v>
      </c>
      <c r="AO85">
        <v>3.4790000000000001</v>
      </c>
      <c r="AP85">
        <v>3.4969999999999999</v>
      </c>
      <c r="AQ85">
        <v>3.52</v>
      </c>
      <c r="AR85">
        <v>3.516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2:52">
      <c r="B86" s="2">
        <v>45404</v>
      </c>
      <c r="C86">
        <v>3.4249999999999998</v>
      </c>
      <c r="D86">
        <v>3.4449999999999998</v>
      </c>
      <c r="E86">
        <v>3.448</v>
      </c>
      <c r="F86">
        <v>3.476</v>
      </c>
      <c r="G86">
        <v>3.4729999999999999</v>
      </c>
      <c r="H86">
        <v>3.5219999999999998</v>
      </c>
      <c r="I86">
        <v>3.5270000000000001</v>
      </c>
      <c r="J86">
        <v>3.51</v>
      </c>
      <c r="K86">
        <v>3.5779999999999998</v>
      </c>
      <c r="L86">
        <v>3.585</v>
      </c>
      <c r="M86">
        <v>3.6480000000000001</v>
      </c>
      <c r="N86">
        <v>3.6520000000000001</v>
      </c>
      <c r="O86">
        <v>3.61</v>
      </c>
      <c r="P86">
        <v>3.5550000000000002</v>
      </c>
      <c r="Q86">
        <v>3.45</v>
      </c>
      <c r="R86">
        <v>3.4249999999999998</v>
      </c>
      <c r="S86" s="2">
        <v>45404</v>
      </c>
      <c r="T86">
        <v>3.516</v>
      </c>
      <c r="U86">
        <v>3.5510000000000002</v>
      </c>
      <c r="V86">
        <v>3.6059999999999999</v>
      </c>
      <c r="W86">
        <v>3.6120000000000001</v>
      </c>
      <c r="X86">
        <v>3.6150000000000002</v>
      </c>
      <c r="Y86">
        <v>3.65</v>
      </c>
      <c r="Z86">
        <v>3.661</v>
      </c>
      <c r="AA86">
        <v>3.6629999999999998</v>
      </c>
      <c r="AB86">
        <v>3.6850000000000001</v>
      </c>
      <c r="AC86">
        <v>3.706</v>
      </c>
      <c r="AD86">
        <v>3.7330000000000001</v>
      </c>
      <c r="AE86">
        <v>3.7970000000000002</v>
      </c>
      <c r="AF86">
        <v>3.8330000000000002</v>
      </c>
      <c r="AG86">
        <v>3.794</v>
      </c>
      <c r="AH86">
        <v>3.802</v>
      </c>
      <c r="AI86">
        <v>0</v>
      </c>
      <c r="AJ86" s="2">
        <v>45404</v>
      </c>
      <c r="AK86">
        <v>3.4569999999999999</v>
      </c>
      <c r="AL86">
        <v>3.448</v>
      </c>
      <c r="AM86">
        <v>3.4319999999999999</v>
      </c>
      <c r="AN86">
        <v>3.4340000000000002</v>
      </c>
      <c r="AO86">
        <v>3.4950000000000001</v>
      </c>
      <c r="AP86">
        <v>3.52</v>
      </c>
      <c r="AQ86">
        <v>3.5390000000000001</v>
      </c>
      <c r="AR86">
        <v>3.5310000000000001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2:52">
      <c r="B87" s="2">
        <v>45401</v>
      </c>
      <c r="C87">
        <v>3.4249999999999998</v>
      </c>
      <c r="D87">
        <v>3.4460000000000002</v>
      </c>
      <c r="E87">
        <v>3.4510000000000001</v>
      </c>
      <c r="F87">
        <v>3.456</v>
      </c>
      <c r="G87">
        <v>3.448</v>
      </c>
      <c r="H87">
        <v>3.4969999999999999</v>
      </c>
      <c r="I87">
        <v>3.4950000000000001</v>
      </c>
      <c r="J87">
        <v>3.4769999999999999</v>
      </c>
      <c r="K87">
        <v>3.5430000000000001</v>
      </c>
      <c r="L87">
        <v>3.55</v>
      </c>
      <c r="M87">
        <v>3.601</v>
      </c>
      <c r="N87">
        <v>3.59</v>
      </c>
      <c r="O87">
        <v>3.5459999999999998</v>
      </c>
      <c r="P87">
        <v>3.49</v>
      </c>
      <c r="Q87">
        <v>3.3919999999999999</v>
      </c>
      <c r="R87">
        <v>3.367</v>
      </c>
      <c r="S87" s="2">
        <v>45401</v>
      </c>
      <c r="T87">
        <v>3.516</v>
      </c>
      <c r="U87">
        <v>3.5449999999999999</v>
      </c>
      <c r="V87">
        <v>3.5939999999999999</v>
      </c>
      <c r="W87">
        <v>3.597</v>
      </c>
      <c r="X87">
        <v>3.5880000000000001</v>
      </c>
      <c r="Y87">
        <v>3.6230000000000002</v>
      </c>
      <c r="Z87">
        <v>3.6259999999999999</v>
      </c>
      <c r="AA87">
        <v>3.6280000000000001</v>
      </c>
      <c r="AB87">
        <v>3.6520000000000001</v>
      </c>
      <c r="AC87">
        <v>3.6749999999999998</v>
      </c>
      <c r="AD87">
        <v>3.6880000000000002</v>
      </c>
      <c r="AE87">
        <v>3.7370000000000001</v>
      </c>
      <c r="AF87">
        <v>3.7709999999999999</v>
      </c>
      <c r="AG87">
        <v>3.7290000000000001</v>
      </c>
      <c r="AH87">
        <v>3.7440000000000002</v>
      </c>
      <c r="AI87">
        <v>0</v>
      </c>
      <c r="AJ87" s="2">
        <v>45401</v>
      </c>
      <c r="AK87">
        <v>3.456</v>
      </c>
      <c r="AL87">
        <v>3.444</v>
      </c>
      <c r="AM87">
        <v>3.4209999999999998</v>
      </c>
      <c r="AN87">
        <v>3.4180000000000001</v>
      </c>
      <c r="AO87">
        <v>3.472</v>
      </c>
      <c r="AP87">
        <v>3.4950000000000001</v>
      </c>
      <c r="AQ87">
        <v>3.508</v>
      </c>
      <c r="AR87">
        <v>3.5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2:52">
      <c r="B88" s="2">
        <v>45400</v>
      </c>
      <c r="C88">
        <v>3.411</v>
      </c>
      <c r="D88">
        <v>3.4260000000000002</v>
      </c>
      <c r="E88">
        <v>3.4329999999999998</v>
      </c>
      <c r="F88">
        <v>3.4329999999999998</v>
      </c>
      <c r="G88">
        <v>3.42</v>
      </c>
      <c r="H88">
        <v>3.448</v>
      </c>
      <c r="I88">
        <v>3.448</v>
      </c>
      <c r="J88">
        <v>3.43</v>
      </c>
      <c r="K88">
        <v>3.492</v>
      </c>
      <c r="L88">
        <v>3.4980000000000002</v>
      </c>
      <c r="M88">
        <v>3.5590000000000002</v>
      </c>
      <c r="N88">
        <v>3.5649999999999999</v>
      </c>
      <c r="O88">
        <v>3.5259999999999998</v>
      </c>
      <c r="P88">
        <v>3.4750000000000001</v>
      </c>
      <c r="Q88">
        <v>3.3820000000000001</v>
      </c>
      <c r="R88">
        <v>3.3570000000000002</v>
      </c>
      <c r="S88" s="2">
        <v>45400</v>
      </c>
      <c r="T88">
        <v>3.5089999999999999</v>
      </c>
      <c r="U88">
        <v>3.5350000000000001</v>
      </c>
      <c r="V88">
        <v>3.569</v>
      </c>
      <c r="W88">
        <v>3.57</v>
      </c>
      <c r="X88">
        <v>3.5529999999999999</v>
      </c>
      <c r="Y88">
        <v>3.569</v>
      </c>
      <c r="Z88">
        <v>3.5840000000000001</v>
      </c>
      <c r="AA88">
        <v>3.589</v>
      </c>
      <c r="AB88">
        <v>3.609</v>
      </c>
      <c r="AC88">
        <v>3.63</v>
      </c>
      <c r="AD88">
        <v>3.6480000000000001</v>
      </c>
      <c r="AE88">
        <v>3.7149999999999999</v>
      </c>
      <c r="AF88">
        <v>3.7519999999999998</v>
      </c>
      <c r="AG88">
        <v>3.714</v>
      </c>
      <c r="AH88">
        <v>3.734</v>
      </c>
      <c r="AI88">
        <v>0</v>
      </c>
      <c r="AJ88" s="2">
        <v>45400</v>
      </c>
      <c r="AK88">
        <v>3.45</v>
      </c>
      <c r="AL88">
        <v>3.43</v>
      </c>
      <c r="AM88">
        <v>3.3929999999999998</v>
      </c>
      <c r="AN88">
        <v>3.3879999999999999</v>
      </c>
      <c r="AO88">
        <v>3.4359999999999999</v>
      </c>
      <c r="AP88">
        <v>3.44</v>
      </c>
      <c r="AQ88">
        <v>3.46</v>
      </c>
      <c r="AR88">
        <v>3.452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2:52">
      <c r="B89" s="2">
        <v>45399</v>
      </c>
      <c r="C89">
        <v>3.415</v>
      </c>
      <c r="D89">
        <v>3.4350000000000001</v>
      </c>
      <c r="E89">
        <v>3.44</v>
      </c>
      <c r="F89">
        <v>3.44</v>
      </c>
      <c r="G89">
        <v>3.4529999999999998</v>
      </c>
      <c r="H89">
        <v>3.4820000000000002</v>
      </c>
      <c r="I89">
        <v>3.4790000000000001</v>
      </c>
      <c r="J89">
        <v>3.4649999999999999</v>
      </c>
      <c r="K89">
        <v>3.524</v>
      </c>
      <c r="L89">
        <v>3.532</v>
      </c>
      <c r="M89">
        <v>3.6059999999999999</v>
      </c>
      <c r="N89">
        <v>3.625</v>
      </c>
      <c r="O89">
        <v>3.5840000000000001</v>
      </c>
      <c r="P89">
        <v>3.5249999999999999</v>
      </c>
      <c r="Q89">
        <v>3.4249999999999998</v>
      </c>
      <c r="R89">
        <v>3.4</v>
      </c>
      <c r="S89" s="2">
        <v>45399</v>
      </c>
      <c r="T89">
        <v>3.52</v>
      </c>
      <c r="U89">
        <v>3.5409999999999999</v>
      </c>
      <c r="V89">
        <v>3.5710000000000002</v>
      </c>
      <c r="W89">
        <v>3.573</v>
      </c>
      <c r="X89">
        <v>3.581</v>
      </c>
      <c r="Y89">
        <v>3.5990000000000002</v>
      </c>
      <c r="Z89">
        <v>3.6219999999999999</v>
      </c>
      <c r="AA89">
        <v>3.629</v>
      </c>
      <c r="AB89">
        <v>3.6389999999999998</v>
      </c>
      <c r="AC89">
        <v>3.6640000000000001</v>
      </c>
      <c r="AD89">
        <v>3.6949999999999998</v>
      </c>
      <c r="AE89">
        <v>3.7749999999999999</v>
      </c>
      <c r="AF89">
        <v>3.8090000000000002</v>
      </c>
      <c r="AG89">
        <v>3.7639999999999998</v>
      </c>
      <c r="AH89">
        <v>3.7770000000000001</v>
      </c>
      <c r="AI89">
        <v>0</v>
      </c>
      <c r="AJ89" s="2">
        <v>45399</v>
      </c>
      <c r="AK89">
        <v>3.4510000000000001</v>
      </c>
      <c r="AL89">
        <v>3.4319999999999999</v>
      </c>
      <c r="AM89">
        <v>3.3929999999999998</v>
      </c>
      <c r="AN89">
        <v>3.3879999999999999</v>
      </c>
      <c r="AO89">
        <v>3.4609999999999999</v>
      </c>
      <c r="AP89">
        <v>3.4649999999999999</v>
      </c>
      <c r="AQ89">
        <v>3.4929999999999999</v>
      </c>
      <c r="AR89">
        <v>3.49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2:52">
      <c r="B90" s="2">
        <v>45398</v>
      </c>
      <c r="C90">
        <v>3.415</v>
      </c>
      <c r="D90">
        <v>3.4430000000000001</v>
      </c>
      <c r="E90">
        <v>3.44</v>
      </c>
      <c r="F90">
        <v>3.4409999999999998</v>
      </c>
      <c r="G90">
        <v>3.4630000000000001</v>
      </c>
      <c r="H90">
        <v>3.4870000000000001</v>
      </c>
      <c r="I90">
        <v>3.4830000000000001</v>
      </c>
      <c r="J90">
        <v>3.47</v>
      </c>
      <c r="K90">
        <v>3.5289999999999999</v>
      </c>
      <c r="L90">
        <v>3.5379999999999998</v>
      </c>
      <c r="M90">
        <v>3.6110000000000002</v>
      </c>
      <c r="N90">
        <v>3.6269999999999998</v>
      </c>
      <c r="O90">
        <v>3.5880000000000001</v>
      </c>
      <c r="P90">
        <v>3.53</v>
      </c>
      <c r="Q90">
        <v>3.4369999999999998</v>
      </c>
      <c r="R90">
        <v>3.4119999999999999</v>
      </c>
      <c r="S90" s="2">
        <v>45398</v>
      </c>
      <c r="T90">
        <v>3.5209999999999999</v>
      </c>
      <c r="U90">
        <v>3.5409999999999999</v>
      </c>
      <c r="V90">
        <v>3.573</v>
      </c>
      <c r="W90">
        <v>3.573</v>
      </c>
      <c r="X90">
        <v>3.5880000000000001</v>
      </c>
      <c r="Y90">
        <v>3.6040000000000001</v>
      </c>
      <c r="Z90">
        <v>3.621</v>
      </c>
      <c r="AA90">
        <v>3.6320000000000001</v>
      </c>
      <c r="AB90">
        <v>3.6480000000000001</v>
      </c>
      <c r="AC90">
        <v>3.6760000000000002</v>
      </c>
      <c r="AD90">
        <v>3.7130000000000001</v>
      </c>
      <c r="AE90">
        <v>3.7869999999999999</v>
      </c>
      <c r="AF90">
        <v>3.8239999999999998</v>
      </c>
      <c r="AG90">
        <v>3.7789999999999999</v>
      </c>
      <c r="AH90">
        <v>3.7909999999999999</v>
      </c>
      <c r="AI90">
        <v>0</v>
      </c>
      <c r="AJ90" s="2">
        <v>45398</v>
      </c>
      <c r="AK90">
        <v>3.4510000000000001</v>
      </c>
      <c r="AL90">
        <v>3.4340000000000002</v>
      </c>
      <c r="AM90">
        <v>3.391</v>
      </c>
      <c r="AN90">
        <v>3.3849999999999998</v>
      </c>
      <c r="AO90">
        <v>3.4620000000000002</v>
      </c>
      <c r="AP90">
        <v>3.472</v>
      </c>
      <c r="AQ90">
        <v>3.4990000000000001</v>
      </c>
      <c r="AR90">
        <v>3.5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2:52">
      <c r="B91" s="2">
        <v>45397</v>
      </c>
      <c r="C91">
        <v>3.415</v>
      </c>
      <c r="D91">
        <v>3.4430000000000001</v>
      </c>
      <c r="E91">
        <v>3.44</v>
      </c>
      <c r="F91">
        <v>3.4350000000000001</v>
      </c>
      <c r="G91">
        <v>3.46</v>
      </c>
      <c r="H91">
        <v>3.4660000000000002</v>
      </c>
      <c r="I91">
        <v>3.46</v>
      </c>
      <c r="J91">
        <v>3.4369999999999998</v>
      </c>
      <c r="K91">
        <v>3.4950000000000001</v>
      </c>
      <c r="L91">
        <v>3.4940000000000002</v>
      </c>
      <c r="M91">
        <v>3.5550000000000002</v>
      </c>
      <c r="N91">
        <v>3.5569999999999999</v>
      </c>
      <c r="O91">
        <v>3.528</v>
      </c>
      <c r="P91">
        <v>3.48</v>
      </c>
      <c r="Q91">
        <v>3.39</v>
      </c>
      <c r="R91">
        <v>3.3650000000000002</v>
      </c>
      <c r="S91" s="2">
        <v>45397</v>
      </c>
      <c r="T91">
        <v>3.5110000000000001</v>
      </c>
      <c r="U91">
        <v>3.5259999999999998</v>
      </c>
      <c r="V91">
        <v>3.5630000000000002</v>
      </c>
      <c r="W91">
        <v>3.5649999999999999</v>
      </c>
      <c r="X91">
        <v>3.569</v>
      </c>
      <c r="Y91">
        <v>3.5859999999999999</v>
      </c>
      <c r="Z91">
        <v>3.605</v>
      </c>
      <c r="AA91">
        <v>3.6059999999999999</v>
      </c>
      <c r="AB91">
        <v>3.6160000000000001</v>
      </c>
      <c r="AC91">
        <v>3.6379999999999999</v>
      </c>
      <c r="AD91">
        <v>3.66</v>
      </c>
      <c r="AE91">
        <v>3.72</v>
      </c>
      <c r="AF91">
        <v>3.7669999999999999</v>
      </c>
      <c r="AG91">
        <v>3.7309999999999999</v>
      </c>
      <c r="AH91">
        <v>3.7440000000000002</v>
      </c>
      <c r="AI91">
        <v>0</v>
      </c>
      <c r="AJ91" s="2">
        <v>45397</v>
      </c>
      <c r="AK91">
        <v>3.4449999999999998</v>
      </c>
      <c r="AL91">
        <v>3.42</v>
      </c>
      <c r="AM91">
        <v>3.383</v>
      </c>
      <c r="AN91">
        <v>3.3780000000000001</v>
      </c>
      <c r="AO91">
        <v>3.4409999999999998</v>
      </c>
      <c r="AP91">
        <v>3.4449999999999998</v>
      </c>
      <c r="AQ91">
        <v>3.4750000000000001</v>
      </c>
      <c r="AR91">
        <v>3.468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2:52">
      <c r="B92" s="2">
        <v>45394</v>
      </c>
      <c r="C92">
        <v>3.42</v>
      </c>
      <c r="D92">
        <v>3.45</v>
      </c>
      <c r="E92">
        <v>3.4279999999999999</v>
      </c>
      <c r="F92">
        <v>3.423</v>
      </c>
      <c r="G92">
        <v>3.448</v>
      </c>
      <c r="H92">
        <v>3.4249999999999998</v>
      </c>
      <c r="I92">
        <v>3.4239999999999999</v>
      </c>
      <c r="J92">
        <v>3.3980000000000001</v>
      </c>
      <c r="K92">
        <v>3.4470000000000001</v>
      </c>
      <c r="L92">
        <v>3.452</v>
      </c>
      <c r="M92">
        <v>3.5259999999999998</v>
      </c>
      <c r="N92">
        <v>3.5369999999999999</v>
      </c>
      <c r="O92">
        <v>3.516</v>
      </c>
      <c r="P92">
        <v>3.45</v>
      </c>
      <c r="Q92">
        <v>3.359</v>
      </c>
      <c r="R92">
        <v>3.3340000000000001</v>
      </c>
      <c r="S92" s="2">
        <v>45394</v>
      </c>
      <c r="T92">
        <v>3.5249999999999999</v>
      </c>
      <c r="U92">
        <v>3.5339999999999998</v>
      </c>
      <c r="V92">
        <v>3.5640000000000001</v>
      </c>
      <c r="W92">
        <v>3.55</v>
      </c>
      <c r="X92">
        <v>3.5379999999999998</v>
      </c>
      <c r="Y92">
        <v>3.5489999999999999</v>
      </c>
      <c r="Z92">
        <v>3.573</v>
      </c>
      <c r="AA92">
        <v>3.57</v>
      </c>
      <c r="AB92">
        <v>3.5640000000000001</v>
      </c>
      <c r="AC92">
        <v>3.5960000000000001</v>
      </c>
      <c r="AD92">
        <v>3.6280000000000001</v>
      </c>
      <c r="AE92">
        <v>3.7</v>
      </c>
      <c r="AF92">
        <v>3.7519999999999998</v>
      </c>
      <c r="AG92">
        <v>3.7040000000000002</v>
      </c>
      <c r="AH92">
        <v>3.714</v>
      </c>
      <c r="AI92">
        <v>0</v>
      </c>
      <c r="AJ92" s="2">
        <v>45394</v>
      </c>
      <c r="AK92">
        <v>3.456</v>
      </c>
      <c r="AL92">
        <v>3.4220000000000002</v>
      </c>
      <c r="AM92">
        <v>3.3780000000000001</v>
      </c>
      <c r="AN92">
        <v>3.3660000000000001</v>
      </c>
      <c r="AO92">
        <v>3.4119999999999999</v>
      </c>
      <c r="AP92">
        <v>3.41</v>
      </c>
      <c r="AQ92">
        <v>3.44</v>
      </c>
      <c r="AR92">
        <v>3.4329999999999998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2:52">
      <c r="B93" s="2">
        <v>45393</v>
      </c>
      <c r="C93">
        <v>3.4249999999999998</v>
      </c>
      <c r="D93">
        <v>3.4630000000000001</v>
      </c>
      <c r="E93">
        <v>3.44</v>
      </c>
      <c r="F93">
        <v>3.4449999999999998</v>
      </c>
      <c r="G93">
        <v>3.4820000000000002</v>
      </c>
      <c r="H93">
        <v>3.4849999999999999</v>
      </c>
      <c r="I93">
        <v>3.4860000000000002</v>
      </c>
      <c r="J93">
        <v>3.46</v>
      </c>
      <c r="K93">
        <v>3.5169999999999999</v>
      </c>
      <c r="L93">
        <v>3.51</v>
      </c>
      <c r="M93">
        <v>3.581</v>
      </c>
      <c r="N93">
        <v>3.5870000000000002</v>
      </c>
      <c r="O93">
        <v>3.5619999999999998</v>
      </c>
      <c r="P93">
        <v>3.49</v>
      </c>
      <c r="Q93">
        <v>3.39</v>
      </c>
      <c r="R93">
        <v>3.3769999999999998</v>
      </c>
      <c r="S93" s="2">
        <v>45393</v>
      </c>
      <c r="T93">
        <v>3.532</v>
      </c>
      <c r="U93">
        <v>3.548</v>
      </c>
      <c r="V93">
        <v>3.5779999999999998</v>
      </c>
      <c r="W93">
        <v>3.5680000000000001</v>
      </c>
      <c r="X93">
        <v>3.5960000000000001</v>
      </c>
      <c r="Y93">
        <v>3.6139999999999999</v>
      </c>
      <c r="Z93">
        <v>3.6349999999999998</v>
      </c>
      <c r="AA93">
        <v>3.6320000000000001</v>
      </c>
      <c r="AB93">
        <v>3.6339999999999999</v>
      </c>
      <c r="AC93">
        <v>3.6539999999999999</v>
      </c>
      <c r="AD93">
        <v>3.6829999999999998</v>
      </c>
      <c r="AE93">
        <v>3.75</v>
      </c>
      <c r="AF93">
        <v>3.798</v>
      </c>
      <c r="AG93">
        <v>3.7429999999999999</v>
      </c>
      <c r="AH93">
        <v>3.7450000000000001</v>
      </c>
      <c r="AI93">
        <v>0</v>
      </c>
      <c r="AJ93" s="2">
        <v>45393</v>
      </c>
      <c r="AK93">
        <v>3.4649999999999999</v>
      </c>
      <c r="AL93">
        <v>3.4319999999999999</v>
      </c>
      <c r="AM93">
        <v>3.3879999999999999</v>
      </c>
      <c r="AN93">
        <v>3.3809999999999998</v>
      </c>
      <c r="AO93">
        <v>3.47</v>
      </c>
      <c r="AP93">
        <v>3.4750000000000001</v>
      </c>
      <c r="AQ93">
        <v>3.504</v>
      </c>
      <c r="AR93">
        <v>3.4950000000000001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2:52">
      <c r="B94" s="2">
        <v>45391</v>
      </c>
      <c r="C94">
        <v>3.4209999999999998</v>
      </c>
      <c r="D94">
        <v>3.4409999999999998</v>
      </c>
      <c r="E94">
        <v>3.4159999999999999</v>
      </c>
      <c r="F94">
        <v>3.4060000000000001</v>
      </c>
      <c r="G94">
        <v>3.4209999999999998</v>
      </c>
      <c r="H94">
        <v>3.4249999999999998</v>
      </c>
      <c r="I94">
        <v>3.4039999999999999</v>
      </c>
      <c r="J94">
        <v>3.387</v>
      </c>
      <c r="K94">
        <v>3.4430000000000001</v>
      </c>
      <c r="L94">
        <v>3.4350000000000001</v>
      </c>
      <c r="M94">
        <v>3.504</v>
      </c>
      <c r="N94">
        <v>3.5049999999999999</v>
      </c>
      <c r="O94">
        <v>3.4940000000000002</v>
      </c>
      <c r="P94">
        <v>3.431</v>
      </c>
      <c r="Q94">
        <v>3.3380000000000001</v>
      </c>
      <c r="R94">
        <v>3.3250000000000002</v>
      </c>
      <c r="S94" s="2">
        <v>45391</v>
      </c>
      <c r="T94">
        <v>3.5259999999999998</v>
      </c>
      <c r="U94">
        <v>3.5390000000000001</v>
      </c>
      <c r="V94">
        <v>3.56</v>
      </c>
      <c r="W94">
        <v>3.5339999999999998</v>
      </c>
      <c r="X94">
        <v>3.5350000000000001</v>
      </c>
      <c r="Y94">
        <v>3.5289999999999999</v>
      </c>
      <c r="Z94">
        <v>3.5539999999999998</v>
      </c>
      <c r="AA94">
        <v>3.56</v>
      </c>
      <c r="AB94">
        <v>3.5619999999999998</v>
      </c>
      <c r="AC94">
        <v>3.5790000000000002</v>
      </c>
      <c r="AD94">
        <v>3.609</v>
      </c>
      <c r="AE94">
        <v>3.677</v>
      </c>
      <c r="AF94">
        <v>3.74</v>
      </c>
      <c r="AG94">
        <v>3.6949999999999998</v>
      </c>
      <c r="AH94">
        <v>3.6930000000000001</v>
      </c>
      <c r="AI94">
        <v>0</v>
      </c>
      <c r="AJ94" s="2">
        <v>45391</v>
      </c>
      <c r="AK94">
        <v>3.4569999999999999</v>
      </c>
      <c r="AL94">
        <v>3.419</v>
      </c>
      <c r="AM94">
        <v>3.363</v>
      </c>
      <c r="AN94">
        <v>3.347</v>
      </c>
      <c r="AO94">
        <v>3.4039999999999999</v>
      </c>
      <c r="AP94">
        <v>3.39</v>
      </c>
      <c r="AQ94">
        <v>3.4289999999999998</v>
      </c>
      <c r="AR94">
        <v>3.4249999999999998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2:52">
      <c r="B95" s="2">
        <v>45390</v>
      </c>
      <c r="C95">
        <v>3.4209999999999998</v>
      </c>
      <c r="D95">
        <v>3.4409999999999998</v>
      </c>
      <c r="E95">
        <v>3.415</v>
      </c>
      <c r="F95">
        <v>3.403</v>
      </c>
      <c r="G95">
        <v>3.411</v>
      </c>
      <c r="H95">
        <v>3.423</v>
      </c>
      <c r="I95">
        <v>3.3940000000000001</v>
      </c>
      <c r="J95">
        <v>3.3769999999999998</v>
      </c>
      <c r="K95">
        <v>3.4289999999999998</v>
      </c>
      <c r="L95">
        <v>3.42</v>
      </c>
      <c r="M95">
        <v>3.4870000000000001</v>
      </c>
      <c r="N95">
        <v>3.4870000000000001</v>
      </c>
      <c r="O95">
        <v>3.4809999999999999</v>
      </c>
      <c r="P95">
        <v>3.4249999999999998</v>
      </c>
      <c r="Q95">
        <v>3.335</v>
      </c>
      <c r="R95">
        <v>3.3220000000000001</v>
      </c>
      <c r="S95" s="2">
        <v>45390</v>
      </c>
      <c r="T95">
        <v>3.5249999999999999</v>
      </c>
      <c r="U95">
        <v>3.5390000000000001</v>
      </c>
      <c r="V95">
        <v>3.56</v>
      </c>
      <c r="W95">
        <v>3.5329999999999999</v>
      </c>
      <c r="X95">
        <v>3.5209999999999999</v>
      </c>
      <c r="Y95">
        <v>3.5139999999999998</v>
      </c>
      <c r="Z95">
        <v>3.548</v>
      </c>
      <c r="AA95">
        <v>3.5510000000000002</v>
      </c>
      <c r="AB95">
        <v>3.5550000000000002</v>
      </c>
      <c r="AC95">
        <v>3.5680000000000001</v>
      </c>
      <c r="AD95">
        <v>3.5939999999999999</v>
      </c>
      <c r="AE95">
        <v>3.66</v>
      </c>
      <c r="AF95">
        <v>3.7290000000000001</v>
      </c>
      <c r="AG95">
        <v>3.6880000000000002</v>
      </c>
      <c r="AH95">
        <v>3.69</v>
      </c>
      <c r="AI95">
        <v>0</v>
      </c>
      <c r="AJ95" s="2">
        <v>45390</v>
      </c>
      <c r="AK95">
        <v>3.4569999999999999</v>
      </c>
      <c r="AL95">
        <v>3.419</v>
      </c>
      <c r="AM95">
        <v>3.363</v>
      </c>
      <c r="AN95">
        <v>3.3439999999999999</v>
      </c>
      <c r="AO95">
        <v>3.3919999999999999</v>
      </c>
      <c r="AP95">
        <v>3.3759999999999999</v>
      </c>
      <c r="AQ95">
        <v>3.419</v>
      </c>
      <c r="AR95">
        <v>3.4159999999999999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2:52">
      <c r="B96" s="2">
        <v>45387</v>
      </c>
      <c r="C96">
        <v>3.4209999999999998</v>
      </c>
      <c r="D96">
        <v>3.4409999999999998</v>
      </c>
      <c r="E96">
        <v>3.41</v>
      </c>
      <c r="F96">
        <v>3.395</v>
      </c>
      <c r="G96">
        <v>3.3730000000000002</v>
      </c>
      <c r="H96">
        <v>3.3660000000000001</v>
      </c>
      <c r="I96">
        <v>3.3460000000000001</v>
      </c>
      <c r="J96">
        <v>3.33</v>
      </c>
      <c r="K96">
        <v>3.3809999999999998</v>
      </c>
      <c r="L96">
        <v>3.3719999999999999</v>
      </c>
      <c r="M96">
        <v>3.4380000000000002</v>
      </c>
      <c r="N96">
        <v>3.4350000000000001</v>
      </c>
      <c r="O96">
        <v>3.4430000000000001</v>
      </c>
      <c r="P96">
        <v>3.39</v>
      </c>
      <c r="Q96">
        <v>3.3010000000000002</v>
      </c>
      <c r="R96">
        <v>3.2890000000000001</v>
      </c>
      <c r="S96" s="2">
        <v>45387</v>
      </c>
      <c r="T96">
        <v>3.528</v>
      </c>
      <c r="U96">
        <v>3.5430000000000001</v>
      </c>
      <c r="V96">
        <v>3.552</v>
      </c>
      <c r="W96">
        <v>3.5190000000000001</v>
      </c>
      <c r="X96">
        <v>3.4780000000000002</v>
      </c>
      <c r="Y96">
        <v>3.4710000000000001</v>
      </c>
      <c r="Z96">
        <v>3.5059999999999998</v>
      </c>
      <c r="AA96">
        <v>3.512</v>
      </c>
      <c r="AB96">
        <v>3.5110000000000001</v>
      </c>
      <c r="AC96">
        <v>3.5289999999999999</v>
      </c>
      <c r="AD96">
        <v>3.548</v>
      </c>
      <c r="AE96">
        <v>3.61</v>
      </c>
      <c r="AF96">
        <v>3.6890000000000001</v>
      </c>
      <c r="AG96">
        <v>3.653</v>
      </c>
      <c r="AH96">
        <v>3.657</v>
      </c>
      <c r="AI96">
        <v>0</v>
      </c>
      <c r="AJ96" s="2">
        <v>45387</v>
      </c>
      <c r="AK96">
        <v>3.4550000000000001</v>
      </c>
      <c r="AL96">
        <v>3.4119999999999999</v>
      </c>
      <c r="AM96">
        <v>3.351</v>
      </c>
      <c r="AN96">
        <v>3.3260000000000001</v>
      </c>
      <c r="AO96">
        <v>3.3540000000000001</v>
      </c>
      <c r="AP96">
        <v>3.335</v>
      </c>
      <c r="AQ96">
        <v>3.3740000000000001</v>
      </c>
      <c r="AR96">
        <v>3.371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2:52">
      <c r="B97" s="2">
        <v>45386</v>
      </c>
      <c r="C97">
        <v>3.4260000000000002</v>
      </c>
      <c r="D97">
        <v>3.448</v>
      </c>
      <c r="E97">
        <v>3.4119999999999999</v>
      </c>
      <c r="F97">
        <v>3.3980000000000001</v>
      </c>
      <c r="G97">
        <v>3.375</v>
      </c>
      <c r="H97">
        <v>3.3679999999999999</v>
      </c>
      <c r="I97">
        <v>3.35</v>
      </c>
      <c r="J97">
        <v>3.335</v>
      </c>
      <c r="K97">
        <v>3.3919999999999999</v>
      </c>
      <c r="L97">
        <v>3.3839999999999999</v>
      </c>
      <c r="M97">
        <v>3.456</v>
      </c>
      <c r="N97">
        <v>3.4590000000000001</v>
      </c>
      <c r="O97">
        <v>3.4609999999999999</v>
      </c>
      <c r="P97">
        <v>3.4039999999999999</v>
      </c>
      <c r="Q97">
        <v>3.32</v>
      </c>
      <c r="R97">
        <v>3.3079999999999998</v>
      </c>
      <c r="S97" s="2">
        <v>45386</v>
      </c>
      <c r="T97">
        <v>3.5350000000000001</v>
      </c>
      <c r="U97">
        <v>3.5510000000000002</v>
      </c>
      <c r="V97">
        <v>3.5590000000000002</v>
      </c>
      <c r="W97">
        <v>3.5259999999999998</v>
      </c>
      <c r="X97">
        <v>3.4849999999999999</v>
      </c>
      <c r="Y97">
        <v>3.4889999999999999</v>
      </c>
      <c r="Z97">
        <v>3.508</v>
      </c>
      <c r="AA97">
        <v>3.516</v>
      </c>
      <c r="AB97">
        <v>3.5219999999999998</v>
      </c>
      <c r="AC97">
        <v>3.5430000000000001</v>
      </c>
      <c r="AD97">
        <v>3.5640000000000001</v>
      </c>
      <c r="AE97">
        <v>3.6349999999999998</v>
      </c>
      <c r="AF97">
        <v>3.7090000000000001</v>
      </c>
      <c r="AG97">
        <v>3.669</v>
      </c>
      <c r="AH97">
        <v>3.6779999999999999</v>
      </c>
      <c r="AI97">
        <v>0</v>
      </c>
      <c r="AJ97" s="2">
        <v>45386</v>
      </c>
      <c r="AK97">
        <v>3.4569999999999999</v>
      </c>
      <c r="AL97">
        <v>3.4129999999999998</v>
      </c>
      <c r="AM97">
        <v>3.355</v>
      </c>
      <c r="AN97">
        <v>3.3330000000000002</v>
      </c>
      <c r="AO97">
        <v>3.363</v>
      </c>
      <c r="AP97">
        <v>3.35</v>
      </c>
      <c r="AQ97">
        <v>3.3879999999999999</v>
      </c>
      <c r="AR97">
        <v>3.3849999999999998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2:52">
      <c r="B98" s="2">
        <v>45385</v>
      </c>
      <c r="C98">
        <v>3.43</v>
      </c>
      <c r="D98">
        <v>3.4449999999999998</v>
      </c>
      <c r="E98">
        <v>3.4039999999999999</v>
      </c>
      <c r="F98">
        <v>3.395</v>
      </c>
      <c r="G98">
        <v>3.371</v>
      </c>
      <c r="H98">
        <v>3.36</v>
      </c>
      <c r="I98">
        <v>3.3450000000000002</v>
      </c>
      <c r="J98">
        <v>3.327</v>
      </c>
      <c r="K98">
        <v>3.383</v>
      </c>
      <c r="L98">
        <v>3.3719999999999999</v>
      </c>
      <c r="M98">
        <v>3.46</v>
      </c>
      <c r="N98">
        <v>3.45</v>
      </c>
      <c r="O98">
        <v>3.45</v>
      </c>
      <c r="P98">
        <v>3.3889999999999998</v>
      </c>
      <c r="Q98">
        <v>3.31</v>
      </c>
      <c r="R98">
        <v>3.2970000000000002</v>
      </c>
      <c r="S98" s="2">
        <v>45385</v>
      </c>
      <c r="T98">
        <v>3.5550000000000002</v>
      </c>
      <c r="U98">
        <v>3.5680000000000001</v>
      </c>
      <c r="V98">
        <v>3.5659999999999998</v>
      </c>
      <c r="W98">
        <v>3.5390000000000001</v>
      </c>
      <c r="X98">
        <v>3.4950000000000001</v>
      </c>
      <c r="Y98">
        <v>3.4950000000000001</v>
      </c>
      <c r="Z98">
        <v>3.5049999999999999</v>
      </c>
      <c r="AA98">
        <v>3.508</v>
      </c>
      <c r="AB98">
        <v>3.5129999999999999</v>
      </c>
      <c r="AC98">
        <v>3.532</v>
      </c>
      <c r="AD98">
        <v>3.5680000000000001</v>
      </c>
      <c r="AE98">
        <v>3.633</v>
      </c>
      <c r="AF98">
        <v>3.7069999999999999</v>
      </c>
      <c r="AG98">
        <v>3.6629999999999998</v>
      </c>
      <c r="AH98">
        <v>3.6720000000000002</v>
      </c>
      <c r="AI98">
        <v>0</v>
      </c>
      <c r="AJ98" s="2">
        <v>45385</v>
      </c>
      <c r="AK98">
        <v>3.4569999999999999</v>
      </c>
      <c r="AL98">
        <v>3.4129999999999998</v>
      </c>
      <c r="AM98">
        <v>3.355</v>
      </c>
      <c r="AN98">
        <v>3.3330000000000002</v>
      </c>
      <c r="AO98">
        <v>3.363</v>
      </c>
      <c r="AP98">
        <v>3.3519999999999999</v>
      </c>
      <c r="AQ98">
        <v>3.3839999999999999</v>
      </c>
      <c r="AR98">
        <v>3.379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2:52">
      <c r="B99" s="2">
        <v>45384</v>
      </c>
      <c r="C99">
        <v>3.43</v>
      </c>
      <c r="D99">
        <v>3.45</v>
      </c>
      <c r="E99">
        <v>3.4039999999999999</v>
      </c>
      <c r="F99">
        <v>3.395</v>
      </c>
      <c r="G99">
        <v>3.371</v>
      </c>
      <c r="H99">
        <v>3.36</v>
      </c>
      <c r="I99">
        <v>3.3450000000000002</v>
      </c>
      <c r="J99">
        <v>3.3250000000000002</v>
      </c>
      <c r="K99">
        <v>3.3759999999999999</v>
      </c>
      <c r="L99">
        <v>3.3620000000000001</v>
      </c>
      <c r="M99">
        <v>3.4420000000000002</v>
      </c>
      <c r="N99">
        <v>3.4249999999999998</v>
      </c>
      <c r="O99">
        <v>3.431</v>
      </c>
      <c r="P99">
        <v>3.375</v>
      </c>
      <c r="Q99">
        <v>3.3</v>
      </c>
      <c r="R99">
        <v>3.2869999999999999</v>
      </c>
      <c r="S99" s="2">
        <v>45384</v>
      </c>
      <c r="T99">
        <v>3.5670000000000002</v>
      </c>
      <c r="U99">
        <v>3.5790000000000002</v>
      </c>
      <c r="V99">
        <v>3.5739999999999998</v>
      </c>
      <c r="W99">
        <v>3.5369999999999999</v>
      </c>
      <c r="X99">
        <v>3.5059999999999998</v>
      </c>
      <c r="Y99">
        <v>3.5049999999999999</v>
      </c>
      <c r="Z99">
        <v>3.5059999999999998</v>
      </c>
      <c r="AA99">
        <v>3.508</v>
      </c>
      <c r="AB99">
        <v>3.508</v>
      </c>
      <c r="AC99">
        <v>3.5289999999999999</v>
      </c>
      <c r="AD99">
        <v>3.5569999999999999</v>
      </c>
      <c r="AE99">
        <v>3.6139999999999999</v>
      </c>
      <c r="AF99">
        <v>3.6890000000000001</v>
      </c>
      <c r="AG99">
        <v>3.649</v>
      </c>
      <c r="AH99">
        <v>3.6619999999999999</v>
      </c>
      <c r="AI99">
        <v>0</v>
      </c>
      <c r="AJ99" s="2">
        <v>45384</v>
      </c>
      <c r="AK99">
        <v>3.4609999999999999</v>
      </c>
      <c r="AL99">
        <v>3.4319999999999999</v>
      </c>
      <c r="AM99">
        <v>3.36</v>
      </c>
      <c r="AN99">
        <v>3.3250000000000002</v>
      </c>
      <c r="AO99">
        <v>3.37</v>
      </c>
      <c r="AP99">
        <v>3.375</v>
      </c>
      <c r="AQ99">
        <v>3.3820000000000001</v>
      </c>
      <c r="AR99">
        <v>3.375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2:52">
      <c r="B100" s="2">
        <v>45383</v>
      </c>
      <c r="C100">
        <v>3.43</v>
      </c>
      <c r="D100">
        <v>3.4529999999999998</v>
      </c>
      <c r="E100">
        <v>3.403</v>
      </c>
      <c r="F100">
        <v>3.3860000000000001</v>
      </c>
      <c r="G100">
        <v>3.36</v>
      </c>
      <c r="H100">
        <v>3.3460000000000001</v>
      </c>
      <c r="I100">
        <v>3.3119999999999998</v>
      </c>
      <c r="J100">
        <v>3.2919999999999998</v>
      </c>
      <c r="K100">
        <v>3.3370000000000002</v>
      </c>
      <c r="L100">
        <v>3.32</v>
      </c>
      <c r="M100">
        <v>3.3980000000000001</v>
      </c>
      <c r="N100">
        <v>3.3759999999999999</v>
      </c>
      <c r="O100">
        <v>3.3959999999999999</v>
      </c>
      <c r="P100">
        <v>3.35</v>
      </c>
      <c r="Q100">
        <v>3.282</v>
      </c>
      <c r="R100">
        <v>3.27</v>
      </c>
      <c r="S100" s="2">
        <v>45383</v>
      </c>
      <c r="T100">
        <v>3.5739999999999998</v>
      </c>
      <c r="U100">
        <v>3.5790000000000002</v>
      </c>
      <c r="V100">
        <v>3.5720000000000001</v>
      </c>
      <c r="W100">
        <v>3.5390000000000001</v>
      </c>
      <c r="X100">
        <v>3.4889999999999999</v>
      </c>
      <c r="Y100">
        <v>3.4910000000000001</v>
      </c>
      <c r="Z100">
        <v>3.4910000000000001</v>
      </c>
      <c r="AA100">
        <v>3.49</v>
      </c>
      <c r="AB100">
        <v>3.4780000000000002</v>
      </c>
      <c r="AC100">
        <v>3.4950000000000001</v>
      </c>
      <c r="AD100">
        <v>3.5209999999999999</v>
      </c>
      <c r="AE100">
        <v>3.5720000000000001</v>
      </c>
      <c r="AF100">
        <v>3.6539999999999999</v>
      </c>
      <c r="AG100">
        <v>3.625</v>
      </c>
      <c r="AH100">
        <v>3.6440000000000001</v>
      </c>
      <c r="AI100">
        <v>0</v>
      </c>
      <c r="AJ100" s="2">
        <v>45383</v>
      </c>
      <c r="AK100">
        <v>3.4609999999999999</v>
      </c>
      <c r="AL100">
        <v>3.42</v>
      </c>
      <c r="AM100">
        <v>3.35</v>
      </c>
      <c r="AN100">
        <v>3.323</v>
      </c>
      <c r="AO100">
        <v>3.35</v>
      </c>
      <c r="AP100">
        <v>3.3439999999999999</v>
      </c>
      <c r="AQ100">
        <v>3.3490000000000002</v>
      </c>
      <c r="AR100">
        <v>3.3439999999999999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2:52">
      <c r="B101" s="2">
        <v>45380</v>
      </c>
      <c r="C101">
        <v>3.4350000000000001</v>
      </c>
      <c r="D101">
        <v>3.4630000000000001</v>
      </c>
      <c r="E101">
        <v>3.41</v>
      </c>
      <c r="F101">
        <v>3.3959999999999999</v>
      </c>
      <c r="G101">
        <v>3.38</v>
      </c>
      <c r="H101">
        <v>3.36</v>
      </c>
      <c r="I101">
        <v>3.34</v>
      </c>
      <c r="J101">
        <v>3.319</v>
      </c>
      <c r="K101">
        <v>3.363</v>
      </c>
      <c r="L101">
        <v>3.3450000000000002</v>
      </c>
      <c r="M101">
        <v>3.423</v>
      </c>
      <c r="N101">
        <v>3.4020000000000001</v>
      </c>
      <c r="O101">
        <v>3.423</v>
      </c>
      <c r="P101">
        <v>3.3780000000000001</v>
      </c>
      <c r="Q101">
        <v>3.31</v>
      </c>
      <c r="R101">
        <v>3.2970000000000002</v>
      </c>
      <c r="S101" s="2">
        <v>45380</v>
      </c>
      <c r="T101">
        <v>3.577</v>
      </c>
      <c r="U101">
        <v>3.5819999999999999</v>
      </c>
      <c r="V101">
        <v>3.581</v>
      </c>
      <c r="W101">
        <v>3.552</v>
      </c>
      <c r="X101">
        <v>3.5110000000000001</v>
      </c>
      <c r="Y101">
        <v>3.5129999999999999</v>
      </c>
      <c r="Z101">
        <v>3.524</v>
      </c>
      <c r="AA101">
        <v>3.5179999999999998</v>
      </c>
      <c r="AB101">
        <v>3.5030000000000001</v>
      </c>
      <c r="AC101">
        <v>3.52</v>
      </c>
      <c r="AD101">
        <v>3.5459999999999998</v>
      </c>
      <c r="AE101">
        <v>3.5979999999999999</v>
      </c>
      <c r="AF101">
        <v>3.681</v>
      </c>
      <c r="AG101">
        <v>3.6520000000000001</v>
      </c>
      <c r="AH101">
        <v>3.6720000000000002</v>
      </c>
      <c r="AI101">
        <v>0</v>
      </c>
      <c r="AJ101" s="2">
        <v>45380</v>
      </c>
      <c r="AK101">
        <v>3.4649999999999999</v>
      </c>
      <c r="AL101">
        <v>3.427</v>
      </c>
      <c r="AM101">
        <v>3.355</v>
      </c>
      <c r="AN101">
        <v>3.3380000000000001</v>
      </c>
      <c r="AO101">
        <v>3.3679999999999999</v>
      </c>
      <c r="AP101">
        <v>3.363</v>
      </c>
      <c r="AQ101">
        <v>3.3730000000000002</v>
      </c>
      <c r="AR101">
        <v>3.37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2:52">
      <c r="B102" s="2">
        <v>45379</v>
      </c>
      <c r="C102">
        <v>3.4249999999999998</v>
      </c>
      <c r="D102">
        <v>3.4550000000000001</v>
      </c>
      <c r="E102">
        <v>3.4009999999999998</v>
      </c>
      <c r="F102">
        <v>3.3780000000000001</v>
      </c>
      <c r="G102">
        <v>3.37</v>
      </c>
      <c r="H102">
        <v>3.34</v>
      </c>
      <c r="I102">
        <v>3.32</v>
      </c>
      <c r="J102">
        <v>3.3</v>
      </c>
      <c r="K102">
        <v>3.343</v>
      </c>
      <c r="L102">
        <v>3.3250000000000002</v>
      </c>
      <c r="M102">
        <v>3.403</v>
      </c>
      <c r="N102">
        <v>3.38</v>
      </c>
      <c r="O102">
        <v>3.41</v>
      </c>
      <c r="P102">
        <v>3.37</v>
      </c>
      <c r="Q102">
        <v>3.28</v>
      </c>
      <c r="R102">
        <v>3.2669999999999999</v>
      </c>
      <c r="S102" s="2">
        <v>45379</v>
      </c>
      <c r="T102">
        <v>3.581</v>
      </c>
      <c r="U102">
        <v>3.589</v>
      </c>
      <c r="V102">
        <v>3.5910000000000002</v>
      </c>
      <c r="W102">
        <v>3.5590000000000002</v>
      </c>
      <c r="X102">
        <v>3.5110000000000001</v>
      </c>
      <c r="Y102">
        <v>3.508</v>
      </c>
      <c r="Z102">
        <v>3.512</v>
      </c>
      <c r="AA102">
        <v>3.504</v>
      </c>
      <c r="AB102">
        <v>3.4849999999999999</v>
      </c>
      <c r="AC102">
        <v>3.5070000000000001</v>
      </c>
      <c r="AD102">
        <v>3.5310000000000001</v>
      </c>
      <c r="AE102">
        <v>3.5830000000000002</v>
      </c>
      <c r="AF102">
        <v>3.6709999999999998</v>
      </c>
      <c r="AG102">
        <v>3.6440000000000001</v>
      </c>
      <c r="AH102">
        <v>3.6419999999999999</v>
      </c>
      <c r="AI102">
        <v>0</v>
      </c>
      <c r="AJ102" s="2">
        <v>45379</v>
      </c>
      <c r="AK102">
        <v>3.4630000000000001</v>
      </c>
      <c r="AL102">
        <v>3.4249999999999998</v>
      </c>
      <c r="AM102">
        <v>3.3530000000000002</v>
      </c>
      <c r="AN102">
        <v>3.3380000000000001</v>
      </c>
      <c r="AO102">
        <v>3.3650000000000002</v>
      </c>
      <c r="AP102">
        <v>3.3540000000000001</v>
      </c>
      <c r="AQ102">
        <v>3.359</v>
      </c>
      <c r="AR102">
        <v>3.3519999999999999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2:52">
      <c r="B103" s="2">
        <v>45378</v>
      </c>
      <c r="C103">
        <v>3.4249999999999998</v>
      </c>
      <c r="D103">
        <v>3.456</v>
      </c>
      <c r="E103">
        <v>3.3959999999999999</v>
      </c>
      <c r="F103">
        <v>3.3660000000000001</v>
      </c>
      <c r="G103">
        <v>3.36</v>
      </c>
      <c r="H103">
        <v>3.323</v>
      </c>
      <c r="I103">
        <v>3.3149999999999999</v>
      </c>
      <c r="J103">
        <v>3.286</v>
      </c>
      <c r="K103">
        <v>3.3370000000000002</v>
      </c>
      <c r="L103">
        <v>3.3140000000000001</v>
      </c>
      <c r="M103">
        <v>3.395</v>
      </c>
      <c r="N103">
        <v>3.375</v>
      </c>
      <c r="O103">
        <v>3.4049999999999998</v>
      </c>
      <c r="P103">
        <v>3.3650000000000002</v>
      </c>
      <c r="Q103">
        <v>3.262</v>
      </c>
      <c r="R103">
        <v>3.25</v>
      </c>
      <c r="S103" s="2">
        <v>45378</v>
      </c>
      <c r="T103">
        <v>3.581</v>
      </c>
      <c r="U103">
        <v>3.59</v>
      </c>
      <c r="V103">
        <v>3.5920000000000001</v>
      </c>
      <c r="W103">
        <v>3.569</v>
      </c>
      <c r="X103">
        <v>3.516</v>
      </c>
      <c r="Y103">
        <v>3.5110000000000001</v>
      </c>
      <c r="Z103">
        <v>3.5139999999999998</v>
      </c>
      <c r="AA103">
        <v>3.4980000000000002</v>
      </c>
      <c r="AB103">
        <v>3.4860000000000002</v>
      </c>
      <c r="AC103">
        <v>3.5030000000000001</v>
      </c>
      <c r="AD103">
        <v>3.5310000000000001</v>
      </c>
      <c r="AE103">
        <v>3.5830000000000002</v>
      </c>
      <c r="AF103">
        <v>3.6709999999999998</v>
      </c>
      <c r="AG103">
        <v>3.6419999999999999</v>
      </c>
      <c r="AH103">
        <v>3.6320000000000001</v>
      </c>
      <c r="AI103">
        <v>0</v>
      </c>
      <c r="AJ103" s="2">
        <v>45378</v>
      </c>
      <c r="AK103">
        <v>3.4609999999999999</v>
      </c>
      <c r="AL103">
        <v>3.42</v>
      </c>
      <c r="AM103">
        <v>3.35</v>
      </c>
      <c r="AN103">
        <v>3.3479999999999999</v>
      </c>
      <c r="AO103">
        <v>3.3679999999999999</v>
      </c>
      <c r="AP103">
        <v>3.3519999999999999</v>
      </c>
      <c r="AQ103">
        <v>3.3530000000000002</v>
      </c>
      <c r="AR103">
        <v>3.3450000000000002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2:52">
      <c r="B104" s="2">
        <v>45377</v>
      </c>
      <c r="C104">
        <v>3.42</v>
      </c>
      <c r="D104">
        <v>3.45</v>
      </c>
      <c r="E104">
        <v>3.39</v>
      </c>
      <c r="F104">
        <v>3.35</v>
      </c>
      <c r="G104">
        <v>3.3570000000000002</v>
      </c>
      <c r="H104">
        <v>3.3250000000000002</v>
      </c>
      <c r="I104">
        <v>3.3250000000000002</v>
      </c>
      <c r="J104">
        <v>3.302</v>
      </c>
      <c r="K104">
        <v>3.363</v>
      </c>
      <c r="L104">
        <v>3.3450000000000002</v>
      </c>
      <c r="M104">
        <v>3.43</v>
      </c>
      <c r="N104">
        <v>3.4119999999999999</v>
      </c>
      <c r="O104">
        <v>3.44</v>
      </c>
      <c r="P104">
        <v>3.3980000000000001</v>
      </c>
      <c r="Q104">
        <v>3.302</v>
      </c>
      <c r="R104">
        <v>3.29</v>
      </c>
      <c r="S104" s="2">
        <v>45377</v>
      </c>
      <c r="T104">
        <v>3.577</v>
      </c>
      <c r="U104">
        <v>3.5790000000000002</v>
      </c>
      <c r="V104">
        <v>3.5870000000000002</v>
      </c>
      <c r="W104">
        <v>3.5670000000000002</v>
      </c>
      <c r="X104">
        <v>3.536</v>
      </c>
      <c r="Y104">
        <v>3.528</v>
      </c>
      <c r="Z104">
        <v>3.5270000000000001</v>
      </c>
      <c r="AA104">
        <v>3.5209999999999999</v>
      </c>
      <c r="AB104">
        <v>3.5139999999999998</v>
      </c>
      <c r="AC104">
        <v>3.5390000000000001</v>
      </c>
      <c r="AD104">
        <v>3.5750000000000002</v>
      </c>
      <c r="AE104">
        <v>3.6240000000000001</v>
      </c>
      <c r="AF104">
        <v>3.7080000000000002</v>
      </c>
      <c r="AG104">
        <v>3.6749999999999998</v>
      </c>
      <c r="AH104">
        <v>3.6720000000000002</v>
      </c>
      <c r="AI104">
        <v>0</v>
      </c>
      <c r="AJ104" s="2">
        <v>45377</v>
      </c>
      <c r="AK104">
        <v>3.4580000000000002</v>
      </c>
      <c r="AL104">
        <v>3.407</v>
      </c>
      <c r="AM104">
        <v>3.3410000000000002</v>
      </c>
      <c r="AN104">
        <v>3.343</v>
      </c>
      <c r="AO104">
        <v>3.3839999999999999</v>
      </c>
      <c r="AP104">
        <v>3.3650000000000002</v>
      </c>
      <c r="AQ104">
        <v>3.367</v>
      </c>
      <c r="AR104">
        <v>3.36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2:52">
      <c r="B105" s="2">
        <v>45376</v>
      </c>
      <c r="C105">
        <v>3.415</v>
      </c>
      <c r="D105">
        <v>3.4460000000000002</v>
      </c>
      <c r="E105">
        <v>3.3759999999999999</v>
      </c>
      <c r="F105">
        <v>3.34</v>
      </c>
      <c r="G105">
        <v>3.3519999999999999</v>
      </c>
      <c r="H105">
        <v>3.3130000000000002</v>
      </c>
      <c r="I105">
        <v>3.319</v>
      </c>
      <c r="J105">
        <v>3.2909999999999999</v>
      </c>
      <c r="K105">
        <v>3.35</v>
      </c>
      <c r="L105">
        <v>3.327</v>
      </c>
      <c r="M105">
        <v>3.4119999999999999</v>
      </c>
      <c r="N105">
        <v>3.38</v>
      </c>
      <c r="O105">
        <v>3.4089999999999998</v>
      </c>
      <c r="P105">
        <v>3.37</v>
      </c>
      <c r="Q105">
        <v>3.2770000000000001</v>
      </c>
      <c r="R105">
        <v>3.2650000000000001</v>
      </c>
      <c r="S105" s="2">
        <v>45376</v>
      </c>
      <c r="T105">
        <v>3.5739999999999998</v>
      </c>
      <c r="U105">
        <v>3.577</v>
      </c>
      <c r="V105">
        <v>3.5790000000000002</v>
      </c>
      <c r="W105">
        <v>3.569</v>
      </c>
      <c r="X105">
        <v>3.5369999999999999</v>
      </c>
      <c r="Y105">
        <v>3.5209999999999999</v>
      </c>
      <c r="Z105">
        <v>3.5249999999999999</v>
      </c>
      <c r="AA105">
        <v>3.512</v>
      </c>
      <c r="AB105">
        <v>3.5070000000000001</v>
      </c>
      <c r="AC105">
        <v>3.528</v>
      </c>
      <c r="AD105">
        <v>3.5630000000000002</v>
      </c>
      <c r="AE105">
        <v>3.5990000000000002</v>
      </c>
      <c r="AF105">
        <v>3.6819999999999999</v>
      </c>
      <c r="AG105">
        <v>3.6509999999999998</v>
      </c>
      <c r="AH105">
        <v>3.6480000000000001</v>
      </c>
      <c r="AI105">
        <v>0</v>
      </c>
      <c r="AJ105" s="2">
        <v>45376</v>
      </c>
      <c r="AK105">
        <v>3.4510000000000001</v>
      </c>
      <c r="AL105">
        <v>3.4039999999999999</v>
      </c>
      <c r="AM105">
        <v>3.3279999999999998</v>
      </c>
      <c r="AN105">
        <v>3.3359999999999999</v>
      </c>
      <c r="AO105">
        <v>3.3820000000000001</v>
      </c>
      <c r="AP105">
        <v>3.3540000000000001</v>
      </c>
      <c r="AQ105">
        <v>3.3570000000000002</v>
      </c>
      <c r="AR105">
        <v>3.35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2:52">
      <c r="B106" s="2">
        <v>45373</v>
      </c>
      <c r="C106">
        <v>3.415</v>
      </c>
      <c r="D106">
        <v>3.4460000000000002</v>
      </c>
      <c r="E106">
        <v>3.3660000000000001</v>
      </c>
      <c r="F106">
        <v>3.34</v>
      </c>
      <c r="G106">
        <v>3.35</v>
      </c>
      <c r="H106">
        <v>3.339</v>
      </c>
      <c r="I106">
        <v>3.3149999999999999</v>
      </c>
      <c r="J106">
        <v>3.2869999999999999</v>
      </c>
      <c r="K106">
        <v>3.3450000000000002</v>
      </c>
      <c r="L106">
        <v>3.323</v>
      </c>
      <c r="M106">
        <v>3.4079999999999999</v>
      </c>
      <c r="N106">
        <v>3.3639999999999999</v>
      </c>
      <c r="O106">
        <v>3.3929999999999998</v>
      </c>
      <c r="P106">
        <v>3.3490000000000002</v>
      </c>
      <c r="Q106">
        <v>3.2650000000000001</v>
      </c>
      <c r="R106">
        <v>3.2530000000000001</v>
      </c>
      <c r="S106" s="2">
        <v>45373</v>
      </c>
      <c r="T106">
        <v>3.5760000000000001</v>
      </c>
      <c r="U106">
        <v>3.5790000000000002</v>
      </c>
      <c r="V106">
        <v>3.5790000000000002</v>
      </c>
      <c r="W106">
        <v>3.5670000000000002</v>
      </c>
      <c r="X106">
        <v>3.5369999999999999</v>
      </c>
      <c r="Y106">
        <v>3.5169999999999999</v>
      </c>
      <c r="Z106">
        <v>3.5209999999999999</v>
      </c>
      <c r="AA106">
        <v>3.51</v>
      </c>
      <c r="AB106">
        <v>3.504</v>
      </c>
      <c r="AC106">
        <v>3.53</v>
      </c>
      <c r="AD106">
        <v>3.5569999999999999</v>
      </c>
      <c r="AE106">
        <v>3.5870000000000002</v>
      </c>
      <c r="AF106">
        <v>3.6779999999999999</v>
      </c>
      <c r="AG106">
        <v>3.649</v>
      </c>
      <c r="AH106">
        <v>3.6459999999999999</v>
      </c>
      <c r="AI106">
        <v>0</v>
      </c>
      <c r="AJ106" s="2">
        <v>45373</v>
      </c>
      <c r="AK106">
        <v>3.4510000000000001</v>
      </c>
      <c r="AL106">
        <v>3.4039999999999999</v>
      </c>
      <c r="AM106">
        <v>3.3279999999999998</v>
      </c>
      <c r="AN106">
        <v>3.3330000000000002</v>
      </c>
      <c r="AO106">
        <v>3.38</v>
      </c>
      <c r="AP106">
        <v>3.35</v>
      </c>
      <c r="AQ106">
        <v>3.355</v>
      </c>
      <c r="AR106">
        <v>3.347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2:52">
      <c r="B107" s="2">
        <v>45372</v>
      </c>
      <c r="C107">
        <v>3.4129999999999998</v>
      </c>
      <c r="D107">
        <v>3.4449999999999998</v>
      </c>
      <c r="E107">
        <v>3.3650000000000002</v>
      </c>
      <c r="F107">
        <v>3.3359999999999999</v>
      </c>
      <c r="G107">
        <v>3.3530000000000002</v>
      </c>
      <c r="H107">
        <v>3.3580000000000001</v>
      </c>
      <c r="I107">
        <v>3.335</v>
      </c>
      <c r="J107">
        <v>3.3050000000000002</v>
      </c>
      <c r="K107">
        <v>3.3679999999999999</v>
      </c>
      <c r="L107">
        <v>3.3450000000000002</v>
      </c>
      <c r="M107">
        <v>3.448</v>
      </c>
      <c r="N107">
        <v>3.4079999999999999</v>
      </c>
      <c r="O107">
        <v>3.4279999999999999</v>
      </c>
      <c r="P107">
        <v>3.3740000000000001</v>
      </c>
      <c r="Q107">
        <v>3.2869999999999999</v>
      </c>
      <c r="R107">
        <v>3.2749999999999999</v>
      </c>
      <c r="S107" s="2">
        <v>45372</v>
      </c>
      <c r="T107">
        <v>3.5720000000000001</v>
      </c>
      <c r="U107">
        <v>3.5739999999999998</v>
      </c>
      <c r="V107">
        <v>3.5720000000000001</v>
      </c>
      <c r="W107">
        <v>3.5670000000000002</v>
      </c>
      <c r="X107">
        <v>3.5569999999999999</v>
      </c>
      <c r="Y107">
        <v>3.54</v>
      </c>
      <c r="Z107">
        <v>3.55</v>
      </c>
      <c r="AA107">
        <v>3.54</v>
      </c>
      <c r="AB107">
        <v>3.54</v>
      </c>
      <c r="AC107">
        <v>3.5579999999999998</v>
      </c>
      <c r="AD107">
        <v>3.6040000000000001</v>
      </c>
      <c r="AE107">
        <v>3.6379999999999999</v>
      </c>
      <c r="AF107">
        <v>3.7149999999999999</v>
      </c>
      <c r="AG107">
        <v>3.6739999999999999</v>
      </c>
      <c r="AH107">
        <v>3.6669999999999998</v>
      </c>
      <c r="AI107">
        <v>0</v>
      </c>
      <c r="AJ107" s="2">
        <v>45372</v>
      </c>
      <c r="AK107">
        <v>3.45</v>
      </c>
      <c r="AL107">
        <v>3.4020000000000001</v>
      </c>
      <c r="AM107">
        <v>3.323</v>
      </c>
      <c r="AN107">
        <v>3.3330000000000002</v>
      </c>
      <c r="AO107">
        <v>3.39</v>
      </c>
      <c r="AP107">
        <v>3.36</v>
      </c>
      <c r="AQ107">
        <v>3.3730000000000002</v>
      </c>
      <c r="AR107">
        <v>3.3650000000000002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2:52">
      <c r="B108" s="2">
        <v>45371</v>
      </c>
      <c r="C108">
        <v>3.44</v>
      </c>
      <c r="D108">
        <v>3.4510000000000001</v>
      </c>
      <c r="E108">
        <v>3.3759999999999999</v>
      </c>
      <c r="F108">
        <v>3.3450000000000002</v>
      </c>
      <c r="G108">
        <v>3.4060000000000001</v>
      </c>
      <c r="H108">
        <v>3.4289999999999998</v>
      </c>
      <c r="I108">
        <v>3.399</v>
      </c>
      <c r="J108">
        <v>3.3650000000000002</v>
      </c>
      <c r="K108">
        <v>3.423</v>
      </c>
      <c r="L108">
        <v>3.39</v>
      </c>
      <c r="M108">
        <v>3.496</v>
      </c>
      <c r="N108">
        <v>3.44</v>
      </c>
      <c r="O108">
        <v>3.456</v>
      </c>
      <c r="P108">
        <v>3.4</v>
      </c>
      <c r="Q108">
        <v>3.3149999999999999</v>
      </c>
      <c r="R108">
        <v>3.3029999999999999</v>
      </c>
      <c r="S108" s="2">
        <v>45371</v>
      </c>
      <c r="T108">
        <v>3.5739999999999998</v>
      </c>
      <c r="U108">
        <v>3.577</v>
      </c>
      <c r="V108">
        <v>3.5790000000000002</v>
      </c>
      <c r="W108">
        <v>3.581</v>
      </c>
      <c r="X108">
        <v>3.589</v>
      </c>
      <c r="Y108">
        <v>3.597</v>
      </c>
      <c r="Z108">
        <v>3.6179999999999999</v>
      </c>
      <c r="AA108">
        <v>3.6030000000000002</v>
      </c>
      <c r="AB108">
        <v>3.5979999999999999</v>
      </c>
      <c r="AC108">
        <v>3.61</v>
      </c>
      <c r="AD108">
        <v>3.6539999999999999</v>
      </c>
      <c r="AE108">
        <v>3.6709999999999998</v>
      </c>
      <c r="AF108">
        <v>3.7429999999999999</v>
      </c>
      <c r="AG108">
        <v>3.7</v>
      </c>
      <c r="AH108">
        <v>3.6949999999999998</v>
      </c>
      <c r="AI108">
        <v>0</v>
      </c>
      <c r="AJ108" s="2">
        <v>45371</v>
      </c>
      <c r="AK108">
        <v>3.4529999999999998</v>
      </c>
      <c r="AL108">
        <v>3.4089999999999998</v>
      </c>
      <c r="AM108">
        <v>3.33</v>
      </c>
      <c r="AN108">
        <v>3.3479999999999999</v>
      </c>
      <c r="AO108">
        <v>3.4239999999999999</v>
      </c>
      <c r="AP108">
        <v>3.4119999999999999</v>
      </c>
      <c r="AQ108">
        <v>3.43</v>
      </c>
      <c r="AR108">
        <v>3.4260000000000002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2:52">
      <c r="B109" s="2">
        <v>45370</v>
      </c>
      <c r="C109">
        <v>3.4460000000000002</v>
      </c>
      <c r="D109">
        <v>3.4609999999999999</v>
      </c>
      <c r="E109">
        <v>3.37</v>
      </c>
      <c r="F109">
        <v>3.3450000000000002</v>
      </c>
      <c r="G109">
        <v>3.4340000000000002</v>
      </c>
      <c r="H109">
        <v>3.4420000000000002</v>
      </c>
      <c r="I109">
        <v>3.423</v>
      </c>
      <c r="J109">
        <v>3.39</v>
      </c>
      <c r="K109">
        <v>3.452</v>
      </c>
      <c r="L109">
        <v>3.4220000000000002</v>
      </c>
      <c r="M109">
        <v>3.5289999999999999</v>
      </c>
      <c r="N109">
        <v>3.4750000000000001</v>
      </c>
      <c r="O109">
        <v>3.4870000000000001</v>
      </c>
      <c r="P109">
        <v>3.4249999999999998</v>
      </c>
      <c r="Q109">
        <v>3.3450000000000002</v>
      </c>
      <c r="R109">
        <v>3.3340000000000001</v>
      </c>
      <c r="S109" s="2">
        <v>45370</v>
      </c>
      <c r="T109">
        <v>3.5760000000000001</v>
      </c>
      <c r="U109">
        <v>3.581</v>
      </c>
      <c r="V109">
        <v>3.5859999999999999</v>
      </c>
      <c r="W109">
        <v>3.5880000000000001</v>
      </c>
      <c r="X109">
        <v>3.6120000000000001</v>
      </c>
      <c r="Y109">
        <v>3.6360000000000001</v>
      </c>
      <c r="Z109">
        <v>3.645</v>
      </c>
      <c r="AA109">
        <v>3.63</v>
      </c>
      <c r="AB109">
        <v>3.633</v>
      </c>
      <c r="AC109">
        <v>3.6429999999999998</v>
      </c>
      <c r="AD109">
        <v>3.6880000000000002</v>
      </c>
      <c r="AE109">
        <v>3.7069999999999999</v>
      </c>
      <c r="AF109">
        <v>3.774</v>
      </c>
      <c r="AG109">
        <v>3.7250000000000001</v>
      </c>
      <c r="AH109">
        <v>3.726</v>
      </c>
      <c r="AI109">
        <v>0</v>
      </c>
      <c r="AJ109" s="2">
        <v>45370</v>
      </c>
      <c r="AK109">
        <v>3.4550000000000001</v>
      </c>
      <c r="AL109">
        <v>3.4119999999999999</v>
      </c>
      <c r="AM109">
        <v>3.3359999999999999</v>
      </c>
      <c r="AN109">
        <v>3.355</v>
      </c>
      <c r="AO109">
        <v>3.4470000000000001</v>
      </c>
      <c r="AP109">
        <v>3.4489999999999998</v>
      </c>
      <c r="AQ109">
        <v>3.4729999999999999</v>
      </c>
      <c r="AR109">
        <v>3.46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2:52">
      <c r="B110" s="2">
        <v>45369</v>
      </c>
      <c r="C110">
        <v>3.4460000000000002</v>
      </c>
      <c r="D110">
        <v>3.4609999999999999</v>
      </c>
      <c r="E110">
        <v>3.37</v>
      </c>
      <c r="F110">
        <v>3.3450000000000002</v>
      </c>
      <c r="G110">
        <v>3.4159999999999999</v>
      </c>
      <c r="H110">
        <v>3.415</v>
      </c>
      <c r="I110">
        <v>3.387</v>
      </c>
      <c r="J110">
        <v>3.35</v>
      </c>
      <c r="K110">
        <v>3.4140000000000001</v>
      </c>
      <c r="L110">
        <v>3.3849999999999998</v>
      </c>
      <c r="M110">
        <v>3.4889999999999999</v>
      </c>
      <c r="N110">
        <v>3.4319999999999999</v>
      </c>
      <c r="O110">
        <v>3.4590000000000001</v>
      </c>
      <c r="P110">
        <v>3.419</v>
      </c>
      <c r="Q110">
        <v>3.3250000000000002</v>
      </c>
      <c r="R110">
        <v>3.3149999999999999</v>
      </c>
      <c r="S110" s="2">
        <v>45369</v>
      </c>
      <c r="T110">
        <v>3.5779999999999998</v>
      </c>
      <c r="U110">
        <v>3.585</v>
      </c>
      <c r="V110">
        <v>3.5859999999999999</v>
      </c>
      <c r="W110">
        <v>3.5910000000000002</v>
      </c>
      <c r="X110">
        <v>3.6</v>
      </c>
      <c r="Y110">
        <v>3.6139999999999999</v>
      </c>
      <c r="Z110">
        <v>3.617</v>
      </c>
      <c r="AA110">
        <v>3.601</v>
      </c>
      <c r="AB110">
        <v>3.6040000000000001</v>
      </c>
      <c r="AC110">
        <v>3.6150000000000002</v>
      </c>
      <c r="AD110">
        <v>3.6579999999999999</v>
      </c>
      <c r="AE110">
        <v>3.673</v>
      </c>
      <c r="AF110">
        <v>3.7469999999999999</v>
      </c>
      <c r="AG110">
        <v>3.72</v>
      </c>
      <c r="AH110">
        <v>3.706</v>
      </c>
      <c r="AI110">
        <v>0</v>
      </c>
      <c r="AJ110" s="2">
        <v>45369</v>
      </c>
      <c r="AK110">
        <v>3.4550000000000001</v>
      </c>
      <c r="AL110">
        <v>3.4140000000000001</v>
      </c>
      <c r="AM110">
        <v>3.335</v>
      </c>
      <c r="AN110">
        <v>3.351</v>
      </c>
      <c r="AO110">
        <v>3.43</v>
      </c>
      <c r="AP110">
        <v>3.4180000000000001</v>
      </c>
      <c r="AQ110">
        <v>3.4409999999999998</v>
      </c>
      <c r="AR110">
        <v>3.4220000000000002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2:52">
      <c r="B111" s="2">
        <v>45366</v>
      </c>
      <c r="C111">
        <v>3.4460000000000002</v>
      </c>
      <c r="D111">
        <v>3.4649999999999999</v>
      </c>
      <c r="E111">
        <v>3.36</v>
      </c>
      <c r="F111">
        <v>3.3380000000000001</v>
      </c>
      <c r="G111">
        <v>3.3980000000000001</v>
      </c>
      <c r="H111">
        <v>3.3730000000000002</v>
      </c>
      <c r="I111">
        <v>3.3519999999999999</v>
      </c>
      <c r="J111">
        <v>3.3050000000000002</v>
      </c>
      <c r="K111">
        <v>3.3690000000000002</v>
      </c>
      <c r="L111">
        <v>3.34</v>
      </c>
      <c r="M111">
        <v>3.4540000000000002</v>
      </c>
      <c r="N111">
        <v>3.41</v>
      </c>
      <c r="O111">
        <v>3.43</v>
      </c>
      <c r="P111">
        <v>3.3849999999999998</v>
      </c>
      <c r="Q111">
        <v>3.31</v>
      </c>
      <c r="R111">
        <v>3.3</v>
      </c>
      <c r="S111" s="2">
        <v>45366</v>
      </c>
      <c r="T111">
        <v>3.5819999999999999</v>
      </c>
      <c r="U111">
        <v>3.593</v>
      </c>
      <c r="V111">
        <v>3.5990000000000002</v>
      </c>
      <c r="W111">
        <v>3.5910000000000002</v>
      </c>
      <c r="X111">
        <v>3.5790000000000002</v>
      </c>
      <c r="Y111">
        <v>3.5830000000000002</v>
      </c>
      <c r="Z111">
        <v>3.5870000000000002</v>
      </c>
      <c r="AA111">
        <v>3.5569999999999999</v>
      </c>
      <c r="AB111">
        <v>3.5609999999999999</v>
      </c>
      <c r="AC111">
        <v>3.5760000000000001</v>
      </c>
      <c r="AD111">
        <v>3.6259999999999999</v>
      </c>
      <c r="AE111">
        <v>3.6549999999999998</v>
      </c>
      <c r="AF111">
        <v>3.7189999999999999</v>
      </c>
      <c r="AG111">
        <v>3.6869999999999998</v>
      </c>
      <c r="AH111">
        <v>3.6930000000000001</v>
      </c>
      <c r="AI111">
        <v>0</v>
      </c>
      <c r="AJ111" s="2">
        <v>45366</v>
      </c>
      <c r="AK111">
        <v>3.46</v>
      </c>
      <c r="AL111">
        <v>3.4220000000000002</v>
      </c>
      <c r="AM111">
        <v>3.3530000000000002</v>
      </c>
      <c r="AN111">
        <v>3.35</v>
      </c>
      <c r="AO111">
        <v>3.4020000000000001</v>
      </c>
      <c r="AP111">
        <v>3.3849999999999998</v>
      </c>
      <c r="AQ111">
        <v>3.41</v>
      </c>
      <c r="AR111">
        <v>3.39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2:52">
      <c r="B112" s="2">
        <v>45365</v>
      </c>
      <c r="C112">
        <v>3.4460000000000002</v>
      </c>
      <c r="D112">
        <v>3.4649999999999999</v>
      </c>
      <c r="E112">
        <v>3.3650000000000002</v>
      </c>
      <c r="F112">
        <v>3.335</v>
      </c>
      <c r="G112">
        <v>3.3809999999999998</v>
      </c>
      <c r="H112">
        <v>3.35</v>
      </c>
      <c r="I112">
        <v>3.3119999999999998</v>
      </c>
      <c r="J112">
        <v>3.2669999999999999</v>
      </c>
      <c r="K112">
        <v>3.331</v>
      </c>
      <c r="L112">
        <v>3.2959999999999998</v>
      </c>
      <c r="M112">
        <v>3.4039999999999999</v>
      </c>
      <c r="N112">
        <v>3.355</v>
      </c>
      <c r="O112">
        <v>3.38</v>
      </c>
      <c r="P112">
        <v>3.34</v>
      </c>
      <c r="Q112">
        <v>3.266</v>
      </c>
      <c r="R112">
        <v>3.24</v>
      </c>
      <c r="S112" s="2">
        <v>45365</v>
      </c>
      <c r="T112">
        <v>3.5939999999999999</v>
      </c>
      <c r="U112">
        <v>3.605</v>
      </c>
      <c r="V112">
        <v>3.6139999999999999</v>
      </c>
      <c r="W112">
        <v>3.5990000000000002</v>
      </c>
      <c r="X112">
        <v>3.5590000000000002</v>
      </c>
      <c r="Y112">
        <v>3.5579999999999998</v>
      </c>
      <c r="Z112">
        <v>3.5539999999999998</v>
      </c>
      <c r="AA112">
        <v>3.524</v>
      </c>
      <c r="AB112">
        <v>3.528</v>
      </c>
      <c r="AC112">
        <v>3.5390000000000001</v>
      </c>
      <c r="AD112">
        <v>3.5880000000000001</v>
      </c>
      <c r="AE112">
        <v>3.6110000000000002</v>
      </c>
      <c r="AF112">
        <v>3.6779999999999999</v>
      </c>
      <c r="AG112">
        <v>3.6509999999999998</v>
      </c>
      <c r="AH112">
        <v>3.649</v>
      </c>
      <c r="AI112">
        <v>0</v>
      </c>
      <c r="AJ112" s="2">
        <v>45365</v>
      </c>
      <c r="AK112">
        <v>3.4649999999999999</v>
      </c>
      <c r="AL112">
        <v>3.4249999999999998</v>
      </c>
      <c r="AM112">
        <v>3.3610000000000002</v>
      </c>
      <c r="AN112">
        <v>3.355</v>
      </c>
      <c r="AO112">
        <v>3.3820000000000001</v>
      </c>
      <c r="AP112">
        <v>3.3570000000000002</v>
      </c>
      <c r="AQ112">
        <v>3.3740000000000001</v>
      </c>
      <c r="AR112">
        <v>3.355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2:52">
      <c r="B113" s="2">
        <v>45364</v>
      </c>
      <c r="C113">
        <v>3.4449999999999998</v>
      </c>
      <c r="D113">
        <v>3.4630000000000001</v>
      </c>
      <c r="E113">
        <v>3.3679999999999999</v>
      </c>
      <c r="F113">
        <v>3.331</v>
      </c>
      <c r="G113">
        <v>3.367</v>
      </c>
      <c r="H113">
        <v>3.3330000000000002</v>
      </c>
      <c r="I113">
        <v>3.2839999999999998</v>
      </c>
      <c r="J113">
        <v>3.2450000000000001</v>
      </c>
      <c r="K113">
        <v>3.2959999999999998</v>
      </c>
      <c r="L113">
        <v>3.2669999999999999</v>
      </c>
      <c r="M113">
        <v>3.379</v>
      </c>
      <c r="N113">
        <v>3.327</v>
      </c>
      <c r="O113">
        <v>3.351</v>
      </c>
      <c r="P113">
        <v>3.3090000000000002</v>
      </c>
      <c r="Q113">
        <v>3.2309999999999999</v>
      </c>
      <c r="R113">
        <v>3.2040000000000002</v>
      </c>
      <c r="S113" s="2">
        <v>45364</v>
      </c>
      <c r="T113">
        <v>3.601</v>
      </c>
      <c r="U113">
        <v>3.61</v>
      </c>
      <c r="V113">
        <v>3.62</v>
      </c>
      <c r="W113">
        <v>3.6120000000000001</v>
      </c>
      <c r="X113">
        <v>3.552</v>
      </c>
      <c r="Y113">
        <v>3.5379999999999998</v>
      </c>
      <c r="Z113">
        <v>3.5270000000000001</v>
      </c>
      <c r="AA113">
        <v>3.5059999999999998</v>
      </c>
      <c r="AB113">
        <v>3.4980000000000002</v>
      </c>
      <c r="AC113">
        <v>3.5129999999999999</v>
      </c>
      <c r="AD113">
        <v>3.5640000000000001</v>
      </c>
      <c r="AE113">
        <v>3.585</v>
      </c>
      <c r="AF113">
        <v>3.6539999999999999</v>
      </c>
      <c r="AG113">
        <v>3.633</v>
      </c>
      <c r="AH113">
        <v>3.6160000000000001</v>
      </c>
      <c r="AI113">
        <v>0</v>
      </c>
      <c r="AJ113" s="2">
        <v>45364</v>
      </c>
      <c r="AK113">
        <v>3.4689999999999999</v>
      </c>
      <c r="AL113">
        <v>3.4289999999999998</v>
      </c>
      <c r="AM113">
        <v>3.3639999999999999</v>
      </c>
      <c r="AN113">
        <v>3.3650000000000002</v>
      </c>
      <c r="AO113">
        <v>3.375</v>
      </c>
      <c r="AP113">
        <v>3.3370000000000002</v>
      </c>
      <c r="AQ113">
        <v>3.3519999999999999</v>
      </c>
      <c r="AR113">
        <v>3.33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2:52">
      <c r="B114" s="2">
        <v>45363</v>
      </c>
      <c r="C114">
        <v>3.448</v>
      </c>
      <c r="D114">
        <v>3.4660000000000002</v>
      </c>
      <c r="E114">
        <v>3.4009999999999998</v>
      </c>
      <c r="F114">
        <v>3.3450000000000002</v>
      </c>
      <c r="G114">
        <v>3.3780000000000001</v>
      </c>
      <c r="H114">
        <v>3.347</v>
      </c>
      <c r="I114">
        <v>3.2970000000000002</v>
      </c>
      <c r="J114">
        <v>3.27</v>
      </c>
      <c r="K114">
        <v>3.32</v>
      </c>
      <c r="L114">
        <v>3.28</v>
      </c>
      <c r="M114">
        <v>3.3889999999999998</v>
      </c>
      <c r="N114">
        <v>3.3330000000000002</v>
      </c>
      <c r="O114">
        <v>3.3580000000000001</v>
      </c>
      <c r="P114">
        <v>3.3159999999999998</v>
      </c>
      <c r="Q114">
        <v>3.2450000000000001</v>
      </c>
      <c r="R114">
        <v>3.218</v>
      </c>
      <c r="S114" s="2">
        <v>45363</v>
      </c>
      <c r="T114">
        <v>3.605</v>
      </c>
      <c r="U114">
        <v>3.617</v>
      </c>
      <c r="V114">
        <v>3.629</v>
      </c>
      <c r="W114">
        <v>3.621</v>
      </c>
      <c r="X114">
        <v>3.56</v>
      </c>
      <c r="Y114">
        <v>3.55</v>
      </c>
      <c r="Z114">
        <v>3.5409999999999999</v>
      </c>
      <c r="AA114">
        <v>3.53</v>
      </c>
      <c r="AB114">
        <v>3.5219999999999998</v>
      </c>
      <c r="AC114">
        <v>3.528</v>
      </c>
      <c r="AD114">
        <v>3.577</v>
      </c>
      <c r="AE114">
        <v>3.597</v>
      </c>
      <c r="AF114">
        <v>3.665</v>
      </c>
      <c r="AG114">
        <v>3.64</v>
      </c>
      <c r="AH114">
        <v>3.63</v>
      </c>
      <c r="AI114">
        <v>0</v>
      </c>
      <c r="AJ114" s="2">
        <v>45363</v>
      </c>
      <c r="AK114">
        <v>3.47</v>
      </c>
      <c r="AL114">
        <v>3.4329999999999998</v>
      </c>
      <c r="AM114">
        <v>3.371</v>
      </c>
      <c r="AN114">
        <v>3.3719999999999999</v>
      </c>
      <c r="AO114">
        <v>3.3809999999999998</v>
      </c>
      <c r="AP114">
        <v>3.347</v>
      </c>
      <c r="AQ114">
        <v>3.3639999999999999</v>
      </c>
      <c r="AR114">
        <v>3.3439999999999999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2:52">
      <c r="B115" s="2">
        <v>45362</v>
      </c>
      <c r="C115">
        <v>3.448</v>
      </c>
      <c r="D115">
        <v>3.4609999999999999</v>
      </c>
      <c r="E115">
        <v>3.411</v>
      </c>
      <c r="F115">
        <v>3.35</v>
      </c>
      <c r="G115">
        <v>3.375</v>
      </c>
      <c r="H115">
        <v>3.3410000000000002</v>
      </c>
      <c r="I115">
        <v>3.29</v>
      </c>
      <c r="J115">
        <v>3.2749999999999999</v>
      </c>
      <c r="K115">
        <v>3.3260000000000001</v>
      </c>
      <c r="L115">
        <v>3.282</v>
      </c>
      <c r="M115">
        <v>3.4049999999999998</v>
      </c>
      <c r="N115">
        <v>3.347</v>
      </c>
      <c r="O115">
        <v>3.3740000000000001</v>
      </c>
      <c r="P115">
        <v>3.34</v>
      </c>
      <c r="Q115">
        <v>3.27</v>
      </c>
      <c r="R115">
        <v>3.2429999999999999</v>
      </c>
      <c r="S115" s="2">
        <v>45362</v>
      </c>
      <c r="T115">
        <v>3.6110000000000002</v>
      </c>
      <c r="U115">
        <v>3.6230000000000002</v>
      </c>
      <c r="V115">
        <v>3.637</v>
      </c>
      <c r="W115">
        <v>3.6280000000000001</v>
      </c>
      <c r="X115">
        <v>3.5539999999999998</v>
      </c>
      <c r="Y115">
        <v>3.548</v>
      </c>
      <c r="Z115">
        <v>3.5339999999999998</v>
      </c>
      <c r="AA115">
        <v>3.5379999999999998</v>
      </c>
      <c r="AB115">
        <v>3.532</v>
      </c>
      <c r="AC115">
        <v>3.536</v>
      </c>
      <c r="AD115">
        <v>3.6070000000000002</v>
      </c>
      <c r="AE115">
        <v>3.6240000000000001</v>
      </c>
      <c r="AF115">
        <v>3.7</v>
      </c>
      <c r="AG115">
        <v>3.68</v>
      </c>
      <c r="AH115">
        <v>3.673</v>
      </c>
      <c r="AI115">
        <v>0</v>
      </c>
      <c r="AJ115" s="2">
        <v>45362</v>
      </c>
      <c r="AK115">
        <v>3.47</v>
      </c>
      <c r="AL115">
        <v>3.4329999999999998</v>
      </c>
      <c r="AM115">
        <v>3.3780000000000001</v>
      </c>
      <c r="AN115">
        <v>3.3769999999999998</v>
      </c>
      <c r="AO115">
        <v>3.375</v>
      </c>
      <c r="AP115">
        <v>3.3450000000000002</v>
      </c>
      <c r="AQ115">
        <v>3.3639999999999999</v>
      </c>
      <c r="AR115">
        <v>3.3460000000000001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2:52">
      <c r="B116" s="2">
        <v>45359</v>
      </c>
      <c r="C116">
        <v>3.448</v>
      </c>
      <c r="D116">
        <v>3.4449999999999998</v>
      </c>
      <c r="E116">
        <v>3.4710000000000001</v>
      </c>
      <c r="F116">
        <v>3.3959999999999999</v>
      </c>
      <c r="G116">
        <v>3.3450000000000002</v>
      </c>
      <c r="H116">
        <v>3.363</v>
      </c>
      <c r="I116">
        <v>3.28</v>
      </c>
      <c r="J116">
        <v>3.2650000000000001</v>
      </c>
      <c r="K116">
        <v>3.31</v>
      </c>
      <c r="L116">
        <v>3.2970000000000002</v>
      </c>
      <c r="M116">
        <v>3.3809999999999998</v>
      </c>
      <c r="N116">
        <v>3.3210000000000002</v>
      </c>
      <c r="O116">
        <v>3.3559999999999999</v>
      </c>
      <c r="P116">
        <v>3.33</v>
      </c>
      <c r="Q116">
        <v>3.2719999999999998</v>
      </c>
      <c r="R116">
        <v>3.238</v>
      </c>
      <c r="S116" s="2">
        <v>45359</v>
      </c>
      <c r="T116">
        <v>3.61</v>
      </c>
      <c r="U116">
        <v>3.6219999999999999</v>
      </c>
      <c r="V116">
        <v>3.6389999999999998</v>
      </c>
      <c r="W116">
        <v>3.6280000000000001</v>
      </c>
      <c r="X116">
        <v>3.5419999999999998</v>
      </c>
      <c r="Y116">
        <v>3.5369999999999999</v>
      </c>
      <c r="Z116">
        <v>3.5259999999999998</v>
      </c>
      <c r="AA116">
        <v>3.5310000000000001</v>
      </c>
      <c r="AB116">
        <v>3.5209999999999999</v>
      </c>
      <c r="AC116">
        <v>3.5259999999999998</v>
      </c>
      <c r="AD116">
        <v>3.59</v>
      </c>
      <c r="AE116">
        <v>3.6040000000000001</v>
      </c>
      <c r="AF116">
        <v>3.6840000000000002</v>
      </c>
      <c r="AG116">
        <v>3.673</v>
      </c>
      <c r="AH116">
        <v>3.67</v>
      </c>
      <c r="AI116">
        <v>0</v>
      </c>
      <c r="AJ116" s="2">
        <v>45359</v>
      </c>
      <c r="AK116">
        <v>3.47</v>
      </c>
      <c r="AL116">
        <v>3.4329999999999998</v>
      </c>
      <c r="AM116">
        <v>3.38</v>
      </c>
      <c r="AN116">
        <v>3.3769999999999998</v>
      </c>
      <c r="AO116">
        <v>3.3639999999999999</v>
      </c>
      <c r="AP116">
        <v>3.3340000000000001</v>
      </c>
      <c r="AQ116">
        <v>3.351</v>
      </c>
      <c r="AR116">
        <v>3.3330000000000002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2:52">
      <c r="B117" s="2">
        <v>45358</v>
      </c>
      <c r="C117">
        <v>3.448</v>
      </c>
      <c r="D117">
        <v>3.4449999999999998</v>
      </c>
      <c r="E117">
        <v>3.488</v>
      </c>
      <c r="F117">
        <v>3.4279999999999999</v>
      </c>
      <c r="G117">
        <v>3.3889999999999998</v>
      </c>
      <c r="H117">
        <v>3.4140000000000001</v>
      </c>
      <c r="I117">
        <v>3.335</v>
      </c>
      <c r="J117">
        <v>3.3170000000000002</v>
      </c>
      <c r="K117">
        <v>3.37</v>
      </c>
      <c r="L117">
        <v>3.36</v>
      </c>
      <c r="M117">
        <v>3.4470000000000001</v>
      </c>
      <c r="N117">
        <v>3.3969999999999998</v>
      </c>
      <c r="O117">
        <v>3.427</v>
      </c>
      <c r="P117">
        <v>3.4009999999999998</v>
      </c>
      <c r="Q117">
        <v>3.335</v>
      </c>
      <c r="R117">
        <v>3.3</v>
      </c>
      <c r="S117" s="2">
        <v>45358</v>
      </c>
      <c r="T117">
        <v>3.62</v>
      </c>
      <c r="U117">
        <v>3.6320000000000001</v>
      </c>
      <c r="V117">
        <v>3.6459999999999999</v>
      </c>
      <c r="W117">
        <v>3.6419999999999999</v>
      </c>
      <c r="X117">
        <v>3.5920000000000001</v>
      </c>
      <c r="Y117">
        <v>3.5840000000000001</v>
      </c>
      <c r="Z117">
        <v>3.5790000000000002</v>
      </c>
      <c r="AA117">
        <v>3.5830000000000002</v>
      </c>
      <c r="AB117">
        <v>3.5830000000000002</v>
      </c>
      <c r="AC117">
        <v>3.593</v>
      </c>
      <c r="AD117">
        <v>3.6579999999999999</v>
      </c>
      <c r="AE117">
        <v>3.681</v>
      </c>
      <c r="AF117">
        <v>3.758</v>
      </c>
      <c r="AG117">
        <v>3.7480000000000002</v>
      </c>
      <c r="AH117">
        <v>3.7330000000000001</v>
      </c>
      <c r="AI117">
        <v>0</v>
      </c>
      <c r="AJ117" s="2">
        <v>45358</v>
      </c>
      <c r="AK117">
        <v>3.4710000000000001</v>
      </c>
      <c r="AL117">
        <v>3.4380000000000002</v>
      </c>
      <c r="AM117">
        <v>3.3889999999999998</v>
      </c>
      <c r="AN117">
        <v>3.3940000000000001</v>
      </c>
      <c r="AO117">
        <v>3.4169999999999998</v>
      </c>
      <c r="AP117">
        <v>3.3839999999999999</v>
      </c>
      <c r="AQ117">
        <v>3.3969999999999998</v>
      </c>
      <c r="AR117">
        <v>3.383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2:52">
      <c r="B118" s="2">
        <v>45357</v>
      </c>
      <c r="C118">
        <v>3.448</v>
      </c>
      <c r="D118">
        <v>3.4449999999999998</v>
      </c>
      <c r="E118">
        <v>3.49</v>
      </c>
      <c r="F118">
        <v>3.4350000000000001</v>
      </c>
      <c r="G118">
        <v>3.4</v>
      </c>
      <c r="H118">
        <v>3.41</v>
      </c>
      <c r="I118">
        <v>3.3380000000000001</v>
      </c>
      <c r="J118">
        <v>3.32</v>
      </c>
      <c r="K118">
        <v>3.37</v>
      </c>
      <c r="L118">
        <v>3.355</v>
      </c>
      <c r="M118">
        <v>3.4319999999999999</v>
      </c>
      <c r="N118">
        <v>3.3769999999999998</v>
      </c>
      <c r="O118">
        <v>3.403</v>
      </c>
      <c r="P118">
        <v>3.375</v>
      </c>
      <c r="Q118">
        <v>3.31</v>
      </c>
      <c r="R118">
        <v>3.2749999999999999</v>
      </c>
      <c r="S118" s="2">
        <v>45357</v>
      </c>
      <c r="T118">
        <v>3.617</v>
      </c>
      <c r="U118">
        <v>3.6320000000000001</v>
      </c>
      <c r="V118">
        <v>3.6469999999999998</v>
      </c>
      <c r="W118">
        <v>3.6440000000000001</v>
      </c>
      <c r="X118">
        <v>3.5960000000000001</v>
      </c>
      <c r="Y118">
        <v>3.59</v>
      </c>
      <c r="Z118">
        <v>3.5870000000000002</v>
      </c>
      <c r="AA118">
        <v>3.59</v>
      </c>
      <c r="AB118">
        <v>3.585</v>
      </c>
      <c r="AC118">
        <v>3.5939999999999999</v>
      </c>
      <c r="AD118">
        <v>3.6579999999999999</v>
      </c>
      <c r="AE118">
        <v>3.6669999999999998</v>
      </c>
      <c r="AF118">
        <v>3.734</v>
      </c>
      <c r="AG118">
        <v>3.722</v>
      </c>
      <c r="AH118">
        <v>3.7080000000000002</v>
      </c>
      <c r="AI118">
        <v>0</v>
      </c>
      <c r="AJ118" s="2">
        <v>45357</v>
      </c>
      <c r="AK118">
        <v>3.4710000000000001</v>
      </c>
      <c r="AL118">
        <v>3.4390000000000001</v>
      </c>
      <c r="AM118">
        <v>3.39</v>
      </c>
      <c r="AN118">
        <v>3.395</v>
      </c>
      <c r="AO118">
        <v>3.4180000000000001</v>
      </c>
      <c r="AP118">
        <v>3.38</v>
      </c>
      <c r="AQ118">
        <v>3.3980000000000001</v>
      </c>
      <c r="AR118">
        <v>3.3849999999999998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2:52">
      <c r="B119" s="2">
        <v>45356</v>
      </c>
      <c r="C119">
        <v>3.4510000000000001</v>
      </c>
      <c r="D119">
        <v>3.4510000000000001</v>
      </c>
      <c r="E119">
        <v>3.5</v>
      </c>
      <c r="F119">
        <v>3.456</v>
      </c>
      <c r="G119">
        <v>3.4260000000000002</v>
      </c>
      <c r="H119">
        <v>3.4390000000000001</v>
      </c>
      <c r="I119">
        <v>3.3679999999999999</v>
      </c>
      <c r="J119">
        <v>3.3519999999999999</v>
      </c>
      <c r="K119">
        <v>3.4060000000000001</v>
      </c>
      <c r="L119">
        <v>3.39</v>
      </c>
      <c r="M119">
        <v>3.4580000000000002</v>
      </c>
      <c r="N119">
        <v>3.415</v>
      </c>
      <c r="O119">
        <v>3.427</v>
      </c>
      <c r="P119">
        <v>3.395</v>
      </c>
      <c r="Q119">
        <v>3.3210000000000002</v>
      </c>
      <c r="R119">
        <v>3.2869999999999999</v>
      </c>
      <c r="S119" s="2">
        <v>45356</v>
      </c>
      <c r="T119">
        <v>3.6240000000000001</v>
      </c>
      <c r="U119">
        <v>3.64</v>
      </c>
      <c r="V119">
        <v>3.661</v>
      </c>
      <c r="W119">
        <v>3.6629999999999998</v>
      </c>
      <c r="X119">
        <v>3.62</v>
      </c>
      <c r="Y119">
        <v>3.6240000000000001</v>
      </c>
      <c r="Z119">
        <v>3.6139999999999999</v>
      </c>
      <c r="AA119">
        <v>3.6179999999999999</v>
      </c>
      <c r="AB119">
        <v>3.6150000000000002</v>
      </c>
      <c r="AC119">
        <v>3.6269999999999998</v>
      </c>
      <c r="AD119">
        <v>3.6859999999999999</v>
      </c>
      <c r="AE119">
        <v>3.7050000000000001</v>
      </c>
      <c r="AF119">
        <v>3.758</v>
      </c>
      <c r="AG119">
        <v>3.742</v>
      </c>
      <c r="AH119">
        <v>3.7210000000000001</v>
      </c>
      <c r="AI119">
        <v>0</v>
      </c>
      <c r="AJ119" s="2">
        <v>45356</v>
      </c>
      <c r="AK119">
        <v>3.4750000000000001</v>
      </c>
      <c r="AL119">
        <v>3.444</v>
      </c>
      <c r="AM119">
        <v>3.4</v>
      </c>
      <c r="AN119">
        <v>3.411</v>
      </c>
      <c r="AO119">
        <v>3.4460000000000002</v>
      </c>
      <c r="AP119">
        <v>3.4169999999999998</v>
      </c>
      <c r="AQ119">
        <v>3.4289999999999998</v>
      </c>
      <c r="AR119">
        <v>3.4169999999999998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2:52">
      <c r="B120" s="2">
        <v>45355</v>
      </c>
      <c r="C120">
        <v>3.4510000000000001</v>
      </c>
      <c r="D120">
        <v>3.4529999999999998</v>
      </c>
      <c r="E120">
        <v>3.5009999999999999</v>
      </c>
      <c r="F120">
        <v>3.4630000000000001</v>
      </c>
      <c r="G120">
        <v>3.4359999999999999</v>
      </c>
      <c r="H120">
        <v>3.4390000000000001</v>
      </c>
      <c r="I120">
        <v>3.3730000000000002</v>
      </c>
      <c r="J120">
        <v>3.3570000000000002</v>
      </c>
      <c r="K120">
        <v>3.4180000000000001</v>
      </c>
      <c r="L120">
        <v>3.4009999999999998</v>
      </c>
      <c r="M120">
        <v>3.4729999999999999</v>
      </c>
      <c r="N120">
        <v>3.4350000000000001</v>
      </c>
      <c r="O120">
        <v>3.45</v>
      </c>
      <c r="P120">
        <v>3.427</v>
      </c>
      <c r="Q120">
        <v>3.3570000000000002</v>
      </c>
      <c r="R120">
        <v>3.323</v>
      </c>
      <c r="S120" s="2">
        <v>45355</v>
      </c>
      <c r="T120">
        <v>3.6240000000000001</v>
      </c>
      <c r="U120">
        <v>3.6440000000000001</v>
      </c>
      <c r="V120">
        <v>3.6640000000000001</v>
      </c>
      <c r="W120">
        <v>3.6629999999999998</v>
      </c>
      <c r="X120">
        <v>3.613</v>
      </c>
      <c r="Y120">
        <v>3.621</v>
      </c>
      <c r="Z120">
        <v>3.613</v>
      </c>
      <c r="AA120">
        <v>3.62</v>
      </c>
      <c r="AB120">
        <v>3.6280000000000001</v>
      </c>
      <c r="AC120">
        <v>3.6379999999999999</v>
      </c>
      <c r="AD120">
        <v>3.7</v>
      </c>
      <c r="AE120">
        <v>3.7250000000000001</v>
      </c>
      <c r="AF120">
        <v>3.7810000000000001</v>
      </c>
      <c r="AG120">
        <v>3.774</v>
      </c>
      <c r="AH120">
        <v>3.7559999999999998</v>
      </c>
      <c r="AI120">
        <v>0</v>
      </c>
      <c r="AJ120" s="2">
        <v>45355</v>
      </c>
      <c r="AK120">
        <v>3.4750000000000001</v>
      </c>
      <c r="AL120">
        <v>3.444</v>
      </c>
      <c r="AM120">
        <v>3.4</v>
      </c>
      <c r="AN120">
        <v>3.4159999999999999</v>
      </c>
      <c r="AO120">
        <v>3.448</v>
      </c>
      <c r="AP120">
        <v>3.4169999999999998</v>
      </c>
      <c r="AQ120">
        <v>3.4380000000000002</v>
      </c>
      <c r="AR120">
        <v>3.4289999999999998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2:52">
      <c r="B121" s="2">
        <v>45351</v>
      </c>
      <c r="C121">
        <v>3.4550000000000001</v>
      </c>
      <c r="D121">
        <v>3.456</v>
      </c>
      <c r="E121">
        <v>3.508</v>
      </c>
      <c r="F121">
        <v>3.4729999999999999</v>
      </c>
      <c r="G121">
        <v>3.45</v>
      </c>
      <c r="H121">
        <v>3.4649999999999999</v>
      </c>
      <c r="I121">
        <v>3.3959999999999999</v>
      </c>
      <c r="J121">
        <v>3.3820000000000001</v>
      </c>
      <c r="K121">
        <v>3.4470000000000001</v>
      </c>
      <c r="L121">
        <v>3.43</v>
      </c>
      <c r="M121">
        <v>3.51</v>
      </c>
      <c r="N121">
        <v>3.48</v>
      </c>
      <c r="O121">
        <v>3.4809999999999999</v>
      </c>
      <c r="P121">
        <v>3.46</v>
      </c>
      <c r="Q121">
        <v>3.39</v>
      </c>
      <c r="R121">
        <v>3.355</v>
      </c>
      <c r="S121" s="2">
        <v>45351</v>
      </c>
      <c r="T121">
        <v>3.6339999999999999</v>
      </c>
      <c r="U121">
        <v>3.65</v>
      </c>
      <c r="V121">
        <v>3.673</v>
      </c>
      <c r="W121">
        <v>3.6720000000000002</v>
      </c>
      <c r="X121">
        <v>3.6360000000000001</v>
      </c>
      <c r="Y121">
        <v>3.6459999999999999</v>
      </c>
      <c r="Z121">
        <v>3.6339999999999999</v>
      </c>
      <c r="AA121">
        <v>3.6429999999999998</v>
      </c>
      <c r="AB121">
        <v>3.657</v>
      </c>
      <c r="AC121">
        <v>3.6669999999999998</v>
      </c>
      <c r="AD121">
        <v>3.7370000000000001</v>
      </c>
      <c r="AE121">
        <v>3.77</v>
      </c>
      <c r="AF121">
        <v>3.8140000000000001</v>
      </c>
      <c r="AG121">
        <v>3.8069999999999999</v>
      </c>
      <c r="AH121">
        <v>3.7890000000000001</v>
      </c>
      <c r="AI121">
        <v>0</v>
      </c>
      <c r="AJ121" s="2">
        <v>45351</v>
      </c>
      <c r="AK121">
        <v>3.4750000000000001</v>
      </c>
      <c r="AL121">
        <v>3.452</v>
      </c>
      <c r="AM121">
        <v>3.4089999999999998</v>
      </c>
      <c r="AN121">
        <v>3.4249999999999998</v>
      </c>
      <c r="AO121">
        <v>3.4710000000000001</v>
      </c>
      <c r="AP121">
        <v>3.4420000000000002</v>
      </c>
      <c r="AQ121">
        <v>3.4660000000000002</v>
      </c>
      <c r="AR121">
        <v>3.4580000000000002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2:52">
      <c r="B122" s="2">
        <v>45350</v>
      </c>
      <c r="C122">
        <v>3.4529999999999998</v>
      </c>
      <c r="D122">
        <v>3.4529999999999998</v>
      </c>
      <c r="E122">
        <v>3.5179999999999998</v>
      </c>
      <c r="F122">
        <v>3.4830000000000001</v>
      </c>
      <c r="G122">
        <v>3.4569999999999999</v>
      </c>
      <c r="H122">
        <v>3.4550000000000001</v>
      </c>
      <c r="I122">
        <v>3.379</v>
      </c>
      <c r="J122">
        <v>3.3650000000000002</v>
      </c>
      <c r="K122">
        <v>3.4279999999999999</v>
      </c>
      <c r="L122">
        <v>3.41</v>
      </c>
      <c r="M122">
        <v>3.4870000000000001</v>
      </c>
      <c r="N122">
        <v>3.452</v>
      </c>
      <c r="O122">
        <v>3.4529999999999998</v>
      </c>
      <c r="P122">
        <v>3.4350000000000001</v>
      </c>
      <c r="Q122">
        <v>3.3650000000000002</v>
      </c>
      <c r="R122">
        <v>3.33</v>
      </c>
      <c r="S122" s="2">
        <v>45350</v>
      </c>
      <c r="T122">
        <v>3.6320000000000001</v>
      </c>
      <c r="U122">
        <v>3.65</v>
      </c>
      <c r="V122">
        <v>3.67</v>
      </c>
      <c r="W122">
        <v>3.6619999999999999</v>
      </c>
      <c r="X122">
        <v>3.6259999999999999</v>
      </c>
      <c r="Y122">
        <v>3.6309999999999998</v>
      </c>
      <c r="Z122">
        <v>3.6139999999999999</v>
      </c>
      <c r="AA122">
        <v>3.625</v>
      </c>
      <c r="AB122">
        <v>3.6379999999999999</v>
      </c>
      <c r="AC122">
        <v>3.6459999999999999</v>
      </c>
      <c r="AD122">
        <v>3.714</v>
      </c>
      <c r="AE122">
        <v>3.742</v>
      </c>
      <c r="AF122">
        <v>3.786</v>
      </c>
      <c r="AG122">
        <v>3.782</v>
      </c>
      <c r="AH122">
        <v>3.7639999999999998</v>
      </c>
      <c r="AI122">
        <v>0</v>
      </c>
      <c r="AJ122" s="2">
        <v>45350</v>
      </c>
      <c r="AK122">
        <v>3.4660000000000002</v>
      </c>
      <c r="AL122">
        <v>3.448</v>
      </c>
      <c r="AM122">
        <v>3.403</v>
      </c>
      <c r="AN122">
        <v>3.415</v>
      </c>
      <c r="AO122">
        <v>3.46</v>
      </c>
      <c r="AP122">
        <v>3.4279999999999999</v>
      </c>
      <c r="AQ122">
        <v>3.452</v>
      </c>
      <c r="AR122">
        <v>3.4460000000000002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2:52">
      <c r="B123" s="2">
        <v>45349</v>
      </c>
      <c r="C123">
        <v>3.45</v>
      </c>
      <c r="D123">
        <v>3.4529999999999998</v>
      </c>
      <c r="E123">
        <v>3.5179999999999998</v>
      </c>
      <c r="F123">
        <v>3.4860000000000002</v>
      </c>
      <c r="G123">
        <v>3.4649999999999999</v>
      </c>
      <c r="H123">
        <v>3.448</v>
      </c>
      <c r="I123">
        <v>3.3759999999999999</v>
      </c>
      <c r="J123">
        <v>3.3650000000000002</v>
      </c>
      <c r="K123">
        <v>3.423</v>
      </c>
      <c r="L123">
        <v>3.4</v>
      </c>
      <c r="M123">
        <v>3.4729999999999999</v>
      </c>
      <c r="N123">
        <v>3.43</v>
      </c>
      <c r="O123">
        <v>3.4220000000000002</v>
      </c>
      <c r="P123">
        <v>3.4</v>
      </c>
      <c r="Q123">
        <v>3.3220000000000001</v>
      </c>
      <c r="R123">
        <v>3.2879999999999998</v>
      </c>
      <c r="S123" s="2">
        <v>45349</v>
      </c>
      <c r="T123">
        <v>3.6280000000000001</v>
      </c>
      <c r="U123">
        <v>3.645</v>
      </c>
      <c r="V123">
        <v>3.665</v>
      </c>
      <c r="W123">
        <v>3.6619999999999999</v>
      </c>
      <c r="X123">
        <v>3.6259999999999999</v>
      </c>
      <c r="Y123">
        <v>3.6349999999999998</v>
      </c>
      <c r="Z123">
        <v>3.609</v>
      </c>
      <c r="AA123">
        <v>3.6269999999999998</v>
      </c>
      <c r="AB123">
        <v>3.633</v>
      </c>
      <c r="AC123">
        <v>3.6360000000000001</v>
      </c>
      <c r="AD123">
        <v>3.7</v>
      </c>
      <c r="AE123">
        <v>3.72</v>
      </c>
      <c r="AF123">
        <v>3.754</v>
      </c>
      <c r="AG123">
        <v>3.7469999999999999</v>
      </c>
      <c r="AH123">
        <v>3.7210000000000001</v>
      </c>
      <c r="AI123">
        <v>0</v>
      </c>
      <c r="AJ123" s="2">
        <v>45349</v>
      </c>
      <c r="AK123">
        <v>3.4609999999999999</v>
      </c>
      <c r="AL123">
        <v>3.4430000000000001</v>
      </c>
      <c r="AM123">
        <v>3.3959999999999999</v>
      </c>
      <c r="AN123">
        <v>3.411</v>
      </c>
      <c r="AO123">
        <v>3.464</v>
      </c>
      <c r="AP123">
        <v>3.4319999999999999</v>
      </c>
      <c r="AQ123">
        <v>3.4510000000000001</v>
      </c>
      <c r="AR123">
        <v>3.44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2:52">
      <c r="B124" s="2">
        <v>45348</v>
      </c>
      <c r="C124">
        <v>3.45</v>
      </c>
      <c r="D124">
        <v>3.4529999999999998</v>
      </c>
      <c r="E124">
        <v>3.5150000000000001</v>
      </c>
      <c r="F124">
        <v>3.4830000000000001</v>
      </c>
      <c r="G124">
        <v>3.4649999999999999</v>
      </c>
      <c r="H124">
        <v>3.4249999999999998</v>
      </c>
      <c r="I124">
        <v>3.35</v>
      </c>
      <c r="J124">
        <v>3.339</v>
      </c>
      <c r="K124">
        <v>3.3959999999999999</v>
      </c>
      <c r="L124">
        <v>3.375</v>
      </c>
      <c r="M124">
        <v>3.4449999999999998</v>
      </c>
      <c r="N124">
        <v>3.4009999999999998</v>
      </c>
      <c r="O124">
        <v>3.3929999999999998</v>
      </c>
      <c r="P124">
        <v>3.38</v>
      </c>
      <c r="Q124">
        <v>3.3069999999999999</v>
      </c>
      <c r="R124">
        <v>3.2730000000000001</v>
      </c>
      <c r="S124" s="2">
        <v>45348</v>
      </c>
      <c r="T124">
        <v>3.633</v>
      </c>
      <c r="U124">
        <v>3.6509999999999998</v>
      </c>
      <c r="V124">
        <v>3.669</v>
      </c>
      <c r="W124">
        <v>3.657</v>
      </c>
      <c r="X124">
        <v>3.617</v>
      </c>
      <c r="Y124">
        <v>3.6160000000000001</v>
      </c>
      <c r="Z124">
        <v>3.581</v>
      </c>
      <c r="AA124">
        <v>3.6019999999999999</v>
      </c>
      <c r="AB124">
        <v>3.605</v>
      </c>
      <c r="AC124">
        <v>3.61</v>
      </c>
      <c r="AD124">
        <v>3.6709999999999998</v>
      </c>
      <c r="AE124">
        <v>3.69</v>
      </c>
      <c r="AF124">
        <v>3.7250000000000001</v>
      </c>
      <c r="AG124">
        <v>3.7269999999999999</v>
      </c>
      <c r="AH124">
        <v>3.706</v>
      </c>
      <c r="AI124">
        <v>0</v>
      </c>
      <c r="AJ124" s="2">
        <v>45348</v>
      </c>
      <c r="AK124">
        <v>3.46</v>
      </c>
      <c r="AL124">
        <v>3.44</v>
      </c>
      <c r="AM124">
        <v>3.3940000000000001</v>
      </c>
      <c r="AN124">
        <v>3.407</v>
      </c>
      <c r="AO124">
        <v>3.4569999999999999</v>
      </c>
      <c r="AP124">
        <v>3.415</v>
      </c>
      <c r="AQ124">
        <v>3.4239999999999999</v>
      </c>
      <c r="AR124">
        <v>3.4129999999999998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2:52">
      <c r="B125" s="2">
        <v>45345</v>
      </c>
      <c r="C125">
        <v>3.4460000000000002</v>
      </c>
      <c r="D125">
        <v>3.4529999999999998</v>
      </c>
      <c r="E125">
        <v>3.48</v>
      </c>
      <c r="F125">
        <v>3.49</v>
      </c>
      <c r="G125">
        <v>3.488</v>
      </c>
      <c r="H125">
        <v>3.45</v>
      </c>
      <c r="I125">
        <v>3.39</v>
      </c>
      <c r="J125">
        <v>3.3780000000000001</v>
      </c>
      <c r="K125">
        <v>3.4489999999999998</v>
      </c>
      <c r="L125">
        <v>3.44</v>
      </c>
      <c r="M125">
        <v>3.5179999999999998</v>
      </c>
      <c r="N125">
        <v>3.48</v>
      </c>
      <c r="O125">
        <v>3.47</v>
      </c>
      <c r="P125">
        <v>3.4529999999999998</v>
      </c>
      <c r="Q125">
        <v>3.38</v>
      </c>
      <c r="R125">
        <v>3.3450000000000002</v>
      </c>
      <c r="S125" s="2">
        <v>45345</v>
      </c>
      <c r="T125">
        <v>3.6240000000000001</v>
      </c>
      <c r="U125">
        <v>3.637</v>
      </c>
      <c r="V125">
        <v>3.6549999999999998</v>
      </c>
      <c r="W125">
        <v>3.6509999999999998</v>
      </c>
      <c r="X125">
        <v>3.633</v>
      </c>
      <c r="Y125">
        <v>3.6389999999999998</v>
      </c>
      <c r="Z125">
        <v>3.6110000000000002</v>
      </c>
      <c r="AA125">
        <v>3.633</v>
      </c>
      <c r="AB125">
        <v>3.6509999999999998</v>
      </c>
      <c r="AC125">
        <v>3.6659999999999999</v>
      </c>
      <c r="AD125">
        <v>3.7429999999999999</v>
      </c>
      <c r="AE125">
        <v>3.7690000000000001</v>
      </c>
      <c r="AF125">
        <v>3.8029999999999999</v>
      </c>
      <c r="AG125">
        <v>3.8</v>
      </c>
      <c r="AH125">
        <v>3.7789999999999999</v>
      </c>
      <c r="AI125">
        <v>0</v>
      </c>
      <c r="AJ125" s="2">
        <v>45345</v>
      </c>
      <c r="AK125">
        <v>3.4449999999999998</v>
      </c>
      <c r="AL125">
        <v>3.415</v>
      </c>
      <c r="AM125">
        <v>3.371</v>
      </c>
      <c r="AN125">
        <v>3.395</v>
      </c>
      <c r="AO125">
        <v>3.4790000000000001</v>
      </c>
      <c r="AP125">
        <v>3.4449999999999998</v>
      </c>
      <c r="AQ125">
        <v>3.4609999999999999</v>
      </c>
      <c r="AR125">
        <v>3.4540000000000002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2:52">
      <c r="B126" s="2">
        <v>45344</v>
      </c>
      <c r="C126">
        <v>3.4460000000000002</v>
      </c>
      <c r="D126">
        <v>3.4529999999999998</v>
      </c>
      <c r="E126">
        <v>3.4710000000000001</v>
      </c>
      <c r="F126">
        <v>3.4830000000000001</v>
      </c>
      <c r="G126">
        <v>3.4750000000000001</v>
      </c>
      <c r="H126">
        <v>3.42</v>
      </c>
      <c r="I126">
        <v>3.355</v>
      </c>
      <c r="J126">
        <v>3.3450000000000002</v>
      </c>
      <c r="K126">
        <v>3.411</v>
      </c>
      <c r="L126">
        <v>3.391</v>
      </c>
      <c r="M126">
        <v>3.4689999999999999</v>
      </c>
      <c r="N126">
        <v>3.43</v>
      </c>
      <c r="O126">
        <v>3.431</v>
      </c>
      <c r="P126">
        <v>3.4239999999999999</v>
      </c>
      <c r="Q126">
        <v>3.367</v>
      </c>
      <c r="R126">
        <v>3.3330000000000002</v>
      </c>
      <c r="S126" s="2">
        <v>45344</v>
      </c>
      <c r="T126">
        <v>3.6179999999999999</v>
      </c>
      <c r="U126">
        <v>3.6230000000000002</v>
      </c>
      <c r="V126">
        <v>3.6429999999999998</v>
      </c>
      <c r="W126">
        <v>3.637</v>
      </c>
      <c r="X126">
        <v>3.605</v>
      </c>
      <c r="Y126">
        <v>3.61</v>
      </c>
      <c r="Z126">
        <v>3.5750000000000002</v>
      </c>
      <c r="AA126">
        <v>3.5960000000000001</v>
      </c>
      <c r="AB126">
        <v>3.609</v>
      </c>
      <c r="AC126">
        <v>3.617</v>
      </c>
      <c r="AD126">
        <v>3.6960000000000002</v>
      </c>
      <c r="AE126">
        <v>3.7189999999999999</v>
      </c>
      <c r="AF126">
        <v>3.7639999999999998</v>
      </c>
      <c r="AG126">
        <v>3.7709999999999999</v>
      </c>
      <c r="AH126">
        <v>3.766</v>
      </c>
      <c r="AI126">
        <v>0</v>
      </c>
      <c r="AJ126" s="2">
        <v>45344</v>
      </c>
      <c r="AK126">
        <v>3.4409999999999998</v>
      </c>
      <c r="AL126">
        <v>3.407</v>
      </c>
      <c r="AM126">
        <v>3.3650000000000002</v>
      </c>
      <c r="AN126">
        <v>3.39</v>
      </c>
      <c r="AO126">
        <v>3.4529999999999998</v>
      </c>
      <c r="AP126">
        <v>3.42</v>
      </c>
      <c r="AQ126">
        <v>3.4340000000000002</v>
      </c>
      <c r="AR126">
        <v>3.427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2:52">
      <c r="B127" s="2">
        <v>45343</v>
      </c>
      <c r="C127">
        <v>3.45</v>
      </c>
      <c r="D127">
        <v>3.456</v>
      </c>
      <c r="E127">
        <v>3.4710000000000001</v>
      </c>
      <c r="F127">
        <v>3.5</v>
      </c>
      <c r="G127">
        <v>3.5</v>
      </c>
      <c r="H127">
        <v>3.4609999999999999</v>
      </c>
      <c r="I127">
        <v>3.415</v>
      </c>
      <c r="J127">
        <v>3.4020000000000001</v>
      </c>
      <c r="K127">
        <v>3.4649999999999999</v>
      </c>
      <c r="L127">
        <v>3.44</v>
      </c>
      <c r="M127">
        <v>3.516</v>
      </c>
      <c r="N127">
        <v>3.4750000000000001</v>
      </c>
      <c r="O127">
        <v>3.4660000000000002</v>
      </c>
      <c r="P127">
        <v>3.45</v>
      </c>
      <c r="Q127">
        <v>3.39</v>
      </c>
      <c r="R127">
        <v>3.355</v>
      </c>
      <c r="S127" s="2">
        <v>45343</v>
      </c>
      <c r="T127">
        <v>3.6179999999999999</v>
      </c>
      <c r="U127">
        <v>3.625</v>
      </c>
      <c r="V127">
        <v>3.6360000000000001</v>
      </c>
      <c r="W127">
        <v>3.6339999999999999</v>
      </c>
      <c r="X127">
        <v>3.6440000000000001</v>
      </c>
      <c r="Y127">
        <v>3.65</v>
      </c>
      <c r="Z127">
        <v>3.633</v>
      </c>
      <c r="AA127">
        <v>3.649</v>
      </c>
      <c r="AB127">
        <v>3.6619999999999999</v>
      </c>
      <c r="AC127">
        <v>3.6640000000000001</v>
      </c>
      <c r="AD127">
        <v>3.742</v>
      </c>
      <c r="AE127">
        <v>3.7639999999999998</v>
      </c>
      <c r="AF127">
        <v>3.7989999999999999</v>
      </c>
      <c r="AG127">
        <v>3.798</v>
      </c>
      <c r="AH127">
        <v>3.7890000000000001</v>
      </c>
      <c r="AI127">
        <v>0</v>
      </c>
      <c r="AJ127" s="2">
        <v>45343</v>
      </c>
      <c r="AK127">
        <v>3.4409999999999998</v>
      </c>
      <c r="AL127">
        <v>3.407</v>
      </c>
      <c r="AM127">
        <v>3.3650000000000002</v>
      </c>
      <c r="AN127">
        <v>3.39</v>
      </c>
      <c r="AO127">
        <v>3.4950000000000001</v>
      </c>
      <c r="AP127">
        <v>3.46</v>
      </c>
      <c r="AQ127">
        <v>3.492</v>
      </c>
      <c r="AR127">
        <v>3.4870000000000001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2:52">
      <c r="B128" s="2">
        <v>45342</v>
      </c>
      <c r="C128">
        <v>3.448</v>
      </c>
      <c r="D128">
        <v>3.4550000000000001</v>
      </c>
      <c r="E128">
        <v>3.4649999999999999</v>
      </c>
      <c r="F128">
        <v>3.4980000000000002</v>
      </c>
      <c r="G128">
        <v>3.4929999999999999</v>
      </c>
      <c r="H128">
        <v>3.4660000000000002</v>
      </c>
      <c r="I128">
        <v>3.4249999999999998</v>
      </c>
      <c r="J128">
        <v>3.407</v>
      </c>
      <c r="K128">
        <v>3.4820000000000002</v>
      </c>
      <c r="L128">
        <v>3.46</v>
      </c>
      <c r="M128">
        <v>3.5350000000000001</v>
      </c>
      <c r="N128">
        <v>3.492</v>
      </c>
      <c r="O128">
        <v>3.4790000000000001</v>
      </c>
      <c r="P128">
        <v>3.46</v>
      </c>
      <c r="Q128">
        <v>3.3969999999999998</v>
      </c>
      <c r="R128">
        <v>3.363</v>
      </c>
      <c r="S128" s="2">
        <v>45342</v>
      </c>
      <c r="T128">
        <v>3.6160000000000001</v>
      </c>
      <c r="U128">
        <v>3.6269999999999998</v>
      </c>
      <c r="V128">
        <v>3.6320000000000001</v>
      </c>
      <c r="W128">
        <v>3.633</v>
      </c>
      <c r="X128">
        <v>3.6469999999999998</v>
      </c>
      <c r="Y128">
        <v>3.649</v>
      </c>
      <c r="Z128">
        <v>3.641</v>
      </c>
      <c r="AA128">
        <v>3.6549999999999998</v>
      </c>
      <c r="AB128">
        <v>3.68</v>
      </c>
      <c r="AC128">
        <v>3.6859999999999999</v>
      </c>
      <c r="AD128">
        <v>3.762</v>
      </c>
      <c r="AE128">
        <v>3.7810000000000001</v>
      </c>
      <c r="AF128">
        <v>3.8119999999999998</v>
      </c>
      <c r="AG128">
        <v>3.8069999999999999</v>
      </c>
      <c r="AH128">
        <v>3.7959999999999998</v>
      </c>
      <c r="AI128">
        <v>0</v>
      </c>
      <c r="AJ128" s="2">
        <v>45342</v>
      </c>
      <c r="AK128">
        <v>3.4380000000000002</v>
      </c>
      <c r="AL128">
        <v>3.407</v>
      </c>
      <c r="AM128">
        <v>3.363</v>
      </c>
      <c r="AN128">
        <v>3.3959999999999999</v>
      </c>
      <c r="AO128">
        <v>3.5</v>
      </c>
      <c r="AP128">
        <v>3.46</v>
      </c>
      <c r="AQ128">
        <v>3.5030000000000001</v>
      </c>
      <c r="AR128">
        <v>3.5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2:52">
      <c r="B129" s="2">
        <v>45341</v>
      </c>
      <c r="C129">
        <v>3.4460000000000002</v>
      </c>
      <c r="D129">
        <v>3.4510000000000001</v>
      </c>
      <c r="E129">
        <v>3.464</v>
      </c>
      <c r="F129">
        <v>3.476</v>
      </c>
      <c r="G129">
        <v>3.476</v>
      </c>
      <c r="H129">
        <v>3.4529999999999998</v>
      </c>
      <c r="I129">
        <v>3.415</v>
      </c>
      <c r="J129">
        <v>3.3959999999999999</v>
      </c>
      <c r="K129">
        <v>3.464</v>
      </c>
      <c r="L129">
        <v>3.44</v>
      </c>
      <c r="M129">
        <v>3.5139999999999998</v>
      </c>
      <c r="N129">
        <v>3.4670000000000001</v>
      </c>
      <c r="O129">
        <v>3.452</v>
      </c>
      <c r="P129">
        <v>3.43</v>
      </c>
      <c r="Q129">
        <v>3.36</v>
      </c>
      <c r="R129">
        <v>3.3250000000000002</v>
      </c>
      <c r="S129" s="2">
        <v>45341</v>
      </c>
      <c r="T129">
        <v>3.6190000000000002</v>
      </c>
      <c r="U129">
        <v>3.63</v>
      </c>
      <c r="V129">
        <v>3.6360000000000001</v>
      </c>
      <c r="W129">
        <v>3.64</v>
      </c>
      <c r="X129">
        <v>3.6349999999999998</v>
      </c>
      <c r="Y129">
        <v>3.633</v>
      </c>
      <c r="Z129">
        <v>3.6349999999999998</v>
      </c>
      <c r="AA129">
        <v>3.6469999999999998</v>
      </c>
      <c r="AB129">
        <v>3.665</v>
      </c>
      <c r="AC129">
        <v>3.6680000000000001</v>
      </c>
      <c r="AD129">
        <v>3.74</v>
      </c>
      <c r="AE129">
        <v>3.7559999999999998</v>
      </c>
      <c r="AF129">
        <v>3.7850000000000001</v>
      </c>
      <c r="AG129">
        <v>3.7770000000000001</v>
      </c>
      <c r="AH129">
        <v>3.7589999999999999</v>
      </c>
      <c r="AI129">
        <v>0</v>
      </c>
      <c r="AJ129" s="2">
        <v>45341</v>
      </c>
      <c r="AK129">
        <v>3.4380000000000002</v>
      </c>
      <c r="AL129">
        <v>3.407</v>
      </c>
      <c r="AM129">
        <v>3.36</v>
      </c>
      <c r="AN129">
        <v>3.3980000000000001</v>
      </c>
      <c r="AO129">
        <v>3.4830000000000001</v>
      </c>
      <c r="AP129">
        <v>3.444</v>
      </c>
      <c r="AQ129">
        <v>3.4830000000000001</v>
      </c>
      <c r="AR129">
        <v>3.476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2:52">
      <c r="B130" s="2">
        <v>45338</v>
      </c>
      <c r="C130">
        <v>3.4460000000000002</v>
      </c>
      <c r="D130">
        <v>3.4510000000000001</v>
      </c>
      <c r="E130">
        <v>3.4609999999999999</v>
      </c>
      <c r="F130">
        <v>3.4649999999999999</v>
      </c>
      <c r="G130">
        <v>3.46</v>
      </c>
      <c r="H130">
        <v>3.456</v>
      </c>
      <c r="I130">
        <v>3.4289999999999998</v>
      </c>
      <c r="J130">
        <v>3.4060000000000001</v>
      </c>
      <c r="K130">
        <v>3.468</v>
      </c>
      <c r="L130">
        <v>3.4449999999999998</v>
      </c>
      <c r="M130">
        <v>3.524</v>
      </c>
      <c r="N130">
        <v>3.48</v>
      </c>
      <c r="O130">
        <v>3.4550000000000001</v>
      </c>
      <c r="P130">
        <v>3.4249999999999998</v>
      </c>
      <c r="Q130">
        <v>3.3620000000000001</v>
      </c>
      <c r="R130">
        <v>3.3330000000000002</v>
      </c>
      <c r="S130" s="2">
        <v>45338</v>
      </c>
      <c r="T130">
        <v>3.6110000000000002</v>
      </c>
      <c r="U130">
        <v>3.6269999999999998</v>
      </c>
      <c r="V130">
        <v>3.6339999999999999</v>
      </c>
      <c r="W130">
        <v>3.6419999999999999</v>
      </c>
      <c r="X130">
        <v>3.6429999999999998</v>
      </c>
      <c r="Y130">
        <v>3.6440000000000001</v>
      </c>
      <c r="Z130">
        <v>3.649</v>
      </c>
      <c r="AA130">
        <v>3.6619999999999999</v>
      </c>
      <c r="AB130">
        <v>3.669</v>
      </c>
      <c r="AC130">
        <v>3.6749999999999998</v>
      </c>
      <c r="AD130">
        <v>3.75</v>
      </c>
      <c r="AE130">
        <v>3.7690000000000001</v>
      </c>
      <c r="AF130">
        <v>3.7879999999999998</v>
      </c>
      <c r="AG130">
        <v>3.7719999999999998</v>
      </c>
      <c r="AH130">
        <v>3.7610000000000001</v>
      </c>
      <c r="AI130">
        <v>0</v>
      </c>
      <c r="AJ130" s="2">
        <v>45338</v>
      </c>
      <c r="AK130">
        <v>3.4329999999999998</v>
      </c>
      <c r="AL130">
        <v>3.407</v>
      </c>
      <c r="AM130">
        <v>3.3580000000000001</v>
      </c>
      <c r="AN130">
        <v>3.3959999999999999</v>
      </c>
      <c r="AO130">
        <v>3.4889999999999999</v>
      </c>
      <c r="AP130">
        <v>3.4550000000000001</v>
      </c>
      <c r="AQ130">
        <v>3.496</v>
      </c>
      <c r="AR130">
        <v>3.4889999999999999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2:52">
      <c r="B131" s="2">
        <v>45337</v>
      </c>
      <c r="C131">
        <v>3.4449999999999998</v>
      </c>
      <c r="D131">
        <v>3.45</v>
      </c>
      <c r="E131">
        <v>3.46</v>
      </c>
      <c r="F131">
        <v>3.4550000000000001</v>
      </c>
      <c r="G131">
        <v>3.4449999999999998</v>
      </c>
      <c r="H131">
        <v>3.4649999999999999</v>
      </c>
      <c r="I131">
        <v>3.4350000000000001</v>
      </c>
      <c r="J131">
        <v>3.407</v>
      </c>
      <c r="K131">
        <v>3.4689999999999999</v>
      </c>
      <c r="L131">
        <v>3.4449999999999998</v>
      </c>
      <c r="M131">
        <v>3.5219999999999998</v>
      </c>
      <c r="N131">
        <v>3.48</v>
      </c>
      <c r="O131">
        <v>3.4489999999999998</v>
      </c>
      <c r="P131">
        <v>3.4119999999999999</v>
      </c>
      <c r="Q131">
        <v>3.35</v>
      </c>
      <c r="R131">
        <v>3.3239999999999998</v>
      </c>
      <c r="S131" s="2">
        <v>45337</v>
      </c>
      <c r="T131">
        <v>3.6040000000000001</v>
      </c>
      <c r="U131">
        <v>3.625</v>
      </c>
      <c r="V131">
        <v>3.6309999999999998</v>
      </c>
      <c r="W131">
        <v>3.6389999999999998</v>
      </c>
      <c r="X131">
        <v>3.645</v>
      </c>
      <c r="Y131">
        <v>3.6480000000000001</v>
      </c>
      <c r="Z131">
        <v>3.6589999999999998</v>
      </c>
      <c r="AA131">
        <v>3.6680000000000001</v>
      </c>
      <c r="AB131">
        <v>3.6749999999999998</v>
      </c>
      <c r="AC131">
        <v>3.681</v>
      </c>
      <c r="AD131">
        <v>3.7519999999999998</v>
      </c>
      <c r="AE131">
        <v>3.77</v>
      </c>
      <c r="AF131">
        <v>3.782</v>
      </c>
      <c r="AG131">
        <v>3.7589999999999999</v>
      </c>
      <c r="AH131">
        <v>3.7490000000000001</v>
      </c>
      <c r="AI131">
        <v>0</v>
      </c>
      <c r="AJ131" s="2">
        <v>45337</v>
      </c>
      <c r="AK131">
        <v>3.4260000000000002</v>
      </c>
      <c r="AL131">
        <v>3.4</v>
      </c>
      <c r="AM131">
        <v>3.351</v>
      </c>
      <c r="AN131">
        <v>3.39</v>
      </c>
      <c r="AO131">
        <v>3.488</v>
      </c>
      <c r="AP131">
        <v>3.4529999999999998</v>
      </c>
      <c r="AQ131">
        <v>3.5</v>
      </c>
      <c r="AR131">
        <v>3.49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2:52">
      <c r="B132" s="2">
        <v>45336</v>
      </c>
      <c r="C132">
        <v>3.45</v>
      </c>
      <c r="D132">
        <v>3.4580000000000002</v>
      </c>
      <c r="E132">
        <v>3.4609999999999999</v>
      </c>
      <c r="F132">
        <v>3.4529999999999998</v>
      </c>
      <c r="G132">
        <v>3.4460000000000002</v>
      </c>
      <c r="H132">
        <v>3.4710000000000001</v>
      </c>
      <c r="I132">
        <v>3.44</v>
      </c>
      <c r="J132">
        <v>3.4140000000000001</v>
      </c>
      <c r="K132">
        <v>3.476</v>
      </c>
      <c r="L132">
        <v>3.4550000000000001</v>
      </c>
      <c r="M132">
        <v>3.5350000000000001</v>
      </c>
      <c r="N132">
        <v>3.4950000000000001</v>
      </c>
      <c r="O132">
        <v>3.4569999999999999</v>
      </c>
      <c r="P132">
        <v>3.415</v>
      </c>
      <c r="Q132">
        <v>3.36</v>
      </c>
      <c r="R132">
        <v>3.335</v>
      </c>
      <c r="S132" s="2">
        <v>45336</v>
      </c>
      <c r="T132">
        <v>3.6040000000000001</v>
      </c>
      <c r="U132">
        <v>3.63</v>
      </c>
      <c r="V132">
        <v>3.6389999999999998</v>
      </c>
      <c r="W132">
        <v>3.6459999999999999</v>
      </c>
      <c r="X132">
        <v>3.657</v>
      </c>
      <c r="Y132">
        <v>3.6640000000000001</v>
      </c>
      <c r="Z132">
        <v>3.6749999999999998</v>
      </c>
      <c r="AA132">
        <v>3.6840000000000002</v>
      </c>
      <c r="AB132">
        <v>3.6909999999999998</v>
      </c>
      <c r="AC132">
        <v>3.6989999999999998</v>
      </c>
      <c r="AD132">
        <v>3.77</v>
      </c>
      <c r="AE132">
        <v>3.79</v>
      </c>
      <c r="AF132">
        <v>3.79</v>
      </c>
      <c r="AG132">
        <v>3.762</v>
      </c>
      <c r="AH132">
        <v>3.76</v>
      </c>
      <c r="AI132">
        <v>0</v>
      </c>
      <c r="AJ132" s="2">
        <v>45336</v>
      </c>
      <c r="AK132">
        <v>3.43</v>
      </c>
      <c r="AL132">
        <v>3.4049999999999998</v>
      </c>
      <c r="AM132">
        <v>3.3559999999999999</v>
      </c>
      <c r="AN132">
        <v>3.3929999999999998</v>
      </c>
      <c r="AO132">
        <v>3.4929999999999999</v>
      </c>
      <c r="AP132">
        <v>3.4620000000000002</v>
      </c>
      <c r="AQ132">
        <v>3.5070000000000001</v>
      </c>
      <c r="AR132">
        <v>3.5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2:52">
      <c r="B133" s="2">
        <v>45335</v>
      </c>
      <c r="C133">
        <v>3.448</v>
      </c>
      <c r="D133">
        <v>3.456</v>
      </c>
      <c r="E133">
        <v>3.46</v>
      </c>
      <c r="F133">
        <v>3.4159999999999999</v>
      </c>
      <c r="G133">
        <v>3.4049999999999998</v>
      </c>
      <c r="H133">
        <v>3.4049999999999998</v>
      </c>
      <c r="I133">
        <v>3.37</v>
      </c>
      <c r="J133">
        <v>3.347</v>
      </c>
      <c r="K133">
        <v>3.41</v>
      </c>
      <c r="L133">
        <v>3.3849999999999998</v>
      </c>
      <c r="M133">
        <v>3.48</v>
      </c>
      <c r="N133">
        <v>3.4449999999999998</v>
      </c>
      <c r="O133">
        <v>3.4169999999999998</v>
      </c>
      <c r="P133">
        <v>3.3889999999999998</v>
      </c>
      <c r="Q133">
        <v>3.35</v>
      </c>
      <c r="R133">
        <v>3.3260000000000001</v>
      </c>
      <c r="S133" s="2">
        <v>45335</v>
      </c>
      <c r="T133">
        <v>3.5960000000000001</v>
      </c>
      <c r="U133">
        <v>3.6179999999999999</v>
      </c>
      <c r="V133">
        <v>3.6240000000000001</v>
      </c>
      <c r="W133">
        <v>3.6219999999999999</v>
      </c>
      <c r="X133">
        <v>3.5990000000000002</v>
      </c>
      <c r="Y133">
        <v>3.6070000000000002</v>
      </c>
      <c r="Z133">
        <v>3.613</v>
      </c>
      <c r="AA133">
        <v>3.6269999999999998</v>
      </c>
      <c r="AB133">
        <v>3.637</v>
      </c>
      <c r="AC133">
        <v>3.6389999999999998</v>
      </c>
      <c r="AD133">
        <v>3.718</v>
      </c>
      <c r="AE133">
        <v>3.74</v>
      </c>
      <c r="AF133">
        <v>3.7490000000000001</v>
      </c>
      <c r="AG133">
        <v>3.7370000000000001</v>
      </c>
      <c r="AH133">
        <v>3.7490000000000001</v>
      </c>
      <c r="AI133">
        <v>0</v>
      </c>
      <c r="AJ133" s="2">
        <v>45335</v>
      </c>
      <c r="AK133">
        <v>3.4209999999999998</v>
      </c>
      <c r="AL133">
        <v>3.3940000000000001</v>
      </c>
      <c r="AM133">
        <v>3.34</v>
      </c>
      <c r="AN133">
        <v>3.3679999999999999</v>
      </c>
      <c r="AO133">
        <v>3.43</v>
      </c>
      <c r="AP133">
        <v>3.3959999999999999</v>
      </c>
      <c r="AQ133">
        <v>3.4390000000000001</v>
      </c>
      <c r="AR133">
        <v>3.43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2:52">
      <c r="B134" s="2">
        <v>45330</v>
      </c>
      <c r="C134">
        <v>3.4449999999999998</v>
      </c>
      <c r="D134">
        <v>3.4529999999999998</v>
      </c>
      <c r="E134">
        <v>3.4609999999999999</v>
      </c>
      <c r="F134">
        <v>3.4039999999999999</v>
      </c>
      <c r="G134">
        <v>3.3780000000000001</v>
      </c>
      <c r="H134">
        <v>3.375</v>
      </c>
      <c r="I134">
        <v>3.3290000000000002</v>
      </c>
      <c r="J134">
        <v>3.3039999999999998</v>
      </c>
      <c r="K134">
        <v>3.3679999999999999</v>
      </c>
      <c r="L134">
        <v>3.34</v>
      </c>
      <c r="M134">
        <v>3.4380000000000002</v>
      </c>
      <c r="N134">
        <v>3.4049999999999998</v>
      </c>
      <c r="O134">
        <v>3.3839999999999999</v>
      </c>
      <c r="P134">
        <v>3.3639999999999999</v>
      </c>
      <c r="Q134">
        <v>3.327</v>
      </c>
      <c r="R134">
        <v>3.3039999999999998</v>
      </c>
      <c r="S134" s="2">
        <v>45330</v>
      </c>
      <c r="T134">
        <v>3.5910000000000002</v>
      </c>
      <c r="U134">
        <v>3.6150000000000002</v>
      </c>
      <c r="V134">
        <v>3.6190000000000002</v>
      </c>
      <c r="W134">
        <v>3.605</v>
      </c>
      <c r="X134">
        <v>3.5710000000000002</v>
      </c>
      <c r="Y134">
        <v>3.5779999999999998</v>
      </c>
      <c r="Z134">
        <v>3.577</v>
      </c>
      <c r="AA134">
        <v>3.5870000000000002</v>
      </c>
      <c r="AB134">
        <v>3.5979999999999999</v>
      </c>
      <c r="AC134">
        <v>3.597</v>
      </c>
      <c r="AD134">
        <v>3.6760000000000002</v>
      </c>
      <c r="AE134">
        <v>3.7010000000000001</v>
      </c>
      <c r="AF134">
        <v>3.7170000000000001</v>
      </c>
      <c r="AG134">
        <v>3.7109999999999999</v>
      </c>
      <c r="AH134">
        <v>3.726</v>
      </c>
      <c r="AI134">
        <v>0</v>
      </c>
      <c r="AJ134" s="2">
        <v>45330</v>
      </c>
      <c r="AK134">
        <v>3.4159999999999999</v>
      </c>
      <c r="AL134">
        <v>3.3889999999999998</v>
      </c>
      <c r="AM134">
        <v>3.331</v>
      </c>
      <c r="AN134">
        <v>3.351</v>
      </c>
      <c r="AO134">
        <v>3.4</v>
      </c>
      <c r="AP134">
        <v>3.3639999999999999</v>
      </c>
      <c r="AQ134">
        <v>3.4</v>
      </c>
      <c r="AR134">
        <v>3.39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2:52">
      <c r="B135" s="2">
        <v>45329</v>
      </c>
      <c r="C135">
        <v>3.4409999999999998</v>
      </c>
      <c r="D135">
        <v>3.4460000000000002</v>
      </c>
      <c r="E135">
        <v>3.4550000000000001</v>
      </c>
      <c r="F135">
        <v>3.383</v>
      </c>
      <c r="G135">
        <v>3.3620000000000001</v>
      </c>
      <c r="H135">
        <v>3.3620000000000001</v>
      </c>
      <c r="I135">
        <v>3.3149999999999999</v>
      </c>
      <c r="J135">
        <v>3.29</v>
      </c>
      <c r="K135">
        <v>3.3479999999999999</v>
      </c>
      <c r="L135">
        <v>3.3170000000000002</v>
      </c>
      <c r="M135">
        <v>3.4159999999999999</v>
      </c>
      <c r="N135">
        <v>3.3820000000000001</v>
      </c>
      <c r="O135">
        <v>3.3650000000000002</v>
      </c>
      <c r="P135">
        <v>3.347</v>
      </c>
      <c r="Q135">
        <v>3.3069999999999999</v>
      </c>
      <c r="R135">
        <v>3.28</v>
      </c>
      <c r="S135" s="2">
        <v>45329</v>
      </c>
      <c r="T135">
        <v>3.5880000000000001</v>
      </c>
      <c r="U135">
        <v>3.6120000000000001</v>
      </c>
      <c r="V135">
        <v>3.6160000000000001</v>
      </c>
      <c r="W135">
        <v>3.6030000000000002</v>
      </c>
      <c r="X135">
        <v>3.5659999999999998</v>
      </c>
      <c r="Y135">
        <v>3.5720000000000001</v>
      </c>
      <c r="Z135">
        <v>3.569</v>
      </c>
      <c r="AA135">
        <v>3.5779999999999998</v>
      </c>
      <c r="AB135">
        <v>3.5840000000000001</v>
      </c>
      <c r="AC135">
        <v>3.581</v>
      </c>
      <c r="AD135">
        <v>3.6619999999999999</v>
      </c>
      <c r="AE135">
        <v>3.6789999999999998</v>
      </c>
      <c r="AF135">
        <v>3.6970000000000001</v>
      </c>
      <c r="AG135">
        <v>3.694</v>
      </c>
      <c r="AH135">
        <v>3.706</v>
      </c>
      <c r="AI135">
        <v>0</v>
      </c>
      <c r="AJ135" s="2">
        <v>45329</v>
      </c>
      <c r="AK135">
        <v>3.415</v>
      </c>
      <c r="AL135">
        <v>3.3849999999999998</v>
      </c>
      <c r="AM135">
        <v>3.3279999999999998</v>
      </c>
      <c r="AN135">
        <v>3.3460000000000001</v>
      </c>
      <c r="AO135">
        <v>3.39</v>
      </c>
      <c r="AP135">
        <v>3.355</v>
      </c>
      <c r="AQ135">
        <v>3.383</v>
      </c>
      <c r="AR135">
        <v>3.375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2:52">
      <c r="B136" s="2">
        <v>45328</v>
      </c>
      <c r="C136">
        <v>3.4409999999999998</v>
      </c>
      <c r="D136">
        <v>3.4460000000000002</v>
      </c>
      <c r="E136">
        <v>3.4569999999999999</v>
      </c>
      <c r="F136">
        <v>3.371</v>
      </c>
      <c r="G136">
        <v>3.3639999999999999</v>
      </c>
      <c r="H136">
        <v>3.367</v>
      </c>
      <c r="I136">
        <v>3.32</v>
      </c>
      <c r="J136">
        <v>3.2909999999999999</v>
      </c>
      <c r="K136">
        <v>3.3530000000000002</v>
      </c>
      <c r="L136">
        <v>3.327</v>
      </c>
      <c r="M136">
        <v>3.4209999999999998</v>
      </c>
      <c r="N136">
        <v>3.3839999999999999</v>
      </c>
      <c r="O136">
        <v>3.3650000000000002</v>
      </c>
      <c r="P136">
        <v>3.3439999999999999</v>
      </c>
      <c r="Q136">
        <v>3.3029999999999999</v>
      </c>
      <c r="R136">
        <v>3.2759999999999998</v>
      </c>
      <c r="S136" s="2">
        <v>45328</v>
      </c>
      <c r="T136">
        <v>3.5819999999999999</v>
      </c>
      <c r="U136">
        <v>3.6080000000000001</v>
      </c>
      <c r="V136">
        <v>3.613</v>
      </c>
      <c r="W136">
        <v>3.6019999999999999</v>
      </c>
      <c r="X136">
        <v>3.573</v>
      </c>
      <c r="Y136">
        <v>3.5819999999999999</v>
      </c>
      <c r="Z136">
        <v>3.58</v>
      </c>
      <c r="AA136">
        <v>3.5790000000000002</v>
      </c>
      <c r="AB136">
        <v>3.593</v>
      </c>
      <c r="AC136">
        <v>3.5950000000000002</v>
      </c>
      <c r="AD136">
        <v>3.6659999999999999</v>
      </c>
      <c r="AE136">
        <v>3.681</v>
      </c>
      <c r="AF136">
        <v>3.6970000000000001</v>
      </c>
      <c r="AG136">
        <v>3.6909999999999998</v>
      </c>
      <c r="AH136">
        <v>3.702</v>
      </c>
      <c r="AI136">
        <v>0</v>
      </c>
      <c r="AJ136" s="2">
        <v>45328</v>
      </c>
      <c r="AK136">
        <v>3.411</v>
      </c>
      <c r="AL136">
        <v>3.38</v>
      </c>
      <c r="AM136">
        <v>3.323</v>
      </c>
      <c r="AN136">
        <v>3.343</v>
      </c>
      <c r="AO136">
        <v>3.395</v>
      </c>
      <c r="AP136">
        <v>3.3610000000000002</v>
      </c>
      <c r="AQ136">
        <v>3.39</v>
      </c>
      <c r="AR136">
        <v>3.3809999999999998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2:52">
      <c r="B137" s="2">
        <v>45327</v>
      </c>
      <c r="C137">
        <v>3.4430000000000001</v>
      </c>
      <c r="D137">
        <v>3.45</v>
      </c>
      <c r="E137">
        <v>3.4580000000000002</v>
      </c>
      <c r="F137">
        <v>3.371</v>
      </c>
      <c r="G137">
        <v>3.3740000000000001</v>
      </c>
      <c r="H137">
        <v>3.3980000000000001</v>
      </c>
      <c r="I137">
        <v>3.331</v>
      </c>
      <c r="J137">
        <v>3.3069999999999999</v>
      </c>
      <c r="K137">
        <v>3.3610000000000002</v>
      </c>
      <c r="L137">
        <v>3.335</v>
      </c>
      <c r="M137">
        <v>3.423</v>
      </c>
      <c r="N137">
        <v>3.3820000000000001</v>
      </c>
      <c r="O137">
        <v>3.3530000000000002</v>
      </c>
      <c r="P137">
        <v>3.32</v>
      </c>
      <c r="Q137">
        <v>3.2749999999999999</v>
      </c>
      <c r="R137">
        <v>3.2480000000000002</v>
      </c>
      <c r="S137" s="2">
        <v>45327</v>
      </c>
      <c r="T137">
        <v>3.5830000000000002</v>
      </c>
      <c r="U137">
        <v>3.6120000000000001</v>
      </c>
      <c r="V137">
        <v>3.6160000000000001</v>
      </c>
      <c r="W137">
        <v>3.6080000000000001</v>
      </c>
      <c r="X137">
        <v>3.5859999999999999</v>
      </c>
      <c r="Y137">
        <v>3.5920000000000001</v>
      </c>
      <c r="Z137">
        <v>3.5939999999999999</v>
      </c>
      <c r="AA137">
        <v>3.6</v>
      </c>
      <c r="AB137">
        <v>3.605</v>
      </c>
      <c r="AC137">
        <v>3.6059999999999999</v>
      </c>
      <c r="AD137">
        <v>3.67</v>
      </c>
      <c r="AE137">
        <v>3.6789999999999998</v>
      </c>
      <c r="AF137">
        <v>3.6850000000000001</v>
      </c>
      <c r="AG137">
        <v>3.6669999999999998</v>
      </c>
      <c r="AH137">
        <v>3.6739999999999999</v>
      </c>
      <c r="AI137">
        <v>0</v>
      </c>
      <c r="AJ137" s="2">
        <v>45327</v>
      </c>
      <c r="AK137">
        <v>3.4129999999999998</v>
      </c>
      <c r="AL137">
        <v>3.3839999999999999</v>
      </c>
      <c r="AM137">
        <v>3.3260000000000001</v>
      </c>
      <c r="AN137">
        <v>3.3460000000000001</v>
      </c>
      <c r="AO137">
        <v>3.4009999999999998</v>
      </c>
      <c r="AP137">
        <v>3.3650000000000002</v>
      </c>
      <c r="AQ137">
        <v>3.4049999999999998</v>
      </c>
      <c r="AR137">
        <v>3.399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2:52">
      <c r="B138" s="2">
        <v>45324</v>
      </c>
      <c r="C138">
        <v>3.4329999999999998</v>
      </c>
      <c r="D138">
        <v>3.4329999999999998</v>
      </c>
      <c r="E138">
        <v>3.431</v>
      </c>
      <c r="F138">
        <v>3.343</v>
      </c>
      <c r="G138">
        <v>3.32</v>
      </c>
      <c r="H138">
        <v>3.3050000000000002</v>
      </c>
      <c r="I138">
        <v>3.2650000000000001</v>
      </c>
      <c r="J138">
        <v>3.2440000000000002</v>
      </c>
      <c r="K138">
        <v>3.2890000000000001</v>
      </c>
      <c r="L138">
        <v>3.2559999999999998</v>
      </c>
      <c r="M138">
        <v>3.3359999999999999</v>
      </c>
      <c r="N138">
        <v>3.29</v>
      </c>
      <c r="O138">
        <v>3.2719999999999998</v>
      </c>
      <c r="P138">
        <v>3.25</v>
      </c>
      <c r="Q138">
        <v>3.2120000000000002</v>
      </c>
      <c r="R138">
        <v>3.1850000000000001</v>
      </c>
      <c r="S138" s="2">
        <v>45324</v>
      </c>
      <c r="T138">
        <v>3.5720000000000001</v>
      </c>
      <c r="U138">
        <v>3.5950000000000002</v>
      </c>
      <c r="V138">
        <v>3.5990000000000002</v>
      </c>
      <c r="W138">
        <v>3.5870000000000002</v>
      </c>
      <c r="X138">
        <v>3.556</v>
      </c>
      <c r="Y138">
        <v>3.548</v>
      </c>
      <c r="Z138">
        <v>3.5470000000000002</v>
      </c>
      <c r="AA138">
        <v>3.552</v>
      </c>
      <c r="AB138">
        <v>3.556</v>
      </c>
      <c r="AC138">
        <v>3.5470000000000002</v>
      </c>
      <c r="AD138">
        <v>3.601</v>
      </c>
      <c r="AE138">
        <v>3.5939999999999999</v>
      </c>
      <c r="AF138">
        <v>3.605</v>
      </c>
      <c r="AG138">
        <v>3.597</v>
      </c>
      <c r="AH138">
        <v>3.6110000000000002</v>
      </c>
      <c r="AI138">
        <v>0</v>
      </c>
      <c r="AJ138" s="2">
        <v>45324</v>
      </c>
      <c r="AK138">
        <v>3.4</v>
      </c>
      <c r="AL138">
        <v>3.3620000000000001</v>
      </c>
      <c r="AM138">
        <v>3.3029999999999999</v>
      </c>
      <c r="AN138">
        <v>3.3159999999999998</v>
      </c>
      <c r="AO138">
        <v>3.3519999999999999</v>
      </c>
      <c r="AP138">
        <v>3.3050000000000002</v>
      </c>
      <c r="AQ138">
        <v>3.3439999999999999</v>
      </c>
      <c r="AR138">
        <v>3.335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2:52">
      <c r="B139" s="2">
        <v>45323</v>
      </c>
      <c r="C139">
        <v>3.4350000000000001</v>
      </c>
      <c r="D139">
        <v>3.4350000000000001</v>
      </c>
      <c r="E139">
        <v>3.4329999999999998</v>
      </c>
      <c r="F139">
        <v>3.3460000000000001</v>
      </c>
      <c r="G139">
        <v>3.33</v>
      </c>
      <c r="H139">
        <v>3.319</v>
      </c>
      <c r="I139">
        <v>3.29</v>
      </c>
      <c r="J139">
        <v>3.27</v>
      </c>
      <c r="K139">
        <v>3.3220000000000001</v>
      </c>
      <c r="L139">
        <v>3.2970000000000002</v>
      </c>
      <c r="M139">
        <v>3.3839999999999999</v>
      </c>
      <c r="N139">
        <v>3.3450000000000002</v>
      </c>
      <c r="O139">
        <v>3.3330000000000002</v>
      </c>
      <c r="P139">
        <v>3.3220000000000001</v>
      </c>
      <c r="Q139">
        <v>3.2850000000000001</v>
      </c>
      <c r="R139">
        <v>3.258</v>
      </c>
      <c r="S139" s="2">
        <v>45323</v>
      </c>
      <c r="T139">
        <v>3.577</v>
      </c>
      <c r="U139">
        <v>3.597</v>
      </c>
      <c r="V139">
        <v>3.6040000000000001</v>
      </c>
      <c r="W139">
        <v>3.5910000000000002</v>
      </c>
      <c r="X139">
        <v>3.5790000000000002</v>
      </c>
      <c r="Y139">
        <v>3.5710000000000002</v>
      </c>
      <c r="Z139">
        <v>3.5710000000000002</v>
      </c>
      <c r="AA139">
        <v>3.5790000000000002</v>
      </c>
      <c r="AB139">
        <v>3.59</v>
      </c>
      <c r="AC139">
        <v>3.5859999999999999</v>
      </c>
      <c r="AD139">
        <v>3.6509999999999998</v>
      </c>
      <c r="AE139">
        <v>3.653</v>
      </c>
      <c r="AF139">
        <v>3.6659999999999999</v>
      </c>
      <c r="AG139">
        <v>3.669</v>
      </c>
      <c r="AH139">
        <v>3.6840000000000002</v>
      </c>
      <c r="AI139">
        <v>0</v>
      </c>
      <c r="AJ139" s="2">
        <v>45323</v>
      </c>
      <c r="AK139">
        <v>3.4049999999999998</v>
      </c>
      <c r="AL139">
        <v>3.3639999999999999</v>
      </c>
      <c r="AM139">
        <v>3.3050000000000002</v>
      </c>
      <c r="AN139">
        <v>3.3180000000000001</v>
      </c>
      <c r="AO139">
        <v>3.3650000000000002</v>
      </c>
      <c r="AP139">
        <v>3.32</v>
      </c>
      <c r="AQ139">
        <v>3.359</v>
      </c>
      <c r="AR139">
        <v>3.355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2:52">
      <c r="B140" s="2">
        <v>45322</v>
      </c>
      <c r="C140">
        <v>3.4350000000000001</v>
      </c>
      <c r="D140">
        <v>3.4359999999999999</v>
      </c>
      <c r="E140">
        <v>3.4329999999999998</v>
      </c>
      <c r="F140">
        <v>3.3380000000000001</v>
      </c>
      <c r="G140">
        <v>3.3260000000000001</v>
      </c>
      <c r="H140">
        <v>3.31</v>
      </c>
      <c r="I140">
        <v>3.2850000000000001</v>
      </c>
      <c r="J140">
        <v>3.2589999999999999</v>
      </c>
      <c r="K140">
        <v>3.3180000000000001</v>
      </c>
      <c r="L140">
        <v>3.2949999999999999</v>
      </c>
      <c r="M140">
        <v>3.3849999999999998</v>
      </c>
      <c r="N140">
        <v>3.3450000000000002</v>
      </c>
      <c r="O140">
        <v>3.3370000000000002</v>
      </c>
      <c r="P140">
        <v>3.33</v>
      </c>
      <c r="Q140">
        <v>3.2970000000000002</v>
      </c>
      <c r="R140">
        <v>3.27</v>
      </c>
      <c r="S140" s="2">
        <v>45322</v>
      </c>
      <c r="T140">
        <v>3.5750000000000002</v>
      </c>
      <c r="U140">
        <v>3.5979999999999999</v>
      </c>
      <c r="V140">
        <v>3.6040000000000001</v>
      </c>
      <c r="W140">
        <v>3.5910000000000002</v>
      </c>
      <c r="X140">
        <v>3.569</v>
      </c>
      <c r="Y140">
        <v>3.569</v>
      </c>
      <c r="Z140">
        <v>3.5739999999999998</v>
      </c>
      <c r="AA140">
        <v>3.5779999999999998</v>
      </c>
      <c r="AB140">
        <v>3.589</v>
      </c>
      <c r="AC140">
        <v>3.5830000000000002</v>
      </c>
      <c r="AD140">
        <v>3.6520000000000001</v>
      </c>
      <c r="AE140">
        <v>3.653</v>
      </c>
      <c r="AF140">
        <v>3.67</v>
      </c>
      <c r="AG140">
        <v>3.677</v>
      </c>
      <c r="AH140">
        <v>3.6960000000000002</v>
      </c>
      <c r="AI140">
        <v>0</v>
      </c>
      <c r="AJ140" s="2">
        <v>45322</v>
      </c>
      <c r="AK140">
        <v>3.403</v>
      </c>
      <c r="AL140">
        <v>3.3639999999999999</v>
      </c>
      <c r="AM140">
        <v>3.3029999999999999</v>
      </c>
      <c r="AN140">
        <v>3.3149999999999999</v>
      </c>
      <c r="AO140">
        <v>3.35</v>
      </c>
      <c r="AP140">
        <v>3.31</v>
      </c>
      <c r="AQ140">
        <v>3.347</v>
      </c>
      <c r="AR140">
        <v>3.3450000000000002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2:52">
      <c r="B141" s="2">
        <v>45321</v>
      </c>
      <c r="C141">
        <v>3.43</v>
      </c>
      <c r="D141">
        <v>3.431</v>
      </c>
      <c r="E141">
        <v>3.4350000000000001</v>
      </c>
      <c r="F141">
        <v>3.34</v>
      </c>
      <c r="G141">
        <v>3.323</v>
      </c>
      <c r="H141">
        <v>3.3119999999999998</v>
      </c>
      <c r="I141">
        <v>3.294</v>
      </c>
      <c r="J141">
        <v>3.27</v>
      </c>
      <c r="K141">
        <v>3.335</v>
      </c>
      <c r="L141">
        <v>3.3119999999999998</v>
      </c>
      <c r="M141">
        <v>3.403</v>
      </c>
      <c r="N141">
        <v>3.3610000000000002</v>
      </c>
      <c r="O141">
        <v>3.35</v>
      </c>
      <c r="P141">
        <v>3.3380000000000001</v>
      </c>
      <c r="Q141">
        <v>3.2970000000000002</v>
      </c>
      <c r="R141">
        <v>3.27</v>
      </c>
      <c r="S141" s="2">
        <v>45321</v>
      </c>
      <c r="T141">
        <v>3.5779999999999998</v>
      </c>
      <c r="U141">
        <v>3.601</v>
      </c>
      <c r="V141">
        <v>3.6080000000000001</v>
      </c>
      <c r="W141">
        <v>3.5990000000000002</v>
      </c>
      <c r="X141">
        <v>3.5880000000000001</v>
      </c>
      <c r="Y141">
        <v>3.585</v>
      </c>
      <c r="Z141">
        <v>3.593</v>
      </c>
      <c r="AA141">
        <v>3.597</v>
      </c>
      <c r="AB141">
        <v>3.6150000000000002</v>
      </c>
      <c r="AC141">
        <v>3.6070000000000002</v>
      </c>
      <c r="AD141">
        <v>3.6720000000000002</v>
      </c>
      <c r="AE141">
        <v>3.669</v>
      </c>
      <c r="AF141">
        <v>3.6840000000000002</v>
      </c>
      <c r="AG141">
        <v>3.6850000000000001</v>
      </c>
      <c r="AH141">
        <v>3.6960000000000002</v>
      </c>
      <c r="AI141">
        <v>0</v>
      </c>
      <c r="AJ141" s="2">
        <v>45321</v>
      </c>
      <c r="AK141">
        <v>3.4</v>
      </c>
      <c r="AL141">
        <v>3.3620000000000001</v>
      </c>
      <c r="AM141">
        <v>3.3010000000000002</v>
      </c>
      <c r="AN141">
        <v>3.3149999999999999</v>
      </c>
      <c r="AO141">
        <v>3.3559999999999999</v>
      </c>
      <c r="AP141">
        <v>3.3180000000000001</v>
      </c>
      <c r="AQ141">
        <v>3.36</v>
      </c>
      <c r="AR141">
        <v>3.36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2:52">
      <c r="B142" s="2">
        <v>45320</v>
      </c>
      <c r="C142">
        <v>3.4359999999999999</v>
      </c>
      <c r="D142">
        <v>3.4329999999999998</v>
      </c>
      <c r="E142">
        <v>3.4359999999999999</v>
      </c>
      <c r="F142">
        <v>3.3460000000000001</v>
      </c>
      <c r="G142">
        <v>3.3410000000000002</v>
      </c>
      <c r="H142">
        <v>3.34</v>
      </c>
      <c r="I142">
        <v>3.3250000000000002</v>
      </c>
      <c r="J142">
        <v>3.3039999999999998</v>
      </c>
      <c r="K142">
        <v>3.38</v>
      </c>
      <c r="L142">
        <v>3.3639999999999999</v>
      </c>
      <c r="M142">
        <v>3.4689999999999999</v>
      </c>
      <c r="N142">
        <v>3.4409999999999998</v>
      </c>
      <c r="O142">
        <v>3.431</v>
      </c>
      <c r="P142">
        <v>3.42</v>
      </c>
      <c r="Q142">
        <v>3.3660000000000001</v>
      </c>
      <c r="R142">
        <v>3.339</v>
      </c>
      <c r="S142" s="2">
        <v>45320</v>
      </c>
      <c r="T142">
        <v>3.5779999999999998</v>
      </c>
      <c r="U142">
        <v>3.6030000000000002</v>
      </c>
      <c r="V142">
        <v>3.609</v>
      </c>
      <c r="W142">
        <v>3.6040000000000001</v>
      </c>
      <c r="X142">
        <v>3.621</v>
      </c>
      <c r="Y142">
        <v>3.6160000000000001</v>
      </c>
      <c r="Z142">
        <v>3.63</v>
      </c>
      <c r="AA142">
        <v>3.6360000000000001</v>
      </c>
      <c r="AB142">
        <v>3.665</v>
      </c>
      <c r="AC142">
        <v>3.661</v>
      </c>
      <c r="AD142">
        <v>3.7370000000000001</v>
      </c>
      <c r="AE142">
        <v>3.7490000000000001</v>
      </c>
      <c r="AF142">
        <v>3.7650000000000001</v>
      </c>
      <c r="AG142">
        <v>3.7669999999999999</v>
      </c>
      <c r="AH142">
        <v>3.766</v>
      </c>
      <c r="AI142">
        <v>0</v>
      </c>
      <c r="AJ142" s="2">
        <v>45320</v>
      </c>
      <c r="AK142">
        <v>3.4009999999999998</v>
      </c>
      <c r="AL142">
        <v>3.367</v>
      </c>
      <c r="AM142">
        <v>3.3029999999999999</v>
      </c>
      <c r="AN142">
        <v>3.3180000000000001</v>
      </c>
      <c r="AO142">
        <v>3.3849999999999998</v>
      </c>
      <c r="AP142">
        <v>3.3450000000000002</v>
      </c>
      <c r="AQ142">
        <v>3.391</v>
      </c>
      <c r="AR142">
        <v>3.399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2:52">
      <c r="B143" s="2">
        <v>45317</v>
      </c>
      <c r="C143">
        <v>3.4279999999999999</v>
      </c>
      <c r="D143">
        <v>3.4209999999999998</v>
      </c>
      <c r="E143">
        <v>3.4279999999999999</v>
      </c>
      <c r="F143">
        <v>3.335</v>
      </c>
      <c r="G143">
        <v>3.323</v>
      </c>
      <c r="H143">
        <v>3.2909999999999999</v>
      </c>
      <c r="I143">
        <v>3.2850000000000001</v>
      </c>
      <c r="J143">
        <v>3.26</v>
      </c>
      <c r="K143">
        <v>3.335</v>
      </c>
      <c r="L143">
        <v>3.31</v>
      </c>
      <c r="M143">
        <v>3.4140000000000001</v>
      </c>
      <c r="N143">
        <v>3.387</v>
      </c>
      <c r="O143">
        <v>3.3719999999999999</v>
      </c>
      <c r="P143">
        <v>3.355</v>
      </c>
      <c r="Q143">
        <v>3.3</v>
      </c>
      <c r="R143">
        <v>3.2730000000000001</v>
      </c>
      <c r="S143" s="2">
        <v>45317</v>
      </c>
      <c r="T143">
        <v>3.5670000000000002</v>
      </c>
      <c r="U143">
        <v>3.593</v>
      </c>
      <c r="V143">
        <v>3.601</v>
      </c>
      <c r="W143">
        <v>3.5819999999999999</v>
      </c>
      <c r="X143">
        <v>3.6</v>
      </c>
      <c r="Y143">
        <v>3.5870000000000002</v>
      </c>
      <c r="Z143">
        <v>3.5990000000000002</v>
      </c>
      <c r="AA143">
        <v>3.597</v>
      </c>
      <c r="AB143">
        <v>3.6259999999999999</v>
      </c>
      <c r="AC143">
        <v>3.61</v>
      </c>
      <c r="AD143">
        <v>3.6829999999999998</v>
      </c>
      <c r="AE143">
        <v>3.6949999999999998</v>
      </c>
      <c r="AF143">
        <v>3.7050000000000001</v>
      </c>
      <c r="AG143">
        <v>3.702</v>
      </c>
      <c r="AH143">
        <v>3.6989999999999998</v>
      </c>
      <c r="AI143">
        <v>0</v>
      </c>
      <c r="AJ143" s="2">
        <v>45317</v>
      </c>
      <c r="AK143">
        <v>3.391</v>
      </c>
      <c r="AL143">
        <v>3.359</v>
      </c>
      <c r="AM143">
        <v>3.2959999999999998</v>
      </c>
      <c r="AN143">
        <v>3.2959999999999998</v>
      </c>
      <c r="AO143">
        <v>3.359</v>
      </c>
      <c r="AP143">
        <v>3.31</v>
      </c>
      <c r="AQ143">
        <v>3.351</v>
      </c>
      <c r="AR143">
        <v>3.355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2:52">
      <c r="B144" s="2">
        <v>45316</v>
      </c>
      <c r="C144">
        <v>3.4350000000000001</v>
      </c>
      <c r="D144">
        <v>3.4249999999999998</v>
      </c>
      <c r="E144">
        <v>3.4279999999999999</v>
      </c>
      <c r="F144">
        <v>3.331</v>
      </c>
      <c r="G144">
        <v>3.34</v>
      </c>
      <c r="H144">
        <v>3.34</v>
      </c>
      <c r="I144">
        <v>3.33</v>
      </c>
      <c r="J144">
        <v>3.3050000000000002</v>
      </c>
      <c r="K144">
        <v>3.375</v>
      </c>
      <c r="L144">
        <v>3.3450000000000002</v>
      </c>
      <c r="M144">
        <v>3.4470000000000001</v>
      </c>
      <c r="N144">
        <v>3.415</v>
      </c>
      <c r="O144">
        <v>3.391</v>
      </c>
      <c r="P144">
        <v>3.3650000000000002</v>
      </c>
      <c r="Q144">
        <v>3.3050000000000002</v>
      </c>
      <c r="R144">
        <v>3.278</v>
      </c>
      <c r="S144" s="2">
        <v>45316</v>
      </c>
      <c r="T144">
        <v>3.5670000000000002</v>
      </c>
      <c r="U144">
        <v>3.597</v>
      </c>
      <c r="V144">
        <v>3.597</v>
      </c>
      <c r="W144">
        <v>3.5819999999999999</v>
      </c>
      <c r="X144">
        <v>3.6230000000000002</v>
      </c>
      <c r="Y144">
        <v>3.6219999999999999</v>
      </c>
      <c r="Z144">
        <v>3.6429999999999998</v>
      </c>
      <c r="AA144">
        <v>3.64</v>
      </c>
      <c r="AB144">
        <v>3.6680000000000001</v>
      </c>
      <c r="AC144">
        <v>3.6469999999999998</v>
      </c>
      <c r="AD144">
        <v>3.7160000000000002</v>
      </c>
      <c r="AE144">
        <v>3.7229999999999999</v>
      </c>
      <c r="AF144">
        <v>3.7250000000000001</v>
      </c>
      <c r="AG144">
        <v>3.7120000000000002</v>
      </c>
      <c r="AH144">
        <v>3.7040000000000002</v>
      </c>
      <c r="AI144">
        <v>0</v>
      </c>
      <c r="AJ144" s="2">
        <v>45316</v>
      </c>
      <c r="AK144">
        <v>3.39</v>
      </c>
      <c r="AL144">
        <v>3.363</v>
      </c>
      <c r="AM144">
        <v>3.3010000000000002</v>
      </c>
      <c r="AN144">
        <v>3.3</v>
      </c>
      <c r="AO144">
        <v>3.383</v>
      </c>
      <c r="AP144">
        <v>3.347</v>
      </c>
      <c r="AQ144">
        <v>3.3969999999999998</v>
      </c>
      <c r="AR144">
        <v>3.4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2:52">
      <c r="B145" s="2">
        <v>45315</v>
      </c>
      <c r="C145">
        <v>3.4350000000000001</v>
      </c>
      <c r="D145">
        <v>3.4220000000000002</v>
      </c>
      <c r="E145">
        <v>3.43</v>
      </c>
      <c r="F145">
        <v>3.3330000000000002</v>
      </c>
      <c r="G145">
        <v>3.34</v>
      </c>
      <c r="H145">
        <v>3.34</v>
      </c>
      <c r="I145">
        <v>3.32</v>
      </c>
      <c r="J145">
        <v>3.2930000000000001</v>
      </c>
      <c r="K145">
        <v>3.36</v>
      </c>
      <c r="L145">
        <v>3.3340000000000001</v>
      </c>
      <c r="M145">
        <v>3.4340000000000002</v>
      </c>
      <c r="N145">
        <v>3.3969999999999998</v>
      </c>
      <c r="O145">
        <v>3.3679999999999999</v>
      </c>
      <c r="P145">
        <v>3.335</v>
      </c>
      <c r="Q145">
        <v>3.2719999999999998</v>
      </c>
      <c r="R145">
        <v>3.2450000000000001</v>
      </c>
      <c r="S145" s="2">
        <v>45315</v>
      </c>
      <c r="T145">
        <v>3.5609999999999999</v>
      </c>
      <c r="U145">
        <v>3.597</v>
      </c>
      <c r="V145">
        <v>3.5950000000000002</v>
      </c>
      <c r="W145">
        <v>3.5760000000000001</v>
      </c>
      <c r="X145">
        <v>3.621</v>
      </c>
      <c r="Y145">
        <v>3.6150000000000002</v>
      </c>
      <c r="Z145">
        <v>3.6379999999999999</v>
      </c>
      <c r="AA145">
        <v>3.637</v>
      </c>
      <c r="AB145">
        <v>3.653</v>
      </c>
      <c r="AC145">
        <v>3.6360000000000001</v>
      </c>
      <c r="AD145">
        <v>3.7029999999999998</v>
      </c>
      <c r="AE145">
        <v>3.7050000000000001</v>
      </c>
      <c r="AF145">
        <v>3.7010000000000001</v>
      </c>
      <c r="AG145">
        <v>3.6819999999999999</v>
      </c>
      <c r="AH145">
        <v>3.6709999999999998</v>
      </c>
      <c r="AI145">
        <v>0</v>
      </c>
      <c r="AJ145" s="2">
        <v>45315</v>
      </c>
      <c r="AK145">
        <v>3.39</v>
      </c>
      <c r="AL145">
        <v>3.363</v>
      </c>
      <c r="AM145">
        <v>3.3010000000000002</v>
      </c>
      <c r="AN145">
        <v>3.298</v>
      </c>
      <c r="AO145">
        <v>3.3780000000000001</v>
      </c>
      <c r="AP145">
        <v>3.34</v>
      </c>
      <c r="AQ145">
        <v>3.39</v>
      </c>
      <c r="AR145">
        <v>3.3919999999999999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2:52">
      <c r="B146" s="2">
        <v>45314</v>
      </c>
      <c r="C146">
        <v>3.4380000000000002</v>
      </c>
      <c r="D146">
        <v>3.4220000000000002</v>
      </c>
      <c r="E146">
        <v>3.4289999999999998</v>
      </c>
      <c r="F146">
        <v>3.3330000000000002</v>
      </c>
      <c r="G146">
        <v>3.3380000000000001</v>
      </c>
      <c r="H146">
        <v>3.335</v>
      </c>
      <c r="I146">
        <v>3.32</v>
      </c>
      <c r="J146">
        <v>3.2879999999999998</v>
      </c>
      <c r="K146">
        <v>3.3530000000000002</v>
      </c>
      <c r="L146">
        <v>3.33</v>
      </c>
      <c r="M146">
        <v>3.42</v>
      </c>
      <c r="N146">
        <v>3.375</v>
      </c>
      <c r="O146">
        <v>3.35</v>
      </c>
      <c r="P146">
        <v>3.32</v>
      </c>
      <c r="Q146">
        <v>3.26</v>
      </c>
      <c r="R146">
        <v>3.2330000000000001</v>
      </c>
      <c r="S146" s="2">
        <v>45314</v>
      </c>
      <c r="T146">
        <v>3.5569999999999999</v>
      </c>
      <c r="U146">
        <v>3.593</v>
      </c>
      <c r="V146">
        <v>3.5859999999999999</v>
      </c>
      <c r="W146">
        <v>3.5579999999999998</v>
      </c>
      <c r="X146">
        <v>3.617</v>
      </c>
      <c r="Y146">
        <v>3.6230000000000002</v>
      </c>
      <c r="Z146">
        <v>3.645</v>
      </c>
      <c r="AA146">
        <v>3.637</v>
      </c>
      <c r="AB146">
        <v>3.6509999999999998</v>
      </c>
      <c r="AC146">
        <v>3.6349999999999998</v>
      </c>
      <c r="AD146">
        <v>3.6880000000000002</v>
      </c>
      <c r="AE146">
        <v>3.6829999999999998</v>
      </c>
      <c r="AF146">
        <v>3.6840000000000002</v>
      </c>
      <c r="AG146">
        <v>3.6680000000000001</v>
      </c>
      <c r="AH146">
        <v>3.6589999999999998</v>
      </c>
      <c r="AI146">
        <v>0</v>
      </c>
      <c r="AJ146" s="2">
        <v>45314</v>
      </c>
      <c r="AK146">
        <v>3.39</v>
      </c>
      <c r="AL146">
        <v>3.363</v>
      </c>
      <c r="AM146">
        <v>3.3</v>
      </c>
      <c r="AN146">
        <v>3.2839999999999998</v>
      </c>
      <c r="AO146">
        <v>3.371</v>
      </c>
      <c r="AP146">
        <v>3.34</v>
      </c>
      <c r="AQ146">
        <v>3.3839999999999999</v>
      </c>
      <c r="AR146">
        <v>3.3879999999999999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2:52">
      <c r="B147" s="2">
        <v>45313</v>
      </c>
      <c r="C147">
        <v>3.4350000000000001</v>
      </c>
      <c r="D147">
        <v>3.431</v>
      </c>
      <c r="E147">
        <v>3.4329999999999998</v>
      </c>
      <c r="F147">
        <v>3.3359999999999999</v>
      </c>
      <c r="G147">
        <v>3.3380000000000001</v>
      </c>
      <c r="H147">
        <v>3.3159999999999998</v>
      </c>
      <c r="I147">
        <v>3.31</v>
      </c>
      <c r="J147">
        <v>3.2770000000000001</v>
      </c>
      <c r="K147">
        <v>3.35</v>
      </c>
      <c r="L147">
        <v>3.3220000000000001</v>
      </c>
      <c r="M147">
        <v>3.4140000000000001</v>
      </c>
      <c r="N147">
        <v>3.375</v>
      </c>
      <c r="O147">
        <v>3.3460000000000001</v>
      </c>
      <c r="P147">
        <v>3.3119999999999998</v>
      </c>
      <c r="Q147">
        <v>3.25</v>
      </c>
      <c r="R147">
        <v>3.2229999999999999</v>
      </c>
      <c r="S147" s="2">
        <v>45313</v>
      </c>
      <c r="T147">
        <v>3.5569999999999999</v>
      </c>
      <c r="U147">
        <v>3.5979999999999999</v>
      </c>
      <c r="V147">
        <v>3.5880000000000001</v>
      </c>
      <c r="W147">
        <v>3.5569999999999999</v>
      </c>
      <c r="X147">
        <v>3.6120000000000001</v>
      </c>
      <c r="Y147">
        <v>3.6110000000000002</v>
      </c>
      <c r="Z147">
        <v>3.637</v>
      </c>
      <c r="AA147">
        <v>3.6259999999999999</v>
      </c>
      <c r="AB147">
        <v>3.6480000000000001</v>
      </c>
      <c r="AC147">
        <v>3.6269999999999998</v>
      </c>
      <c r="AD147">
        <v>3.6829999999999998</v>
      </c>
      <c r="AE147">
        <v>3.6829999999999998</v>
      </c>
      <c r="AF147">
        <v>3.68</v>
      </c>
      <c r="AG147">
        <v>3.6589999999999998</v>
      </c>
      <c r="AH147">
        <v>3.649</v>
      </c>
      <c r="AI147">
        <v>0</v>
      </c>
      <c r="AJ147" s="2">
        <v>45313</v>
      </c>
      <c r="AK147">
        <v>3.39</v>
      </c>
      <c r="AL147">
        <v>3.3650000000000002</v>
      </c>
      <c r="AM147">
        <v>3.3010000000000002</v>
      </c>
      <c r="AN147">
        <v>3.2850000000000001</v>
      </c>
      <c r="AO147">
        <v>3.3559999999999999</v>
      </c>
      <c r="AP147">
        <v>3.3279999999999998</v>
      </c>
      <c r="AQ147">
        <v>3.375</v>
      </c>
      <c r="AR147">
        <v>3.38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2:52">
      <c r="B148" s="2">
        <v>45310</v>
      </c>
      <c r="C148">
        <v>3.47</v>
      </c>
      <c r="D148">
        <v>3.44</v>
      </c>
      <c r="E148">
        <v>3.44</v>
      </c>
      <c r="F148">
        <v>3.3359999999999999</v>
      </c>
      <c r="G148">
        <v>3.35</v>
      </c>
      <c r="H148">
        <v>3.3460000000000001</v>
      </c>
      <c r="I148">
        <v>3.335</v>
      </c>
      <c r="J148">
        <v>3.3029999999999999</v>
      </c>
      <c r="K148">
        <v>3.3839999999999999</v>
      </c>
      <c r="L148">
        <v>3.355</v>
      </c>
      <c r="M148">
        <v>3.452</v>
      </c>
      <c r="N148">
        <v>3.415</v>
      </c>
      <c r="O148">
        <v>3.3730000000000002</v>
      </c>
      <c r="P148">
        <v>3.3250000000000002</v>
      </c>
      <c r="Q148">
        <v>3.2650000000000001</v>
      </c>
      <c r="R148">
        <v>3.238</v>
      </c>
      <c r="S148" s="2">
        <v>45310</v>
      </c>
      <c r="T148">
        <v>3.5569999999999999</v>
      </c>
      <c r="U148">
        <v>3.597</v>
      </c>
      <c r="V148">
        <v>3.5880000000000001</v>
      </c>
      <c r="W148">
        <v>3.5609999999999999</v>
      </c>
      <c r="X148">
        <v>3.6309999999999998</v>
      </c>
      <c r="Y148">
        <v>3.6309999999999998</v>
      </c>
      <c r="Z148">
        <v>3.665</v>
      </c>
      <c r="AA148">
        <v>3.657</v>
      </c>
      <c r="AB148">
        <v>3.6869999999999998</v>
      </c>
      <c r="AC148">
        <v>3.6629999999999998</v>
      </c>
      <c r="AD148">
        <v>3.7210000000000001</v>
      </c>
      <c r="AE148">
        <v>3.7229999999999999</v>
      </c>
      <c r="AF148">
        <v>3.706</v>
      </c>
      <c r="AG148">
        <v>3.6720000000000002</v>
      </c>
      <c r="AH148">
        <v>3.6640000000000001</v>
      </c>
      <c r="AI148">
        <v>0</v>
      </c>
      <c r="AJ148" s="2">
        <v>45310</v>
      </c>
      <c r="AK148">
        <v>3.39</v>
      </c>
      <c r="AL148">
        <v>3.3690000000000002</v>
      </c>
      <c r="AM148">
        <v>3.31</v>
      </c>
      <c r="AN148">
        <v>3.29</v>
      </c>
      <c r="AO148">
        <v>3.375</v>
      </c>
      <c r="AP148">
        <v>3.3450000000000002</v>
      </c>
      <c r="AQ148">
        <v>3.395</v>
      </c>
      <c r="AR148">
        <v>3.4020000000000001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2:52">
      <c r="B149" s="2">
        <v>45309</v>
      </c>
      <c r="C149">
        <v>3.47</v>
      </c>
      <c r="D149">
        <v>3.4470000000000001</v>
      </c>
      <c r="E149">
        <v>3.4409999999999998</v>
      </c>
      <c r="F149">
        <v>3.3380000000000001</v>
      </c>
      <c r="G149">
        <v>3.3380000000000001</v>
      </c>
      <c r="H149">
        <v>3.327</v>
      </c>
      <c r="I149">
        <v>3.2959999999999998</v>
      </c>
      <c r="J149">
        <v>3.27</v>
      </c>
      <c r="K149">
        <v>3.3479999999999999</v>
      </c>
      <c r="L149">
        <v>3.3149999999999999</v>
      </c>
      <c r="M149">
        <v>3.4</v>
      </c>
      <c r="N149">
        <v>3.3719999999999999</v>
      </c>
      <c r="O149">
        <v>3.3330000000000002</v>
      </c>
      <c r="P149">
        <v>3.2869999999999999</v>
      </c>
      <c r="Q149">
        <v>3.2250000000000001</v>
      </c>
      <c r="R149">
        <v>3.198</v>
      </c>
      <c r="S149" s="2">
        <v>45309</v>
      </c>
      <c r="T149">
        <v>3.556</v>
      </c>
      <c r="U149">
        <v>3.5939999999999999</v>
      </c>
      <c r="V149">
        <v>3.5840000000000001</v>
      </c>
      <c r="W149">
        <v>3.5550000000000002</v>
      </c>
      <c r="X149">
        <v>3.6160000000000001</v>
      </c>
      <c r="Y149">
        <v>3.613</v>
      </c>
      <c r="Z149">
        <v>3.63</v>
      </c>
      <c r="AA149">
        <v>3.629</v>
      </c>
      <c r="AB149">
        <v>3.653</v>
      </c>
      <c r="AC149">
        <v>3.6320000000000001</v>
      </c>
      <c r="AD149">
        <v>3.6680000000000001</v>
      </c>
      <c r="AE149">
        <v>3.68</v>
      </c>
      <c r="AF149">
        <v>3.6669999999999998</v>
      </c>
      <c r="AG149">
        <v>3.6339999999999999</v>
      </c>
      <c r="AH149">
        <v>3.6240000000000001</v>
      </c>
      <c r="AI149">
        <v>0</v>
      </c>
      <c r="AJ149" s="2">
        <v>45309</v>
      </c>
      <c r="AK149">
        <v>3.39</v>
      </c>
      <c r="AL149">
        <v>3.3690000000000002</v>
      </c>
      <c r="AM149">
        <v>3.31</v>
      </c>
      <c r="AN149">
        <v>3.2810000000000001</v>
      </c>
      <c r="AO149">
        <v>3.3559999999999999</v>
      </c>
      <c r="AP149">
        <v>3.3260000000000001</v>
      </c>
      <c r="AQ149">
        <v>3.3740000000000001</v>
      </c>
      <c r="AR149">
        <v>3.3820000000000001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2:52">
      <c r="B150" s="2">
        <v>45308</v>
      </c>
      <c r="C150">
        <v>3.47</v>
      </c>
      <c r="D150">
        <v>3.4489999999999998</v>
      </c>
      <c r="E150">
        <v>3.4449999999999998</v>
      </c>
      <c r="F150">
        <v>3.3460000000000001</v>
      </c>
      <c r="G150">
        <v>3.3410000000000002</v>
      </c>
      <c r="H150">
        <v>3.3290000000000002</v>
      </c>
      <c r="I150">
        <v>3.2919999999999998</v>
      </c>
      <c r="J150">
        <v>3.27</v>
      </c>
      <c r="K150">
        <v>3.34</v>
      </c>
      <c r="L150">
        <v>3.3119999999999998</v>
      </c>
      <c r="M150">
        <v>3.395</v>
      </c>
      <c r="N150">
        <v>3.36</v>
      </c>
      <c r="O150">
        <v>3.327</v>
      </c>
      <c r="P150">
        <v>3.2839999999999998</v>
      </c>
      <c r="Q150">
        <v>3.2149999999999999</v>
      </c>
      <c r="R150">
        <v>3.1890000000000001</v>
      </c>
      <c r="S150" s="2">
        <v>45308</v>
      </c>
      <c r="T150">
        <v>3.5579999999999998</v>
      </c>
      <c r="U150">
        <v>3.5950000000000002</v>
      </c>
      <c r="V150">
        <v>3.585</v>
      </c>
      <c r="W150">
        <v>3.5550000000000002</v>
      </c>
      <c r="X150">
        <v>3.621</v>
      </c>
      <c r="Y150">
        <v>3.613</v>
      </c>
      <c r="Z150">
        <v>3.6240000000000001</v>
      </c>
      <c r="AA150">
        <v>3.6280000000000001</v>
      </c>
      <c r="AB150">
        <v>3.645</v>
      </c>
      <c r="AC150">
        <v>3.63</v>
      </c>
      <c r="AD150">
        <v>3.6629999999999998</v>
      </c>
      <c r="AE150">
        <v>3.669</v>
      </c>
      <c r="AF150">
        <v>3.66</v>
      </c>
      <c r="AG150">
        <v>3.6309999999999998</v>
      </c>
      <c r="AH150">
        <v>3.617</v>
      </c>
      <c r="AI150">
        <v>0</v>
      </c>
      <c r="AJ150" s="2">
        <v>45308</v>
      </c>
      <c r="AK150">
        <v>3.3929999999999998</v>
      </c>
      <c r="AL150">
        <v>3.37</v>
      </c>
      <c r="AM150">
        <v>3.3090000000000002</v>
      </c>
      <c r="AN150">
        <v>3.28</v>
      </c>
      <c r="AO150">
        <v>3.3610000000000002</v>
      </c>
      <c r="AP150">
        <v>3.3260000000000001</v>
      </c>
      <c r="AQ150">
        <v>3.3740000000000001</v>
      </c>
      <c r="AR150">
        <v>3.3820000000000001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2:52">
      <c r="B151" s="2">
        <v>45307</v>
      </c>
      <c r="C151">
        <v>3.4729999999999999</v>
      </c>
      <c r="D151">
        <v>3.4489999999999998</v>
      </c>
      <c r="E151">
        <v>3.4449999999999998</v>
      </c>
      <c r="F151">
        <v>3.343</v>
      </c>
      <c r="G151">
        <v>3.323</v>
      </c>
      <c r="H151">
        <v>3.3</v>
      </c>
      <c r="I151">
        <v>3.2519999999999998</v>
      </c>
      <c r="J151">
        <v>3.2309999999999999</v>
      </c>
      <c r="K151">
        <v>3.2970000000000002</v>
      </c>
      <c r="L151">
        <v>3.2650000000000001</v>
      </c>
      <c r="M151">
        <v>3.3460000000000001</v>
      </c>
      <c r="N151">
        <v>3.3149999999999999</v>
      </c>
      <c r="O151">
        <v>3.2930000000000001</v>
      </c>
      <c r="P151">
        <v>3.2610000000000001</v>
      </c>
      <c r="Q151">
        <v>3.2149999999999999</v>
      </c>
      <c r="R151">
        <v>3.1880000000000002</v>
      </c>
      <c r="S151" s="2">
        <v>45307</v>
      </c>
      <c r="T151">
        <v>3.5619999999999998</v>
      </c>
      <c r="U151">
        <v>3.5960000000000001</v>
      </c>
      <c r="V151">
        <v>3.58</v>
      </c>
      <c r="W151">
        <v>3.5459999999999998</v>
      </c>
      <c r="X151">
        <v>3.6019999999999999</v>
      </c>
      <c r="Y151">
        <v>3.593</v>
      </c>
      <c r="Z151">
        <v>3.59</v>
      </c>
      <c r="AA151">
        <v>3.593</v>
      </c>
      <c r="AB151">
        <v>3.6070000000000002</v>
      </c>
      <c r="AC151">
        <v>3.5880000000000001</v>
      </c>
      <c r="AD151">
        <v>3.617</v>
      </c>
      <c r="AE151">
        <v>3.6230000000000002</v>
      </c>
      <c r="AF151">
        <v>3.6269999999999998</v>
      </c>
      <c r="AG151">
        <v>3.6080000000000001</v>
      </c>
      <c r="AH151">
        <v>3.6160000000000001</v>
      </c>
      <c r="AI151">
        <v>0</v>
      </c>
      <c r="AJ151" s="2">
        <v>45307</v>
      </c>
      <c r="AK151">
        <v>3.3929999999999998</v>
      </c>
      <c r="AL151">
        <v>3.37</v>
      </c>
      <c r="AM151">
        <v>3.3050000000000002</v>
      </c>
      <c r="AN151">
        <v>3.2730000000000001</v>
      </c>
      <c r="AO151">
        <v>3.3359999999999999</v>
      </c>
      <c r="AP151">
        <v>3.2970000000000002</v>
      </c>
      <c r="AQ151">
        <v>3.339</v>
      </c>
      <c r="AR151">
        <v>3.343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2:52">
      <c r="B152" s="2">
        <v>45306</v>
      </c>
      <c r="C152">
        <v>3.4729999999999999</v>
      </c>
      <c r="D152">
        <v>3.45</v>
      </c>
      <c r="E152">
        <v>3.4470000000000001</v>
      </c>
      <c r="F152">
        <v>3.35</v>
      </c>
      <c r="G152">
        <v>3.3180000000000001</v>
      </c>
      <c r="H152">
        <v>3.2650000000000001</v>
      </c>
      <c r="I152">
        <v>3.2160000000000002</v>
      </c>
      <c r="J152">
        <v>3.1949999999999998</v>
      </c>
      <c r="K152">
        <v>3.2610000000000001</v>
      </c>
      <c r="L152">
        <v>3.2269999999999999</v>
      </c>
      <c r="M152">
        <v>3.3239999999999998</v>
      </c>
      <c r="N152">
        <v>3.2949999999999999</v>
      </c>
      <c r="O152">
        <v>3.2759999999999998</v>
      </c>
      <c r="P152">
        <v>3.2429999999999999</v>
      </c>
      <c r="Q152">
        <v>3.1989999999999998</v>
      </c>
      <c r="R152">
        <v>3.1720000000000002</v>
      </c>
      <c r="S152" s="2">
        <v>45306</v>
      </c>
      <c r="T152">
        <v>3.5670000000000002</v>
      </c>
      <c r="U152">
        <v>3.601</v>
      </c>
      <c r="V152">
        <v>3.5840000000000001</v>
      </c>
      <c r="W152">
        <v>3.5489999999999999</v>
      </c>
      <c r="X152">
        <v>3.5819999999999999</v>
      </c>
      <c r="Y152">
        <v>3.5649999999999999</v>
      </c>
      <c r="Z152">
        <v>3.5579999999999998</v>
      </c>
      <c r="AA152">
        <v>3.5630000000000002</v>
      </c>
      <c r="AB152">
        <v>3.5739999999999998</v>
      </c>
      <c r="AC152">
        <v>3.556</v>
      </c>
      <c r="AD152">
        <v>3.5960000000000001</v>
      </c>
      <c r="AE152">
        <v>3.6040000000000001</v>
      </c>
      <c r="AF152">
        <v>3.609</v>
      </c>
      <c r="AG152">
        <v>3.59</v>
      </c>
      <c r="AH152">
        <v>3.6</v>
      </c>
      <c r="AI152">
        <v>0</v>
      </c>
      <c r="AJ152" s="2">
        <v>45306</v>
      </c>
      <c r="AK152">
        <v>3.3929999999999998</v>
      </c>
      <c r="AL152">
        <v>3.37</v>
      </c>
      <c r="AM152">
        <v>3.306</v>
      </c>
      <c r="AN152">
        <v>3.2749999999999999</v>
      </c>
      <c r="AO152">
        <v>3.3109999999999999</v>
      </c>
      <c r="AP152">
        <v>3.26</v>
      </c>
      <c r="AQ152">
        <v>3.306</v>
      </c>
      <c r="AR152">
        <v>3.2959999999999998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2:52">
      <c r="B153" s="2">
        <v>45303</v>
      </c>
      <c r="C153">
        <v>3.4750000000000001</v>
      </c>
      <c r="D153">
        <v>3.45</v>
      </c>
      <c r="E153">
        <v>3.4510000000000001</v>
      </c>
      <c r="F153">
        <v>3.3580000000000001</v>
      </c>
      <c r="G153">
        <v>3.3330000000000002</v>
      </c>
      <c r="H153">
        <v>3.278</v>
      </c>
      <c r="I153">
        <v>3.222</v>
      </c>
      <c r="J153">
        <v>3.1970000000000001</v>
      </c>
      <c r="K153">
        <v>3.2650000000000001</v>
      </c>
      <c r="L153">
        <v>3.2320000000000002</v>
      </c>
      <c r="M153">
        <v>3.331</v>
      </c>
      <c r="N153">
        <v>3.3050000000000002</v>
      </c>
      <c r="O153">
        <v>3.2890000000000001</v>
      </c>
      <c r="P153">
        <v>3.2570000000000001</v>
      </c>
      <c r="Q153">
        <v>3.2149999999999999</v>
      </c>
      <c r="R153">
        <v>3.1880000000000002</v>
      </c>
      <c r="S153" s="2">
        <v>45303</v>
      </c>
      <c r="T153">
        <v>3.581</v>
      </c>
      <c r="U153">
        <v>3.6150000000000002</v>
      </c>
      <c r="V153">
        <v>3.5960000000000001</v>
      </c>
      <c r="W153">
        <v>3.5640000000000001</v>
      </c>
      <c r="X153">
        <v>3.5870000000000002</v>
      </c>
      <c r="Y153">
        <v>3.5649999999999999</v>
      </c>
      <c r="Z153">
        <v>3.5619999999999998</v>
      </c>
      <c r="AA153">
        <v>3.5630000000000002</v>
      </c>
      <c r="AB153">
        <v>3.577</v>
      </c>
      <c r="AC153">
        <v>3.56</v>
      </c>
      <c r="AD153">
        <v>3.6019999999999999</v>
      </c>
      <c r="AE153">
        <v>3.6139999999999999</v>
      </c>
      <c r="AF153">
        <v>3.6219999999999999</v>
      </c>
      <c r="AG153">
        <v>3.6040000000000001</v>
      </c>
      <c r="AH153">
        <v>3.6160000000000001</v>
      </c>
      <c r="AI153">
        <v>0</v>
      </c>
      <c r="AJ153" s="2">
        <v>45303</v>
      </c>
      <c r="AK153">
        <v>3.4049999999999998</v>
      </c>
      <c r="AL153">
        <v>3.383</v>
      </c>
      <c r="AM153">
        <v>3.3140000000000001</v>
      </c>
      <c r="AN153">
        <v>3.2890000000000001</v>
      </c>
      <c r="AO153">
        <v>3.3159999999999998</v>
      </c>
      <c r="AP153">
        <v>3.26</v>
      </c>
      <c r="AQ153">
        <v>3.31</v>
      </c>
      <c r="AR153">
        <v>3.3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2:52">
      <c r="B154" s="2">
        <v>45302</v>
      </c>
      <c r="C154">
        <v>3.4910000000000001</v>
      </c>
      <c r="D154">
        <v>3.4580000000000002</v>
      </c>
      <c r="E154">
        <v>3.4630000000000001</v>
      </c>
      <c r="F154">
        <v>3.3759999999999999</v>
      </c>
      <c r="G154">
        <v>3.3679999999999999</v>
      </c>
      <c r="H154">
        <v>3.3069999999999999</v>
      </c>
      <c r="I154">
        <v>3.2450000000000001</v>
      </c>
      <c r="J154">
        <v>3.222</v>
      </c>
      <c r="K154">
        <v>3.29</v>
      </c>
      <c r="L154">
        <v>3.2530000000000001</v>
      </c>
      <c r="M154">
        <v>3.347</v>
      </c>
      <c r="N154">
        <v>3.3170000000000002</v>
      </c>
      <c r="O154">
        <v>3.29</v>
      </c>
      <c r="P154">
        <v>3.2450000000000001</v>
      </c>
      <c r="Q154">
        <v>3.202</v>
      </c>
      <c r="R154">
        <v>3.177</v>
      </c>
      <c r="S154" s="2">
        <v>45302</v>
      </c>
      <c r="T154">
        <v>3.5870000000000002</v>
      </c>
      <c r="U154">
        <v>3.6219999999999999</v>
      </c>
      <c r="V154">
        <v>3.6070000000000002</v>
      </c>
      <c r="W154">
        <v>3.581</v>
      </c>
      <c r="X154">
        <v>3.6190000000000002</v>
      </c>
      <c r="Y154">
        <v>3.5979999999999999</v>
      </c>
      <c r="Z154">
        <v>3.5910000000000002</v>
      </c>
      <c r="AA154">
        <v>3.593</v>
      </c>
      <c r="AB154">
        <v>3.6040000000000001</v>
      </c>
      <c r="AC154">
        <v>3.5819999999999999</v>
      </c>
      <c r="AD154">
        <v>3.62</v>
      </c>
      <c r="AE154">
        <v>3.625</v>
      </c>
      <c r="AF154">
        <v>3.6219999999999999</v>
      </c>
      <c r="AG154">
        <v>3.5920000000000001</v>
      </c>
      <c r="AH154">
        <v>3.6030000000000002</v>
      </c>
      <c r="AI154">
        <v>0</v>
      </c>
      <c r="AJ154" s="2">
        <v>45302</v>
      </c>
      <c r="AK154">
        <v>3.415</v>
      </c>
      <c r="AL154">
        <v>3.3940000000000001</v>
      </c>
      <c r="AM154">
        <v>3.3250000000000002</v>
      </c>
      <c r="AN154">
        <v>3.3029999999999999</v>
      </c>
      <c r="AO154">
        <v>3.3450000000000002</v>
      </c>
      <c r="AP154">
        <v>3.29</v>
      </c>
      <c r="AQ154">
        <v>3.3380000000000001</v>
      </c>
      <c r="AR154">
        <v>3.3180000000000001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2:52">
      <c r="B155" s="2">
        <v>45301</v>
      </c>
      <c r="C155">
        <v>3.4910000000000001</v>
      </c>
      <c r="D155">
        <v>3.4609999999999999</v>
      </c>
      <c r="E155">
        <v>3.4660000000000002</v>
      </c>
      <c r="F155">
        <v>3.4060000000000001</v>
      </c>
      <c r="G155">
        <v>3.4</v>
      </c>
      <c r="H155">
        <v>3.3530000000000002</v>
      </c>
      <c r="I155">
        <v>3.2879999999999998</v>
      </c>
      <c r="J155">
        <v>3.2669999999999999</v>
      </c>
      <c r="K155">
        <v>3.3340000000000001</v>
      </c>
      <c r="L155">
        <v>3.2949999999999999</v>
      </c>
      <c r="M155">
        <v>3.3860000000000001</v>
      </c>
      <c r="N155">
        <v>3.347</v>
      </c>
      <c r="O155">
        <v>3.3119999999999998</v>
      </c>
      <c r="P155">
        <v>3.2570000000000001</v>
      </c>
      <c r="Q155">
        <v>3.2149999999999999</v>
      </c>
      <c r="R155">
        <v>3.19</v>
      </c>
      <c r="S155" s="2">
        <v>45301</v>
      </c>
      <c r="T155">
        <v>3.6070000000000002</v>
      </c>
      <c r="U155">
        <v>3.6419999999999999</v>
      </c>
      <c r="V155">
        <v>3.6320000000000001</v>
      </c>
      <c r="W155">
        <v>3.61</v>
      </c>
      <c r="X155">
        <v>3.6539999999999999</v>
      </c>
      <c r="Y155">
        <v>3.64</v>
      </c>
      <c r="Z155">
        <v>3.6280000000000001</v>
      </c>
      <c r="AA155">
        <v>3.6339999999999999</v>
      </c>
      <c r="AB155">
        <v>3.6480000000000001</v>
      </c>
      <c r="AC155">
        <v>3.6240000000000001</v>
      </c>
      <c r="AD155">
        <v>3.66</v>
      </c>
      <c r="AE155">
        <v>3.6549999999999998</v>
      </c>
      <c r="AF155">
        <v>3.645</v>
      </c>
      <c r="AG155">
        <v>3.6040000000000001</v>
      </c>
      <c r="AH155">
        <v>3.6160000000000001</v>
      </c>
      <c r="AI155">
        <v>0</v>
      </c>
      <c r="AJ155" s="2">
        <v>45301</v>
      </c>
      <c r="AK155">
        <v>3.4209999999999998</v>
      </c>
      <c r="AL155">
        <v>3.4039999999999999</v>
      </c>
      <c r="AM155">
        <v>3.3420000000000001</v>
      </c>
      <c r="AN155">
        <v>3.331</v>
      </c>
      <c r="AO155">
        <v>3.38</v>
      </c>
      <c r="AP155">
        <v>3.33</v>
      </c>
      <c r="AQ155">
        <v>3.38</v>
      </c>
      <c r="AR155">
        <v>3.363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2:52">
      <c r="B156" s="2">
        <v>45300</v>
      </c>
      <c r="C156">
        <v>3.488</v>
      </c>
      <c r="D156">
        <v>3.4649999999999999</v>
      </c>
      <c r="E156">
        <v>3.4750000000000001</v>
      </c>
      <c r="F156">
        <v>3.411</v>
      </c>
      <c r="G156">
        <v>3.4079999999999999</v>
      </c>
      <c r="H156">
        <v>3.3610000000000002</v>
      </c>
      <c r="I156">
        <v>3.28</v>
      </c>
      <c r="J156">
        <v>3.2469999999999999</v>
      </c>
      <c r="K156">
        <v>3.3119999999999998</v>
      </c>
      <c r="L156">
        <v>3.2679999999999998</v>
      </c>
      <c r="M156">
        <v>3.3450000000000002</v>
      </c>
      <c r="N156">
        <v>3.3149999999999999</v>
      </c>
      <c r="O156">
        <v>3.282</v>
      </c>
      <c r="P156">
        <v>3.2269999999999999</v>
      </c>
      <c r="Q156">
        <v>3.18</v>
      </c>
      <c r="R156">
        <v>3.1549999999999998</v>
      </c>
      <c r="S156" s="2">
        <v>45300</v>
      </c>
      <c r="T156">
        <v>3.617</v>
      </c>
      <c r="U156">
        <v>3.649</v>
      </c>
      <c r="V156">
        <v>3.637</v>
      </c>
      <c r="W156">
        <v>3.6139999999999999</v>
      </c>
      <c r="X156">
        <v>3.6509999999999998</v>
      </c>
      <c r="Y156">
        <v>3.6320000000000001</v>
      </c>
      <c r="Z156">
        <v>3.62</v>
      </c>
      <c r="AA156">
        <v>3.6139999999999999</v>
      </c>
      <c r="AB156">
        <v>3.625</v>
      </c>
      <c r="AC156">
        <v>3.597</v>
      </c>
      <c r="AD156">
        <v>3.6179999999999999</v>
      </c>
      <c r="AE156">
        <v>3.6219999999999999</v>
      </c>
      <c r="AF156">
        <v>3.6150000000000002</v>
      </c>
      <c r="AG156">
        <v>3.5739999999999998</v>
      </c>
      <c r="AH156">
        <v>3.581</v>
      </c>
      <c r="AI156">
        <v>0</v>
      </c>
      <c r="AJ156" s="2">
        <v>45300</v>
      </c>
      <c r="AK156">
        <v>3.423</v>
      </c>
      <c r="AL156">
        <v>3.4020000000000001</v>
      </c>
      <c r="AM156">
        <v>3.3410000000000002</v>
      </c>
      <c r="AN156">
        <v>3.33</v>
      </c>
      <c r="AO156">
        <v>3.375</v>
      </c>
      <c r="AP156">
        <v>3.32</v>
      </c>
      <c r="AQ156">
        <v>3.3639999999999999</v>
      </c>
      <c r="AR156">
        <v>3.36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2:52">
      <c r="B157" s="2">
        <v>45299</v>
      </c>
      <c r="C157">
        <v>3.488</v>
      </c>
      <c r="D157">
        <v>3.4710000000000001</v>
      </c>
      <c r="E157">
        <v>3.4830000000000001</v>
      </c>
      <c r="F157">
        <v>3.43</v>
      </c>
      <c r="G157">
        <v>3.4359999999999999</v>
      </c>
      <c r="H157">
        <v>3.39</v>
      </c>
      <c r="I157">
        <v>3.3250000000000002</v>
      </c>
      <c r="J157">
        <v>3.29</v>
      </c>
      <c r="K157">
        <v>3.3519999999999999</v>
      </c>
      <c r="L157">
        <v>3.306</v>
      </c>
      <c r="M157">
        <v>3.3780000000000001</v>
      </c>
      <c r="N157">
        <v>3.355</v>
      </c>
      <c r="O157">
        <v>3.3119999999999998</v>
      </c>
      <c r="P157">
        <v>3.2450000000000001</v>
      </c>
      <c r="Q157">
        <v>3.19</v>
      </c>
      <c r="R157">
        <v>3.165</v>
      </c>
      <c r="S157" s="2">
        <v>45299</v>
      </c>
      <c r="T157">
        <v>3.6349999999999998</v>
      </c>
      <c r="U157">
        <v>3.6669999999999998</v>
      </c>
      <c r="V157">
        <v>3.6509999999999998</v>
      </c>
      <c r="W157">
        <v>3.6280000000000001</v>
      </c>
      <c r="X157">
        <v>3.6869999999999998</v>
      </c>
      <c r="Y157">
        <v>3.6669999999999998</v>
      </c>
      <c r="Z157">
        <v>3.665</v>
      </c>
      <c r="AA157">
        <v>3.657</v>
      </c>
      <c r="AB157">
        <v>3.665</v>
      </c>
      <c r="AC157">
        <v>3.6360000000000001</v>
      </c>
      <c r="AD157">
        <v>3.6509999999999998</v>
      </c>
      <c r="AE157">
        <v>3.6629999999999998</v>
      </c>
      <c r="AF157">
        <v>3.645</v>
      </c>
      <c r="AG157">
        <v>3.5920000000000001</v>
      </c>
      <c r="AH157">
        <v>3.5920000000000001</v>
      </c>
      <c r="AI157">
        <v>0</v>
      </c>
      <c r="AJ157" s="2">
        <v>45299</v>
      </c>
      <c r="AK157">
        <v>3.43</v>
      </c>
      <c r="AL157">
        <v>3.4140000000000001</v>
      </c>
      <c r="AM157">
        <v>3.3530000000000002</v>
      </c>
      <c r="AN157">
        <v>3.3439999999999999</v>
      </c>
      <c r="AO157">
        <v>3.411</v>
      </c>
      <c r="AP157">
        <v>3.355</v>
      </c>
      <c r="AQ157">
        <v>3.4039999999999999</v>
      </c>
      <c r="AR157">
        <v>3.4009999999999998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2:52">
      <c r="B158" s="2">
        <v>45296</v>
      </c>
      <c r="C158">
        <v>3.488</v>
      </c>
      <c r="D158">
        <v>3.4729999999999999</v>
      </c>
      <c r="E158">
        <v>3.4860000000000002</v>
      </c>
      <c r="F158">
        <v>3.4329999999999998</v>
      </c>
      <c r="G158">
        <v>3.4369999999999998</v>
      </c>
      <c r="H158">
        <v>3.3759999999999999</v>
      </c>
      <c r="I158">
        <v>3.3220000000000001</v>
      </c>
      <c r="J158">
        <v>3.28</v>
      </c>
      <c r="K158">
        <v>3.3450000000000002</v>
      </c>
      <c r="L158">
        <v>3.302</v>
      </c>
      <c r="M158">
        <v>3.37</v>
      </c>
      <c r="N158">
        <v>3.3370000000000002</v>
      </c>
      <c r="O158">
        <v>3.3010000000000002</v>
      </c>
      <c r="P158">
        <v>3.24</v>
      </c>
      <c r="Q158">
        <v>3.2</v>
      </c>
      <c r="R158">
        <v>3.1749999999999998</v>
      </c>
      <c r="S158" s="2">
        <v>45296</v>
      </c>
      <c r="T158">
        <v>3.665</v>
      </c>
      <c r="U158">
        <v>3.6920000000000002</v>
      </c>
      <c r="V158">
        <v>3.6720000000000002</v>
      </c>
      <c r="W158">
        <v>3.6349999999999998</v>
      </c>
      <c r="X158">
        <v>3.6890000000000001</v>
      </c>
      <c r="Y158">
        <v>3.6669999999999998</v>
      </c>
      <c r="Z158">
        <v>3.6619999999999999</v>
      </c>
      <c r="AA158">
        <v>3.6469999999999998</v>
      </c>
      <c r="AB158">
        <v>3.6579999999999999</v>
      </c>
      <c r="AC158">
        <v>3.6309999999999998</v>
      </c>
      <c r="AD158">
        <v>3.6440000000000001</v>
      </c>
      <c r="AE158">
        <v>3.645</v>
      </c>
      <c r="AF158">
        <v>3.6339999999999999</v>
      </c>
      <c r="AG158">
        <v>3.5880000000000001</v>
      </c>
      <c r="AH158">
        <v>3.601</v>
      </c>
      <c r="AI158">
        <v>0</v>
      </c>
      <c r="AJ158" s="2">
        <v>45296</v>
      </c>
      <c r="AK158">
        <v>3.4460000000000002</v>
      </c>
      <c r="AL158">
        <v>3.4220000000000002</v>
      </c>
      <c r="AM158">
        <v>3.3690000000000002</v>
      </c>
      <c r="AN158">
        <v>3.347</v>
      </c>
      <c r="AO158">
        <v>3.4089999999999998</v>
      </c>
      <c r="AP158">
        <v>3.355</v>
      </c>
      <c r="AQ158">
        <v>3.4009999999999998</v>
      </c>
      <c r="AR158">
        <v>3.3959999999999999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2:52">
      <c r="B159" s="2">
        <v>45295</v>
      </c>
      <c r="C159">
        <v>3.4849999999999999</v>
      </c>
      <c r="D159">
        <v>3.4729999999999999</v>
      </c>
      <c r="E159">
        <v>3.4830000000000001</v>
      </c>
      <c r="F159">
        <v>3.44</v>
      </c>
      <c r="G159">
        <v>3.431</v>
      </c>
      <c r="H159">
        <v>3.3340000000000001</v>
      </c>
      <c r="I159">
        <v>3.2709999999999999</v>
      </c>
      <c r="J159">
        <v>3.2240000000000002</v>
      </c>
      <c r="K159">
        <v>3.2959999999999998</v>
      </c>
      <c r="L159">
        <v>3.2570000000000001</v>
      </c>
      <c r="M159">
        <v>3.3130000000000002</v>
      </c>
      <c r="N159">
        <v>3.2850000000000001</v>
      </c>
      <c r="O159">
        <v>3.2610000000000001</v>
      </c>
      <c r="P159">
        <v>3.2130000000000001</v>
      </c>
      <c r="Q159">
        <v>3.1850000000000001</v>
      </c>
      <c r="R159">
        <v>3.16</v>
      </c>
      <c r="S159" s="2">
        <v>45295</v>
      </c>
      <c r="T159">
        <v>3.6880000000000002</v>
      </c>
      <c r="U159">
        <v>3.7149999999999999</v>
      </c>
      <c r="V159">
        <v>3.6880000000000002</v>
      </c>
      <c r="W159">
        <v>3.6509999999999998</v>
      </c>
      <c r="X159">
        <v>3.6560000000000001</v>
      </c>
      <c r="Y159">
        <v>3.617</v>
      </c>
      <c r="Z159">
        <v>3.6110000000000002</v>
      </c>
      <c r="AA159">
        <v>3.5910000000000002</v>
      </c>
      <c r="AB159">
        <v>3.61</v>
      </c>
      <c r="AC159">
        <v>3.5859999999999999</v>
      </c>
      <c r="AD159">
        <v>3.5859999999999999</v>
      </c>
      <c r="AE159">
        <v>3.593</v>
      </c>
      <c r="AF159">
        <v>3.5939999999999999</v>
      </c>
      <c r="AG159">
        <v>3.56</v>
      </c>
      <c r="AH159">
        <v>3.5859999999999999</v>
      </c>
      <c r="AI159">
        <v>0</v>
      </c>
      <c r="AJ159" s="2">
        <v>45295</v>
      </c>
      <c r="AK159">
        <v>3.45</v>
      </c>
      <c r="AL159">
        <v>3.43</v>
      </c>
      <c r="AM159">
        <v>3.38</v>
      </c>
      <c r="AN159">
        <v>3.3610000000000002</v>
      </c>
      <c r="AO159">
        <v>3.37</v>
      </c>
      <c r="AP159">
        <v>3.3039999999999998</v>
      </c>
      <c r="AQ159">
        <v>3.3610000000000002</v>
      </c>
      <c r="AR159">
        <v>3.3570000000000002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2:52">
      <c r="B160" s="2">
        <v>45294</v>
      </c>
      <c r="C160">
        <v>3.4849999999999999</v>
      </c>
      <c r="D160">
        <v>3.4849999999999999</v>
      </c>
      <c r="E160">
        <v>3.5</v>
      </c>
      <c r="F160">
        <v>3.4660000000000002</v>
      </c>
      <c r="G160">
        <v>3.4609999999999999</v>
      </c>
      <c r="H160">
        <v>3.3679999999999999</v>
      </c>
      <c r="I160">
        <v>3.3239999999999998</v>
      </c>
      <c r="J160">
        <v>3.2749999999999999</v>
      </c>
      <c r="K160">
        <v>3.35</v>
      </c>
      <c r="L160">
        <v>3.3079999999999998</v>
      </c>
      <c r="M160">
        <v>3.363</v>
      </c>
      <c r="N160">
        <v>3.335</v>
      </c>
      <c r="O160">
        <v>3.3050000000000002</v>
      </c>
      <c r="P160">
        <v>3.25</v>
      </c>
      <c r="Q160">
        <v>3.23</v>
      </c>
      <c r="R160">
        <v>3.2050000000000001</v>
      </c>
      <c r="S160" s="2">
        <v>45294</v>
      </c>
      <c r="T160">
        <v>3.7330000000000001</v>
      </c>
      <c r="U160">
        <v>3.7549999999999999</v>
      </c>
      <c r="V160">
        <v>3.7269999999999999</v>
      </c>
      <c r="W160">
        <v>3.6850000000000001</v>
      </c>
      <c r="X160">
        <v>3.6930000000000001</v>
      </c>
      <c r="Y160">
        <v>3.6629999999999998</v>
      </c>
      <c r="Z160">
        <v>3.6640000000000001</v>
      </c>
      <c r="AA160">
        <v>3.6419999999999999</v>
      </c>
      <c r="AB160">
        <v>3.6629999999999998</v>
      </c>
      <c r="AC160">
        <v>3.637</v>
      </c>
      <c r="AD160">
        <v>3.6360000000000001</v>
      </c>
      <c r="AE160">
        <v>3.6429999999999998</v>
      </c>
      <c r="AF160">
        <v>3.637</v>
      </c>
      <c r="AG160">
        <v>3.597</v>
      </c>
      <c r="AH160">
        <v>3.6320000000000001</v>
      </c>
      <c r="AI160">
        <v>0</v>
      </c>
      <c r="AJ160" s="2">
        <v>45294</v>
      </c>
      <c r="AK160">
        <v>3.4649999999999999</v>
      </c>
      <c r="AL160">
        <v>3.4460000000000002</v>
      </c>
      <c r="AM160">
        <v>3.399</v>
      </c>
      <c r="AN160">
        <v>3.3849999999999998</v>
      </c>
      <c r="AO160">
        <v>3.4</v>
      </c>
      <c r="AP160">
        <v>3.35</v>
      </c>
      <c r="AQ160">
        <v>3.411</v>
      </c>
      <c r="AR160">
        <v>3.4079999999999999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2:52">
      <c r="B161" s="2">
        <v>45293</v>
      </c>
      <c r="C161">
        <v>3.4809999999999999</v>
      </c>
      <c r="D161">
        <v>3.476</v>
      </c>
      <c r="E161">
        <v>3.4910000000000001</v>
      </c>
      <c r="F161">
        <v>3.448</v>
      </c>
      <c r="G161">
        <v>3.4409999999999998</v>
      </c>
      <c r="H161">
        <v>3.33</v>
      </c>
      <c r="I161">
        <v>3.2749999999999999</v>
      </c>
      <c r="J161">
        <v>3.2450000000000001</v>
      </c>
      <c r="K161">
        <v>3.3050000000000002</v>
      </c>
      <c r="L161">
        <v>3.27</v>
      </c>
      <c r="M161">
        <v>3.3279999999999998</v>
      </c>
      <c r="N161">
        <v>3.3050000000000002</v>
      </c>
      <c r="O161">
        <v>3.2850000000000001</v>
      </c>
      <c r="P161">
        <v>3.24</v>
      </c>
      <c r="Q161">
        <v>3.222</v>
      </c>
      <c r="R161">
        <v>3.1970000000000001</v>
      </c>
      <c r="S161" s="2">
        <v>45293</v>
      </c>
      <c r="T161">
        <v>3.7719999999999998</v>
      </c>
      <c r="U161">
        <v>3.7850000000000001</v>
      </c>
      <c r="V161">
        <v>3.7519999999999998</v>
      </c>
      <c r="W161">
        <v>3.69</v>
      </c>
      <c r="X161">
        <v>3.6850000000000001</v>
      </c>
      <c r="Y161">
        <v>3.637</v>
      </c>
      <c r="Z161">
        <v>3.6179999999999999</v>
      </c>
      <c r="AA161">
        <v>3.617</v>
      </c>
      <c r="AB161">
        <v>3.621</v>
      </c>
      <c r="AC161">
        <v>3.5979999999999999</v>
      </c>
      <c r="AD161">
        <v>3.6</v>
      </c>
      <c r="AE161">
        <v>3.613</v>
      </c>
      <c r="AF161">
        <v>3.6179999999999999</v>
      </c>
      <c r="AG161">
        <v>3.5870000000000002</v>
      </c>
      <c r="AH161">
        <v>3.6230000000000002</v>
      </c>
      <c r="AI161">
        <v>0</v>
      </c>
      <c r="AJ161" s="2">
        <v>45293</v>
      </c>
      <c r="AK161">
        <v>3.4660000000000002</v>
      </c>
      <c r="AL161">
        <v>3.448</v>
      </c>
      <c r="AM161">
        <v>3.41</v>
      </c>
      <c r="AN161">
        <v>3.387</v>
      </c>
      <c r="AO161">
        <v>3.4159999999999999</v>
      </c>
      <c r="AP161">
        <v>3.35</v>
      </c>
      <c r="AQ161">
        <v>3.375</v>
      </c>
      <c r="AR161">
        <v>3.3759999999999999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2:52">
      <c r="B162" s="2">
        <v>45289</v>
      </c>
      <c r="C162">
        <v>3.4929999999999999</v>
      </c>
      <c r="D162">
        <v>3.468</v>
      </c>
      <c r="E162">
        <v>3.4780000000000002</v>
      </c>
      <c r="F162">
        <v>3.431</v>
      </c>
      <c r="G162">
        <v>3.3759999999999999</v>
      </c>
      <c r="H162">
        <v>3.242</v>
      </c>
      <c r="I162">
        <v>3.1749999999999998</v>
      </c>
      <c r="J162">
        <v>3.145</v>
      </c>
      <c r="K162">
        <v>3.1960000000000002</v>
      </c>
      <c r="L162">
        <v>3.1549999999999998</v>
      </c>
      <c r="M162">
        <v>3.2069999999999999</v>
      </c>
      <c r="N162">
        <v>3.1749999999999998</v>
      </c>
      <c r="O162">
        <v>3.1480000000000001</v>
      </c>
      <c r="P162">
        <v>3.0950000000000002</v>
      </c>
      <c r="Q162">
        <v>3.08</v>
      </c>
      <c r="R162">
        <v>3.0550000000000002</v>
      </c>
      <c r="S162" s="2">
        <v>45289</v>
      </c>
      <c r="T162">
        <v>3.7749999999999999</v>
      </c>
      <c r="U162">
        <v>3.7879999999999998</v>
      </c>
      <c r="V162">
        <v>3.7570000000000001</v>
      </c>
      <c r="W162">
        <v>3.6920000000000002</v>
      </c>
      <c r="X162">
        <v>3.6349999999999998</v>
      </c>
      <c r="Y162">
        <v>3.552</v>
      </c>
      <c r="Z162">
        <v>3.5179999999999998</v>
      </c>
      <c r="AA162">
        <v>3.5169999999999999</v>
      </c>
      <c r="AB162">
        <v>3.5150000000000001</v>
      </c>
      <c r="AC162">
        <v>3.4849999999999999</v>
      </c>
      <c r="AD162">
        <v>3.4769999999999999</v>
      </c>
      <c r="AE162">
        <v>3.484</v>
      </c>
      <c r="AF162">
        <v>3.4809999999999999</v>
      </c>
      <c r="AG162">
        <v>3.4420000000000002</v>
      </c>
      <c r="AH162">
        <v>3.4809999999999999</v>
      </c>
      <c r="AI162">
        <v>0</v>
      </c>
      <c r="AJ162" s="2">
        <v>45289</v>
      </c>
      <c r="AK162">
        <v>3.4609999999999999</v>
      </c>
      <c r="AL162">
        <v>3.4430000000000001</v>
      </c>
      <c r="AM162">
        <v>3.4169999999999998</v>
      </c>
      <c r="AN162">
        <v>3.387</v>
      </c>
      <c r="AO162">
        <v>3.3660000000000001</v>
      </c>
      <c r="AP162">
        <v>3.2650000000000001</v>
      </c>
      <c r="AQ162">
        <v>3.2919999999999998</v>
      </c>
      <c r="AR162">
        <v>3.28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2:52">
      <c r="B163" s="2">
        <v>45288</v>
      </c>
      <c r="C163">
        <v>3.4929999999999999</v>
      </c>
      <c r="D163">
        <v>3.468</v>
      </c>
      <c r="E163">
        <v>3.4780000000000002</v>
      </c>
      <c r="F163">
        <v>3.431</v>
      </c>
      <c r="G163">
        <v>3.3759999999999999</v>
      </c>
      <c r="H163">
        <v>3.242</v>
      </c>
      <c r="I163">
        <v>3.1749999999999998</v>
      </c>
      <c r="J163">
        <v>3.145</v>
      </c>
      <c r="K163">
        <v>3.1960000000000002</v>
      </c>
      <c r="L163">
        <v>3.1549999999999998</v>
      </c>
      <c r="M163">
        <v>3.2069999999999999</v>
      </c>
      <c r="N163">
        <v>3.1749999999999998</v>
      </c>
      <c r="O163">
        <v>3.1480000000000001</v>
      </c>
      <c r="P163">
        <v>3.0950000000000002</v>
      </c>
      <c r="Q163">
        <v>3.08</v>
      </c>
      <c r="R163">
        <v>3.0550000000000002</v>
      </c>
      <c r="S163" s="2">
        <v>45288</v>
      </c>
      <c r="T163">
        <v>3.7749999999999999</v>
      </c>
      <c r="U163">
        <v>3.7879999999999998</v>
      </c>
      <c r="V163">
        <v>3.7570000000000001</v>
      </c>
      <c r="W163">
        <v>3.6920000000000002</v>
      </c>
      <c r="X163">
        <v>3.6349999999999998</v>
      </c>
      <c r="Y163">
        <v>3.552</v>
      </c>
      <c r="Z163">
        <v>3.5179999999999998</v>
      </c>
      <c r="AA163">
        <v>3.5169999999999999</v>
      </c>
      <c r="AB163">
        <v>3.5150000000000001</v>
      </c>
      <c r="AC163">
        <v>3.4849999999999999</v>
      </c>
      <c r="AD163">
        <v>3.4769999999999999</v>
      </c>
      <c r="AE163">
        <v>3.484</v>
      </c>
      <c r="AF163">
        <v>3.4809999999999999</v>
      </c>
      <c r="AG163">
        <v>3.4420000000000002</v>
      </c>
      <c r="AH163">
        <v>3.4809999999999999</v>
      </c>
      <c r="AI163">
        <v>0</v>
      </c>
      <c r="AJ163" s="2">
        <v>45288</v>
      </c>
      <c r="AK163">
        <v>3.4609999999999999</v>
      </c>
      <c r="AL163">
        <v>3.4430000000000001</v>
      </c>
      <c r="AM163">
        <v>3.4169999999999998</v>
      </c>
      <c r="AN163">
        <v>3.387</v>
      </c>
      <c r="AO163">
        <v>3.3660000000000001</v>
      </c>
      <c r="AP163">
        <v>3.2650000000000001</v>
      </c>
      <c r="AQ163">
        <v>3.2919999999999998</v>
      </c>
      <c r="AR163">
        <v>3.28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2:52">
      <c r="B164" s="2">
        <v>45287</v>
      </c>
      <c r="C164">
        <v>3.5030000000000001</v>
      </c>
      <c r="D164">
        <v>3.4780000000000002</v>
      </c>
      <c r="E164">
        <v>3.4929999999999999</v>
      </c>
      <c r="F164">
        <v>3.4550000000000001</v>
      </c>
      <c r="G164">
        <v>3.4119999999999999</v>
      </c>
      <c r="H164">
        <v>3.2959999999999998</v>
      </c>
      <c r="I164">
        <v>3.25</v>
      </c>
      <c r="J164">
        <v>3.2120000000000002</v>
      </c>
      <c r="K164">
        <v>3.26</v>
      </c>
      <c r="L164">
        <v>3.2149999999999999</v>
      </c>
      <c r="M164">
        <v>3.2930000000000001</v>
      </c>
      <c r="N164">
        <v>3.2549999999999999</v>
      </c>
      <c r="O164">
        <v>3.2250000000000001</v>
      </c>
      <c r="P164">
        <v>3.17</v>
      </c>
      <c r="Q164">
        <v>3.15</v>
      </c>
      <c r="R164">
        <v>3.12</v>
      </c>
      <c r="S164" s="2">
        <v>45287</v>
      </c>
      <c r="T164">
        <v>3.798</v>
      </c>
      <c r="U164">
        <v>3.8119999999999998</v>
      </c>
      <c r="V164">
        <v>3.782</v>
      </c>
      <c r="W164">
        <v>3.734</v>
      </c>
      <c r="X164">
        <v>3.6829999999999998</v>
      </c>
      <c r="Y164">
        <v>3.617</v>
      </c>
      <c r="Z164">
        <v>3.593</v>
      </c>
      <c r="AA164">
        <v>3.5840000000000001</v>
      </c>
      <c r="AB164">
        <v>3.577</v>
      </c>
      <c r="AC164">
        <v>3.5449999999999999</v>
      </c>
      <c r="AD164">
        <v>3.5609999999999999</v>
      </c>
      <c r="AE164">
        <v>3.5649999999999999</v>
      </c>
      <c r="AF164">
        <v>3.5590000000000002</v>
      </c>
      <c r="AG164">
        <v>3.5169999999999999</v>
      </c>
      <c r="AH164">
        <v>3.5510000000000002</v>
      </c>
      <c r="AI164">
        <v>0</v>
      </c>
      <c r="AJ164" s="2">
        <v>45287</v>
      </c>
      <c r="AK164">
        <v>3.4830000000000001</v>
      </c>
      <c r="AL164">
        <v>3.4660000000000002</v>
      </c>
      <c r="AM164">
        <v>3.4420000000000002</v>
      </c>
      <c r="AN164">
        <v>3.43</v>
      </c>
      <c r="AO164">
        <v>3.4159999999999999</v>
      </c>
      <c r="AP164">
        <v>3.33</v>
      </c>
      <c r="AQ164">
        <v>3.359</v>
      </c>
      <c r="AR164">
        <v>3.3450000000000002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2:52">
      <c r="B165" s="2">
        <v>45286</v>
      </c>
      <c r="C165">
        <v>3.4849999999999999</v>
      </c>
      <c r="D165">
        <v>3.488</v>
      </c>
      <c r="E165">
        <v>3.4929999999999999</v>
      </c>
      <c r="F165">
        <v>3.456</v>
      </c>
      <c r="G165">
        <v>3.42</v>
      </c>
      <c r="H165">
        <v>3.298</v>
      </c>
      <c r="I165">
        <v>3.2650000000000001</v>
      </c>
      <c r="J165">
        <v>3.2160000000000002</v>
      </c>
      <c r="K165">
        <v>3.2690000000000001</v>
      </c>
      <c r="L165">
        <v>3.222</v>
      </c>
      <c r="M165">
        <v>3.3029999999999999</v>
      </c>
      <c r="N165">
        <v>3.266</v>
      </c>
      <c r="O165">
        <v>3.254</v>
      </c>
      <c r="P165">
        <v>3.2189999999999999</v>
      </c>
      <c r="Q165">
        <v>3.19</v>
      </c>
      <c r="R165">
        <v>3.16</v>
      </c>
      <c r="S165" s="2">
        <v>45286</v>
      </c>
      <c r="T165">
        <v>3.7919999999999998</v>
      </c>
      <c r="U165">
        <v>3.8079999999999998</v>
      </c>
      <c r="V165">
        <v>3.782</v>
      </c>
      <c r="W165">
        <v>3.7320000000000002</v>
      </c>
      <c r="X165">
        <v>3.6829999999999998</v>
      </c>
      <c r="Y165">
        <v>3.617</v>
      </c>
      <c r="Z165">
        <v>3.6080000000000001</v>
      </c>
      <c r="AA165">
        <v>3.589</v>
      </c>
      <c r="AB165">
        <v>3.5830000000000002</v>
      </c>
      <c r="AC165">
        <v>3.552</v>
      </c>
      <c r="AD165">
        <v>3.5710000000000002</v>
      </c>
      <c r="AE165">
        <v>3.5760000000000001</v>
      </c>
      <c r="AF165">
        <v>3.5880000000000001</v>
      </c>
      <c r="AG165">
        <v>3.5659999999999998</v>
      </c>
      <c r="AH165">
        <v>3.5910000000000002</v>
      </c>
      <c r="AI165">
        <v>0</v>
      </c>
      <c r="AJ165" s="2">
        <v>45286</v>
      </c>
      <c r="AK165">
        <v>3.4830000000000001</v>
      </c>
      <c r="AL165">
        <v>3.4660000000000002</v>
      </c>
      <c r="AM165">
        <v>3.4420000000000002</v>
      </c>
      <c r="AN165">
        <v>3.43</v>
      </c>
      <c r="AO165">
        <v>3.4180000000000001</v>
      </c>
      <c r="AP165">
        <v>3.33</v>
      </c>
      <c r="AQ165">
        <v>3.3570000000000002</v>
      </c>
      <c r="AR165">
        <v>3.3439999999999999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2:52">
      <c r="B166" s="2">
        <v>45282</v>
      </c>
      <c r="C166">
        <v>3.4809999999999999</v>
      </c>
      <c r="D166">
        <v>3.5059999999999998</v>
      </c>
      <c r="E166">
        <v>3.5009999999999999</v>
      </c>
      <c r="F166">
        <v>3.46</v>
      </c>
      <c r="G166">
        <v>3.4249999999999998</v>
      </c>
      <c r="H166">
        <v>3.3010000000000002</v>
      </c>
      <c r="I166">
        <v>3.2749999999999999</v>
      </c>
      <c r="J166">
        <v>3.2250000000000001</v>
      </c>
      <c r="K166">
        <v>3.2890000000000001</v>
      </c>
      <c r="L166">
        <v>3.2429999999999999</v>
      </c>
      <c r="M166">
        <v>3.3250000000000002</v>
      </c>
      <c r="N166">
        <v>3.2909999999999999</v>
      </c>
      <c r="O166">
        <v>3.28</v>
      </c>
      <c r="P166">
        <v>3.2410000000000001</v>
      </c>
      <c r="Q166">
        <v>3.2090000000000001</v>
      </c>
      <c r="R166">
        <v>3.1789999999999998</v>
      </c>
      <c r="S166" s="2">
        <v>45282</v>
      </c>
      <c r="T166">
        <v>3.79</v>
      </c>
      <c r="U166">
        <v>3.8079999999999998</v>
      </c>
      <c r="V166">
        <v>3.782</v>
      </c>
      <c r="W166">
        <v>3.7309999999999999</v>
      </c>
      <c r="X166">
        <v>3.6859999999999999</v>
      </c>
      <c r="Y166">
        <v>3.62</v>
      </c>
      <c r="Z166">
        <v>3.6179999999999999</v>
      </c>
      <c r="AA166">
        <v>3.5979999999999999</v>
      </c>
      <c r="AB166">
        <v>3.6030000000000002</v>
      </c>
      <c r="AC166">
        <v>3.5720000000000001</v>
      </c>
      <c r="AD166">
        <v>3.5939999999999999</v>
      </c>
      <c r="AE166">
        <v>3.6</v>
      </c>
      <c r="AF166">
        <v>3.6150000000000002</v>
      </c>
      <c r="AG166">
        <v>3.589</v>
      </c>
      <c r="AH166">
        <v>3.61</v>
      </c>
      <c r="AI166">
        <v>0</v>
      </c>
      <c r="AJ166" s="2">
        <v>45282</v>
      </c>
      <c r="AK166">
        <v>3.4849999999999999</v>
      </c>
      <c r="AL166">
        <v>3.468</v>
      </c>
      <c r="AM166">
        <v>3.444</v>
      </c>
      <c r="AN166">
        <v>3.431</v>
      </c>
      <c r="AO166">
        <v>3.4209999999999998</v>
      </c>
      <c r="AP166">
        <v>3.335</v>
      </c>
      <c r="AQ166">
        <v>3.3660000000000001</v>
      </c>
      <c r="AR166">
        <v>3.3530000000000002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2:52">
      <c r="B167" s="2">
        <v>45281</v>
      </c>
      <c r="C167">
        <v>3.4750000000000001</v>
      </c>
      <c r="D167">
        <v>3.5249999999999999</v>
      </c>
      <c r="E167">
        <v>3.5049999999999999</v>
      </c>
      <c r="F167">
        <v>3.456</v>
      </c>
      <c r="G167">
        <v>3.4249999999999998</v>
      </c>
      <c r="H167">
        <v>3.32</v>
      </c>
      <c r="I167">
        <v>3.28</v>
      </c>
      <c r="J167">
        <v>3.2330000000000001</v>
      </c>
      <c r="K167">
        <v>3.2949999999999999</v>
      </c>
      <c r="L167">
        <v>3.2509999999999999</v>
      </c>
      <c r="M167">
        <v>3.327</v>
      </c>
      <c r="N167">
        <v>3.2919999999999998</v>
      </c>
      <c r="O167">
        <v>3.282</v>
      </c>
      <c r="P167">
        <v>3.25</v>
      </c>
      <c r="Q167">
        <v>3.2269999999999999</v>
      </c>
      <c r="R167">
        <v>3.1930000000000001</v>
      </c>
      <c r="S167" s="2">
        <v>45281</v>
      </c>
      <c r="T167">
        <v>3.79</v>
      </c>
      <c r="U167">
        <v>3.81</v>
      </c>
      <c r="V167">
        <v>3.782</v>
      </c>
      <c r="W167">
        <v>3.7309999999999999</v>
      </c>
      <c r="X167">
        <v>3.6880000000000002</v>
      </c>
      <c r="Y167">
        <v>3.629</v>
      </c>
      <c r="Z167">
        <v>3.625</v>
      </c>
      <c r="AA167">
        <v>3.605</v>
      </c>
      <c r="AB167">
        <v>3.6070000000000002</v>
      </c>
      <c r="AC167">
        <v>3.581</v>
      </c>
      <c r="AD167">
        <v>3.597</v>
      </c>
      <c r="AE167">
        <v>3.601</v>
      </c>
      <c r="AF167">
        <v>3.617</v>
      </c>
      <c r="AG167">
        <v>3.597</v>
      </c>
      <c r="AH167">
        <v>3.6280000000000001</v>
      </c>
      <c r="AI167">
        <v>0</v>
      </c>
      <c r="AJ167" s="2">
        <v>45281</v>
      </c>
      <c r="AK167">
        <v>3.4849999999999999</v>
      </c>
      <c r="AL167">
        <v>3.468</v>
      </c>
      <c r="AM167">
        <v>3.444</v>
      </c>
      <c r="AN167">
        <v>3.431</v>
      </c>
      <c r="AO167">
        <v>3.4209999999999998</v>
      </c>
      <c r="AP167">
        <v>3.34</v>
      </c>
      <c r="AQ167">
        <v>3.367</v>
      </c>
      <c r="AR167">
        <v>3.3580000000000001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2:52">
      <c r="B168" s="2">
        <v>45280</v>
      </c>
      <c r="C168">
        <v>3.48</v>
      </c>
      <c r="D168">
        <v>3.52</v>
      </c>
      <c r="E168">
        <v>3.5049999999999999</v>
      </c>
      <c r="F168">
        <v>3.4510000000000001</v>
      </c>
      <c r="G168">
        <v>3.4129999999999998</v>
      </c>
      <c r="H168">
        <v>3.32</v>
      </c>
      <c r="I168">
        <v>3.28</v>
      </c>
      <c r="J168">
        <v>3.2229999999999999</v>
      </c>
      <c r="K168">
        <v>3.2949999999999999</v>
      </c>
      <c r="L168">
        <v>3.2450000000000001</v>
      </c>
      <c r="M168">
        <v>3.3140000000000001</v>
      </c>
      <c r="N168">
        <v>3.2770000000000001</v>
      </c>
      <c r="O168">
        <v>3.266</v>
      </c>
      <c r="P168">
        <v>3.2320000000000002</v>
      </c>
      <c r="Q168">
        <v>3.202</v>
      </c>
      <c r="R168">
        <v>3.1640000000000001</v>
      </c>
      <c r="S168" s="2">
        <v>45280</v>
      </c>
      <c r="T168">
        <v>3.7850000000000001</v>
      </c>
      <c r="U168">
        <v>3.81</v>
      </c>
      <c r="V168">
        <v>3.7789999999999999</v>
      </c>
      <c r="W168">
        <v>3.7309999999999999</v>
      </c>
      <c r="X168">
        <v>3.673</v>
      </c>
      <c r="Y168">
        <v>3.633</v>
      </c>
      <c r="Z168">
        <v>3.625</v>
      </c>
      <c r="AA168">
        <v>3.5950000000000002</v>
      </c>
      <c r="AB168">
        <v>3.6070000000000002</v>
      </c>
      <c r="AC168">
        <v>3.5739999999999998</v>
      </c>
      <c r="AD168">
        <v>3.585</v>
      </c>
      <c r="AE168">
        <v>3.589</v>
      </c>
      <c r="AF168">
        <v>3.6019999999999999</v>
      </c>
      <c r="AG168">
        <v>3.5790000000000002</v>
      </c>
      <c r="AH168">
        <v>3.6030000000000002</v>
      </c>
      <c r="AI168">
        <v>0</v>
      </c>
      <c r="AJ168" s="2">
        <v>45280</v>
      </c>
      <c r="AK168">
        <v>3.4849999999999999</v>
      </c>
      <c r="AL168">
        <v>3.468</v>
      </c>
      <c r="AM168">
        <v>3.444</v>
      </c>
      <c r="AN168">
        <v>3.431</v>
      </c>
      <c r="AO168">
        <v>3.4049999999999998</v>
      </c>
      <c r="AP168">
        <v>3.3450000000000002</v>
      </c>
      <c r="AQ168">
        <v>3.3650000000000002</v>
      </c>
      <c r="AR168">
        <v>3.351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2:52">
      <c r="B169" s="2">
        <v>45279</v>
      </c>
      <c r="C169">
        <v>3.48</v>
      </c>
      <c r="D169">
        <v>3.5209999999999999</v>
      </c>
      <c r="E169">
        <v>3.51</v>
      </c>
      <c r="F169">
        <v>3.472</v>
      </c>
      <c r="G169">
        <v>3.4380000000000002</v>
      </c>
      <c r="H169">
        <v>3.3690000000000002</v>
      </c>
      <c r="I169">
        <v>3.3290000000000002</v>
      </c>
      <c r="J169">
        <v>3.274</v>
      </c>
      <c r="K169">
        <v>3.3460000000000001</v>
      </c>
      <c r="L169">
        <v>3.2949999999999999</v>
      </c>
      <c r="M169">
        <v>3.351</v>
      </c>
      <c r="N169">
        <v>3.3050000000000002</v>
      </c>
      <c r="O169">
        <v>3.2839999999999998</v>
      </c>
      <c r="P169">
        <v>3.24</v>
      </c>
      <c r="Q169">
        <v>3.2250000000000001</v>
      </c>
      <c r="R169">
        <v>3.1850000000000001</v>
      </c>
      <c r="S169" s="2">
        <v>45279</v>
      </c>
      <c r="T169">
        <v>3.7789999999999999</v>
      </c>
      <c r="U169">
        <v>3.8029999999999999</v>
      </c>
      <c r="V169">
        <v>3.778</v>
      </c>
      <c r="W169">
        <v>3.7320000000000002</v>
      </c>
      <c r="X169">
        <v>3.673</v>
      </c>
      <c r="Y169">
        <v>3.6709999999999998</v>
      </c>
      <c r="Z169">
        <v>3.6739999999999999</v>
      </c>
      <c r="AA169">
        <v>3.6459999999999999</v>
      </c>
      <c r="AB169">
        <v>3.657</v>
      </c>
      <c r="AC169">
        <v>3.625</v>
      </c>
      <c r="AD169">
        <v>3.625</v>
      </c>
      <c r="AE169">
        <v>3.621</v>
      </c>
      <c r="AF169">
        <v>3.621</v>
      </c>
      <c r="AG169">
        <v>3.5880000000000001</v>
      </c>
      <c r="AH169">
        <v>3.6259999999999999</v>
      </c>
      <c r="AI169">
        <v>0</v>
      </c>
      <c r="AJ169" s="2">
        <v>45279</v>
      </c>
      <c r="AK169">
        <v>3.488</v>
      </c>
      <c r="AL169">
        <v>3.47</v>
      </c>
      <c r="AM169">
        <v>3.4470000000000001</v>
      </c>
      <c r="AN169">
        <v>3.4319999999999999</v>
      </c>
      <c r="AO169">
        <v>3.4049999999999998</v>
      </c>
      <c r="AP169">
        <v>3.3849999999999998</v>
      </c>
      <c r="AQ169">
        <v>3.407</v>
      </c>
      <c r="AR169">
        <v>3.3879999999999999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2:52">
      <c r="B170" s="2">
        <v>45278</v>
      </c>
      <c r="C170">
        <v>3.468</v>
      </c>
      <c r="D170">
        <v>3.52</v>
      </c>
      <c r="E170">
        <v>3.508</v>
      </c>
      <c r="F170">
        <v>3.4740000000000002</v>
      </c>
      <c r="G170">
        <v>3.43</v>
      </c>
      <c r="H170">
        <v>3.3650000000000002</v>
      </c>
      <c r="I170">
        <v>3.3250000000000002</v>
      </c>
      <c r="J170">
        <v>3.2789999999999999</v>
      </c>
      <c r="K170">
        <v>3.3570000000000002</v>
      </c>
      <c r="L170">
        <v>3.302</v>
      </c>
      <c r="M170">
        <v>3.37</v>
      </c>
      <c r="N170">
        <v>3.3380000000000001</v>
      </c>
      <c r="O170">
        <v>3.3079999999999998</v>
      </c>
      <c r="P170">
        <v>3.2589999999999999</v>
      </c>
      <c r="Q170">
        <v>3.2490000000000001</v>
      </c>
      <c r="R170">
        <v>3.2090000000000001</v>
      </c>
      <c r="S170" s="2">
        <v>45278</v>
      </c>
      <c r="T170">
        <v>3.7690000000000001</v>
      </c>
      <c r="U170">
        <v>3.7879999999999998</v>
      </c>
      <c r="V170">
        <v>3.7650000000000001</v>
      </c>
      <c r="W170">
        <v>3.722</v>
      </c>
      <c r="X170">
        <v>3.661</v>
      </c>
      <c r="Y170">
        <v>3.6579999999999999</v>
      </c>
      <c r="Z170">
        <v>3.6680000000000001</v>
      </c>
      <c r="AA170">
        <v>3.645</v>
      </c>
      <c r="AB170">
        <v>3.6619999999999999</v>
      </c>
      <c r="AC170">
        <v>3.6240000000000001</v>
      </c>
      <c r="AD170">
        <v>3.641</v>
      </c>
      <c r="AE170">
        <v>3.6539999999999999</v>
      </c>
      <c r="AF170">
        <v>3.6459999999999999</v>
      </c>
      <c r="AG170">
        <v>3.6059999999999999</v>
      </c>
      <c r="AH170">
        <v>3.65</v>
      </c>
      <c r="AI170">
        <v>0</v>
      </c>
      <c r="AJ170" s="2">
        <v>45278</v>
      </c>
      <c r="AK170">
        <v>3.48</v>
      </c>
      <c r="AL170">
        <v>3.46</v>
      </c>
      <c r="AM170">
        <v>3.4390000000000001</v>
      </c>
      <c r="AN170">
        <v>3.4239999999999999</v>
      </c>
      <c r="AO170">
        <v>3.395</v>
      </c>
      <c r="AP170">
        <v>3.375</v>
      </c>
      <c r="AQ170">
        <v>3.4020000000000001</v>
      </c>
      <c r="AR170">
        <v>3.3780000000000001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2:52">
      <c r="B171" s="2">
        <v>45275</v>
      </c>
      <c r="C171">
        <v>3.4649999999999999</v>
      </c>
      <c r="D171">
        <v>3.5230000000000001</v>
      </c>
      <c r="E171">
        <v>3.5129999999999999</v>
      </c>
      <c r="F171">
        <v>3.4750000000000001</v>
      </c>
      <c r="G171">
        <v>3.431</v>
      </c>
      <c r="H171">
        <v>3.3540000000000001</v>
      </c>
      <c r="I171">
        <v>3.3149999999999999</v>
      </c>
      <c r="J171">
        <v>3.2749999999999999</v>
      </c>
      <c r="K171">
        <v>3.355</v>
      </c>
      <c r="L171">
        <v>3.3010000000000002</v>
      </c>
      <c r="M171">
        <v>3.3780000000000001</v>
      </c>
      <c r="N171">
        <v>3.3479999999999999</v>
      </c>
      <c r="O171">
        <v>3.3239999999999998</v>
      </c>
      <c r="P171">
        <v>3.2850000000000001</v>
      </c>
      <c r="Q171">
        <v>3.2749999999999999</v>
      </c>
      <c r="R171">
        <v>3.2349999999999999</v>
      </c>
      <c r="S171" s="2">
        <v>45275</v>
      </c>
      <c r="T171">
        <v>3.7770000000000001</v>
      </c>
      <c r="U171">
        <v>3.7970000000000002</v>
      </c>
      <c r="V171">
        <v>3.77</v>
      </c>
      <c r="W171">
        <v>3.722</v>
      </c>
      <c r="X171">
        <v>3.649</v>
      </c>
      <c r="Y171">
        <v>3.6469999999999998</v>
      </c>
      <c r="Z171">
        <v>3.6579999999999999</v>
      </c>
      <c r="AA171">
        <v>3.641</v>
      </c>
      <c r="AB171">
        <v>3.66</v>
      </c>
      <c r="AC171">
        <v>3.6240000000000001</v>
      </c>
      <c r="AD171">
        <v>3.649</v>
      </c>
      <c r="AE171">
        <v>3.6640000000000001</v>
      </c>
      <c r="AF171">
        <v>3.6619999999999999</v>
      </c>
      <c r="AG171">
        <v>3.633</v>
      </c>
      <c r="AH171">
        <v>3.6760000000000002</v>
      </c>
      <c r="AI171">
        <v>0</v>
      </c>
      <c r="AJ171" s="2">
        <v>45275</v>
      </c>
      <c r="AK171">
        <v>3.488</v>
      </c>
      <c r="AL171">
        <v>3.468</v>
      </c>
      <c r="AM171">
        <v>3.4420000000000002</v>
      </c>
      <c r="AN171">
        <v>3.4220000000000002</v>
      </c>
      <c r="AO171">
        <v>3.3809999999999998</v>
      </c>
      <c r="AP171">
        <v>3.3650000000000002</v>
      </c>
      <c r="AQ171">
        <v>3.3919999999999999</v>
      </c>
      <c r="AR171">
        <v>3.3740000000000001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2:52">
      <c r="B172" s="2">
        <v>45274</v>
      </c>
      <c r="C172">
        <v>3.45</v>
      </c>
      <c r="D172">
        <v>3.5129999999999999</v>
      </c>
      <c r="E172">
        <v>3.5030000000000001</v>
      </c>
      <c r="F172">
        <v>3.4630000000000001</v>
      </c>
      <c r="G172">
        <v>3.403</v>
      </c>
      <c r="H172">
        <v>3.323</v>
      </c>
      <c r="I172">
        <v>3.27</v>
      </c>
      <c r="J172">
        <v>3.2370000000000001</v>
      </c>
      <c r="K172">
        <v>3.31</v>
      </c>
      <c r="L172">
        <v>3.26</v>
      </c>
      <c r="M172">
        <v>3.3340000000000001</v>
      </c>
      <c r="N172">
        <v>3.3010000000000002</v>
      </c>
      <c r="O172">
        <v>3.2690000000000001</v>
      </c>
      <c r="P172">
        <v>3.22</v>
      </c>
      <c r="Q172">
        <v>3.21</v>
      </c>
      <c r="R172">
        <v>3.17</v>
      </c>
      <c r="S172" s="2">
        <v>45274</v>
      </c>
      <c r="T172">
        <v>3.7749999999999999</v>
      </c>
      <c r="U172">
        <v>3.7930000000000001</v>
      </c>
      <c r="V172">
        <v>3.7669999999999999</v>
      </c>
      <c r="W172">
        <v>3.7040000000000002</v>
      </c>
      <c r="X172">
        <v>3.6219999999999999</v>
      </c>
      <c r="Y172">
        <v>3.6120000000000001</v>
      </c>
      <c r="Z172">
        <v>3.6120000000000001</v>
      </c>
      <c r="AA172">
        <v>3.601</v>
      </c>
      <c r="AB172">
        <v>3.6139999999999999</v>
      </c>
      <c r="AC172">
        <v>3.5819999999999999</v>
      </c>
      <c r="AD172">
        <v>3.605</v>
      </c>
      <c r="AE172">
        <v>3.617</v>
      </c>
      <c r="AF172">
        <v>3.6059999999999999</v>
      </c>
      <c r="AG172">
        <v>3.5680000000000001</v>
      </c>
      <c r="AH172">
        <v>3.6110000000000002</v>
      </c>
      <c r="AI172">
        <v>0</v>
      </c>
      <c r="AJ172" s="2">
        <v>45274</v>
      </c>
      <c r="AK172">
        <v>3.4809999999999999</v>
      </c>
      <c r="AL172">
        <v>3.46</v>
      </c>
      <c r="AM172">
        <v>3.4350000000000001</v>
      </c>
      <c r="AN172">
        <v>3.4020000000000001</v>
      </c>
      <c r="AO172">
        <v>3.355</v>
      </c>
      <c r="AP172">
        <v>3.331</v>
      </c>
      <c r="AQ172">
        <v>3.3519999999999999</v>
      </c>
      <c r="AR172">
        <v>3.3359999999999999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2:52">
      <c r="B173" s="2">
        <v>45273</v>
      </c>
      <c r="C173">
        <v>3.5129999999999999</v>
      </c>
      <c r="D173">
        <v>3.5830000000000002</v>
      </c>
      <c r="E173">
        <v>3.5859999999999999</v>
      </c>
      <c r="F173">
        <v>3.5859999999999999</v>
      </c>
      <c r="G173">
        <v>3.5859999999999999</v>
      </c>
      <c r="H173">
        <v>3.5379999999999998</v>
      </c>
      <c r="I173">
        <v>3.5009999999999999</v>
      </c>
      <c r="J173">
        <v>3.46</v>
      </c>
      <c r="K173">
        <v>3.524</v>
      </c>
      <c r="L173">
        <v>3.4950000000000001</v>
      </c>
      <c r="M173">
        <v>3.5619999999999998</v>
      </c>
      <c r="N173">
        <v>3.5259999999999998</v>
      </c>
      <c r="O173">
        <v>3.4649999999999999</v>
      </c>
      <c r="P173">
        <v>3.395</v>
      </c>
      <c r="Q173">
        <v>3.379</v>
      </c>
      <c r="R173">
        <v>3.339</v>
      </c>
      <c r="S173" s="2">
        <v>45273</v>
      </c>
      <c r="T173">
        <v>3.855</v>
      </c>
      <c r="U173">
        <v>3.8980000000000001</v>
      </c>
      <c r="V173">
        <v>3.8980000000000001</v>
      </c>
      <c r="W173">
        <v>3.8690000000000002</v>
      </c>
      <c r="X173">
        <v>3.8420000000000001</v>
      </c>
      <c r="Y173">
        <v>3.8420000000000001</v>
      </c>
      <c r="Z173">
        <v>3.84</v>
      </c>
      <c r="AA173">
        <v>3.8220000000000001</v>
      </c>
      <c r="AB173">
        <v>3.8279999999999998</v>
      </c>
      <c r="AC173">
        <v>3.8170000000000002</v>
      </c>
      <c r="AD173">
        <v>3.8330000000000002</v>
      </c>
      <c r="AE173">
        <v>3.8420000000000001</v>
      </c>
      <c r="AF173">
        <v>3.8029999999999999</v>
      </c>
      <c r="AG173">
        <v>3.742</v>
      </c>
      <c r="AH173">
        <v>3.78</v>
      </c>
      <c r="AI173">
        <v>0</v>
      </c>
      <c r="AJ173" s="2">
        <v>45273</v>
      </c>
      <c r="AK173">
        <v>3.5609999999999999</v>
      </c>
      <c r="AL173">
        <v>3.5649999999999999</v>
      </c>
      <c r="AM173">
        <v>3.5649999999999999</v>
      </c>
      <c r="AN173">
        <v>3.569</v>
      </c>
      <c r="AO173">
        <v>3.58</v>
      </c>
      <c r="AP173">
        <v>3.5649999999999999</v>
      </c>
      <c r="AQ173">
        <v>3.58</v>
      </c>
      <c r="AR173">
        <v>3.5590000000000002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2:52">
      <c r="B174" s="2">
        <v>45272</v>
      </c>
      <c r="C174">
        <v>3.5049999999999999</v>
      </c>
      <c r="D174">
        <v>3.58</v>
      </c>
      <c r="E174">
        <v>3.5760000000000001</v>
      </c>
      <c r="F174">
        <v>3.5779999999999998</v>
      </c>
      <c r="G174">
        <v>3.5750000000000002</v>
      </c>
      <c r="H174">
        <v>3.5249999999999999</v>
      </c>
      <c r="I174">
        <v>3.4809999999999999</v>
      </c>
      <c r="J174">
        <v>3.4470000000000001</v>
      </c>
      <c r="K174">
        <v>3.5110000000000001</v>
      </c>
      <c r="L174">
        <v>3.4849999999999999</v>
      </c>
      <c r="M174">
        <v>3.5579999999999998</v>
      </c>
      <c r="N174">
        <v>3.53</v>
      </c>
      <c r="O174">
        <v>3.492</v>
      </c>
      <c r="P174">
        <v>3.4420000000000002</v>
      </c>
      <c r="Q174">
        <v>3.4319999999999999</v>
      </c>
      <c r="R174">
        <v>3.3919999999999999</v>
      </c>
      <c r="S174" s="2">
        <v>45272</v>
      </c>
      <c r="T174">
        <v>3.8519999999999999</v>
      </c>
      <c r="U174">
        <v>3.9</v>
      </c>
      <c r="V174">
        <v>3.9009999999999998</v>
      </c>
      <c r="W174">
        <v>3.871</v>
      </c>
      <c r="X174">
        <v>3.827</v>
      </c>
      <c r="Y174">
        <v>3.8250000000000002</v>
      </c>
      <c r="Z174">
        <v>3.8210000000000002</v>
      </c>
      <c r="AA174">
        <v>3.8090000000000002</v>
      </c>
      <c r="AB174">
        <v>3.8159999999999998</v>
      </c>
      <c r="AC174">
        <v>3.8050000000000002</v>
      </c>
      <c r="AD174">
        <v>3.8290000000000002</v>
      </c>
      <c r="AE174">
        <v>3.8460000000000001</v>
      </c>
      <c r="AF174">
        <v>3.83</v>
      </c>
      <c r="AG174">
        <v>3.7890000000000001</v>
      </c>
      <c r="AH174">
        <v>3.8330000000000002</v>
      </c>
      <c r="AI174">
        <v>0</v>
      </c>
      <c r="AJ174" s="2">
        <v>45272</v>
      </c>
      <c r="AK174">
        <v>3.5579999999999998</v>
      </c>
      <c r="AL174">
        <v>3.5609999999999999</v>
      </c>
      <c r="AM174">
        <v>3.5649999999999999</v>
      </c>
      <c r="AN174">
        <v>3.57</v>
      </c>
      <c r="AO174">
        <v>3.5649999999999999</v>
      </c>
      <c r="AP174">
        <v>3.5470000000000002</v>
      </c>
      <c r="AQ174">
        <v>3.5609999999999999</v>
      </c>
      <c r="AR174">
        <v>3.5449999999999999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2:52">
      <c r="B175" s="2">
        <v>45271</v>
      </c>
      <c r="C175">
        <v>3.5249999999999999</v>
      </c>
      <c r="D175">
        <v>3.5760000000000001</v>
      </c>
      <c r="E175">
        <v>3.5750000000000002</v>
      </c>
      <c r="F175">
        <v>3.573</v>
      </c>
      <c r="G175">
        <v>3.593</v>
      </c>
      <c r="H175">
        <v>3.5550000000000002</v>
      </c>
      <c r="I175">
        <v>3.5150000000000001</v>
      </c>
      <c r="J175">
        <v>3.47</v>
      </c>
      <c r="K175">
        <v>3.54</v>
      </c>
      <c r="L175">
        <v>3.5150000000000001</v>
      </c>
      <c r="M175">
        <v>3.5880000000000001</v>
      </c>
      <c r="N175">
        <v>3.56</v>
      </c>
      <c r="O175">
        <v>3.5310000000000001</v>
      </c>
      <c r="P175">
        <v>3.4910000000000001</v>
      </c>
      <c r="Q175">
        <v>3.4769999999999999</v>
      </c>
      <c r="R175">
        <v>3.4369999999999998</v>
      </c>
      <c r="S175" s="2">
        <v>45271</v>
      </c>
      <c r="T175">
        <v>3.86</v>
      </c>
      <c r="U175">
        <v>3.9159999999999999</v>
      </c>
      <c r="V175">
        <v>3.9159999999999999</v>
      </c>
      <c r="W175">
        <v>3.89</v>
      </c>
      <c r="X175">
        <v>3.851</v>
      </c>
      <c r="Y175">
        <v>3.855</v>
      </c>
      <c r="Z175">
        <v>3.8530000000000002</v>
      </c>
      <c r="AA175">
        <v>3.8319999999999999</v>
      </c>
      <c r="AB175">
        <v>3.843</v>
      </c>
      <c r="AC175">
        <v>3.8340000000000001</v>
      </c>
      <c r="AD175">
        <v>3.8580000000000001</v>
      </c>
      <c r="AE175">
        <v>3.8759999999999999</v>
      </c>
      <c r="AF175">
        <v>3.8690000000000002</v>
      </c>
      <c r="AG175">
        <v>3.839</v>
      </c>
      <c r="AH175">
        <v>3.8780000000000001</v>
      </c>
      <c r="AI175">
        <v>0</v>
      </c>
      <c r="AJ175" s="2">
        <v>45271</v>
      </c>
      <c r="AK175">
        <v>3.5630000000000002</v>
      </c>
      <c r="AL175">
        <v>3.5659999999999998</v>
      </c>
      <c r="AM175">
        <v>3.57</v>
      </c>
      <c r="AN175">
        <v>3.5840000000000001</v>
      </c>
      <c r="AO175">
        <v>3.589</v>
      </c>
      <c r="AP175">
        <v>3.5760000000000001</v>
      </c>
      <c r="AQ175">
        <v>3.5859999999999999</v>
      </c>
      <c r="AR175">
        <v>3.5680000000000001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2:52">
      <c r="B176" s="2">
        <v>45268</v>
      </c>
      <c r="C176">
        <v>3.411</v>
      </c>
      <c r="D176">
        <v>3.58</v>
      </c>
      <c r="E176">
        <v>3.5720000000000001</v>
      </c>
      <c r="F176">
        <v>3.5579999999999998</v>
      </c>
      <c r="G176">
        <v>3.5609999999999999</v>
      </c>
      <c r="H176">
        <v>3.516</v>
      </c>
      <c r="I176">
        <v>3.47</v>
      </c>
      <c r="J176">
        <v>3.46</v>
      </c>
      <c r="K176">
        <v>3.4860000000000002</v>
      </c>
      <c r="L176">
        <v>3.46</v>
      </c>
      <c r="M176">
        <v>3.5270000000000001</v>
      </c>
      <c r="N176">
        <v>3.5339999999999998</v>
      </c>
      <c r="O176">
        <v>3.4870000000000001</v>
      </c>
      <c r="P176">
        <v>3.452</v>
      </c>
      <c r="Q176">
        <v>3.44</v>
      </c>
      <c r="R176">
        <v>3.4</v>
      </c>
      <c r="S176" s="2">
        <v>45268</v>
      </c>
      <c r="T176">
        <v>3.855</v>
      </c>
      <c r="U176">
        <v>3.9089999999999998</v>
      </c>
      <c r="V176">
        <v>3.9060000000000001</v>
      </c>
      <c r="W176">
        <v>3.863</v>
      </c>
      <c r="X176">
        <v>3.8109999999999999</v>
      </c>
      <c r="Y176">
        <v>3.8109999999999999</v>
      </c>
      <c r="Z176">
        <v>3.802</v>
      </c>
      <c r="AA176">
        <v>3.7909999999999999</v>
      </c>
      <c r="AB176">
        <v>3.7890000000000001</v>
      </c>
      <c r="AC176">
        <v>3.7789999999999999</v>
      </c>
      <c r="AD176">
        <v>3.8069999999999999</v>
      </c>
      <c r="AE176">
        <v>3.827</v>
      </c>
      <c r="AF176">
        <v>3.8250000000000002</v>
      </c>
      <c r="AG176">
        <v>3.7989999999999999</v>
      </c>
      <c r="AH176">
        <v>3.8410000000000002</v>
      </c>
      <c r="AI176">
        <v>0</v>
      </c>
      <c r="AJ176" s="2">
        <v>45268</v>
      </c>
      <c r="AK176">
        <v>3.56</v>
      </c>
      <c r="AL176">
        <v>3.556</v>
      </c>
      <c r="AM176">
        <v>3.556</v>
      </c>
      <c r="AN176">
        <v>3.56</v>
      </c>
      <c r="AO176">
        <v>3.552</v>
      </c>
      <c r="AP176">
        <v>3.5310000000000001</v>
      </c>
      <c r="AQ176">
        <v>3.5409999999999999</v>
      </c>
      <c r="AR176">
        <v>3.5350000000000001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2:52">
      <c r="B177" s="2">
        <v>45267</v>
      </c>
      <c r="C177">
        <v>3.3959999999999999</v>
      </c>
      <c r="D177">
        <v>3.5859999999999999</v>
      </c>
      <c r="E177">
        <v>3.58</v>
      </c>
      <c r="F177">
        <v>3.5680000000000001</v>
      </c>
      <c r="G177">
        <v>3.58</v>
      </c>
      <c r="H177">
        <v>3.5449999999999999</v>
      </c>
      <c r="I177">
        <v>3.5030000000000001</v>
      </c>
      <c r="J177">
        <v>3.5049999999999999</v>
      </c>
      <c r="K177">
        <v>3.5409999999999999</v>
      </c>
      <c r="L177">
        <v>3.52</v>
      </c>
      <c r="M177">
        <v>3.577</v>
      </c>
      <c r="N177">
        <v>3.5750000000000002</v>
      </c>
      <c r="O177">
        <v>3.52</v>
      </c>
      <c r="P177">
        <v>3.4769999999999999</v>
      </c>
      <c r="Q177">
        <v>3.46</v>
      </c>
      <c r="R177">
        <v>3.42</v>
      </c>
      <c r="S177" s="2">
        <v>45267</v>
      </c>
      <c r="T177">
        <v>3.86</v>
      </c>
      <c r="U177">
        <v>3.9140000000000001</v>
      </c>
      <c r="V177">
        <v>3.9129999999999998</v>
      </c>
      <c r="W177">
        <v>3.8759999999999999</v>
      </c>
      <c r="X177">
        <v>3.839</v>
      </c>
      <c r="Y177">
        <v>3.8420000000000001</v>
      </c>
      <c r="Z177">
        <v>3.8340000000000001</v>
      </c>
      <c r="AA177">
        <v>3.835</v>
      </c>
      <c r="AB177">
        <v>3.843</v>
      </c>
      <c r="AC177">
        <v>3.8370000000000002</v>
      </c>
      <c r="AD177">
        <v>3.8570000000000002</v>
      </c>
      <c r="AE177">
        <v>3.8679999999999999</v>
      </c>
      <c r="AF177">
        <v>3.8570000000000002</v>
      </c>
      <c r="AG177">
        <v>3.8239999999999998</v>
      </c>
      <c r="AH177">
        <v>3.8610000000000002</v>
      </c>
      <c r="AI177">
        <v>0</v>
      </c>
      <c r="AJ177" s="2">
        <v>45267</v>
      </c>
      <c r="AK177">
        <v>3.5649999999999999</v>
      </c>
      <c r="AL177">
        <v>3.5609999999999999</v>
      </c>
      <c r="AM177">
        <v>3.5609999999999999</v>
      </c>
      <c r="AN177">
        <v>3.5710000000000002</v>
      </c>
      <c r="AO177">
        <v>3.58</v>
      </c>
      <c r="AP177">
        <v>3.5619999999999998</v>
      </c>
      <c r="AQ177">
        <v>3.58</v>
      </c>
      <c r="AR177">
        <v>3.58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2:52">
      <c r="B178" s="2">
        <v>45266</v>
      </c>
      <c r="C178">
        <v>3.3959999999999999</v>
      </c>
      <c r="D178">
        <v>3.593</v>
      </c>
      <c r="E178">
        <v>3.5880000000000001</v>
      </c>
      <c r="F178">
        <v>3.5609999999999999</v>
      </c>
      <c r="G178">
        <v>3.5579999999999998</v>
      </c>
      <c r="H178">
        <v>3.5219999999999998</v>
      </c>
      <c r="I178">
        <v>3.4529999999999998</v>
      </c>
      <c r="J178">
        <v>3.47</v>
      </c>
      <c r="K178">
        <v>3.4990000000000001</v>
      </c>
      <c r="L178">
        <v>3.4860000000000002</v>
      </c>
      <c r="M178">
        <v>3.5430000000000001</v>
      </c>
      <c r="N178">
        <v>3.54</v>
      </c>
      <c r="O178">
        <v>3.4870000000000001</v>
      </c>
      <c r="P178">
        <v>3.448</v>
      </c>
      <c r="Q178">
        <v>3.4359999999999999</v>
      </c>
      <c r="R178">
        <v>3.3959999999999999</v>
      </c>
      <c r="S178" s="2">
        <v>45266</v>
      </c>
      <c r="T178">
        <v>3.855</v>
      </c>
      <c r="U178">
        <v>3.9129999999999998</v>
      </c>
      <c r="V178">
        <v>3.9089999999999998</v>
      </c>
      <c r="W178">
        <v>3.86</v>
      </c>
      <c r="X178">
        <v>3.8039999999999998</v>
      </c>
      <c r="Y178">
        <v>3.8079999999999998</v>
      </c>
      <c r="Z178">
        <v>3.7839999999999998</v>
      </c>
      <c r="AA178">
        <v>3.798</v>
      </c>
      <c r="AB178">
        <v>3.802</v>
      </c>
      <c r="AC178">
        <v>3.8029999999999999</v>
      </c>
      <c r="AD178">
        <v>3.823</v>
      </c>
      <c r="AE178">
        <v>3.8330000000000002</v>
      </c>
      <c r="AF178">
        <v>3.8239999999999998</v>
      </c>
      <c r="AG178">
        <v>3.7949999999999999</v>
      </c>
      <c r="AH178">
        <v>3.8370000000000002</v>
      </c>
      <c r="AI178">
        <v>0</v>
      </c>
      <c r="AJ178" s="2">
        <v>45266</v>
      </c>
      <c r="AK178">
        <v>3.5649999999999999</v>
      </c>
      <c r="AL178">
        <v>3.5609999999999999</v>
      </c>
      <c r="AM178">
        <v>3.5550000000000002</v>
      </c>
      <c r="AN178">
        <v>3.5550000000000002</v>
      </c>
      <c r="AO178">
        <v>3.5449999999999999</v>
      </c>
      <c r="AP178">
        <v>3.5270000000000001</v>
      </c>
      <c r="AQ178">
        <v>3.5419999999999998</v>
      </c>
      <c r="AR178">
        <v>3.5459999999999998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2:52">
      <c r="B179" s="2">
        <v>45265</v>
      </c>
      <c r="C179">
        <v>3.3959999999999999</v>
      </c>
      <c r="D179">
        <v>3.5979999999999999</v>
      </c>
      <c r="E179">
        <v>3.5950000000000002</v>
      </c>
      <c r="F179">
        <v>3.5680000000000001</v>
      </c>
      <c r="G179">
        <v>3.5670000000000002</v>
      </c>
      <c r="H179">
        <v>3.524</v>
      </c>
      <c r="I179">
        <v>3.47</v>
      </c>
      <c r="J179">
        <v>3.4820000000000002</v>
      </c>
      <c r="K179">
        <v>3.5270000000000001</v>
      </c>
      <c r="L179">
        <v>3.5169999999999999</v>
      </c>
      <c r="M179">
        <v>3.5750000000000002</v>
      </c>
      <c r="N179">
        <v>3.5750000000000002</v>
      </c>
      <c r="O179">
        <v>3.5249999999999999</v>
      </c>
      <c r="P179">
        <v>3.4889999999999999</v>
      </c>
      <c r="Q179">
        <v>3.4729999999999999</v>
      </c>
      <c r="R179">
        <v>3.4329999999999998</v>
      </c>
      <c r="S179" s="2">
        <v>45265</v>
      </c>
      <c r="T179">
        <v>3.859</v>
      </c>
      <c r="U179">
        <v>3.9209999999999998</v>
      </c>
      <c r="V179">
        <v>3.9180000000000001</v>
      </c>
      <c r="W179">
        <v>3.871</v>
      </c>
      <c r="X179">
        <v>3.8180000000000001</v>
      </c>
      <c r="Y179">
        <v>3.8109999999999999</v>
      </c>
      <c r="Z179">
        <v>3.8</v>
      </c>
      <c r="AA179">
        <v>3.8109999999999999</v>
      </c>
      <c r="AB179">
        <v>3.8290000000000002</v>
      </c>
      <c r="AC179">
        <v>3.8330000000000002</v>
      </c>
      <c r="AD179">
        <v>3.855</v>
      </c>
      <c r="AE179">
        <v>3.867</v>
      </c>
      <c r="AF179">
        <v>3.8620000000000001</v>
      </c>
      <c r="AG179">
        <v>3.8359999999999999</v>
      </c>
      <c r="AH179">
        <v>3.8740000000000001</v>
      </c>
      <c r="AI179">
        <v>0</v>
      </c>
      <c r="AJ179" s="2">
        <v>45265</v>
      </c>
      <c r="AK179">
        <v>3.5659999999999998</v>
      </c>
      <c r="AL179">
        <v>3.5630000000000002</v>
      </c>
      <c r="AM179">
        <v>3.5579999999999998</v>
      </c>
      <c r="AN179">
        <v>3.5609999999999999</v>
      </c>
      <c r="AO179">
        <v>3.5569999999999999</v>
      </c>
      <c r="AP179">
        <v>3.528</v>
      </c>
      <c r="AQ179">
        <v>3.55</v>
      </c>
      <c r="AR179">
        <v>3.5550000000000002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2:52">
      <c r="B180" s="2">
        <v>45264</v>
      </c>
      <c r="C180">
        <v>3.3980000000000001</v>
      </c>
      <c r="D180">
        <v>3.6059999999999999</v>
      </c>
      <c r="E180">
        <v>3.613</v>
      </c>
      <c r="F180">
        <v>3.585</v>
      </c>
      <c r="G180">
        <v>3.589</v>
      </c>
      <c r="H180">
        <v>3.5649999999999999</v>
      </c>
      <c r="I180">
        <v>3.516</v>
      </c>
      <c r="J180">
        <v>3.532</v>
      </c>
      <c r="K180">
        <v>3.573</v>
      </c>
      <c r="L180">
        <v>3.5619999999999998</v>
      </c>
      <c r="M180">
        <v>3.621</v>
      </c>
      <c r="N180">
        <v>3.625</v>
      </c>
      <c r="O180">
        <v>3.569</v>
      </c>
      <c r="P180">
        <v>3.5249999999999999</v>
      </c>
      <c r="Q180">
        <v>3.512</v>
      </c>
      <c r="R180">
        <v>3.472</v>
      </c>
      <c r="S180" s="2">
        <v>45264</v>
      </c>
      <c r="T180">
        <v>3.8650000000000002</v>
      </c>
      <c r="U180">
        <v>3.9359999999999999</v>
      </c>
      <c r="V180">
        <v>3.9329999999999998</v>
      </c>
      <c r="W180">
        <v>3.8879999999999999</v>
      </c>
      <c r="X180">
        <v>3.85</v>
      </c>
      <c r="Y180">
        <v>3.8439999999999999</v>
      </c>
      <c r="Z180">
        <v>3.84</v>
      </c>
      <c r="AA180">
        <v>3.8559999999999999</v>
      </c>
      <c r="AB180">
        <v>3.8740000000000001</v>
      </c>
      <c r="AC180">
        <v>3.8780000000000001</v>
      </c>
      <c r="AD180">
        <v>3.9</v>
      </c>
      <c r="AE180">
        <v>3.915</v>
      </c>
      <c r="AF180">
        <v>3.907</v>
      </c>
      <c r="AG180">
        <v>3.8719999999999999</v>
      </c>
      <c r="AH180">
        <v>3.9129999999999998</v>
      </c>
      <c r="AI180">
        <v>0</v>
      </c>
      <c r="AJ180" s="2">
        <v>45264</v>
      </c>
      <c r="AK180">
        <v>3.5659999999999998</v>
      </c>
      <c r="AL180">
        <v>3.5680000000000001</v>
      </c>
      <c r="AM180">
        <v>3.5680000000000001</v>
      </c>
      <c r="AN180">
        <v>3.5750000000000002</v>
      </c>
      <c r="AO180">
        <v>3.585</v>
      </c>
      <c r="AP180">
        <v>3.5619999999999998</v>
      </c>
      <c r="AQ180">
        <v>3.5950000000000002</v>
      </c>
      <c r="AR180">
        <v>3.605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2:52">
      <c r="B181" s="2">
        <v>45261</v>
      </c>
      <c r="C181">
        <v>3.403</v>
      </c>
      <c r="D181">
        <v>3.6080000000000001</v>
      </c>
      <c r="E181">
        <v>3.62</v>
      </c>
      <c r="F181">
        <v>3.61</v>
      </c>
      <c r="G181">
        <v>3.625</v>
      </c>
      <c r="H181">
        <v>3.601</v>
      </c>
      <c r="I181">
        <v>3.57</v>
      </c>
      <c r="J181">
        <v>3.585</v>
      </c>
      <c r="K181">
        <v>3.6309999999999998</v>
      </c>
      <c r="L181">
        <v>3.62</v>
      </c>
      <c r="M181">
        <v>3.6850000000000001</v>
      </c>
      <c r="N181">
        <v>3.7</v>
      </c>
      <c r="O181">
        <v>3.63</v>
      </c>
      <c r="P181">
        <v>3.577</v>
      </c>
      <c r="Q181">
        <v>3.56</v>
      </c>
      <c r="R181">
        <v>3.52</v>
      </c>
      <c r="S181" s="2">
        <v>45261</v>
      </c>
      <c r="T181">
        <v>3.8820000000000001</v>
      </c>
      <c r="U181">
        <v>3.9529999999999998</v>
      </c>
      <c r="V181">
        <v>3.948</v>
      </c>
      <c r="W181">
        <v>3.92</v>
      </c>
      <c r="X181">
        <v>3.8980000000000001</v>
      </c>
      <c r="Y181">
        <v>3.8940000000000001</v>
      </c>
      <c r="Z181">
        <v>3.8969999999999998</v>
      </c>
      <c r="AA181">
        <v>3.9119999999999999</v>
      </c>
      <c r="AB181">
        <v>3.9340000000000002</v>
      </c>
      <c r="AC181">
        <v>3.9369999999999998</v>
      </c>
      <c r="AD181">
        <v>3.964</v>
      </c>
      <c r="AE181">
        <v>3.99</v>
      </c>
      <c r="AF181">
        <v>3.972</v>
      </c>
      <c r="AG181">
        <v>3.931</v>
      </c>
      <c r="AH181">
        <v>3.968</v>
      </c>
      <c r="AI181">
        <v>0</v>
      </c>
      <c r="AJ181" s="2">
        <v>45261</v>
      </c>
      <c r="AK181">
        <v>3.5779999999999998</v>
      </c>
      <c r="AL181">
        <v>3.585</v>
      </c>
      <c r="AM181">
        <v>3.585</v>
      </c>
      <c r="AN181">
        <v>3.6059999999999999</v>
      </c>
      <c r="AO181">
        <v>3.6309999999999998</v>
      </c>
      <c r="AP181">
        <v>3.6070000000000002</v>
      </c>
      <c r="AQ181">
        <v>3.6480000000000001</v>
      </c>
      <c r="AR181">
        <v>3.657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2:52">
      <c r="B182" s="2">
        <v>45260</v>
      </c>
      <c r="C182">
        <v>3.4129999999999998</v>
      </c>
      <c r="D182">
        <v>3.6110000000000002</v>
      </c>
      <c r="E182">
        <v>3.629</v>
      </c>
      <c r="F182">
        <v>3.633</v>
      </c>
      <c r="G182">
        <v>3.6309999999999998</v>
      </c>
      <c r="H182">
        <v>3.6059999999999999</v>
      </c>
      <c r="I182">
        <v>3.5750000000000002</v>
      </c>
      <c r="J182">
        <v>3.5819999999999999</v>
      </c>
      <c r="K182">
        <v>3.6320000000000001</v>
      </c>
      <c r="L182">
        <v>3.62</v>
      </c>
      <c r="M182">
        <v>3.6850000000000001</v>
      </c>
      <c r="N182">
        <v>3.6970000000000001</v>
      </c>
      <c r="O182">
        <v>3.637</v>
      </c>
      <c r="P182">
        <v>3.5950000000000002</v>
      </c>
      <c r="Q182">
        <v>3.5670000000000002</v>
      </c>
      <c r="R182">
        <v>3.5270000000000001</v>
      </c>
      <c r="S182" s="2">
        <v>45260</v>
      </c>
      <c r="T182">
        <v>3.89</v>
      </c>
      <c r="U182">
        <v>3.9630000000000001</v>
      </c>
      <c r="V182">
        <v>3.9580000000000002</v>
      </c>
      <c r="W182">
        <v>3.9350000000000001</v>
      </c>
      <c r="X182">
        <v>3.9129999999999998</v>
      </c>
      <c r="Y182">
        <v>3.9079999999999999</v>
      </c>
      <c r="Z182">
        <v>3.9060000000000001</v>
      </c>
      <c r="AA182">
        <v>3.9119999999999999</v>
      </c>
      <c r="AB182">
        <v>3.9350000000000001</v>
      </c>
      <c r="AC182">
        <v>3.9390000000000001</v>
      </c>
      <c r="AD182">
        <v>3.964</v>
      </c>
      <c r="AE182">
        <v>3.9870000000000001</v>
      </c>
      <c r="AF182">
        <v>3.9790000000000001</v>
      </c>
      <c r="AG182">
        <v>3.95</v>
      </c>
      <c r="AH182">
        <v>3.9750000000000001</v>
      </c>
      <c r="AI182">
        <v>0</v>
      </c>
      <c r="AJ182" s="2">
        <v>45260</v>
      </c>
      <c r="AK182">
        <v>3.581</v>
      </c>
      <c r="AL182">
        <v>3.59</v>
      </c>
      <c r="AM182">
        <v>3.59</v>
      </c>
      <c r="AN182">
        <v>3.62</v>
      </c>
      <c r="AO182">
        <v>3.645</v>
      </c>
      <c r="AP182">
        <v>3.62</v>
      </c>
      <c r="AQ182">
        <v>3.6469999999999998</v>
      </c>
      <c r="AR182">
        <v>3.6549999999999998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2:52">
      <c r="B183" s="2">
        <v>45259</v>
      </c>
      <c r="C183">
        <v>3.3959999999999999</v>
      </c>
      <c r="D183">
        <v>3.6080000000000001</v>
      </c>
      <c r="E183">
        <v>3.625</v>
      </c>
      <c r="F183">
        <v>3.6349999999999998</v>
      </c>
      <c r="G183">
        <v>3.6280000000000001</v>
      </c>
      <c r="H183">
        <v>3.581</v>
      </c>
      <c r="I183">
        <v>3.5459999999999998</v>
      </c>
      <c r="J183">
        <v>3.55</v>
      </c>
      <c r="K183">
        <v>3.5939999999999999</v>
      </c>
      <c r="L183">
        <v>3.5760000000000001</v>
      </c>
      <c r="M183">
        <v>3.6339999999999999</v>
      </c>
      <c r="N183">
        <v>3.64</v>
      </c>
      <c r="O183">
        <v>3.5859999999999999</v>
      </c>
      <c r="P183">
        <v>3.55</v>
      </c>
      <c r="Q183">
        <v>3.5150000000000001</v>
      </c>
      <c r="R183">
        <v>3.4750000000000001</v>
      </c>
      <c r="S183" s="2">
        <v>45259</v>
      </c>
      <c r="T183">
        <v>3.8889999999999998</v>
      </c>
      <c r="U183">
        <v>3.964</v>
      </c>
      <c r="V183">
        <v>3.9580000000000002</v>
      </c>
      <c r="W183">
        <v>3.9350000000000001</v>
      </c>
      <c r="X183">
        <v>3.895</v>
      </c>
      <c r="Y183">
        <v>3.8889999999999998</v>
      </c>
      <c r="Z183">
        <v>3.879</v>
      </c>
      <c r="AA183">
        <v>3.8849999999999998</v>
      </c>
      <c r="AB183">
        <v>3.9020000000000001</v>
      </c>
      <c r="AC183">
        <v>3.9</v>
      </c>
      <c r="AD183">
        <v>3.9169999999999998</v>
      </c>
      <c r="AE183">
        <v>3.9319999999999999</v>
      </c>
      <c r="AF183">
        <v>3.9289999999999998</v>
      </c>
      <c r="AG183">
        <v>3.9039999999999999</v>
      </c>
      <c r="AH183">
        <v>3.923</v>
      </c>
      <c r="AI183">
        <v>0</v>
      </c>
      <c r="AJ183" s="2">
        <v>45259</v>
      </c>
      <c r="AK183">
        <v>3.5779999999999998</v>
      </c>
      <c r="AL183">
        <v>3.5859999999999999</v>
      </c>
      <c r="AM183">
        <v>3.5859999999999999</v>
      </c>
      <c r="AN183">
        <v>3.62</v>
      </c>
      <c r="AO183">
        <v>3.625</v>
      </c>
      <c r="AP183">
        <v>3.6</v>
      </c>
      <c r="AQ183">
        <v>3.6179999999999999</v>
      </c>
      <c r="AR183">
        <v>3.625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2:52">
      <c r="B184" s="2">
        <v>45258</v>
      </c>
      <c r="C184">
        <v>3.41</v>
      </c>
      <c r="D184">
        <v>3.6259999999999999</v>
      </c>
      <c r="E184">
        <v>3.641</v>
      </c>
      <c r="F184">
        <v>3.6930000000000001</v>
      </c>
      <c r="G184">
        <v>3.6989999999999998</v>
      </c>
      <c r="H184">
        <v>3.6840000000000002</v>
      </c>
      <c r="I184">
        <v>3.65</v>
      </c>
      <c r="J184">
        <v>3.65</v>
      </c>
      <c r="K184">
        <v>3.6850000000000001</v>
      </c>
      <c r="L184">
        <v>3.6720000000000002</v>
      </c>
      <c r="M184">
        <v>3.7290000000000001</v>
      </c>
      <c r="N184">
        <v>3.7349999999999999</v>
      </c>
      <c r="O184">
        <v>3.681</v>
      </c>
      <c r="P184">
        <v>3.645</v>
      </c>
      <c r="Q184">
        <v>3.609</v>
      </c>
      <c r="R184">
        <v>3.569</v>
      </c>
      <c r="S184" s="2">
        <v>45258</v>
      </c>
      <c r="T184">
        <v>3.91</v>
      </c>
      <c r="U184">
        <v>3.992</v>
      </c>
      <c r="V184">
        <v>3.988</v>
      </c>
      <c r="W184">
        <v>3.9849999999999999</v>
      </c>
      <c r="X184">
        <v>3.9780000000000002</v>
      </c>
      <c r="Y184">
        <v>3.9809999999999999</v>
      </c>
      <c r="Z184">
        <v>3.9769999999999999</v>
      </c>
      <c r="AA184">
        <v>3.9809999999999999</v>
      </c>
      <c r="AB184">
        <v>3.9910000000000001</v>
      </c>
      <c r="AC184">
        <v>3.992</v>
      </c>
      <c r="AD184">
        <v>4.0110000000000001</v>
      </c>
      <c r="AE184">
        <v>4.0259999999999998</v>
      </c>
      <c r="AF184">
        <v>4.0250000000000004</v>
      </c>
      <c r="AG184">
        <v>4</v>
      </c>
      <c r="AH184">
        <v>4.0170000000000003</v>
      </c>
      <c r="AI184">
        <v>0</v>
      </c>
      <c r="AJ184" s="2">
        <v>45258</v>
      </c>
      <c r="AK184">
        <v>3.6080000000000001</v>
      </c>
      <c r="AL184">
        <v>3.621</v>
      </c>
      <c r="AM184">
        <v>3.6230000000000002</v>
      </c>
      <c r="AN184">
        <v>3.673</v>
      </c>
      <c r="AO184">
        <v>3.7109999999999999</v>
      </c>
      <c r="AP184">
        <v>3.6949999999999998</v>
      </c>
      <c r="AQ184">
        <v>3.714</v>
      </c>
      <c r="AR184">
        <v>3.7250000000000001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2:52">
      <c r="B185" s="2">
        <v>45257</v>
      </c>
      <c r="C185">
        <v>3.41</v>
      </c>
      <c r="D185">
        <v>3.6280000000000001</v>
      </c>
      <c r="E185">
        <v>3.6429999999999998</v>
      </c>
      <c r="F185">
        <v>3.7109999999999999</v>
      </c>
      <c r="G185">
        <v>3.7309999999999999</v>
      </c>
      <c r="H185">
        <v>3.7250000000000001</v>
      </c>
      <c r="I185">
        <v>3.69</v>
      </c>
      <c r="J185">
        <v>3.6869999999999998</v>
      </c>
      <c r="K185">
        <v>3.7240000000000002</v>
      </c>
      <c r="L185">
        <v>3.7149999999999999</v>
      </c>
      <c r="M185">
        <v>3.7629999999999999</v>
      </c>
      <c r="N185">
        <v>3.762</v>
      </c>
      <c r="O185">
        <v>3.7229999999999999</v>
      </c>
      <c r="P185">
        <v>3.702</v>
      </c>
      <c r="Q185">
        <v>3.6669999999999998</v>
      </c>
      <c r="R185">
        <v>3.6269999999999998</v>
      </c>
      <c r="S185" s="2">
        <v>45257</v>
      </c>
      <c r="T185">
        <v>3.9049999999999998</v>
      </c>
      <c r="U185">
        <v>3.992</v>
      </c>
      <c r="V185">
        <v>3.9929999999999999</v>
      </c>
      <c r="W185">
        <v>3.9969999999999999</v>
      </c>
      <c r="X185">
        <v>4.0019999999999998</v>
      </c>
      <c r="Y185">
        <v>4.016</v>
      </c>
      <c r="Z185">
        <v>4.0190000000000001</v>
      </c>
      <c r="AA185">
        <v>4.0220000000000002</v>
      </c>
      <c r="AB185">
        <v>4.0330000000000004</v>
      </c>
      <c r="AC185">
        <v>4.0330000000000004</v>
      </c>
      <c r="AD185">
        <v>4.0449999999999999</v>
      </c>
      <c r="AE185">
        <v>4.0540000000000003</v>
      </c>
      <c r="AF185">
        <v>4.0670000000000002</v>
      </c>
      <c r="AG185">
        <v>4.0570000000000004</v>
      </c>
      <c r="AH185">
        <v>4.0750000000000002</v>
      </c>
      <c r="AI185">
        <v>0</v>
      </c>
      <c r="AJ185" s="2">
        <v>45257</v>
      </c>
      <c r="AK185">
        <v>3.6110000000000002</v>
      </c>
      <c r="AL185">
        <v>3.6280000000000001</v>
      </c>
      <c r="AM185">
        <v>3.6349999999999998</v>
      </c>
      <c r="AN185">
        <v>3.6880000000000002</v>
      </c>
      <c r="AO185">
        <v>3.74</v>
      </c>
      <c r="AP185">
        <v>3.73</v>
      </c>
      <c r="AQ185">
        <v>3.7509999999999999</v>
      </c>
      <c r="AR185">
        <v>3.7629999999999999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2:52">
      <c r="B186" s="2">
        <v>45254</v>
      </c>
      <c r="C186">
        <v>3.41</v>
      </c>
      <c r="D186">
        <v>3.6309999999999998</v>
      </c>
      <c r="E186">
        <v>3.6429999999999998</v>
      </c>
      <c r="F186">
        <v>3.7109999999999999</v>
      </c>
      <c r="G186">
        <v>3.7280000000000002</v>
      </c>
      <c r="H186">
        <v>3.7160000000000002</v>
      </c>
      <c r="I186">
        <v>3.6779999999999999</v>
      </c>
      <c r="J186">
        <v>3.6739999999999999</v>
      </c>
      <c r="K186">
        <v>3.72</v>
      </c>
      <c r="L186">
        <v>3.72</v>
      </c>
      <c r="M186">
        <v>3.7669999999999999</v>
      </c>
      <c r="N186">
        <v>3.7749999999999999</v>
      </c>
      <c r="O186">
        <v>3.7330000000000001</v>
      </c>
      <c r="P186">
        <v>3.71</v>
      </c>
      <c r="Q186">
        <v>3.67</v>
      </c>
      <c r="R186">
        <v>3.63</v>
      </c>
      <c r="S186" s="2">
        <v>45254</v>
      </c>
      <c r="T186">
        <v>3.9049999999999998</v>
      </c>
      <c r="U186">
        <v>3.992</v>
      </c>
      <c r="V186">
        <v>3.9929999999999999</v>
      </c>
      <c r="W186">
        <v>3.9950000000000001</v>
      </c>
      <c r="X186">
        <v>4</v>
      </c>
      <c r="Y186">
        <v>4.0110000000000001</v>
      </c>
      <c r="Z186">
        <v>4.008</v>
      </c>
      <c r="AA186">
        <v>4.0129999999999999</v>
      </c>
      <c r="AB186">
        <v>4.0369999999999999</v>
      </c>
      <c r="AC186">
        <v>4.0490000000000004</v>
      </c>
      <c r="AD186">
        <v>4.0620000000000003</v>
      </c>
      <c r="AE186">
        <v>4.0759999999999996</v>
      </c>
      <c r="AF186">
        <v>4.0839999999999996</v>
      </c>
      <c r="AG186">
        <v>4.07</v>
      </c>
      <c r="AH186">
        <v>4.08</v>
      </c>
      <c r="AI186">
        <v>0</v>
      </c>
      <c r="AJ186" s="2">
        <v>45254</v>
      </c>
      <c r="AK186">
        <v>3.613</v>
      </c>
      <c r="AL186">
        <v>3.63</v>
      </c>
      <c r="AM186">
        <v>3.6360000000000001</v>
      </c>
      <c r="AN186">
        <v>3.69</v>
      </c>
      <c r="AO186">
        <v>3.7429999999999999</v>
      </c>
      <c r="AP186">
        <v>3.7250000000000001</v>
      </c>
      <c r="AQ186">
        <v>3.742</v>
      </c>
      <c r="AR186">
        <v>3.75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2:52">
      <c r="B187" s="2">
        <v>45253</v>
      </c>
      <c r="C187">
        <v>3.4049999999999998</v>
      </c>
      <c r="D187">
        <v>3.621</v>
      </c>
      <c r="E187">
        <v>3.6150000000000002</v>
      </c>
      <c r="F187">
        <v>3.6930000000000001</v>
      </c>
      <c r="G187">
        <v>3.7029999999999998</v>
      </c>
      <c r="H187">
        <v>3.6949999999999998</v>
      </c>
      <c r="I187">
        <v>3.6549999999999998</v>
      </c>
      <c r="J187">
        <v>3.6419999999999999</v>
      </c>
      <c r="K187">
        <v>3.6760000000000002</v>
      </c>
      <c r="L187">
        <v>3.6749999999999998</v>
      </c>
      <c r="M187">
        <v>3.7149999999999999</v>
      </c>
      <c r="N187">
        <v>3.71</v>
      </c>
      <c r="O187">
        <v>3.6680000000000001</v>
      </c>
      <c r="P187">
        <v>3.645</v>
      </c>
      <c r="Q187">
        <v>3.605</v>
      </c>
      <c r="R187">
        <v>3.5649999999999999</v>
      </c>
      <c r="S187" s="2">
        <v>45253</v>
      </c>
      <c r="T187">
        <v>3.8969999999999998</v>
      </c>
      <c r="U187">
        <v>3.9860000000000002</v>
      </c>
      <c r="V187">
        <v>3.9860000000000002</v>
      </c>
      <c r="W187">
        <v>3.9830000000000001</v>
      </c>
      <c r="X187">
        <v>3.9820000000000002</v>
      </c>
      <c r="Y187">
        <v>3.9889999999999999</v>
      </c>
      <c r="Z187">
        <v>3.9870000000000001</v>
      </c>
      <c r="AA187">
        <v>3.9860000000000002</v>
      </c>
      <c r="AB187">
        <v>4.0019999999999998</v>
      </c>
      <c r="AC187">
        <v>4.0129999999999999</v>
      </c>
      <c r="AD187">
        <v>4.0279999999999996</v>
      </c>
      <c r="AE187">
        <v>4.0309999999999997</v>
      </c>
      <c r="AF187">
        <v>4.0289999999999999</v>
      </c>
      <c r="AG187">
        <v>4.0129999999999999</v>
      </c>
      <c r="AH187">
        <v>4.0259999999999998</v>
      </c>
      <c r="AI187">
        <v>0</v>
      </c>
      <c r="AJ187" s="2">
        <v>45253</v>
      </c>
      <c r="AK187">
        <v>3.605</v>
      </c>
      <c r="AL187">
        <v>3.62</v>
      </c>
      <c r="AM187">
        <v>3.625</v>
      </c>
      <c r="AN187">
        <v>3.673</v>
      </c>
      <c r="AO187">
        <v>3.72</v>
      </c>
      <c r="AP187">
        <v>3.698</v>
      </c>
      <c r="AQ187">
        <v>3.7149999999999999</v>
      </c>
      <c r="AR187">
        <v>3.72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2:52">
      <c r="B188" s="2">
        <v>45252</v>
      </c>
      <c r="C188">
        <v>3.41</v>
      </c>
      <c r="D188">
        <v>3.6259999999999999</v>
      </c>
      <c r="E188">
        <v>3.6179999999999999</v>
      </c>
      <c r="F188">
        <v>3.7050000000000001</v>
      </c>
      <c r="G188">
        <v>3.7130000000000001</v>
      </c>
      <c r="H188">
        <v>3.714</v>
      </c>
      <c r="I188">
        <v>3.677</v>
      </c>
      <c r="J188">
        <v>3.665</v>
      </c>
      <c r="K188">
        <v>3.7050000000000001</v>
      </c>
      <c r="L188">
        <v>3.7050000000000001</v>
      </c>
      <c r="M188">
        <v>3.7490000000000001</v>
      </c>
      <c r="N188">
        <v>3.76</v>
      </c>
      <c r="O188">
        <v>3.7090000000000001</v>
      </c>
      <c r="P188">
        <v>3.6749999999999998</v>
      </c>
      <c r="Q188">
        <v>3.6349999999999998</v>
      </c>
      <c r="R188">
        <v>3.5950000000000002</v>
      </c>
      <c r="S188" s="2">
        <v>45252</v>
      </c>
      <c r="T188">
        <v>3.8940000000000001</v>
      </c>
      <c r="U188">
        <v>3.9870000000000001</v>
      </c>
      <c r="V188">
        <v>3.988</v>
      </c>
      <c r="W188">
        <v>3.988</v>
      </c>
      <c r="X188">
        <v>3.9929999999999999</v>
      </c>
      <c r="Y188">
        <v>4.0140000000000002</v>
      </c>
      <c r="Z188">
        <v>4.016</v>
      </c>
      <c r="AA188">
        <v>4.0220000000000002</v>
      </c>
      <c r="AB188">
        <v>4.0449999999999999</v>
      </c>
      <c r="AC188">
        <v>4.0609999999999999</v>
      </c>
      <c r="AD188">
        <v>4.0810000000000004</v>
      </c>
      <c r="AE188">
        <v>4.0979999999999999</v>
      </c>
      <c r="AF188">
        <v>4.0750000000000002</v>
      </c>
      <c r="AG188">
        <v>4.0449999999999999</v>
      </c>
      <c r="AH188">
        <v>4.0579999999999998</v>
      </c>
      <c r="AI188">
        <v>0</v>
      </c>
      <c r="AJ188" s="2">
        <v>45252</v>
      </c>
      <c r="AK188">
        <v>3.605</v>
      </c>
      <c r="AL188">
        <v>3.62</v>
      </c>
      <c r="AM188">
        <v>3.625</v>
      </c>
      <c r="AN188">
        <v>3.67</v>
      </c>
      <c r="AO188">
        <v>3.72</v>
      </c>
      <c r="AP188">
        <v>3.71</v>
      </c>
      <c r="AQ188">
        <v>3.7349999999999999</v>
      </c>
      <c r="AR188">
        <v>3.7440000000000002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2:52">
      <c r="B189" s="2">
        <v>45251</v>
      </c>
      <c r="C189">
        <v>3.3980000000000001</v>
      </c>
      <c r="D189">
        <v>3.625</v>
      </c>
      <c r="E189">
        <v>3.601</v>
      </c>
      <c r="F189">
        <v>3.7109999999999999</v>
      </c>
      <c r="G189">
        <v>3.7130000000000001</v>
      </c>
      <c r="H189">
        <v>3.6850000000000001</v>
      </c>
      <c r="I189">
        <v>3.6560000000000001</v>
      </c>
      <c r="J189">
        <v>3.6389999999999998</v>
      </c>
      <c r="K189">
        <v>3.6749999999999998</v>
      </c>
      <c r="L189">
        <v>3.669</v>
      </c>
      <c r="M189">
        <v>3.7109999999999999</v>
      </c>
      <c r="N189">
        <v>3.71</v>
      </c>
      <c r="O189">
        <v>3.6579999999999999</v>
      </c>
      <c r="P189">
        <v>3.6280000000000001</v>
      </c>
      <c r="Q189">
        <v>3.5880000000000001</v>
      </c>
      <c r="R189">
        <v>3.548</v>
      </c>
      <c r="S189" s="2">
        <v>45251</v>
      </c>
      <c r="T189">
        <v>3.8889999999999998</v>
      </c>
      <c r="U189">
        <v>3.9910000000000001</v>
      </c>
      <c r="V189">
        <v>3.9910000000000001</v>
      </c>
      <c r="W189">
        <v>3.99</v>
      </c>
      <c r="X189">
        <v>3.9929999999999999</v>
      </c>
      <c r="Y189">
        <v>4.008</v>
      </c>
      <c r="Z189">
        <v>4.0090000000000003</v>
      </c>
      <c r="AA189">
        <v>4.0090000000000003</v>
      </c>
      <c r="AB189">
        <v>4.0250000000000004</v>
      </c>
      <c r="AC189">
        <v>4.0369999999999999</v>
      </c>
      <c r="AD189">
        <v>4.0430000000000001</v>
      </c>
      <c r="AE189">
        <v>4.0469999999999997</v>
      </c>
      <c r="AF189">
        <v>4.0250000000000004</v>
      </c>
      <c r="AG189">
        <v>3.9980000000000002</v>
      </c>
      <c r="AH189">
        <v>4.0110000000000001</v>
      </c>
      <c r="AI189">
        <v>0</v>
      </c>
      <c r="AJ189" s="2">
        <v>45251</v>
      </c>
      <c r="AK189">
        <v>3.6030000000000002</v>
      </c>
      <c r="AL189">
        <v>3.6179999999999999</v>
      </c>
      <c r="AM189">
        <v>3.6230000000000002</v>
      </c>
      <c r="AN189">
        <v>3.6659999999999999</v>
      </c>
      <c r="AO189">
        <v>3.7050000000000001</v>
      </c>
      <c r="AP189">
        <v>3.6850000000000001</v>
      </c>
      <c r="AQ189">
        <v>3.71</v>
      </c>
      <c r="AR189">
        <v>3.718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2:52">
      <c r="B190" s="2">
        <v>45250</v>
      </c>
      <c r="C190">
        <v>3.4009999999999998</v>
      </c>
      <c r="D190">
        <v>3.6309999999999998</v>
      </c>
      <c r="E190">
        <v>3.6030000000000002</v>
      </c>
      <c r="F190">
        <v>3.72</v>
      </c>
      <c r="G190">
        <v>3.74</v>
      </c>
      <c r="H190">
        <v>3.7029999999999998</v>
      </c>
      <c r="I190">
        <v>3.6720000000000002</v>
      </c>
      <c r="J190">
        <v>3.6589999999999998</v>
      </c>
      <c r="K190">
        <v>3.6949999999999998</v>
      </c>
      <c r="L190">
        <v>3.6869999999999998</v>
      </c>
      <c r="M190">
        <v>3.7330000000000001</v>
      </c>
      <c r="N190">
        <v>3.7450000000000001</v>
      </c>
      <c r="O190">
        <v>3.69</v>
      </c>
      <c r="P190">
        <v>3.66</v>
      </c>
      <c r="Q190">
        <v>3.629</v>
      </c>
      <c r="R190">
        <v>3.589</v>
      </c>
      <c r="S190" s="2">
        <v>45250</v>
      </c>
      <c r="T190">
        <v>3.8889999999999998</v>
      </c>
      <c r="U190">
        <v>3.9990000000000001</v>
      </c>
      <c r="V190">
        <v>4</v>
      </c>
      <c r="W190">
        <v>4.0019999999999998</v>
      </c>
      <c r="X190">
        <v>4.0060000000000002</v>
      </c>
      <c r="Y190">
        <v>4.0359999999999996</v>
      </c>
      <c r="Z190">
        <v>4.0380000000000003</v>
      </c>
      <c r="AA190">
        <v>4.0389999999999997</v>
      </c>
      <c r="AB190">
        <v>4.0540000000000003</v>
      </c>
      <c r="AC190">
        <v>4.0620000000000003</v>
      </c>
      <c r="AD190">
        <v>4.069</v>
      </c>
      <c r="AE190">
        <v>4.0819999999999999</v>
      </c>
      <c r="AF190">
        <v>4.0570000000000004</v>
      </c>
      <c r="AG190">
        <v>4.03</v>
      </c>
      <c r="AH190">
        <v>4.0519999999999996</v>
      </c>
      <c r="AI190">
        <v>0</v>
      </c>
      <c r="AJ190" s="2">
        <v>45250</v>
      </c>
      <c r="AK190">
        <v>3.605</v>
      </c>
      <c r="AL190">
        <v>3.62</v>
      </c>
      <c r="AM190">
        <v>3.625</v>
      </c>
      <c r="AN190">
        <v>3.673</v>
      </c>
      <c r="AO190">
        <v>3.7120000000000002</v>
      </c>
      <c r="AP190">
        <v>3.6970000000000001</v>
      </c>
      <c r="AQ190">
        <v>3.7250000000000001</v>
      </c>
      <c r="AR190">
        <v>3.74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2:52">
      <c r="B191" s="2">
        <v>45247</v>
      </c>
      <c r="C191">
        <v>3.4049999999999998</v>
      </c>
      <c r="D191">
        <v>3.645</v>
      </c>
      <c r="E191">
        <v>3.6059999999999999</v>
      </c>
      <c r="F191">
        <v>3.7349999999999999</v>
      </c>
      <c r="G191">
        <v>3.7610000000000001</v>
      </c>
      <c r="H191">
        <v>3.726</v>
      </c>
      <c r="I191">
        <v>3.6970000000000001</v>
      </c>
      <c r="J191">
        <v>3.6850000000000001</v>
      </c>
      <c r="K191">
        <v>3.718</v>
      </c>
      <c r="L191">
        <v>3.72</v>
      </c>
      <c r="M191">
        <v>3.78</v>
      </c>
      <c r="N191">
        <v>3.8050000000000002</v>
      </c>
      <c r="O191">
        <v>3.742</v>
      </c>
      <c r="P191">
        <v>3.706</v>
      </c>
      <c r="Q191">
        <v>3.67</v>
      </c>
      <c r="R191">
        <v>3.63</v>
      </c>
      <c r="S191" s="2">
        <v>45247</v>
      </c>
      <c r="T191">
        <v>3.9</v>
      </c>
      <c r="U191">
        <v>4.0149999999999997</v>
      </c>
      <c r="V191">
        <v>4.0220000000000002</v>
      </c>
      <c r="W191">
        <v>4.024</v>
      </c>
      <c r="X191">
        <v>4.0490000000000004</v>
      </c>
      <c r="Y191">
        <v>4.0869999999999997</v>
      </c>
      <c r="Z191">
        <v>4.085</v>
      </c>
      <c r="AA191">
        <v>4.085</v>
      </c>
      <c r="AB191">
        <v>4.0979999999999999</v>
      </c>
      <c r="AC191">
        <v>4.1100000000000003</v>
      </c>
      <c r="AD191">
        <v>4.1260000000000003</v>
      </c>
      <c r="AE191">
        <v>4.1520000000000001</v>
      </c>
      <c r="AF191">
        <v>4.1120000000000001</v>
      </c>
      <c r="AG191">
        <v>4.0780000000000003</v>
      </c>
      <c r="AH191">
        <v>4.0940000000000003</v>
      </c>
      <c r="AI191">
        <v>0</v>
      </c>
      <c r="AJ191" s="2">
        <v>45247</v>
      </c>
      <c r="AK191">
        <v>3.6110000000000002</v>
      </c>
      <c r="AL191">
        <v>3.6259999999999999</v>
      </c>
      <c r="AM191">
        <v>3.6309999999999998</v>
      </c>
      <c r="AN191">
        <v>3.68</v>
      </c>
      <c r="AO191">
        <v>3.74</v>
      </c>
      <c r="AP191">
        <v>3.7240000000000002</v>
      </c>
      <c r="AQ191">
        <v>3.754</v>
      </c>
      <c r="AR191">
        <v>3.7650000000000001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2:52">
      <c r="B192" s="2">
        <v>45246</v>
      </c>
      <c r="C192">
        <v>3.3860000000000001</v>
      </c>
      <c r="D192">
        <v>3.613</v>
      </c>
      <c r="E192">
        <v>3.5550000000000002</v>
      </c>
      <c r="F192">
        <v>3.7549999999999999</v>
      </c>
      <c r="G192">
        <v>3.782</v>
      </c>
      <c r="H192">
        <v>3.746</v>
      </c>
      <c r="I192">
        <v>3.714</v>
      </c>
      <c r="J192">
        <v>3.6970000000000001</v>
      </c>
      <c r="K192">
        <v>3.72</v>
      </c>
      <c r="L192">
        <v>3.718</v>
      </c>
      <c r="M192">
        <v>3.7719999999999998</v>
      </c>
      <c r="N192">
        <v>3.79</v>
      </c>
      <c r="O192">
        <v>3.7160000000000002</v>
      </c>
      <c r="P192">
        <v>3.66</v>
      </c>
      <c r="Q192">
        <v>3.6230000000000002</v>
      </c>
      <c r="R192">
        <v>3.5830000000000002</v>
      </c>
      <c r="S192" s="2">
        <v>45246</v>
      </c>
      <c r="T192">
        <v>3.8940000000000001</v>
      </c>
      <c r="U192">
        <v>4.01</v>
      </c>
      <c r="V192">
        <v>4.0170000000000003</v>
      </c>
      <c r="W192">
        <v>4.0289999999999999</v>
      </c>
      <c r="X192">
        <v>4.0979999999999999</v>
      </c>
      <c r="Y192">
        <v>4.1390000000000002</v>
      </c>
      <c r="Z192">
        <v>4.1210000000000004</v>
      </c>
      <c r="AA192">
        <v>4.1150000000000002</v>
      </c>
      <c r="AB192">
        <v>4.12</v>
      </c>
      <c r="AC192">
        <v>4.13</v>
      </c>
      <c r="AD192">
        <v>4.1360000000000001</v>
      </c>
      <c r="AE192">
        <v>4.1440000000000001</v>
      </c>
      <c r="AF192">
        <v>4.0890000000000004</v>
      </c>
      <c r="AG192">
        <v>4.0350000000000001</v>
      </c>
      <c r="AH192">
        <v>4.05</v>
      </c>
      <c r="AI192">
        <v>0</v>
      </c>
      <c r="AJ192" s="2">
        <v>45246</v>
      </c>
      <c r="AK192">
        <v>3.5960000000000001</v>
      </c>
      <c r="AL192">
        <v>3.6030000000000002</v>
      </c>
      <c r="AM192">
        <v>3.609</v>
      </c>
      <c r="AN192">
        <v>3.6789999999999998</v>
      </c>
      <c r="AO192">
        <v>3.77</v>
      </c>
      <c r="AP192">
        <v>3.75</v>
      </c>
      <c r="AQ192">
        <v>3.7730000000000001</v>
      </c>
      <c r="AR192">
        <v>3.7770000000000001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2:52">
      <c r="B193" s="2">
        <v>45245</v>
      </c>
      <c r="C193">
        <v>3.3809999999999998</v>
      </c>
      <c r="D193">
        <v>3.613</v>
      </c>
      <c r="E193">
        <v>3.5550000000000002</v>
      </c>
      <c r="F193">
        <v>3.766</v>
      </c>
      <c r="G193">
        <v>3.8050000000000002</v>
      </c>
      <c r="H193">
        <v>3.7879999999999998</v>
      </c>
      <c r="I193">
        <v>3.7629999999999999</v>
      </c>
      <c r="J193">
        <v>3.7450000000000001</v>
      </c>
      <c r="K193">
        <v>3.7650000000000001</v>
      </c>
      <c r="L193">
        <v>3.7629999999999999</v>
      </c>
      <c r="M193">
        <v>3.8090000000000002</v>
      </c>
      <c r="N193">
        <v>3.8170000000000002</v>
      </c>
      <c r="O193">
        <v>3.7490000000000001</v>
      </c>
      <c r="P193">
        <v>3.6970000000000001</v>
      </c>
      <c r="Q193">
        <v>3.6520000000000001</v>
      </c>
      <c r="R193">
        <v>3.6120000000000001</v>
      </c>
      <c r="S193" s="2">
        <v>45245</v>
      </c>
      <c r="T193">
        <v>3.8969999999999998</v>
      </c>
      <c r="U193">
        <v>4.0129999999999999</v>
      </c>
      <c r="V193">
        <v>4.0250000000000004</v>
      </c>
      <c r="W193">
        <v>4.05</v>
      </c>
      <c r="X193">
        <v>4.1589999999999998</v>
      </c>
      <c r="Y193">
        <v>4.2</v>
      </c>
      <c r="Z193">
        <v>4.1890000000000001</v>
      </c>
      <c r="AA193">
        <v>4.181</v>
      </c>
      <c r="AB193">
        <v>4.1790000000000003</v>
      </c>
      <c r="AC193">
        <v>4.1849999999999996</v>
      </c>
      <c r="AD193">
        <v>4.173</v>
      </c>
      <c r="AE193">
        <v>4.1689999999999996</v>
      </c>
      <c r="AF193">
        <v>4.1219999999999999</v>
      </c>
      <c r="AG193">
        <v>4.0720000000000001</v>
      </c>
      <c r="AH193">
        <v>4.0789999999999997</v>
      </c>
      <c r="AI193">
        <v>0</v>
      </c>
      <c r="AJ193" s="2">
        <v>45245</v>
      </c>
      <c r="AK193">
        <v>3.601</v>
      </c>
      <c r="AL193">
        <v>3.6080000000000001</v>
      </c>
      <c r="AM193">
        <v>3.6160000000000001</v>
      </c>
      <c r="AN193">
        <v>3.6909999999999998</v>
      </c>
      <c r="AO193">
        <v>3.8149999999999999</v>
      </c>
      <c r="AP193">
        <v>3.79</v>
      </c>
      <c r="AQ193">
        <v>3.819</v>
      </c>
      <c r="AR193">
        <v>3.8220000000000001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2:52">
      <c r="B194" s="2">
        <v>45244</v>
      </c>
      <c r="C194">
        <v>3.395</v>
      </c>
      <c r="D194">
        <v>3.613</v>
      </c>
      <c r="E194">
        <v>3.5649999999999999</v>
      </c>
      <c r="F194">
        <v>3.7930000000000001</v>
      </c>
      <c r="G194">
        <v>3.8620000000000001</v>
      </c>
      <c r="H194">
        <v>3.8889999999999998</v>
      </c>
      <c r="I194">
        <v>3.8679999999999999</v>
      </c>
      <c r="J194">
        <v>3.8570000000000002</v>
      </c>
      <c r="K194">
        <v>3.9</v>
      </c>
      <c r="L194">
        <v>3.9020000000000001</v>
      </c>
      <c r="M194">
        <v>3.9620000000000002</v>
      </c>
      <c r="N194">
        <v>3.98</v>
      </c>
      <c r="O194">
        <v>3.9009999999999998</v>
      </c>
      <c r="P194">
        <v>3.8370000000000002</v>
      </c>
      <c r="Q194">
        <v>3.8</v>
      </c>
      <c r="R194">
        <v>3.76</v>
      </c>
      <c r="S194" s="2">
        <v>45244</v>
      </c>
      <c r="T194">
        <v>3.907</v>
      </c>
      <c r="U194">
        <v>4.0250000000000004</v>
      </c>
      <c r="V194">
        <v>4.0430000000000001</v>
      </c>
      <c r="W194">
        <v>4.0810000000000004</v>
      </c>
      <c r="X194">
        <v>4.2359999999999998</v>
      </c>
      <c r="Y194">
        <v>4.3070000000000004</v>
      </c>
      <c r="Z194">
        <v>4.3170000000000002</v>
      </c>
      <c r="AA194">
        <v>4.319</v>
      </c>
      <c r="AB194">
        <v>4.319</v>
      </c>
      <c r="AC194">
        <v>4.3310000000000004</v>
      </c>
      <c r="AD194">
        <v>4.3259999999999996</v>
      </c>
      <c r="AE194">
        <v>4.327</v>
      </c>
      <c r="AF194">
        <v>4.274</v>
      </c>
      <c r="AG194">
        <v>4.2119999999999997</v>
      </c>
      <c r="AH194">
        <v>4.2270000000000003</v>
      </c>
      <c r="AI194">
        <v>0</v>
      </c>
      <c r="AJ194" s="2">
        <v>45244</v>
      </c>
      <c r="AK194">
        <v>3.6080000000000001</v>
      </c>
      <c r="AL194">
        <v>3.6160000000000001</v>
      </c>
      <c r="AM194">
        <v>3.6259999999999999</v>
      </c>
      <c r="AN194">
        <v>3.7149999999999999</v>
      </c>
      <c r="AO194">
        <v>3.8759999999999999</v>
      </c>
      <c r="AP194">
        <v>3.875</v>
      </c>
      <c r="AQ194">
        <v>3.9239999999999999</v>
      </c>
      <c r="AR194">
        <v>3.9359999999999999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2:52">
      <c r="B195" s="2">
        <v>45243</v>
      </c>
      <c r="C195">
        <v>3.4</v>
      </c>
      <c r="D195">
        <v>3.6160000000000001</v>
      </c>
      <c r="E195">
        <v>3.5680000000000001</v>
      </c>
      <c r="F195">
        <v>3.8</v>
      </c>
      <c r="G195">
        <v>3.8740000000000001</v>
      </c>
      <c r="H195">
        <v>3.895</v>
      </c>
      <c r="I195">
        <v>3.875</v>
      </c>
      <c r="J195">
        <v>3.8719999999999999</v>
      </c>
      <c r="K195">
        <v>3.9209999999999998</v>
      </c>
      <c r="L195">
        <v>3.923</v>
      </c>
      <c r="M195">
        <v>3.9830000000000001</v>
      </c>
      <c r="N195">
        <v>4.0069999999999997</v>
      </c>
      <c r="O195">
        <v>3.911</v>
      </c>
      <c r="P195">
        <v>3.83</v>
      </c>
      <c r="Q195">
        <v>3.7850000000000001</v>
      </c>
      <c r="R195">
        <v>3.7450000000000001</v>
      </c>
      <c r="S195" s="2">
        <v>45243</v>
      </c>
      <c r="T195">
        <v>3.9089999999999998</v>
      </c>
      <c r="U195">
        <v>4.0250000000000004</v>
      </c>
      <c r="V195">
        <v>4.0529999999999999</v>
      </c>
      <c r="W195">
        <v>4.093</v>
      </c>
      <c r="X195">
        <v>4.2519999999999998</v>
      </c>
      <c r="Y195">
        <v>4.3220000000000001</v>
      </c>
      <c r="Z195">
        <v>4.34</v>
      </c>
      <c r="AA195">
        <v>4.3490000000000002</v>
      </c>
      <c r="AB195">
        <v>4.3419999999999996</v>
      </c>
      <c r="AC195">
        <v>4.3529999999999998</v>
      </c>
      <c r="AD195">
        <v>4.3499999999999996</v>
      </c>
      <c r="AE195">
        <v>4.3540000000000001</v>
      </c>
      <c r="AF195">
        <v>4.2839999999999998</v>
      </c>
      <c r="AG195">
        <v>4.2050000000000001</v>
      </c>
      <c r="AH195">
        <v>4.2119999999999997</v>
      </c>
      <c r="AI195">
        <v>0</v>
      </c>
      <c r="AJ195" s="2">
        <v>45243</v>
      </c>
      <c r="AK195">
        <v>3.6110000000000002</v>
      </c>
      <c r="AL195">
        <v>3.6219999999999999</v>
      </c>
      <c r="AM195">
        <v>3.633</v>
      </c>
      <c r="AN195">
        <v>3.72</v>
      </c>
      <c r="AO195">
        <v>3.879</v>
      </c>
      <c r="AP195">
        <v>3.875</v>
      </c>
      <c r="AQ195">
        <v>3.9329999999999998</v>
      </c>
      <c r="AR195">
        <v>3.9529999999999998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2:52">
      <c r="B196" s="2">
        <v>45240</v>
      </c>
      <c r="C196">
        <v>3.4009999999999998</v>
      </c>
      <c r="D196">
        <v>3.6150000000000002</v>
      </c>
      <c r="E196">
        <v>3.55</v>
      </c>
      <c r="F196">
        <v>3.7869999999999999</v>
      </c>
      <c r="G196">
        <v>3.851</v>
      </c>
      <c r="H196">
        <v>3.8740000000000001</v>
      </c>
      <c r="I196">
        <v>3.86</v>
      </c>
      <c r="J196">
        <v>3.8540000000000001</v>
      </c>
      <c r="K196">
        <v>3.8959999999999999</v>
      </c>
      <c r="L196">
        <v>3.8919999999999999</v>
      </c>
      <c r="M196">
        <v>3.9430000000000001</v>
      </c>
      <c r="N196">
        <v>3.96</v>
      </c>
      <c r="O196">
        <v>3.871</v>
      </c>
      <c r="P196">
        <v>3.7949999999999999</v>
      </c>
      <c r="Q196">
        <v>3.7370000000000001</v>
      </c>
      <c r="R196">
        <v>3.6970000000000001</v>
      </c>
      <c r="S196" s="2">
        <v>45240</v>
      </c>
      <c r="T196">
        <v>3.9119999999999999</v>
      </c>
      <c r="U196">
        <v>4.0229999999999997</v>
      </c>
      <c r="V196">
        <v>4.05</v>
      </c>
      <c r="W196">
        <v>4.09</v>
      </c>
      <c r="X196">
        <v>4.24</v>
      </c>
      <c r="Y196">
        <v>4.3079999999999998</v>
      </c>
      <c r="Z196">
        <v>4.3289999999999997</v>
      </c>
      <c r="AA196">
        <v>4.3380000000000001</v>
      </c>
      <c r="AB196">
        <v>4.3239999999999998</v>
      </c>
      <c r="AC196">
        <v>4.3280000000000003</v>
      </c>
      <c r="AD196">
        <v>4.3159999999999998</v>
      </c>
      <c r="AE196">
        <v>4.3079999999999998</v>
      </c>
      <c r="AF196">
        <v>4.2439999999999998</v>
      </c>
      <c r="AG196">
        <v>4.17</v>
      </c>
      <c r="AH196">
        <v>4.1639999999999997</v>
      </c>
      <c r="AI196">
        <v>0</v>
      </c>
      <c r="AJ196" s="2">
        <v>45240</v>
      </c>
      <c r="AK196">
        <v>3.6150000000000002</v>
      </c>
      <c r="AL196">
        <v>3.62</v>
      </c>
      <c r="AM196">
        <v>3.6280000000000001</v>
      </c>
      <c r="AN196">
        <v>3.7080000000000002</v>
      </c>
      <c r="AO196">
        <v>3.8610000000000002</v>
      </c>
      <c r="AP196">
        <v>3.8570000000000002</v>
      </c>
      <c r="AQ196">
        <v>3.9169999999999998</v>
      </c>
      <c r="AR196">
        <v>3.9350000000000001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2:52">
      <c r="B197" s="2">
        <v>45239</v>
      </c>
      <c r="C197">
        <v>3.3980000000000001</v>
      </c>
      <c r="D197">
        <v>3.601</v>
      </c>
      <c r="E197">
        <v>3.528</v>
      </c>
      <c r="F197">
        <v>3.7650000000000001</v>
      </c>
      <c r="G197">
        <v>3.83</v>
      </c>
      <c r="H197">
        <v>3.851</v>
      </c>
      <c r="I197">
        <v>3.84</v>
      </c>
      <c r="J197">
        <v>3.839</v>
      </c>
      <c r="K197">
        <v>3.88</v>
      </c>
      <c r="L197">
        <v>3.8730000000000002</v>
      </c>
      <c r="M197">
        <v>3.92</v>
      </c>
      <c r="N197">
        <v>3.9350000000000001</v>
      </c>
      <c r="O197">
        <v>3.851</v>
      </c>
      <c r="P197">
        <v>3.78</v>
      </c>
      <c r="Q197">
        <v>3.722</v>
      </c>
      <c r="R197">
        <v>3.677</v>
      </c>
      <c r="S197" s="2">
        <v>45239</v>
      </c>
      <c r="T197">
        <v>3.9089999999999998</v>
      </c>
      <c r="U197">
        <v>4.0199999999999996</v>
      </c>
      <c r="V197">
        <v>4.0449999999999999</v>
      </c>
      <c r="W197">
        <v>4.0839999999999996</v>
      </c>
      <c r="X197">
        <v>4.2270000000000003</v>
      </c>
      <c r="Y197">
        <v>4.3029999999999999</v>
      </c>
      <c r="Z197">
        <v>4.3220000000000001</v>
      </c>
      <c r="AA197">
        <v>4.3330000000000002</v>
      </c>
      <c r="AB197">
        <v>4.3170000000000002</v>
      </c>
      <c r="AC197">
        <v>4.319</v>
      </c>
      <c r="AD197">
        <v>4.2949999999999999</v>
      </c>
      <c r="AE197">
        <v>4.2830000000000004</v>
      </c>
      <c r="AF197">
        <v>4.2240000000000002</v>
      </c>
      <c r="AG197">
        <v>4.1550000000000002</v>
      </c>
      <c r="AH197">
        <v>4.149</v>
      </c>
      <c r="AI197">
        <v>0</v>
      </c>
      <c r="AJ197" s="2">
        <v>45239</v>
      </c>
      <c r="AK197">
        <v>3.6150000000000002</v>
      </c>
      <c r="AL197">
        <v>3.6179999999999999</v>
      </c>
      <c r="AM197">
        <v>3.625</v>
      </c>
      <c r="AN197">
        <v>3.698</v>
      </c>
      <c r="AO197">
        <v>3.84</v>
      </c>
      <c r="AP197">
        <v>3.8420000000000001</v>
      </c>
      <c r="AQ197">
        <v>3.9</v>
      </c>
      <c r="AR197">
        <v>3.9220000000000002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2:52">
      <c r="B198" s="2">
        <v>45238</v>
      </c>
      <c r="C198">
        <v>3.4009999999999998</v>
      </c>
      <c r="D198">
        <v>3.601</v>
      </c>
      <c r="E198">
        <v>3.516</v>
      </c>
      <c r="F198">
        <v>3.766</v>
      </c>
      <c r="G198">
        <v>3.8220000000000001</v>
      </c>
      <c r="H198">
        <v>3.867</v>
      </c>
      <c r="I198">
        <v>3.8570000000000002</v>
      </c>
      <c r="J198">
        <v>3.871</v>
      </c>
      <c r="K198">
        <v>3.9279999999999999</v>
      </c>
      <c r="L198">
        <v>3.93</v>
      </c>
      <c r="M198">
        <v>4.0030000000000001</v>
      </c>
      <c r="N198">
        <v>4.03</v>
      </c>
      <c r="O198">
        <v>3.9470000000000001</v>
      </c>
      <c r="P198">
        <v>3.88</v>
      </c>
      <c r="Q198">
        <v>3.8170000000000002</v>
      </c>
      <c r="R198">
        <v>3.7719999999999998</v>
      </c>
      <c r="S198" s="2">
        <v>45238</v>
      </c>
      <c r="T198">
        <v>3.911</v>
      </c>
      <c r="U198">
        <v>4.0250000000000004</v>
      </c>
      <c r="V198">
        <v>4.0529999999999999</v>
      </c>
      <c r="W198">
        <v>4.093</v>
      </c>
      <c r="X198">
        <v>4.242</v>
      </c>
      <c r="Y198">
        <v>4.335</v>
      </c>
      <c r="Z198">
        <v>4.3490000000000002</v>
      </c>
      <c r="AA198">
        <v>4.3769999999999998</v>
      </c>
      <c r="AB198">
        <v>4.3730000000000002</v>
      </c>
      <c r="AC198">
        <v>4.3789999999999996</v>
      </c>
      <c r="AD198">
        <v>4.3789999999999996</v>
      </c>
      <c r="AE198">
        <v>4.3780000000000001</v>
      </c>
      <c r="AF198">
        <v>4.32</v>
      </c>
      <c r="AG198">
        <v>4.2549999999999999</v>
      </c>
      <c r="AH198">
        <v>4.2439999999999998</v>
      </c>
      <c r="AI198">
        <v>0</v>
      </c>
      <c r="AJ198" s="2">
        <v>45238</v>
      </c>
      <c r="AK198">
        <v>3.62</v>
      </c>
      <c r="AL198">
        <v>3.6240000000000001</v>
      </c>
      <c r="AM198">
        <v>3.6320000000000001</v>
      </c>
      <c r="AN198">
        <v>3.7050000000000001</v>
      </c>
      <c r="AO198">
        <v>3.85</v>
      </c>
      <c r="AP198">
        <v>3.8650000000000002</v>
      </c>
      <c r="AQ198">
        <v>3.9289999999999998</v>
      </c>
      <c r="AR198">
        <v>3.9550000000000001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2:52">
      <c r="B199" s="2">
        <v>45237</v>
      </c>
      <c r="C199">
        <v>3.3959999999999999</v>
      </c>
      <c r="D199">
        <v>3.6</v>
      </c>
      <c r="E199">
        <v>3.488</v>
      </c>
      <c r="F199">
        <v>3.7480000000000002</v>
      </c>
      <c r="G199">
        <v>3.8149999999999999</v>
      </c>
      <c r="H199">
        <v>3.8690000000000002</v>
      </c>
      <c r="I199">
        <v>3.86</v>
      </c>
      <c r="J199">
        <v>3.883</v>
      </c>
      <c r="K199">
        <v>3.9470000000000001</v>
      </c>
      <c r="L199">
        <v>3.9510000000000001</v>
      </c>
      <c r="M199">
        <v>4.0259999999999998</v>
      </c>
      <c r="N199">
        <v>4.056</v>
      </c>
      <c r="O199">
        <v>3.9820000000000002</v>
      </c>
      <c r="P199">
        <v>3.9249999999999998</v>
      </c>
      <c r="Q199">
        <v>3.8719999999999999</v>
      </c>
      <c r="R199">
        <v>3.827</v>
      </c>
      <c r="S199" s="2">
        <v>45237</v>
      </c>
      <c r="T199">
        <v>3.9039999999999999</v>
      </c>
      <c r="U199">
        <v>4.0190000000000001</v>
      </c>
      <c r="V199">
        <v>4.048</v>
      </c>
      <c r="W199">
        <v>4.0890000000000004</v>
      </c>
      <c r="X199">
        <v>4.2460000000000004</v>
      </c>
      <c r="Y199">
        <v>4.3380000000000001</v>
      </c>
      <c r="Z199">
        <v>4.3490000000000002</v>
      </c>
      <c r="AA199">
        <v>4.3869999999999996</v>
      </c>
      <c r="AB199">
        <v>4.3890000000000002</v>
      </c>
      <c r="AC199">
        <v>4.4000000000000004</v>
      </c>
      <c r="AD199">
        <v>4.4029999999999996</v>
      </c>
      <c r="AE199">
        <v>4.4029999999999996</v>
      </c>
      <c r="AF199">
        <v>4.3550000000000004</v>
      </c>
      <c r="AG199">
        <v>4.3</v>
      </c>
      <c r="AH199">
        <v>4.2990000000000004</v>
      </c>
      <c r="AI199">
        <v>0</v>
      </c>
      <c r="AJ199" s="2">
        <v>45237</v>
      </c>
      <c r="AK199">
        <v>3.6190000000000002</v>
      </c>
      <c r="AL199">
        <v>3.6219999999999999</v>
      </c>
      <c r="AM199">
        <v>3.63</v>
      </c>
      <c r="AN199">
        <v>3.7010000000000001</v>
      </c>
      <c r="AO199">
        <v>3.8559999999999999</v>
      </c>
      <c r="AP199">
        <v>3.8690000000000002</v>
      </c>
      <c r="AQ199">
        <v>3.9359999999999999</v>
      </c>
      <c r="AR199">
        <v>3.9649999999999999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2:52">
      <c r="B200" s="2">
        <v>45236</v>
      </c>
      <c r="C200">
        <v>3.39</v>
      </c>
      <c r="D200">
        <v>3.59</v>
      </c>
      <c r="E200">
        <v>3.4329999999999998</v>
      </c>
      <c r="F200">
        <v>3.73</v>
      </c>
      <c r="G200">
        <v>3.7959999999999998</v>
      </c>
      <c r="H200">
        <v>3.86</v>
      </c>
      <c r="I200">
        <v>3.8570000000000002</v>
      </c>
      <c r="J200">
        <v>3.88</v>
      </c>
      <c r="K200">
        <v>3.9460000000000002</v>
      </c>
      <c r="L200">
        <v>3.952</v>
      </c>
      <c r="M200">
        <v>4.0259999999999998</v>
      </c>
      <c r="N200">
        <v>4.0570000000000004</v>
      </c>
      <c r="O200">
        <v>4.0010000000000003</v>
      </c>
      <c r="P200">
        <v>3.9630000000000001</v>
      </c>
      <c r="Q200">
        <v>3.91</v>
      </c>
      <c r="R200">
        <v>3.8650000000000002</v>
      </c>
      <c r="S200" s="2">
        <v>45236</v>
      </c>
      <c r="T200">
        <v>3.9039999999999999</v>
      </c>
      <c r="U200">
        <v>4.01</v>
      </c>
      <c r="V200">
        <v>4.0389999999999997</v>
      </c>
      <c r="W200">
        <v>4.08</v>
      </c>
      <c r="X200">
        <v>4.2460000000000004</v>
      </c>
      <c r="Y200">
        <v>4.3369999999999997</v>
      </c>
      <c r="Z200">
        <v>4.343</v>
      </c>
      <c r="AA200">
        <v>4.383</v>
      </c>
      <c r="AB200">
        <v>4.3849999999999998</v>
      </c>
      <c r="AC200">
        <v>4.3970000000000002</v>
      </c>
      <c r="AD200">
        <v>4.4009999999999998</v>
      </c>
      <c r="AE200">
        <v>4.4009999999999998</v>
      </c>
      <c r="AF200">
        <v>4.3730000000000002</v>
      </c>
      <c r="AG200">
        <v>4.3369999999999997</v>
      </c>
      <c r="AH200">
        <v>4.3369999999999997</v>
      </c>
      <c r="AI200">
        <v>0</v>
      </c>
      <c r="AJ200" s="2">
        <v>45236</v>
      </c>
      <c r="AK200">
        <v>3.6179999999999999</v>
      </c>
      <c r="AL200">
        <v>3.62</v>
      </c>
      <c r="AM200">
        <v>3.63</v>
      </c>
      <c r="AN200">
        <v>3.7</v>
      </c>
      <c r="AO200">
        <v>3.8620000000000001</v>
      </c>
      <c r="AP200">
        <v>3.875</v>
      </c>
      <c r="AQ200">
        <v>3.9420000000000002</v>
      </c>
      <c r="AR200">
        <v>3.968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2:52">
      <c r="B201" s="2">
        <v>45233</v>
      </c>
      <c r="C201">
        <v>3.39</v>
      </c>
      <c r="D201">
        <v>3.585</v>
      </c>
      <c r="E201">
        <v>3.43</v>
      </c>
      <c r="F201">
        <v>3.73</v>
      </c>
      <c r="G201">
        <v>3.8149999999999999</v>
      </c>
      <c r="H201">
        <v>3.891</v>
      </c>
      <c r="I201">
        <v>3.92</v>
      </c>
      <c r="J201">
        <v>3.9449999999999998</v>
      </c>
      <c r="K201">
        <v>4.01</v>
      </c>
      <c r="L201">
        <v>4.0149999999999997</v>
      </c>
      <c r="M201">
        <v>4.08</v>
      </c>
      <c r="N201">
        <v>4.0999999999999996</v>
      </c>
      <c r="O201">
        <v>4.0389999999999997</v>
      </c>
      <c r="P201">
        <v>3.9929999999999999</v>
      </c>
      <c r="Q201">
        <v>3.9449999999999998</v>
      </c>
      <c r="R201">
        <v>3.9</v>
      </c>
      <c r="S201" s="2">
        <v>45233</v>
      </c>
      <c r="T201">
        <v>3.9089999999999998</v>
      </c>
      <c r="U201">
        <v>4.0170000000000003</v>
      </c>
      <c r="V201">
        <v>4.0460000000000003</v>
      </c>
      <c r="W201">
        <v>4.0910000000000002</v>
      </c>
      <c r="X201">
        <v>4.2809999999999997</v>
      </c>
      <c r="Y201">
        <v>4.3819999999999997</v>
      </c>
      <c r="Z201">
        <v>4.3970000000000002</v>
      </c>
      <c r="AA201">
        <v>4.4489999999999998</v>
      </c>
      <c r="AB201">
        <v>4.4459999999999997</v>
      </c>
      <c r="AC201">
        <v>4.4589999999999996</v>
      </c>
      <c r="AD201">
        <v>4.452</v>
      </c>
      <c r="AE201">
        <v>4.444</v>
      </c>
      <c r="AF201">
        <v>4.41</v>
      </c>
      <c r="AG201">
        <v>4.3659999999999997</v>
      </c>
      <c r="AH201">
        <v>4.3719999999999999</v>
      </c>
      <c r="AI201">
        <v>0</v>
      </c>
      <c r="AJ201" s="2">
        <v>45233</v>
      </c>
      <c r="AK201">
        <v>3.6160000000000001</v>
      </c>
      <c r="AL201">
        <v>3.625</v>
      </c>
      <c r="AM201">
        <v>3.64</v>
      </c>
      <c r="AN201">
        <v>3.7189999999999999</v>
      </c>
      <c r="AO201">
        <v>3.9049999999999998</v>
      </c>
      <c r="AP201">
        <v>3.9249999999999998</v>
      </c>
      <c r="AQ201">
        <v>4.0090000000000003</v>
      </c>
      <c r="AR201">
        <v>4.0330000000000004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2:52">
      <c r="B202" s="2">
        <v>45232</v>
      </c>
      <c r="C202">
        <v>3.3959999999999999</v>
      </c>
      <c r="D202">
        <v>3.5819999999999999</v>
      </c>
      <c r="E202">
        <v>3.4260000000000002</v>
      </c>
      <c r="F202">
        <v>3.7229999999999999</v>
      </c>
      <c r="G202">
        <v>3.81</v>
      </c>
      <c r="H202">
        <v>3.9060000000000001</v>
      </c>
      <c r="I202">
        <v>3.948</v>
      </c>
      <c r="J202">
        <v>3.98</v>
      </c>
      <c r="K202">
        <v>4.0590000000000002</v>
      </c>
      <c r="L202">
        <v>4.056</v>
      </c>
      <c r="M202">
        <v>4.13</v>
      </c>
      <c r="N202">
        <v>4.16</v>
      </c>
      <c r="O202">
        <v>4.0960000000000001</v>
      </c>
      <c r="P202">
        <v>4.05</v>
      </c>
      <c r="Q202">
        <v>4.0049999999999999</v>
      </c>
      <c r="R202">
        <v>3.96</v>
      </c>
      <c r="S202" s="2">
        <v>45232</v>
      </c>
      <c r="T202">
        <v>3.9049999999999998</v>
      </c>
      <c r="U202">
        <v>4.016</v>
      </c>
      <c r="V202">
        <v>4.0490000000000004</v>
      </c>
      <c r="W202">
        <v>4.0970000000000004</v>
      </c>
      <c r="X202">
        <v>4.2869999999999999</v>
      </c>
      <c r="Y202">
        <v>4.4029999999999996</v>
      </c>
      <c r="Z202">
        <v>4.4210000000000003</v>
      </c>
      <c r="AA202">
        <v>4.4800000000000004</v>
      </c>
      <c r="AB202">
        <v>4.4909999999999997</v>
      </c>
      <c r="AC202">
        <v>4.5019999999999998</v>
      </c>
      <c r="AD202">
        <v>4.5010000000000003</v>
      </c>
      <c r="AE202">
        <v>4.5030000000000001</v>
      </c>
      <c r="AF202">
        <v>4.468</v>
      </c>
      <c r="AG202">
        <v>4.423</v>
      </c>
      <c r="AH202">
        <v>4.4320000000000004</v>
      </c>
      <c r="AI202">
        <v>0</v>
      </c>
      <c r="AJ202" s="2">
        <v>45232</v>
      </c>
      <c r="AK202">
        <v>3.62</v>
      </c>
      <c r="AL202">
        <v>3.6309999999999998</v>
      </c>
      <c r="AM202">
        <v>3.6480000000000001</v>
      </c>
      <c r="AN202">
        <v>3.7290000000000001</v>
      </c>
      <c r="AO202">
        <v>3.91</v>
      </c>
      <c r="AP202">
        <v>3.9449999999999998</v>
      </c>
      <c r="AQ202">
        <v>4.032</v>
      </c>
      <c r="AR202">
        <v>4.0670000000000002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2:52">
      <c r="B203" s="2">
        <v>45231</v>
      </c>
      <c r="C203">
        <v>3.3959999999999999</v>
      </c>
      <c r="D203">
        <v>3.5859999999999999</v>
      </c>
      <c r="E203">
        <v>3.4409999999999998</v>
      </c>
      <c r="F203">
        <v>3.7160000000000002</v>
      </c>
      <c r="G203">
        <v>3.8170000000000002</v>
      </c>
      <c r="H203">
        <v>3.9630000000000001</v>
      </c>
      <c r="I203">
        <v>4.01</v>
      </c>
      <c r="J203">
        <v>4.0650000000000004</v>
      </c>
      <c r="K203">
        <v>4.1559999999999997</v>
      </c>
      <c r="L203">
        <v>4.165</v>
      </c>
      <c r="M203">
        <v>4.242</v>
      </c>
      <c r="N203">
        <v>4.2850000000000001</v>
      </c>
      <c r="O203">
        <v>4.1760000000000002</v>
      </c>
      <c r="P203">
        <v>4.0880000000000001</v>
      </c>
      <c r="Q203">
        <v>4.0199999999999996</v>
      </c>
      <c r="R203">
        <v>3.9750000000000001</v>
      </c>
      <c r="S203" s="2">
        <v>45231</v>
      </c>
      <c r="T203">
        <v>3.9089999999999998</v>
      </c>
      <c r="U203">
        <v>4.0199999999999996</v>
      </c>
      <c r="V203">
        <v>4.056</v>
      </c>
      <c r="W203">
        <v>4.0999999999999996</v>
      </c>
      <c r="X203">
        <v>4.3120000000000003</v>
      </c>
      <c r="Y203">
        <v>4.4450000000000003</v>
      </c>
      <c r="Z203">
        <v>4.4779999999999998</v>
      </c>
      <c r="AA203">
        <v>4.5590000000000002</v>
      </c>
      <c r="AB203">
        <v>4.5839999999999996</v>
      </c>
      <c r="AC203">
        <v>4.6059999999999999</v>
      </c>
      <c r="AD203">
        <v>4.6079999999999997</v>
      </c>
      <c r="AE203">
        <v>4.6260000000000003</v>
      </c>
      <c r="AF203">
        <v>4.548</v>
      </c>
      <c r="AG203">
        <v>4.4610000000000003</v>
      </c>
      <c r="AH203">
        <v>4.4470000000000001</v>
      </c>
      <c r="AI203">
        <v>0</v>
      </c>
      <c r="AJ203" s="2">
        <v>45231</v>
      </c>
      <c r="AK203">
        <v>3.6269999999999998</v>
      </c>
      <c r="AL203">
        <v>3.6389999999999998</v>
      </c>
      <c r="AM203">
        <v>3.6579999999999999</v>
      </c>
      <c r="AN203">
        <v>3.7349999999999999</v>
      </c>
      <c r="AO203">
        <v>3.9409999999999998</v>
      </c>
      <c r="AP203">
        <v>3.99</v>
      </c>
      <c r="AQ203">
        <v>4.0970000000000004</v>
      </c>
      <c r="AR203">
        <v>4.1520000000000001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2:52">
      <c r="B204" s="2">
        <v>45230</v>
      </c>
      <c r="C204">
        <v>3.4060000000000001</v>
      </c>
      <c r="D204">
        <v>3.605</v>
      </c>
      <c r="E204">
        <v>3.4609999999999999</v>
      </c>
      <c r="F204">
        <v>3.7309999999999999</v>
      </c>
      <c r="G204">
        <v>3.823</v>
      </c>
      <c r="H204">
        <v>3.9809999999999999</v>
      </c>
      <c r="I204">
        <v>4.03</v>
      </c>
      <c r="J204">
        <v>4.0839999999999996</v>
      </c>
      <c r="K204">
        <v>4.1870000000000003</v>
      </c>
      <c r="L204">
        <v>4.2030000000000003</v>
      </c>
      <c r="M204">
        <v>4.2880000000000003</v>
      </c>
      <c r="N204">
        <v>4.335</v>
      </c>
      <c r="O204">
        <v>4.226</v>
      </c>
      <c r="P204">
        <v>4.1399999999999997</v>
      </c>
      <c r="Q204">
        <v>4.07</v>
      </c>
      <c r="R204">
        <v>4.0250000000000004</v>
      </c>
      <c r="S204" s="2">
        <v>45230</v>
      </c>
      <c r="T204">
        <v>3.91</v>
      </c>
      <c r="U204">
        <v>4.0220000000000002</v>
      </c>
      <c r="V204">
        <v>4.0599999999999996</v>
      </c>
      <c r="W204">
        <v>4.1050000000000004</v>
      </c>
      <c r="X204">
        <v>4.3140000000000001</v>
      </c>
      <c r="Y204">
        <v>4.4470000000000001</v>
      </c>
      <c r="Z204">
        <v>4.4950000000000001</v>
      </c>
      <c r="AA204">
        <v>4.5739999999999998</v>
      </c>
      <c r="AB204">
        <v>4.6109999999999998</v>
      </c>
      <c r="AC204">
        <v>4.641</v>
      </c>
      <c r="AD204">
        <v>4.649</v>
      </c>
      <c r="AE204">
        <v>4.6749999999999998</v>
      </c>
      <c r="AF204">
        <v>4.5979999999999999</v>
      </c>
      <c r="AG204">
        <v>4.5129999999999999</v>
      </c>
      <c r="AH204">
        <v>4.4969999999999999</v>
      </c>
      <c r="AI204">
        <v>0</v>
      </c>
      <c r="AJ204" s="2">
        <v>45230</v>
      </c>
      <c r="AK204">
        <v>3.633</v>
      </c>
      <c r="AL204">
        <v>3.6459999999999999</v>
      </c>
      <c r="AM204">
        <v>3.6659999999999999</v>
      </c>
      <c r="AN204">
        <v>3.7450000000000001</v>
      </c>
      <c r="AO204">
        <v>3.948</v>
      </c>
      <c r="AP204">
        <v>3.9950000000000001</v>
      </c>
      <c r="AQ204">
        <v>4.1230000000000002</v>
      </c>
      <c r="AR204">
        <v>4.1719999999999997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2:52">
      <c r="B205" s="2">
        <v>45229</v>
      </c>
      <c r="C205">
        <v>3.41</v>
      </c>
      <c r="D205">
        <v>3.605</v>
      </c>
      <c r="E205">
        <v>3.4710000000000001</v>
      </c>
      <c r="F205">
        <v>3.73</v>
      </c>
      <c r="G205">
        <v>3.8010000000000002</v>
      </c>
      <c r="H205">
        <v>3.976</v>
      </c>
      <c r="I205">
        <v>4.04</v>
      </c>
      <c r="J205">
        <v>4.085</v>
      </c>
      <c r="K205">
        <v>4.18</v>
      </c>
      <c r="L205">
        <v>4.1879999999999997</v>
      </c>
      <c r="M205">
        <v>4.266</v>
      </c>
      <c r="N205">
        <v>4.3049999999999997</v>
      </c>
      <c r="O205">
        <v>4.2060000000000004</v>
      </c>
      <c r="P205">
        <v>4.1319999999999997</v>
      </c>
      <c r="Q205">
        <v>4.093</v>
      </c>
      <c r="R205">
        <v>4.048</v>
      </c>
      <c r="S205" s="2">
        <v>45229</v>
      </c>
      <c r="T205">
        <v>3.903</v>
      </c>
      <c r="U205">
        <v>4.0170000000000003</v>
      </c>
      <c r="V205">
        <v>4.056</v>
      </c>
      <c r="W205">
        <v>4.1020000000000003</v>
      </c>
      <c r="X205">
        <v>4.3120000000000003</v>
      </c>
      <c r="Y205">
        <v>4.4470000000000001</v>
      </c>
      <c r="Z205">
        <v>4.4980000000000002</v>
      </c>
      <c r="AA205">
        <v>4.5709999999999997</v>
      </c>
      <c r="AB205">
        <v>4.6020000000000003</v>
      </c>
      <c r="AC205">
        <v>4.6260000000000003</v>
      </c>
      <c r="AD205">
        <v>4.6269999999999998</v>
      </c>
      <c r="AE205">
        <v>4.6449999999999996</v>
      </c>
      <c r="AF205">
        <v>4.5789999999999997</v>
      </c>
      <c r="AG205">
        <v>4.5049999999999999</v>
      </c>
      <c r="AH205">
        <v>4.5199999999999996</v>
      </c>
      <c r="AI205">
        <v>0</v>
      </c>
      <c r="AJ205" s="2">
        <v>45229</v>
      </c>
      <c r="AK205">
        <v>3.6309999999999998</v>
      </c>
      <c r="AL205">
        <v>3.645</v>
      </c>
      <c r="AM205">
        <v>3.6659999999999999</v>
      </c>
      <c r="AN205">
        <v>3.7450000000000001</v>
      </c>
      <c r="AO205">
        <v>3.95</v>
      </c>
      <c r="AP205">
        <v>4</v>
      </c>
      <c r="AQ205">
        <v>4.1239999999999997</v>
      </c>
      <c r="AR205">
        <v>4.1660000000000004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2:52">
      <c r="B206" s="2">
        <v>45226</v>
      </c>
      <c r="C206">
        <v>3.4079999999999999</v>
      </c>
      <c r="D206">
        <v>3.5880000000000001</v>
      </c>
      <c r="E206">
        <v>3.4710000000000001</v>
      </c>
      <c r="F206">
        <v>3.73</v>
      </c>
      <c r="G206">
        <v>3.806</v>
      </c>
      <c r="H206">
        <v>3.9729999999999999</v>
      </c>
      <c r="I206">
        <v>4.0309999999999997</v>
      </c>
      <c r="J206">
        <v>4.077</v>
      </c>
      <c r="K206">
        <v>4.1689999999999996</v>
      </c>
      <c r="L206">
        <v>4.173</v>
      </c>
      <c r="M206">
        <v>4.2510000000000003</v>
      </c>
      <c r="N206">
        <v>4.29</v>
      </c>
      <c r="O206">
        <v>4.1749999999999998</v>
      </c>
      <c r="P206">
        <v>4.085</v>
      </c>
      <c r="Q206">
        <v>4.04</v>
      </c>
      <c r="R206">
        <v>3.9950000000000001</v>
      </c>
      <c r="S206" s="2">
        <v>45226</v>
      </c>
      <c r="T206">
        <v>3.8980000000000001</v>
      </c>
      <c r="U206">
        <v>4.0090000000000003</v>
      </c>
      <c r="V206">
        <v>4.048</v>
      </c>
      <c r="W206">
        <v>4.0940000000000003</v>
      </c>
      <c r="X206">
        <v>4.2830000000000004</v>
      </c>
      <c r="Y206">
        <v>4.4240000000000004</v>
      </c>
      <c r="Z206">
        <v>4.4779999999999998</v>
      </c>
      <c r="AA206">
        <v>4.5529999999999999</v>
      </c>
      <c r="AB206">
        <v>4.5819999999999999</v>
      </c>
      <c r="AC206">
        <v>4.6029999999999998</v>
      </c>
      <c r="AD206">
        <v>4.6059999999999999</v>
      </c>
      <c r="AE206">
        <v>4.63</v>
      </c>
      <c r="AF206">
        <v>4.548</v>
      </c>
      <c r="AG206">
        <v>4.4580000000000002</v>
      </c>
      <c r="AH206">
        <v>4.4669999999999996</v>
      </c>
      <c r="AI206">
        <v>0</v>
      </c>
      <c r="AJ206" s="2">
        <v>45226</v>
      </c>
      <c r="AK206">
        <v>3.6309999999999998</v>
      </c>
      <c r="AL206">
        <v>3.645</v>
      </c>
      <c r="AM206">
        <v>3.6659999999999999</v>
      </c>
      <c r="AN206">
        <v>3.7450000000000001</v>
      </c>
      <c r="AO206">
        <v>3.9289999999999998</v>
      </c>
      <c r="AP206">
        <v>3.9889999999999999</v>
      </c>
      <c r="AQ206">
        <v>4.1150000000000002</v>
      </c>
      <c r="AR206">
        <v>4.1580000000000004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2:52">
      <c r="B207" s="2">
        <v>45225</v>
      </c>
      <c r="C207">
        <v>3.42</v>
      </c>
      <c r="D207">
        <v>3.6110000000000002</v>
      </c>
      <c r="E207">
        <v>3.4929999999999999</v>
      </c>
      <c r="F207">
        <v>3.7650000000000001</v>
      </c>
      <c r="G207">
        <v>3.8580000000000001</v>
      </c>
      <c r="H207">
        <v>3.996</v>
      </c>
      <c r="I207">
        <v>4.056</v>
      </c>
      <c r="J207">
        <v>4.1120000000000001</v>
      </c>
      <c r="K207">
        <v>4.218</v>
      </c>
      <c r="L207">
        <v>4.2450000000000001</v>
      </c>
      <c r="M207">
        <v>4.3419999999999996</v>
      </c>
      <c r="N207">
        <v>4.4000000000000004</v>
      </c>
      <c r="O207">
        <v>4.32</v>
      </c>
      <c r="P207">
        <v>4.2649999999999997</v>
      </c>
      <c r="Q207">
        <v>4.26</v>
      </c>
      <c r="R207">
        <v>4.2149999999999999</v>
      </c>
      <c r="S207" s="2">
        <v>45225</v>
      </c>
      <c r="T207">
        <v>3.8980000000000001</v>
      </c>
      <c r="U207">
        <v>4.0119999999999996</v>
      </c>
      <c r="V207">
        <v>4.0529999999999999</v>
      </c>
      <c r="W207">
        <v>4.0990000000000002</v>
      </c>
      <c r="X207">
        <v>4.3010000000000002</v>
      </c>
      <c r="Y207">
        <v>4.4420000000000002</v>
      </c>
      <c r="Z207">
        <v>4.4950000000000001</v>
      </c>
      <c r="AA207">
        <v>4.58</v>
      </c>
      <c r="AB207">
        <v>4.6280000000000001</v>
      </c>
      <c r="AC207">
        <v>4.673</v>
      </c>
      <c r="AD207">
        <v>4.6920000000000002</v>
      </c>
      <c r="AE207">
        <v>4.7409999999999997</v>
      </c>
      <c r="AF207">
        <v>4.6929999999999996</v>
      </c>
      <c r="AG207">
        <v>4.6379999999999999</v>
      </c>
      <c r="AH207">
        <v>4.6870000000000003</v>
      </c>
      <c r="AI207">
        <v>0</v>
      </c>
      <c r="AJ207" s="2">
        <v>45225</v>
      </c>
      <c r="AK207">
        <v>3.64</v>
      </c>
      <c r="AL207">
        <v>3.6549999999999998</v>
      </c>
      <c r="AM207">
        <v>3.6779999999999999</v>
      </c>
      <c r="AN207">
        <v>3.7570000000000001</v>
      </c>
      <c r="AO207">
        <v>3.9510000000000001</v>
      </c>
      <c r="AP207">
        <v>4.0149999999999997</v>
      </c>
      <c r="AQ207">
        <v>4.1449999999999996</v>
      </c>
      <c r="AR207">
        <v>4.1929999999999996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2:52">
      <c r="B208" s="2">
        <v>45224</v>
      </c>
      <c r="C208">
        <v>3.411</v>
      </c>
      <c r="D208">
        <v>3.601</v>
      </c>
      <c r="E208">
        <v>3.49</v>
      </c>
      <c r="F208">
        <v>3.74</v>
      </c>
      <c r="G208">
        <v>3.823</v>
      </c>
      <c r="H208">
        <v>3.956</v>
      </c>
      <c r="I208">
        <v>3.9950000000000001</v>
      </c>
      <c r="J208">
        <v>4.0449999999999999</v>
      </c>
      <c r="K208">
        <v>4.1379999999999999</v>
      </c>
      <c r="L208">
        <v>4.16</v>
      </c>
      <c r="M208">
        <v>4.242</v>
      </c>
      <c r="N208">
        <v>4.2869999999999999</v>
      </c>
      <c r="O208">
        <v>4.2359999999999998</v>
      </c>
      <c r="P208">
        <v>4.21</v>
      </c>
      <c r="Q208">
        <v>4.2050000000000001</v>
      </c>
      <c r="R208">
        <v>4.16</v>
      </c>
      <c r="S208" s="2">
        <v>45224</v>
      </c>
      <c r="T208">
        <v>3.8820000000000001</v>
      </c>
      <c r="U208">
        <v>3.9969999999999999</v>
      </c>
      <c r="V208">
        <v>4.0330000000000004</v>
      </c>
      <c r="W208">
        <v>4.077</v>
      </c>
      <c r="X208">
        <v>4.2510000000000003</v>
      </c>
      <c r="Y208">
        <v>4.391</v>
      </c>
      <c r="Z208">
        <v>4.4249999999999998</v>
      </c>
      <c r="AA208">
        <v>4.5039999999999996</v>
      </c>
      <c r="AB208">
        <v>4.5419999999999998</v>
      </c>
      <c r="AC208">
        <v>4.585</v>
      </c>
      <c r="AD208">
        <v>4.5890000000000004</v>
      </c>
      <c r="AE208">
        <v>4.6239999999999997</v>
      </c>
      <c r="AF208">
        <v>4.6070000000000002</v>
      </c>
      <c r="AG208">
        <v>4.5819999999999999</v>
      </c>
      <c r="AH208">
        <v>4.63</v>
      </c>
      <c r="AI208">
        <v>0</v>
      </c>
      <c r="AJ208" s="2">
        <v>45224</v>
      </c>
      <c r="AK208">
        <v>3.6309999999999998</v>
      </c>
      <c r="AL208">
        <v>3.645</v>
      </c>
      <c r="AM208">
        <v>3.6629999999999998</v>
      </c>
      <c r="AN208">
        <v>3.742</v>
      </c>
      <c r="AO208">
        <v>3.9060000000000001</v>
      </c>
      <c r="AP208">
        <v>3.9729999999999999</v>
      </c>
      <c r="AQ208">
        <v>4.0860000000000003</v>
      </c>
      <c r="AR208">
        <v>4.125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2:52">
      <c r="B209" s="2">
        <v>45223</v>
      </c>
      <c r="C209">
        <v>3.4159999999999999</v>
      </c>
      <c r="D209">
        <v>3.6059999999999999</v>
      </c>
      <c r="E209">
        <v>3.5129999999999999</v>
      </c>
      <c r="F209">
        <v>3.73</v>
      </c>
      <c r="G209">
        <v>3.7650000000000001</v>
      </c>
      <c r="H209">
        <v>3.9129999999999998</v>
      </c>
      <c r="I209">
        <v>3.9449999999999998</v>
      </c>
      <c r="J209">
        <v>3.9950000000000001</v>
      </c>
      <c r="K209">
        <v>4.1100000000000003</v>
      </c>
      <c r="L209">
        <v>4.1310000000000002</v>
      </c>
      <c r="M209">
        <v>4.2140000000000004</v>
      </c>
      <c r="N209">
        <v>4.26</v>
      </c>
      <c r="O209">
        <v>4.2320000000000002</v>
      </c>
      <c r="P209">
        <v>4.2300000000000004</v>
      </c>
      <c r="Q209">
        <v>4.2270000000000003</v>
      </c>
      <c r="R209">
        <v>4.1820000000000004</v>
      </c>
      <c r="S209" s="2">
        <v>45223</v>
      </c>
      <c r="T209">
        <v>3.8769999999999998</v>
      </c>
      <c r="U209">
        <v>3.992</v>
      </c>
      <c r="V209">
        <v>4.0229999999999997</v>
      </c>
      <c r="W209">
        <v>4.0540000000000003</v>
      </c>
      <c r="X209">
        <v>4.2050000000000001</v>
      </c>
      <c r="Y209">
        <v>4.3390000000000004</v>
      </c>
      <c r="Z209">
        <v>4.3730000000000002</v>
      </c>
      <c r="AA209">
        <v>4.452</v>
      </c>
      <c r="AB209">
        <v>4.5119999999999996</v>
      </c>
      <c r="AC209">
        <v>4.5549999999999997</v>
      </c>
      <c r="AD209">
        <v>4.5599999999999996</v>
      </c>
      <c r="AE209">
        <v>4.5970000000000004</v>
      </c>
      <c r="AF209">
        <v>4.6029999999999998</v>
      </c>
      <c r="AG209">
        <v>4.6020000000000003</v>
      </c>
      <c r="AH209">
        <v>4.6520000000000001</v>
      </c>
      <c r="AI209">
        <v>0</v>
      </c>
      <c r="AJ209" s="2">
        <v>45223</v>
      </c>
      <c r="AK209">
        <v>3.6280000000000001</v>
      </c>
      <c r="AL209">
        <v>3.641</v>
      </c>
      <c r="AM209">
        <v>3.6549999999999998</v>
      </c>
      <c r="AN209">
        <v>3.7250000000000001</v>
      </c>
      <c r="AO209">
        <v>3.8650000000000002</v>
      </c>
      <c r="AP209">
        <v>3.9249999999999998</v>
      </c>
      <c r="AQ209">
        <v>4.04</v>
      </c>
      <c r="AR209">
        <v>4.0780000000000003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2:52">
      <c r="B210" s="2">
        <v>45222</v>
      </c>
      <c r="C210">
        <v>3.4260000000000002</v>
      </c>
      <c r="D210">
        <v>3.6230000000000002</v>
      </c>
      <c r="E210">
        <v>3.55</v>
      </c>
      <c r="F210">
        <v>3.7549999999999999</v>
      </c>
      <c r="G210">
        <v>3.7930000000000001</v>
      </c>
      <c r="H210">
        <v>3.9609999999999999</v>
      </c>
      <c r="I210">
        <v>3.9910000000000001</v>
      </c>
      <c r="J210">
        <v>4.0599999999999996</v>
      </c>
      <c r="K210">
        <v>4.2009999999999996</v>
      </c>
      <c r="L210">
        <v>4.2329999999999997</v>
      </c>
      <c r="M210">
        <v>4.3239999999999998</v>
      </c>
      <c r="N210">
        <v>4.375</v>
      </c>
      <c r="O210">
        <v>4.3419999999999996</v>
      </c>
      <c r="P210">
        <v>4.335</v>
      </c>
      <c r="Q210">
        <v>4.32</v>
      </c>
      <c r="R210">
        <v>4.2750000000000004</v>
      </c>
      <c r="S210" s="2">
        <v>45222</v>
      </c>
      <c r="T210">
        <v>3.8879999999999999</v>
      </c>
      <c r="U210">
        <v>4.0019999999999998</v>
      </c>
      <c r="V210">
        <v>4.0359999999999996</v>
      </c>
      <c r="W210">
        <v>4.0670000000000002</v>
      </c>
      <c r="X210">
        <v>4.242</v>
      </c>
      <c r="Y210">
        <v>4.3739999999999997</v>
      </c>
      <c r="Z210">
        <v>4.4130000000000003</v>
      </c>
      <c r="AA210">
        <v>4.51</v>
      </c>
      <c r="AB210">
        <v>4.5979999999999999</v>
      </c>
      <c r="AC210">
        <v>4.6529999999999996</v>
      </c>
      <c r="AD210">
        <v>4.6669999999999998</v>
      </c>
      <c r="AE210">
        <v>4.7119999999999997</v>
      </c>
      <c r="AF210">
        <v>4.7110000000000003</v>
      </c>
      <c r="AG210">
        <v>4.7069999999999999</v>
      </c>
      <c r="AH210">
        <v>4.7450000000000001</v>
      </c>
      <c r="AI210">
        <v>0</v>
      </c>
      <c r="AJ210" s="2">
        <v>45222</v>
      </c>
      <c r="AK210">
        <v>3.64</v>
      </c>
      <c r="AL210">
        <v>3.6509999999999998</v>
      </c>
      <c r="AM210">
        <v>3.6680000000000001</v>
      </c>
      <c r="AN210">
        <v>3.7440000000000002</v>
      </c>
      <c r="AO210">
        <v>3.9049999999999998</v>
      </c>
      <c r="AP210">
        <v>3.9649999999999999</v>
      </c>
      <c r="AQ210">
        <v>4.0990000000000002</v>
      </c>
      <c r="AR210">
        <v>4.1429999999999998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2:52">
      <c r="B211" s="2">
        <v>45219</v>
      </c>
      <c r="C211">
        <v>3.4260000000000002</v>
      </c>
      <c r="D211">
        <v>3.621</v>
      </c>
      <c r="E211">
        <v>3.556</v>
      </c>
      <c r="F211">
        <v>3.7509999999999999</v>
      </c>
      <c r="G211">
        <v>3.7730000000000001</v>
      </c>
      <c r="H211">
        <v>3.93</v>
      </c>
      <c r="I211">
        <v>3.96</v>
      </c>
      <c r="J211">
        <v>4.0270000000000001</v>
      </c>
      <c r="K211">
        <v>4.149</v>
      </c>
      <c r="L211">
        <v>4.1760000000000002</v>
      </c>
      <c r="M211">
        <v>4.2679999999999998</v>
      </c>
      <c r="N211">
        <v>4.3170000000000002</v>
      </c>
      <c r="O211">
        <v>4.2779999999999996</v>
      </c>
      <c r="P211">
        <v>4.2649999999999997</v>
      </c>
      <c r="Q211">
        <v>4.2469999999999999</v>
      </c>
      <c r="R211">
        <v>4.202</v>
      </c>
      <c r="S211" s="2">
        <v>45219</v>
      </c>
      <c r="T211">
        <v>3.88</v>
      </c>
      <c r="U211">
        <v>3.992</v>
      </c>
      <c r="V211">
        <v>4.0209999999999999</v>
      </c>
      <c r="W211">
        <v>4.0469999999999997</v>
      </c>
      <c r="X211">
        <v>4.1980000000000004</v>
      </c>
      <c r="Y211">
        <v>4.3310000000000004</v>
      </c>
      <c r="Z211">
        <v>4.375</v>
      </c>
      <c r="AA211">
        <v>4.47</v>
      </c>
      <c r="AB211">
        <v>4.5369999999999999</v>
      </c>
      <c r="AC211">
        <v>4.5880000000000001</v>
      </c>
      <c r="AD211">
        <v>4.6029999999999998</v>
      </c>
      <c r="AE211">
        <v>4.6479999999999997</v>
      </c>
      <c r="AF211">
        <v>4.6429999999999998</v>
      </c>
      <c r="AG211">
        <v>4.633</v>
      </c>
      <c r="AH211">
        <v>4.6689999999999996</v>
      </c>
      <c r="AI211">
        <v>0</v>
      </c>
      <c r="AJ211" s="2">
        <v>45219</v>
      </c>
      <c r="AK211">
        <v>3.6349999999999998</v>
      </c>
      <c r="AL211">
        <v>3.645</v>
      </c>
      <c r="AM211">
        <v>3.6579999999999999</v>
      </c>
      <c r="AN211">
        <v>3.73</v>
      </c>
      <c r="AO211">
        <v>3.8660000000000001</v>
      </c>
      <c r="AP211">
        <v>3.9260000000000002</v>
      </c>
      <c r="AQ211">
        <v>4.0709999999999997</v>
      </c>
      <c r="AR211">
        <v>4.1109999999999998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2:52">
      <c r="B212" s="2">
        <v>45218</v>
      </c>
      <c r="C212">
        <v>3.4279999999999999</v>
      </c>
      <c r="D212">
        <v>3.6230000000000002</v>
      </c>
      <c r="E212">
        <v>3.5609999999999999</v>
      </c>
      <c r="F212">
        <v>3.7610000000000001</v>
      </c>
      <c r="G212">
        <v>3.7930000000000001</v>
      </c>
      <c r="H212">
        <v>3.9660000000000002</v>
      </c>
      <c r="I212">
        <v>3.9950000000000001</v>
      </c>
      <c r="J212">
        <v>4.0650000000000004</v>
      </c>
      <c r="K212">
        <v>4.1840000000000002</v>
      </c>
      <c r="L212">
        <v>4.21</v>
      </c>
      <c r="M212">
        <v>4.3070000000000004</v>
      </c>
      <c r="N212">
        <v>4.3600000000000003</v>
      </c>
      <c r="O212">
        <v>4.3179999999999996</v>
      </c>
      <c r="P212">
        <v>4.3</v>
      </c>
      <c r="Q212">
        <v>4.2770000000000001</v>
      </c>
      <c r="R212">
        <v>4.2320000000000002</v>
      </c>
      <c r="S212" s="2">
        <v>45218</v>
      </c>
      <c r="T212">
        <v>3.883</v>
      </c>
      <c r="U212">
        <v>3.9940000000000002</v>
      </c>
      <c r="V212">
        <v>4.0259999999999998</v>
      </c>
      <c r="W212">
        <v>4.0590000000000002</v>
      </c>
      <c r="X212">
        <v>4.2229999999999999</v>
      </c>
      <c r="Y212">
        <v>4.3620000000000001</v>
      </c>
      <c r="Z212">
        <v>4.4029999999999996</v>
      </c>
      <c r="AA212">
        <v>4.5010000000000003</v>
      </c>
      <c r="AB212">
        <v>4.5679999999999996</v>
      </c>
      <c r="AC212">
        <v>4.6219999999999999</v>
      </c>
      <c r="AD212">
        <v>4.6420000000000003</v>
      </c>
      <c r="AE212">
        <v>4.6909999999999998</v>
      </c>
      <c r="AF212">
        <v>4.6829999999999998</v>
      </c>
      <c r="AG212">
        <v>4.6689999999999996</v>
      </c>
      <c r="AH212">
        <v>4.6989999999999998</v>
      </c>
      <c r="AI212">
        <v>0</v>
      </c>
      <c r="AJ212" s="2">
        <v>45218</v>
      </c>
      <c r="AK212">
        <v>3.64</v>
      </c>
      <c r="AL212">
        <v>3.65</v>
      </c>
      <c r="AM212">
        <v>3.6659999999999999</v>
      </c>
      <c r="AN212">
        <v>3.7450000000000001</v>
      </c>
      <c r="AO212">
        <v>3.8959999999999999</v>
      </c>
      <c r="AP212">
        <v>3.964</v>
      </c>
      <c r="AQ212">
        <v>4.1040000000000001</v>
      </c>
      <c r="AR212">
        <v>4.1500000000000004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2:52">
      <c r="B213" s="2">
        <v>45217</v>
      </c>
      <c r="C213">
        <v>3.4209999999999998</v>
      </c>
      <c r="D213">
        <v>3.6160000000000001</v>
      </c>
      <c r="E213">
        <v>3.5579999999999998</v>
      </c>
      <c r="F213">
        <v>3.7530000000000001</v>
      </c>
      <c r="G213">
        <v>3.7709999999999999</v>
      </c>
      <c r="H213">
        <v>3.9540000000000002</v>
      </c>
      <c r="I213">
        <v>3.9740000000000002</v>
      </c>
      <c r="J213">
        <v>4.0270000000000001</v>
      </c>
      <c r="K213">
        <v>4.13</v>
      </c>
      <c r="L213">
        <v>4.1500000000000004</v>
      </c>
      <c r="M213">
        <v>4.24</v>
      </c>
      <c r="N213">
        <v>4.2850000000000001</v>
      </c>
      <c r="O213">
        <v>4.2450000000000001</v>
      </c>
      <c r="P213">
        <v>4.2300000000000004</v>
      </c>
      <c r="Q213">
        <v>4.21</v>
      </c>
      <c r="R213">
        <v>4.1639999999999997</v>
      </c>
      <c r="S213" s="2">
        <v>45217</v>
      </c>
      <c r="T213">
        <v>3.8719999999999999</v>
      </c>
      <c r="U213">
        <v>3.9809999999999999</v>
      </c>
      <c r="V213">
        <v>4.01</v>
      </c>
      <c r="W213">
        <v>4.0410000000000004</v>
      </c>
      <c r="X213">
        <v>4.1950000000000003</v>
      </c>
      <c r="Y213">
        <v>4.3360000000000003</v>
      </c>
      <c r="Z213">
        <v>4.375</v>
      </c>
      <c r="AA213">
        <v>4.4589999999999996</v>
      </c>
      <c r="AB213">
        <v>4.5110000000000001</v>
      </c>
      <c r="AC213">
        <v>4.5599999999999996</v>
      </c>
      <c r="AD213">
        <v>4.5730000000000004</v>
      </c>
      <c r="AE213">
        <v>4.6150000000000002</v>
      </c>
      <c r="AF213">
        <v>4.6079999999999997</v>
      </c>
      <c r="AG213">
        <v>4.5979999999999999</v>
      </c>
      <c r="AH213">
        <v>4.63</v>
      </c>
      <c r="AI213">
        <v>0</v>
      </c>
      <c r="AJ213" s="2">
        <v>45217</v>
      </c>
      <c r="AK213">
        <v>3.629</v>
      </c>
      <c r="AL213">
        <v>3.64</v>
      </c>
      <c r="AM213">
        <v>3.657</v>
      </c>
      <c r="AN213">
        <v>3.7349999999999999</v>
      </c>
      <c r="AO213">
        <v>3.875</v>
      </c>
      <c r="AP213">
        <v>3.9449999999999998</v>
      </c>
      <c r="AQ213">
        <v>4.0629999999999997</v>
      </c>
      <c r="AR213">
        <v>4.1109999999999998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2:52">
      <c r="B214" s="2">
        <v>45216</v>
      </c>
      <c r="C214">
        <v>3.41</v>
      </c>
      <c r="D214">
        <v>3.6080000000000001</v>
      </c>
      <c r="E214">
        <v>3.548</v>
      </c>
      <c r="F214">
        <v>3.7410000000000001</v>
      </c>
      <c r="G214">
        <v>3.7610000000000001</v>
      </c>
      <c r="H214">
        <v>3.9329999999999998</v>
      </c>
      <c r="I214">
        <v>3.9470000000000001</v>
      </c>
      <c r="J214">
        <v>3.9940000000000002</v>
      </c>
      <c r="K214">
        <v>4.08</v>
      </c>
      <c r="L214">
        <v>4.0949999999999998</v>
      </c>
      <c r="M214">
        <v>4.181</v>
      </c>
      <c r="N214">
        <v>4.2249999999999996</v>
      </c>
      <c r="O214">
        <v>4.194</v>
      </c>
      <c r="P214">
        <v>4.1849999999999996</v>
      </c>
      <c r="Q214">
        <v>4.1669999999999998</v>
      </c>
      <c r="R214">
        <v>4.1210000000000004</v>
      </c>
      <c r="S214" s="2">
        <v>45216</v>
      </c>
      <c r="T214">
        <v>3.8620000000000001</v>
      </c>
      <c r="U214">
        <v>3.9660000000000002</v>
      </c>
      <c r="V214">
        <v>3.9950000000000001</v>
      </c>
      <c r="W214">
        <v>4.0229999999999997</v>
      </c>
      <c r="X214">
        <v>4.16</v>
      </c>
      <c r="Y214">
        <v>4.3079999999999998</v>
      </c>
      <c r="Z214">
        <v>4.3440000000000003</v>
      </c>
      <c r="AA214">
        <v>4.4189999999999996</v>
      </c>
      <c r="AB214">
        <v>4.4539999999999997</v>
      </c>
      <c r="AC214">
        <v>4.5030000000000001</v>
      </c>
      <c r="AD214">
        <v>4.5129999999999999</v>
      </c>
      <c r="AE214">
        <v>4.5549999999999997</v>
      </c>
      <c r="AF214">
        <v>4.556</v>
      </c>
      <c r="AG214">
        <v>4.5529999999999999</v>
      </c>
      <c r="AH214">
        <v>4.5869999999999997</v>
      </c>
      <c r="AI214">
        <v>0</v>
      </c>
      <c r="AJ214" s="2">
        <v>45216</v>
      </c>
      <c r="AK214">
        <v>3.6230000000000002</v>
      </c>
      <c r="AL214">
        <v>3.6349999999999998</v>
      </c>
      <c r="AM214">
        <v>3.6509999999999998</v>
      </c>
      <c r="AN214">
        <v>3.7229999999999999</v>
      </c>
      <c r="AO214">
        <v>3.8450000000000002</v>
      </c>
      <c r="AP214">
        <v>3.9239999999999999</v>
      </c>
      <c r="AQ214">
        <v>4.0359999999999996</v>
      </c>
      <c r="AR214">
        <v>4.0750000000000002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2:52">
      <c r="B215" s="2">
        <v>45215</v>
      </c>
      <c r="C215">
        <v>3.4060000000000001</v>
      </c>
      <c r="D215">
        <v>3.633</v>
      </c>
      <c r="E215">
        <v>3.556</v>
      </c>
      <c r="F215">
        <v>3.7330000000000001</v>
      </c>
      <c r="G215">
        <v>3.766</v>
      </c>
      <c r="H215">
        <v>3.9209999999999998</v>
      </c>
      <c r="I215">
        <v>3.9350000000000001</v>
      </c>
      <c r="J215">
        <v>3.9750000000000001</v>
      </c>
      <c r="K215">
        <v>4.0510000000000002</v>
      </c>
      <c r="L215">
        <v>4.0650000000000004</v>
      </c>
      <c r="M215">
        <v>4.1529999999999996</v>
      </c>
      <c r="N215">
        <v>4.1970000000000001</v>
      </c>
      <c r="O215">
        <v>4.1660000000000004</v>
      </c>
      <c r="P215">
        <v>4.16</v>
      </c>
      <c r="Q215">
        <v>4.1440000000000001</v>
      </c>
      <c r="R215">
        <v>4.0979999999999999</v>
      </c>
      <c r="S215" s="2">
        <v>45215</v>
      </c>
      <c r="T215">
        <v>3.8540000000000001</v>
      </c>
      <c r="U215">
        <v>3.9510000000000001</v>
      </c>
      <c r="V215">
        <v>3.9809999999999999</v>
      </c>
      <c r="W215">
        <v>4.0129999999999999</v>
      </c>
      <c r="X215">
        <v>4.1470000000000002</v>
      </c>
      <c r="Y215">
        <v>4.2889999999999997</v>
      </c>
      <c r="Z215">
        <v>4.3280000000000003</v>
      </c>
      <c r="AA215">
        <v>4.4000000000000004</v>
      </c>
      <c r="AB215">
        <v>4.4240000000000004</v>
      </c>
      <c r="AC215">
        <v>4.4749999999999996</v>
      </c>
      <c r="AD215">
        <v>4.4850000000000003</v>
      </c>
      <c r="AE215">
        <v>4.5270000000000001</v>
      </c>
      <c r="AF215">
        <v>4.5279999999999996</v>
      </c>
      <c r="AG215">
        <v>4.5279999999999996</v>
      </c>
      <c r="AH215">
        <v>4.5640000000000001</v>
      </c>
      <c r="AI215">
        <v>0</v>
      </c>
      <c r="AJ215" s="2">
        <v>45215</v>
      </c>
      <c r="AK215">
        <v>3.6190000000000002</v>
      </c>
      <c r="AL215">
        <v>3.6280000000000001</v>
      </c>
      <c r="AM215">
        <v>3.64</v>
      </c>
      <c r="AN215">
        <v>3.7160000000000002</v>
      </c>
      <c r="AO215">
        <v>3.835</v>
      </c>
      <c r="AP215">
        <v>3.91</v>
      </c>
      <c r="AQ215">
        <v>4.0220000000000002</v>
      </c>
      <c r="AR215">
        <v>4.056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2:52">
      <c r="B216" s="2">
        <v>45212</v>
      </c>
      <c r="C216">
        <v>3.41</v>
      </c>
      <c r="D216">
        <v>3.661</v>
      </c>
      <c r="E216">
        <v>3.5630000000000002</v>
      </c>
      <c r="F216">
        <v>3.738</v>
      </c>
      <c r="G216">
        <v>3.774</v>
      </c>
      <c r="H216">
        <v>3.9039999999999999</v>
      </c>
      <c r="I216">
        <v>3.9119999999999999</v>
      </c>
      <c r="J216">
        <v>3.952</v>
      </c>
      <c r="K216">
        <v>4.0229999999999997</v>
      </c>
      <c r="L216">
        <v>4.0369999999999999</v>
      </c>
      <c r="M216">
        <v>4.125</v>
      </c>
      <c r="N216">
        <v>4.165</v>
      </c>
      <c r="O216">
        <v>4.1289999999999996</v>
      </c>
      <c r="P216">
        <v>4.117</v>
      </c>
      <c r="Q216">
        <v>4.0949999999999998</v>
      </c>
      <c r="R216">
        <v>4.0490000000000004</v>
      </c>
      <c r="S216" s="2">
        <v>45212</v>
      </c>
      <c r="T216">
        <v>3.8519999999999999</v>
      </c>
      <c r="U216">
        <v>3.9470000000000001</v>
      </c>
      <c r="V216">
        <v>3.976</v>
      </c>
      <c r="W216">
        <v>4.0049999999999999</v>
      </c>
      <c r="X216">
        <v>4.1269999999999998</v>
      </c>
      <c r="Y216">
        <v>4.2690000000000001</v>
      </c>
      <c r="Z216">
        <v>4.3019999999999996</v>
      </c>
      <c r="AA216">
        <v>4.3730000000000002</v>
      </c>
      <c r="AB216">
        <v>4.3929999999999998</v>
      </c>
      <c r="AC216">
        <v>4.444</v>
      </c>
      <c r="AD216">
        <v>4.452</v>
      </c>
      <c r="AE216">
        <v>4.4909999999999997</v>
      </c>
      <c r="AF216">
        <v>4.4880000000000004</v>
      </c>
      <c r="AG216">
        <v>4.4820000000000002</v>
      </c>
      <c r="AH216">
        <v>4.5119999999999996</v>
      </c>
      <c r="AI216">
        <v>0</v>
      </c>
      <c r="AJ216" s="2">
        <v>45212</v>
      </c>
      <c r="AK216">
        <v>3.62</v>
      </c>
      <c r="AL216">
        <v>3.6280000000000001</v>
      </c>
      <c r="AM216">
        <v>3.64</v>
      </c>
      <c r="AN216">
        <v>3.7160000000000002</v>
      </c>
      <c r="AO216">
        <v>3.82</v>
      </c>
      <c r="AP216">
        <v>3.895</v>
      </c>
      <c r="AQ216">
        <v>4</v>
      </c>
      <c r="AR216">
        <v>4.0339999999999998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2:52">
      <c r="B217" s="2">
        <v>45211</v>
      </c>
      <c r="C217">
        <v>3.4159999999999999</v>
      </c>
      <c r="D217">
        <v>3.6779999999999999</v>
      </c>
      <c r="E217">
        <v>3.5779999999999998</v>
      </c>
      <c r="F217">
        <v>3.7210000000000001</v>
      </c>
      <c r="G217">
        <v>3.75</v>
      </c>
      <c r="H217">
        <v>3.8809999999999998</v>
      </c>
      <c r="I217">
        <v>3.8940000000000001</v>
      </c>
      <c r="J217">
        <v>3.927</v>
      </c>
      <c r="K217">
        <v>3.988</v>
      </c>
      <c r="L217">
        <v>3.99</v>
      </c>
      <c r="M217">
        <v>4.0620000000000003</v>
      </c>
      <c r="N217">
        <v>4.0919999999999996</v>
      </c>
      <c r="O217">
        <v>4.056</v>
      </c>
      <c r="P217">
        <v>4.0419999999999998</v>
      </c>
      <c r="Q217">
        <v>4.0199999999999996</v>
      </c>
      <c r="R217">
        <v>3.9950000000000001</v>
      </c>
      <c r="S217" s="2">
        <v>45211</v>
      </c>
      <c r="T217">
        <v>3.8559999999999999</v>
      </c>
      <c r="U217">
        <v>3.9470000000000001</v>
      </c>
      <c r="V217">
        <v>3.9710000000000001</v>
      </c>
      <c r="W217">
        <v>3.9910000000000001</v>
      </c>
      <c r="X217">
        <v>4.0910000000000002</v>
      </c>
      <c r="Y217">
        <v>4.2380000000000004</v>
      </c>
      <c r="Z217">
        <v>4.2699999999999996</v>
      </c>
      <c r="AA217">
        <v>4.3360000000000003</v>
      </c>
      <c r="AB217">
        <v>4.3479999999999999</v>
      </c>
      <c r="AC217">
        <v>4.3869999999999996</v>
      </c>
      <c r="AD217">
        <v>4.3840000000000003</v>
      </c>
      <c r="AE217">
        <v>4.415</v>
      </c>
      <c r="AF217">
        <v>4.4130000000000003</v>
      </c>
      <c r="AG217">
        <v>4.407</v>
      </c>
      <c r="AH217">
        <v>4.4370000000000003</v>
      </c>
      <c r="AI217">
        <v>0</v>
      </c>
      <c r="AJ217" s="2">
        <v>45211</v>
      </c>
      <c r="AK217">
        <v>3.629</v>
      </c>
      <c r="AL217">
        <v>3.6349999999999998</v>
      </c>
      <c r="AM217">
        <v>3.641</v>
      </c>
      <c r="AN217">
        <v>3.7109999999999999</v>
      </c>
      <c r="AO217">
        <v>3.7949999999999999</v>
      </c>
      <c r="AP217">
        <v>3.879</v>
      </c>
      <c r="AQ217">
        <v>3.9750000000000001</v>
      </c>
      <c r="AR217">
        <v>4.0090000000000003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2:52">
      <c r="B218" s="2">
        <v>45210</v>
      </c>
      <c r="C218">
        <v>3.4159999999999999</v>
      </c>
      <c r="D218">
        <v>3.6779999999999999</v>
      </c>
      <c r="E218">
        <v>3.5779999999999998</v>
      </c>
      <c r="F218">
        <v>3.71</v>
      </c>
      <c r="G218">
        <v>3.774</v>
      </c>
      <c r="H218">
        <v>3.9049999999999998</v>
      </c>
      <c r="I218">
        <v>3.92</v>
      </c>
      <c r="J218">
        <v>3.9470000000000001</v>
      </c>
      <c r="K218">
        <v>4.0149999999999997</v>
      </c>
      <c r="L218">
        <v>4.0250000000000004</v>
      </c>
      <c r="M218">
        <v>4.0940000000000003</v>
      </c>
      <c r="N218">
        <v>4.1369999999999996</v>
      </c>
      <c r="O218">
        <v>4.1079999999999997</v>
      </c>
      <c r="P218">
        <v>4.0999999999999996</v>
      </c>
      <c r="Q218">
        <v>4.085</v>
      </c>
      <c r="R218">
        <v>4.0599999999999996</v>
      </c>
      <c r="S218" s="2">
        <v>45210</v>
      </c>
      <c r="T218">
        <v>3.8580000000000001</v>
      </c>
      <c r="U218">
        <v>3.9390000000000001</v>
      </c>
      <c r="V218">
        <v>3.96</v>
      </c>
      <c r="W218">
        <v>3.9889999999999999</v>
      </c>
      <c r="X218">
        <v>4.0979999999999999</v>
      </c>
      <c r="Y218">
        <v>4.25</v>
      </c>
      <c r="Z218">
        <v>4.2839999999999998</v>
      </c>
      <c r="AA218">
        <v>4.3440000000000003</v>
      </c>
      <c r="AB218">
        <v>4.3630000000000004</v>
      </c>
      <c r="AC218">
        <v>4.4119999999999999</v>
      </c>
      <c r="AD218">
        <v>4.41</v>
      </c>
      <c r="AE218">
        <v>4.46</v>
      </c>
      <c r="AF218">
        <v>4.4649999999999999</v>
      </c>
      <c r="AG218">
        <v>4.4640000000000004</v>
      </c>
      <c r="AH218">
        <v>4.5019999999999998</v>
      </c>
      <c r="AI218">
        <v>0</v>
      </c>
      <c r="AJ218" s="2">
        <v>45210</v>
      </c>
      <c r="AK218">
        <v>3.6309999999999998</v>
      </c>
      <c r="AL218">
        <v>3.633</v>
      </c>
      <c r="AM218">
        <v>3.6379999999999999</v>
      </c>
      <c r="AN218">
        <v>3.72</v>
      </c>
      <c r="AO218">
        <v>3.81</v>
      </c>
      <c r="AP218">
        <v>3.9009999999999998</v>
      </c>
      <c r="AQ218">
        <v>3.99</v>
      </c>
      <c r="AR218">
        <v>4.03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2:52">
      <c r="B219" s="2">
        <v>45209</v>
      </c>
      <c r="C219">
        <v>3.43</v>
      </c>
      <c r="D219">
        <v>3.6880000000000002</v>
      </c>
      <c r="E219">
        <v>3.61</v>
      </c>
      <c r="F219">
        <v>3.73</v>
      </c>
      <c r="G219">
        <v>3.8079999999999998</v>
      </c>
      <c r="H219">
        <v>3.9489999999999998</v>
      </c>
      <c r="I219">
        <v>3.9830000000000001</v>
      </c>
      <c r="J219">
        <v>4</v>
      </c>
      <c r="K219">
        <v>4.0759999999999996</v>
      </c>
      <c r="L219">
        <v>4.0890000000000004</v>
      </c>
      <c r="M219">
        <v>4.1779999999999999</v>
      </c>
      <c r="N219">
        <v>4.2249999999999996</v>
      </c>
      <c r="O219">
        <v>4.1849999999999996</v>
      </c>
      <c r="P219">
        <v>4.165</v>
      </c>
      <c r="Q219">
        <v>4.133</v>
      </c>
      <c r="R219">
        <v>4.1079999999999997</v>
      </c>
      <c r="S219" s="2">
        <v>45209</v>
      </c>
      <c r="T219">
        <v>3.8679999999999999</v>
      </c>
      <c r="U219">
        <v>3.9460000000000002</v>
      </c>
      <c r="V219">
        <v>3.9710000000000001</v>
      </c>
      <c r="W219">
        <v>4.0129999999999999</v>
      </c>
      <c r="X219">
        <v>4.1340000000000003</v>
      </c>
      <c r="Y219">
        <v>4.2969999999999997</v>
      </c>
      <c r="Z219">
        <v>4.3410000000000002</v>
      </c>
      <c r="AA219">
        <v>4.3899999999999997</v>
      </c>
      <c r="AB219">
        <v>4.4240000000000004</v>
      </c>
      <c r="AC219">
        <v>4.4770000000000003</v>
      </c>
      <c r="AD219">
        <v>4.492</v>
      </c>
      <c r="AE219">
        <v>4.548</v>
      </c>
      <c r="AF219">
        <v>4.5419999999999998</v>
      </c>
      <c r="AG219">
        <v>4.53</v>
      </c>
      <c r="AH219">
        <v>4.55</v>
      </c>
      <c r="AI219">
        <v>0</v>
      </c>
      <c r="AJ219" s="2">
        <v>45209</v>
      </c>
      <c r="AK219">
        <v>3.6429999999999998</v>
      </c>
      <c r="AL219">
        <v>3.645</v>
      </c>
      <c r="AM219">
        <v>3.653</v>
      </c>
      <c r="AN219">
        <v>3.7509999999999999</v>
      </c>
      <c r="AO219">
        <v>3.8530000000000002</v>
      </c>
      <c r="AP219">
        <v>3.9550000000000001</v>
      </c>
      <c r="AQ219">
        <v>4.0490000000000004</v>
      </c>
      <c r="AR219">
        <v>4.085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2:52">
      <c r="B220" s="2">
        <v>45205</v>
      </c>
      <c r="C220">
        <v>3.4350000000000001</v>
      </c>
      <c r="D220">
        <v>3.6930000000000001</v>
      </c>
      <c r="E220">
        <v>3.625</v>
      </c>
      <c r="F220">
        <v>3.74</v>
      </c>
      <c r="G220">
        <v>3.82</v>
      </c>
      <c r="H220">
        <v>3.9670000000000001</v>
      </c>
      <c r="I220">
        <v>3.9940000000000002</v>
      </c>
      <c r="J220">
        <v>4.01</v>
      </c>
      <c r="K220">
        <v>4.0890000000000004</v>
      </c>
      <c r="L220">
        <v>4.0999999999999996</v>
      </c>
      <c r="M220">
        <v>4.194</v>
      </c>
      <c r="N220">
        <v>4.2439999999999998</v>
      </c>
      <c r="O220">
        <v>4.1989999999999998</v>
      </c>
      <c r="P220">
        <v>4.1740000000000004</v>
      </c>
      <c r="Q220">
        <v>4.1360000000000001</v>
      </c>
      <c r="R220">
        <v>4.1109999999999998</v>
      </c>
      <c r="S220" s="2">
        <v>45205</v>
      </c>
      <c r="T220">
        <v>3.8730000000000002</v>
      </c>
      <c r="U220">
        <v>3.952</v>
      </c>
      <c r="V220">
        <v>3.9780000000000002</v>
      </c>
      <c r="W220">
        <v>4.0140000000000002</v>
      </c>
      <c r="X220">
        <v>4.1589999999999998</v>
      </c>
      <c r="Y220">
        <v>4.3179999999999996</v>
      </c>
      <c r="Z220">
        <v>4.3540000000000001</v>
      </c>
      <c r="AA220">
        <v>4.4009999999999998</v>
      </c>
      <c r="AB220">
        <v>4.4370000000000003</v>
      </c>
      <c r="AC220">
        <v>4.4889999999999999</v>
      </c>
      <c r="AD220">
        <v>4.508</v>
      </c>
      <c r="AE220">
        <v>4.5670000000000002</v>
      </c>
      <c r="AF220">
        <v>4.556</v>
      </c>
      <c r="AG220">
        <v>4.5380000000000003</v>
      </c>
      <c r="AH220">
        <v>4.5529999999999999</v>
      </c>
      <c r="AI220">
        <v>0</v>
      </c>
      <c r="AJ220" s="2">
        <v>45205</v>
      </c>
      <c r="AK220">
        <v>3.645</v>
      </c>
      <c r="AL220">
        <v>3.653</v>
      </c>
      <c r="AM220">
        <v>3.66</v>
      </c>
      <c r="AN220">
        <v>3.76</v>
      </c>
      <c r="AO220">
        <v>3.8780000000000001</v>
      </c>
      <c r="AP220">
        <v>3.9750000000000001</v>
      </c>
      <c r="AQ220">
        <v>4.0650000000000004</v>
      </c>
      <c r="AR220">
        <v>4.0949999999999998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2:52">
      <c r="B221" s="2">
        <v>45204</v>
      </c>
      <c r="C221">
        <v>3.4430000000000001</v>
      </c>
      <c r="D221">
        <v>3.7010000000000001</v>
      </c>
      <c r="E221">
        <v>3.633</v>
      </c>
      <c r="F221">
        <v>3.746</v>
      </c>
      <c r="G221">
        <v>3.8780000000000001</v>
      </c>
      <c r="H221">
        <v>4.0389999999999997</v>
      </c>
      <c r="I221">
        <v>4.0759999999999996</v>
      </c>
      <c r="J221">
        <v>4.085</v>
      </c>
      <c r="K221">
        <v>4.17</v>
      </c>
      <c r="L221">
        <v>4.1879999999999997</v>
      </c>
      <c r="M221">
        <v>4.2839999999999998</v>
      </c>
      <c r="N221">
        <v>4.335</v>
      </c>
      <c r="O221">
        <v>4.2809999999999997</v>
      </c>
      <c r="P221">
        <v>4.2480000000000002</v>
      </c>
      <c r="Q221">
        <v>4.22</v>
      </c>
      <c r="R221">
        <v>4.1950000000000003</v>
      </c>
      <c r="S221" s="2">
        <v>45204</v>
      </c>
      <c r="T221">
        <v>3.8879999999999999</v>
      </c>
      <c r="U221">
        <v>3.9660000000000002</v>
      </c>
      <c r="V221">
        <v>3.9910000000000001</v>
      </c>
      <c r="W221">
        <v>4.0389999999999997</v>
      </c>
      <c r="X221">
        <v>4.2240000000000002</v>
      </c>
      <c r="Y221">
        <v>4.3879999999999999</v>
      </c>
      <c r="Z221">
        <v>4.4349999999999996</v>
      </c>
      <c r="AA221">
        <v>4.4740000000000002</v>
      </c>
      <c r="AB221">
        <v>4.5179999999999998</v>
      </c>
      <c r="AC221">
        <v>4.577</v>
      </c>
      <c r="AD221">
        <v>4.5979999999999999</v>
      </c>
      <c r="AE221">
        <v>4.6580000000000004</v>
      </c>
      <c r="AF221">
        <v>4.6379999999999999</v>
      </c>
      <c r="AG221">
        <v>4.6120000000000001</v>
      </c>
      <c r="AH221">
        <v>4.6369999999999996</v>
      </c>
      <c r="AI221">
        <v>0</v>
      </c>
      <c r="AJ221" s="2">
        <v>45204</v>
      </c>
      <c r="AK221">
        <v>3.6560000000000001</v>
      </c>
      <c r="AL221">
        <v>3.67</v>
      </c>
      <c r="AM221">
        <v>3.6760000000000002</v>
      </c>
      <c r="AN221">
        <v>3.786</v>
      </c>
      <c r="AO221">
        <v>3.9460000000000002</v>
      </c>
      <c r="AP221">
        <v>4.048</v>
      </c>
      <c r="AQ221">
        <v>4.141</v>
      </c>
      <c r="AR221">
        <v>4.17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2:52">
      <c r="B222" s="2">
        <v>45203</v>
      </c>
      <c r="C222">
        <v>3.4609999999999999</v>
      </c>
      <c r="D222">
        <v>3.7229999999999999</v>
      </c>
      <c r="E222">
        <v>3.6480000000000001</v>
      </c>
      <c r="F222">
        <v>3.766</v>
      </c>
      <c r="G222">
        <v>3.9380000000000002</v>
      </c>
      <c r="H222">
        <v>4.0940000000000003</v>
      </c>
      <c r="I222">
        <v>4.1349999999999998</v>
      </c>
      <c r="J222">
        <v>4.1399999999999997</v>
      </c>
      <c r="K222">
        <v>4.2149999999999999</v>
      </c>
      <c r="L222">
        <v>4.2329999999999997</v>
      </c>
      <c r="M222">
        <v>4.3319999999999999</v>
      </c>
      <c r="N222">
        <v>4.3849999999999998</v>
      </c>
      <c r="O222">
        <v>4.3209999999999997</v>
      </c>
      <c r="P222">
        <v>4.2750000000000004</v>
      </c>
      <c r="Q222">
        <v>4.2489999999999997</v>
      </c>
      <c r="R222">
        <v>4.2240000000000002</v>
      </c>
      <c r="S222" s="2">
        <v>45203</v>
      </c>
      <c r="T222">
        <v>3.9</v>
      </c>
      <c r="U222">
        <v>3.984</v>
      </c>
      <c r="V222">
        <v>4.0149999999999997</v>
      </c>
      <c r="W222">
        <v>4.0629999999999997</v>
      </c>
      <c r="X222">
        <v>4.2830000000000004</v>
      </c>
      <c r="Y222">
        <v>4.4400000000000004</v>
      </c>
      <c r="Z222">
        <v>4.492</v>
      </c>
      <c r="AA222">
        <v>4.5279999999999996</v>
      </c>
      <c r="AB222">
        <v>4.5609999999999999</v>
      </c>
      <c r="AC222">
        <v>4.6180000000000003</v>
      </c>
      <c r="AD222">
        <v>4.6440000000000001</v>
      </c>
      <c r="AE222">
        <v>4.7089999999999996</v>
      </c>
      <c r="AF222">
        <v>4.6779999999999999</v>
      </c>
      <c r="AG222">
        <v>4.6399999999999997</v>
      </c>
      <c r="AH222">
        <v>4.6660000000000004</v>
      </c>
      <c r="AI222">
        <v>0</v>
      </c>
      <c r="AJ222" s="2">
        <v>45203</v>
      </c>
      <c r="AK222">
        <v>3.67</v>
      </c>
      <c r="AL222">
        <v>3.69</v>
      </c>
      <c r="AM222">
        <v>3.7</v>
      </c>
      <c r="AN222">
        <v>3.8079999999999998</v>
      </c>
      <c r="AO222">
        <v>4.0049999999999999</v>
      </c>
      <c r="AP222">
        <v>4.0999999999999996</v>
      </c>
      <c r="AQ222">
        <v>4.1970000000000001</v>
      </c>
      <c r="AR222">
        <v>4.2249999999999996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2:52">
      <c r="B223" s="2">
        <v>45196</v>
      </c>
      <c r="C223">
        <v>3.4180000000000001</v>
      </c>
      <c r="D223">
        <v>3.6749999999999998</v>
      </c>
      <c r="E223">
        <v>3.5649999999999999</v>
      </c>
      <c r="F223">
        <v>3.6829999999999998</v>
      </c>
      <c r="G223">
        <v>3.798</v>
      </c>
      <c r="H223">
        <v>3.859</v>
      </c>
      <c r="I223">
        <v>3.88</v>
      </c>
      <c r="J223">
        <v>3.875</v>
      </c>
      <c r="K223">
        <v>3.9260000000000002</v>
      </c>
      <c r="L223">
        <v>3.9249999999999998</v>
      </c>
      <c r="M223">
        <v>3.9950000000000001</v>
      </c>
      <c r="N223">
        <v>4.0119999999999996</v>
      </c>
      <c r="O223">
        <v>3.964</v>
      </c>
      <c r="P223">
        <v>3.931</v>
      </c>
      <c r="Q223">
        <v>3.8820000000000001</v>
      </c>
      <c r="R223">
        <v>3.8570000000000002</v>
      </c>
      <c r="S223" s="2">
        <v>45196</v>
      </c>
      <c r="T223">
        <v>3.855</v>
      </c>
      <c r="U223">
        <v>3.9319999999999999</v>
      </c>
      <c r="V223">
        <v>3.9580000000000002</v>
      </c>
      <c r="W223">
        <v>3.9740000000000002</v>
      </c>
      <c r="X223">
        <v>4.0999999999999996</v>
      </c>
      <c r="Y223">
        <v>4.21</v>
      </c>
      <c r="Z223">
        <v>4.2370000000000001</v>
      </c>
      <c r="AA223">
        <v>4.2629999999999999</v>
      </c>
      <c r="AB223">
        <v>4.2729999999999997</v>
      </c>
      <c r="AC223">
        <v>4.3079999999999998</v>
      </c>
      <c r="AD223">
        <v>4.3079999999999998</v>
      </c>
      <c r="AE223">
        <v>4.335</v>
      </c>
      <c r="AF223">
        <v>4.3209999999999997</v>
      </c>
      <c r="AG223">
        <v>4.2960000000000003</v>
      </c>
      <c r="AH223">
        <v>4.2990000000000004</v>
      </c>
      <c r="AI223">
        <v>0</v>
      </c>
      <c r="AJ223" s="2">
        <v>45196</v>
      </c>
      <c r="AK223">
        <v>3.625</v>
      </c>
      <c r="AL223">
        <v>3.6379999999999999</v>
      </c>
      <c r="AM223">
        <v>3.645</v>
      </c>
      <c r="AN223">
        <v>3.6749999999999998</v>
      </c>
      <c r="AO223">
        <v>3.8079999999999998</v>
      </c>
      <c r="AP223">
        <v>3.87</v>
      </c>
      <c r="AQ223">
        <v>3.94</v>
      </c>
      <c r="AR223">
        <v>3.96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2:52">
      <c r="B224" s="2">
        <v>45195</v>
      </c>
      <c r="C224">
        <v>3.4209999999999998</v>
      </c>
      <c r="D224">
        <v>3.681</v>
      </c>
      <c r="E224">
        <v>3.58</v>
      </c>
      <c r="F224">
        <v>3.6659999999999999</v>
      </c>
      <c r="G224">
        <v>3.8180000000000001</v>
      </c>
      <c r="H224">
        <v>3.879</v>
      </c>
      <c r="I224">
        <v>3.895</v>
      </c>
      <c r="J224">
        <v>3.8969999999999998</v>
      </c>
      <c r="K224">
        <v>3.9550000000000001</v>
      </c>
      <c r="L224">
        <v>3.9550000000000001</v>
      </c>
      <c r="M224">
        <v>4.0330000000000004</v>
      </c>
      <c r="N224">
        <v>4.0549999999999997</v>
      </c>
      <c r="O224">
        <v>4.0049999999999999</v>
      </c>
      <c r="P224">
        <v>3.9630000000000001</v>
      </c>
      <c r="Q224">
        <v>3.915</v>
      </c>
      <c r="R224">
        <v>3.89</v>
      </c>
      <c r="S224" s="2">
        <v>45195</v>
      </c>
      <c r="T224">
        <v>3.8559999999999999</v>
      </c>
      <c r="U224">
        <v>3.9329999999999998</v>
      </c>
      <c r="V224">
        <v>3.9590000000000001</v>
      </c>
      <c r="W224">
        <v>3.9790000000000001</v>
      </c>
      <c r="X224">
        <v>4.1130000000000004</v>
      </c>
      <c r="Y224">
        <v>4.2320000000000002</v>
      </c>
      <c r="Z224">
        <v>4.2519999999999998</v>
      </c>
      <c r="AA224">
        <v>4.2839999999999998</v>
      </c>
      <c r="AB224">
        <v>4.3010000000000002</v>
      </c>
      <c r="AC224">
        <v>4.3380000000000001</v>
      </c>
      <c r="AD224">
        <v>4.3440000000000003</v>
      </c>
      <c r="AE224">
        <v>4.3789999999999996</v>
      </c>
      <c r="AF224">
        <v>4.3620000000000001</v>
      </c>
      <c r="AG224">
        <v>4.3280000000000003</v>
      </c>
      <c r="AH224">
        <v>4.3319999999999999</v>
      </c>
      <c r="AI224">
        <v>0</v>
      </c>
      <c r="AJ224" s="2">
        <v>45195</v>
      </c>
      <c r="AK224">
        <v>3.6280000000000001</v>
      </c>
      <c r="AL224">
        <v>3.645</v>
      </c>
      <c r="AM224">
        <v>3.65</v>
      </c>
      <c r="AN224">
        <v>3.681</v>
      </c>
      <c r="AO224">
        <v>3.8260000000000001</v>
      </c>
      <c r="AP224">
        <v>3.895</v>
      </c>
      <c r="AQ224">
        <v>3.9609999999999999</v>
      </c>
      <c r="AR224">
        <v>3.984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2:52">
      <c r="B225" s="2">
        <v>45194</v>
      </c>
      <c r="C225">
        <v>3.4279999999999999</v>
      </c>
      <c r="D225">
        <v>3.6680000000000001</v>
      </c>
      <c r="E225">
        <v>3.5779999999999998</v>
      </c>
      <c r="F225">
        <v>3.6560000000000001</v>
      </c>
      <c r="G225">
        <v>3.8149999999999999</v>
      </c>
      <c r="H225">
        <v>3.8679999999999999</v>
      </c>
      <c r="I225">
        <v>3.883</v>
      </c>
      <c r="J225">
        <v>3.8809999999999998</v>
      </c>
      <c r="K225">
        <v>3.9380000000000002</v>
      </c>
      <c r="L225">
        <v>3.93</v>
      </c>
      <c r="M225">
        <v>4.0019999999999998</v>
      </c>
      <c r="N225">
        <v>4.0149999999999997</v>
      </c>
      <c r="O225">
        <v>3.9620000000000002</v>
      </c>
      <c r="P225">
        <v>3.9159999999999999</v>
      </c>
      <c r="Q225">
        <v>3.87</v>
      </c>
      <c r="R225">
        <v>3.8450000000000002</v>
      </c>
      <c r="S225" s="2">
        <v>45194</v>
      </c>
      <c r="T225">
        <v>3.8460000000000001</v>
      </c>
      <c r="U225">
        <v>3.9249999999999998</v>
      </c>
      <c r="V225">
        <v>3.9510000000000001</v>
      </c>
      <c r="W225">
        <v>3.9729999999999999</v>
      </c>
      <c r="X225">
        <v>4.1020000000000003</v>
      </c>
      <c r="Y225">
        <v>4.2169999999999996</v>
      </c>
      <c r="Z225">
        <v>4.2380000000000004</v>
      </c>
      <c r="AA225">
        <v>4.2670000000000003</v>
      </c>
      <c r="AB225">
        <v>4.2830000000000004</v>
      </c>
      <c r="AC225">
        <v>4.3120000000000003</v>
      </c>
      <c r="AD225">
        <v>4.3129999999999997</v>
      </c>
      <c r="AE225">
        <v>4.3380000000000001</v>
      </c>
      <c r="AF225">
        <v>4.319</v>
      </c>
      <c r="AG225">
        <v>4.2809999999999997</v>
      </c>
      <c r="AH225">
        <v>4.2869999999999999</v>
      </c>
      <c r="AI225">
        <v>0</v>
      </c>
      <c r="AJ225" s="2">
        <v>45194</v>
      </c>
      <c r="AK225">
        <v>3.6280000000000001</v>
      </c>
      <c r="AL225">
        <v>3.645</v>
      </c>
      <c r="AM225">
        <v>3.65</v>
      </c>
      <c r="AN225">
        <v>3.6779999999999999</v>
      </c>
      <c r="AO225">
        <v>3.82</v>
      </c>
      <c r="AP225">
        <v>3.8849999999999998</v>
      </c>
      <c r="AQ225">
        <v>3.95</v>
      </c>
      <c r="AR225">
        <v>3.9670000000000001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2:52">
      <c r="B226" s="2">
        <v>45191</v>
      </c>
      <c r="C226">
        <v>3.4279999999999999</v>
      </c>
      <c r="D226">
        <v>3.6659999999999999</v>
      </c>
      <c r="E226">
        <v>3.5750000000000002</v>
      </c>
      <c r="F226">
        <v>3.6459999999999999</v>
      </c>
      <c r="G226">
        <v>3.8149999999999999</v>
      </c>
      <c r="H226">
        <v>3.86</v>
      </c>
      <c r="I226">
        <v>3.875</v>
      </c>
      <c r="J226">
        <v>3.8660000000000001</v>
      </c>
      <c r="K226">
        <v>3.9279999999999999</v>
      </c>
      <c r="L226">
        <v>3.9119999999999999</v>
      </c>
      <c r="M226">
        <v>3.9849999999999999</v>
      </c>
      <c r="N226">
        <v>3.9950000000000001</v>
      </c>
      <c r="O226">
        <v>3.9340000000000002</v>
      </c>
      <c r="P226">
        <v>3.88</v>
      </c>
      <c r="Q226">
        <v>3.83</v>
      </c>
      <c r="R226">
        <v>3.8050000000000002</v>
      </c>
      <c r="S226" s="2">
        <v>45191</v>
      </c>
      <c r="T226">
        <v>3.8340000000000001</v>
      </c>
      <c r="U226">
        <v>3.9129999999999998</v>
      </c>
      <c r="V226">
        <v>3.9420000000000002</v>
      </c>
      <c r="W226">
        <v>3.968</v>
      </c>
      <c r="X226">
        <v>4.093</v>
      </c>
      <c r="Y226">
        <v>4.2050000000000001</v>
      </c>
      <c r="Z226">
        <v>4.22</v>
      </c>
      <c r="AA226">
        <v>4.242</v>
      </c>
      <c r="AB226">
        <v>4.2649999999999997</v>
      </c>
      <c r="AC226">
        <v>4.2859999999999996</v>
      </c>
      <c r="AD226">
        <v>4.29</v>
      </c>
      <c r="AE226">
        <v>4.3129999999999997</v>
      </c>
      <c r="AF226">
        <v>4.2880000000000003</v>
      </c>
      <c r="AG226">
        <v>4.2430000000000003</v>
      </c>
      <c r="AH226">
        <v>4.2450000000000001</v>
      </c>
      <c r="AI226">
        <v>0</v>
      </c>
      <c r="AJ226" s="2">
        <v>45191</v>
      </c>
      <c r="AK226">
        <v>3.6280000000000001</v>
      </c>
      <c r="AL226">
        <v>3.645</v>
      </c>
      <c r="AM226">
        <v>3.653</v>
      </c>
      <c r="AN226">
        <v>3.6779999999999999</v>
      </c>
      <c r="AO226">
        <v>3.82</v>
      </c>
      <c r="AP226">
        <v>3.883</v>
      </c>
      <c r="AQ226">
        <v>3.9449999999999998</v>
      </c>
      <c r="AR226">
        <v>3.95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2:52">
      <c r="B227" s="2">
        <v>45190</v>
      </c>
      <c r="C227">
        <v>3.4350000000000001</v>
      </c>
      <c r="D227">
        <v>3.69</v>
      </c>
      <c r="E227">
        <v>3.5979999999999999</v>
      </c>
      <c r="F227">
        <v>3.68</v>
      </c>
      <c r="G227">
        <v>3.8780000000000001</v>
      </c>
      <c r="H227">
        <v>3.9249999999999998</v>
      </c>
      <c r="I227">
        <v>3.9350000000000001</v>
      </c>
      <c r="J227">
        <v>3.9249999999999998</v>
      </c>
      <c r="K227">
        <v>3.9849999999999999</v>
      </c>
      <c r="L227">
        <v>3.96</v>
      </c>
      <c r="M227">
        <v>4.0270000000000001</v>
      </c>
      <c r="N227">
        <v>4.03</v>
      </c>
      <c r="O227">
        <v>3.9620000000000002</v>
      </c>
      <c r="P227">
        <v>3.9</v>
      </c>
      <c r="Q227">
        <v>3.8490000000000002</v>
      </c>
      <c r="R227">
        <v>3.8239999999999998</v>
      </c>
      <c r="S227" s="2">
        <v>45190</v>
      </c>
      <c r="T227">
        <v>3.8279999999999998</v>
      </c>
      <c r="U227">
        <v>3.907</v>
      </c>
      <c r="V227">
        <v>3.9409999999999998</v>
      </c>
      <c r="W227">
        <v>3.9710000000000001</v>
      </c>
      <c r="X227">
        <v>4.1180000000000003</v>
      </c>
      <c r="Y227">
        <v>4.242</v>
      </c>
      <c r="Z227">
        <v>4.266</v>
      </c>
      <c r="AA227">
        <v>4.2850000000000001</v>
      </c>
      <c r="AB227">
        <v>4.3049999999999997</v>
      </c>
      <c r="AC227">
        <v>4.319</v>
      </c>
      <c r="AD227">
        <v>4.3259999999999996</v>
      </c>
      <c r="AE227">
        <v>4.3520000000000003</v>
      </c>
      <c r="AF227">
        <v>4.32</v>
      </c>
      <c r="AG227">
        <v>4.2720000000000002</v>
      </c>
      <c r="AH227">
        <v>4.2729999999999997</v>
      </c>
      <c r="AI227">
        <v>0</v>
      </c>
      <c r="AJ227" s="2">
        <v>45190</v>
      </c>
      <c r="AK227">
        <v>3.6360000000000001</v>
      </c>
      <c r="AL227">
        <v>3.653</v>
      </c>
      <c r="AM227">
        <v>3.665</v>
      </c>
      <c r="AN227">
        <v>3.6859999999999999</v>
      </c>
      <c r="AO227">
        <v>3.8580000000000001</v>
      </c>
      <c r="AP227">
        <v>3.9350000000000001</v>
      </c>
      <c r="AQ227">
        <v>3.9990000000000001</v>
      </c>
      <c r="AR227">
        <v>4.008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2:52">
      <c r="B228" s="2">
        <v>45189</v>
      </c>
      <c r="C228">
        <v>3.4209999999999998</v>
      </c>
      <c r="D228">
        <v>3.6749999999999998</v>
      </c>
      <c r="E228">
        <v>3.58</v>
      </c>
      <c r="F228">
        <v>3.6549999999999998</v>
      </c>
      <c r="G228">
        <v>3.855</v>
      </c>
      <c r="H228">
        <v>3.8929999999999998</v>
      </c>
      <c r="I228">
        <v>3.9</v>
      </c>
      <c r="J228">
        <v>3.88</v>
      </c>
      <c r="K228">
        <v>3.93</v>
      </c>
      <c r="L228">
        <v>3.9039999999999999</v>
      </c>
      <c r="M228">
        <v>3.9609999999999999</v>
      </c>
      <c r="N228">
        <v>3.952</v>
      </c>
      <c r="O228">
        <v>3.899</v>
      </c>
      <c r="P228">
        <v>3.85</v>
      </c>
      <c r="Q228">
        <v>3.8050000000000002</v>
      </c>
      <c r="R228">
        <v>3.78</v>
      </c>
      <c r="S228" s="2">
        <v>45189</v>
      </c>
      <c r="T228">
        <v>3.8109999999999999</v>
      </c>
      <c r="U228">
        <v>3.8879999999999999</v>
      </c>
      <c r="V228">
        <v>3.919</v>
      </c>
      <c r="W228">
        <v>3.948</v>
      </c>
      <c r="X228">
        <v>4.093</v>
      </c>
      <c r="Y228">
        <v>4.2069999999999999</v>
      </c>
      <c r="Z228">
        <v>4.2300000000000004</v>
      </c>
      <c r="AA228">
        <v>4.2380000000000004</v>
      </c>
      <c r="AB228">
        <v>4.2480000000000002</v>
      </c>
      <c r="AC228">
        <v>4.2610000000000001</v>
      </c>
      <c r="AD228">
        <v>4.2610000000000001</v>
      </c>
      <c r="AE228">
        <v>4.2770000000000001</v>
      </c>
      <c r="AF228">
        <v>4.2560000000000002</v>
      </c>
      <c r="AG228">
        <v>4.2220000000000004</v>
      </c>
      <c r="AH228">
        <v>4.2290000000000001</v>
      </c>
      <c r="AI228">
        <v>0</v>
      </c>
      <c r="AJ228" s="2">
        <v>45189</v>
      </c>
      <c r="AK228">
        <v>3.621</v>
      </c>
      <c r="AL228">
        <v>3.6379999999999999</v>
      </c>
      <c r="AM228">
        <v>3.6459999999999999</v>
      </c>
      <c r="AN228">
        <v>3.6659999999999999</v>
      </c>
      <c r="AO228">
        <v>3.8380000000000001</v>
      </c>
      <c r="AP228">
        <v>3.9</v>
      </c>
      <c r="AQ228">
        <v>3.96</v>
      </c>
      <c r="AR228">
        <v>3.96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2:52">
      <c r="B229" s="2">
        <v>45188</v>
      </c>
      <c r="C229">
        <v>3.4209999999999998</v>
      </c>
      <c r="D229">
        <v>3.6749999999999998</v>
      </c>
      <c r="E229">
        <v>3.58</v>
      </c>
      <c r="F229">
        <v>3.65</v>
      </c>
      <c r="G229">
        <v>3.8610000000000002</v>
      </c>
      <c r="H229">
        <v>3.899</v>
      </c>
      <c r="I229">
        <v>3.9049999999999998</v>
      </c>
      <c r="J229">
        <v>3.8849999999999998</v>
      </c>
      <c r="K229">
        <v>3.9350000000000001</v>
      </c>
      <c r="L229">
        <v>3.91</v>
      </c>
      <c r="M229">
        <v>3.964</v>
      </c>
      <c r="N229">
        <v>3.952</v>
      </c>
      <c r="O229">
        <v>3.899</v>
      </c>
      <c r="P229">
        <v>3.85</v>
      </c>
      <c r="Q229">
        <v>3.8149999999999999</v>
      </c>
      <c r="R229">
        <v>3.79</v>
      </c>
      <c r="S229" s="2">
        <v>45188</v>
      </c>
      <c r="T229">
        <v>3.8039999999999998</v>
      </c>
      <c r="U229">
        <v>3.8820000000000001</v>
      </c>
      <c r="V229">
        <v>3.9119999999999999</v>
      </c>
      <c r="W229">
        <v>3.9430000000000001</v>
      </c>
      <c r="X229">
        <v>4.0979999999999999</v>
      </c>
      <c r="Y229">
        <v>4.21</v>
      </c>
      <c r="Z229">
        <v>4.2329999999999997</v>
      </c>
      <c r="AA229">
        <v>4.2430000000000003</v>
      </c>
      <c r="AB229">
        <v>4.2530000000000001</v>
      </c>
      <c r="AC229">
        <v>4.2670000000000003</v>
      </c>
      <c r="AD229">
        <v>4.2640000000000002</v>
      </c>
      <c r="AE229">
        <v>4.28</v>
      </c>
      <c r="AF229">
        <v>4.2619999999999996</v>
      </c>
      <c r="AG229">
        <v>4.2350000000000003</v>
      </c>
      <c r="AH229">
        <v>4.2430000000000003</v>
      </c>
      <c r="AI229">
        <v>0</v>
      </c>
      <c r="AJ229" s="2">
        <v>45188</v>
      </c>
      <c r="AK229">
        <v>3.621</v>
      </c>
      <c r="AL229">
        <v>3.6379999999999999</v>
      </c>
      <c r="AM229">
        <v>3.6459999999999999</v>
      </c>
      <c r="AN229">
        <v>3.6659999999999999</v>
      </c>
      <c r="AO229">
        <v>3.8450000000000002</v>
      </c>
      <c r="AP229">
        <v>3.9049999999999998</v>
      </c>
      <c r="AQ229">
        <v>3.9279999999999999</v>
      </c>
      <c r="AR229">
        <v>3.9649999999999999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2:52">
      <c r="B230" s="2">
        <v>45187</v>
      </c>
      <c r="C230">
        <v>3.423</v>
      </c>
      <c r="D230">
        <v>3.681</v>
      </c>
      <c r="E230">
        <v>3.58</v>
      </c>
      <c r="F230">
        <v>3.6459999999999999</v>
      </c>
      <c r="G230">
        <v>3.8769999999999998</v>
      </c>
      <c r="H230">
        <v>3.9079999999999999</v>
      </c>
      <c r="I230">
        <v>3.9129999999999998</v>
      </c>
      <c r="J230">
        <v>3.8940000000000001</v>
      </c>
      <c r="K230">
        <v>3.948</v>
      </c>
      <c r="L230">
        <v>3.93</v>
      </c>
      <c r="M230">
        <v>3.9849999999999999</v>
      </c>
      <c r="N230">
        <v>3.9750000000000001</v>
      </c>
      <c r="O230">
        <v>3.9140000000000001</v>
      </c>
      <c r="P230">
        <v>3.855</v>
      </c>
      <c r="Q230">
        <v>3.8149999999999999</v>
      </c>
      <c r="R230">
        <v>3.79</v>
      </c>
      <c r="S230" s="2">
        <v>45187</v>
      </c>
      <c r="T230">
        <v>3.8039999999999998</v>
      </c>
      <c r="U230">
        <v>3.88</v>
      </c>
      <c r="V230">
        <v>3.911</v>
      </c>
      <c r="W230">
        <v>3.9409999999999998</v>
      </c>
      <c r="X230">
        <v>4.1109999999999998</v>
      </c>
      <c r="Y230">
        <v>4.2190000000000003</v>
      </c>
      <c r="Z230">
        <v>4.24</v>
      </c>
      <c r="AA230">
        <v>4.2519999999999998</v>
      </c>
      <c r="AB230">
        <v>4.2670000000000003</v>
      </c>
      <c r="AC230">
        <v>4.2869999999999999</v>
      </c>
      <c r="AD230">
        <v>4.2859999999999996</v>
      </c>
      <c r="AE230">
        <v>4.3049999999999997</v>
      </c>
      <c r="AF230">
        <v>4.2770000000000001</v>
      </c>
      <c r="AG230">
        <v>4.24</v>
      </c>
      <c r="AH230">
        <v>4.2430000000000003</v>
      </c>
      <c r="AI230">
        <v>0</v>
      </c>
      <c r="AJ230" s="2">
        <v>45187</v>
      </c>
      <c r="AK230">
        <v>3.6230000000000002</v>
      </c>
      <c r="AL230">
        <v>3.6360000000000001</v>
      </c>
      <c r="AM230">
        <v>3.6480000000000001</v>
      </c>
      <c r="AN230">
        <v>3.67</v>
      </c>
      <c r="AO230">
        <v>3.86</v>
      </c>
      <c r="AP230">
        <v>3.9140000000000001</v>
      </c>
      <c r="AQ230">
        <v>3.9329999999999998</v>
      </c>
      <c r="AR230">
        <v>3.9550000000000001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2:52">
      <c r="B231" s="2">
        <v>45184</v>
      </c>
      <c r="C231">
        <v>3.41</v>
      </c>
      <c r="D231">
        <v>3.6680000000000001</v>
      </c>
      <c r="E231">
        <v>3.5859999999999999</v>
      </c>
      <c r="F231">
        <v>3.645</v>
      </c>
      <c r="G231">
        <v>3.851</v>
      </c>
      <c r="H231">
        <v>3.8650000000000002</v>
      </c>
      <c r="I231">
        <v>3.8719999999999999</v>
      </c>
      <c r="J231">
        <v>3.847</v>
      </c>
      <c r="K231">
        <v>3.8980000000000001</v>
      </c>
      <c r="L231">
        <v>3.879</v>
      </c>
      <c r="M231">
        <v>3.9369999999999998</v>
      </c>
      <c r="N231">
        <v>3.927</v>
      </c>
      <c r="O231">
        <v>3.87</v>
      </c>
      <c r="P231">
        <v>3.8149999999999999</v>
      </c>
      <c r="Q231">
        <v>3.7749999999999999</v>
      </c>
      <c r="R231">
        <v>3.75</v>
      </c>
      <c r="S231" s="2">
        <v>45184</v>
      </c>
      <c r="T231">
        <v>3.7959999999999998</v>
      </c>
      <c r="U231">
        <v>3.8530000000000002</v>
      </c>
      <c r="V231">
        <v>3.8820000000000001</v>
      </c>
      <c r="W231">
        <v>3.9140000000000001</v>
      </c>
      <c r="X231">
        <v>4.0750000000000002</v>
      </c>
      <c r="Y231">
        <v>4.1779999999999999</v>
      </c>
      <c r="Z231">
        <v>4.1970000000000001</v>
      </c>
      <c r="AA231">
        <v>4.2030000000000003</v>
      </c>
      <c r="AB231">
        <v>4.2149999999999999</v>
      </c>
      <c r="AC231">
        <v>4.2350000000000003</v>
      </c>
      <c r="AD231">
        <v>4.2359999999999998</v>
      </c>
      <c r="AE231">
        <v>4.2569999999999997</v>
      </c>
      <c r="AF231">
        <v>4.2329999999999997</v>
      </c>
      <c r="AG231">
        <v>4.2</v>
      </c>
      <c r="AH231">
        <v>4.2030000000000003</v>
      </c>
      <c r="AI231">
        <v>0</v>
      </c>
      <c r="AJ231" s="2">
        <v>45184</v>
      </c>
      <c r="AK231">
        <v>3.613</v>
      </c>
      <c r="AL231">
        <v>3.621</v>
      </c>
      <c r="AM231">
        <v>3.6309999999999998</v>
      </c>
      <c r="AN231">
        <v>3.65</v>
      </c>
      <c r="AO231">
        <v>3.83</v>
      </c>
      <c r="AP231">
        <v>3.875</v>
      </c>
      <c r="AQ231">
        <v>3.891</v>
      </c>
      <c r="AR231">
        <v>3.9119999999999999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2:52">
      <c r="B232" s="2">
        <v>45183</v>
      </c>
      <c r="C232">
        <v>3.41</v>
      </c>
      <c r="D232">
        <v>3.65</v>
      </c>
      <c r="E232">
        <v>3.5830000000000002</v>
      </c>
      <c r="F232">
        <v>3.64</v>
      </c>
      <c r="G232">
        <v>3.85</v>
      </c>
      <c r="H232">
        <v>3.855</v>
      </c>
      <c r="I232">
        <v>3.8620000000000001</v>
      </c>
      <c r="J232">
        <v>3.835</v>
      </c>
      <c r="K232">
        <v>3.883</v>
      </c>
      <c r="L232">
        <v>3.859</v>
      </c>
      <c r="M232">
        <v>3.9249999999999998</v>
      </c>
      <c r="N232">
        <v>3.9169999999999998</v>
      </c>
      <c r="O232">
        <v>3.8559999999999999</v>
      </c>
      <c r="P232">
        <v>3.794</v>
      </c>
      <c r="Q232">
        <v>3.7469999999999999</v>
      </c>
      <c r="R232">
        <v>3.722</v>
      </c>
      <c r="S232" s="2">
        <v>45183</v>
      </c>
      <c r="T232">
        <v>3.7879999999999998</v>
      </c>
      <c r="U232">
        <v>3.8450000000000002</v>
      </c>
      <c r="V232">
        <v>3.8740000000000001</v>
      </c>
      <c r="W232">
        <v>3.903</v>
      </c>
      <c r="X232">
        <v>4.0620000000000003</v>
      </c>
      <c r="Y232">
        <v>4.1580000000000004</v>
      </c>
      <c r="Z232">
        <v>4.18</v>
      </c>
      <c r="AA232">
        <v>4.1849999999999996</v>
      </c>
      <c r="AB232">
        <v>4.194</v>
      </c>
      <c r="AC232">
        <v>4.2140000000000004</v>
      </c>
      <c r="AD232">
        <v>4.2149999999999999</v>
      </c>
      <c r="AE232">
        <v>4.2469999999999999</v>
      </c>
      <c r="AF232">
        <v>4.2240000000000002</v>
      </c>
      <c r="AG232">
        <v>4.1849999999999996</v>
      </c>
      <c r="AH232">
        <v>4.1779999999999999</v>
      </c>
      <c r="AI232">
        <v>0</v>
      </c>
      <c r="AJ232" s="2">
        <v>45183</v>
      </c>
      <c r="AK232">
        <v>3.613</v>
      </c>
      <c r="AL232">
        <v>3.621</v>
      </c>
      <c r="AM232">
        <v>3.6309999999999998</v>
      </c>
      <c r="AN232">
        <v>3.65</v>
      </c>
      <c r="AO232">
        <v>3.8260000000000001</v>
      </c>
      <c r="AP232">
        <v>3.863</v>
      </c>
      <c r="AQ232">
        <v>3.875</v>
      </c>
      <c r="AR232">
        <v>3.895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2:52">
      <c r="B233" s="2">
        <v>45182</v>
      </c>
      <c r="C233">
        <v>3.4180000000000001</v>
      </c>
      <c r="D233">
        <v>3.6440000000000001</v>
      </c>
      <c r="E233">
        <v>3.5830000000000002</v>
      </c>
      <c r="F233">
        <v>3.6429999999999998</v>
      </c>
      <c r="G233">
        <v>3.8559999999999999</v>
      </c>
      <c r="H233">
        <v>3.8660000000000001</v>
      </c>
      <c r="I233">
        <v>3.8730000000000002</v>
      </c>
      <c r="J233">
        <v>3.85</v>
      </c>
      <c r="K233">
        <v>3.9020000000000001</v>
      </c>
      <c r="L233">
        <v>3.875</v>
      </c>
      <c r="M233">
        <v>3.9489999999999998</v>
      </c>
      <c r="N233">
        <v>3.9470000000000001</v>
      </c>
      <c r="O233">
        <v>3.88</v>
      </c>
      <c r="P233">
        <v>3.8109999999999999</v>
      </c>
      <c r="Q233">
        <v>3.78</v>
      </c>
      <c r="R233">
        <v>3.7549999999999999</v>
      </c>
      <c r="S233" s="2">
        <v>45182</v>
      </c>
      <c r="T233">
        <v>3.78</v>
      </c>
      <c r="U233">
        <v>3.835</v>
      </c>
      <c r="V233">
        <v>3.8650000000000002</v>
      </c>
      <c r="W233">
        <v>3.8940000000000001</v>
      </c>
      <c r="X233">
        <v>4.0659999999999998</v>
      </c>
      <c r="Y233">
        <v>4.1639999999999997</v>
      </c>
      <c r="Z233">
        <v>4.181</v>
      </c>
      <c r="AA233">
        <v>4.1890000000000001</v>
      </c>
      <c r="AB233">
        <v>4.2060000000000004</v>
      </c>
      <c r="AC233">
        <v>4.2279999999999998</v>
      </c>
      <c r="AD233">
        <v>4.2329999999999997</v>
      </c>
      <c r="AE233">
        <v>4.2770000000000001</v>
      </c>
      <c r="AF233">
        <v>4.2480000000000002</v>
      </c>
      <c r="AG233">
        <v>4.2030000000000003</v>
      </c>
      <c r="AH233">
        <v>4.2110000000000003</v>
      </c>
      <c r="AI233">
        <v>0</v>
      </c>
      <c r="AJ233" s="2">
        <v>45182</v>
      </c>
      <c r="AK233">
        <v>3.6110000000000002</v>
      </c>
      <c r="AL233">
        <v>3.62</v>
      </c>
      <c r="AM233">
        <v>3.6309999999999998</v>
      </c>
      <c r="AN233">
        <v>3.6509999999999998</v>
      </c>
      <c r="AO233">
        <v>3.84</v>
      </c>
      <c r="AP233">
        <v>3.88</v>
      </c>
      <c r="AQ233">
        <v>3.89</v>
      </c>
      <c r="AR233">
        <v>3.911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2:52">
      <c r="B234" s="2">
        <v>45181</v>
      </c>
      <c r="C234">
        <v>3.43</v>
      </c>
      <c r="D234">
        <v>3.6360000000000001</v>
      </c>
      <c r="E234">
        <v>3.58</v>
      </c>
      <c r="F234">
        <v>3.6429999999999998</v>
      </c>
      <c r="G234">
        <v>3.8660000000000001</v>
      </c>
      <c r="H234">
        <v>3.8780000000000001</v>
      </c>
      <c r="I234">
        <v>3.89</v>
      </c>
      <c r="J234">
        <v>3.8620000000000001</v>
      </c>
      <c r="K234">
        <v>3.9209999999999998</v>
      </c>
      <c r="L234">
        <v>3.887</v>
      </c>
      <c r="M234">
        <v>3.9660000000000002</v>
      </c>
      <c r="N234">
        <v>3.97</v>
      </c>
      <c r="O234">
        <v>3.9129999999999998</v>
      </c>
      <c r="P234">
        <v>3.851</v>
      </c>
      <c r="Q234">
        <v>3.8250000000000002</v>
      </c>
      <c r="R234">
        <v>3.8</v>
      </c>
      <c r="S234" s="2">
        <v>45181</v>
      </c>
      <c r="T234">
        <v>3.778</v>
      </c>
      <c r="U234">
        <v>3.8340000000000001</v>
      </c>
      <c r="V234">
        <v>3.8620000000000001</v>
      </c>
      <c r="W234">
        <v>3.89</v>
      </c>
      <c r="X234">
        <v>4.0659999999999998</v>
      </c>
      <c r="Y234">
        <v>4.1719999999999997</v>
      </c>
      <c r="Z234">
        <v>4.1970000000000001</v>
      </c>
      <c r="AA234">
        <v>4.2</v>
      </c>
      <c r="AB234">
        <v>4.2220000000000004</v>
      </c>
      <c r="AC234">
        <v>4.2380000000000004</v>
      </c>
      <c r="AD234">
        <v>4.2489999999999997</v>
      </c>
      <c r="AE234">
        <v>4.3</v>
      </c>
      <c r="AF234">
        <v>4.28</v>
      </c>
      <c r="AG234">
        <v>4.2430000000000003</v>
      </c>
      <c r="AH234">
        <v>4.2560000000000002</v>
      </c>
      <c r="AI234">
        <v>0</v>
      </c>
      <c r="AJ234" s="2">
        <v>45181</v>
      </c>
      <c r="AK234">
        <v>3.613</v>
      </c>
      <c r="AL234">
        <v>3.62</v>
      </c>
      <c r="AM234">
        <v>3.6349999999999998</v>
      </c>
      <c r="AN234">
        <v>3.6509999999999998</v>
      </c>
      <c r="AO234">
        <v>3.843</v>
      </c>
      <c r="AP234">
        <v>3.89</v>
      </c>
      <c r="AQ234">
        <v>3.9049999999999998</v>
      </c>
      <c r="AR234">
        <v>3.931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2:52">
      <c r="B235" s="2">
        <v>45180</v>
      </c>
      <c r="C235">
        <v>3.4359999999999999</v>
      </c>
      <c r="D235">
        <v>3.6280000000000001</v>
      </c>
      <c r="E235">
        <v>3.5750000000000002</v>
      </c>
      <c r="F235">
        <v>3.6360000000000001</v>
      </c>
      <c r="G235">
        <v>3.8769999999999998</v>
      </c>
      <c r="H235">
        <v>3.8740000000000001</v>
      </c>
      <c r="I235">
        <v>3.887</v>
      </c>
      <c r="J235">
        <v>3.86</v>
      </c>
      <c r="K235">
        <v>3.9159999999999999</v>
      </c>
      <c r="L235">
        <v>3.88</v>
      </c>
      <c r="M235">
        <v>3.9550000000000001</v>
      </c>
      <c r="N235">
        <v>3.9550000000000001</v>
      </c>
      <c r="O235">
        <v>3.9009999999999998</v>
      </c>
      <c r="P235">
        <v>3.8439999999999999</v>
      </c>
      <c r="Q235">
        <v>3.8170000000000002</v>
      </c>
      <c r="R235">
        <v>3.7919999999999998</v>
      </c>
      <c r="S235" s="2">
        <v>45180</v>
      </c>
      <c r="T235">
        <v>3.7709999999999999</v>
      </c>
      <c r="U235">
        <v>3.8260000000000001</v>
      </c>
      <c r="V235">
        <v>3.8519999999999999</v>
      </c>
      <c r="W235">
        <v>3.8849999999999998</v>
      </c>
      <c r="X235">
        <v>4.0640000000000001</v>
      </c>
      <c r="Y235">
        <v>4.1689999999999996</v>
      </c>
      <c r="Z235">
        <v>4.194</v>
      </c>
      <c r="AA235">
        <v>4.1980000000000004</v>
      </c>
      <c r="AB235">
        <v>4.218</v>
      </c>
      <c r="AC235">
        <v>4.2309999999999999</v>
      </c>
      <c r="AD235">
        <v>4.2389999999999999</v>
      </c>
      <c r="AE235">
        <v>4.2850000000000001</v>
      </c>
      <c r="AF235">
        <v>4.2690000000000001</v>
      </c>
      <c r="AG235">
        <v>4.2350000000000003</v>
      </c>
      <c r="AH235">
        <v>4.2480000000000002</v>
      </c>
      <c r="AI235">
        <v>0</v>
      </c>
      <c r="AJ235" s="2">
        <v>45180</v>
      </c>
      <c r="AK235">
        <v>3.6080000000000001</v>
      </c>
      <c r="AL235">
        <v>3.6150000000000002</v>
      </c>
      <c r="AM235">
        <v>3.6280000000000001</v>
      </c>
      <c r="AN235">
        <v>3.6459999999999999</v>
      </c>
      <c r="AO235">
        <v>3.8439999999999999</v>
      </c>
      <c r="AP235">
        <v>3.89</v>
      </c>
      <c r="AQ235">
        <v>3.9039999999999999</v>
      </c>
      <c r="AR235">
        <v>3.93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2:52">
      <c r="B236" s="2">
        <v>45177</v>
      </c>
      <c r="C236">
        <v>3.4630000000000001</v>
      </c>
      <c r="D236">
        <v>3.5049999999999999</v>
      </c>
      <c r="E236">
        <v>3.5880000000000001</v>
      </c>
      <c r="F236">
        <v>3.58</v>
      </c>
      <c r="G236">
        <v>3.7629999999999999</v>
      </c>
      <c r="H236">
        <v>3.823</v>
      </c>
      <c r="I236">
        <v>3.8210000000000002</v>
      </c>
      <c r="J236">
        <v>3.79</v>
      </c>
      <c r="K236">
        <v>3.8340000000000001</v>
      </c>
      <c r="L236">
        <v>3.83</v>
      </c>
      <c r="M236">
        <v>3.88</v>
      </c>
      <c r="N236">
        <v>3.8860000000000001</v>
      </c>
      <c r="O236">
        <v>3.8540000000000001</v>
      </c>
      <c r="P236">
        <v>3.8159999999999998</v>
      </c>
      <c r="Q236">
        <v>3.7549999999999999</v>
      </c>
      <c r="R236">
        <v>3.72</v>
      </c>
      <c r="S236" s="2">
        <v>45177</v>
      </c>
      <c r="T236">
        <v>3.7480000000000002</v>
      </c>
      <c r="U236">
        <v>3.8029999999999999</v>
      </c>
      <c r="V236">
        <v>3.8250000000000002</v>
      </c>
      <c r="W236">
        <v>3.8559999999999999</v>
      </c>
      <c r="X236">
        <v>4.0170000000000003</v>
      </c>
      <c r="Y236">
        <v>4.1050000000000004</v>
      </c>
      <c r="Z236">
        <v>4.1269999999999998</v>
      </c>
      <c r="AA236">
        <v>4.1269999999999998</v>
      </c>
      <c r="AB236">
        <v>4.1449999999999996</v>
      </c>
      <c r="AC236">
        <v>4.1529999999999996</v>
      </c>
      <c r="AD236">
        <v>4.1639999999999997</v>
      </c>
      <c r="AE236">
        <v>4.2160000000000002</v>
      </c>
      <c r="AF236">
        <v>4.2060000000000004</v>
      </c>
      <c r="AG236">
        <v>4.1760000000000002</v>
      </c>
      <c r="AH236">
        <v>4.1760000000000002</v>
      </c>
      <c r="AI236">
        <v>0</v>
      </c>
      <c r="AJ236" s="2">
        <v>45177</v>
      </c>
      <c r="AK236">
        <v>3.59</v>
      </c>
      <c r="AL236">
        <v>3.5960000000000001</v>
      </c>
      <c r="AM236">
        <v>3.6059999999999999</v>
      </c>
      <c r="AN236">
        <v>3.625</v>
      </c>
      <c r="AO236">
        <v>3.7989999999999999</v>
      </c>
      <c r="AP236">
        <v>3.83</v>
      </c>
      <c r="AQ236">
        <v>3.8380000000000001</v>
      </c>
      <c r="AR236">
        <v>3.855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2:52">
      <c r="B237" s="2">
        <v>45176</v>
      </c>
      <c r="C237">
        <v>3.49</v>
      </c>
      <c r="D237">
        <v>3.4950000000000001</v>
      </c>
      <c r="E237">
        <v>3.6179999999999999</v>
      </c>
      <c r="F237">
        <v>3.5830000000000002</v>
      </c>
      <c r="G237">
        <v>3.786</v>
      </c>
      <c r="H237">
        <v>3.859</v>
      </c>
      <c r="I237">
        <v>3.8650000000000002</v>
      </c>
      <c r="J237">
        <v>3.84</v>
      </c>
      <c r="K237">
        <v>3.8839999999999999</v>
      </c>
      <c r="L237">
        <v>3.8849999999999998</v>
      </c>
      <c r="M237">
        <v>3.95</v>
      </c>
      <c r="N237">
        <v>3.9649999999999999</v>
      </c>
      <c r="O237">
        <v>3.915</v>
      </c>
      <c r="P237">
        <v>3.86</v>
      </c>
      <c r="Q237">
        <v>3.8109999999999999</v>
      </c>
      <c r="R237">
        <v>3.7759999999999998</v>
      </c>
      <c r="S237" s="2">
        <v>45176</v>
      </c>
      <c r="T237">
        <v>3.75</v>
      </c>
      <c r="U237">
        <v>3.8079999999999998</v>
      </c>
      <c r="V237">
        <v>3.8330000000000002</v>
      </c>
      <c r="W237">
        <v>3.8690000000000002</v>
      </c>
      <c r="X237">
        <v>4.0570000000000004</v>
      </c>
      <c r="Y237">
        <v>4.1379999999999999</v>
      </c>
      <c r="Z237">
        <v>4.1669999999999998</v>
      </c>
      <c r="AA237">
        <v>4.1710000000000003</v>
      </c>
      <c r="AB237">
        <v>4.1920000000000002</v>
      </c>
      <c r="AC237">
        <v>4.2060000000000004</v>
      </c>
      <c r="AD237">
        <v>4.2309999999999999</v>
      </c>
      <c r="AE237">
        <v>4.2930000000000001</v>
      </c>
      <c r="AF237">
        <v>4.2670000000000003</v>
      </c>
      <c r="AG237">
        <v>4.2190000000000003</v>
      </c>
      <c r="AH237">
        <v>4.2320000000000002</v>
      </c>
      <c r="AI237">
        <v>0</v>
      </c>
      <c r="AJ237" s="2">
        <v>45176</v>
      </c>
      <c r="AK237">
        <v>3.5960000000000001</v>
      </c>
      <c r="AL237">
        <v>3.6059999999999999</v>
      </c>
      <c r="AM237">
        <v>3.6179999999999999</v>
      </c>
      <c r="AN237">
        <v>3.6349999999999998</v>
      </c>
      <c r="AO237">
        <v>3.8439999999999999</v>
      </c>
      <c r="AP237">
        <v>3.867</v>
      </c>
      <c r="AQ237">
        <v>3.8809999999999998</v>
      </c>
      <c r="AR237">
        <v>3.903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2:52">
      <c r="B238" s="2">
        <v>45175</v>
      </c>
      <c r="C238">
        <v>3.49</v>
      </c>
      <c r="D238">
        <v>3.45</v>
      </c>
      <c r="E238">
        <v>3.6179999999999999</v>
      </c>
      <c r="F238">
        <v>3.5449999999999999</v>
      </c>
      <c r="G238">
        <v>3.7519999999999998</v>
      </c>
      <c r="H238">
        <v>3.8</v>
      </c>
      <c r="I238">
        <v>3.7970000000000002</v>
      </c>
      <c r="J238">
        <v>3.7749999999999999</v>
      </c>
      <c r="K238">
        <v>3.8220000000000001</v>
      </c>
      <c r="L238">
        <v>3.8250000000000002</v>
      </c>
      <c r="M238">
        <v>3.89</v>
      </c>
      <c r="N238">
        <v>3.9049999999999998</v>
      </c>
      <c r="O238">
        <v>3.8679999999999999</v>
      </c>
      <c r="P238">
        <v>3.8260000000000001</v>
      </c>
      <c r="Q238">
        <v>3.7770000000000001</v>
      </c>
      <c r="R238">
        <v>3.742</v>
      </c>
      <c r="S238" s="2">
        <v>45175</v>
      </c>
      <c r="T238">
        <v>3.7330000000000001</v>
      </c>
      <c r="U238">
        <v>3.7909999999999999</v>
      </c>
      <c r="V238">
        <v>3.8130000000000002</v>
      </c>
      <c r="W238">
        <v>3.8439999999999999</v>
      </c>
      <c r="X238">
        <v>4.0090000000000003</v>
      </c>
      <c r="Y238">
        <v>4.08</v>
      </c>
      <c r="Z238">
        <v>4.0979999999999999</v>
      </c>
      <c r="AA238">
        <v>4.1050000000000004</v>
      </c>
      <c r="AB238">
        <v>4.13</v>
      </c>
      <c r="AC238">
        <v>4.1479999999999997</v>
      </c>
      <c r="AD238">
        <v>4.1769999999999996</v>
      </c>
      <c r="AE238">
        <v>4.2389999999999999</v>
      </c>
      <c r="AF238">
        <v>4.2210000000000001</v>
      </c>
      <c r="AG238">
        <v>4.1859999999999999</v>
      </c>
      <c r="AH238">
        <v>4.1980000000000004</v>
      </c>
      <c r="AI238">
        <v>0</v>
      </c>
      <c r="AJ238" s="2">
        <v>45175</v>
      </c>
      <c r="AK238">
        <v>3.58</v>
      </c>
      <c r="AL238">
        <v>3.59</v>
      </c>
      <c r="AM238">
        <v>3.5979999999999999</v>
      </c>
      <c r="AN238">
        <v>3.6110000000000002</v>
      </c>
      <c r="AO238">
        <v>3.7949999999999999</v>
      </c>
      <c r="AP238">
        <v>3.8090000000000002</v>
      </c>
      <c r="AQ238">
        <v>3.8170000000000002</v>
      </c>
      <c r="AR238">
        <v>3.8370000000000002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2:52">
      <c r="B239" s="2">
        <v>45174</v>
      </c>
      <c r="C239">
        <v>3.4929999999999999</v>
      </c>
      <c r="D239">
        <v>3.4129999999999998</v>
      </c>
      <c r="E239">
        <v>3.6349999999999998</v>
      </c>
      <c r="F239">
        <v>3.5110000000000001</v>
      </c>
      <c r="G239">
        <v>3.7440000000000002</v>
      </c>
      <c r="H239">
        <v>3.8</v>
      </c>
      <c r="I239">
        <v>3.7829999999999999</v>
      </c>
      <c r="J239">
        <v>3.7650000000000001</v>
      </c>
      <c r="K239">
        <v>3.8119999999999998</v>
      </c>
      <c r="L239">
        <v>3.8149999999999999</v>
      </c>
      <c r="M239">
        <v>3.8780000000000001</v>
      </c>
      <c r="N239">
        <v>3.887</v>
      </c>
      <c r="O239">
        <v>3.8479999999999999</v>
      </c>
      <c r="P239">
        <v>3.8050000000000002</v>
      </c>
      <c r="Q239">
        <v>3.742</v>
      </c>
      <c r="R239">
        <v>3.7069999999999999</v>
      </c>
      <c r="S239" s="2">
        <v>45174</v>
      </c>
      <c r="T239">
        <v>3.73</v>
      </c>
      <c r="U239">
        <v>3.79</v>
      </c>
      <c r="V239">
        <v>3.8119999999999998</v>
      </c>
      <c r="W239">
        <v>3.8420000000000001</v>
      </c>
      <c r="X239">
        <v>4.0010000000000003</v>
      </c>
      <c r="Y239">
        <v>4.0679999999999996</v>
      </c>
      <c r="Z239">
        <v>4.0839999999999996</v>
      </c>
      <c r="AA239">
        <v>4.0949999999999998</v>
      </c>
      <c r="AB239">
        <v>4.1189999999999998</v>
      </c>
      <c r="AC239">
        <v>4.1369999999999996</v>
      </c>
      <c r="AD239">
        <v>4.165</v>
      </c>
      <c r="AE239">
        <v>4.2210000000000001</v>
      </c>
      <c r="AF239">
        <v>4.2009999999999996</v>
      </c>
      <c r="AG239">
        <v>4.1639999999999997</v>
      </c>
      <c r="AH239">
        <v>4.1630000000000003</v>
      </c>
      <c r="AI239">
        <v>0</v>
      </c>
      <c r="AJ239" s="2">
        <v>45174</v>
      </c>
      <c r="AK239">
        <v>3.58</v>
      </c>
      <c r="AL239">
        <v>3.59</v>
      </c>
      <c r="AM239">
        <v>3.5979999999999999</v>
      </c>
      <c r="AN239">
        <v>3.6080000000000001</v>
      </c>
      <c r="AO239">
        <v>3.7879999999999998</v>
      </c>
      <c r="AP239">
        <v>3.7970000000000002</v>
      </c>
      <c r="AQ239">
        <v>3.81</v>
      </c>
      <c r="AR239">
        <v>3.83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2:52">
      <c r="B240" s="2">
        <v>45173</v>
      </c>
      <c r="C240">
        <v>3.4860000000000002</v>
      </c>
      <c r="D240">
        <v>3.4060000000000001</v>
      </c>
      <c r="E240">
        <v>3.6150000000000002</v>
      </c>
      <c r="F240">
        <v>3.5129999999999999</v>
      </c>
      <c r="G240">
        <v>3.7330000000000001</v>
      </c>
      <c r="H240">
        <v>3.7530000000000001</v>
      </c>
      <c r="I240">
        <v>3.7429999999999999</v>
      </c>
      <c r="J240">
        <v>3.7320000000000002</v>
      </c>
      <c r="K240">
        <v>3.774</v>
      </c>
      <c r="L240">
        <v>3.7749999999999999</v>
      </c>
      <c r="M240">
        <v>3.8420000000000001</v>
      </c>
      <c r="N240">
        <v>3.855</v>
      </c>
      <c r="O240">
        <v>3.8109999999999999</v>
      </c>
      <c r="P240">
        <v>3.762</v>
      </c>
      <c r="Q240">
        <v>3.7170000000000001</v>
      </c>
      <c r="R240">
        <v>3.6819999999999999</v>
      </c>
      <c r="S240" s="2">
        <v>45173</v>
      </c>
      <c r="T240">
        <v>3.72</v>
      </c>
      <c r="U240">
        <v>3.7810000000000001</v>
      </c>
      <c r="V240">
        <v>3.8069999999999999</v>
      </c>
      <c r="W240">
        <v>3.835</v>
      </c>
      <c r="X240">
        <v>3.9780000000000002</v>
      </c>
      <c r="Y240">
        <v>4.0369999999999999</v>
      </c>
      <c r="Z240">
        <v>4.0449999999999999</v>
      </c>
      <c r="AA240">
        <v>4.0609999999999999</v>
      </c>
      <c r="AB240">
        <v>4.0810000000000004</v>
      </c>
      <c r="AC240">
        <v>4.0970000000000004</v>
      </c>
      <c r="AD240">
        <v>4.1319999999999997</v>
      </c>
      <c r="AE240">
        <v>4.1900000000000004</v>
      </c>
      <c r="AF240">
        <v>4.165</v>
      </c>
      <c r="AG240">
        <v>4.1210000000000004</v>
      </c>
      <c r="AH240">
        <v>4.1379999999999999</v>
      </c>
      <c r="AI240">
        <v>0</v>
      </c>
      <c r="AJ240" s="2">
        <v>45173</v>
      </c>
      <c r="AK240">
        <v>3.573</v>
      </c>
      <c r="AL240">
        <v>3.585</v>
      </c>
      <c r="AM240">
        <v>3.593</v>
      </c>
      <c r="AN240">
        <v>3.605</v>
      </c>
      <c r="AO240">
        <v>3.7650000000000001</v>
      </c>
      <c r="AP240">
        <v>3.7650000000000001</v>
      </c>
      <c r="AQ240">
        <v>3.7789999999999999</v>
      </c>
      <c r="AR240">
        <v>3.8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2:52">
      <c r="B241" s="2">
        <v>45170</v>
      </c>
      <c r="C241">
        <v>3.4729999999999999</v>
      </c>
      <c r="D241">
        <v>3.383</v>
      </c>
      <c r="E241">
        <v>3.581</v>
      </c>
      <c r="F241">
        <v>3.4929999999999999</v>
      </c>
      <c r="G241">
        <v>3.6960000000000002</v>
      </c>
      <c r="H241">
        <v>3.7080000000000002</v>
      </c>
      <c r="I241">
        <v>3.6949999999999998</v>
      </c>
      <c r="J241">
        <v>3.6869999999999998</v>
      </c>
      <c r="K241">
        <v>3.722</v>
      </c>
      <c r="L241">
        <v>3.7149999999999999</v>
      </c>
      <c r="M241">
        <v>3.778</v>
      </c>
      <c r="N241">
        <v>3.78</v>
      </c>
      <c r="O241">
        <v>3.754</v>
      </c>
      <c r="P241">
        <v>3.72</v>
      </c>
      <c r="Q241">
        <v>3.6859999999999999</v>
      </c>
      <c r="R241">
        <v>3.6509999999999998</v>
      </c>
      <c r="S241" s="2">
        <v>45170</v>
      </c>
      <c r="T241">
        <v>3.7080000000000002</v>
      </c>
      <c r="U241">
        <v>3.7679999999999998</v>
      </c>
      <c r="V241">
        <v>3.7919999999999998</v>
      </c>
      <c r="W241">
        <v>3.8170000000000002</v>
      </c>
      <c r="X241">
        <v>3.94</v>
      </c>
      <c r="Y241">
        <v>3.996</v>
      </c>
      <c r="Z241">
        <v>3.9969999999999999</v>
      </c>
      <c r="AA241">
        <v>4.016</v>
      </c>
      <c r="AB241">
        <v>4.0309999999999997</v>
      </c>
      <c r="AC241">
        <v>4.0419999999999998</v>
      </c>
      <c r="AD241">
        <v>4.0720000000000001</v>
      </c>
      <c r="AE241">
        <v>4.1180000000000003</v>
      </c>
      <c r="AF241">
        <v>4.1070000000000002</v>
      </c>
      <c r="AG241">
        <v>4.0789999999999997</v>
      </c>
      <c r="AH241">
        <v>4.1059999999999999</v>
      </c>
      <c r="AI241">
        <v>0</v>
      </c>
      <c r="AJ241" s="2">
        <v>45170</v>
      </c>
      <c r="AK241">
        <v>3.5579999999999998</v>
      </c>
      <c r="AL241">
        <v>3.5680000000000001</v>
      </c>
      <c r="AM241">
        <v>3.5750000000000002</v>
      </c>
      <c r="AN241">
        <v>3.5830000000000002</v>
      </c>
      <c r="AO241">
        <v>3.7250000000000001</v>
      </c>
      <c r="AP241">
        <v>3.7240000000000002</v>
      </c>
      <c r="AQ241">
        <v>3.734</v>
      </c>
      <c r="AR241">
        <v>3.7549999999999999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2:52">
      <c r="B242" s="2">
        <v>45169</v>
      </c>
      <c r="C242">
        <v>3.4729999999999999</v>
      </c>
      <c r="D242">
        <v>3.383</v>
      </c>
      <c r="E242">
        <v>3.5760000000000001</v>
      </c>
      <c r="F242">
        <v>3.508</v>
      </c>
      <c r="G242">
        <v>3.7050000000000001</v>
      </c>
      <c r="H242">
        <v>3.72</v>
      </c>
      <c r="I242">
        <v>3.7130000000000001</v>
      </c>
      <c r="J242">
        <v>3.7170000000000001</v>
      </c>
      <c r="K242">
        <v>3.7629999999999999</v>
      </c>
      <c r="L242">
        <v>3.7549999999999999</v>
      </c>
      <c r="M242">
        <v>3.82</v>
      </c>
      <c r="N242">
        <v>3.8250000000000002</v>
      </c>
      <c r="O242">
        <v>3.8010000000000002</v>
      </c>
      <c r="P242">
        <v>3.77</v>
      </c>
      <c r="Q242">
        <v>3.7349999999999999</v>
      </c>
      <c r="R242">
        <v>3.7</v>
      </c>
      <c r="S242" s="2">
        <v>45169</v>
      </c>
      <c r="T242">
        <v>3.7080000000000002</v>
      </c>
      <c r="U242">
        <v>3.766</v>
      </c>
      <c r="V242">
        <v>3.7919999999999998</v>
      </c>
      <c r="W242">
        <v>3.8159999999999998</v>
      </c>
      <c r="X242">
        <v>3.9470000000000001</v>
      </c>
      <c r="Y242">
        <v>4.0140000000000002</v>
      </c>
      <c r="Z242">
        <v>4.0140000000000002</v>
      </c>
      <c r="AA242">
        <v>4.0460000000000003</v>
      </c>
      <c r="AB242">
        <v>4.0720000000000001</v>
      </c>
      <c r="AC242">
        <v>4.0830000000000002</v>
      </c>
      <c r="AD242">
        <v>4.1159999999999997</v>
      </c>
      <c r="AE242">
        <v>4.1630000000000003</v>
      </c>
      <c r="AF242">
        <v>4.1529999999999996</v>
      </c>
      <c r="AG242">
        <v>4.1289999999999996</v>
      </c>
      <c r="AH242">
        <v>4.1550000000000002</v>
      </c>
      <c r="AI242">
        <v>0</v>
      </c>
      <c r="AJ242" s="2">
        <v>45169</v>
      </c>
      <c r="AK242">
        <v>3.5579999999999998</v>
      </c>
      <c r="AL242">
        <v>3.5680000000000001</v>
      </c>
      <c r="AM242">
        <v>3.5750000000000002</v>
      </c>
      <c r="AN242">
        <v>3.585</v>
      </c>
      <c r="AO242">
        <v>3.7349999999999999</v>
      </c>
      <c r="AP242">
        <v>3.74</v>
      </c>
      <c r="AQ242">
        <v>3.754</v>
      </c>
      <c r="AR242">
        <v>3.7850000000000001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2:52">
      <c r="B243" s="2">
        <v>45168</v>
      </c>
      <c r="C243">
        <v>3.476</v>
      </c>
      <c r="D243">
        <v>3.383</v>
      </c>
      <c r="E243">
        <v>3.5760000000000001</v>
      </c>
      <c r="F243">
        <v>3.5110000000000001</v>
      </c>
      <c r="G243">
        <v>3.73</v>
      </c>
      <c r="H243">
        <v>3.74</v>
      </c>
      <c r="I243">
        <v>3.738</v>
      </c>
      <c r="J243">
        <v>3.74</v>
      </c>
      <c r="K243">
        <v>3.7890000000000001</v>
      </c>
      <c r="L243">
        <v>3.7850000000000001</v>
      </c>
      <c r="M243">
        <v>3.851</v>
      </c>
      <c r="N243">
        <v>3.8570000000000002</v>
      </c>
      <c r="O243">
        <v>3.8420000000000001</v>
      </c>
      <c r="P243">
        <v>3.8149999999999999</v>
      </c>
      <c r="Q243">
        <v>3.7839999999999998</v>
      </c>
      <c r="R243">
        <v>3.7490000000000001</v>
      </c>
      <c r="S243" s="2">
        <v>45168</v>
      </c>
      <c r="T243">
        <v>3.718</v>
      </c>
      <c r="U243">
        <v>3.7709999999999999</v>
      </c>
      <c r="V243">
        <v>3.7949999999999999</v>
      </c>
      <c r="W243">
        <v>3.8210000000000002</v>
      </c>
      <c r="X243">
        <v>3.9590000000000001</v>
      </c>
      <c r="Y243">
        <v>4.03</v>
      </c>
      <c r="Z243">
        <v>4.0330000000000004</v>
      </c>
      <c r="AA243">
        <v>4.0670000000000002</v>
      </c>
      <c r="AB243">
        <v>4.0970000000000004</v>
      </c>
      <c r="AC243">
        <v>4.1120000000000001</v>
      </c>
      <c r="AD243">
        <v>4.1449999999999996</v>
      </c>
      <c r="AE243">
        <v>4.1950000000000003</v>
      </c>
      <c r="AF243">
        <v>4.194</v>
      </c>
      <c r="AG243">
        <v>4.1740000000000004</v>
      </c>
      <c r="AH243">
        <v>4.2039999999999997</v>
      </c>
      <c r="AI243">
        <v>0</v>
      </c>
      <c r="AJ243" s="2">
        <v>45168</v>
      </c>
      <c r="AK243">
        <v>3.5630000000000002</v>
      </c>
      <c r="AL243">
        <v>3.5750000000000002</v>
      </c>
      <c r="AM243">
        <v>3.581</v>
      </c>
      <c r="AN243">
        <v>3.593</v>
      </c>
      <c r="AO243">
        <v>3.7480000000000002</v>
      </c>
      <c r="AP243">
        <v>3.76</v>
      </c>
      <c r="AQ243">
        <v>3.778</v>
      </c>
      <c r="AR243">
        <v>3.8109999999999999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2:52">
      <c r="B244" s="2">
        <v>45167</v>
      </c>
      <c r="C244">
        <v>3.476</v>
      </c>
      <c r="D244">
        <v>3.383</v>
      </c>
      <c r="E244">
        <v>3.5760000000000001</v>
      </c>
      <c r="F244">
        <v>3.516</v>
      </c>
      <c r="G244">
        <v>3.7330000000000001</v>
      </c>
      <c r="H244">
        <v>3.7509999999999999</v>
      </c>
      <c r="I244">
        <v>3.7490000000000001</v>
      </c>
      <c r="J244">
        <v>3.74</v>
      </c>
      <c r="K244">
        <v>3.7869999999999999</v>
      </c>
      <c r="L244">
        <v>3.78</v>
      </c>
      <c r="M244">
        <v>3.8439999999999999</v>
      </c>
      <c r="N244">
        <v>3.8450000000000002</v>
      </c>
      <c r="O244">
        <v>3.8359999999999999</v>
      </c>
      <c r="P244">
        <v>3.8149999999999999</v>
      </c>
      <c r="Q244">
        <v>3.78</v>
      </c>
      <c r="R244">
        <v>3.7450000000000001</v>
      </c>
      <c r="S244" s="2">
        <v>45167</v>
      </c>
      <c r="T244">
        <v>3.7160000000000002</v>
      </c>
      <c r="U244">
        <v>3.7679999999999998</v>
      </c>
      <c r="V244">
        <v>3.794</v>
      </c>
      <c r="W244">
        <v>3.8180000000000001</v>
      </c>
      <c r="X244">
        <v>3.9620000000000002</v>
      </c>
      <c r="Y244">
        <v>4.0359999999999996</v>
      </c>
      <c r="Z244">
        <v>4.0410000000000004</v>
      </c>
      <c r="AA244">
        <v>4.07</v>
      </c>
      <c r="AB244">
        <v>4.0940000000000003</v>
      </c>
      <c r="AC244">
        <v>4.1070000000000002</v>
      </c>
      <c r="AD244">
        <v>4.1369999999999996</v>
      </c>
      <c r="AE244">
        <v>4.1840000000000002</v>
      </c>
      <c r="AF244">
        <v>4.1879999999999997</v>
      </c>
      <c r="AG244">
        <v>4.1749999999999998</v>
      </c>
      <c r="AH244">
        <v>4.2</v>
      </c>
      <c r="AI244">
        <v>0</v>
      </c>
      <c r="AJ244" s="2">
        <v>45167</v>
      </c>
      <c r="AK244">
        <v>3.5609999999999999</v>
      </c>
      <c r="AL244">
        <v>3.5750000000000002</v>
      </c>
      <c r="AM244">
        <v>3.5830000000000002</v>
      </c>
      <c r="AN244">
        <v>3.5950000000000002</v>
      </c>
      <c r="AO244">
        <v>3.7549999999999999</v>
      </c>
      <c r="AP244">
        <v>3.7669999999999999</v>
      </c>
      <c r="AQ244">
        <v>3.7869999999999999</v>
      </c>
      <c r="AR244">
        <v>3.82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2:52">
      <c r="B245" s="2">
        <v>45166</v>
      </c>
      <c r="C245">
        <v>3.476</v>
      </c>
      <c r="D245">
        <v>3.3879999999999999</v>
      </c>
      <c r="E245">
        <v>3.5760000000000001</v>
      </c>
      <c r="F245">
        <v>3.5329999999999999</v>
      </c>
      <c r="G245">
        <v>3.7450000000000001</v>
      </c>
      <c r="H245">
        <v>3.7650000000000001</v>
      </c>
      <c r="I245">
        <v>3.7669999999999999</v>
      </c>
      <c r="J245">
        <v>3.76</v>
      </c>
      <c r="K245">
        <v>3.8079999999999998</v>
      </c>
      <c r="L245">
        <v>3.7949999999999999</v>
      </c>
      <c r="M245">
        <v>3.8650000000000002</v>
      </c>
      <c r="N245">
        <v>3.8719999999999999</v>
      </c>
      <c r="O245">
        <v>3.86</v>
      </c>
      <c r="P245">
        <v>3.835</v>
      </c>
      <c r="Q245">
        <v>3.8</v>
      </c>
      <c r="R245">
        <v>3.7650000000000001</v>
      </c>
      <c r="S245" s="2">
        <v>45166</v>
      </c>
      <c r="T245">
        <v>3.7130000000000001</v>
      </c>
      <c r="U245">
        <v>3.7650000000000001</v>
      </c>
      <c r="V245">
        <v>3.7890000000000001</v>
      </c>
      <c r="W245">
        <v>3.8149999999999999</v>
      </c>
      <c r="X245">
        <v>3.9660000000000002</v>
      </c>
      <c r="Y245">
        <v>4.05</v>
      </c>
      <c r="Z245">
        <v>4.0590000000000002</v>
      </c>
      <c r="AA245">
        <v>4.0890000000000004</v>
      </c>
      <c r="AB245">
        <v>4.1150000000000002</v>
      </c>
      <c r="AC245">
        <v>4.1239999999999997</v>
      </c>
      <c r="AD245">
        <v>4.16</v>
      </c>
      <c r="AE245">
        <v>4.2110000000000003</v>
      </c>
      <c r="AF245">
        <v>4.2119999999999997</v>
      </c>
      <c r="AG245">
        <v>4.194</v>
      </c>
      <c r="AH245">
        <v>4.22</v>
      </c>
      <c r="AI245">
        <v>0</v>
      </c>
      <c r="AJ245" s="2">
        <v>45166</v>
      </c>
      <c r="AK245">
        <v>3.5609999999999999</v>
      </c>
      <c r="AL245">
        <v>3.5750000000000002</v>
      </c>
      <c r="AM245">
        <v>3.5830000000000002</v>
      </c>
      <c r="AN245">
        <v>3.5950000000000002</v>
      </c>
      <c r="AO245">
        <v>3.7559999999999998</v>
      </c>
      <c r="AP245">
        <v>3.78</v>
      </c>
      <c r="AQ245">
        <v>3.802</v>
      </c>
      <c r="AR245">
        <v>3.8380000000000001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2:52">
      <c r="B246" s="2">
        <v>45163</v>
      </c>
      <c r="C246">
        <v>3.48</v>
      </c>
      <c r="D246">
        <v>3.391</v>
      </c>
      <c r="E246">
        <v>3.58</v>
      </c>
      <c r="F246">
        <v>3.5430000000000001</v>
      </c>
      <c r="G246">
        <v>3.76</v>
      </c>
      <c r="H246">
        <v>3.7829999999999999</v>
      </c>
      <c r="I246">
        <v>3.7879999999999998</v>
      </c>
      <c r="J246">
        <v>3.79</v>
      </c>
      <c r="K246">
        <v>3.8530000000000002</v>
      </c>
      <c r="L246">
        <v>3.8420000000000001</v>
      </c>
      <c r="M246">
        <v>3.919</v>
      </c>
      <c r="N246">
        <v>3.9329999999999998</v>
      </c>
      <c r="O246">
        <v>3.9129999999999998</v>
      </c>
      <c r="P246">
        <v>3.88</v>
      </c>
      <c r="Q246">
        <v>3.8370000000000002</v>
      </c>
      <c r="R246">
        <v>3.802</v>
      </c>
      <c r="S246" s="2">
        <v>45163</v>
      </c>
      <c r="T246">
        <v>3.7130000000000001</v>
      </c>
      <c r="U246">
        <v>3.7650000000000001</v>
      </c>
      <c r="V246">
        <v>3.7879999999999998</v>
      </c>
      <c r="W246">
        <v>3.8149999999999999</v>
      </c>
      <c r="X246">
        <v>3.9809999999999999</v>
      </c>
      <c r="Y246">
        <v>4.0670000000000002</v>
      </c>
      <c r="Z246">
        <v>4.08</v>
      </c>
      <c r="AA246">
        <v>4.1189999999999998</v>
      </c>
      <c r="AB246">
        <v>4.16</v>
      </c>
      <c r="AC246">
        <v>4.17</v>
      </c>
      <c r="AD246">
        <v>4.2130000000000001</v>
      </c>
      <c r="AE246">
        <v>4.2720000000000002</v>
      </c>
      <c r="AF246">
        <v>4.2649999999999997</v>
      </c>
      <c r="AG246">
        <v>4.2389999999999999</v>
      </c>
      <c r="AH246">
        <v>4.2569999999999997</v>
      </c>
      <c r="AI246">
        <v>0</v>
      </c>
      <c r="AJ246" s="2">
        <v>45163</v>
      </c>
      <c r="AK246">
        <v>3.5649999999999999</v>
      </c>
      <c r="AL246">
        <v>3.5779999999999998</v>
      </c>
      <c r="AM246">
        <v>3.5859999999999999</v>
      </c>
      <c r="AN246">
        <v>3.5979999999999999</v>
      </c>
      <c r="AO246">
        <v>3.7709999999999999</v>
      </c>
      <c r="AP246">
        <v>3.7989999999999999</v>
      </c>
      <c r="AQ246">
        <v>3.827</v>
      </c>
      <c r="AR246">
        <v>3.8719999999999999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2:52">
      <c r="B247" s="2">
        <v>45162</v>
      </c>
      <c r="C247">
        <v>3.4830000000000001</v>
      </c>
      <c r="D247">
        <v>3.4060000000000001</v>
      </c>
      <c r="E247">
        <v>3.5710000000000002</v>
      </c>
      <c r="F247">
        <v>3.5310000000000001</v>
      </c>
      <c r="G247">
        <v>3.7349999999999999</v>
      </c>
      <c r="H247">
        <v>3.7549999999999999</v>
      </c>
      <c r="I247">
        <v>3.7610000000000001</v>
      </c>
      <c r="J247">
        <v>3.754</v>
      </c>
      <c r="K247">
        <v>3.8130000000000002</v>
      </c>
      <c r="L247">
        <v>3.8</v>
      </c>
      <c r="M247">
        <v>3.87</v>
      </c>
      <c r="N247">
        <v>3.8769999999999998</v>
      </c>
      <c r="O247">
        <v>3.8650000000000002</v>
      </c>
      <c r="P247">
        <v>3.84</v>
      </c>
      <c r="Q247">
        <v>3.794</v>
      </c>
      <c r="R247">
        <v>3.7589999999999999</v>
      </c>
      <c r="S247" s="2">
        <v>45162</v>
      </c>
      <c r="T247">
        <v>3.7109999999999999</v>
      </c>
      <c r="U247">
        <v>3.7610000000000001</v>
      </c>
      <c r="V247">
        <v>3.7839999999999998</v>
      </c>
      <c r="W247">
        <v>3.8050000000000002</v>
      </c>
      <c r="X247">
        <v>3.9550000000000001</v>
      </c>
      <c r="Y247">
        <v>4.0389999999999997</v>
      </c>
      <c r="Z247">
        <v>4.0529999999999999</v>
      </c>
      <c r="AA247">
        <v>4.0830000000000002</v>
      </c>
      <c r="AB247">
        <v>4.1219999999999999</v>
      </c>
      <c r="AC247">
        <v>4.1269999999999998</v>
      </c>
      <c r="AD247">
        <v>4.1639999999999997</v>
      </c>
      <c r="AE247">
        <v>4.2149999999999999</v>
      </c>
      <c r="AF247">
        <v>4.2169999999999996</v>
      </c>
      <c r="AG247">
        <v>4.1989999999999998</v>
      </c>
      <c r="AH247">
        <v>4.2140000000000004</v>
      </c>
      <c r="AI247">
        <v>0</v>
      </c>
      <c r="AJ247" s="2">
        <v>45162</v>
      </c>
      <c r="AK247">
        <v>3.5630000000000002</v>
      </c>
      <c r="AL247">
        <v>3.5750000000000002</v>
      </c>
      <c r="AM247">
        <v>3.581</v>
      </c>
      <c r="AN247">
        <v>3.589</v>
      </c>
      <c r="AO247">
        <v>3.746</v>
      </c>
      <c r="AP247">
        <v>3.7709999999999999</v>
      </c>
      <c r="AQ247">
        <v>3.7989999999999999</v>
      </c>
      <c r="AR247">
        <v>3.8439999999999999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2:52">
      <c r="B248" s="2">
        <v>45161</v>
      </c>
      <c r="C248">
        <v>3.49</v>
      </c>
      <c r="D248">
        <v>3.4329999999999998</v>
      </c>
      <c r="E248">
        <v>3.5649999999999999</v>
      </c>
      <c r="F248">
        <v>3.5230000000000001</v>
      </c>
      <c r="G248">
        <v>3.7389999999999999</v>
      </c>
      <c r="H248">
        <v>3.7650000000000001</v>
      </c>
      <c r="I248">
        <v>3.7749999999999999</v>
      </c>
      <c r="J248">
        <v>3.77</v>
      </c>
      <c r="K248">
        <v>3.8239999999999998</v>
      </c>
      <c r="L248">
        <v>3.8210000000000002</v>
      </c>
      <c r="M248">
        <v>3.9039999999999999</v>
      </c>
      <c r="N248">
        <v>3.92</v>
      </c>
      <c r="O248">
        <v>3.9039999999999999</v>
      </c>
      <c r="P248">
        <v>3.875</v>
      </c>
      <c r="Q248">
        <v>3.8149999999999999</v>
      </c>
      <c r="R248">
        <v>3.78</v>
      </c>
      <c r="S248" s="2">
        <v>45161</v>
      </c>
      <c r="T248">
        <v>3.718</v>
      </c>
      <c r="U248">
        <v>3.766</v>
      </c>
      <c r="V248">
        <v>3.7890000000000001</v>
      </c>
      <c r="W248">
        <v>3.8109999999999999</v>
      </c>
      <c r="X248">
        <v>3.9649999999999999</v>
      </c>
      <c r="Y248">
        <v>4.048</v>
      </c>
      <c r="Z248">
        <v>4.0679999999999996</v>
      </c>
      <c r="AA248">
        <v>4.0990000000000002</v>
      </c>
      <c r="AB248">
        <v>4.1360000000000001</v>
      </c>
      <c r="AC248">
        <v>4.1539999999999999</v>
      </c>
      <c r="AD248">
        <v>4.2009999999999996</v>
      </c>
      <c r="AE248">
        <v>4.258</v>
      </c>
      <c r="AF248">
        <v>4.2560000000000002</v>
      </c>
      <c r="AG248">
        <v>4.234</v>
      </c>
      <c r="AH248">
        <v>4.2359999999999998</v>
      </c>
      <c r="AI248">
        <v>0</v>
      </c>
      <c r="AJ248" s="2">
        <v>45161</v>
      </c>
      <c r="AK248">
        <v>3.5680000000000001</v>
      </c>
      <c r="AL248">
        <v>3.58</v>
      </c>
      <c r="AM248">
        <v>3.5859999999999999</v>
      </c>
      <c r="AN248">
        <v>3.5950000000000002</v>
      </c>
      <c r="AO248">
        <v>3.754</v>
      </c>
      <c r="AP248">
        <v>3.78</v>
      </c>
      <c r="AQ248">
        <v>3.81</v>
      </c>
      <c r="AR248">
        <v>3.855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2:52">
      <c r="B249" s="2">
        <v>45160</v>
      </c>
      <c r="C249">
        <v>3.5</v>
      </c>
      <c r="D249">
        <v>3.4430000000000001</v>
      </c>
      <c r="E249">
        <v>3.5750000000000002</v>
      </c>
      <c r="F249">
        <v>3.5179999999999998</v>
      </c>
      <c r="G249">
        <v>3.7509999999999999</v>
      </c>
      <c r="H249">
        <v>3.7839999999999998</v>
      </c>
      <c r="I249">
        <v>3.7959999999999998</v>
      </c>
      <c r="J249">
        <v>3.798</v>
      </c>
      <c r="K249">
        <v>3.859</v>
      </c>
      <c r="L249">
        <v>3.8650000000000002</v>
      </c>
      <c r="M249">
        <v>3.9580000000000002</v>
      </c>
      <c r="N249">
        <v>3.984</v>
      </c>
      <c r="O249">
        <v>3.956</v>
      </c>
      <c r="P249">
        <v>3.9169999999999998</v>
      </c>
      <c r="Q249">
        <v>3.855</v>
      </c>
      <c r="R249">
        <v>3.82</v>
      </c>
      <c r="S249" s="2">
        <v>45160</v>
      </c>
      <c r="T249">
        <v>3.7229999999999999</v>
      </c>
      <c r="U249">
        <v>3.7709999999999999</v>
      </c>
      <c r="V249">
        <v>3.7959999999999998</v>
      </c>
      <c r="W249">
        <v>3.823</v>
      </c>
      <c r="X249">
        <v>3.9860000000000002</v>
      </c>
      <c r="Y249">
        <v>4.069</v>
      </c>
      <c r="Z249">
        <v>4.09</v>
      </c>
      <c r="AA249">
        <v>4.1289999999999996</v>
      </c>
      <c r="AB249">
        <v>4.17</v>
      </c>
      <c r="AC249">
        <v>4.1959999999999997</v>
      </c>
      <c r="AD249">
        <v>4.2549999999999999</v>
      </c>
      <c r="AE249">
        <v>4.3220000000000001</v>
      </c>
      <c r="AF249">
        <v>4.3079999999999998</v>
      </c>
      <c r="AG249">
        <v>4.2770000000000001</v>
      </c>
      <c r="AH249">
        <v>4.2770000000000001</v>
      </c>
      <c r="AI249">
        <v>0</v>
      </c>
      <c r="AJ249" s="2">
        <v>45160</v>
      </c>
      <c r="AK249">
        <v>3.5750000000000002</v>
      </c>
      <c r="AL249">
        <v>3.5859999999999999</v>
      </c>
      <c r="AM249">
        <v>3.5950000000000002</v>
      </c>
      <c r="AN249">
        <v>3.6059999999999999</v>
      </c>
      <c r="AO249">
        <v>3.7749999999999999</v>
      </c>
      <c r="AP249">
        <v>3.802</v>
      </c>
      <c r="AQ249">
        <v>3.835</v>
      </c>
      <c r="AR249">
        <v>3.8809999999999998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2:52">
      <c r="B250" s="2">
        <v>45159</v>
      </c>
      <c r="C250">
        <v>3.4980000000000002</v>
      </c>
      <c r="D250">
        <v>3.44</v>
      </c>
      <c r="E250">
        <v>3.57</v>
      </c>
      <c r="F250">
        <v>3.51</v>
      </c>
      <c r="G250">
        <v>3.7450000000000001</v>
      </c>
      <c r="H250">
        <v>3.7749999999999999</v>
      </c>
      <c r="I250">
        <v>3.79</v>
      </c>
      <c r="J250">
        <v>3.79</v>
      </c>
      <c r="K250">
        <v>3.851</v>
      </c>
      <c r="L250">
        <v>3.8570000000000002</v>
      </c>
      <c r="M250">
        <v>3.9460000000000002</v>
      </c>
      <c r="N250">
        <v>3.9670000000000001</v>
      </c>
      <c r="O250">
        <v>3.9239999999999999</v>
      </c>
      <c r="P250">
        <v>3.867</v>
      </c>
      <c r="Q250">
        <v>3.8039999999999998</v>
      </c>
      <c r="R250">
        <v>3.7690000000000001</v>
      </c>
      <c r="S250" s="2">
        <v>45159</v>
      </c>
      <c r="T250">
        <v>3.72</v>
      </c>
      <c r="U250">
        <v>3.766</v>
      </c>
      <c r="V250">
        <v>3.7909999999999999</v>
      </c>
      <c r="W250">
        <v>3.8180000000000001</v>
      </c>
      <c r="X250">
        <v>3.972</v>
      </c>
      <c r="Y250">
        <v>4.0529999999999999</v>
      </c>
      <c r="Z250">
        <v>4.0839999999999996</v>
      </c>
      <c r="AA250">
        <v>4.1210000000000004</v>
      </c>
      <c r="AB250">
        <v>4.1630000000000003</v>
      </c>
      <c r="AC250">
        <v>4.1879999999999997</v>
      </c>
      <c r="AD250">
        <v>4.2430000000000003</v>
      </c>
      <c r="AE250">
        <v>4.3049999999999997</v>
      </c>
      <c r="AF250">
        <v>4.2759999999999998</v>
      </c>
      <c r="AG250">
        <v>4.2270000000000003</v>
      </c>
      <c r="AH250">
        <v>4.226</v>
      </c>
      <c r="AI250">
        <v>0</v>
      </c>
      <c r="AJ250" s="2">
        <v>45159</v>
      </c>
      <c r="AK250">
        <v>3.573</v>
      </c>
      <c r="AL250">
        <v>3.5830000000000002</v>
      </c>
      <c r="AM250">
        <v>3.5910000000000002</v>
      </c>
      <c r="AN250">
        <v>3.6030000000000002</v>
      </c>
      <c r="AO250">
        <v>3.7639999999999998</v>
      </c>
      <c r="AP250">
        <v>3.7850000000000001</v>
      </c>
      <c r="AQ250">
        <v>3.8260000000000001</v>
      </c>
      <c r="AR250">
        <v>3.875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2:52">
      <c r="B251" s="2">
        <v>45156</v>
      </c>
      <c r="C251">
        <v>3.4849999999999999</v>
      </c>
      <c r="D251">
        <v>3.423</v>
      </c>
      <c r="E251">
        <v>3.5430000000000001</v>
      </c>
      <c r="F251">
        <v>3.4860000000000002</v>
      </c>
      <c r="G251">
        <v>3.7</v>
      </c>
      <c r="H251">
        <v>3.7250000000000001</v>
      </c>
      <c r="I251">
        <v>3.7349999999999999</v>
      </c>
      <c r="J251">
        <v>3.726</v>
      </c>
      <c r="K251">
        <v>3.79</v>
      </c>
      <c r="L251">
        <v>3.7959999999999998</v>
      </c>
      <c r="M251">
        <v>3.8839999999999999</v>
      </c>
      <c r="N251">
        <v>3.9049999999999998</v>
      </c>
      <c r="O251">
        <v>3.8740000000000001</v>
      </c>
      <c r="P251">
        <v>3.8260000000000001</v>
      </c>
      <c r="Q251">
        <v>3.7749999999999999</v>
      </c>
      <c r="R251">
        <v>3.74</v>
      </c>
      <c r="S251" s="2">
        <v>45156</v>
      </c>
      <c r="T251">
        <v>3.706</v>
      </c>
      <c r="U251">
        <v>3.7509999999999999</v>
      </c>
      <c r="V251">
        <v>3.7730000000000001</v>
      </c>
      <c r="W251">
        <v>3.7930000000000001</v>
      </c>
      <c r="X251">
        <v>3.9340000000000002</v>
      </c>
      <c r="Y251">
        <v>4.0069999999999997</v>
      </c>
      <c r="Z251">
        <v>4.0289999999999999</v>
      </c>
      <c r="AA251">
        <v>4.0570000000000004</v>
      </c>
      <c r="AB251">
        <v>4.101</v>
      </c>
      <c r="AC251">
        <v>4.1280000000000001</v>
      </c>
      <c r="AD251">
        <v>4.181</v>
      </c>
      <c r="AE251">
        <v>4.2430000000000003</v>
      </c>
      <c r="AF251">
        <v>4.226</v>
      </c>
      <c r="AG251">
        <v>4.1870000000000003</v>
      </c>
      <c r="AH251">
        <v>4.1970000000000001</v>
      </c>
      <c r="AI251">
        <v>0</v>
      </c>
      <c r="AJ251" s="2">
        <v>45156</v>
      </c>
      <c r="AK251">
        <v>3.56</v>
      </c>
      <c r="AL251">
        <v>3.5680000000000001</v>
      </c>
      <c r="AM251">
        <v>3.5720000000000001</v>
      </c>
      <c r="AN251">
        <v>3.5760000000000001</v>
      </c>
      <c r="AO251">
        <v>3.7250000000000001</v>
      </c>
      <c r="AP251">
        <v>3.74</v>
      </c>
      <c r="AQ251">
        <v>3.7690000000000001</v>
      </c>
      <c r="AR251">
        <v>3.81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2:52">
      <c r="B252" s="2">
        <v>45155</v>
      </c>
      <c r="C252">
        <v>3.4950000000000001</v>
      </c>
      <c r="D252">
        <v>3.4329999999999998</v>
      </c>
      <c r="E252">
        <v>3.55</v>
      </c>
      <c r="F252">
        <v>3.4929999999999999</v>
      </c>
      <c r="G252">
        <v>3.73</v>
      </c>
      <c r="H252">
        <v>3.7749999999999999</v>
      </c>
      <c r="I252">
        <v>3.79</v>
      </c>
      <c r="J252">
        <v>3.782</v>
      </c>
      <c r="K252">
        <v>3.85</v>
      </c>
      <c r="L252">
        <v>3.8610000000000002</v>
      </c>
      <c r="M252">
        <v>3.9430000000000001</v>
      </c>
      <c r="N252">
        <v>3.9630000000000001</v>
      </c>
      <c r="O252">
        <v>3.9319999999999999</v>
      </c>
      <c r="P252">
        <v>3.8849999999999998</v>
      </c>
      <c r="Q252">
        <v>3.835</v>
      </c>
      <c r="R252">
        <v>3.8</v>
      </c>
      <c r="S252" s="2">
        <v>45155</v>
      </c>
      <c r="T252">
        <v>3.7109999999999999</v>
      </c>
      <c r="U252">
        <v>3.758</v>
      </c>
      <c r="V252">
        <v>3.7850000000000001</v>
      </c>
      <c r="W252">
        <v>3.8130000000000002</v>
      </c>
      <c r="X252">
        <v>3.9670000000000001</v>
      </c>
      <c r="Y252">
        <v>4.05</v>
      </c>
      <c r="Z252">
        <v>4.085</v>
      </c>
      <c r="AA252">
        <v>4.1150000000000002</v>
      </c>
      <c r="AB252">
        <v>4.1609999999999996</v>
      </c>
      <c r="AC252">
        <v>4.194</v>
      </c>
      <c r="AD252">
        <v>4.2409999999999997</v>
      </c>
      <c r="AE252">
        <v>4.3010000000000002</v>
      </c>
      <c r="AF252">
        <v>4.2839999999999998</v>
      </c>
      <c r="AG252">
        <v>4.2460000000000004</v>
      </c>
      <c r="AH252">
        <v>4.2569999999999997</v>
      </c>
      <c r="AI252">
        <v>0</v>
      </c>
      <c r="AJ252" s="2">
        <v>45155</v>
      </c>
      <c r="AK252">
        <v>3.57</v>
      </c>
      <c r="AL252">
        <v>3.58</v>
      </c>
      <c r="AM252">
        <v>3.5880000000000001</v>
      </c>
      <c r="AN252">
        <v>3.5960000000000001</v>
      </c>
      <c r="AO252">
        <v>3.7639999999999998</v>
      </c>
      <c r="AP252">
        <v>3.7839999999999998</v>
      </c>
      <c r="AQ252">
        <v>3.823</v>
      </c>
      <c r="AR252">
        <v>3.87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2:52">
      <c r="B253" s="2">
        <v>45154</v>
      </c>
      <c r="C253">
        <v>3.4780000000000002</v>
      </c>
      <c r="D253">
        <v>3.4159999999999999</v>
      </c>
      <c r="E253">
        <v>3.5329999999999999</v>
      </c>
      <c r="F253">
        <v>3.4609999999999999</v>
      </c>
      <c r="G253">
        <v>3.6850000000000001</v>
      </c>
      <c r="H253">
        <v>3.7189999999999999</v>
      </c>
      <c r="I253">
        <v>3.7160000000000002</v>
      </c>
      <c r="J253">
        <v>3.7010000000000001</v>
      </c>
      <c r="K253">
        <v>3.7570000000000001</v>
      </c>
      <c r="L253">
        <v>3.7570000000000001</v>
      </c>
      <c r="M253">
        <v>3.8420000000000001</v>
      </c>
      <c r="N253">
        <v>3.8610000000000002</v>
      </c>
      <c r="O253">
        <v>3.839</v>
      </c>
      <c r="P253">
        <v>3.8</v>
      </c>
      <c r="Q253">
        <v>3.77</v>
      </c>
      <c r="R253">
        <v>3.7349999999999999</v>
      </c>
      <c r="S253" s="2">
        <v>45154</v>
      </c>
      <c r="T253">
        <v>3.7</v>
      </c>
      <c r="U253">
        <v>3.74</v>
      </c>
      <c r="V253">
        <v>3.76</v>
      </c>
      <c r="W253">
        <v>3.7850000000000001</v>
      </c>
      <c r="X253">
        <v>3.9249999999999998</v>
      </c>
      <c r="Y253">
        <v>3.9969999999999999</v>
      </c>
      <c r="Z253">
        <v>4.0179999999999998</v>
      </c>
      <c r="AA253">
        <v>4.0330000000000004</v>
      </c>
      <c r="AB253">
        <v>4.0730000000000004</v>
      </c>
      <c r="AC253">
        <v>4.0990000000000002</v>
      </c>
      <c r="AD253">
        <v>4.1500000000000004</v>
      </c>
      <c r="AE253">
        <v>4.2089999999999996</v>
      </c>
      <c r="AF253">
        <v>4.1920000000000002</v>
      </c>
      <c r="AG253">
        <v>4.1619999999999999</v>
      </c>
      <c r="AH253">
        <v>4.1920000000000002</v>
      </c>
      <c r="AI253">
        <v>0</v>
      </c>
      <c r="AJ253" s="2">
        <v>45154</v>
      </c>
      <c r="AK253">
        <v>3.5550000000000002</v>
      </c>
      <c r="AL253">
        <v>3.5609999999999999</v>
      </c>
      <c r="AM253">
        <v>3.5630000000000002</v>
      </c>
      <c r="AN253">
        <v>3.5680000000000001</v>
      </c>
      <c r="AO253">
        <v>3.72</v>
      </c>
      <c r="AP253">
        <v>3.7280000000000002</v>
      </c>
      <c r="AQ253">
        <v>3.7530000000000001</v>
      </c>
      <c r="AR253">
        <v>3.79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2:52">
      <c r="B254" s="2">
        <v>45152</v>
      </c>
      <c r="C254">
        <v>3.4849999999999999</v>
      </c>
      <c r="D254">
        <v>3.4260000000000002</v>
      </c>
      <c r="E254">
        <v>3.5379999999999998</v>
      </c>
      <c r="F254">
        <v>3.4710000000000001</v>
      </c>
      <c r="G254">
        <v>3.7050000000000001</v>
      </c>
      <c r="H254">
        <v>3.7530000000000001</v>
      </c>
      <c r="I254">
        <v>3.76</v>
      </c>
      <c r="J254">
        <v>3.7490000000000001</v>
      </c>
      <c r="K254">
        <v>3.7989999999999999</v>
      </c>
      <c r="L254">
        <v>3.8</v>
      </c>
      <c r="M254">
        <v>3.8820000000000001</v>
      </c>
      <c r="N254">
        <v>3.9</v>
      </c>
      <c r="O254">
        <v>3.8730000000000002</v>
      </c>
      <c r="P254">
        <v>3.827</v>
      </c>
      <c r="Q254">
        <v>3.7850000000000001</v>
      </c>
      <c r="R254">
        <v>3.75</v>
      </c>
      <c r="S254" s="2">
        <v>45152</v>
      </c>
      <c r="T254">
        <v>3.706</v>
      </c>
      <c r="U254">
        <v>3.75</v>
      </c>
      <c r="V254">
        <v>3.7789999999999999</v>
      </c>
      <c r="W254">
        <v>3.8109999999999999</v>
      </c>
      <c r="X254">
        <v>3.964</v>
      </c>
      <c r="Y254">
        <v>4.0410000000000004</v>
      </c>
      <c r="Z254">
        <v>4.0640000000000001</v>
      </c>
      <c r="AA254">
        <v>4.0810000000000004</v>
      </c>
      <c r="AB254">
        <v>4.117</v>
      </c>
      <c r="AC254">
        <v>4.1440000000000001</v>
      </c>
      <c r="AD254">
        <v>4.1920000000000002</v>
      </c>
      <c r="AE254">
        <v>4.2480000000000002</v>
      </c>
      <c r="AF254">
        <v>4.226</v>
      </c>
      <c r="AG254">
        <v>4.1890000000000001</v>
      </c>
      <c r="AH254">
        <v>4.2069999999999999</v>
      </c>
      <c r="AI254">
        <v>0</v>
      </c>
      <c r="AJ254" s="2">
        <v>45152</v>
      </c>
      <c r="AK254">
        <v>3.5609999999999999</v>
      </c>
      <c r="AL254">
        <v>3.573</v>
      </c>
      <c r="AM254">
        <v>3.5830000000000002</v>
      </c>
      <c r="AN254">
        <v>3.5979999999999999</v>
      </c>
      <c r="AO254">
        <v>3.7639999999999998</v>
      </c>
      <c r="AP254">
        <v>3.77</v>
      </c>
      <c r="AQ254">
        <v>3.7949999999999999</v>
      </c>
      <c r="AR254">
        <v>3.8340000000000001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2:52">
      <c r="B255" s="2">
        <v>45149</v>
      </c>
      <c r="C255">
        <v>3.49</v>
      </c>
      <c r="D255">
        <v>3.4449999999999998</v>
      </c>
      <c r="E255">
        <v>3.5459999999999998</v>
      </c>
      <c r="F255">
        <v>3.468</v>
      </c>
      <c r="G255">
        <v>3.6859999999999999</v>
      </c>
      <c r="H255">
        <v>3.7149999999999999</v>
      </c>
      <c r="I255">
        <v>3.7149999999999999</v>
      </c>
      <c r="J255">
        <v>3.6949999999999998</v>
      </c>
      <c r="K255">
        <v>3.7389999999999999</v>
      </c>
      <c r="L255">
        <v>3.73</v>
      </c>
      <c r="M255">
        <v>3.8119999999999998</v>
      </c>
      <c r="N255">
        <v>3.82</v>
      </c>
      <c r="O255">
        <v>3.8</v>
      </c>
      <c r="P255">
        <v>3.762</v>
      </c>
      <c r="Q255">
        <v>3.73</v>
      </c>
      <c r="R255">
        <v>3.6949999999999998</v>
      </c>
      <c r="S255" s="2">
        <v>45149</v>
      </c>
      <c r="T255">
        <v>3.6989999999999998</v>
      </c>
      <c r="U255">
        <v>3.74</v>
      </c>
      <c r="V255">
        <v>3.7690000000000001</v>
      </c>
      <c r="W255">
        <v>3.8010000000000002</v>
      </c>
      <c r="X255">
        <v>3.9350000000000001</v>
      </c>
      <c r="Y255">
        <v>4.008</v>
      </c>
      <c r="Z255">
        <v>4.0199999999999996</v>
      </c>
      <c r="AA255">
        <v>4.032</v>
      </c>
      <c r="AB255">
        <v>4.0620000000000003</v>
      </c>
      <c r="AC255">
        <v>4.0810000000000004</v>
      </c>
      <c r="AD255">
        <v>4.1230000000000002</v>
      </c>
      <c r="AE255">
        <v>4.1680000000000001</v>
      </c>
      <c r="AF255">
        <v>4.1539999999999999</v>
      </c>
      <c r="AG255">
        <v>4.1239999999999997</v>
      </c>
      <c r="AH255">
        <v>4.1509999999999998</v>
      </c>
      <c r="AI255">
        <v>0</v>
      </c>
      <c r="AJ255" s="2">
        <v>45149</v>
      </c>
      <c r="AK255">
        <v>3.552</v>
      </c>
      <c r="AL255">
        <v>3.5630000000000002</v>
      </c>
      <c r="AM255">
        <v>3.573</v>
      </c>
      <c r="AN255">
        <v>3.5880000000000001</v>
      </c>
      <c r="AO255">
        <v>3.7330000000000001</v>
      </c>
      <c r="AP255">
        <v>3.7349999999999999</v>
      </c>
      <c r="AQ255">
        <v>3.7519999999999998</v>
      </c>
      <c r="AR255">
        <v>3.78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2:52">
      <c r="B256" s="2">
        <v>45148</v>
      </c>
      <c r="C256">
        <v>3.49</v>
      </c>
      <c r="D256">
        <v>3.4449999999999998</v>
      </c>
      <c r="E256">
        <v>3.5459999999999998</v>
      </c>
      <c r="F256">
        <v>3.468</v>
      </c>
      <c r="G256">
        <v>3.6829999999999998</v>
      </c>
      <c r="H256">
        <v>3.714</v>
      </c>
      <c r="I256">
        <v>3.706</v>
      </c>
      <c r="J256">
        <v>3.677</v>
      </c>
      <c r="K256">
        <v>3.7149999999999999</v>
      </c>
      <c r="L256">
        <v>3.7050000000000001</v>
      </c>
      <c r="M256">
        <v>3.78</v>
      </c>
      <c r="N256">
        <v>3.78</v>
      </c>
      <c r="O256">
        <v>3.7570000000000001</v>
      </c>
      <c r="P256">
        <v>3.7170000000000001</v>
      </c>
      <c r="Q256">
        <v>3.6850000000000001</v>
      </c>
      <c r="R256">
        <v>3.66</v>
      </c>
      <c r="S256" s="2">
        <v>45148</v>
      </c>
      <c r="T256">
        <v>3.6989999999999998</v>
      </c>
      <c r="U256">
        <v>3.738</v>
      </c>
      <c r="V256">
        <v>3.762</v>
      </c>
      <c r="W256">
        <v>3.7970000000000002</v>
      </c>
      <c r="X256">
        <v>3.9289999999999998</v>
      </c>
      <c r="Y256">
        <v>3.9990000000000001</v>
      </c>
      <c r="Z256">
        <v>4.0119999999999996</v>
      </c>
      <c r="AA256">
        <v>4.0170000000000003</v>
      </c>
      <c r="AB256">
        <v>4.04</v>
      </c>
      <c r="AC256">
        <v>4.0570000000000004</v>
      </c>
      <c r="AD256">
        <v>4.0910000000000002</v>
      </c>
      <c r="AE256">
        <v>4.1280000000000001</v>
      </c>
      <c r="AF256">
        <v>4.1100000000000003</v>
      </c>
      <c r="AG256">
        <v>4.0789999999999997</v>
      </c>
      <c r="AH256">
        <v>4.1059999999999999</v>
      </c>
      <c r="AI256">
        <v>0</v>
      </c>
      <c r="AJ256" s="2">
        <v>45148</v>
      </c>
      <c r="AK256">
        <v>3.55</v>
      </c>
      <c r="AL256">
        <v>3.56</v>
      </c>
      <c r="AM256">
        <v>3.569</v>
      </c>
      <c r="AN256">
        <v>3.5840000000000001</v>
      </c>
      <c r="AO256">
        <v>3.722</v>
      </c>
      <c r="AP256">
        <v>3.7229999999999999</v>
      </c>
      <c r="AQ256">
        <v>3.7389999999999999</v>
      </c>
      <c r="AR256">
        <v>3.7650000000000001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6"/>
  <sheetViews>
    <sheetView topLeftCell="M1" workbookViewId="0">
      <selection activeCell="B4" sqref="B4"/>
    </sheetView>
  </sheetViews>
  <sheetFormatPr defaultColWidth="8.7109375" defaultRowHeight="15"/>
  <cols>
    <col min="1" max="1" width="10" customWidth="1"/>
    <col min="2" max="2" width="10.5703125" customWidth="1"/>
    <col min="3" max="3" width="11.140625" bestFit="1" customWidth="1"/>
    <col min="4" max="4" width="11" customWidth="1"/>
    <col min="5" max="5" width="11.140625" bestFit="1" customWidth="1"/>
    <col min="14" max="14" width="11.140625" bestFit="1" customWidth="1"/>
    <col min="18" max="18" width="10.140625" customWidth="1"/>
    <col min="20" max="20" width="2.140625" customWidth="1"/>
    <col min="21" max="21" width="11.140625" customWidth="1"/>
    <col min="22" max="23" width="11.140625" bestFit="1" customWidth="1"/>
    <col min="24" max="24" width="11.42578125" customWidth="1"/>
    <col min="67" max="67" width="10.85546875" bestFit="1" customWidth="1"/>
    <col min="72" max="72" width="10.42578125" customWidth="1"/>
    <col min="77" max="77" width="11.28515625" customWidth="1"/>
    <col min="82" max="82" width="10.42578125" customWidth="1"/>
    <col min="87" max="87" width="11.140625" customWidth="1"/>
  </cols>
  <sheetData>
    <row r="1" spans="1:30">
      <c r="A1" t="str" cm="1">
        <f t="array" ref="A1">INDEX( $A$17:$A$20, $C$3 ) &amp; INDEX( IF($C$3&lt;3, $A$22:$A$23, $A$24:$A$25), $D$3)</f>
        <v>장외-현재수익률</v>
      </c>
      <c r="B1" s="1" t="s">
        <v>0</v>
      </c>
      <c r="C1" s="2">
        <v>36543</v>
      </c>
      <c r="D1" s="1" t="s">
        <v>1</v>
      </c>
      <c r="E1" s="2">
        <f ca="1">TODAY()</f>
        <v>45523</v>
      </c>
      <c r="F1" s="1" t="s">
        <v>2</v>
      </c>
      <c r="G1">
        <v>500</v>
      </c>
      <c r="H1" s="1" t="s">
        <v>3</v>
      </c>
      <c r="I1" t="s">
        <v>4</v>
      </c>
      <c r="J1" s="1" t="s">
        <v>5</v>
      </c>
      <c r="K1" t="s">
        <v>6</v>
      </c>
      <c r="L1" s="1" t="s">
        <v>7</v>
      </c>
      <c r="M1">
        <v>0</v>
      </c>
      <c r="N1" s="1" t="s">
        <v>8</v>
      </c>
      <c r="O1" t="s">
        <v>9</v>
      </c>
      <c r="V1">
        <v>20</v>
      </c>
      <c r="W1">
        <v>60</v>
      </c>
      <c r="X1">
        <v>120</v>
      </c>
      <c r="Y1">
        <v>250</v>
      </c>
    </row>
    <row r="2" spans="1:30">
      <c r="B2" t="s">
        <v>869</v>
      </c>
      <c r="C2" t="s">
        <v>871</v>
      </c>
      <c r="D2" t="s">
        <v>870</v>
      </c>
      <c r="V2">
        <f ca="1">MATCH(V$3,$U$6:$U$506,0) - MATCH(지표물!$E$10, $U$5:$U$506,0)</f>
        <v>27</v>
      </c>
      <c r="W2">
        <f ca="1">MATCH(W$3,$U$6:$U$506,0) - MATCH(지표물!$E$10, $U$5:$U$506,0)</f>
        <v>83</v>
      </c>
      <c r="X2">
        <f ca="1">MATCH(X$3,$U$6:$U$506,0) - MATCH(지표물!$E$10, $U$5:$U$506,0)</f>
        <v>167</v>
      </c>
      <c r="Y2">
        <f ca="1">MATCH(Y$3,$U$6:$U$506,0) - MATCH(지표물!$E$10, $U$5:$U$506,0)</f>
        <v>349</v>
      </c>
      <c r="AA2">
        <f>AVERAGE(V10:V38)</f>
        <v>3.0595499999999998</v>
      </c>
      <c r="AB2">
        <f ca="1">AVERAGE( OFFSET($U$6, $U$3-1, 1, $V$2+2) )</f>
        <v>3.0543000000000005</v>
      </c>
    </row>
    <row r="3" spans="1:30">
      <c r="B3">
        <v>1</v>
      </c>
      <c r="C3">
        <v>4</v>
      </c>
      <c r="D3">
        <v>1</v>
      </c>
      <c r="U3">
        <f>MATCH(지표물!$E$10, $U$6:$U$506, 0)</f>
        <v>2</v>
      </c>
      <c r="V3" s="2">
        <f>WORKDAY(지표물!$E$10, -V$1)</f>
        <v>45495</v>
      </c>
      <c r="W3" s="2">
        <f>WORKDAY(지표물!$E$10, -W$1)</f>
        <v>45439</v>
      </c>
      <c r="X3" s="2">
        <f>WORKDAY(지표물!$E$10, -X$1)</f>
        <v>45355</v>
      </c>
      <c r="Y3" s="2">
        <f>WORKDAY(지표물!$E$10, -Y$1)</f>
        <v>45173</v>
      </c>
    </row>
    <row r="4" spans="1:30">
      <c r="B4" s="10" t="s">
        <v>860</v>
      </c>
      <c r="D4" s="10" t="s">
        <v>861</v>
      </c>
      <c r="F4" s="10" t="s">
        <v>862</v>
      </c>
      <c r="H4" s="10" t="s">
        <v>863</v>
      </c>
      <c r="J4" s="10" t="s">
        <v>864</v>
      </c>
      <c r="L4" s="10" t="s">
        <v>865</v>
      </c>
      <c r="N4" s="10" t="s">
        <v>866</v>
      </c>
      <c r="P4" s="10" t="s">
        <v>867</v>
      </c>
      <c r="R4" s="10" t="s">
        <v>868</v>
      </c>
      <c r="U4" s="10" t="s">
        <v>860</v>
      </c>
      <c r="V4" s="10" t="s">
        <v>860</v>
      </c>
      <c r="W4" s="10" t="s">
        <v>861</v>
      </c>
      <c r="X4" s="10" t="s">
        <v>862</v>
      </c>
      <c r="Y4" s="10" t="s">
        <v>863</v>
      </c>
      <c r="Z4" s="10" t="s">
        <v>864</v>
      </c>
      <c r="AA4" s="10" t="s">
        <v>865</v>
      </c>
      <c r="AB4" s="10" t="s">
        <v>866</v>
      </c>
      <c r="AC4" s="10" t="s">
        <v>867</v>
      </c>
      <c r="AD4" s="10" t="s">
        <v>868</v>
      </c>
    </row>
    <row r="5" spans="1:30">
      <c r="B5" t="str" cm="1">
        <f t="array" aca="1" ref="B5" ca="1">_xll.IMDH("BND",B4,B6:C6,$C$1,$E$1,$G$1,"Per="&amp;$I$1&amp;",sort="&amp;$K$1&amp;",real=true,Bizday="&amp;$M$1&amp;",Quote="&amp;$O$1&amp;",Pos=20,Orient=V,DtFmt=1,TmFmt=1,unit=true")</f>
        <v>조회[KR1035G00002]</v>
      </c>
      <c r="D5" t="str" cm="1">
        <f t="array" aca="1" ref="D5" ca="1">_xll.IMDH("BND",D4,D6:E6,$C$1,$E$1,$G$1,"Per="&amp;$I$1&amp;",sort="&amp;$K$1&amp;",real=true,Bizday="&amp;$M$1&amp;",Quote="&amp;$O$1&amp;",Pos=20,Orient=V,DtFmt=1,TmFmt=1,unit=true")</f>
        <v>조회[KR1035G00003]</v>
      </c>
      <c r="F5" t="str" cm="1">
        <f t="array" aca="1" ref="F5" ca="1">_xll.IMDH("BND",F4,F6:G6,$C$1,$E$1,$G$1,"Per="&amp;$I$1&amp;",sort="&amp;$K$1&amp;",real=true,Bizday="&amp;$M$1&amp;",Quote="&amp;$O$1&amp;",Pos=20,Orient=V,DtFmt=1,TmFmt=1,unit=true")</f>
        <v>조회[KR1035G00005]</v>
      </c>
      <c r="H5" t="str" cm="1">
        <f t="array" aca="1" ref="H5" ca="1">_xll.IMDH("BND",H4,H6:I6,$C$1,$E$1,$G$1,"Per="&amp;$I$1&amp;",sort="&amp;$K$1&amp;",real=true,Bizday="&amp;$M$1&amp;",Quote="&amp;$O$1&amp;",Pos=20,Orient=V,DtFmt=1,TmFmt=1,unit=true")</f>
        <v>조회[KR1035G00010]</v>
      </c>
      <c r="J5" t="str" cm="1">
        <f t="array" aca="1" ref="J5" ca="1">_xll.IMDH("BND",J4,J6:K6,$C$1,$E$1,$G$1,"Per="&amp;$I$1&amp;",sort="&amp;$K$1&amp;",real=true,Bizday="&amp;$M$1&amp;",Quote="&amp;$O$1&amp;",Pos=20,Orient=V,DtFmt=1,TmFmt=1,unit=true")</f>
        <v>조회[KR1035G00020]</v>
      </c>
      <c r="L5" t="str" cm="1">
        <f t="array" aca="1" ref="L5" ca="1">_xll.IMDH("BND",L4,L6:M6,$C$1,$E$1,$G$1,"Per="&amp;$I$1&amp;",sort="&amp;$K$1&amp;",real=true,Bizday="&amp;$M$1&amp;",Quote="&amp;$O$1&amp;",Pos=20,Orient=V,DtFmt=1,TmFmt=1,unit=true")</f>
        <v>조회[KR1035G00030]</v>
      </c>
      <c r="N5" t="str" cm="1">
        <f t="array" aca="1" ref="N5" ca="1">_xll.IMDH("BND",N4,N6:O6,$C$1,$E$1,$G$1,"Per="&amp;$I$1&amp;",sort="&amp;$K$1&amp;",real=true,Bizday="&amp;$M$1&amp;",Quote="&amp;$O$1&amp;",Pos=20,Orient=V,DtFmt=1,TmFmt=1,unit=true")</f>
        <v>조회[KR1035G00050]</v>
      </c>
      <c r="P5" t="str" cm="1">
        <f t="array" aca="1" ref="P5" ca="1">_xll.IMDH("BND",P4,P6:Q6,$C$1,$E$1,$G$1,"Per="&amp;$I$1&amp;",sort="&amp;$K$1&amp;",real=true,Bizday="&amp;$M$1&amp;",Quote="&amp;$O$1&amp;",Pos=20,Orient=V,DtFmt=1,TmFmt=1,unit=true")</f>
        <v>조회[KR3101000100]</v>
      </c>
      <c r="R5" t="str" cm="1">
        <f t="array" aca="1" ref="R5" ca="1">_xll.IMDH("BND",R4,R6:S6,$C$1,$E$1,$G$1,"Per="&amp;$I$1&amp;",sort="&amp;$K$1&amp;",real=true,Bizday="&amp;$M$1&amp;",Quote="&amp;$O$1&amp;",Pos=20,Orient=V,DtFmt=1,TmFmt=1,unit=true")</f>
        <v>조회[KR1035M00200]</v>
      </c>
      <c r="U5" t="str" cm="1">
        <f t="array" aca="1" ref="U5" ca="1">_xll.IMDH("BND",U4,U6:V6,$C$1,$E$1,$G$1,"Per="&amp;$I$1&amp;",sort="&amp;$K$1&amp;",real=true,Bizday=12,Quote="&amp;$O$1&amp;",Pos=20,Orient=V,DtFmt=1,TmFmt=1,unit=true")</f>
        <v>조회[KR1035G00002]</v>
      </c>
      <c r="W5" t="str" cm="1">
        <f t="array" aca="1" ref="W5" ca="1">_xll.IMDH("BND",W4,W6,$C$1,$E$1,$G$1,"Per="&amp;$I$1&amp;",sort="&amp;$K$1&amp;",real=true,Bizday=12,Quote="&amp;$O$1&amp;",Pos=20,Orient=V,DtFmt=1,TmFmt=1,unit=true")</f>
        <v>조회[KR1035G00003]</v>
      </c>
      <c r="X5" t="str" cm="1">
        <f t="array" aca="1" ref="X5" ca="1">_xll.IMDH("BND",X4,X6,$C$1,$E$1,$G$1,"Per="&amp;$I$1&amp;",sort="&amp;$K$1&amp;",real=true,Bizday=12,Quote="&amp;$O$1&amp;",Pos=20,Orient=V,DtFmt=1,TmFmt=1,unit=true")</f>
        <v>조회[KR1035G00005]</v>
      </c>
      <c r="Y5" t="str" cm="1">
        <f t="array" aca="1" ref="Y5" ca="1">_xll.IMDH("BND",Y4,Y6,$C$1,$E$1,$G$1,"Per="&amp;$I$1&amp;",sort="&amp;$K$1&amp;",real=true,Bizday=12,Quote="&amp;$O$1&amp;",Pos=20,Orient=V,DtFmt=1,TmFmt=1,unit=true")</f>
        <v>조회[KR1035G00010]</v>
      </c>
      <c r="Z5" t="str" cm="1">
        <f t="array" aca="1" ref="Z5" ca="1">_xll.IMDH("BND",Z4,Z6,$C$1,$E$1,$G$1,"Per="&amp;$I$1&amp;",sort="&amp;$K$1&amp;",real=true,Bizday=12,Quote="&amp;$O$1&amp;",Pos=20,Orient=V,DtFmt=1,TmFmt=1,unit=true")</f>
        <v>조회[KR1035G00020]</v>
      </c>
      <c r="AA5" t="str" cm="1">
        <f t="array" aca="1" ref="AA5" ca="1">_xll.IMDH("BND",AA4,AA6,$C$1,$E$1,$G$1,"Per="&amp;$I$1&amp;",sort="&amp;$K$1&amp;",real=true,Bizday=12,Quote="&amp;$O$1&amp;",Pos=20,Orient=V,DtFmt=1,TmFmt=1,unit=true")</f>
        <v>조회[KR1035G00030]</v>
      </c>
      <c r="AB5" t="str" cm="1">
        <f t="array" aca="1" ref="AB5" ca="1">_xll.IMDH("BND",AB4,AB6,$C$1,$E$1,$G$1,"Per="&amp;$I$1&amp;",sort="&amp;$K$1&amp;",real=true,Bizday=12,Quote="&amp;$O$1&amp;",Pos=20,Orient=V,DtFmt=1,TmFmt=1,unit=true")</f>
        <v>조회[KR1035G00050]</v>
      </c>
      <c r="AC5" t="str" cm="1">
        <f t="array" aca="1" ref="AC5" ca="1">_xll.IMDH("BND",AC4,AC6,$C$1,$E$1,$G$1,"Per="&amp;$I$1&amp;",sort="&amp;$K$1&amp;",real=true,Bizday=12,Quote="&amp;$O$1&amp;",Pos=20,Orient=V,DtFmt=1,TmFmt=1,unit=true")</f>
        <v>조회[KR3101000100]</v>
      </c>
      <c r="AD5" t="str" cm="1">
        <f t="array" aca="1" ref="AD5" ca="1">_xll.IMDH("BND",AD4,AD6,$C$1,$E$1,$G$1,"Per="&amp;$I$1&amp;",sort="&amp;$K$1&amp;",real=true,Bizday=12,Quote="&amp;$O$1&amp;",Pos=20,Orient=V,DtFmt=1,TmFmt=1,unit=true")</f>
        <v>조회[KR1035M00200]</v>
      </c>
    </row>
    <row r="6" spans="1:30">
      <c r="A6" s="34" t="s">
        <v>851</v>
      </c>
      <c r="B6" s="3" t="s">
        <v>10</v>
      </c>
      <c r="C6" s="81" t="str">
        <f>$A$1</f>
        <v>장외-현재수익률</v>
      </c>
      <c r="D6" s="3" t="s">
        <v>10</v>
      </c>
      <c r="E6" s="81" t="str">
        <f>$A$1</f>
        <v>장외-현재수익률</v>
      </c>
      <c r="F6" s="3" t="s">
        <v>10</v>
      </c>
      <c r="G6" s="81" t="str">
        <f>$A$1</f>
        <v>장외-현재수익률</v>
      </c>
      <c r="H6" s="3" t="s">
        <v>10</v>
      </c>
      <c r="I6" s="81" t="str">
        <f>$A$1</f>
        <v>장외-현재수익률</v>
      </c>
      <c r="J6" s="3" t="s">
        <v>10</v>
      </c>
      <c r="K6" s="81" t="str">
        <f>$A$1</f>
        <v>장외-현재수익률</v>
      </c>
      <c r="L6" s="3" t="s">
        <v>10</v>
      </c>
      <c r="M6" s="81" t="str">
        <f>$A$1</f>
        <v>장외-현재수익률</v>
      </c>
      <c r="N6" s="3" t="s">
        <v>10</v>
      </c>
      <c r="O6" s="81" t="str">
        <f>$A$1</f>
        <v>장외-현재수익률</v>
      </c>
      <c r="P6" s="3" t="s">
        <v>10</v>
      </c>
      <c r="Q6" s="81" t="str">
        <f>$A$1</f>
        <v>장외-현재수익률</v>
      </c>
      <c r="R6" s="3" t="s">
        <v>10</v>
      </c>
      <c r="S6" s="81" t="str">
        <f>$A$1</f>
        <v>장외-현재수익률</v>
      </c>
      <c r="U6" s="3" t="s">
        <v>10</v>
      </c>
      <c r="V6" s="81" t="str">
        <f>$A$1</f>
        <v>장외-현재수익률</v>
      </c>
      <c r="W6" s="81" t="str">
        <f t="shared" ref="W6:AD6" si="0">$A$1</f>
        <v>장외-현재수익률</v>
      </c>
      <c r="X6" s="81" t="str">
        <f t="shared" si="0"/>
        <v>장외-현재수익률</v>
      </c>
      <c r="Y6" s="81" t="str">
        <f t="shared" si="0"/>
        <v>장외-현재수익률</v>
      </c>
      <c r="Z6" s="81" t="str">
        <f t="shared" si="0"/>
        <v>장외-현재수익률</v>
      </c>
      <c r="AA6" s="81" t="str">
        <f t="shared" si="0"/>
        <v>장외-현재수익률</v>
      </c>
      <c r="AB6" s="81" t="str">
        <f t="shared" si="0"/>
        <v>장외-현재수익률</v>
      </c>
      <c r="AC6" s="81" t="str">
        <f t="shared" si="0"/>
        <v>장외-현재수익률</v>
      </c>
      <c r="AD6" s="81" t="str">
        <f t="shared" si="0"/>
        <v>장외-현재수익률</v>
      </c>
    </row>
    <row r="7" spans="1:30">
      <c r="A7" s="34" t="s">
        <v>852</v>
      </c>
      <c r="B7" s="2">
        <v>45523</v>
      </c>
      <c r="C7">
        <v>3.0419999999999998</v>
      </c>
      <c r="D7" s="2">
        <v>45523</v>
      </c>
      <c r="E7">
        <v>2.9249999999999998</v>
      </c>
      <c r="F7" s="2">
        <v>45523</v>
      </c>
      <c r="G7">
        <v>2.9350000000000001</v>
      </c>
      <c r="H7" s="2">
        <v>45523</v>
      </c>
      <c r="I7">
        <v>2.9870000000000001</v>
      </c>
      <c r="J7" s="2">
        <v>45523</v>
      </c>
      <c r="K7">
        <v>2.9670000000000001</v>
      </c>
      <c r="L7" s="2">
        <v>45523</v>
      </c>
      <c r="M7">
        <v>2.8650000000000002</v>
      </c>
      <c r="N7" s="2">
        <v>45523</v>
      </c>
      <c r="O7">
        <v>2.75</v>
      </c>
      <c r="P7" s="2">
        <v>45523</v>
      </c>
      <c r="Q7">
        <v>2.99</v>
      </c>
      <c r="R7" s="2">
        <v>45517</v>
      </c>
      <c r="S7">
        <v>0.72199999999999998</v>
      </c>
      <c r="U7" s="2">
        <v>45523</v>
      </c>
      <c r="V7">
        <v>3.0419999999999998</v>
      </c>
      <c r="W7">
        <v>2.9249999999999998</v>
      </c>
      <c r="X7">
        <v>2.9350000000000001</v>
      </c>
      <c r="Y7">
        <v>2.9870000000000001</v>
      </c>
      <c r="Z7">
        <v>2.9670000000000001</v>
      </c>
      <c r="AA7">
        <v>2.8650000000000002</v>
      </c>
      <c r="AB7">
        <v>2.75</v>
      </c>
      <c r="AC7">
        <v>2.99</v>
      </c>
    </row>
    <row r="8" spans="1:30">
      <c r="A8" s="34" t="s">
        <v>853</v>
      </c>
      <c r="B8" s="2">
        <v>45520</v>
      </c>
      <c r="C8">
        <v>3.04</v>
      </c>
      <c r="D8" s="2">
        <v>45520</v>
      </c>
      <c r="E8">
        <v>2.9220000000000002</v>
      </c>
      <c r="F8" s="2">
        <v>45520</v>
      </c>
      <c r="G8">
        <v>2.93</v>
      </c>
      <c r="H8" s="2">
        <v>45520</v>
      </c>
      <c r="I8">
        <v>2.9750000000000001</v>
      </c>
      <c r="J8" s="2">
        <v>45520</v>
      </c>
      <c r="K8">
        <v>2.9350000000000001</v>
      </c>
      <c r="L8" s="2">
        <v>45520</v>
      </c>
      <c r="M8">
        <v>2.855</v>
      </c>
      <c r="N8" s="2">
        <v>45520</v>
      </c>
      <c r="O8">
        <v>2.7650000000000001</v>
      </c>
      <c r="P8" s="2">
        <v>45520</v>
      </c>
      <c r="Q8">
        <v>2.9870000000000001</v>
      </c>
      <c r="R8" s="2">
        <v>45513</v>
      </c>
      <c r="S8">
        <v>0.75</v>
      </c>
      <c r="U8" s="2">
        <v>45522</v>
      </c>
    </row>
    <row r="9" spans="1:30">
      <c r="A9" s="34" t="s">
        <v>854</v>
      </c>
      <c r="B9" s="2">
        <v>45518</v>
      </c>
      <c r="C9">
        <v>2.9929999999999999</v>
      </c>
      <c r="D9" s="2">
        <v>45518</v>
      </c>
      <c r="E9">
        <v>2.887</v>
      </c>
      <c r="F9" s="2">
        <v>45518</v>
      </c>
      <c r="G9">
        <v>2.8969999999999998</v>
      </c>
      <c r="H9" s="2">
        <v>45518</v>
      </c>
      <c r="I9">
        <v>2.9420000000000002</v>
      </c>
      <c r="J9" s="2">
        <v>45518</v>
      </c>
      <c r="K9">
        <v>2.93</v>
      </c>
      <c r="L9" s="2">
        <v>45518</v>
      </c>
      <c r="M9">
        <v>2.84</v>
      </c>
      <c r="N9" s="2">
        <v>45506</v>
      </c>
      <c r="O9">
        <v>2.8010000000000002</v>
      </c>
      <c r="P9" s="2">
        <v>45518</v>
      </c>
      <c r="Q9">
        <v>2.952</v>
      </c>
      <c r="R9" s="2">
        <v>45511</v>
      </c>
      <c r="S9">
        <v>0.7</v>
      </c>
      <c r="U9" s="2">
        <v>45521</v>
      </c>
    </row>
    <row r="10" spans="1:30">
      <c r="A10" s="34" t="s">
        <v>855</v>
      </c>
      <c r="B10" s="2">
        <v>45517</v>
      </c>
      <c r="C10">
        <v>3.0219999999999998</v>
      </c>
      <c r="D10" s="2">
        <v>45517</v>
      </c>
      <c r="E10">
        <v>2.915</v>
      </c>
      <c r="F10" s="2">
        <v>45517</v>
      </c>
      <c r="G10">
        <v>2.9329999999999998</v>
      </c>
      <c r="H10" s="2">
        <v>45517</v>
      </c>
      <c r="I10">
        <v>2.9750000000000001</v>
      </c>
      <c r="J10" s="2">
        <v>45517</v>
      </c>
      <c r="K10">
        <v>2.95</v>
      </c>
      <c r="L10" s="2">
        <v>45517</v>
      </c>
      <c r="M10">
        <v>2.87</v>
      </c>
      <c r="N10" s="2">
        <v>45504</v>
      </c>
      <c r="O10">
        <v>2.8839999999999999</v>
      </c>
      <c r="P10" s="2">
        <v>45517</v>
      </c>
      <c r="Q10">
        <v>2.9750000000000001</v>
      </c>
      <c r="R10" s="2">
        <v>45506</v>
      </c>
      <c r="S10">
        <v>0.67500000000000004</v>
      </c>
      <c r="U10" s="2">
        <v>45520</v>
      </c>
      <c r="V10">
        <v>3.04</v>
      </c>
      <c r="W10">
        <v>2.9220000000000002</v>
      </c>
      <c r="X10">
        <v>2.93</v>
      </c>
      <c r="Y10">
        <v>2.9750000000000001</v>
      </c>
      <c r="Z10">
        <v>2.9350000000000001</v>
      </c>
      <c r="AA10">
        <v>2.855</v>
      </c>
      <c r="AB10">
        <v>2.7650000000000001</v>
      </c>
      <c r="AC10">
        <v>2.9870000000000001</v>
      </c>
    </row>
    <row r="11" spans="1:30">
      <c r="A11" s="34" t="s">
        <v>856</v>
      </c>
      <c r="B11" s="2">
        <v>45516</v>
      </c>
      <c r="C11">
        <v>3.0369999999999999</v>
      </c>
      <c r="D11" s="2">
        <v>45516</v>
      </c>
      <c r="E11">
        <v>2.9449999999999998</v>
      </c>
      <c r="F11" s="2">
        <v>45516</v>
      </c>
      <c r="G11">
        <v>2.9569999999999999</v>
      </c>
      <c r="H11" s="2">
        <v>45516</v>
      </c>
      <c r="I11">
        <v>3.0049999999999999</v>
      </c>
      <c r="J11" s="2">
        <v>45516</v>
      </c>
      <c r="K11">
        <v>2.99</v>
      </c>
      <c r="L11" s="2">
        <v>45516</v>
      </c>
      <c r="M11">
        <v>2.9</v>
      </c>
      <c r="N11" s="2">
        <v>45503</v>
      </c>
      <c r="O11">
        <v>2.8502399999999999</v>
      </c>
      <c r="P11" s="2">
        <v>45516</v>
      </c>
      <c r="Q11">
        <v>2.9950000000000001</v>
      </c>
      <c r="R11" s="2">
        <v>45504</v>
      </c>
      <c r="S11">
        <v>0.745</v>
      </c>
      <c r="U11" s="2">
        <v>45519</v>
      </c>
    </row>
    <row r="12" spans="1:30">
      <c r="A12" s="34" t="s">
        <v>857</v>
      </c>
      <c r="B12" s="2">
        <v>45513</v>
      </c>
      <c r="C12">
        <v>3.0339999999999998</v>
      </c>
      <c r="D12" s="2">
        <v>45513</v>
      </c>
      <c r="E12">
        <v>2.9420000000000002</v>
      </c>
      <c r="F12" s="2">
        <v>45513</v>
      </c>
      <c r="G12">
        <v>2.95</v>
      </c>
      <c r="H12" s="2">
        <v>45513</v>
      </c>
      <c r="I12">
        <v>3.012</v>
      </c>
      <c r="J12" s="2">
        <v>45513</v>
      </c>
      <c r="K12">
        <v>3.0019999999999998</v>
      </c>
      <c r="L12" s="2">
        <v>45513</v>
      </c>
      <c r="M12">
        <v>2.9119999999999999</v>
      </c>
      <c r="N12" s="2">
        <v>45499</v>
      </c>
      <c r="O12">
        <v>2.91004</v>
      </c>
      <c r="P12" s="2">
        <v>45513</v>
      </c>
      <c r="Q12">
        <v>2.99</v>
      </c>
      <c r="R12" s="2">
        <v>45502</v>
      </c>
      <c r="S12">
        <v>0.746</v>
      </c>
      <c r="U12" s="2">
        <v>45518</v>
      </c>
      <c r="V12">
        <v>2.9929999999999999</v>
      </c>
      <c r="W12">
        <v>2.887</v>
      </c>
      <c r="X12">
        <v>2.8969999999999998</v>
      </c>
      <c r="Y12">
        <v>2.9420000000000002</v>
      </c>
      <c r="Z12">
        <v>2.93</v>
      </c>
      <c r="AA12">
        <v>2.84</v>
      </c>
      <c r="AC12">
        <v>2.952</v>
      </c>
    </row>
    <row r="13" spans="1:30">
      <c r="A13" s="34" t="s">
        <v>858</v>
      </c>
      <c r="B13" s="2">
        <v>45512</v>
      </c>
      <c r="C13">
        <v>3.0150000000000001</v>
      </c>
      <c r="D13" s="2">
        <v>45512</v>
      </c>
      <c r="E13">
        <v>2.91</v>
      </c>
      <c r="F13" s="2">
        <v>45512</v>
      </c>
      <c r="G13">
        <v>2.93</v>
      </c>
      <c r="H13" s="2">
        <v>45512</v>
      </c>
      <c r="I13">
        <v>2.992</v>
      </c>
      <c r="J13" s="2">
        <v>45512</v>
      </c>
      <c r="K13">
        <v>3.1230000000000002</v>
      </c>
      <c r="L13" s="2">
        <v>45512</v>
      </c>
      <c r="M13">
        <v>2.895</v>
      </c>
      <c r="N13" s="2">
        <v>45489</v>
      </c>
      <c r="O13">
        <v>2.96</v>
      </c>
      <c r="P13" s="2">
        <v>45512</v>
      </c>
      <c r="Q13">
        <v>2.97</v>
      </c>
      <c r="R13" s="2">
        <v>45498</v>
      </c>
      <c r="S13">
        <v>0.81499999999999995</v>
      </c>
      <c r="U13" s="2">
        <v>45517</v>
      </c>
      <c r="V13">
        <v>3.0219999999999998</v>
      </c>
      <c r="W13">
        <v>2.915</v>
      </c>
      <c r="X13">
        <v>2.9329999999999998</v>
      </c>
      <c r="Y13">
        <v>2.9750000000000001</v>
      </c>
      <c r="Z13">
        <v>2.95</v>
      </c>
      <c r="AA13">
        <v>2.87</v>
      </c>
      <c r="AC13">
        <v>2.9750000000000001</v>
      </c>
      <c r="AD13">
        <v>0.72199999999999998</v>
      </c>
    </row>
    <row r="14" spans="1:30">
      <c r="A14" s="34" t="s">
        <v>859</v>
      </c>
      <c r="B14" s="2">
        <v>45511</v>
      </c>
      <c r="C14">
        <v>3.0329999999999999</v>
      </c>
      <c r="D14" s="2">
        <v>45511</v>
      </c>
      <c r="E14">
        <v>2.8149999999999999</v>
      </c>
      <c r="F14" s="2">
        <v>45511</v>
      </c>
      <c r="G14">
        <v>2.9550000000000001</v>
      </c>
      <c r="H14" s="2">
        <v>45511</v>
      </c>
      <c r="I14">
        <v>3.01</v>
      </c>
      <c r="J14" s="2">
        <v>45511</v>
      </c>
      <c r="K14">
        <v>2.99</v>
      </c>
      <c r="L14" s="2">
        <v>45511</v>
      </c>
      <c r="M14">
        <v>2.92</v>
      </c>
      <c r="N14" s="2">
        <v>45488</v>
      </c>
      <c r="O14">
        <v>3.0150000000000001</v>
      </c>
      <c r="P14" s="2">
        <v>45511</v>
      </c>
      <c r="Q14">
        <v>2.9950000000000001</v>
      </c>
      <c r="R14" s="2">
        <v>45497</v>
      </c>
      <c r="S14">
        <v>0.82599999999999996</v>
      </c>
      <c r="U14" s="2">
        <v>45516</v>
      </c>
      <c r="V14">
        <v>3.0369999999999999</v>
      </c>
      <c r="W14">
        <v>2.9449999999999998</v>
      </c>
      <c r="X14">
        <v>2.9569999999999999</v>
      </c>
      <c r="Y14">
        <v>3.0049999999999999</v>
      </c>
      <c r="Z14">
        <v>2.99</v>
      </c>
      <c r="AA14">
        <v>2.9</v>
      </c>
      <c r="AC14">
        <v>2.9950000000000001</v>
      </c>
    </row>
    <row r="15" spans="1:30">
      <c r="A15" s="34"/>
      <c r="B15" s="2">
        <v>45510</v>
      </c>
      <c r="C15">
        <v>3.016</v>
      </c>
      <c r="D15" s="2">
        <v>45510</v>
      </c>
      <c r="E15">
        <v>2.9369999999999998</v>
      </c>
      <c r="F15" s="2">
        <v>45510</v>
      </c>
      <c r="G15">
        <v>2.9550000000000001</v>
      </c>
      <c r="H15" s="2">
        <v>45510</v>
      </c>
      <c r="I15">
        <v>3.01</v>
      </c>
      <c r="J15" s="2">
        <v>45510</v>
      </c>
      <c r="K15">
        <v>3</v>
      </c>
      <c r="L15" s="2">
        <v>45510</v>
      </c>
      <c r="M15">
        <v>2.8959999999999999</v>
      </c>
      <c r="N15" s="2">
        <v>45485</v>
      </c>
      <c r="O15">
        <v>3.0350000000000001</v>
      </c>
      <c r="P15" s="2">
        <v>45510</v>
      </c>
      <c r="Q15">
        <v>2.9649999999999999</v>
      </c>
      <c r="R15" s="2">
        <v>45495</v>
      </c>
      <c r="S15">
        <v>0.85499999999999998</v>
      </c>
      <c r="U15" s="2">
        <v>45515</v>
      </c>
    </row>
    <row r="16" spans="1:30">
      <c r="A16" s="34"/>
      <c r="B16" s="2">
        <v>45509</v>
      </c>
      <c r="C16">
        <v>2.9470000000000001</v>
      </c>
      <c r="D16" s="2">
        <v>45509</v>
      </c>
      <c r="E16">
        <v>2.82</v>
      </c>
      <c r="F16" s="2">
        <v>45509</v>
      </c>
      <c r="G16">
        <v>2.855</v>
      </c>
      <c r="H16" s="2">
        <v>45509</v>
      </c>
      <c r="I16">
        <v>2.895</v>
      </c>
      <c r="J16" s="2">
        <v>45509</v>
      </c>
      <c r="K16">
        <v>2.92</v>
      </c>
      <c r="L16" s="2">
        <v>45509</v>
      </c>
      <c r="M16">
        <v>2.8050000000000002</v>
      </c>
      <c r="N16" s="2">
        <v>45484</v>
      </c>
      <c r="O16">
        <v>3.08</v>
      </c>
      <c r="P16" s="2">
        <v>45509</v>
      </c>
      <c r="Q16">
        <v>2.89</v>
      </c>
      <c r="R16" s="2">
        <v>45492</v>
      </c>
      <c r="S16">
        <v>0.84099999999999997</v>
      </c>
      <c r="U16" s="2">
        <v>45514</v>
      </c>
    </row>
    <row r="17" spans="1:30">
      <c r="A17" s="34" t="s">
        <v>876</v>
      </c>
      <c r="B17" s="2">
        <v>45506</v>
      </c>
      <c r="C17">
        <v>3.0369999999999999</v>
      </c>
      <c r="D17" s="2">
        <v>45506</v>
      </c>
      <c r="E17">
        <v>2.9369999999999998</v>
      </c>
      <c r="F17" s="2">
        <v>45506</v>
      </c>
      <c r="G17">
        <v>2.94</v>
      </c>
      <c r="H17" s="2">
        <v>45506</v>
      </c>
      <c r="I17">
        <v>3.1795200000000001</v>
      </c>
      <c r="J17" s="2">
        <v>45506</v>
      </c>
      <c r="K17">
        <v>2.9620000000000002</v>
      </c>
      <c r="L17" s="2">
        <v>45506</v>
      </c>
      <c r="M17">
        <v>2.8719999999999999</v>
      </c>
      <c r="N17" s="2">
        <v>45483</v>
      </c>
      <c r="O17">
        <v>3.06</v>
      </c>
      <c r="P17" s="2">
        <v>45506</v>
      </c>
      <c r="Q17">
        <v>3.0379999999999998</v>
      </c>
      <c r="R17" s="2">
        <v>45490</v>
      </c>
      <c r="S17">
        <v>0.84599999999999997</v>
      </c>
      <c r="U17" s="2">
        <v>45513</v>
      </c>
      <c r="V17">
        <v>3.0339999999999998</v>
      </c>
      <c r="W17">
        <v>2.9420000000000002</v>
      </c>
      <c r="X17">
        <v>2.95</v>
      </c>
      <c r="Y17">
        <v>3.012</v>
      </c>
      <c r="Z17">
        <v>3.0019999999999998</v>
      </c>
      <c r="AA17">
        <v>2.9119999999999999</v>
      </c>
      <c r="AC17">
        <v>2.99</v>
      </c>
      <c r="AD17">
        <v>0.75</v>
      </c>
    </row>
    <row r="18" spans="1:30">
      <c r="A18" s="34" t="s">
        <v>877</v>
      </c>
      <c r="B18" s="2">
        <v>45505</v>
      </c>
      <c r="C18">
        <v>3.07</v>
      </c>
      <c r="D18" s="2">
        <v>45505</v>
      </c>
      <c r="E18">
        <v>2.972</v>
      </c>
      <c r="F18" s="2">
        <v>45505</v>
      </c>
      <c r="G18">
        <v>2.9849999999999999</v>
      </c>
      <c r="H18" s="2">
        <v>45505</v>
      </c>
      <c r="I18">
        <v>3.0049999999999999</v>
      </c>
      <c r="J18" s="2">
        <v>45505</v>
      </c>
      <c r="K18">
        <v>3.0049999999999999</v>
      </c>
      <c r="L18" s="2">
        <v>45505</v>
      </c>
      <c r="M18">
        <v>2.915</v>
      </c>
      <c r="N18" s="2">
        <v>45482</v>
      </c>
      <c r="O18">
        <v>3.0630000000000002</v>
      </c>
      <c r="P18" s="2">
        <v>45505</v>
      </c>
      <c r="Q18">
        <v>3.0150000000000001</v>
      </c>
      <c r="R18" s="2">
        <v>45481</v>
      </c>
      <c r="S18">
        <v>0.91700000000000004</v>
      </c>
      <c r="U18" s="2">
        <v>45512</v>
      </c>
      <c r="V18">
        <v>3.0150000000000001</v>
      </c>
      <c r="W18">
        <v>2.91</v>
      </c>
      <c r="X18">
        <v>2.93</v>
      </c>
      <c r="Y18">
        <v>2.992</v>
      </c>
      <c r="Z18">
        <v>3.1230000000000002</v>
      </c>
      <c r="AA18">
        <v>2.895</v>
      </c>
      <c r="AC18">
        <v>2.97</v>
      </c>
    </row>
    <row r="19" spans="1:30">
      <c r="A19" s="34" t="s">
        <v>878</v>
      </c>
      <c r="B19" s="2">
        <v>45504</v>
      </c>
      <c r="C19">
        <v>3.0750000000000002</v>
      </c>
      <c r="D19" s="2">
        <v>45504</v>
      </c>
      <c r="E19">
        <v>2.9950000000000001</v>
      </c>
      <c r="F19" s="2">
        <v>45504</v>
      </c>
      <c r="G19">
        <v>3.0150000000000001</v>
      </c>
      <c r="H19" s="2">
        <v>45504</v>
      </c>
      <c r="I19">
        <v>3.06</v>
      </c>
      <c r="J19" s="2">
        <v>45504</v>
      </c>
      <c r="K19">
        <v>3.0369999999999999</v>
      </c>
      <c r="L19" s="2">
        <v>45504</v>
      </c>
      <c r="M19">
        <v>2.9449999999999998</v>
      </c>
      <c r="N19" s="2">
        <v>45481</v>
      </c>
      <c r="O19">
        <v>3.0720000000000001</v>
      </c>
      <c r="P19" s="2">
        <v>45504</v>
      </c>
      <c r="Q19">
        <v>3.0630000000000002</v>
      </c>
      <c r="R19" s="2">
        <v>45478</v>
      </c>
      <c r="S19">
        <v>0.95599999999999996</v>
      </c>
      <c r="U19" s="2">
        <v>45511</v>
      </c>
      <c r="V19">
        <v>3.0329999999999999</v>
      </c>
      <c r="W19">
        <v>2.8149999999999999</v>
      </c>
      <c r="X19">
        <v>2.9550000000000001</v>
      </c>
      <c r="Y19">
        <v>3.01</v>
      </c>
      <c r="Z19">
        <v>2.99</v>
      </c>
      <c r="AA19">
        <v>2.92</v>
      </c>
      <c r="AC19">
        <v>2.9950000000000001</v>
      </c>
      <c r="AD19">
        <v>0.7</v>
      </c>
    </row>
    <row r="20" spans="1:30">
      <c r="A20" s="34" t="s">
        <v>879</v>
      </c>
      <c r="B20" s="2">
        <v>45503</v>
      </c>
      <c r="C20">
        <v>3.0760000000000001</v>
      </c>
      <c r="D20" s="2">
        <v>45503</v>
      </c>
      <c r="E20">
        <v>2.99518</v>
      </c>
      <c r="F20" s="2">
        <v>45503</v>
      </c>
      <c r="G20">
        <v>3.00108</v>
      </c>
      <c r="H20" s="2">
        <v>45503</v>
      </c>
      <c r="I20">
        <v>3.17849</v>
      </c>
      <c r="J20" s="2">
        <v>45503</v>
      </c>
      <c r="K20">
        <v>3.04</v>
      </c>
      <c r="L20" s="2">
        <v>45503</v>
      </c>
      <c r="M20">
        <v>2.9420000000000002</v>
      </c>
      <c r="N20" s="2">
        <v>45476</v>
      </c>
      <c r="O20">
        <v>3.145</v>
      </c>
      <c r="P20" s="2">
        <v>45503</v>
      </c>
      <c r="Q20">
        <v>3.0649999999999999</v>
      </c>
      <c r="R20" s="2">
        <v>45463</v>
      </c>
      <c r="S20">
        <v>0.89600000000000002</v>
      </c>
      <c r="U20" s="2">
        <v>45510</v>
      </c>
      <c r="V20">
        <v>3.016</v>
      </c>
      <c r="W20">
        <v>2.9369999999999998</v>
      </c>
      <c r="X20">
        <v>2.9550000000000001</v>
      </c>
      <c r="Y20">
        <v>3.01</v>
      </c>
      <c r="Z20">
        <v>3</v>
      </c>
      <c r="AA20">
        <v>2.8959999999999999</v>
      </c>
      <c r="AC20">
        <v>2.9649999999999999</v>
      </c>
    </row>
    <row r="21" spans="1:30">
      <c r="A21" s="34"/>
      <c r="B21" s="2">
        <v>45502</v>
      </c>
      <c r="C21">
        <v>3.0550000000000002</v>
      </c>
      <c r="D21" s="2">
        <v>45502</v>
      </c>
      <c r="E21">
        <v>2.9729999999999999</v>
      </c>
      <c r="F21" s="2">
        <v>45502</v>
      </c>
      <c r="G21">
        <v>2.9849999999999999</v>
      </c>
      <c r="H21" s="2">
        <v>45502</v>
      </c>
      <c r="I21">
        <v>3.0419999999999998</v>
      </c>
      <c r="J21" s="2">
        <v>45502</v>
      </c>
      <c r="K21">
        <v>3.0249999999999999</v>
      </c>
      <c r="L21" s="2">
        <v>45502</v>
      </c>
      <c r="M21">
        <v>2.9460000000000002</v>
      </c>
      <c r="N21" s="2">
        <v>45474</v>
      </c>
      <c r="O21">
        <v>3.1869999999999998</v>
      </c>
      <c r="P21" s="2">
        <v>45502</v>
      </c>
      <c r="Q21">
        <v>3.0379999999999998</v>
      </c>
      <c r="R21" s="2">
        <v>45462</v>
      </c>
      <c r="S21">
        <v>0.88</v>
      </c>
      <c r="U21" s="2">
        <v>45509</v>
      </c>
      <c r="V21">
        <v>2.9470000000000001</v>
      </c>
      <c r="W21">
        <v>2.82</v>
      </c>
      <c r="X21">
        <v>2.855</v>
      </c>
      <c r="Y21">
        <v>2.895</v>
      </c>
      <c r="Z21">
        <v>2.92</v>
      </c>
      <c r="AA21">
        <v>2.8050000000000002</v>
      </c>
      <c r="AC21">
        <v>2.89</v>
      </c>
    </row>
    <row r="22" spans="1:30">
      <c r="A22" s="34" t="s">
        <v>872</v>
      </c>
      <c r="B22" s="2">
        <v>45499</v>
      </c>
      <c r="C22">
        <v>3.0950000000000002</v>
      </c>
      <c r="D22" s="2">
        <v>45499</v>
      </c>
      <c r="E22">
        <v>2.8841000000000001</v>
      </c>
      <c r="F22" s="2">
        <v>45499</v>
      </c>
      <c r="G22">
        <v>3.0419999999999998</v>
      </c>
      <c r="H22" s="2">
        <v>45499</v>
      </c>
      <c r="I22">
        <v>3.1030000000000002</v>
      </c>
      <c r="J22" s="2">
        <v>45499</v>
      </c>
      <c r="K22">
        <v>3.0819999999999999</v>
      </c>
      <c r="L22" s="2">
        <v>45499</v>
      </c>
      <c r="M22">
        <v>3.0592000000000001</v>
      </c>
      <c r="N22" s="2">
        <v>45471</v>
      </c>
      <c r="O22">
        <v>3.1629999999999998</v>
      </c>
      <c r="P22" s="2">
        <v>45499</v>
      </c>
      <c r="Q22">
        <v>3.077</v>
      </c>
      <c r="R22" s="2">
        <v>45460</v>
      </c>
      <c r="S22">
        <v>0.87</v>
      </c>
      <c r="U22" s="2">
        <v>45508</v>
      </c>
    </row>
    <row r="23" spans="1:30">
      <c r="A23" s="34" t="s">
        <v>873</v>
      </c>
      <c r="B23" s="2">
        <v>45498</v>
      </c>
      <c r="C23">
        <v>3.0920000000000001</v>
      </c>
      <c r="D23" s="2">
        <v>45498</v>
      </c>
      <c r="E23">
        <v>3.02</v>
      </c>
      <c r="F23" s="2">
        <v>45498</v>
      </c>
      <c r="G23">
        <v>3.0750000000000002</v>
      </c>
      <c r="H23" s="2">
        <v>45498</v>
      </c>
      <c r="I23">
        <v>3.1219999999999999</v>
      </c>
      <c r="J23" s="2">
        <v>45498</v>
      </c>
      <c r="K23">
        <v>3.085</v>
      </c>
      <c r="L23" s="2">
        <v>45498</v>
      </c>
      <c r="M23">
        <v>3</v>
      </c>
      <c r="N23" s="2">
        <v>45467</v>
      </c>
      <c r="O23">
        <v>3.1269999999999998</v>
      </c>
      <c r="P23" s="2">
        <v>45498</v>
      </c>
      <c r="Q23">
        <v>3.0720000000000001</v>
      </c>
      <c r="R23" s="2">
        <v>45456</v>
      </c>
      <c r="S23">
        <v>0.9</v>
      </c>
      <c r="U23" s="2">
        <v>45507</v>
      </c>
    </row>
    <row r="24" spans="1:30">
      <c r="A24" s="34" t="s">
        <v>874</v>
      </c>
      <c r="B24" s="2">
        <v>45497</v>
      </c>
      <c r="C24">
        <v>3.1150000000000002</v>
      </c>
      <c r="D24" s="2">
        <v>45497</v>
      </c>
      <c r="E24">
        <v>3.0449999999999999</v>
      </c>
      <c r="F24" s="2">
        <v>45497</v>
      </c>
      <c r="G24">
        <v>3.0720000000000001</v>
      </c>
      <c r="H24" s="2">
        <v>45497</v>
      </c>
      <c r="I24">
        <v>3.1320000000000001</v>
      </c>
      <c r="J24" s="2">
        <v>45497</v>
      </c>
      <c r="K24">
        <v>3.09</v>
      </c>
      <c r="L24" s="2">
        <v>45497</v>
      </c>
      <c r="M24">
        <v>3.0049999999999999</v>
      </c>
      <c r="N24" s="2">
        <v>45463</v>
      </c>
      <c r="O24">
        <v>3.1002200000000002</v>
      </c>
      <c r="P24" s="2">
        <v>45497</v>
      </c>
      <c r="Q24">
        <v>3.0950000000000002</v>
      </c>
      <c r="R24" s="2">
        <v>45455</v>
      </c>
      <c r="S24">
        <v>0.98399999999999999</v>
      </c>
      <c r="U24" s="2">
        <v>45506</v>
      </c>
      <c r="V24">
        <v>3.0369999999999999</v>
      </c>
      <c r="W24">
        <v>2.9369999999999998</v>
      </c>
      <c r="X24">
        <v>2.94</v>
      </c>
      <c r="Y24">
        <v>3.1795200000000001</v>
      </c>
      <c r="Z24">
        <v>2.9620000000000002</v>
      </c>
      <c r="AA24">
        <v>2.8719999999999999</v>
      </c>
      <c r="AB24">
        <v>2.8010000000000002</v>
      </c>
      <c r="AC24">
        <v>3.0379999999999998</v>
      </c>
      <c r="AD24">
        <v>0.67500000000000004</v>
      </c>
    </row>
    <row r="25" spans="1:30">
      <c r="A25" s="34" t="s">
        <v>875</v>
      </c>
      <c r="B25" s="2">
        <v>45496</v>
      </c>
      <c r="C25">
        <v>3.1389999999999998</v>
      </c>
      <c r="D25" s="2">
        <v>45496</v>
      </c>
      <c r="E25">
        <v>3.0870000000000002</v>
      </c>
      <c r="F25" s="2">
        <v>45496</v>
      </c>
      <c r="G25">
        <v>3.1120000000000001</v>
      </c>
      <c r="H25" s="2">
        <v>45496</v>
      </c>
      <c r="I25">
        <v>3.1669999999999998</v>
      </c>
      <c r="J25" s="2">
        <v>45496</v>
      </c>
      <c r="K25">
        <v>3.085</v>
      </c>
      <c r="L25" s="2">
        <v>45496</v>
      </c>
      <c r="M25">
        <v>3.01</v>
      </c>
      <c r="N25" s="2">
        <v>45461</v>
      </c>
      <c r="O25">
        <v>3.1269999999999998</v>
      </c>
      <c r="P25" s="2">
        <v>45496</v>
      </c>
      <c r="Q25">
        <v>3.1320000000000001</v>
      </c>
      <c r="R25" s="2">
        <v>45454</v>
      </c>
      <c r="S25">
        <v>0.97499999999999998</v>
      </c>
      <c r="U25" s="2">
        <v>45505</v>
      </c>
      <c r="V25">
        <v>3.07</v>
      </c>
      <c r="W25">
        <v>2.972</v>
      </c>
      <c r="X25">
        <v>2.9849999999999999</v>
      </c>
      <c r="Y25">
        <v>3.0049999999999999</v>
      </c>
      <c r="Z25">
        <v>3.0049999999999999</v>
      </c>
      <c r="AA25">
        <v>2.915</v>
      </c>
      <c r="AC25">
        <v>3.0150000000000001</v>
      </c>
    </row>
    <row r="26" spans="1:30">
      <c r="B26" s="2">
        <v>45495</v>
      </c>
      <c r="C26">
        <v>3.153</v>
      </c>
      <c r="D26" s="2">
        <v>45495</v>
      </c>
      <c r="E26">
        <v>3.0670000000000002</v>
      </c>
      <c r="F26" s="2">
        <v>45495</v>
      </c>
      <c r="G26">
        <v>3.085</v>
      </c>
      <c r="H26" s="2">
        <v>45495</v>
      </c>
      <c r="I26">
        <v>3.1429999999999998</v>
      </c>
      <c r="J26" s="2">
        <v>45495</v>
      </c>
      <c r="K26">
        <v>3.0950000000000002</v>
      </c>
      <c r="L26" s="2">
        <v>45495</v>
      </c>
      <c r="M26">
        <v>3.0150000000000001</v>
      </c>
      <c r="N26" s="2">
        <v>45460</v>
      </c>
      <c r="O26">
        <v>3.1749999999999998</v>
      </c>
      <c r="P26" s="2">
        <v>45495</v>
      </c>
      <c r="Q26">
        <v>3.1179999999999999</v>
      </c>
      <c r="R26" s="2">
        <v>45453</v>
      </c>
      <c r="S26">
        <v>0.88</v>
      </c>
      <c r="U26" s="2">
        <v>45504</v>
      </c>
      <c r="V26">
        <v>3.0750000000000002</v>
      </c>
      <c r="W26">
        <v>2.9950000000000001</v>
      </c>
      <c r="X26">
        <v>3.0150000000000001</v>
      </c>
      <c r="Y26">
        <v>3.06</v>
      </c>
      <c r="Z26">
        <v>3.0369999999999999</v>
      </c>
      <c r="AA26">
        <v>2.9449999999999998</v>
      </c>
      <c r="AB26">
        <v>2.8839999999999999</v>
      </c>
      <c r="AC26">
        <v>3.0630000000000002</v>
      </c>
      <c r="AD26">
        <v>0.745</v>
      </c>
    </row>
    <row r="27" spans="1:30">
      <c r="A27" s="10" t="s">
        <v>860</v>
      </c>
      <c r="B27" s="2">
        <v>45492</v>
      </c>
      <c r="C27">
        <v>3.1469999999999998</v>
      </c>
      <c r="D27" s="2">
        <v>45492</v>
      </c>
      <c r="E27">
        <v>3.0670000000000002</v>
      </c>
      <c r="F27" s="2">
        <v>45492</v>
      </c>
      <c r="G27">
        <v>3.1</v>
      </c>
      <c r="H27" s="2">
        <v>45492</v>
      </c>
      <c r="I27">
        <v>3.15</v>
      </c>
      <c r="J27" s="2">
        <v>45492</v>
      </c>
      <c r="K27">
        <v>3.105</v>
      </c>
      <c r="L27" s="2">
        <v>45492</v>
      </c>
      <c r="M27">
        <v>3.0249999999999999</v>
      </c>
      <c r="N27" s="2">
        <v>45457</v>
      </c>
      <c r="O27">
        <v>3.1890000000000001</v>
      </c>
      <c r="P27" s="2">
        <v>45492</v>
      </c>
      <c r="Q27">
        <v>3.1269999999999998</v>
      </c>
      <c r="R27" s="2">
        <v>45448</v>
      </c>
      <c r="S27">
        <v>0.65300000000000002</v>
      </c>
      <c r="U27" s="2">
        <v>45503</v>
      </c>
      <c r="V27">
        <v>3.0760000000000001</v>
      </c>
      <c r="W27">
        <v>2.99518</v>
      </c>
      <c r="X27">
        <v>3.00108</v>
      </c>
      <c r="Y27">
        <v>3.17849</v>
      </c>
      <c r="Z27">
        <v>3.04</v>
      </c>
      <c r="AA27">
        <v>2.9420000000000002</v>
      </c>
      <c r="AB27">
        <v>2.8502399999999999</v>
      </c>
      <c r="AC27">
        <v>3.0649999999999999</v>
      </c>
    </row>
    <row r="28" spans="1:30">
      <c r="A28" s="10" t="s">
        <v>861</v>
      </c>
      <c r="B28" s="2">
        <v>45491</v>
      </c>
      <c r="C28">
        <v>3.12</v>
      </c>
      <c r="D28" s="2">
        <v>45491</v>
      </c>
      <c r="E28">
        <v>3.0569999999999999</v>
      </c>
      <c r="F28" s="2">
        <v>45491</v>
      </c>
      <c r="G28">
        <v>3.0819999999999999</v>
      </c>
      <c r="H28" s="2">
        <v>45491</v>
      </c>
      <c r="I28">
        <v>3.1349999999999998</v>
      </c>
      <c r="J28" s="2">
        <v>45491</v>
      </c>
      <c r="K28">
        <v>3.0950000000000002</v>
      </c>
      <c r="L28" s="2">
        <v>45491</v>
      </c>
      <c r="M28">
        <v>3.008</v>
      </c>
      <c r="N28" s="2">
        <v>45448</v>
      </c>
      <c r="O28">
        <v>3.2602000000000002</v>
      </c>
      <c r="P28" s="2">
        <v>45491</v>
      </c>
      <c r="Q28">
        <v>3.1070000000000002</v>
      </c>
      <c r="R28" s="2">
        <v>45442</v>
      </c>
      <c r="S28">
        <v>0.76800000000000002</v>
      </c>
      <c r="U28" s="2">
        <v>45502</v>
      </c>
      <c r="V28">
        <v>3.0550000000000002</v>
      </c>
      <c r="W28">
        <v>2.9729999999999999</v>
      </c>
      <c r="X28">
        <v>2.9849999999999999</v>
      </c>
      <c r="Y28">
        <v>3.0419999999999998</v>
      </c>
      <c r="Z28">
        <v>3.0249999999999999</v>
      </c>
      <c r="AA28">
        <v>2.9460000000000002</v>
      </c>
      <c r="AC28">
        <v>3.0379999999999998</v>
      </c>
      <c r="AD28">
        <v>0.746</v>
      </c>
    </row>
    <row r="29" spans="1:30">
      <c r="A29" s="10" t="s">
        <v>862</v>
      </c>
      <c r="B29" s="2">
        <v>45490</v>
      </c>
      <c r="C29">
        <v>3.11</v>
      </c>
      <c r="D29" s="2">
        <v>45490</v>
      </c>
      <c r="E29">
        <v>3.052</v>
      </c>
      <c r="F29" s="2">
        <v>45490</v>
      </c>
      <c r="G29">
        <v>3.07</v>
      </c>
      <c r="H29" s="2">
        <v>45490</v>
      </c>
      <c r="I29">
        <v>3.14</v>
      </c>
      <c r="J29" s="2">
        <v>45490</v>
      </c>
      <c r="K29">
        <v>3.1019999999999999</v>
      </c>
      <c r="L29" s="2">
        <v>45490</v>
      </c>
      <c r="M29">
        <v>3.02</v>
      </c>
      <c r="N29" s="2">
        <v>45447</v>
      </c>
      <c r="O29">
        <v>3.33</v>
      </c>
      <c r="P29" s="2">
        <v>45490</v>
      </c>
      <c r="Q29">
        <v>3.11</v>
      </c>
      <c r="R29" s="2">
        <v>45434</v>
      </c>
      <c r="S29">
        <v>0.68</v>
      </c>
      <c r="U29" s="2">
        <v>45501</v>
      </c>
    </row>
    <row r="30" spans="1:30">
      <c r="A30" s="10" t="s">
        <v>863</v>
      </c>
      <c r="B30" s="2">
        <v>45489</v>
      </c>
      <c r="C30">
        <v>3.0950000000000002</v>
      </c>
      <c r="D30" s="2">
        <v>45489</v>
      </c>
      <c r="E30">
        <v>3.032</v>
      </c>
      <c r="F30" s="2">
        <v>45489</v>
      </c>
      <c r="G30">
        <v>3.0529999999999999</v>
      </c>
      <c r="H30" s="2">
        <v>45489</v>
      </c>
      <c r="I30">
        <v>3.1349999999999998</v>
      </c>
      <c r="J30" s="2">
        <v>45489</v>
      </c>
      <c r="K30">
        <v>3.11</v>
      </c>
      <c r="L30" s="2">
        <v>45489</v>
      </c>
      <c r="M30">
        <v>3.0249999999999999</v>
      </c>
      <c r="N30" s="2">
        <v>45446</v>
      </c>
      <c r="O30">
        <v>3.351</v>
      </c>
      <c r="P30" s="2">
        <v>45489</v>
      </c>
      <c r="Q30">
        <v>3.08</v>
      </c>
      <c r="R30" s="2">
        <v>45420</v>
      </c>
      <c r="S30">
        <v>0.72499999999999998</v>
      </c>
      <c r="U30" s="2">
        <v>45500</v>
      </c>
    </row>
    <row r="31" spans="1:30">
      <c r="A31" s="10" t="s">
        <v>864</v>
      </c>
      <c r="B31" s="2">
        <v>45488</v>
      </c>
      <c r="C31">
        <v>3.13</v>
      </c>
      <c r="D31" s="2">
        <v>45488</v>
      </c>
      <c r="E31">
        <v>3.0720000000000001</v>
      </c>
      <c r="F31" s="2">
        <v>45488</v>
      </c>
      <c r="G31">
        <v>3.097</v>
      </c>
      <c r="H31" s="2">
        <v>45488</v>
      </c>
      <c r="I31">
        <v>3.1749999999999998</v>
      </c>
      <c r="J31" s="2">
        <v>45488</v>
      </c>
      <c r="K31">
        <v>3.1469999999999998</v>
      </c>
      <c r="L31" s="2">
        <v>45488</v>
      </c>
      <c r="M31">
        <v>3.0649999999999999</v>
      </c>
      <c r="N31" s="2">
        <v>45441</v>
      </c>
      <c r="O31">
        <v>3.35</v>
      </c>
      <c r="P31" s="2">
        <v>45488</v>
      </c>
      <c r="Q31">
        <v>3.11</v>
      </c>
      <c r="R31" s="2">
        <v>45419</v>
      </c>
      <c r="S31">
        <v>0.73</v>
      </c>
      <c r="U31" s="2">
        <v>45499</v>
      </c>
      <c r="V31">
        <v>3.0950000000000002</v>
      </c>
      <c r="W31">
        <v>2.8841000000000001</v>
      </c>
      <c r="X31">
        <v>3.0419999999999998</v>
      </c>
      <c r="Y31">
        <v>3.1030000000000002</v>
      </c>
      <c r="Z31">
        <v>3.0819999999999999</v>
      </c>
      <c r="AA31">
        <v>3.0592000000000001</v>
      </c>
      <c r="AB31">
        <v>2.91004</v>
      </c>
      <c r="AC31">
        <v>3.077</v>
      </c>
    </row>
    <row r="32" spans="1:30">
      <c r="A32" s="10" t="s">
        <v>865</v>
      </c>
      <c r="B32" s="2">
        <v>45485</v>
      </c>
      <c r="C32">
        <v>3.15</v>
      </c>
      <c r="D32" s="2">
        <v>45485</v>
      </c>
      <c r="E32">
        <v>3.0950000000000002</v>
      </c>
      <c r="F32" s="2">
        <v>45485</v>
      </c>
      <c r="G32">
        <v>3.1019999999999999</v>
      </c>
      <c r="H32" s="2">
        <v>45485</v>
      </c>
      <c r="I32">
        <v>3.1669999999999998</v>
      </c>
      <c r="J32" s="2">
        <v>45485</v>
      </c>
      <c r="K32">
        <v>3.1419999999999999</v>
      </c>
      <c r="L32" s="2">
        <v>45485</v>
      </c>
      <c r="M32">
        <v>3.06</v>
      </c>
      <c r="N32" s="2">
        <v>45434</v>
      </c>
      <c r="O32">
        <v>3.302</v>
      </c>
      <c r="P32" s="2">
        <v>45485</v>
      </c>
      <c r="Q32">
        <v>3.165</v>
      </c>
      <c r="R32" s="2">
        <v>45415</v>
      </c>
      <c r="S32">
        <v>0.78500000000000003</v>
      </c>
      <c r="U32" s="2">
        <v>45498</v>
      </c>
      <c r="V32">
        <v>3.0920000000000001</v>
      </c>
      <c r="W32">
        <v>3.02</v>
      </c>
      <c r="X32">
        <v>3.0750000000000002</v>
      </c>
      <c r="Y32">
        <v>3.1219999999999999</v>
      </c>
      <c r="Z32">
        <v>3.085</v>
      </c>
      <c r="AA32">
        <v>3</v>
      </c>
      <c r="AC32">
        <v>3.0720000000000001</v>
      </c>
      <c r="AD32">
        <v>0.81499999999999995</v>
      </c>
    </row>
    <row r="33" spans="1:30">
      <c r="A33" s="10" t="s">
        <v>866</v>
      </c>
      <c r="B33" s="2">
        <v>45484</v>
      </c>
      <c r="C33">
        <v>3.2050000000000001</v>
      </c>
      <c r="D33" s="2">
        <v>45484</v>
      </c>
      <c r="E33">
        <v>3.157</v>
      </c>
      <c r="F33" s="2">
        <v>45484</v>
      </c>
      <c r="G33">
        <v>3.17</v>
      </c>
      <c r="H33" s="2">
        <v>45484</v>
      </c>
      <c r="I33">
        <v>3.2250000000000001</v>
      </c>
      <c r="J33" s="2">
        <v>45484</v>
      </c>
      <c r="K33">
        <v>3.1949999999999998</v>
      </c>
      <c r="L33" s="2">
        <v>45484</v>
      </c>
      <c r="M33">
        <v>3.129</v>
      </c>
      <c r="N33" s="2">
        <v>45433</v>
      </c>
      <c r="O33">
        <v>3.28003</v>
      </c>
      <c r="P33" s="2">
        <v>45484</v>
      </c>
      <c r="Q33">
        <v>3.202</v>
      </c>
      <c r="R33" s="2">
        <v>45414</v>
      </c>
      <c r="S33">
        <v>0.80400000000000005</v>
      </c>
      <c r="U33" s="2">
        <v>45497</v>
      </c>
      <c r="V33">
        <v>3.1150000000000002</v>
      </c>
      <c r="W33">
        <v>3.0449999999999999</v>
      </c>
      <c r="X33">
        <v>3.0720000000000001</v>
      </c>
      <c r="Y33">
        <v>3.1320000000000001</v>
      </c>
      <c r="Z33">
        <v>3.09</v>
      </c>
      <c r="AA33">
        <v>3.0049999999999999</v>
      </c>
      <c r="AC33">
        <v>3.0950000000000002</v>
      </c>
      <c r="AD33">
        <v>0.82599999999999996</v>
      </c>
    </row>
    <row r="34" spans="1:30">
      <c r="A34" s="10" t="s">
        <v>867</v>
      </c>
      <c r="B34" s="2">
        <v>45483</v>
      </c>
      <c r="C34">
        <v>3.14</v>
      </c>
      <c r="D34" s="2">
        <v>45483</v>
      </c>
      <c r="E34">
        <v>3.117</v>
      </c>
      <c r="F34" s="2">
        <v>45483</v>
      </c>
      <c r="G34">
        <v>3.14</v>
      </c>
      <c r="H34" s="2">
        <v>45483</v>
      </c>
      <c r="I34">
        <v>3.1949999999999998</v>
      </c>
      <c r="J34" s="2">
        <v>45483</v>
      </c>
      <c r="K34">
        <v>3.17</v>
      </c>
      <c r="L34" s="2">
        <v>45483</v>
      </c>
      <c r="M34">
        <v>3.097</v>
      </c>
      <c r="N34" s="2">
        <v>45432</v>
      </c>
      <c r="O34">
        <v>3.31</v>
      </c>
      <c r="P34" s="2">
        <v>45483</v>
      </c>
      <c r="Q34">
        <v>3.15</v>
      </c>
      <c r="R34" s="2">
        <v>45408</v>
      </c>
      <c r="S34">
        <v>0.872</v>
      </c>
      <c r="U34" s="2">
        <v>45496</v>
      </c>
      <c r="V34">
        <v>3.1389999999999998</v>
      </c>
      <c r="W34">
        <v>3.0870000000000002</v>
      </c>
      <c r="X34">
        <v>3.1120000000000001</v>
      </c>
      <c r="Y34">
        <v>3.1669999999999998</v>
      </c>
      <c r="Z34">
        <v>3.085</v>
      </c>
      <c r="AA34">
        <v>3.01</v>
      </c>
      <c r="AC34">
        <v>3.1320000000000001</v>
      </c>
    </row>
    <row r="35" spans="1:30">
      <c r="A35" s="10" t="s">
        <v>868</v>
      </c>
      <c r="B35" s="2">
        <v>45482</v>
      </c>
      <c r="C35">
        <v>3.1549999999999998</v>
      </c>
      <c r="D35" s="2">
        <v>45482</v>
      </c>
      <c r="E35">
        <v>3.117</v>
      </c>
      <c r="F35" s="2">
        <v>45482</v>
      </c>
      <c r="G35">
        <v>3.14</v>
      </c>
      <c r="H35" s="2">
        <v>45482</v>
      </c>
      <c r="I35">
        <v>3.202</v>
      </c>
      <c r="J35" s="2">
        <v>45482</v>
      </c>
      <c r="K35">
        <v>3.1749999999999998</v>
      </c>
      <c r="L35" s="2">
        <v>45482</v>
      </c>
      <c r="M35">
        <v>3.1070000000000002</v>
      </c>
      <c r="N35" s="2">
        <v>45428</v>
      </c>
      <c r="O35">
        <v>3.3000799999999999</v>
      </c>
      <c r="P35" s="2">
        <v>45482</v>
      </c>
      <c r="Q35">
        <v>3.1349999999999998</v>
      </c>
      <c r="R35" s="2">
        <v>45400</v>
      </c>
      <c r="S35">
        <v>0.70069999999999999</v>
      </c>
      <c r="U35" s="2">
        <v>45495</v>
      </c>
      <c r="V35">
        <v>3.153</v>
      </c>
      <c r="W35">
        <v>3.0670000000000002</v>
      </c>
      <c r="X35">
        <v>3.085</v>
      </c>
      <c r="Y35">
        <v>3.1429999999999998</v>
      </c>
      <c r="Z35">
        <v>3.0950000000000002</v>
      </c>
      <c r="AA35">
        <v>3.0150000000000001</v>
      </c>
      <c r="AC35">
        <v>3.1179999999999999</v>
      </c>
      <c r="AD35">
        <v>0.85499999999999998</v>
      </c>
    </row>
    <row r="36" spans="1:30">
      <c r="B36" s="2">
        <v>45481</v>
      </c>
      <c r="C36">
        <v>3.145</v>
      </c>
      <c r="D36" s="2">
        <v>45481</v>
      </c>
      <c r="E36">
        <v>3.117</v>
      </c>
      <c r="F36" s="2">
        <v>45481</v>
      </c>
      <c r="G36">
        <v>3.14</v>
      </c>
      <c r="H36" s="2">
        <v>45481</v>
      </c>
      <c r="I36">
        <v>3.21</v>
      </c>
      <c r="J36" s="2">
        <v>45481</v>
      </c>
      <c r="K36">
        <v>3.15</v>
      </c>
      <c r="L36" s="2">
        <v>45481</v>
      </c>
      <c r="M36">
        <v>3.1120000000000001</v>
      </c>
      <c r="N36" s="2">
        <v>45425</v>
      </c>
      <c r="O36">
        <v>3.39</v>
      </c>
      <c r="P36" s="2">
        <v>45481</v>
      </c>
      <c r="Q36">
        <v>3.1419999999999999</v>
      </c>
      <c r="R36" s="2">
        <v>45391</v>
      </c>
      <c r="S36">
        <v>0.747</v>
      </c>
      <c r="U36" s="2">
        <v>45494</v>
      </c>
    </row>
    <row r="37" spans="1:30">
      <c r="B37" s="2">
        <v>45478</v>
      </c>
      <c r="C37">
        <v>3.15</v>
      </c>
      <c r="D37" s="2">
        <v>45478</v>
      </c>
      <c r="E37">
        <v>3.1150000000000002</v>
      </c>
      <c r="F37" s="2">
        <v>45478</v>
      </c>
      <c r="G37">
        <v>3.16</v>
      </c>
      <c r="H37" s="2">
        <v>45478</v>
      </c>
      <c r="I37">
        <v>3.22</v>
      </c>
      <c r="J37" s="2">
        <v>45478</v>
      </c>
      <c r="K37">
        <v>3.1819999999999999</v>
      </c>
      <c r="L37" s="2">
        <v>45478</v>
      </c>
      <c r="M37">
        <v>3.1120000000000001</v>
      </c>
      <c r="N37" s="2">
        <v>45422</v>
      </c>
      <c r="O37">
        <v>3.39</v>
      </c>
      <c r="P37" s="2">
        <v>45478</v>
      </c>
      <c r="Q37">
        <v>3.13</v>
      </c>
      <c r="R37" s="2">
        <v>45390</v>
      </c>
      <c r="S37">
        <v>0.747</v>
      </c>
      <c r="U37" s="2">
        <v>45493</v>
      </c>
    </row>
    <row r="38" spans="1:30">
      <c r="B38" s="2">
        <v>45477</v>
      </c>
      <c r="C38">
        <v>3.15</v>
      </c>
      <c r="D38" s="2">
        <v>45477</v>
      </c>
      <c r="E38">
        <v>3.13</v>
      </c>
      <c r="F38" s="2">
        <v>45477</v>
      </c>
      <c r="G38">
        <v>3.16</v>
      </c>
      <c r="H38" s="2">
        <v>45477</v>
      </c>
      <c r="I38">
        <v>3.2349999999999999</v>
      </c>
      <c r="J38" s="2">
        <v>45477</v>
      </c>
      <c r="K38">
        <v>3.2149999999999999</v>
      </c>
      <c r="L38" s="2">
        <v>45477</v>
      </c>
      <c r="M38">
        <v>3.21</v>
      </c>
      <c r="N38" s="2">
        <v>45421</v>
      </c>
      <c r="O38">
        <v>3.3903099999999999</v>
      </c>
      <c r="P38" s="2">
        <v>45477</v>
      </c>
      <c r="Q38">
        <v>3.137</v>
      </c>
      <c r="R38" s="2">
        <v>45387</v>
      </c>
      <c r="S38">
        <v>0.72</v>
      </c>
      <c r="U38" s="2">
        <v>45492</v>
      </c>
      <c r="V38">
        <v>3.1469999999999998</v>
      </c>
      <c r="W38">
        <v>3.0670000000000002</v>
      </c>
      <c r="X38">
        <v>3.1</v>
      </c>
      <c r="Y38">
        <v>3.15</v>
      </c>
      <c r="Z38">
        <v>3.105</v>
      </c>
      <c r="AA38">
        <v>3.0249999999999999</v>
      </c>
      <c r="AC38">
        <v>3.1269999999999998</v>
      </c>
      <c r="AD38">
        <v>0.84099999999999997</v>
      </c>
    </row>
    <row r="39" spans="1:30">
      <c r="B39" s="2">
        <v>45476</v>
      </c>
      <c r="C39">
        <v>3.1869999999999998</v>
      </c>
      <c r="D39" s="2">
        <v>45476</v>
      </c>
      <c r="E39">
        <v>3.1619999999999999</v>
      </c>
      <c r="F39" s="2">
        <v>45476</v>
      </c>
      <c r="G39">
        <v>3.1949999999999998</v>
      </c>
      <c r="H39" s="2">
        <v>45476</v>
      </c>
      <c r="I39">
        <v>3.2810000000000001</v>
      </c>
      <c r="J39" s="2">
        <v>45476</v>
      </c>
      <c r="K39">
        <v>3.24</v>
      </c>
      <c r="L39" s="2">
        <v>45476</v>
      </c>
      <c r="M39">
        <v>3.1749999999999998</v>
      </c>
      <c r="N39" s="2">
        <v>45420</v>
      </c>
      <c r="O39">
        <v>3.3431700000000002</v>
      </c>
      <c r="P39" s="2">
        <v>45476</v>
      </c>
      <c r="Q39">
        <v>3.2149999999999999</v>
      </c>
      <c r="R39" s="2">
        <v>45386</v>
      </c>
      <c r="S39">
        <v>0.74092999999999998</v>
      </c>
      <c r="U39" s="2">
        <v>45491</v>
      </c>
      <c r="V39">
        <v>3.12</v>
      </c>
      <c r="W39">
        <v>3.0569999999999999</v>
      </c>
      <c r="X39">
        <v>3.0819999999999999</v>
      </c>
      <c r="Y39">
        <v>3.1349999999999998</v>
      </c>
      <c r="Z39">
        <v>3.0950000000000002</v>
      </c>
      <c r="AA39">
        <v>3.008</v>
      </c>
      <c r="AC39">
        <v>3.1070000000000002</v>
      </c>
    </row>
    <row r="40" spans="1:30">
      <c r="B40" s="2">
        <v>45475</v>
      </c>
      <c r="C40">
        <v>3.1869999999999998</v>
      </c>
      <c r="D40" s="2">
        <v>45475</v>
      </c>
      <c r="E40">
        <v>3.149</v>
      </c>
      <c r="F40" s="2">
        <v>45475</v>
      </c>
      <c r="G40">
        <v>3.1920000000000002</v>
      </c>
      <c r="H40" s="2">
        <v>45475</v>
      </c>
      <c r="I40">
        <v>3.3159999999999998</v>
      </c>
      <c r="J40" s="2">
        <v>45475</v>
      </c>
      <c r="K40">
        <v>3.2349999999999999</v>
      </c>
      <c r="L40" s="2">
        <v>45475</v>
      </c>
      <c r="M40">
        <v>3.1949999999999998</v>
      </c>
      <c r="N40" s="2">
        <v>45414</v>
      </c>
      <c r="O40">
        <v>3.4369999999999998</v>
      </c>
      <c r="P40" s="2">
        <v>45475</v>
      </c>
      <c r="Q40">
        <v>3.2</v>
      </c>
      <c r="R40" s="2">
        <v>45383</v>
      </c>
      <c r="S40">
        <v>0.61031999999999997</v>
      </c>
      <c r="U40" s="2">
        <v>45490</v>
      </c>
      <c r="V40">
        <v>3.11</v>
      </c>
      <c r="W40">
        <v>3.052</v>
      </c>
      <c r="X40">
        <v>3.07</v>
      </c>
      <c r="Y40">
        <v>3.14</v>
      </c>
      <c r="Z40">
        <v>3.1019999999999999</v>
      </c>
      <c r="AA40">
        <v>3.02</v>
      </c>
      <c r="AC40">
        <v>3.11</v>
      </c>
      <c r="AD40">
        <v>0.84599999999999997</v>
      </c>
    </row>
    <row r="41" spans="1:30">
      <c r="B41" s="2">
        <v>45474</v>
      </c>
      <c r="C41">
        <v>3.25</v>
      </c>
      <c r="D41" s="2">
        <v>45474</v>
      </c>
      <c r="E41">
        <v>3.2069999999999999</v>
      </c>
      <c r="F41" s="2">
        <v>45474</v>
      </c>
      <c r="G41">
        <v>3.242</v>
      </c>
      <c r="H41" s="2">
        <v>45474</v>
      </c>
      <c r="I41">
        <v>3.3069999999999999</v>
      </c>
      <c r="J41" s="2">
        <v>45474</v>
      </c>
      <c r="K41">
        <v>3.2650000000000001</v>
      </c>
      <c r="L41" s="2">
        <v>45474</v>
      </c>
      <c r="M41">
        <v>3.2050000000000001</v>
      </c>
      <c r="N41" s="2">
        <v>45399</v>
      </c>
      <c r="O41">
        <v>3.4</v>
      </c>
      <c r="P41" s="2">
        <v>45474</v>
      </c>
      <c r="Q41">
        <v>3.262</v>
      </c>
      <c r="R41" s="2">
        <v>45371</v>
      </c>
      <c r="S41">
        <v>0.76800000000000002</v>
      </c>
      <c r="U41" s="2">
        <v>45489</v>
      </c>
      <c r="V41">
        <v>3.0950000000000002</v>
      </c>
      <c r="W41">
        <v>3.032</v>
      </c>
      <c r="X41">
        <v>3.0529999999999999</v>
      </c>
      <c r="Y41">
        <v>3.1349999999999998</v>
      </c>
      <c r="Z41">
        <v>3.11</v>
      </c>
      <c r="AA41">
        <v>3.0249999999999999</v>
      </c>
      <c r="AB41">
        <v>2.96</v>
      </c>
      <c r="AC41">
        <v>3.08</v>
      </c>
    </row>
    <row r="42" spans="1:30">
      <c r="B42" s="2">
        <v>45471</v>
      </c>
      <c r="C42">
        <v>3.2570000000000001</v>
      </c>
      <c r="D42" s="2">
        <v>45471</v>
      </c>
      <c r="E42">
        <v>3.18</v>
      </c>
      <c r="F42" s="2">
        <v>45471</v>
      </c>
      <c r="G42">
        <v>3.222</v>
      </c>
      <c r="H42" s="2">
        <v>45471</v>
      </c>
      <c r="I42">
        <v>3.25</v>
      </c>
      <c r="J42" s="2">
        <v>45471</v>
      </c>
      <c r="K42">
        <v>3.242</v>
      </c>
      <c r="L42" s="2">
        <v>45471</v>
      </c>
      <c r="M42">
        <v>3.1970000000000001</v>
      </c>
      <c r="N42" s="2">
        <v>45397</v>
      </c>
      <c r="O42">
        <v>3.335</v>
      </c>
      <c r="P42" s="2">
        <v>45471</v>
      </c>
      <c r="Q42">
        <v>3.24</v>
      </c>
      <c r="R42" s="2">
        <v>45366</v>
      </c>
      <c r="S42">
        <v>0.621</v>
      </c>
      <c r="U42" s="2">
        <v>45488</v>
      </c>
      <c r="V42">
        <v>3.13</v>
      </c>
      <c r="W42">
        <v>3.0720000000000001</v>
      </c>
      <c r="X42">
        <v>3.097</v>
      </c>
      <c r="Y42">
        <v>3.1749999999999998</v>
      </c>
      <c r="Z42">
        <v>3.1469999999999998</v>
      </c>
      <c r="AA42">
        <v>3.0649999999999999</v>
      </c>
      <c r="AB42">
        <v>3.0150000000000001</v>
      </c>
      <c r="AC42">
        <v>3.11</v>
      </c>
    </row>
    <row r="43" spans="1:30">
      <c r="B43" s="2">
        <v>45470</v>
      </c>
      <c r="C43">
        <v>3.262</v>
      </c>
      <c r="D43" s="2">
        <v>45470</v>
      </c>
      <c r="E43">
        <v>3.22</v>
      </c>
      <c r="F43" s="2">
        <v>45470</v>
      </c>
      <c r="G43">
        <v>3.23</v>
      </c>
      <c r="H43" s="2">
        <v>45470</v>
      </c>
      <c r="I43">
        <v>3.2949999999999999</v>
      </c>
      <c r="J43" s="2">
        <v>45470</v>
      </c>
      <c r="K43">
        <v>3.2719999999999998</v>
      </c>
      <c r="L43" s="2">
        <v>45470</v>
      </c>
      <c r="M43">
        <v>3.2170000000000001</v>
      </c>
      <c r="N43" s="2">
        <v>45394</v>
      </c>
      <c r="O43">
        <v>3.335</v>
      </c>
      <c r="P43" s="2">
        <v>45470</v>
      </c>
      <c r="Q43">
        <v>3.282</v>
      </c>
      <c r="R43" s="2">
        <v>45365</v>
      </c>
      <c r="S43">
        <v>0.71799999999999997</v>
      </c>
      <c r="U43" s="2">
        <v>45487</v>
      </c>
    </row>
    <row r="44" spans="1:30">
      <c r="B44" s="2">
        <v>45469</v>
      </c>
      <c r="C44">
        <v>3.2549999999999999</v>
      </c>
      <c r="D44" s="2">
        <v>45469</v>
      </c>
      <c r="E44">
        <v>3.2069999999999999</v>
      </c>
      <c r="F44" s="2">
        <v>45469</v>
      </c>
      <c r="G44">
        <v>3.222</v>
      </c>
      <c r="H44" s="2">
        <v>45469</v>
      </c>
      <c r="I44">
        <v>3.2770000000000001</v>
      </c>
      <c r="J44" s="2">
        <v>45469</v>
      </c>
      <c r="K44">
        <v>3.2370000000000001</v>
      </c>
      <c r="L44" s="2">
        <v>45469</v>
      </c>
      <c r="M44">
        <v>3.1920000000000002</v>
      </c>
      <c r="N44" s="2">
        <v>45386</v>
      </c>
      <c r="O44">
        <v>3.2970000000000002</v>
      </c>
      <c r="P44" s="2">
        <v>45469</v>
      </c>
      <c r="Q44">
        <v>3.27</v>
      </c>
      <c r="R44" s="2">
        <v>45363</v>
      </c>
      <c r="S44">
        <v>0.71199999999999997</v>
      </c>
      <c r="U44" s="2">
        <v>45486</v>
      </c>
    </row>
    <row r="45" spans="1:30">
      <c r="B45" s="2">
        <v>45468</v>
      </c>
      <c r="C45">
        <v>3.2549999999999999</v>
      </c>
      <c r="D45" s="2">
        <v>45468</v>
      </c>
      <c r="E45">
        <v>3.1920000000000002</v>
      </c>
      <c r="F45" s="2">
        <v>45468</v>
      </c>
      <c r="G45">
        <v>3.2130000000000001</v>
      </c>
      <c r="H45" s="2">
        <v>45468</v>
      </c>
      <c r="I45">
        <v>3.27</v>
      </c>
      <c r="J45" s="2">
        <v>45468</v>
      </c>
      <c r="K45">
        <v>3.2370000000000001</v>
      </c>
      <c r="L45" s="2">
        <v>45468</v>
      </c>
      <c r="M45">
        <v>3.1850000000000001</v>
      </c>
      <c r="N45" s="2">
        <v>45379</v>
      </c>
      <c r="O45">
        <v>3.2610000000000001</v>
      </c>
      <c r="P45" s="2">
        <v>45468</v>
      </c>
      <c r="Q45">
        <v>3.26</v>
      </c>
      <c r="R45" s="2">
        <v>45362</v>
      </c>
      <c r="S45">
        <v>0.71099999999999997</v>
      </c>
      <c r="U45" s="2">
        <v>45485</v>
      </c>
      <c r="V45">
        <v>3.15</v>
      </c>
      <c r="W45">
        <v>3.0950000000000002</v>
      </c>
      <c r="X45">
        <v>3.1019999999999999</v>
      </c>
      <c r="Y45">
        <v>3.1669999999999998</v>
      </c>
      <c r="Z45">
        <v>3.1419999999999999</v>
      </c>
      <c r="AA45">
        <v>3.06</v>
      </c>
      <c r="AB45">
        <v>3.0350000000000001</v>
      </c>
      <c r="AC45">
        <v>3.165</v>
      </c>
    </row>
    <row r="46" spans="1:30">
      <c r="B46" s="2">
        <v>45467</v>
      </c>
      <c r="C46">
        <v>3.2570000000000001</v>
      </c>
      <c r="D46" s="2">
        <v>45467</v>
      </c>
      <c r="E46">
        <v>3.1949999999999998</v>
      </c>
      <c r="F46" s="2">
        <v>45467</v>
      </c>
      <c r="G46">
        <v>3.2130000000000001</v>
      </c>
      <c r="H46" s="2">
        <v>45467</v>
      </c>
      <c r="I46">
        <v>3.26</v>
      </c>
      <c r="J46" s="2">
        <v>45467</v>
      </c>
      <c r="K46">
        <v>3.24</v>
      </c>
      <c r="L46" s="2">
        <v>45467</v>
      </c>
      <c r="M46">
        <v>3.165</v>
      </c>
      <c r="N46" s="2">
        <v>45376</v>
      </c>
      <c r="O46">
        <v>3.2582100000000001</v>
      </c>
      <c r="P46" s="2">
        <v>45467</v>
      </c>
      <c r="Q46">
        <v>3.2570000000000001</v>
      </c>
      <c r="R46" s="2">
        <v>45359</v>
      </c>
      <c r="S46">
        <v>0.67</v>
      </c>
      <c r="U46" s="2">
        <v>45484</v>
      </c>
      <c r="V46">
        <v>3.2050000000000001</v>
      </c>
      <c r="W46">
        <v>3.157</v>
      </c>
      <c r="X46">
        <v>3.17</v>
      </c>
      <c r="Y46">
        <v>3.2250000000000001</v>
      </c>
      <c r="Z46">
        <v>3.1949999999999998</v>
      </c>
      <c r="AA46">
        <v>3.129</v>
      </c>
      <c r="AB46">
        <v>3.08</v>
      </c>
      <c r="AC46">
        <v>3.202</v>
      </c>
    </row>
    <row r="47" spans="1:30">
      <c r="B47" s="2">
        <v>45464</v>
      </c>
      <c r="C47">
        <v>3.24</v>
      </c>
      <c r="D47" s="2">
        <v>45464</v>
      </c>
      <c r="E47">
        <v>3.16</v>
      </c>
      <c r="F47" s="2">
        <v>45464</v>
      </c>
      <c r="G47">
        <v>3.1850000000000001</v>
      </c>
      <c r="H47" s="2">
        <v>45464</v>
      </c>
      <c r="I47">
        <v>3.24</v>
      </c>
      <c r="J47" s="2">
        <v>45464</v>
      </c>
      <c r="K47">
        <v>3.222</v>
      </c>
      <c r="L47" s="2">
        <v>45464</v>
      </c>
      <c r="M47">
        <v>3.1680000000000001</v>
      </c>
      <c r="N47" s="2">
        <v>45372</v>
      </c>
      <c r="O47">
        <v>3.2530000000000001</v>
      </c>
      <c r="P47" s="2">
        <v>45464</v>
      </c>
      <c r="Q47">
        <v>3.2349999999999999</v>
      </c>
      <c r="R47" s="2">
        <v>45358</v>
      </c>
      <c r="S47">
        <v>0.72499999999999998</v>
      </c>
      <c r="U47" s="2">
        <v>45483</v>
      </c>
      <c r="V47">
        <v>3.14</v>
      </c>
      <c r="W47">
        <v>3.117</v>
      </c>
      <c r="X47">
        <v>3.14</v>
      </c>
      <c r="Y47">
        <v>3.1949999999999998</v>
      </c>
      <c r="Z47">
        <v>3.17</v>
      </c>
      <c r="AA47">
        <v>3.097</v>
      </c>
      <c r="AB47">
        <v>3.06</v>
      </c>
      <c r="AC47">
        <v>3.15</v>
      </c>
    </row>
    <row r="48" spans="1:30">
      <c r="B48" s="2">
        <v>45463</v>
      </c>
      <c r="C48">
        <v>3.25</v>
      </c>
      <c r="D48" s="2">
        <v>45463</v>
      </c>
      <c r="E48">
        <v>3.1949999999999998</v>
      </c>
      <c r="F48" s="2">
        <v>45463</v>
      </c>
      <c r="G48">
        <v>3.22</v>
      </c>
      <c r="H48" s="2">
        <v>45463</v>
      </c>
      <c r="I48">
        <v>3.2269999999999999</v>
      </c>
      <c r="J48" s="2">
        <v>45463</v>
      </c>
      <c r="K48">
        <v>3.2269999999999999</v>
      </c>
      <c r="L48" s="2">
        <v>45463</v>
      </c>
      <c r="M48">
        <v>3.1619999999999999</v>
      </c>
      <c r="N48" s="2">
        <v>45369</v>
      </c>
      <c r="O48">
        <v>3.31</v>
      </c>
      <c r="P48" s="2">
        <v>45463</v>
      </c>
      <c r="Q48">
        <v>3.2570000000000001</v>
      </c>
      <c r="R48" s="2">
        <v>45357</v>
      </c>
      <c r="S48">
        <v>0.72</v>
      </c>
      <c r="U48" s="2">
        <v>45482</v>
      </c>
      <c r="V48">
        <v>3.1549999999999998</v>
      </c>
      <c r="W48">
        <v>3.117</v>
      </c>
      <c r="X48">
        <v>3.14</v>
      </c>
      <c r="Y48">
        <v>3.202</v>
      </c>
      <c r="Z48">
        <v>3.1749999999999998</v>
      </c>
      <c r="AA48">
        <v>3.1070000000000002</v>
      </c>
      <c r="AB48">
        <v>3.0630000000000002</v>
      </c>
      <c r="AC48">
        <v>3.1349999999999998</v>
      </c>
    </row>
    <row r="49" spans="2:30">
      <c r="B49" s="2">
        <v>45462</v>
      </c>
      <c r="C49">
        <v>3.222</v>
      </c>
      <c r="D49" s="2">
        <v>45462</v>
      </c>
      <c r="E49">
        <v>3.15</v>
      </c>
      <c r="F49" s="2">
        <v>45462</v>
      </c>
      <c r="G49">
        <v>3.18</v>
      </c>
      <c r="H49" s="2">
        <v>45462</v>
      </c>
      <c r="I49">
        <v>3.2749999999999999</v>
      </c>
      <c r="J49" s="2">
        <v>45462</v>
      </c>
      <c r="K49">
        <v>3.19</v>
      </c>
      <c r="L49" s="2">
        <v>45462</v>
      </c>
      <c r="M49">
        <v>3.1659999999999999</v>
      </c>
      <c r="N49" s="2">
        <v>45366</v>
      </c>
      <c r="O49">
        <v>3.31</v>
      </c>
      <c r="P49" s="2">
        <v>45462</v>
      </c>
      <c r="Q49">
        <v>3.2250000000000001</v>
      </c>
      <c r="R49" s="2">
        <v>45356</v>
      </c>
      <c r="S49">
        <v>0.72</v>
      </c>
      <c r="U49" s="2">
        <v>45481</v>
      </c>
      <c r="V49">
        <v>3.145</v>
      </c>
      <c r="W49">
        <v>3.117</v>
      </c>
      <c r="X49">
        <v>3.14</v>
      </c>
      <c r="Y49">
        <v>3.21</v>
      </c>
      <c r="Z49">
        <v>3.15</v>
      </c>
      <c r="AA49">
        <v>3.1120000000000001</v>
      </c>
      <c r="AB49">
        <v>3.0720000000000001</v>
      </c>
      <c r="AC49">
        <v>3.1419999999999999</v>
      </c>
      <c r="AD49">
        <v>0.91700000000000004</v>
      </c>
    </row>
    <row r="50" spans="2:30">
      <c r="B50" s="2">
        <v>45461</v>
      </c>
      <c r="C50">
        <v>3.2650000000000001</v>
      </c>
      <c r="D50" s="2">
        <v>45461</v>
      </c>
      <c r="E50">
        <v>3.2090000000000001</v>
      </c>
      <c r="F50" s="2">
        <v>45461</v>
      </c>
      <c r="G50">
        <v>3.23</v>
      </c>
      <c r="H50" s="2">
        <v>45461</v>
      </c>
      <c r="I50">
        <v>3.2749999999999999</v>
      </c>
      <c r="J50" s="2">
        <v>45461</v>
      </c>
      <c r="K50">
        <v>3.2349999999999999</v>
      </c>
      <c r="L50" s="2">
        <v>45461</v>
      </c>
      <c r="M50">
        <v>3.1520000000000001</v>
      </c>
      <c r="N50" s="2">
        <v>45351</v>
      </c>
      <c r="O50">
        <v>3.3210000000000002</v>
      </c>
      <c r="P50" s="2">
        <v>45461</v>
      </c>
      <c r="Q50">
        <v>3.2770000000000001</v>
      </c>
      <c r="R50" s="2">
        <v>45355</v>
      </c>
      <c r="S50">
        <v>0.74</v>
      </c>
      <c r="U50" s="2">
        <v>45480</v>
      </c>
    </row>
    <row r="51" spans="2:30">
      <c r="B51" s="2">
        <v>45460</v>
      </c>
      <c r="C51">
        <v>3.27</v>
      </c>
      <c r="D51" s="2">
        <v>45460</v>
      </c>
      <c r="E51">
        <v>3.2069999999999999</v>
      </c>
      <c r="F51" s="2">
        <v>45460</v>
      </c>
      <c r="G51">
        <v>3.2320000000000002</v>
      </c>
      <c r="H51" s="2">
        <v>45460</v>
      </c>
      <c r="I51">
        <v>3.278</v>
      </c>
      <c r="J51" s="2">
        <v>45460</v>
      </c>
      <c r="K51">
        <v>3.2450000000000001</v>
      </c>
      <c r="L51" s="2">
        <v>45460</v>
      </c>
      <c r="M51">
        <v>3.1850000000000001</v>
      </c>
      <c r="N51" s="2">
        <v>45349</v>
      </c>
      <c r="O51">
        <v>3.2829999999999999</v>
      </c>
      <c r="P51" s="2">
        <v>45460</v>
      </c>
      <c r="Q51">
        <v>3.302</v>
      </c>
      <c r="R51" s="2">
        <v>45337</v>
      </c>
      <c r="S51">
        <v>0.84499999999999997</v>
      </c>
      <c r="U51" s="2">
        <v>45479</v>
      </c>
    </row>
    <row r="52" spans="2:30">
      <c r="B52" s="2">
        <v>45457</v>
      </c>
      <c r="C52">
        <v>3.3313000000000001</v>
      </c>
      <c r="D52" s="2">
        <v>45457</v>
      </c>
      <c r="E52">
        <v>3.242</v>
      </c>
      <c r="F52" s="2">
        <v>45457</v>
      </c>
      <c r="G52">
        <v>3.2669999999999999</v>
      </c>
      <c r="H52" s="2">
        <v>45457</v>
      </c>
      <c r="I52">
        <v>3.3</v>
      </c>
      <c r="J52" s="2">
        <v>45457</v>
      </c>
      <c r="K52">
        <v>3.2669999999999999</v>
      </c>
      <c r="L52" s="2">
        <v>45457</v>
      </c>
      <c r="M52">
        <v>3.2029999999999998</v>
      </c>
      <c r="N52" s="2">
        <v>45341</v>
      </c>
      <c r="O52">
        <v>3.32</v>
      </c>
      <c r="P52" s="2">
        <v>45457</v>
      </c>
      <c r="Q52">
        <v>3.3149999999999999</v>
      </c>
      <c r="R52" s="2">
        <v>45336</v>
      </c>
      <c r="S52">
        <v>0.87</v>
      </c>
      <c r="U52" s="2">
        <v>45478</v>
      </c>
      <c r="V52">
        <v>3.15</v>
      </c>
      <c r="W52">
        <v>3.1150000000000002</v>
      </c>
      <c r="X52">
        <v>3.16</v>
      </c>
      <c r="Y52">
        <v>3.22</v>
      </c>
      <c r="Z52">
        <v>3.1819999999999999</v>
      </c>
      <c r="AA52">
        <v>3.1120000000000001</v>
      </c>
      <c r="AC52">
        <v>3.13</v>
      </c>
      <c r="AD52">
        <v>0.95599999999999996</v>
      </c>
    </row>
    <row r="53" spans="2:30">
      <c r="B53" s="2">
        <v>45456</v>
      </c>
      <c r="C53">
        <v>3.3340000000000001</v>
      </c>
      <c r="D53" s="2">
        <v>45456</v>
      </c>
      <c r="E53">
        <v>3.2850000000000001</v>
      </c>
      <c r="F53" s="2">
        <v>45456</v>
      </c>
      <c r="G53">
        <v>3.302</v>
      </c>
      <c r="H53" s="2">
        <v>45456</v>
      </c>
      <c r="I53">
        <v>3.3519999999999999</v>
      </c>
      <c r="J53" s="2">
        <v>45456</v>
      </c>
      <c r="K53">
        <v>3.29</v>
      </c>
      <c r="L53" s="2">
        <v>45456</v>
      </c>
      <c r="M53">
        <v>3.2250000000000001</v>
      </c>
      <c r="N53" s="2">
        <v>45336</v>
      </c>
      <c r="O53">
        <v>3.37</v>
      </c>
      <c r="P53" s="2">
        <v>45456</v>
      </c>
      <c r="Q53">
        <v>3.3250000000000002</v>
      </c>
      <c r="R53" s="2">
        <v>45327</v>
      </c>
      <c r="S53">
        <v>0.81499999999999995</v>
      </c>
      <c r="U53" s="2">
        <v>45477</v>
      </c>
      <c r="V53">
        <v>3.15</v>
      </c>
      <c r="W53">
        <v>3.13</v>
      </c>
      <c r="X53">
        <v>3.16</v>
      </c>
      <c r="Y53">
        <v>3.2349999999999999</v>
      </c>
      <c r="Z53">
        <v>3.2149999999999999</v>
      </c>
      <c r="AA53">
        <v>3.21</v>
      </c>
      <c r="AC53">
        <v>3.137</v>
      </c>
    </row>
    <row r="54" spans="2:30">
      <c r="B54" s="2">
        <v>45455</v>
      </c>
      <c r="C54">
        <v>3.36</v>
      </c>
      <c r="D54" s="2">
        <v>45455</v>
      </c>
      <c r="E54">
        <v>3.2970000000000002</v>
      </c>
      <c r="F54" s="2">
        <v>45455</v>
      </c>
      <c r="G54">
        <v>3.3250000000000002</v>
      </c>
      <c r="H54" s="2">
        <v>45455</v>
      </c>
      <c r="I54">
        <v>3.367</v>
      </c>
      <c r="J54" s="2">
        <v>45455</v>
      </c>
      <c r="K54">
        <v>3.3050000000000002</v>
      </c>
      <c r="L54" s="2">
        <v>45455</v>
      </c>
      <c r="M54">
        <v>3.2370000000000001</v>
      </c>
      <c r="N54" s="2">
        <v>45335</v>
      </c>
      <c r="O54">
        <v>3.2950400000000002</v>
      </c>
      <c r="P54" s="2">
        <v>45455</v>
      </c>
      <c r="Q54">
        <v>3.3519999999999999</v>
      </c>
      <c r="R54" s="2">
        <v>45324</v>
      </c>
      <c r="S54">
        <v>0.77</v>
      </c>
      <c r="U54" s="2">
        <v>45476</v>
      </c>
      <c r="V54">
        <v>3.1869999999999998</v>
      </c>
      <c r="W54">
        <v>3.1619999999999999</v>
      </c>
      <c r="X54">
        <v>3.1949999999999998</v>
      </c>
      <c r="Y54">
        <v>3.2810000000000001</v>
      </c>
      <c r="Z54">
        <v>3.24</v>
      </c>
      <c r="AA54">
        <v>3.1749999999999998</v>
      </c>
      <c r="AB54">
        <v>3.145</v>
      </c>
      <c r="AC54">
        <v>3.2149999999999999</v>
      </c>
    </row>
    <row r="55" spans="2:30">
      <c r="B55" s="2">
        <v>45454</v>
      </c>
      <c r="C55">
        <v>3.4049999999999998</v>
      </c>
      <c r="D55" s="2">
        <v>45454</v>
      </c>
      <c r="E55">
        <v>3.3319999999999999</v>
      </c>
      <c r="F55" s="2">
        <v>45454</v>
      </c>
      <c r="G55">
        <v>3.36</v>
      </c>
      <c r="H55" s="2">
        <v>45454</v>
      </c>
      <c r="I55">
        <v>3.4180000000000001</v>
      </c>
      <c r="J55" s="2">
        <v>45454</v>
      </c>
      <c r="K55">
        <v>3.347</v>
      </c>
      <c r="L55" s="2">
        <v>45454</v>
      </c>
      <c r="M55">
        <v>3.2719999999999998</v>
      </c>
      <c r="N55" s="2">
        <v>45330</v>
      </c>
      <c r="O55">
        <v>3.2949999999999999</v>
      </c>
      <c r="P55" s="2">
        <v>45454</v>
      </c>
      <c r="Q55">
        <v>3.375</v>
      </c>
      <c r="R55" s="2">
        <v>45323</v>
      </c>
      <c r="S55">
        <v>0.80500000000000005</v>
      </c>
      <c r="U55" s="2">
        <v>45475</v>
      </c>
      <c r="V55">
        <v>3.1869999999999998</v>
      </c>
      <c r="W55">
        <v>3.149</v>
      </c>
      <c r="X55">
        <v>3.1920000000000002</v>
      </c>
      <c r="Y55">
        <v>3.3159999999999998</v>
      </c>
      <c r="Z55">
        <v>3.2349999999999999</v>
      </c>
      <c r="AA55">
        <v>3.1949999999999998</v>
      </c>
      <c r="AC55">
        <v>3.2</v>
      </c>
    </row>
    <row r="56" spans="2:30">
      <c r="B56" s="2">
        <v>45453</v>
      </c>
      <c r="C56">
        <v>3.4049999999999998</v>
      </c>
      <c r="D56" s="2">
        <v>45453</v>
      </c>
      <c r="E56">
        <v>3.343</v>
      </c>
      <c r="F56" s="2">
        <v>45453</v>
      </c>
      <c r="G56">
        <v>3.38</v>
      </c>
      <c r="H56" s="2">
        <v>45453</v>
      </c>
      <c r="I56">
        <v>3.427</v>
      </c>
      <c r="J56" s="2">
        <v>45453</v>
      </c>
      <c r="K56">
        <v>3.37</v>
      </c>
      <c r="L56" s="2">
        <v>45453</v>
      </c>
      <c r="M56">
        <v>3.29</v>
      </c>
      <c r="N56" s="2">
        <v>45329</v>
      </c>
      <c r="O56">
        <v>3.25007</v>
      </c>
      <c r="P56" s="2">
        <v>45453</v>
      </c>
      <c r="Q56">
        <v>3.3849999999999998</v>
      </c>
      <c r="R56" s="2">
        <v>45321</v>
      </c>
      <c r="S56">
        <v>0.84699999999999998</v>
      </c>
      <c r="U56" s="2">
        <v>45474</v>
      </c>
      <c r="V56">
        <v>3.25</v>
      </c>
      <c r="W56">
        <v>3.2069999999999999</v>
      </c>
      <c r="X56">
        <v>3.242</v>
      </c>
      <c r="Y56">
        <v>3.3069999999999999</v>
      </c>
      <c r="Z56">
        <v>3.2650000000000001</v>
      </c>
      <c r="AA56">
        <v>3.2050000000000001</v>
      </c>
      <c r="AB56">
        <v>3.1869999999999998</v>
      </c>
      <c r="AC56">
        <v>3.262</v>
      </c>
    </row>
    <row r="57" spans="2:30">
      <c r="B57" s="2">
        <v>45450</v>
      </c>
      <c r="C57">
        <v>3.3450000000000002</v>
      </c>
      <c r="D57" s="2">
        <v>45450</v>
      </c>
      <c r="E57">
        <v>3.3</v>
      </c>
      <c r="F57" s="2">
        <v>45450</v>
      </c>
      <c r="G57">
        <v>3.33</v>
      </c>
      <c r="H57" s="2">
        <v>45450</v>
      </c>
      <c r="I57">
        <v>3.37</v>
      </c>
      <c r="J57" s="2">
        <v>45450</v>
      </c>
      <c r="K57">
        <v>3.3250000000000002</v>
      </c>
      <c r="L57" s="2">
        <v>45450</v>
      </c>
      <c r="M57">
        <v>3.26</v>
      </c>
      <c r="N57" s="2">
        <v>45328</v>
      </c>
      <c r="O57">
        <v>3.2480000000000002</v>
      </c>
      <c r="P57" s="2">
        <v>45450</v>
      </c>
      <c r="Q57">
        <v>3.34</v>
      </c>
      <c r="R57" s="2">
        <v>45317</v>
      </c>
      <c r="S57">
        <v>0.83299999999999996</v>
      </c>
      <c r="U57" s="2">
        <v>45473</v>
      </c>
    </row>
    <row r="58" spans="2:30">
      <c r="B58" s="2">
        <v>45448</v>
      </c>
      <c r="C58">
        <v>3.3759999999999999</v>
      </c>
      <c r="D58" s="2">
        <v>45448</v>
      </c>
      <c r="E58">
        <v>3.3420000000000001</v>
      </c>
      <c r="F58" s="2">
        <v>45448</v>
      </c>
      <c r="G58">
        <v>3.367</v>
      </c>
      <c r="H58" s="2">
        <v>45448</v>
      </c>
      <c r="I58">
        <v>3.43</v>
      </c>
      <c r="J58" s="2">
        <v>45448</v>
      </c>
      <c r="K58">
        <v>3.3679999999999999</v>
      </c>
      <c r="L58" s="2">
        <v>45448</v>
      </c>
      <c r="M58">
        <v>3.2949999999999999</v>
      </c>
      <c r="N58" s="2">
        <v>45322</v>
      </c>
      <c r="O58">
        <v>3.2502499999999999</v>
      </c>
      <c r="P58" s="2">
        <v>45448</v>
      </c>
      <c r="Q58">
        <v>3.36</v>
      </c>
      <c r="R58" s="2">
        <v>45316</v>
      </c>
      <c r="S58">
        <v>0.89400000000000002</v>
      </c>
      <c r="U58" s="2">
        <v>45472</v>
      </c>
    </row>
    <row r="59" spans="2:30">
      <c r="B59" s="2">
        <v>45447</v>
      </c>
      <c r="C59">
        <v>3.41</v>
      </c>
      <c r="D59" s="2">
        <v>45447</v>
      </c>
      <c r="E59">
        <v>3.3839999999999999</v>
      </c>
      <c r="F59" s="2">
        <v>45447</v>
      </c>
      <c r="G59">
        <v>3.411</v>
      </c>
      <c r="H59" s="2">
        <v>45447</v>
      </c>
      <c r="I59">
        <v>3.4750000000000001</v>
      </c>
      <c r="J59" s="2">
        <v>45447</v>
      </c>
      <c r="K59">
        <v>3.4020000000000001</v>
      </c>
      <c r="L59" s="2">
        <v>45447</v>
      </c>
      <c r="M59">
        <v>3.3239999999999998</v>
      </c>
      <c r="N59" s="2">
        <v>45321</v>
      </c>
      <c r="O59">
        <v>3.3</v>
      </c>
      <c r="P59" s="2">
        <v>45447</v>
      </c>
      <c r="Q59">
        <v>3.4</v>
      </c>
      <c r="R59" s="2">
        <v>45315</v>
      </c>
      <c r="S59">
        <v>0.86499999999999999</v>
      </c>
      <c r="U59" s="2">
        <v>45471</v>
      </c>
      <c r="V59">
        <v>3.2570000000000001</v>
      </c>
      <c r="W59">
        <v>3.18</v>
      </c>
      <c r="X59">
        <v>3.222</v>
      </c>
      <c r="Y59">
        <v>3.25</v>
      </c>
      <c r="Z59">
        <v>3.242</v>
      </c>
      <c r="AA59">
        <v>3.1970000000000001</v>
      </c>
      <c r="AB59">
        <v>3.1629999999999998</v>
      </c>
      <c r="AC59">
        <v>3.24</v>
      </c>
    </row>
    <row r="60" spans="2:30">
      <c r="B60" s="2">
        <v>45446</v>
      </c>
      <c r="C60">
        <v>3.448</v>
      </c>
      <c r="D60" s="2">
        <v>45446</v>
      </c>
      <c r="E60">
        <v>3.4350000000000001</v>
      </c>
      <c r="F60" s="2">
        <v>45446</v>
      </c>
      <c r="G60">
        <v>3.4649999999999999</v>
      </c>
      <c r="H60" s="2">
        <v>45446</v>
      </c>
      <c r="I60">
        <v>3.54</v>
      </c>
      <c r="J60" s="2">
        <v>45446</v>
      </c>
      <c r="K60">
        <v>3.45</v>
      </c>
      <c r="L60" s="2">
        <v>45446</v>
      </c>
      <c r="M60">
        <v>3.37</v>
      </c>
      <c r="N60" s="2">
        <v>45320</v>
      </c>
      <c r="O60">
        <v>3.3454000000000002</v>
      </c>
      <c r="P60" s="2">
        <v>45446</v>
      </c>
      <c r="Q60">
        <v>3.4350000000000001</v>
      </c>
      <c r="R60" s="2">
        <v>45314</v>
      </c>
      <c r="S60">
        <v>0.87</v>
      </c>
      <c r="U60" s="2">
        <v>45470</v>
      </c>
      <c r="V60">
        <v>3.262</v>
      </c>
      <c r="W60">
        <v>3.22</v>
      </c>
      <c r="X60">
        <v>3.23</v>
      </c>
      <c r="Y60">
        <v>3.2949999999999999</v>
      </c>
      <c r="Z60">
        <v>3.2719999999999998</v>
      </c>
      <c r="AA60">
        <v>3.2170000000000001</v>
      </c>
      <c r="AC60">
        <v>3.282</v>
      </c>
    </row>
    <row r="61" spans="2:30">
      <c r="B61" s="2">
        <v>45443</v>
      </c>
      <c r="C61">
        <v>3.4687800000000002</v>
      </c>
      <c r="D61" s="2">
        <v>45443</v>
      </c>
      <c r="E61">
        <v>3.4529999999999998</v>
      </c>
      <c r="F61" s="2">
        <v>45443</v>
      </c>
      <c r="G61">
        <v>3.5</v>
      </c>
      <c r="H61" s="2">
        <v>45443</v>
      </c>
      <c r="I61">
        <v>3.58</v>
      </c>
      <c r="J61" s="2">
        <v>45443</v>
      </c>
      <c r="K61">
        <v>3.4028</v>
      </c>
      <c r="L61" s="2">
        <v>45443</v>
      </c>
      <c r="M61">
        <v>3.43</v>
      </c>
      <c r="N61" s="2">
        <v>45313</v>
      </c>
      <c r="O61">
        <v>3.2250100000000002</v>
      </c>
      <c r="P61" s="2">
        <v>45443</v>
      </c>
      <c r="Q61">
        <v>3.4350000000000001</v>
      </c>
      <c r="R61" s="2">
        <v>45313</v>
      </c>
      <c r="S61">
        <v>0.87</v>
      </c>
      <c r="U61" s="2">
        <v>45469</v>
      </c>
      <c r="V61">
        <v>3.2549999999999999</v>
      </c>
      <c r="W61">
        <v>3.2069999999999999</v>
      </c>
      <c r="X61">
        <v>3.222</v>
      </c>
      <c r="Y61">
        <v>3.2770000000000001</v>
      </c>
      <c r="Z61">
        <v>3.2370000000000001</v>
      </c>
      <c r="AA61">
        <v>3.1920000000000002</v>
      </c>
      <c r="AC61">
        <v>3.27</v>
      </c>
    </row>
    <row r="62" spans="2:30">
      <c r="B62" s="2">
        <v>45442</v>
      </c>
      <c r="C62">
        <v>3.43</v>
      </c>
      <c r="D62" s="2">
        <v>45442</v>
      </c>
      <c r="E62">
        <v>3.44</v>
      </c>
      <c r="F62" s="2">
        <v>45442</v>
      </c>
      <c r="G62">
        <v>3.492</v>
      </c>
      <c r="H62" s="2">
        <v>45442</v>
      </c>
      <c r="I62">
        <v>3.56</v>
      </c>
      <c r="J62" s="2">
        <v>45442</v>
      </c>
      <c r="K62">
        <v>3.49</v>
      </c>
      <c r="L62" s="2">
        <v>45442</v>
      </c>
      <c r="M62">
        <v>3.407</v>
      </c>
      <c r="N62" s="2">
        <v>45306</v>
      </c>
      <c r="O62">
        <v>3.17503</v>
      </c>
      <c r="P62" s="2">
        <v>45442</v>
      </c>
      <c r="Q62">
        <v>3.427</v>
      </c>
      <c r="R62" s="2">
        <v>45310</v>
      </c>
      <c r="S62">
        <v>0.91</v>
      </c>
      <c r="U62" s="2">
        <v>45468</v>
      </c>
      <c r="V62">
        <v>3.2549999999999999</v>
      </c>
      <c r="W62">
        <v>3.1920000000000002</v>
      </c>
      <c r="X62">
        <v>3.2130000000000001</v>
      </c>
      <c r="Y62">
        <v>3.27</v>
      </c>
      <c r="Z62">
        <v>3.2370000000000001</v>
      </c>
      <c r="AA62">
        <v>3.1850000000000001</v>
      </c>
      <c r="AC62">
        <v>3.26</v>
      </c>
    </row>
    <row r="63" spans="2:30">
      <c r="B63" s="2">
        <v>45441</v>
      </c>
      <c r="C63">
        <v>3.43</v>
      </c>
      <c r="D63" s="2">
        <v>45441</v>
      </c>
      <c r="E63">
        <v>3.3849999999999998</v>
      </c>
      <c r="F63" s="2">
        <v>45441</v>
      </c>
      <c r="G63">
        <v>3.4649999999999999</v>
      </c>
      <c r="H63" s="2">
        <v>45441</v>
      </c>
      <c r="I63">
        <v>3.5350000000000001</v>
      </c>
      <c r="J63" s="2">
        <v>45441</v>
      </c>
      <c r="K63">
        <v>3.4769999999999999</v>
      </c>
      <c r="L63" s="2">
        <v>45441</v>
      </c>
      <c r="M63">
        <v>3.3919999999999999</v>
      </c>
      <c r="N63" s="2">
        <v>45303</v>
      </c>
      <c r="O63">
        <v>3.173</v>
      </c>
      <c r="P63" s="2">
        <v>45441</v>
      </c>
      <c r="Q63">
        <v>3.4319999999999999</v>
      </c>
      <c r="R63" s="2">
        <v>45309</v>
      </c>
      <c r="S63">
        <v>0.91800000000000004</v>
      </c>
      <c r="U63" s="2">
        <v>45467</v>
      </c>
      <c r="V63">
        <v>3.2570000000000001</v>
      </c>
      <c r="W63">
        <v>3.1949999999999998</v>
      </c>
      <c r="X63">
        <v>3.2130000000000001</v>
      </c>
      <c r="Y63">
        <v>3.26</v>
      </c>
      <c r="Z63">
        <v>3.24</v>
      </c>
      <c r="AA63">
        <v>3.165</v>
      </c>
      <c r="AB63">
        <v>3.1269999999999998</v>
      </c>
      <c r="AC63">
        <v>3.2570000000000001</v>
      </c>
    </row>
    <row r="64" spans="2:30">
      <c r="B64" s="2">
        <v>45440</v>
      </c>
      <c r="C64">
        <v>3.41</v>
      </c>
      <c r="D64" s="2">
        <v>45440</v>
      </c>
      <c r="E64">
        <v>3.39</v>
      </c>
      <c r="F64" s="2">
        <v>45440</v>
      </c>
      <c r="G64">
        <v>3.43</v>
      </c>
      <c r="H64" s="2">
        <v>45440</v>
      </c>
      <c r="I64">
        <v>3.4780000000000002</v>
      </c>
      <c r="J64" s="2">
        <v>45440</v>
      </c>
      <c r="K64">
        <v>3.61</v>
      </c>
      <c r="L64" s="2">
        <v>45440</v>
      </c>
      <c r="M64">
        <v>3.355</v>
      </c>
      <c r="N64" s="2">
        <v>45296</v>
      </c>
      <c r="O64">
        <v>3.18</v>
      </c>
      <c r="P64" s="2">
        <v>45440</v>
      </c>
      <c r="Q64">
        <v>3.4020000000000001</v>
      </c>
      <c r="R64" s="2">
        <v>45308</v>
      </c>
      <c r="S64">
        <v>0.89</v>
      </c>
      <c r="U64" s="2">
        <v>45466</v>
      </c>
    </row>
    <row r="65" spans="2:30">
      <c r="B65" s="2">
        <v>45439</v>
      </c>
      <c r="C65">
        <v>3.45</v>
      </c>
      <c r="D65" s="2">
        <v>45439</v>
      </c>
      <c r="E65">
        <v>3.41</v>
      </c>
      <c r="F65" s="2">
        <v>45439</v>
      </c>
      <c r="G65">
        <v>3.44</v>
      </c>
      <c r="H65" s="2">
        <v>45439</v>
      </c>
      <c r="I65">
        <v>3.4969999999999999</v>
      </c>
      <c r="J65" s="2">
        <v>45439</v>
      </c>
      <c r="K65">
        <v>3.44</v>
      </c>
      <c r="L65" s="2">
        <v>45439</v>
      </c>
      <c r="M65">
        <v>3.36</v>
      </c>
      <c r="N65" s="2">
        <v>45288</v>
      </c>
      <c r="O65">
        <v>3.06</v>
      </c>
      <c r="P65" s="2">
        <v>45439</v>
      </c>
      <c r="Q65">
        <v>3.4169999999999998</v>
      </c>
      <c r="R65" s="2">
        <v>45307</v>
      </c>
      <c r="S65">
        <v>0.91</v>
      </c>
      <c r="U65" s="2">
        <v>45465</v>
      </c>
    </row>
    <row r="66" spans="2:30">
      <c r="B66" s="2">
        <v>45436</v>
      </c>
      <c r="C66">
        <v>3.53</v>
      </c>
      <c r="D66" s="2">
        <v>45436</v>
      </c>
      <c r="E66">
        <v>3.4169999999999998</v>
      </c>
      <c r="F66" s="2">
        <v>45436</v>
      </c>
      <c r="G66">
        <v>3.43</v>
      </c>
      <c r="H66" s="2">
        <v>45436</v>
      </c>
      <c r="I66">
        <v>3.5070000000000001</v>
      </c>
      <c r="J66" s="2">
        <v>45436</v>
      </c>
      <c r="K66">
        <v>3.4420000000000002</v>
      </c>
      <c r="L66" s="2">
        <v>45436</v>
      </c>
      <c r="M66">
        <v>3.36</v>
      </c>
      <c r="N66" s="2">
        <v>45286</v>
      </c>
      <c r="O66">
        <v>3.17</v>
      </c>
      <c r="P66" s="2">
        <v>45436</v>
      </c>
      <c r="Q66">
        <v>3.43</v>
      </c>
      <c r="R66" s="2">
        <v>45306</v>
      </c>
      <c r="S66">
        <v>0.86499999999999999</v>
      </c>
      <c r="U66" s="2">
        <v>45464</v>
      </c>
      <c r="V66">
        <v>3.24</v>
      </c>
      <c r="W66">
        <v>3.16</v>
      </c>
      <c r="X66">
        <v>3.1850000000000001</v>
      </c>
      <c r="Y66">
        <v>3.24</v>
      </c>
      <c r="Z66">
        <v>3.222</v>
      </c>
      <c r="AA66">
        <v>3.1680000000000001</v>
      </c>
      <c r="AC66">
        <v>3.2349999999999999</v>
      </c>
    </row>
    <row r="67" spans="2:30">
      <c r="B67" s="2">
        <v>45435</v>
      </c>
      <c r="C67">
        <v>3.4319999999999999</v>
      </c>
      <c r="D67" s="2">
        <v>45435</v>
      </c>
      <c r="E67">
        <v>3.4</v>
      </c>
      <c r="F67" s="2">
        <v>45435</v>
      </c>
      <c r="G67">
        <v>3.4220000000000002</v>
      </c>
      <c r="H67" s="2">
        <v>45435</v>
      </c>
      <c r="I67">
        <v>3.4670000000000001</v>
      </c>
      <c r="J67" s="2">
        <v>45435</v>
      </c>
      <c r="K67">
        <v>3.4119999999999999</v>
      </c>
      <c r="L67" s="2">
        <v>45435</v>
      </c>
      <c r="M67">
        <v>3.327</v>
      </c>
      <c r="N67" s="2">
        <v>45282</v>
      </c>
      <c r="O67">
        <v>3.19</v>
      </c>
      <c r="P67" s="2">
        <v>45435</v>
      </c>
      <c r="Q67">
        <v>3.415</v>
      </c>
      <c r="R67" s="2">
        <v>45303</v>
      </c>
      <c r="S67">
        <v>0.88700000000000001</v>
      </c>
      <c r="U67" s="2">
        <v>45463</v>
      </c>
      <c r="V67">
        <v>3.25</v>
      </c>
      <c r="W67">
        <v>3.1949999999999998</v>
      </c>
      <c r="X67">
        <v>3.22</v>
      </c>
      <c r="Y67">
        <v>3.2269999999999999</v>
      </c>
      <c r="Z67">
        <v>3.2269999999999999</v>
      </c>
      <c r="AA67">
        <v>3.1619999999999999</v>
      </c>
      <c r="AB67">
        <v>3.1002200000000002</v>
      </c>
      <c r="AC67">
        <v>3.2570000000000001</v>
      </c>
      <c r="AD67">
        <v>0.89600000000000002</v>
      </c>
    </row>
    <row r="68" spans="2:30">
      <c r="B68" s="2">
        <v>45434</v>
      </c>
      <c r="C68">
        <v>3.44299</v>
      </c>
      <c r="D68" s="2">
        <v>45434</v>
      </c>
      <c r="E68">
        <v>3.41</v>
      </c>
      <c r="F68" s="2">
        <v>45434</v>
      </c>
      <c r="G68">
        <v>3.4449999999999998</v>
      </c>
      <c r="H68" s="2">
        <v>45434</v>
      </c>
      <c r="I68">
        <v>3.4820000000000002</v>
      </c>
      <c r="J68" s="2">
        <v>45434</v>
      </c>
      <c r="K68">
        <v>3.4079999999999999</v>
      </c>
      <c r="L68" s="2">
        <v>45434</v>
      </c>
      <c r="M68">
        <v>3.22</v>
      </c>
      <c r="N68" s="2">
        <v>45281</v>
      </c>
      <c r="O68">
        <v>3.2050000000000001</v>
      </c>
      <c r="P68" s="2">
        <v>45434</v>
      </c>
      <c r="Q68">
        <v>3.42</v>
      </c>
      <c r="R68" s="2">
        <v>45302</v>
      </c>
      <c r="S68">
        <v>0.90500000000000003</v>
      </c>
      <c r="U68" s="2">
        <v>45462</v>
      </c>
      <c r="V68">
        <v>3.222</v>
      </c>
      <c r="W68">
        <v>3.15</v>
      </c>
      <c r="X68">
        <v>3.18</v>
      </c>
      <c r="Y68">
        <v>3.2749999999999999</v>
      </c>
      <c r="Z68">
        <v>3.19</v>
      </c>
      <c r="AA68">
        <v>3.1659999999999999</v>
      </c>
      <c r="AC68">
        <v>3.2250000000000001</v>
      </c>
      <c r="AD68">
        <v>0.88</v>
      </c>
    </row>
    <row r="69" spans="2:30">
      <c r="B69" s="2">
        <v>45433</v>
      </c>
      <c r="C69">
        <v>3.4470000000000001</v>
      </c>
      <c r="D69" s="2">
        <v>45433</v>
      </c>
      <c r="E69">
        <v>3.4119999999999999</v>
      </c>
      <c r="F69" s="2">
        <v>45433</v>
      </c>
      <c r="G69">
        <v>3.4420000000000002</v>
      </c>
      <c r="H69" s="2">
        <v>45433</v>
      </c>
      <c r="I69">
        <v>3.49</v>
      </c>
      <c r="J69" s="2">
        <v>45433</v>
      </c>
      <c r="K69">
        <v>3.4249999999999998</v>
      </c>
      <c r="L69" s="2">
        <v>45433</v>
      </c>
      <c r="M69">
        <v>3.3370000000000002</v>
      </c>
      <c r="N69" s="2">
        <v>45280</v>
      </c>
      <c r="O69">
        <v>3.17</v>
      </c>
      <c r="P69" s="2">
        <v>45433</v>
      </c>
      <c r="Q69">
        <v>3.427</v>
      </c>
      <c r="R69" s="2">
        <v>45301</v>
      </c>
      <c r="S69">
        <v>0.90500000000000003</v>
      </c>
      <c r="U69" s="2">
        <v>45461</v>
      </c>
      <c r="V69">
        <v>3.2650000000000001</v>
      </c>
      <c r="W69">
        <v>3.2090000000000001</v>
      </c>
      <c r="X69">
        <v>3.23</v>
      </c>
      <c r="Y69">
        <v>3.2749999999999999</v>
      </c>
      <c r="Z69">
        <v>3.2349999999999999</v>
      </c>
      <c r="AA69">
        <v>3.1520000000000001</v>
      </c>
      <c r="AB69">
        <v>3.1269999999999998</v>
      </c>
      <c r="AC69">
        <v>3.2770000000000001</v>
      </c>
    </row>
    <row r="70" spans="2:30">
      <c r="B70" s="2">
        <v>45432</v>
      </c>
      <c r="C70">
        <v>3.4449999999999998</v>
      </c>
      <c r="D70" s="2">
        <v>45432</v>
      </c>
      <c r="E70">
        <v>3.407</v>
      </c>
      <c r="F70" s="2">
        <v>45432</v>
      </c>
      <c r="G70">
        <v>3.44</v>
      </c>
      <c r="H70" s="2">
        <v>45432</v>
      </c>
      <c r="I70">
        <v>3.5</v>
      </c>
      <c r="J70" s="2">
        <v>45432</v>
      </c>
      <c r="K70">
        <v>3.452</v>
      </c>
      <c r="L70" s="2">
        <v>45432</v>
      </c>
      <c r="M70">
        <v>3.3570000000000002</v>
      </c>
      <c r="N70" s="2">
        <v>45274</v>
      </c>
      <c r="O70">
        <v>3.1702599999999999</v>
      </c>
      <c r="P70" s="2">
        <v>45432</v>
      </c>
      <c r="Q70">
        <v>3.427</v>
      </c>
      <c r="R70" s="2">
        <v>45300</v>
      </c>
      <c r="S70">
        <v>0.91834000000000005</v>
      </c>
      <c r="U70" s="2">
        <v>45460</v>
      </c>
      <c r="V70">
        <v>3.27</v>
      </c>
      <c r="W70">
        <v>3.2069999999999999</v>
      </c>
      <c r="X70">
        <v>3.2320000000000002</v>
      </c>
      <c r="Y70">
        <v>3.278</v>
      </c>
      <c r="Z70">
        <v>3.2450000000000001</v>
      </c>
      <c r="AA70">
        <v>3.1850000000000001</v>
      </c>
      <c r="AB70">
        <v>3.1749999999999998</v>
      </c>
      <c r="AC70">
        <v>3.302</v>
      </c>
      <c r="AD70">
        <v>0.87</v>
      </c>
    </row>
    <row r="71" spans="2:30">
      <c r="B71" s="2">
        <v>45429</v>
      </c>
      <c r="C71">
        <v>3.415</v>
      </c>
      <c r="D71" s="2">
        <v>45429</v>
      </c>
      <c r="E71">
        <v>3.3769999999999998</v>
      </c>
      <c r="F71" s="2">
        <v>45429</v>
      </c>
      <c r="G71">
        <v>3.41</v>
      </c>
      <c r="H71" s="2">
        <v>45429</v>
      </c>
      <c r="I71">
        <v>3.4550000000000001</v>
      </c>
      <c r="J71" s="2">
        <v>45429</v>
      </c>
      <c r="K71">
        <v>3.4</v>
      </c>
      <c r="L71" s="2">
        <v>45429</v>
      </c>
      <c r="M71">
        <v>3.3220000000000001</v>
      </c>
      <c r="N71" s="2">
        <v>45272</v>
      </c>
      <c r="O71">
        <v>3.4009999999999998</v>
      </c>
      <c r="P71" s="2">
        <v>45429</v>
      </c>
      <c r="Q71">
        <v>3.46</v>
      </c>
      <c r="R71" s="2">
        <v>45299</v>
      </c>
      <c r="S71">
        <v>0.94533</v>
      </c>
      <c r="U71" s="2">
        <v>45459</v>
      </c>
    </row>
    <row r="72" spans="2:30">
      <c r="B72" s="2">
        <v>45428</v>
      </c>
      <c r="C72">
        <v>3.4228200000000002</v>
      </c>
      <c r="D72" s="2">
        <v>45428</v>
      </c>
      <c r="E72">
        <v>3.375</v>
      </c>
      <c r="F72" s="2">
        <v>45428</v>
      </c>
      <c r="G72">
        <v>3.415</v>
      </c>
      <c r="H72" s="2">
        <v>45428</v>
      </c>
      <c r="I72">
        <v>3.4649999999999999</v>
      </c>
      <c r="J72" s="2">
        <v>45428</v>
      </c>
      <c r="K72">
        <v>3.4</v>
      </c>
      <c r="L72" s="2">
        <v>45428</v>
      </c>
      <c r="M72">
        <v>3.3220000000000001</v>
      </c>
      <c r="N72" s="2">
        <v>45271</v>
      </c>
      <c r="O72">
        <v>3.4249999999999998</v>
      </c>
      <c r="P72" s="2">
        <v>45428</v>
      </c>
      <c r="Q72">
        <v>3.4</v>
      </c>
      <c r="R72" s="2">
        <v>45296</v>
      </c>
      <c r="S72">
        <v>0.95599999999999996</v>
      </c>
      <c r="U72" s="2">
        <v>45458</v>
      </c>
    </row>
    <row r="73" spans="2:30">
      <c r="B73" s="2">
        <v>45426</v>
      </c>
      <c r="C73">
        <v>3.4729999999999999</v>
      </c>
      <c r="D73" s="2">
        <v>45426</v>
      </c>
      <c r="E73">
        <v>3.452</v>
      </c>
      <c r="F73" s="2">
        <v>45426</v>
      </c>
      <c r="G73">
        <v>3.492</v>
      </c>
      <c r="H73" s="2">
        <v>45426</v>
      </c>
      <c r="I73">
        <v>3.55</v>
      </c>
      <c r="J73" s="2">
        <v>45426</v>
      </c>
      <c r="K73">
        <v>3.472</v>
      </c>
      <c r="L73" s="2">
        <v>45426</v>
      </c>
      <c r="M73">
        <v>3.3919999999999999</v>
      </c>
      <c r="N73" s="2">
        <v>45268</v>
      </c>
      <c r="O73">
        <v>3.4249999999999998</v>
      </c>
      <c r="P73" s="2">
        <v>45426</v>
      </c>
      <c r="Q73">
        <v>3.46</v>
      </c>
      <c r="R73" s="2">
        <v>45286</v>
      </c>
      <c r="S73">
        <v>0.84</v>
      </c>
      <c r="U73" s="2">
        <v>45457</v>
      </c>
      <c r="V73">
        <v>3.3313000000000001</v>
      </c>
      <c r="W73">
        <v>3.242</v>
      </c>
      <c r="X73">
        <v>3.2669999999999999</v>
      </c>
      <c r="Y73">
        <v>3.3</v>
      </c>
      <c r="Z73">
        <v>3.2669999999999999</v>
      </c>
      <c r="AA73">
        <v>3.2029999999999998</v>
      </c>
      <c r="AB73">
        <v>3.1890000000000001</v>
      </c>
      <c r="AC73">
        <v>3.3149999999999999</v>
      </c>
    </row>
    <row r="74" spans="2:30">
      <c r="B74" s="2">
        <v>45425</v>
      </c>
      <c r="C74">
        <v>3.47</v>
      </c>
      <c r="D74" s="2">
        <v>45425</v>
      </c>
      <c r="E74">
        <v>3.452</v>
      </c>
      <c r="F74" s="2">
        <v>45425</v>
      </c>
      <c r="G74">
        <v>3.48</v>
      </c>
      <c r="H74" s="2">
        <v>45425</v>
      </c>
      <c r="I74">
        <v>3.5550000000000002</v>
      </c>
      <c r="J74" s="2">
        <v>45425</v>
      </c>
      <c r="K74">
        <v>3.49</v>
      </c>
      <c r="L74" s="2">
        <v>45425</v>
      </c>
      <c r="M74">
        <v>3.3955199999999999</v>
      </c>
      <c r="N74" s="2">
        <v>45264</v>
      </c>
      <c r="O74">
        <v>3.4369999999999998</v>
      </c>
      <c r="P74" s="2">
        <v>45425</v>
      </c>
      <c r="Q74">
        <v>3.4649999999999999</v>
      </c>
      <c r="R74" s="2">
        <v>45282</v>
      </c>
      <c r="S74">
        <v>0.83499999999999996</v>
      </c>
      <c r="U74" s="2">
        <v>45456</v>
      </c>
      <c r="V74">
        <v>3.3340000000000001</v>
      </c>
      <c r="W74">
        <v>3.2850000000000001</v>
      </c>
      <c r="X74">
        <v>3.302</v>
      </c>
      <c r="Y74">
        <v>3.3519999999999999</v>
      </c>
      <c r="Z74">
        <v>3.29</v>
      </c>
      <c r="AA74">
        <v>3.2250000000000001</v>
      </c>
      <c r="AC74">
        <v>3.3250000000000002</v>
      </c>
      <c r="AD74">
        <v>0.9</v>
      </c>
    </row>
    <row r="75" spans="2:30">
      <c r="B75" s="2">
        <v>45422</v>
      </c>
      <c r="C75">
        <v>3.46</v>
      </c>
      <c r="D75" s="2">
        <v>45422</v>
      </c>
      <c r="E75">
        <v>3.4350000000000001</v>
      </c>
      <c r="F75" s="2">
        <v>45422</v>
      </c>
      <c r="G75">
        <v>3.4849999999999999</v>
      </c>
      <c r="H75" s="2">
        <v>45422</v>
      </c>
      <c r="I75">
        <v>3.5350000000000001</v>
      </c>
      <c r="J75" s="2">
        <v>45422</v>
      </c>
      <c r="K75">
        <v>3.4740000000000002</v>
      </c>
      <c r="L75" s="2">
        <v>45422</v>
      </c>
      <c r="M75">
        <v>3.395</v>
      </c>
      <c r="N75" s="2">
        <v>45260</v>
      </c>
      <c r="O75">
        <v>3.5019999999999998</v>
      </c>
      <c r="P75" s="2">
        <v>45422</v>
      </c>
      <c r="Q75">
        <v>3.45</v>
      </c>
      <c r="R75" s="2">
        <v>45274</v>
      </c>
      <c r="S75">
        <v>0.86499999999999999</v>
      </c>
      <c r="U75" s="2">
        <v>45455</v>
      </c>
      <c r="V75">
        <v>3.36</v>
      </c>
      <c r="W75">
        <v>3.2970000000000002</v>
      </c>
      <c r="X75">
        <v>3.3250000000000002</v>
      </c>
      <c r="Y75">
        <v>3.367</v>
      </c>
      <c r="Z75">
        <v>3.3050000000000002</v>
      </c>
      <c r="AA75">
        <v>3.2370000000000001</v>
      </c>
      <c r="AC75">
        <v>3.3519999999999999</v>
      </c>
      <c r="AD75">
        <v>0.98399999999999999</v>
      </c>
    </row>
    <row r="76" spans="2:30">
      <c r="B76" s="2">
        <v>45421</v>
      </c>
      <c r="C76">
        <v>3.472</v>
      </c>
      <c r="D76" s="2">
        <v>45421</v>
      </c>
      <c r="E76">
        <v>3.4529999999999998</v>
      </c>
      <c r="F76" s="2">
        <v>45421</v>
      </c>
      <c r="G76">
        <v>3.4950000000000001</v>
      </c>
      <c r="H76" s="2">
        <v>45421</v>
      </c>
      <c r="I76">
        <v>3.5569999999999999</v>
      </c>
      <c r="J76" s="2">
        <v>45421</v>
      </c>
      <c r="K76">
        <v>3.49</v>
      </c>
      <c r="L76" s="2">
        <v>45421</v>
      </c>
      <c r="M76">
        <v>3.4220000000000002</v>
      </c>
      <c r="N76" s="2">
        <v>45257</v>
      </c>
      <c r="O76">
        <v>3.55</v>
      </c>
      <c r="P76" s="2">
        <v>45421</v>
      </c>
      <c r="Q76">
        <v>3.468</v>
      </c>
      <c r="R76" s="2">
        <v>45272</v>
      </c>
      <c r="S76">
        <v>1</v>
      </c>
      <c r="U76" s="2">
        <v>45454</v>
      </c>
      <c r="V76">
        <v>3.4049999999999998</v>
      </c>
      <c r="W76">
        <v>3.3319999999999999</v>
      </c>
      <c r="X76">
        <v>3.36</v>
      </c>
      <c r="Y76">
        <v>3.4180000000000001</v>
      </c>
      <c r="Z76">
        <v>3.347</v>
      </c>
      <c r="AA76">
        <v>3.2719999999999998</v>
      </c>
      <c r="AC76">
        <v>3.375</v>
      </c>
      <c r="AD76">
        <v>0.97499999999999998</v>
      </c>
    </row>
    <row r="77" spans="2:30">
      <c r="B77" s="2">
        <v>45420</v>
      </c>
      <c r="C77">
        <v>3.4649999999999999</v>
      </c>
      <c r="D77" s="2">
        <v>45420</v>
      </c>
      <c r="E77">
        <v>3.4369999999999998</v>
      </c>
      <c r="F77" s="2">
        <v>45420</v>
      </c>
      <c r="G77">
        <v>3.4750000000000001</v>
      </c>
      <c r="H77" s="2">
        <v>45420</v>
      </c>
      <c r="I77">
        <v>3.5350000000000001</v>
      </c>
      <c r="J77" s="2">
        <v>45420</v>
      </c>
      <c r="K77">
        <v>3.4670000000000001</v>
      </c>
      <c r="L77" s="2">
        <v>45420</v>
      </c>
      <c r="M77">
        <v>3.38</v>
      </c>
      <c r="N77" s="2">
        <v>45244</v>
      </c>
      <c r="O77">
        <v>3.76</v>
      </c>
      <c r="P77" s="2">
        <v>45420</v>
      </c>
      <c r="Q77">
        <v>3.4569999999999999</v>
      </c>
      <c r="R77" s="2">
        <v>45271</v>
      </c>
      <c r="S77">
        <v>0.97</v>
      </c>
      <c r="U77" s="2">
        <v>45453</v>
      </c>
      <c r="V77">
        <v>3.4049999999999998</v>
      </c>
      <c r="W77">
        <v>3.343</v>
      </c>
      <c r="X77">
        <v>3.38</v>
      </c>
      <c r="Y77">
        <v>3.427</v>
      </c>
      <c r="Z77">
        <v>3.37</v>
      </c>
      <c r="AA77">
        <v>3.29</v>
      </c>
      <c r="AC77">
        <v>3.3849999999999998</v>
      </c>
      <c r="AD77">
        <v>0.88</v>
      </c>
    </row>
    <row r="78" spans="2:30">
      <c r="B78" s="2">
        <v>45419</v>
      </c>
      <c r="C78">
        <v>3.47</v>
      </c>
      <c r="D78" s="2">
        <v>45419</v>
      </c>
      <c r="E78">
        <v>3.5049999999999999</v>
      </c>
      <c r="F78" s="2">
        <v>45419</v>
      </c>
      <c r="G78">
        <v>3.4969999999999999</v>
      </c>
      <c r="H78" s="2">
        <v>45419</v>
      </c>
      <c r="I78">
        <v>3.54</v>
      </c>
      <c r="J78" s="2">
        <v>45419</v>
      </c>
      <c r="K78">
        <v>3.4689999999999999</v>
      </c>
      <c r="L78" s="2">
        <v>45419</v>
      </c>
      <c r="M78">
        <v>3.3170000000000002</v>
      </c>
      <c r="N78" s="2">
        <v>45243</v>
      </c>
      <c r="O78">
        <v>3.73</v>
      </c>
      <c r="P78" s="2">
        <v>45419</v>
      </c>
      <c r="Q78">
        <v>3.4630000000000001</v>
      </c>
      <c r="R78" s="2">
        <v>45268</v>
      </c>
      <c r="S78">
        <v>0.97</v>
      </c>
      <c r="U78" s="2">
        <v>45452</v>
      </c>
    </row>
    <row r="79" spans="2:30">
      <c r="B79" s="2">
        <v>45415</v>
      </c>
      <c r="C79">
        <v>3.4950000000000001</v>
      </c>
      <c r="D79" s="2">
        <v>45415</v>
      </c>
      <c r="E79">
        <v>3.5049999999999999</v>
      </c>
      <c r="F79" s="2">
        <v>45415</v>
      </c>
      <c r="G79">
        <v>3.552</v>
      </c>
      <c r="H79" s="2">
        <v>45415</v>
      </c>
      <c r="I79">
        <v>3.6219999999999999</v>
      </c>
      <c r="J79" s="2">
        <v>45415</v>
      </c>
      <c r="K79">
        <v>3.532</v>
      </c>
      <c r="L79" s="2">
        <v>45415</v>
      </c>
      <c r="M79">
        <v>3.43161</v>
      </c>
      <c r="N79" s="2">
        <v>45240</v>
      </c>
      <c r="O79">
        <v>3.73</v>
      </c>
      <c r="P79" s="2">
        <v>45415</v>
      </c>
      <c r="Q79">
        <v>3.5019999999999998</v>
      </c>
      <c r="R79" s="2">
        <v>45267</v>
      </c>
      <c r="S79">
        <v>1.01</v>
      </c>
      <c r="U79" s="2">
        <v>45451</v>
      </c>
    </row>
    <row r="80" spans="2:30">
      <c r="B80" s="2">
        <v>45414</v>
      </c>
      <c r="C80">
        <v>3.4950000000000001</v>
      </c>
      <c r="D80" s="2">
        <v>45414</v>
      </c>
      <c r="E80">
        <v>3.51</v>
      </c>
      <c r="F80" s="2">
        <v>45414</v>
      </c>
      <c r="G80">
        <v>3.5649999999999999</v>
      </c>
      <c r="H80" s="2">
        <v>45414</v>
      </c>
      <c r="I80">
        <v>3.6419999999999999</v>
      </c>
      <c r="J80" s="2">
        <v>45414</v>
      </c>
      <c r="K80">
        <v>3.5550000000000002</v>
      </c>
      <c r="L80" s="2">
        <v>45414</v>
      </c>
      <c r="M80">
        <v>3.4649999999999999</v>
      </c>
      <c r="N80" s="2">
        <v>45232</v>
      </c>
      <c r="O80">
        <v>3.8500700000000001</v>
      </c>
      <c r="P80" s="2">
        <v>45414</v>
      </c>
      <c r="Q80">
        <v>3.5150000000000001</v>
      </c>
      <c r="R80" s="2">
        <v>45266</v>
      </c>
      <c r="S80">
        <v>0.97</v>
      </c>
      <c r="U80" s="2">
        <v>45450</v>
      </c>
      <c r="V80">
        <v>3.3450000000000002</v>
      </c>
      <c r="W80">
        <v>3.3</v>
      </c>
      <c r="X80">
        <v>3.33</v>
      </c>
      <c r="Y80">
        <v>3.37</v>
      </c>
      <c r="Z80">
        <v>3.3250000000000002</v>
      </c>
      <c r="AA80">
        <v>3.26</v>
      </c>
      <c r="AC80">
        <v>3.34</v>
      </c>
    </row>
    <row r="81" spans="2:30">
      <c r="B81" s="2">
        <v>45412</v>
      </c>
      <c r="C81">
        <v>3.5139999999999998</v>
      </c>
      <c r="D81" s="2">
        <v>45412</v>
      </c>
      <c r="E81">
        <v>3.5219999999999998</v>
      </c>
      <c r="F81" s="2">
        <v>45412</v>
      </c>
      <c r="G81">
        <v>3.585</v>
      </c>
      <c r="H81" s="2">
        <v>45412</v>
      </c>
      <c r="I81">
        <v>3.65</v>
      </c>
      <c r="J81" s="2">
        <v>45412</v>
      </c>
      <c r="K81">
        <v>3.5750000000000002</v>
      </c>
      <c r="L81" s="2">
        <v>45412</v>
      </c>
      <c r="M81">
        <v>3.4830000000000001</v>
      </c>
      <c r="N81" s="2">
        <v>45231</v>
      </c>
      <c r="O81">
        <v>3.9502600000000001</v>
      </c>
      <c r="P81" s="2">
        <v>45412</v>
      </c>
      <c r="Q81">
        <v>3.5169999999999999</v>
      </c>
      <c r="R81" s="2">
        <v>45264</v>
      </c>
      <c r="S81">
        <v>1.02</v>
      </c>
      <c r="U81" s="2">
        <v>45449</v>
      </c>
    </row>
    <row r="82" spans="2:30">
      <c r="B82" s="2">
        <v>45411</v>
      </c>
      <c r="C82">
        <v>3.52</v>
      </c>
      <c r="D82" s="2">
        <v>45411</v>
      </c>
      <c r="E82">
        <v>3.5419999999999998</v>
      </c>
      <c r="F82" s="2">
        <v>45411</v>
      </c>
      <c r="G82">
        <v>3.6</v>
      </c>
      <c r="H82" s="2">
        <v>45411</v>
      </c>
      <c r="I82">
        <v>3.6920000000000002</v>
      </c>
      <c r="J82" s="2">
        <v>45411</v>
      </c>
      <c r="K82">
        <v>3.605</v>
      </c>
      <c r="L82" s="2">
        <v>45411</v>
      </c>
      <c r="M82">
        <v>3.5470000000000002</v>
      </c>
      <c r="N82" s="2">
        <v>45219</v>
      </c>
      <c r="O82">
        <v>4.21</v>
      </c>
      <c r="P82" s="2">
        <v>45411</v>
      </c>
      <c r="Q82">
        <v>3.5249999999999999</v>
      </c>
      <c r="R82" s="2">
        <v>45259</v>
      </c>
      <c r="S82">
        <v>0.99399999999999999</v>
      </c>
      <c r="U82" s="2">
        <v>45448</v>
      </c>
      <c r="V82">
        <v>3.3759999999999999</v>
      </c>
      <c r="W82">
        <v>3.3420000000000001</v>
      </c>
      <c r="X82">
        <v>3.367</v>
      </c>
      <c r="Y82">
        <v>3.43</v>
      </c>
      <c r="Z82">
        <v>3.3679999999999999</v>
      </c>
      <c r="AA82">
        <v>3.2949999999999999</v>
      </c>
      <c r="AB82">
        <v>3.2602000000000002</v>
      </c>
      <c r="AC82">
        <v>3.36</v>
      </c>
      <c r="AD82">
        <v>0.65300000000000002</v>
      </c>
    </row>
    <row r="83" spans="2:30">
      <c r="B83" s="2">
        <v>45408</v>
      </c>
      <c r="C83">
        <v>3.4950000000000001</v>
      </c>
      <c r="D83" s="2">
        <v>45408</v>
      </c>
      <c r="E83">
        <v>3.52</v>
      </c>
      <c r="F83" s="2">
        <v>45408</v>
      </c>
      <c r="G83">
        <v>3.625</v>
      </c>
      <c r="H83" s="2">
        <v>45408</v>
      </c>
      <c r="I83">
        <v>3.6850000000000001</v>
      </c>
      <c r="J83" s="2">
        <v>45408</v>
      </c>
      <c r="K83">
        <v>3.6</v>
      </c>
      <c r="L83" s="2">
        <v>45408</v>
      </c>
      <c r="M83">
        <v>3.54</v>
      </c>
      <c r="N83" s="2">
        <v>45218</v>
      </c>
      <c r="O83">
        <v>4.2169999999999996</v>
      </c>
      <c r="P83" s="2">
        <v>45408</v>
      </c>
      <c r="Q83">
        <v>3.5270000000000001</v>
      </c>
      <c r="R83" s="2">
        <v>45254</v>
      </c>
      <c r="S83">
        <v>1.07</v>
      </c>
      <c r="U83" s="2">
        <v>45447</v>
      </c>
      <c r="V83">
        <v>3.41</v>
      </c>
      <c r="W83">
        <v>3.3839999999999999</v>
      </c>
      <c r="X83">
        <v>3.411</v>
      </c>
      <c r="Y83">
        <v>3.4750000000000001</v>
      </c>
      <c r="Z83">
        <v>3.4020000000000001</v>
      </c>
      <c r="AA83">
        <v>3.3239999999999998</v>
      </c>
      <c r="AB83">
        <v>3.33</v>
      </c>
      <c r="AC83">
        <v>3.4</v>
      </c>
    </row>
    <row r="84" spans="2:30">
      <c r="B84" s="2">
        <v>45407</v>
      </c>
      <c r="C84">
        <v>3.5049999999999999</v>
      </c>
      <c r="D84" s="2">
        <v>45407</v>
      </c>
      <c r="E84">
        <v>3.51</v>
      </c>
      <c r="F84" s="2">
        <v>45407</v>
      </c>
      <c r="G84">
        <v>3.625</v>
      </c>
      <c r="H84" s="2">
        <v>45407</v>
      </c>
      <c r="I84">
        <v>3.71</v>
      </c>
      <c r="J84" s="2">
        <v>45407</v>
      </c>
      <c r="K84">
        <v>3.62</v>
      </c>
      <c r="L84" s="2">
        <v>45407</v>
      </c>
      <c r="M84">
        <v>3.5087600000000001</v>
      </c>
      <c r="N84" s="2">
        <v>45217</v>
      </c>
      <c r="O84">
        <v>4.1399999999999997</v>
      </c>
      <c r="P84" s="2">
        <v>45407</v>
      </c>
      <c r="Q84">
        <v>3.51</v>
      </c>
      <c r="R84" s="2">
        <v>45253</v>
      </c>
      <c r="S84">
        <v>1.0369999999999999</v>
      </c>
      <c r="U84" s="2">
        <v>45446</v>
      </c>
      <c r="V84">
        <v>3.448</v>
      </c>
      <c r="W84">
        <v>3.4350000000000001</v>
      </c>
      <c r="X84">
        <v>3.4649999999999999</v>
      </c>
      <c r="Y84">
        <v>3.54</v>
      </c>
      <c r="Z84">
        <v>3.45</v>
      </c>
      <c r="AA84">
        <v>3.37</v>
      </c>
      <c r="AB84">
        <v>3.351</v>
      </c>
      <c r="AC84">
        <v>3.4350000000000001</v>
      </c>
    </row>
    <row r="85" spans="2:30">
      <c r="B85" s="2">
        <v>45406</v>
      </c>
      <c r="C85">
        <v>3.47</v>
      </c>
      <c r="D85" s="2">
        <v>45406</v>
      </c>
      <c r="E85">
        <v>3.51</v>
      </c>
      <c r="F85" s="2">
        <v>45406</v>
      </c>
      <c r="G85">
        <v>3.5819999999999999</v>
      </c>
      <c r="H85" s="2">
        <v>45406</v>
      </c>
      <c r="I85">
        <v>3.6520000000000001</v>
      </c>
      <c r="J85" s="2">
        <v>45406</v>
      </c>
      <c r="K85">
        <v>3.5649999999999999</v>
      </c>
      <c r="L85" s="2">
        <v>45406</v>
      </c>
      <c r="M85">
        <v>3.4649999999999999</v>
      </c>
      <c r="N85" s="2">
        <v>45216</v>
      </c>
      <c r="O85">
        <v>4.0599999999999996</v>
      </c>
      <c r="P85" s="2">
        <v>45406</v>
      </c>
      <c r="Q85">
        <v>3.4929999999999999</v>
      </c>
      <c r="R85" s="2">
        <v>45252</v>
      </c>
      <c r="S85">
        <v>1.0389999999999999</v>
      </c>
      <c r="U85" s="2">
        <v>45445</v>
      </c>
    </row>
    <row r="86" spans="2:30">
      <c r="B86" s="2">
        <v>45405</v>
      </c>
      <c r="C86">
        <v>3.5088400000000002</v>
      </c>
      <c r="D86" s="2">
        <v>45405</v>
      </c>
      <c r="E86">
        <v>3.4870000000000001</v>
      </c>
      <c r="F86" s="2">
        <v>45405</v>
      </c>
      <c r="G86">
        <v>3.5350000000000001</v>
      </c>
      <c r="H86" s="2">
        <v>45405</v>
      </c>
      <c r="I86">
        <v>3.6</v>
      </c>
      <c r="J86" s="2">
        <v>45405</v>
      </c>
      <c r="K86">
        <v>3.56</v>
      </c>
      <c r="L86" s="2">
        <v>45405</v>
      </c>
      <c r="M86">
        <v>3.46</v>
      </c>
      <c r="N86" s="2">
        <v>45215</v>
      </c>
      <c r="O86">
        <v>4.05</v>
      </c>
      <c r="P86" s="2">
        <v>45405</v>
      </c>
      <c r="Q86">
        <v>3.4969999999999999</v>
      </c>
      <c r="R86" s="2">
        <v>45250</v>
      </c>
      <c r="S86">
        <v>1.075</v>
      </c>
      <c r="U86" s="2">
        <v>45444</v>
      </c>
    </row>
    <row r="87" spans="2:30">
      <c r="B87" s="2">
        <v>45404</v>
      </c>
      <c r="C87">
        <v>3.5249999999999999</v>
      </c>
      <c r="D87" s="2">
        <v>45404</v>
      </c>
      <c r="E87">
        <v>3.51</v>
      </c>
      <c r="F87" s="2">
        <v>45404</v>
      </c>
      <c r="G87">
        <v>3.585</v>
      </c>
      <c r="H87" s="2">
        <v>45404</v>
      </c>
      <c r="I87">
        <v>3.6</v>
      </c>
      <c r="J87" s="2">
        <v>45404</v>
      </c>
      <c r="K87">
        <v>3.55</v>
      </c>
      <c r="L87" s="2">
        <v>45404</v>
      </c>
      <c r="M87">
        <v>3.45</v>
      </c>
      <c r="N87" s="2">
        <v>45212</v>
      </c>
      <c r="O87">
        <v>4.0449999999999999</v>
      </c>
      <c r="P87" s="2">
        <v>45404</v>
      </c>
      <c r="Q87">
        <v>3.52</v>
      </c>
      <c r="R87" s="2">
        <v>45246</v>
      </c>
      <c r="S87">
        <v>1.06</v>
      </c>
      <c r="U87" s="2">
        <v>45443</v>
      </c>
      <c r="V87">
        <v>3.4687800000000002</v>
      </c>
      <c r="W87">
        <v>3.4529999999999998</v>
      </c>
      <c r="X87">
        <v>3.5</v>
      </c>
      <c r="Y87">
        <v>3.58</v>
      </c>
      <c r="Z87">
        <v>3.4028</v>
      </c>
      <c r="AA87">
        <v>3.43</v>
      </c>
      <c r="AC87">
        <v>3.4350000000000001</v>
      </c>
    </row>
    <row r="88" spans="2:30">
      <c r="B88" s="2">
        <v>45401</v>
      </c>
      <c r="C88">
        <v>3.476</v>
      </c>
      <c r="D88" s="2">
        <v>45401</v>
      </c>
      <c r="E88">
        <v>3.4769999999999999</v>
      </c>
      <c r="F88" s="2">
        <v>45401</v>
      </c>
      <c r="G88">
        <v>3.55</v>
      </c>
      <c r="H88" s="2">
        <v>45401</v>
      </c>
      <c r="I88">
        <v>3.5649999999999999</v>
      </c>
      <c r="J88" s="2">
        <v>45401</v>
      </c>
      <c r="K88">
        <v>3.49</v>
      </c>
      <c r="L88" s="2">
        <v>45401</v>
      </c>
      <c r="M88">
        <v>3.3450000000000002</v>
      </c>
      <c r="N88" s="2">
        <v>45205</v>
      </c>
      <c r="O88">
        <v>4.0720000000000001</v>
      </c>
      <c r="P88" s="2">
        <v>45401</v>
      </c>
      <c r="Q88">
        <v>3.4849999999999999</v>
      </c>
      <c r="R88" s="2">
        <v>45245</v>
      </c>
      <c r="S88">
        <v>1.0740000000000001</v>
      </c>
      <c r="U88" s="2">
        <v>45442</v>
      </c>
      <c r="V88">
        <v>3.43</v>
      </c>
      <c r="W88">
        <v>3.44</v>
      </c>
      <c r="X88">
        <v>3.492</v>
      </c>
      <c r="Y88">
        <v>3.56</v>
      </c>
      <c r="Z88">
        <v>3.49</v>
      </c>
      <c r="AA88">
        <v>3.407</v>
      </c>
      <c r="AC88">
        <v>3.427</v>
      </c>
      <c r="AD88">
        <v>0.76800000000000002</v>
      </c>
    </row>
    <row r="89" spans="2:30">
      <c r="B89" s="2">
        <v>45400</v>
      </c>
      <c r="C89">
        <v>3.44</v>
      </c>
      <c r="D89" s="2">
        <v>45400</v>
      </c>
      <c r="E89">
        <v>3.43</v>
      </c>
      <c r="F89" s="2">
        <v>45400</v>
      </c>
      <c r="G89">
        <v>3.5019999999999998</v>
      </c>
      <c r="H89" s="2">
        <v>45400</v>
      </c>
      <c r="I89">
        <v>3.5619999999999998</v>
      </c>
      <c r="J89" s="2">
        <v>45400</v>
      </c>
      <c r="K89">
        <v>3.4750000000000001</v>
      </c>
      <c r="L89" s="2">
        <v>45400</v>
      </c>
      <c r="M89">
        <v>3.38</v>
      </c>
      <c r="N89" s="2">
        <v>45203</v>
      </c>
      <c r="O89">
        <v>4.05</v>
      </c>
      <c r="P89" s="2">
        <v>45400</v>
      </c>
      <c r="Q89">
        <v>3.44</v>
      </c>
      <c r="R89" s="2">
        <v>45239</v>
      </c>
      <c r="S89">
        <v>1.1739999999999999</v>
      </c>
      <c r="U89" s="2">
        <v>45441</v>
      </c>
      <c r="V89">
        <v>3.43</v>
      </c>
      <c r="W89">
        <v>3.3849999999999998</v>
      </c>
      <c r="X89">
        <v>3.4649999999999999</v>
      </c>
      <c r="Y89">
        <v>3.5350000000000001</v>
      </c>
      <c r="Z89">
        <v>3.4769999999999999</v>
      </c>
      <c r="AA89">
        <v>3.3919999999999999</v>
      </c>
      <c r="AB89">
        <v>3.35</v>
      </c>
      <c r="AC89">
        <v>3.4319999999999999</v>
      </c>
    </row>
    <row r="90" spans="2:30">
      <c r="B90" s="2">
        <v>45399</v>
      </c>
      <c r="C90">
        <v>3.4769999999999999</v>
      </c>
      <c r="D90" s="2">
        <v>45399</v>
      </c>
      <c r="E90">
        <v>3.47</v>
      </c>
      <c r="F90" s="2">
        <v>45399</v>
      </c>
      <c r="G90">
        <v>3.53</v>
      </c>
      <c r="H90" s="2">
        <v>45399</v>
      </c>
      <c r="I90">
        <v>3.62</v>
      </c>
      <c r="J90" s="2">
        <v>45399</v>
      </c>
      <c r="K90">
        <v>3.52</v>
      </c>
      <c r="L90" s="2">
        <v>45399</v>
      </c>
      <c r="M90">
        <v>3.4249999999999998</v>
      </c>
      <c r="N90" s="2">
        <v>45196</v>
      </c>
      <c r="O90">
        <v>3.8450000000000002</v>
      </c>
      <c r="P90" s="2">
        <v>45399</v>
      </c>
      <c r="Q90">
        <v>3.4649999999999999</v>
      </c>
      <c r="R90" s="2">
        <v>45238</v>
      </c>
      <c r="S90">
        <v>1.2549999999999999</v>
      </c>
      <c r="U90" s="2">
        <v>45440</v>
      </c>
      <c r="V90">
        <v>3.41</v>
      </c>
      <c r="W90">
        <v>3.39</v>
      </c>
      <c r="X90">
        <v>3.43</v>
      </c>
      <c r="Y90">
        <v>3.4780000000000002</v>
      </c>
      <c r="Z90">
        <v>3.61</v>
      </c>
      <c r="AA90">
        <v>3.355</v>
      </c>
      <c r="AC90">
        <v>3.4020000000000001</v>
      </c>
    </row>
    <row r="91" spans="2:30">
      <c r="B91" s="2">
        <v>45398</v>
      </c>
      <c r="C91">
        <v>3.4769999999999999</v>
      </c>
      <c r="D91" s="2">
        <v>45398</v>
      </c>
      <c r="E91">
        <v>3.4750000000000001</v>
      </c>
      <c r="F91" s="2">
        <v>45398</v>
      </c>
      <c r="G91">
        <v>3.5350000000000001</v>
      </c>
      <c r="H91" s="2">
        <v>45398</v>
      </c>
      <c r="I91">
        <v>3.6280000000000001</v>
      </c>
      <c r="J91" s="2">
        <v>45398</v>
      </c>
      <c r="K91">
        <v>3.5350000000000001</v>
      </c>
      <c r="L91" s="2">
        <v>45398</v>
      </c>
      <c r="M91">
        <v>3.41</v>
      </c>
      <c r="N91" s="2">
        <v>45194</v>
      </c>
      <c r="O91">
        <v>3.8</v>
      </c>
      <c r="P91" s="2">
        <v>45398</v>
      </c>
      <c r="Q91">
        <v>3.4670000000000001</v>
      </c>
      <c r="R91" s="2">
        <v>45237</v>
      </c>
      <c r="S91">
        <v>1.26</v>
      </c>
      <c r="U91" s="2">
        <v>45439</v>
      </c>
      <c r="V91">
        <v>3.45</v>
      </c>
      <c r="W91">
        <v>3.41</v>
      </c>
      <c r="X91">
        <v>3.44</v>
      </c>
      <c r="Y91">
        <v>3.4969999999999999</v>
      </c>
      <c r="Z91">
        <v>3.44</v>
      </c>
      <c r="AA91">
        <v>3.36</v>
      </c>
      <c r="AC91">
        <v>3.4169999999999998</v>
      </c>
    </row>
    <row r="92" spans="2:30">
      <c r="B92" s="2">
        <v>45397</v>
      </c>
      <c r="C92">
        <v>3.4529999999999998</v>
      </c>
      <c r="D92" s="2">
        <v>45397</v>
      </c>
      <c r="E92">
        <v>3.4</v>
      </c>
      <c r="F92" s="2">
        <v>45397</v>
      </c>
      <c r="G92">
        <v>3.45</v>
      </c>
      <c r="H92" s="2">
        <v>45397</v>
      </c>
      <c r="I92">
        <v>3.56</v>
      </c>
      <c r="J92" s="2">
        <v>45397</v>
      </c>
      <c r="K92">
        <v>3.4769999999999999</v>
      </c>
      <c r="L92" s="2">
        <v>45397</v>
      </c>
      <c r="M92">
        <v>3.3719999999999999</v>
      </c>
      <c r="N92" s="2">
        <v>45191</v>
      </c>
      <c r="O92">
        <v>3.8119999999999998</v>
      </c>
      <c r="P92" s="2">
        <v>45397</v>
      </c>
      <c r="Q92">
        <v>3.44</v>
      </c>
      <c r="R92" s="2">
        <v>45236</v>
      </c>
      <c r="S92">
        <v>1.276</v>
      </c>
      <c r="U92" s="2">
        <v>45438</v>
      </c>
    </row>
    <row r="93" spans="2:30">
      <c r="B93" s="2">
        <v>45394</v>
      </c>
      <c r="C93">
        <v>3.44</v>
      </c>
      <c r="D93" s="2">
        <v>45394</v>
      </c>
      <c r="E93">
        <v>3.4</v>
      </c>
      <c r="F93" s="2">
        <v>45394</v>
      </c>
      <c r="G93">
        <v>3.48</v>
      </c>
      <c r="H93" s="2">
        <v>45394</v>
      </c>
      <c r="I93">
        <v>3.5350000000000001</v>
      </c>
      <c r="J93" s="2">
        <v>45394</v>
      </c>
      <c r="K93">
        <v>3.4550000000000001</v>
      </c>
      <c r="L93" s="2">
        <v>45394</v>
      </c>
      <c r="M93">
        <v>3.355</v>
      </c>
      <c r="N93" s="2">
        <v>45189</v>
      </c>
      <c r="O93">
        <v>3.79</v>
      </c>
      <c r="P93" s="2">
        <v>45394</v>
      </c>
      <c r="Q93">
        <v>3.415</v>
      </c>
      <c r="R93" s="2">
        <v>45233</v>
      </c>
      <c r="S93">
        <v>1.276</v>
      </c>
      <c r="U93" s="2">
        <v>45437</v>
      </c>
    </row>
    <row r="94" spans="2:30">
      <c r="B94" s="2">
        <v>45393</v>
      </c>
      <c r="C94">
        <v>3.4929399999999999</v>
      </c>
      <c r="D94" s="2">
        <v>45393</v>
      </c>
      <c r="E94">
        <v>3.46</v>
      </c>
      <c r="F94" s="2">
        <v>45393</v>
      </c>
      <c r="G94">
        <v>3.51</v>
      </c>
      <c r="H94" s="2">
        <v>45393</v>
      </c>
      <c r="I94">
        <v>3.5779999999999998</v>
      </c>
      <c r="J94" s="2">
        <v>45393</v>
      </c>
      <c r="K94">
        <v>3.4849999999999999</v>
      </c>
      <c r="L94" s="2">
        <v>45393</v>
      </c>
      <c r="M94">
        <v>3.403</v>
      </c>
      <c r="N94" s="2">
        <v>45181</v>
      </c>
      <c r="O94">
        <v>3.73001</v>
      </c>
      <c r="P94" s="2">
        <v>45393</v>
      </c>
      <c r="Q94">
        <v>3.4670000000000001</v>
      </c>
      <c r="R94" s="2">
        <v>45229</v>
      </c>
      <c r="S94">
        <v>1.4339999999999999</v>
      </c>
      <c r="U94" s="2">
        <v>45436</v>
      </c>
      <c r="V94">
        <v>3.53</v>
      </c>
      <c r="W94">
        <v>3.4169999999999998</v>
      </c>
      <c r="X94">
        <v>3.43</v>
      </c>
      <c r="Y94">
        <v>3.5070000000000001</v>
      </c>
      <c r="Z94">
        <v>3.4420000000000002</v>
      </c>
      <c r="AA94">
        <v>3.36</v>
      </c>
      <c r="AC94">
        <v>3.43</v>
      </c>
    </row>
    <row r="95" spans="2:30">
      <c r="B95" s="2">
        <v>45391</v>
      </c>
      <c r="C95">
        <v>3.4354499999999999</v>
      </c>
      <c r="D95" s="2">
        <v>45391</v>
      </c>
      <c r="E95">
        <v>3.387</v>
      </c>
      <c r="F95" s="2">
        <v>45391</v>
      </c>
      <c r="G95">
        <v>3.43</v>
      </c>
      <c r="H95" s="2">
        <v>45391</v>
      </c>
      <c r="I95">
        <v>3.4980000000000002</v>
      </c>
      <c r="J95" s="2">
        <v>45391</v>
      </c>
      <c r="K95">
        <v>3.4329999999999998</v>
      </c>
      <c r="L95" s="2">
        <v>45391</v>
      </c>
      <c r="M95">
        <v>3.339</v>
      </c>
      <c r="N95" s="2">
        <v>45180</v>
      </c>
      <c r="O95">
        <v>3.78</v>
      </c>
      <c r="P95" s="2">
        <v>45391</v>
      </c>
      <c r="Q95">
        <v>3.3919999999999999</v>
      </c>
      <c r="R95" s="2">
        <v>45226</v>
      </c>
      <c r="S95">
        <v>1.41</v>
      </c>
      <c r="U95" s="2">
        <v>45435</v>
      </c>
      <c r="V95">
        <v>3.4319999999999999</v>
      </c>
      <c r="W95">
        <v>3.4</v>
      </c>
      <c r="X95">
        <v>3.4220000000000002</v>
      </c>
      <c r="Y95">
        <v>3.4670000000000001</v>
      </c>
      <c r="Z95">
        <v>3.4119999999999999</v>
      </c>
      <c r="AA95">
        <v>3.327</v>
      </c>
      <c r="AC95">
        <v>3.415</v>
      </c>
    </row>
    <row r="96" spans="2:30">
      <c r="B96" s="2">
        <v>45390</v>
      </c>
      <c r="C96">
        <v>3.4249999999999998</v>
      </c>
      <c r="D96" s="2">
        <v>45390</v>
      </c>
      <c r="E96">
        <v>3.3730000000000002</v>
      </c>
      <c r="F96" s="2">
        <v>45390</v>
      </c>
      <c r="G96">
        <v>3.4169999999999998</v>
      </c>
      <c r="H96" s="2">
        <v>45390</v>
      </c>
      <c r="I96">
        <v>3.48</v>
      </c>
      <c r="J96" s="2">
        <v>45390</v>
      </c>
      <c r="K96">
        <v>3.43</v>
      </c>
      <c r="L96" s="2">
        <v>45390</v>
      </c>
      <c r="M96">
        <v>3.3250000000000002</v>
      </c>
      <c r="N96" s="2">
        <v>45177</v>
      </c>
      <c r="O96">
        <v>3.73</v>
      </c>
      <c r="P96" s="2">
        <v>45390</v>
      </c>
      <c r="Q96">
        <v>3.37</v>
      </c>
      <c r="R96" s="2">
        <v>45225</v>
      </c>
      <c r="S96">
        <v>1.47</v>
      </c>
      <c r="U96" s="2">
        <v>45434</v>
      </c>
      <c r="V96">
        <v>3.44299</v>
      </c>
      <c r="W96">
        <v>3.41</v>
      </c>
      <c r="X96">
        <v>3.4449999999999998</v>
      </c>
      <c r="Y96">
        <v>3.4820000000000002</v>
      </c>
      <c r="Z96">
        <v>3.4079999999999999</v>
      </c>
      <c r="AA96">
        <v>3.22</v>
      </c>
      <c r="AB96">
        <v>3.302</v>
      </c>
      <c r="AC96">
        <v>3.42</v>
      </c>
      <c r="AD96">
        <v>0.68</v>
      </c>
    </row>
    <row r="97" spans="2:30">
      <c r="B97" s="2">
        <v>45387</v>
      </c>
      <c r="C97">
        <v>3.3650000000000002</v>
      </c>
      <c r="D97" s="2">
        <v>45387</v>
      </c>
      <c r="E97">
        <v>3.3315600000000001</v>
      </c>
      <c r="F97" s="2">
        <v>45387</v>
      </c>
      <c r="G97">
        <v>3.367</v>
      </c>
      <c r="H97" s="2">
        <v>45387</v>
      </c>
      <c r="I97">
        <v>3.4350000000000001</v>
      </c>
      <c r="J97" s="2">
        <v>45387</v>
      </c>
      <c r="K97">
        <v>3.395</v>
      </c>
      <c r="L97" s="2">
        <v>45387</v>
      </c>
      <c r="M97">
        <v>3.3</v>
      </c>
      <c r="N97" s="2">
        <v>45176</v>
      </c>
      <c r="O97">
        <v>3.7549999999999999</v>
      </c>
      <c r="P97" s="2">
        <v>45387</v>
      </c>
      <c r="Q97">
        <v>3.335</v>
      </c>
      <c r="R97" s="2">
        <v>45218</v>
      </c>
      <c r="S97">
        <v>1.4830000000000001</v>
      </c>
      <c r="U97" s="2">
        <v>45433</v>
      </c>
      <c r="V97">
        <v>3.4470000000000001</v>
      </c>
      <c r="W97">
        <v>3.4119999999999999</v>
      </c>
      <c r="X97">
        <v>3.4420000000000002</v>
      </c>
      <c r="Y97">
        <v>3.49</v>
      </c>
      <c r="Z97">
        <v>3.4249999999999998</v>
      </c>
      <c r="AA97">
        <v>3.3370000000000002</v>
      </c>
      <c r="AB97">
        <v>3.28003</v>
      </c>
      <c r="AC97">
        <v>3.427</v>
      </c>
    </row>
    <row r="98" spans="2:30">
      <c r="B98" s="2">
        <v>45386</v>
      </c>
      <c r="C98">
        <v>3.3639999999999999</v>
      </c>
      <c r="D98" s="2">
        <v>45386</v>
      </c>
      <c r="E98">
        <v>3.335</v>
      </c>
      <c r="F98" s="2">
        <v>45386</v>
      </c>
      <c r="G98">
        <v>3.38</v>
      </c>
      <c r="H98" s="2">
        <v>45386</v>
      </c>
      <c r="I98">
        <v>3.4569999999999999</v>
      </c>
      <c r="J98" s="2">
        <v>45386</v>
      </c>
      <c r="K98">
        <v>3.43</v>
      </c>
      <c r="L98" s="2">
        <v>45386</v>
      </c>
      <c r="M98">
        <v>3.31</v>
      </c>
      <c r="N98" s="2">
        <v>45174</v>
      </c>
      <c r="O98">
        <v>3.67</v>
      </c>
      <c r="P98" s="2">
        <v>45386</v>
      </c>
      <c r="Q98">
        <v>3.3519999999999999</v>
      </c>
      <c r="R98" s="2">
        <v>45211</v>
      </c>
      <c r="S98">
        <v>1.321</v>
      </c>
      <c r="U98" s="2">
        <v>45432</v>
      </c>
      <c r="V98">
        <v>3.4449999999999998</v>
      </c>
      <c r="W98">
        <v>3.407</v>
      </c>
      <c r="X98">
        <v>3.44</v>
      </c>
      <c r="Y98">
        <v>3.5</v>
      </c>
      <c r="Z98">
        <v>3.452</v>
      </c>
      <c r="AA98">
        <v>3.3570000000000002</v>
      </c>
      <c r="AB98">
        <v>3.31</v>
      </c>
      <c r="AC98">
        <v>3.427</v>
      </c>
    </row>
    <row r="99" spans="2:30">
      <c r="B99" s="2">
        <v>45385</v>
      </c>
      <c r="C99">
        <v>3.3690000000000002</v>
      </c>
      <c r="D99" s="2">
        <v>45385</v>
      </c>
      <c r="E99">
        <v>3.34</v>
      </c>
      <c r="F99" s="2">
        <v>45385</v>
      </c>
      <c r="G99">
        <v>3.38</v>
      </c>
      <c r="H99" s="2">
        <v>45385</v>
      </c>
      <c r="I99">
        <v>3.46</v>
      </c>
      <c r="J99" s="2">
        <v>45385</v>
      </c>
      <c r="K99">
        <v>3.37</v>
      </c>
      <c r="L99" s="2">
        <v>45385</v>
      </c>
      <c r="M99">
        <v>3.31</v>
      </c>
      <c r="N99" s="2">
        <v>45170</v>
      </c>
      <c r="O99">
        <v>3.6219999999999999</v>
      </c>
      <c r="P99" s="2">
        <v>45385</v>
      </c>
      <c r="Q99">
        <v>3.3820000000000001</v>
      </c>
      <c r="R99" s="2">
        <v>45210</v>
      </c>
      <c r="S99">
        <v>1.357</v>
      </c>
      <c r="U99" s="2">
        <v>45431</v>
      </c>
    </row>
    <row r="100" spans="2:30">
      <c r="B100" s="2">
        <v>45384</v>
      </c>
      <c r="C100">
        <v>3.36</v>
      </c>
      <c r="D100" s="2">
        <v>45384</v>
      </c>
      <c r="E100">
        <v>3.3250000000000002</v>
      </c>
      <c r="F100" s="2">
        <v>45384</v>
      </c>
      <c r="G100">
        <v>3.3650000000000002</v>
      </c>
      <c r="H100" s="2">
        <v>45384</v>
      </c>
      <c r="I100">
        <v>3.423</v>
      </c>
      <c r="J100" s="2">
        <v>45384</v>
      </c>
      <c r="K100">
        <v>3.3719999999999999</v>
      </c>
      <c r="L100" s="2">
        <v>45384</v>
      </c>
      <c r="M100">
        <v>3.3029999999999999</v>
      </c>
      <c r="N100" s="2">
        <v>45168</v>
      </c>
      <c r="O100">
        <v>3.72</v>
      </c>
      <c r="P100" s="2">
        <v>45384</v>
      </c>
      <c r="Q100">
        <v>3.3769999999999998</v>
      </c>
      <c r="R100" s="2">
        <v>45205</v>
      </c>
      <c r="S100">
        <v>1.385</v>
      </c>
      <c r="U100" s="2">
        <v>45430</v>
      </c>
    </row>
    <row r="101" spans="2:30">
      <c r="B101" s="2">
        <v>45383</v>
      </c>
      <c r="C101">
        <v>3.3403</v>
      </c>
      <c r="D101" s="2">
        <v>45383</v>
      </c>
      <c r="E101">
        <v>3.2919999999999998</v>
      </c>
      <c r="F101" s="2">
        <v>45383</v>
      </c>
      <c r="G101">
        <v>3.3250000000000002</v>
      </c>
      <c r="H101" s="2">
        <v>45383</v>
      </c>
      <c r="I101">
        <v>3.3769999999999998</v>
      </c>
      <c r="J101" s="2">
        <v>45383</v>
      </c>
      <c r="K101">
        <v>3.2879999999999998</v>
      </c>
      <c r="L101" s="2">
        <v>45383</v>
      </c>
      <c r="M101">
        <v>3.31</v>
      </c>
      <c r="N101" s="2">
        <v>45167</v>
      </c>
      <c r="O101">
        <v>3.7170000000000001</v>
      </c>
      <c r="P101" s="2">
        <v>45383</v>
      </c>
      <c r="Q101">
        <v>3.3450000000000002</v>
      </c>
      <c r="R101" s="2">
        <v>45203</v>
      </c>
      <c r="S101">
        <v>1.478</v>
      </c>
      <c r="U101" s="2">
        <v>45429</v>
      </c>
      <c r="V101">
        <v>3.415</v>
      </c>
      <c r="W101">
        <v>3.3769999999999998</v>
      </c>
      <c r="X101">
        <v>3.41</v>
      </c>
      <c r="Y101">
        <v>3.4550000000000001</v>
      </c>
      <c r="Z101">
        <v>3.4</v>
      </c>
      <c r="AA101">
        <v>3.3220000000000001</v>
      </c>
      <c r="AC101">
        <v>3.46</v>
      </c>
    </row>
    <row r="102" spans="2:30">
      <c r="B102" s="2">
        <v>45380</v>
      </c>
      <c r="C102">
        <v>3.3736899999999999</v>
      </c>
      <c r="D102" s="2">
        <v>45380</v>
      </c>
      <c r="E102">
        <v>3.32</v>
      </c>
      <c r="F102" s="2">
        <v>45380</v>
      </c>
      <c r="G102">
        <v>3.3450000000000002</v>
      </c>
      <c r="H102" s="2">
        <v>45380</v>
      </c>
      <c r="I102">
        <v>3.4</v>
      </c>
      <c r="J102" s="2">
        <v>45380</v>
      </c>
      <c r="K102">
        <v>3.3780000000000001</v>
      </c>
      <c r="L102" s="2">
        <v>45380</v>
      </c>
      <c r="M102">
        <v>3.31</v>
      </c>
      <c r="N102" s="2">
        <v>45155</v>
      </c>
      <c r="O102">
        <v>3.7669999999999999</v>
      </c>
      <c r="P102" s="2">
        <v>45380</v>
      </c>
      <c r="Q102">
        <v>3.3650000000000002</v>
      </c>
      <c r="R102" s="2">
        <v>45196</v>
      </c>
      <c r="S102">
        <v>1.23</v>
      </c>
      <c r="U102" s="2">
        <v>45428</v>
      </c>
      <c r="V102">
        <v>3.4228200000000002</v>
      </c>
      <c r="W102">
        <v>3.375</v>
      </c>
      <c r="X102">
        <v>3.415</v>
      </c>
      <c r="Y102">
        <v>3.4649999999999999</v>
      </c>
      <c r="Z102">
        <v>3.4</v>
      </c>
      <c r="AA102">
        <v>3.3220000000000001</v>
      </c>
      <c r="AB102">
        <v>3.3000799999999999</v>
      </c>
      <c r="AC102">
        <v>3.4</v>
      </c>
    </row>
    <row r="103" spans="2:30">
      <c r="B103" s="2">
        <v>45379</v>
      </c>
      <c r="C103">
        <v>3.3380000000000001</v>
      </c>
      <c r="D103" s="2">
        <v>45379</v>
      </c>
      <c r="E103">
        <v>3.2869999999999999</v>
      </c>
      <c r="F103" s="2">
        <v>45379</v>
      </c>
      <c r="G103">
        <v>3.3250000000000002</v>
      </c>
      <c r="H103" s="2">
        <v>45379</v>
      </c>
      <c r="I103">
        <v>3.38</v>
      </c>
      <c r="J103" s="2">
        <v>45379</v>
      </c>
      <c r="K103">
        <v>3.37</v>
      </c>
      <c r="L103" s="2">
        <v>45379</v>
      </c>
      <c r="M103">
        <v>3.2509999999999999</v>
      </c>
      <c r="N103" s="2">
        <v>45152</v>
      </c>
      <c r="O103">
        <v>3.69</v>
      </c>
      <c r="P103" s="2">
        <v>45379</v>
      </c>
      <c r="Q103">
        <v>3.3519999999999999</v>
      </c>
      <c r="R103" s="2">
        <v>45195</v>
      </c>
      <c r="S103">
        <v>1.2669999999999999</v>
      </c>
      <c r="U103" s="2">
        <v>45427</v>
      </c>
    </row>
    <row r="104" spans="2:30">
      <c r="B104" s="2">
        <v>45378</v>
      </c>
      <c r="C104">
        <v>3.3250000000000002</v>
      </c>
      <c r="D104" s="2">
        <v>45378</v>
      </c>
      <c r="E104">
        <v>3.29</v>
      </c>
      <c r="F104" s="2">
        <v>45378</v>
      </c>
      <c r="G104">
        <v>3.3450000000000002</v>
      </c>
      <c r="H104" s="2">
        <v>45378</v>
      </c>
      <c r="I104">
        <v>3.375</v>
      </c>
      <c r="J104" s="2">
        <v>45378</v>
      </c>
      <c r="K104">
        <v>3.367</v>
      </c>
      <c r="L104" s="2">
        <v>45378</v>
      </c>
      <c r="M104">
        <v>3.262</v>
      </c>
      <c r="N104" s="2">
        <v>45149</v>
      </c>
      <c r="O104">
        <v>3.69</v>
      </c>
      <c r="P104" s="2">
        <v>45378</v>
      </c>
      <c r="Q104">
        <v>3.3450000000000002</v>
      </c>
      <c r="R104" s="2">
        <v>45190</v>
      </c>
      <c r="S104">
        <v>1.2609900000000001</v>
      </c>
      <c r="U104" s="2">
        <v>45426</v>
      </c>
      <c r="V104">
        <v>3.4729999999999999</v>
      </c>
      <c r="W104">
        <v>3.452</v>
      </c>
      <c r="X104">
        <v>3.492</v>
      </c>
      <c r="Y104">
        <v>3.55</v>
      </c>
      <c r="Z104">
        <v>3.472</v>
      </c>
      <c r="AA104">
        <v>3.3919999999999999</v>
      </c>
      <c r="AC104">
        <v>3.46</v>
      </c>
    </row>
    <row r="105" spans="2:30">
      <c r="B105" s="2">
        <v>45377</v>
      </c>
      <c r="C105">
        <v>3.3250000000000002</v>
      </c>
      <c r="D105" s="2">
        <v>45377</v>
      </c>
      <c r="E105">
        <v>3.302</v>
      </c>
      <c r="F105" s="2">
        <v>45377</v>
      </c>
      <c r="G105">
        <v>3.33</v>
      </c>
      <c r="H105" s="2">
        <v>45377</v>
      </c>
      <c r="I105">
        <v>3.371</v>
      </c>
      <c r="J105" s="2">
        <v>45377</v>
      </c>
      <c r="K105">
        <v>3.4249999999999998</v>
      </c>
      <c r="L105" s="2">
        <v>45377</v>
      </c>
      <c r="M105">
        <v>3.2850000000000001</v>
      </c>
      <c r="N105" s="2">
        <v>45146</v>
      </c>
      <c r="O105">
        <v>3.65</v>
      </c>
      <c r="P105" s="2">
        <v>45377</v>
      </c>
      <c r="Q105">
        <v>3.355</v>
      </c>
      <c r="R105" s="2">
        <v>45189</v>
      </c>
      <c r="S105">
        <v>1.24</v>
      </c>
      <c r="U105" s="2">
        <v>45425</v>
      </c>
      <c r="V105">
        <v>3.47</v>
      </c>
      <c r="W105">
        <v>3.452</v>
      </c>
      <c r="X105">
        <v>3.48</v>
      </c>
      <c r="Y105">
        <v>3.5550000000000002</v>
      </c>
      <c r="Z105">
        <v>3.49</v>
      </c>
      <c r="AA105">
        <v>3.3955199999999999</v>
      </c>
      <c r="AB105">
        <v>3.39</v>
      </c>
      <c r="AC105">
        <v>3.4649999999999999</v>
      </c>
    </row>
    <row r="106" spans="2:30">
      <c r="B106" s="2">
        <v>45376</v>
      </c>
      <c r="C106">
        <v>3.31</v>
      </c>
      <c r="D106" s="2">
        <v>45376</v>
      </c>
      <c r="E106">
        <v>3.29</v>
      </c>
      <c r="F106" s="2">
        <v>45376</v>
      </c>
      <c r="G106">
        <v>3.3250000000000002</v>
      </c>
      <c r="H106" s="2">
        <v>45376</v>
      </c>
      <c r="I106">
        <v>3.38</v>
      </c>
      <c r="J106" s="2">
        <v>45376</v>
      </c>
      <c r="K106">
        <v>3.367</v>
      </c>
      <c r="L106" s="2">
        <v>45376</v>
      </c>
      <c r="M106">
        <v>3.2530000000000001</v>
      </c>
      <c r="N106" s="2">
        <v>45142</v>
      </c>
      <c r="O106">
        <v>3.702</v>
      </c>
      <c r="P106" s="2">
        <v>45376</v>
      </c>
      <c r="Q106">
        <v>3.3450000000000002</v>
      </c>
      <c r="R106" s="2">
        <v>45182</v>
      </c>
      <c r="S106">
        <v>1.258</v>
      </c>
      <c r="U106" s="2">
        <v>45424</v>
      </c>
    </row>
    <row r="107" spans="2:30">
      <c r="B107" s="2">
        <v>45373</v>
      </c>
      <c r="C107">
        <v>3.335</v>
      </c>
      <c r="D107" s="2">
        <v>45373</v>
      </c>
      <c r="E107">
        <v>3.2879999999999998</v>
      </c>
      <c r="F107" s="2">
        <v>45373</v>
      </c>
      <c r="G107">
        <v>3.3220000000000001</v>
      </c>
      <c r="H107" s="2">
        <v>45373</v>
      </c>
      <c r="I107">
        <v>3.367</v>
      </c>
      <c r="J107" s="2">
        <v>45373</v>
      </c>
      <c r="K107">
        <v>3.3530000000000002</v>
      </c>
      <c r="L107" s="2">
        <v>45373</v>
      </c>
      <c r="M107">
        <v>3.2650000000000001</v>
      </c>
      <c r="N107" s="2">
        <v>45141</v>
      </c>
      <c r="O107">
        <v>3.6349999999999998</v>
      </c>
      <c r="P107" s="2">
        <v>45373</v>
      </c>
      <c r="Q107">
        <v>3.35</v>
      </c>
      <c r="R107" s="2">
        <v>45180</v>
      </c>
      <c r="S107">
        <v>1.2629999999999999</v>
      </c>
      <c r="U107" s="2">
        <v>45423</v>
      </c>
    </row>
    <row r="108" spans="2:30">
      <c r="B108" s="2">
        <v>45372</v>
      </c>
      <c r="C108">
        <v>3.355</v>
      </c>
      <c r="D108" s="2">
        <v>45372</v>
      </c>
      <c r="E108">
        <v>3.32</v>
      </c>
      <c r="F108" s="2">
        <v>45372</v>
      </c>
      <c r="G108">
        <v>3.3420000000000001</v>
      </c>
      <c r="H108" s="2">
        <v>45372</v>
      </c>
      <c r="I108">
        <v>3.4140000000000001</v>
      </c>
      <c r="J108" s="2">
        <v>45372</v>
      </c>
      <c r="K108">
        <v>3.3719999999999999</v>
      </c>
      <c r="L108" s="2">
        <v>45372</v>
      </c>
      <c r="M108">
        <v>3.2829999999999999</v>
      </c>
      <c r="N108" s="2">
        <v>45138</v>
      </c>
      <c r="O108">
        <v>3.65</v>
      </c>
      <c r="P108" s="2">
        <v>45372</v>
      </c>
      <c r="Q108">
        <v>3.36</v>
      </c>
      <c r="R108" s="2">
        <v>45177</v>
      </c>
      <c r="S108">
        <v>1.2</v>
      </c>
      <c r="U108" s="2">
        <v>45422</v>
      </c>
      <c r="V108">
        <v>3.46</v>
      </c>
      <c r="W108">
        <v>3.4350000000000001</v>
      </c>
      <c r="X108">
        <v>3.4849999999999999</v>
      </c>
      <c r="Y108">
        <v>3.5350000000000001</v>
      </c>
      <c r="Z108">
        <v>3.4740000000000002</v>
      </c>
      <c r="AA108">
        <v>3.395</v>
      </c>
      <c r="AB108">
        <v>3.39</v>
      </c>
      <c r="AC108">
        <v>3.45</v>
      </c>
    </row>
    <row r="109" spans="2:30">
      <c r="B109" s="2">
        <v>45371</v>
      </c>
      <c r="C109">
        <v>3.4350000000000001</v>
      </c>
      <c r="D109" s="2">
        <v>45371</v>
      </c>
      <c r="E109">
        <v>3.3650000000000002</v>
      </c>
      <c r="F109" s="2">
        <v>45371</v>
      </c>
      <c r="G109">
        <v>3.39</v>
      </c>
      <c r="H109" s="2">
        <v>45371</v>
      </c>
      <c r="I109">
        <v>3.44</v>
      </c>
      <c r="J109" s="2">
        <v>45371</v>
      </c>
      <c r="K109">
        <v>3.387</v>
      </c>
      <c r="L109" s="2">
        <v>45371</v>
      </c>
      <c r="M109">
        <v>3.3119999999999998</v>
      </c>
      <c r="N109" s="2">
        <v>45135</v>
      </c>
      <c r="O109">
        <v>3.637</v>
      </c>
      <c r="P109" s="2">
        <v>45371</v>
      </c>
      <c r="Q109">
        <v>3.423</v>
      </c>
      <c r="R109" s="2">
        <v>45175</v>
      </c>
      <c r="S109">
        <v>1.23</v>
      </c>
      <c r="U109" s="2">
        <v>45421</v>
      </c>
      <c r="V109">
        <v>3.472</v>
      </c>
      <c r="W109">
        <v>3.4529999999999998</v>
      </c>
      <c r="X109">
        <v>3.4950000000000001</v>
      </c>
      <c r="Y109">
        <v>3.5569999999999999</v>
      </c>
      <c r="Z109">
        <v>3.49</v>
      </c>
      <c r="AA109">
        <v>3.4220000000000002</v>
      </c>
      <c r="AB109">
        <v>3.3903099999999999</v>
      </c>
      <c r="AC109">
        <v>3.468</v>
      </c>
    </row>
    <row r="110" spans="2:30">
      <c r="B110" s="2">
        <v>45370</v>
      </c>
      <c r="C110">
        <v>3.4493399999999999</v>
      </c>
      <c r="D110" s="2">
        <v>45370</v>
      </c>
      <c r="E110">
        <v>3.39</v>
      </c>
      <c r="F110" s="2">
        <v>45370</v>
      </c>
      <c r="G110">
        <v>3.41</v>
      </c>
      <c r="H110" s="2">
        <v>45370</v>
      </c>
      <c r="I110">
        <v>3.48</v>
      </c>
      <c r="J110" s="2">
        <v>45370</v>
      </c>
      <c r="K110">
        <v>3.43</v>
      </c>
      <c r="L110" s="2">
        <v>45370</v>
      </c>
      <c r="M110">
        <v>3.3420000000000001</v>
      </c>
      <c r="N110" s="2">
        <v>45134</v>
      </c>
      <c r="O110">
        <v>3.5979999999999999</v>
      </c>
      <c r="P110" s="2">
        <v>45370</v>
      </c>
      <c r="Q110">
        <v>3.44</v>
      </c>
      <c r="R110" s="2">
        <v>45174</v>
      </c>
      <c r="S110">
        <v>1.218</v>
      </c>
      <c r="U110" s="2">
        <v>45420</v>
      </c>
      <c r="V110">
        <v>3.4649999999999999</v>
      </c>
      <c r="W110">
        <v>3.4369999999999998</v>
      </c>
      <c r="X110">
        <v>3.4750000000000001</v>
      </c>
      <c r="Y110">
        <v>3.5350000000000001</v>
      </c>
      <c r="Z110">
        <v>3.4670000000000001</v>
      </c>
      <c r="AA110">
        <v>3.38</v>
      </c>
      <c r="AB110">
        <v>3.3431700000000002</v>
      </c>
      <c r="AC110">
        <v>3.4569999999999999</v>
      </c>
      <c r="AD110">
        <v>0.72499999999999998</v>
      </c>
    </row>
    <row r="111" spans="2:30">
      <c r="B111" s="2">
        <v>45369</v>
      </c>
      <c r="C111">
        <v>3.4068700000000001</v>
      </c>
      <c r="D111" s="2">
        <v>45369</v>
      </c>
      <c r="E111">
        <v>3.3050000000000002</v>
      </c>
      <c r="F111" s="2">
        <v>45369</v>
      </c>
      <c r="G111">
        <v>3.387</v>
      </c>
      <c r="H111" s="2">
        <v>45369</v>
      </c>
      <c r="I111">
        <v>3.4319999999999999</v>
      </c>
      <c r="J111" s="2">
        <v>45369</v>
      </c>
      <c r="K111">
        <v>3.23</v>
      </c>
      <c r="L111" s="2">
        <v>45369</v>
      </c>
      <c r="M111">
        <v>3.3250000000000002</v>
      </c>
      <c r="N111" s="2">
        <v>45131</v>
      </c>
      <c r="O111">
        <v>3.577</v>
      </c>
      <c r="P111" s="2">
        <v>45369</v>
      </c>
      <c r="Q111">
        <v>3.415</v>
      </c>
      <c r="R111" s="2">
        <v>45173</v>
      </c>
      <c r="S111">
        <v>1.1850000000000001</v>
      </c>
      <c r="U111" s="2">
        <v>45419</v>
      </c>
      <c r="V111">
        <v>3.47</v>
      </c>
      <c r="W111">
        <v>3.5049999999999999</v>
      </c>
      <c r="X111">
        <v>3.4969999999999999</v>
      </c>
      <c r="Y111">
        <v>3.54</v>
      </c>
      <c r="Z111">
        <v>3.4689999999999999</v>
      </c>
      <c r="AA111">
        <v>3.3170000000000002</v>
      </c>
      <c r="AC111">
        <v>3.4630000000000001</v>
      </c>
      <c r="AD111">
        <v>0.73</v>
      </c>
    </row>
    <row r="112" spans="2:30">
      <c r="B112" s="2">
        <v>45366</v>
      </c>
      <c r="C112">
        <v>3.3450000000000002</v>
      </c>
      <c r="D112" s="2">
        <v>45366</v>
      </c>
      <c r="E112">
        <v>3.2669999999999999</v>
      </c>
      <c r="F112" s="2">
        <v>45366</v>
      </c>
      <c r="G112">
        <v>3.3</v>
      </c>
      <c r="H112" s="2">
        <v>45366</v>
      </c>
      <c r="I112">
        <v>3.35</v>
      </c>
      <c r="J112" s="2">
        <v>45366</v>
      </c>
      <c r="K112">
        <v>3.3849999999999998</v>
      </c>
      <c r="L112" s="2">
        <v>45366</v>
      </c>
      <c r="M112">
        <v>3.3069999999999999</v>
      </c>
      <c r="N112" s="2">
        <v>45128</v>
      </c>
      <c r="O112">
        <v>3.55037</v>
      </c>
      <c r="P112" s="2">
        <v>45366</v>
      </c>
      <c r="Q112">
        <v>3.3969999999999998</v>
      </c>
      <c r="R112" s="2">
        <v>45170</v>
      </c>
      <c r="S112">
        <v>1.1850000000000001</v>
      </c>
      <c r="U112" s="2">
        <v>45418</v>
      </c>
    </row>
    <row r="113" spans="2:30">
      <c r="B113" s="2">
        <v>45365</v>
      </c>
      <c r="C113">
        <v>3.35</v>
      </c>
      <c r="D113" s="2">
        <v>45365</v>
      </c>
      <c r="E113">
        <v>3.2450000000000001</v>
      </c>
      <c r="F113" s="2">
        <v>45365</v>
      </c>
      <c r="G113">
        <v>3.3</v>
      </c>
      <c r="H113" s="2">
        <v>45365</v>
      </c>
      <c r="I113">
        <v>3.3570000000000002</v>
      </c>
      <c r="J113" s="2">
        <v>45365</v>
      </c>
      <c r="K113">
        <v>3.34</v>
      </c>
      <c r="L113" s="2">
        <v>45365</v>
      </c>
      <c r="M113">
        <v>3.2650000000000001</v>
      </c>
      <c r="N113" s="2">
        <v>45124</v>
      </c>
      <c r="O113">
        <v>3.54</v>
      </c>
      <c r="P113" s="2">
        <v>45365</v>
      </c>
      <c r="Q113">
        <v>3.36</v>
      </c>
      <c r="R113" s="2">
        <v>45169</v>
      </c>
      <c r="S113">
        <v>1.206</v>
      </c>
      <c r="U113" s="2">
        <v>45417</v>
      </c>
    </row>
    <row r="114" spans="2:30">
      <c r="B114" s="2">
        <v>45364</v>
      </c>
      <c r="C114">
        <v>3.3220000000000001</v>
      </c>
      <c r="D114" s="2">
        <v>45364</v>
      </c>
      <c r="E114">
        <v>3.2450000000000001</v>
      </c>
      <c r="F114" s="2">
        <v>45364</v>
      </c>
      <c r="G114">
        <v>3.2669999999999999</v>
      </c>
      <c r="H114" s="2">
        <v>45364</v>
      </c>
      <c r="I114">
        <v>3.327</v>
      </c>
      <c r="J114" s="2">
        <v>45364</v>
      </c>
      <c r="K114">
        <v>3.31</v>
      </c>
      <c r="L114" s="2">
        <v>45364</v>
      </c>
      <c r="M114">
        <v>3.2450000000000001</v>
      </c>
      <c r="N114" s="2">
        <v>45121</v>
      </c>
      <c r="O114">
        <v>3.58</v>
      </c>
      <c r="P114" s="2">
        <v>45364</v>
      </c>
      <c r="Q114">
        <v>3.3420000000000001</v>
      </c>
      <c r="R114" s="2">
        <v>45168</v>
      </c>
      <c r="S114">
        <v>1.246</v>
      </c>
      <c r="U114" s="2">
        <v>45416</v>
      </c>
    </row>
    <row r="115" spans="2:30">
      <c r="B115" s="2">
        <v>45363</v>
      </c>
      <c r="C115">
        <v>3.3719999999999999</v>
      </c>
      <c r="D115" s="2">
        <v>45363</v>
      </c>
      <c r="E115">
        <v>3.2749999999999999</v>
      </c>
      <c r="F115" s="2">
        <v>45363</v>
      </c>
      <c r="G115">
        <v>3.28</v>
      </c>
      <c r="H115" s="2">
        <v>45363</v>
      </c>
      <c r="I115">
        <v>3.33</v>
      </c>
      <c r="J115" s="2">
        <v>45363</v>
      </c>
      <c r="K115">
        <v>3.3220000000000001</v>
      </c>
      <c r="L115" s="2">
        <v>45363</v>
      </c>
      <c r="M115">
        <v>3.266</v>
      </c>
      <c r="N115" s="2">
        <v>45117</v>
      </c>
      <c r="O115">
        <v>3.7</v>
      </c>
      <c r="P115" s="2">
        <v>45363</v>
      </c>
      <c r="Q115">
        <v>3.3580000000000001</v>
      </c>
      <c r="R115" s="2">
        <v>45167</v>
      </c>
      <c r="S115">
        <v>1.244</v>
      </c>
      <c r="U115" s="2">
        <v>45415</v>
      </c>
      <c r="V115">
        <v>3.4950000000000001</v>
      </c>
      <c r="W115">
        <v>3.5049999999999999</v>
      </c>
      <c r="X115">
        <v>3.552</v>
      </c>
      <c r="Y115">
        <v>3.6219999999999999</v>
      </c>
      <c r="Z115">
        <v>3.532</v>
      </c>
      <c r="AA115">
        <v>3.43161</v>
      </c>
      <c r="AC115">
        <v>3.5019999999999998</v>
      </c>
      <c r="AD115">
        <v>0.78500000000000003</v>
      </c>
    </row>
    <row r="116" spans="2:30">
      <c r="B116" s="2">
        <v>45362</v>
      </c>
      <c r="C116">
        <v>3.3420000000000001</v>
      </c>
      <c r="D116" s="2">
        <v>45362</v>
      </c>
      <c r="E116">
        <v>3.2749999999999999</v>
      </c>
      <c r="F116" s="2">
        <v>45362</v>
      </c>
      <c r="G116">
        <v>3.2850000000000001</v>
      </c>
      <c r="H116" s="2">
        <v>45362</v>
      </c>
      <c r="I116">
        <v>3.3450000000000002</v>
      </c>
      <c r="J116" s="2">
        <v>45362</v>
      </c>
      <c r="K116">
        <v>3.34</v>
      </c>
      <c r="L116" s="2">
        <v>45362</v>
      </c>
      <c r="M116">
        <v>3.2719999999999998</v>
      </c>
      <c r="N116" s="2">
        <v>45114</v>
      </c>
      <c r="O116">
        <v>3.6949999999999998</v>
      </c>
      <c r="P116" s="2">
        <v>45362</v>
      </c>
      <c r="Q116">
        <v>3.3420000000000001</v>
      </c>
      <c r="R116" s="2">
        <v>45161</v>
      </c>
      <c r="S116">
        <v>1.3049999999999999</v>
      </c>
      <c r="U116" s="2">
        <v>45414</v>
      </c>
      <c r="V116">
        <v>3.4950000000000001</v>
      </c>
      <c r="W116">
        <v>3.51</v>
      </c>
      <c r="X116">
        <v>3.5649999999999999</v>
      </c>
      <c r="Y116">
        <v>3.6419999999999999</v>
      </c>
      <c r="Z116">
        <v>3.5550000000000002</v>
      </c>
      <c r="AA116">
        <v>3.4649999999999999</v>
      </c>
      <c r="AB116">
        <v>3.4369999999999998</v>
      </c>
      <c r="AC116">
        <v>3.5150000000000001</v>
      </c>
      <c r="AD116">
        <v>0.80400000000000005</v>
      </c>
    </row>
    <row r="117" spans="2:30">
      <c r="B117" s="2">
        <v>45359</v>
      </c>
      <c r="C117">
        <v>3.3889999999999998</v>
      </c>
      <c r="D117" s="2">
        <v>45359</v>
      </c>
      <c r="E117">
        <v>3.2650000000000001</v>
      </c>
      <c r="F117" s="2">
        <v>45359</v>
      </c>
      <c r="G117">
        <v>3.2970000000000002</v>
      </c>
      <c r="H117" s="2">
        <v>45359</v>
      </c>
      <c r="I117">
        <v>3.3250000000000002</v>
      </c>
      <c r="J117" s="2">
        <v>45359</v>
      </c>
      <c r="K117">
        <v>3.34</v>
      </c>
      <c r="L117" s="2">
        <v>45359</v>
      </c>
      <c r="M117">
        <v>3.27</v>
      </c>
      <c r="N117" s="2">
        <v>45111</v>
      </c>
      <c r="O117">
        <v>3.4950000000000001</v>
      </c>
      <c r="P117" s="2">
        <v>45359</v>
      </c>
      <c r="Q117">
        <v>3.34</v>
      </c>
      <c r="R117" s="2">
        <v>45159</v>
      </c>
      <c r="S117">
        <v>1.35</v>
      </c>
      <c r="U117" s="2">
        <v>45413</v>
      </c>
    </row>
    <row r="118" spans="2:30">
      <c r="B118" s="2">
        <v>45358</v>
      </c>
      <c r="C118">
        <v>3.4129999999999998</v>
      </c>
      <c r="D118" s="2">
        <v>45358</v>
      </c>
      <c r="E118">
        <v>3.3170000000000002</v>
      </c>
      <c r="F118" s="2">
        <v>45358</v>
      </c>
      <c r="G118">
        <v>3.36</v>
      </c>
      <c r="H118" s="2">
        <v>45358</v>
      </c>
      <c r="I118">
        <v>3.395</v>
      </c>
      <c r="J118" s="2">
        <v>45358</v>
      </c>
      <c r="K118">
        <v>3.4</v>
      </c>
      <c r="L118" s="2">
        <v>45358</v>
      </c>
      <c r="M118">
        <v>3.327</v>
      </c>
      <c r="N118" s="2">
        <v>45107</v>
      </c>
      <c r="O118">
        <v>3.6930000000000001</v>
      </c>
      <c r="P118" s="2">
        <v>45358</v>
      </c>
      <c r="Q118">
        <v>3.3820000000000001</v>
      </c>
      <c r="R118" s="2">
        <v>45156</v>
      </c>
      <c r="S118">
        <v>1.3420000000000001</v>
      </c>
      <c r="U118" s="2">
        <v>45412</v>
      </c>
      <c r="V118">
        <v>3.5139999999999998</v>
      </c>
      <c r="W118">
        <v>3.5219999999999998</v>
      </c>
      <c r="X118">
        <v>3.585</v>
      </c>
      <c r="Y118">
        <v>3.65</v>
      </c>
      <c r="Z118">
        <v>3.5750000000000002</v>
      </c>
      <c r="AA118">
        <v>3.4830000000000001</v>
      </c>
      <c r="AC118">
        <v>3.5169999999999999</v>
      </c>
    </row>
    <row r="119" spans="2:30">
      <c r="B119" s="2">
        <v>45357</v>
      </c>
      <c r="C119">
        <v>3.42</v>
      </c>
      <c r="D119" s="2">
        <v>45357</v>
      </c>
      <c r="E119">
        <v>3.3170000000000002</v>
      </c>
      <c r="F119" s="2">
        <v>45357</v>
      </c>
      <c r="G119">
        <v>3.355</v>
      </c>
      <c r="H119" s="2">
        <v>45357</v>
      </c>
      <c r="I119">
        <v>3.4350000000000001</v>
      </c>
      <c r="J119" s="2">
        <v>45357</v>
      </c>
      <c r="K119">
        <v>3.375</v>
      </c>
      <c r="L119" s="2">
        <v>45357</v>
      </c>
      <c r="M119">
        <v>3.3069999999999999</v>
      </c>
      <c r="N119" s="2">
        <v>45100</v>
      </c>
      <c r="O119">
        <v>3.6850000000000001</v>
      </c>
      <c r="P119" s="2">
        <v>45357</v>
      </c>
      <c r="Q119">
        <v>3.3820000000000001</v>
      </c>
      <c r="R119" s="2">
        <v>45154</v>
      </c>
      <c r="S119">
        <v>1.33</v>
      </c>
      <c r="U119" s="2">
        <v>45411</v>
      </c>
      <c r="V119">
        <v>3.52</v>
      </c>
      <c r="W119">
        <v>3.5419999999999998</v>
      </c>
      <c r="X119">
        <v>3.6</v>
      </c>
      <c r="Y119">
        <v>3.6920000000000002</v>
      </c>
      <c r="Z119">
        <v>3.605</v>
      </c>
      <c r="AA119">
        <v>3.5470000000000002</v>
      </c>
      <c r="AC119">
        <v>3.5249999999999999</v>
      </c>
    </row>
    <row r="120" spans="2:30">
      <c r="B120" s="2">
        <v>45356</v>
      </c>
      <c r="C120">
        <v>3.4359999999999999</v>
      </c>
      <c r="D120" s="2">
        <v>45356</v>
      </c>
      <c r="E120">
        <v>3.3570000000000002</v>
      </c>
      <c r="F120" s="2">
        <v>45356</v>
      </c>
      <c r="G120">
        <v>3.39</v>
      </c>
      <c r="H120" s="2">
        <v>45356</v>
      </c>
      <c r="I120">
        <v>3.4119999999999999</v>
      </c>
      <c r="J120" s="2">
        <v>45356</v>
      </c>
      <c r="K120">
        <v>3.395</v>
      </c>
      <c r="L120" s="2">
        <v>45356</v>
      </c>
      <c r="M120">
        <v>3.3180399999999999</v>
      </c>
      <c r="N120" s="2">
        <v>45093</v>
      </c>
      <c r="O120">
        <v>3.6509999999999998</v>
      </c>
      <c r="P120" s="2">
        <v>45356</v>
      </c>
      <c r="Q120">
        <v>3.4129999999999998</v>
      </c>
      <c r="R120" s="2">
        <v>45152</v>
      </c>
      <c r="S120">
        <v>1.345</v>
      </c>
      <c r="U120" s="2">
        <v>45410</v>
      </c>
    </row>
    <row r="121" spans="2:30">
      <c r="B121" s="2">
        <v>45355</v>
      </c>
      <c r="C121">
        <v>3.4449999999999998</v>
      </c>
      <c r="D121" s="2">
        <v>45355</v>
      </c>
      <c r="E121">
        <v>3.355</v>
      </c>
      <c r="F121" s="2">
        <v>45355</v>
      </c>
      <c r="G121">
        <v>3.4020000000000001</v>
      </c>
      <c r="H121" s="2">
        <v>45355</v>
      </c>
      <c r="I121">
        <v>3.4750000000000001</v>
      </c>
      <c r="J121" s="2">
        <v>45355</v>
      </c>
      <c r="K121">
        <v>3.47</v>
      </c>
      <c r="L121" s="2">
        <v>45355</v>
      </c>
      <c r="M121">
        <v>3.3530000000000002</v>
      </c>
      <c r="N121" s="2">
        <v>45092</v>
      </c>
      <c r="O121">
        <v>3.6720000000000002</v>
      </c>
      <c r="P121" s="2">
        <v>45355</v>
      </c>
      <c r="Q121">
        <v>3.4169999999999998</v>
      </c>
      <c r="R121" s="2">
        <v>45149</v>
      </c>
      <c r="S121">
        <v>1.3</v>
      </c>
      <c r="U121" s="2">
        <v>45409</v>
      </c>
    </row>
    <row r="122" spans="2:30">
      <c r="B122" s="2">
        <v>45351</v>
      </c>
      <c r="C122">
        <v>3.46197</v>
      </c>
      <c r="D122" s="2">
        <v>45351</v>
      </c>
      <c r="E122">
        <v>3.3820000000000001</v>
      </c>
      <c r="F122" s="2">
        <v>45351</v>
      </c>
      <c r="G122">
        <v>3.41</v>
      </c>
      <c r="H122" s="2">
        <v>45351</v>
      </c>
      <c r="I122">
        <v>3.4780000000000002</v>
      </c>
      <c r="J122" s="2">
        <v>45351</v>
      </c>
      <c r="K122">
        <v>3.4515500000000001</v>
      </c>
      <c r="L122" s="2">
        <v>45351</v>
      </c>
      <c r="M122">
        <v>3.3604599999999998</v>
      </c>
      <c r="N122" s="2">
        <v>45089</v>
      </c>
      <c r="O122">
        <v>3.6749999999999998</v>
      </c>
      <c r="P122" s="2">
        <v>45351</v>
      </c>
      <c r="Q122">
        <v>3.4420000000000002</v>
      </c>
      <c r="R122" s="2">
        <v>45147</v>
      </c>
      <c r="S122">
        <v>1.268</v>
      </c>
      <c r="U122" s="2">
        <v>45408</v>
      </c>
      <c r="V122">
        <v>3.4950000000000001</v>
      </c>
      <c r="W122">
        <v>3.52</v>
      </c>
      <c r="X122">
        <v>3.625</v>
      </c>
      <c r="Y122">
        <v>3.6850000000000001</v>
      </c>
      <c r="Z122">
        <v>3.6</v>
      </c>
      <c r="AA122">
        <v>3.54</v>
      </c>
      <c r="AC122">
        <v>3.5270000000000001</v>
      </c>
      <c r="AD122">
        <v>0.872</v>
      </c>
    </row>
    <row r="123" spans="2:30">
      <c r="B123" s="2">
        <v>45350</v>
      </c>
      <c r="C123">
        <v>3.4460000000000002</v>
      </c>
      <c r="D123" s="2">
        <v>45350</v>
      </c>
      <c r="E123">
        <v>3.3650000000000002</v>
      </c>
      <c r="F123" s="2">
        <v>45350</v>
      </c>
      <c r="G123">
        <v>3.41</v>
      </c>
      <c r="H123" s="2">
        <v>45350</v>
      </c>
      <c r="I123">
        <v>3.4569999999999999</v>
      </c>
      <c r="J123" s="2">
        <v>45350</v>
      </c>
      <c r="K123">
        <v>3.4369999999999998</v>
      </c>
      <c r="L123" s="2">
        <v>45350</v>
      </c>
      <c r="M123">
        <v>3.3620000000000001</v>
      </c>
      <c r="N123" s="2">
        <v>45086</v>
      </c>
      <c r="O123">
        <v>3.6749999999999998</v>
      </c>
      <c r="P123" s="2">
        <v>45350</v>
      </c>
      <c r="Q123">
        <v>3.42</v>
      </c>
      <c r="R123" s="2">
        <v>45142</v>
      </c>
      <c r="S123">
        <v>1.302</v>
      </c>
      <c r="U123" s="2">
        <v>45407</v>
      </c>
      <c r="V123">
        <v>3.5049999999999999</v>
      </c>
      <c r="W123">
        <v>3.51</v>
      </c>
      <c r="X123">
        <v>3.625</v>
      </c>
      <c r="Y123">
        <v>3.71</v>
      </c>
      <c r="Z123">
        <v>3.62</v>
      </c>
      <c r="AA123">
        <v>3.5087600000000001</v>
      </c>
      <c r="AC123">
        <v>3.51</v>
      </c>
    </row>
    <row r="124" spans="2:30">
      <c r="B124" s="2">
        <v>45349</v>
      </c>
      <c r="C124">
        <v>3.4489999999999998</v>
      </c>
      <c r="D124" s="2">
        <v>45349</v>
      </c>
      <c r="E124">
        <v>3.3650000000000002</v>
      </c>
      <c r="F124" s="2">
        <v>45349</v>
      </c>
      <c r="G124">
        <v>3.4</v>
      </c>
      <c r="H124" s="2">
        <v>45349</v>
      </c>
      <c r="I124">
        <v>3.4249999999999998</v>
      </c>
      <c r="J124" s="2">
        <v>45349</v>
      </c>
      <c r="K124">
        <v>3.4</v>
      </c>
      <c r="L124" s="2">
        <v>45349</v>
      </c>
      <c r="M124">
        <v>3.3170000000000002</v>
      </c>
      <c r="N124" s="2">
        <v>45085</v>
      </c>
      <c r="O124">
        <v>3.6440000000000001</v>
      </c>
      <c r="P124" s="2">
        <v>45349</v>
      </c>
      <c r="Q124">
        <v>3.415</v>
      </c>
      <c r="R124" s="2">
        <v>45141</v>
      </c>
      <c r="S124">
        <v>1.3149999999999999</v>
      </c>
      <c r="U124" s="2">
        <v>45406</v>
      </c>
      <c r="V124">
        <v>3.47</v>
      </c>
      <c r="W124">
        <v>3.51</v>
      </c>
      <c r="X124">
        <v>3.5819999999999999</v>
      </c>
      <c r="Y124">
        <v>3.6520000000000001</v>
      </c>
      <c r="Z124">
        <v>3.5649999999999999</v>
      </c>
      <c r="AA124">
        <v>3.4649999999999999</v>
      </c>
      <c r="AC124">
        <v>3.4929999999999999</v>
      </c>
    </row>
    <row r="125" spans="2:30">
      <c r="B125" s="2">
        <v>45348</v>
      </c>
      <c r="C125">
        <v>3.4289999999999998</v>
      </c>
      <c r="D125" s="2">
        <v>45348</v>
      </c>
      <c r="E125">
        <v>3.3410000000000002</v>
      </c>
      <c r="F125" s="2">
        <v>45348</v>
      </c>
      <c r="G125">
        <v>3.375</v>
      </c>
      <c r="H125" s="2">
        <v>45348</v>
      </c>
      <c r="I125">
        <v>3.4020000000000001</v>
      </c>
      <c r="J125" s="2">
        <v>45348</v>
      </c>
      <c r="K125">
        <v>3.3820000000000001</v>
      </c>
      <c r="L125" s="2">
        <v>45348</v>
      </c>
      <c r="M125">
        <v>3.3069999999999999</v>
      </c>
      <c r="N125" s="2">
        <v>45079</v>
      </c>
      <c r="O125">
        <v>3.5404100000000001</v>
      </c>
      <c r="P125" s="2">
        <v>45348</v>
      </c>
      <c r="Q125">
        <v>3.4169999999999998</v>
      </c>
      <c r="R125" s="2">
        <v>45140</v>
      </c>
      <c r="S125">
        <v>1.2549999999999999</v>
      </c>
      <c r="U125" s="2">
        <v>45405</v>
      </c>
      <c r="V125">
        <v>3.5088400000000002</v>
      </c>
      <c r="W125">
        <v>3.4870000000000001</v>
      </c>
      <c r="X125">
        <v>3.5350000000000001</v>
      </c>
      <c r="Y125">
        <v>3.6</v>
      </c>
      <c r="Z125">
        <v>3.56</v>
      </c>
      <c r="AA125">
        <v>3.46</v>
      </c>
      <c r="AC125">
        <v>3.4969999999999999</v>
      </c>
    </row>
    <row r="126" spans="2:30">
      <c r="B126" s="2">
        <v>45345</v>
      </c>
      <c r="C126">
        <v>3.4470000000000001</v>
      </c>
      <c r="D126" s="2">
        <v>45345</v>
      </c>
      <c r="E126">
        <v>3.375</v>
      </c>
      <c r="F126" s="2">
        <v>45345</v>
      </c>
      <c r="G126">
        <v>3.39</v>
      </c>
      <c r="H126" s="2">
        <v>45345</v>
      </c>
      <c r="I126">
        <v>3.46</v>
      </c>
      <c r="J126" s="2">
        <v>45345</v>
      </c>
      <c r="K126">
        <v>3.4550000000000001</v>
      </c>
      <c r="L126" s="2">
        <v>45345</v>
      </c>
      <c r="M126">
        <v>3.37</v>
      </c>
      <c r="N126" s="2">
        <v>45078</v>
      </c>
      <c r="O126">
        <v>3.6</v>
      </c>
      <c r="P126" s="2">
        <v>45345</v>
      </c>
      <c r="Q126">
        <v>3.44</v>
      </c>
      <c r="R126" s="2">
        <v>45139</v>
      </c>
      <c r="S126">
        <v>1.22</v>
      </c>
      <c r="U126" s="2">
        <v>45404</v>
      </c>
      <c r="V126">
        <v>3.5249999999999999</v>
      </c>
      <c r="W126">
        <v>3.51</v>
      </c>
      <c r="X126">
        <v>3.585</v>
      </c>
      <c r="Y126">
        <v>3.6</v>
      </c>
      <c r="Z126">
        <v>3.55</v>
      </c>
      <c r="AA126">
        <v>3.45</v>
      </c>
      <c r="AC126">
        <v>3.52</v>
      </c>
    </row>
    <row r="127" spans="2:30">
      <c r="B127" s="2">
        <v>45344</v>
      </c>
      <c r="C127">
        <v>3.42</v>
      </c>
      <c r="D127" s="2">
        <v>45344</v>
      </c>
      <c r="E127">
        <v>3.3450000000000002</v>
      </c>
      <c r="F127" s="2">
        <v>45344</v>
      </c>
      <c r="G127">
        <v>3.41</v>
      </c>
      <c r="H127" s="2">
        <v>45344</v>
      </c>
      <c r="I127">
        <v>3.43</v>
      </c>
      <c r="J127" s="2">
        <v>45344</v>
      </c>
      <c r="K127">
        <v>3.427</v>
      </c>
      <c r="L127" s="2">
        <v>45344</v>
      </c>
      <c r="M127">
        <v>3.3650000000000002</v>
      </c>
      <c r="N127" s="2">
        <v>45077</v>
      </c>
      <c r="O127">
        <v>3.5449999999999999</v>
      </c>
      <c r="P127" s="2">
        <v>45344</v>
      </c>
      <c r="Q127">
        <v>3.48</v>
      </c>
      <c r="R127" s="2">
        <v>45138</v>
      </c>
      <c r="S127">
        <v>1.24</v>
      </c>
      <c r="U127" s="2">
        <v>45403</v>
      </c>
    </row>
    <row r="128" spans="2:30">
      <c r="B128" s="2">
        <v>45343</v>
      </c>
      <c r="C128">
        <v>3.4609999999999999</v>
      </c>
      <c r="D128" s="2">
        <v>45343</v>
      </c>
      <c r="E128">
        <v>3.4020000000000001</v>
      </c>
      <c r="F128" s="2">
        <v>45343</v>
      </c>
      <c r="G128">
        <v>3.44</v>
      </c>
      <c r="H128" s="2">
        <v>45343</v>
      </c>
      <c r="I128">
        <v>3.472</v>
      </c>
      <c r="J128" s="2">
        <v>45343</v>
      </c>
      <c r="K128">
        <v>3.452</v>
      </c>
      <c r="L128" s="2">
        <v>45343</v>
      </c>
      <c r="M128">
        <v>3.387</v>
      </c>
      <c r="N128" s="2">
        <v>45076</v>
      </c>
      <c r="O128">
        <v>3.6320000000000001</v>
      </c>
      <c r="P128" s="2">
        <v>45343</v>
      </c>
      <c r="Q128">
        <v>3.4630000000000001</v>
      </c>
      <c r="R128" s="2">
        <v>45134</v>
      </c>
      <c r="S128">
        <v>1.175</v>
      </c>
      <c r="U128" s="2">
        <v>45402</v>
      </c>
    </row>
    <row r="129" spans="2:30">
      <c r="B129" s="2">
        <v>45342</v>
      </c>
      <c r="C129">
        <v>3.4649999999999999</v>
      </c>
      <c r="D129" s="2">
        <v>45342</v>
      </c>
      <c r="E129">
        <v>3.4049999999999998</v>
      </c>
      <c r="F129" s="2">
        <v>45342</v>
      </c>
      <c r="G129">
        <v>3.46</v>
      </c>
      <c r="H129" s="2">
        <v>45342</v>
      </c>
      <c r="I129">
        <v>3.492</v>
      </c>
      <c r="J129" s="2">
        <v>45342</v>
      </c>
      <c r="K129">
        <v>3.4649999999999999</v>
      </c>
      <c r="L129" s="2">
        <v>45342</v>
      </c>
      <c r="M129">
        <v>3.3980000000000001</v>
      </c>
      <c r="N129" s="2">
        <v>45071</v>
      </c>
      <c r="O129">
        <v>3.5249999999999999</v>
      </c>
      <c r="P129" s="2">
        <v>45342</v>
      </c>
      <c r="Q129">
        <v>3.4449999999999998</v>
      </c>
      <c r="R129" s="2">
        <v>45133</v>
      </c>
      <c r="S129">
        <v>1.2090000000000001</v>
      </c>
      <c r="U129" s="2">
        <v>45401</v>
      </c>
      <c r="V129">
        <v>3.476</v>
      </c>
      <c r="W129">
        <v>3.4769999999999999</v>
      </c>
      <c r="X129">
        <v>3.55</v>
      </c>
      <c r="Y129">
        <v>3.5649999999999999</v>
      </c>
      <c r="Z129">
        <v>3.49</v>
      </c>
      <c r="AA129">
        <v>3.3450000000000002</v>
      </c>
      <c r="AC129">
        <v>3.4849999999999999</v>
      </c>
    </row>
    <row r="130" spans="2:30">
      <c r="B130" s="2">
        <v>45341</v>
      </c>
      <c r="C130">
        <v>3.45</v>
      </c>
      <c r="D130" s="2">
        <v>45341</v>
      </c>
      <c r="E130">
        <v>3.3969999999999998</v>
      </c>
      <c r="F130" s="2">
        <v>45341</v>
      </c>
      <c r="G130">
        <v>3.44</v>
      </c>
      <c r="H130" s="2">
        <v>45341</v>
      </c>
      <c r="I130">
        <v>3.47</v>
      </c>
      <c r="J130" s="2">
        <v>45341</v>
      </c>
      <c r="K130">
        <v>3.43</v>
      </c>
      <c r="L130" s="2">
        <v>45341</v>
      </c>
      <c r="M130">
        <v>3.262</v>
      </c>
      <c r="N130" s="2">
        <v>45070</v>
      </c>
      <c r="O130">
        <v>3.41</v>
      </c>
      <c r="P130" s="2">
        <v>45341</v>
      </c>
      <c r="Q130">
        <v>3.44</v>
      </c>
      <c r="R130" s="2">
        <v>45132</v>
      </c>
      <c r="S130">
        <v>1.1930000000000001</v>
      </c>
      <c r="U130" s="2">
        <v>45400</v>
      </c>
      <c r="V130">
        <v>3.44</v>
      </c>
      <c r="W130">
        <v>3.43</v>
      </c>
      <c r="X130">
        <v>3.5019999999999998</v>
      </c>
      <c r="Y130">
        <v>3.5619999999999998</v>
      </c>
      <c r="Z130">
        <v>3.4750000000000001</v>
      </c>
      <c r="AA130">
        <v>3.38</v>
      </c>
      <c r="AC130">
        <v>3.44</v>
      </c>
      <c r="AD130">
        <v>0.70069999999999999</v>
      </c>
    </row>
    <row r="131" spans="2:30">
      <c r="B131" s="2">
        <v>45338</v>
      </c>
      <c r="C131">
        <v>3.4550000000000001</v>
      </c>
      <c r="D131" s="2">
        <v>45338</v>
      </c>
      <c r="E131">
        <v>3.4049999999999998</v>
      </c>
      <c r="F131" s="2">
        <v>45338</v>
      </c>
      <c r="G131">
        <v>3.45</v>
      </c>
      <c r="H131" s="2">
        <v>45338</v>
      </c>
      <c r="I131">
        <v>3.4820000000000002</v>
      </c>
      <c r="J131" s="2">
        <v>45338</v>
      </c>
      <c r="K131">
        <v>3.4249999999999998</v>
      </c>
      <c r="L131" s="2">
        <v>45338</v>
      </c>
      <c r="M131">
        <v>3.3580000000000001</v>
      </c>
      <c r="N131" s="2">
        <v>45069</v>
      </c>
      <c r="O131">
        <v>3.4089999999999998</v>
      </c>
      <c r="P131" s="2">
        <v>45338</v>
      </c>
      <c r="Q131">
        <v>3.4550000000000001</v>
      </c>
      <c r="R131" s="2">
        <v>45131</v>
      </c>
      <c r="S131">
        <v>1.2050000000000001</v>
      </c>
      <c r="U131" s="2">
        <v>45399</v>
      </c>
      <c r="V131">
        <v>3.4769999999999999</v>
      </c>
      <c r="W131">
        <v>3.47</v>
      </c>
      <c r="X131">
        <v>3.53</v>
      </c>
      <c r="Y131">
        <v>3.62</v>
      </c>
      <c r="Z131">
        <v>3.52</v>
      </c>
      <c r="AA131">
        <v>3.4249999999999998</v>
      </c>
      <c r="AB131">
        <v>3.4</v>
      </c>
      <c r="AC131">
        <v>3.4649999999999999</v>
      </c>
    </row>
    <row r="132" spans="2:30">
      <c r="B132" s="2">
        <v>45337</v>
      </c>
      <c r="C132">
        <v>3.4590000000000001</v>
      </c>
      <c r="D132" s="2">
        <v>45337</v>
      </c>
      <c r="E132">
        <v>3.4</v>
      </c>
      <c r="F132" s="2">
        <v>45337</v>
      </c>
      <c r="G132">
        <v>3.44</v>
      </c>
      <c r="H132" s="2">
        <v>45337</v>
      </c>
      <c r="I132">
        <v>3.4769999999999999</v>
      </c>
      <c r="J132" s="2">
        <v>45337</v>
      </c>
      <c r="K132">
        <v>3.415</v>
      </c>
      <c r="L132" s="2">
        <v>45337</v>
      </c>
      <c r="M132">
        <v>3.3380000000000001</v>
      </c>
      <c r="N132" s="2">
        <v>45068</v>
      </c>
      <c r="O132">
        <v>3.395</v>
      </c>
      <c r="P132" s="2">
        <v>45337</v>
      </c>
      <c r="Q132">
        <v>3.43</v>
      </c>
      <c r="R132" s="2">
        <v>45128</v>
      </c>
      <c r="S132">
        <v>1.21</v>
      </c>
      <c r="U132" s="2">
        <v>45398</v>
      </c>
      <c r="V132">
        <v>3.4769999999999999</v>
      </c>
      <c r="W132">
        <v>3.4750000000000001</v>
      </c>
      <c r="X132">
        <v>3.5350000000000001</v>
      </c>
      <c r="Y132">
        <v>3.6280000000000001</v>
      </c>
      <c r="Z132">
        <v>3.5350000000000001</v>
      </c>
      <c r="AA132">
        <v>3.41</v>
      </c>
      <c r="AC132">
        <v>3.4670000000000001</v>
      </c>
    </row>
    <row r="133" spans="2:30">
      <c r="B133" s="2">
        <v>45336</v>
      </c>
      <c r="C133">
        <v>3.47</v>
      </c>
      <c r="D133" s="2">
        <v>45336</v>
      </c>
      <c r="E133">
        <v>3.407</v>
      </c>
      <c r="F133" s="2">
        <v>45336</v>
      </c>
      <c r="G133">
        <v>3.44</v>
      </c>
      <c r="H133" s="2">
        <v>45336</v>
      </c>
      <c r="I133">
        <v>3.45</v>
      </c>
      <c r="J133" s="2">
        <v>45336</v>
      </c>
      <c r="K133">
        <v>3.415</v>
      </c>
      <c r="L133" s="2">
        <v>45336</v>
      </c>
      <c r="M133">
        <v>3.35</v>
      </c>
      <c r="N133" s="2">
        <v>45058</v>
      </c>
      <c r="O133">
        <v>3.26</v>
      </c>
      <c r="P133" s="2">
        <v>45336</v>
      </c>
      <c r="Q133">
        <v>3.45</v>
      </c>
      <c r="R133" s="2">
        <v>45127</v>
      </c>
      <c r="S133">
        <v>1.2030000000000001</v>
      </c>
      <c r="U133" s="2">
        <v>45397</v>
      </c>
      <c r="V133">
        <v>3.4529999999999998</v>
      </c>
      <c r="W133">
        <v>3.4</v>
      </c>
      <c r="X133">
        <v>3.45</v>
      </c>
      <c r="Y133">
        <v>3.56</v>
      </c>
      <c r="Z133">
        <v>3.4769999999999999</v>
      </c>
      <c r="AA133">
        <v>3.3719999999999999</v>
      </c>
      <c r="AB133">
        <v>3.335</v>
      </c>
      <c r="AC133">
        <v>3.44</v>
      </c>
    </row>
    <row r="134" spans="2:30">
      <c r="B134" s="2">
        <v>45335</v>
      </c>
      <c r="C134">
        <v>3.39</v>
      </c>
      <c r="D134" s="2">
        <v>45335</v>
      </c>
      <c r="E134">
        <v>3.35</v>
      </c>
      <c r="F134" s="2">
        <v>45335</v>
      </c>
      <c r="G134">
        <v>3.39</v>
      </c>
      <c r="H134" s="2">
        <v>45335</v>
      </c>
      <c r="I134">
        <v>3.45</v>
      </c>
      <c r="J134" s="2">
        <v>45335</v>
      </c>
      <c r="K134">
        <v>3.395</v>
      </c>
      <c r="L134" s="2">
        <v>45335</v>
      </c>
      <c r="M134">
        <v>3.2519999999999998</v>
      </c>
      <c r="N134" s="2">
        <v>45057</v>
      </c>
      <c r="O134">
        <v>3.37</v>
      </c>
      <c r="P134" s="2">
        <v>45335</v>
      </c>
      <c r="Q134">
        <v>3.4</v>
      </c>
      <c r="R134" s="2">
        <v>45126</v>
      </c>
      <c r="S134">
        <v>1.165</v>
      </c>
      <c r="U134" s="2">
        <v>45396</v>
      </c>
    </row>
    <row r="135" spans="2:30">
      <c r="B135" s="2">
        <v>45330</v>
      </c>
      <c r="C135">
        <v>3.39</v>
      </c>
      <c r="D135" s="2">
        <v>45330</v>
      </c>
      <c r="E135">
        <v>3.3050000000000002</v>
      </c>
      <c r="F135" s="2">
        <v>45330</v>
      </c>
      <c r="G135">
        <v>3.335</v>
      </c>
      <c r="H135" s="2">
        <v>45330</v>
      </c>
      <c r="I135">
        <v>3.407</v>
      </c>
      <c r="J135" s="2">
        <v>45330</v>
      </c>
      <c r="K135">
        <v>3.3650000000000002</v>
      </c>
      <c r="L135" s="2">
        <v>45330</v>
      </c>
      <c r="M135">
        <v>3.2850000000000001</v>
      </c>
      <c r="N135" s="2">
        <v>45056</v>
      </c>
      <c r="O135">
        <v>3.36</v>
      </c>
      <c r="P135" s="2">
        <v>45330</v>
      </c>
      <c r="Q135">
        <v>3.3530000000000002</v>
      </c>
      <c r="R135" s="2">
        <v>45125</v>
      </c>
      <c r="S135">
        <v>1.2250000000000001</v>
      </c>
      <c r="U135" s="2">
        <v>45395</v>
      </c>
    </row>
    <row r="136" spans="2:30">
      <c r="B136" s="2">
        <v>45329</v>
      </c>
      <c r="C136">
        <v>3.3759999999999999</v>
      </c>
      <c r="D136" s="2">
        <v>45329</v>
      </c>
      <c r="E136">
        <v>3.29</v>
      </c>
      <c r="F136" s="2">
        <v>45329</v>
      </c>
      <c r="G136">
        <v>3.3180000000000001</v>
      </c>
      <c r="H136" s="2">
        <v>45329</v>
      </c>
      <c r="I136">
        <v>3.38</v>
      </c>
      <c r="J136" s="2">
        <v>45329</v>
      </c>
      <c r="K136">
        <v>3.347</v>
      </c>
      <c r="L136" s="2">
        <v>45329</v>
      </c>
      <c r="M136">
        <v>3.3</v>
      </c>
      <c r="N136" s="2">
        <v>45055</v>
      </c>
      <c r="O136">
        <v>3.35</v>
      </c>
      <c r="P136" s="2">
        <v>45329</v>
      </c>
      <c r="Q136">
        <v>3.355</v>
      </c>
      <c r="R136" s="2">
        <v>45124</v>
      </c>
      <c r="S136">
        <v>1.2310000000000001</v>
      </c>
      <c r="U136" s="2">
        <v>45394</v>
      </c>
      <c r="V136">
        <v>3.44</v>
      </c>
      <c r="W136">
        <v>3.4</v>
      </c>
      <c r="X136">
        <v>3.48</v>
      </c>
      <c r="Y136">
        <v>3.5350000000000001</v>
      </c>
      <c r="Z136">
        <v>3.4550000000000001</v>
      </c>
      <c r="AA136">
        <v>3.355</v>
      </c>
      <c r="AB136">
        <v>3.335</v>
      </c>
      <c r="AC136">
        <v>3.415</v>
      </c>
    </row>
    <row r="137" spans="2:30">
      <c r="B137" s="2">
        <v>45328</v>
      </c>
      <c r="C137">
        <v>3.375</v>
      </c>
      <c r="D137" s="2">
        <v>45328</v>
      </c>
      <c r="E137">
        <v>3.29</v>
      </c>
      <c r="F137" s="2">
        <v>45328</v>
      </c>
      <c r="G137">
        <v>3.3100200000000002</v>
      </c>
      <c r="H137" s="2">
        <v>45328</v>
      </c>
      <c r="I137">
        <v>3.39</v>
      </c>
      <c r="J137" s="2">
        <v>45328</v>
      </c>
      <c r="K137">
        <v>3.3420000000000001</v>
      </c>
      <c r="L137" s="2">
        <v>45328</v>
      </c>
      <c r="M137">
        <v>3.3018999999999998</v>
      </c>
      <c r="N137" s="2">
        <v>45048</v>
      </c>
      <c r="O137">
        <v>3.3919999999999999</v>
      </c>
      <c r="P137" s="2">
        <v>45328</v>
      </c>
      <c r="Q137">
        <v>3.37</v>
      </c>
      <c r="R137" s="2">
        <v>45120</v>
      </c>
      <c r="S137">
        <v>1.22</v>
      </c>
      <c r="U137" s="2">
        <v>45393</v>
      </c>
      <c r="V137">
        <v>3.4929399999999999</v>
      </c>
      <c r="W137">
        <v>3.46</v>
      </c>
      <c r="X137">
        <v>3.51</v>
      </c>
      <c r="Y137">
        <v>3.5779999999999998</v>
      </c>
      <c r="Z137">
        <v>3.4849999999999999</v>
      </c>
      <c r="AA137">
        <v>3.403</v>
      </c>
      <c r="AC137">
        <v>3.4670000000000001</v>
      </c>
    </row>
    <row r="138" spans="2:30">
      <c r="B138" s="2">
        <v>45327</v>
      </c>
      <c r="C138">
        <v>3.4</v>
      </c>
      <c r="D138" s="2">
        <v>45327</v>
      </c>
      <c r="E138">
        <v>3.3069999999999999</v>
      </c>
      <c r="F138" s="2">
        <v>45327</v>
      </c>
      <c r="G138">
        <v>3.335</v>
      </c>
      <c r="H138" s="2">
        <v>45327</v>
      </c>
      <c r="I138">
        <v>3.38</v>
      </c>
      <c r="J138" s="2">
        <v>45327</v>
      </c>
      <c r="K138">
        <v>3.3220000000000001</v>
      </c>
      <c r="L138" s="2">
        <v>45327</v>
      </c>
      <c r="M138">
        <v>3.2120000000000002</v>
      </c>
      <c r="N138" s="2">
        <v>45044</v>
      </c>
      <c r="O138">
        <v>3.3580000000000001</v>
      </c>
      <c r="P138" s="2">
        <v>45327</v>
      </c>
      <c r="Q138">
        <v>3.367</v>
      </c>
      <c r="R138" s="2">
        <v>45119</v>
      </c>
      <c r="S138">
        <v>1.327</v>
      </c>
      <c r="U138" s="2">
        <v>45392</v>
      </c>
    </row>
    <row r="139" spans="2:30">
      <c r="B139" s="2">
        <v>45324</v>
      </c>
      <c r="C139">
        <v>3.31</v>
      </c>
      <c r="D139" s="2">
        <v>45324</v>
      </c>
      <c r="E139">
        <v>3.242</v>
      </c>
      <c r="F139" s="2">
        <v>45324</v>
      </c>
      <c r="G139">
        <v>3.2549999999999999</v>
      </c>
      <c r="H139" s="2">
        <v>45324</v>
      </c>
      <c r="I139">
        <v>3.29</v>
      </c>
      <c r="J139" s="2">
        <v>45324</v>
      </c>
      <c r="K139">
        <v>3.25</v>
      </c>
      <c r="L139" s="2">
        <v>45324</v>
      </c>
      <c r="M139">
        <v>3.2069999999999999</v>
      </c>
      <c r="N139" s="2">
        <v>45043</v>
      </c>
      <c r="O139">
        <v>3.2303199999999999</v>
      </c>
      <c r="P139" s="2">
        <v>45324</v>
      </c>
      <c r="Q139">
        <v>3.3</v>
      </c>
      <c r="R139" s="2">
        <v>45118</v>
      </c>
      <c r="S139">
        <v>1.319</v>
      </c>
      <c r="U139" s="2">
        <v>45391</v>
      </c>
      <c r="V139">
        <v>3.4354499999999999</v>
      </c>
      <c r="W139">
        <v>3.387</v>
      </c>
      <c r="X139">
        <v>3.43</v>
      </c>
      <c r="Y139">
        <v>3.4980000000000002</v>
      </c>
      <c r="Z139">
        <v>3.4329999999999998</v>
      </c>
      <c r="AA139">
        <v>3.339</v>
      </c>
      <c r="AC139">
        <v>3.3919999999999999</v>
      </c>
      <c r="AD139">
        <v>0.747</v>
      </c>
    </row>
    <row r="140" spans="2:30">
      <c r="B140" s="2">
        <v>45323</v>
      </c>
      <c r="C140">
        <v>3.3050000000000002</v>
      </c>
      <c r="D140" s="2">
        <v>45323</v>
      </c>
      <c r="E140">
        <v>3.2669999999999999</v>
      </c>
      <c r="F140" s="2">
        <v>45323</v>
      </c>
      <c r="G140">
        <v>3.2970000000000002</v>
      </c>
      <c r="H140" s="2">
        <v>45323</v>
      </c>
      <c r="I140">
        <v>3.347</v>
      </c>
      <c r="J140" s="2">
        <v>45323</v>
      </c>
      <c r="K140">
        <v>3.32</v>
      </c>
      <c r="L140" s="2">
        <v>45323</v>
      </c>
      <c r="M140">
        <v>3.266</v>
      </c>
      <c r="N140" s="2">
        <v>45042</v>
      </c>
      <c r="O140">
        <v>3.3082199999999999</v>
      </c>
      <c r="P140" s="2">
        <v>45323</v>
      </c>
      <c r="Q140">
        <v>3.3069999999999999</v>
      </c>
      <c r="R140" s="2">
        <v>45117</v>
      </c>
      <c r="S140">
        <v>1.325</v>
      </c>
      <c r="U140" s="2">
        <v>45390</v>
      </c>
      <c r="V140">
        <v>3.4249999999999998</v>
      </c>
      <c r="W140">
        <v>3.3730000000000002</v>
      </c>
      <c r="X140">
        <v>3.4169999999999998</v>
      </c>
      <c r="Y140">
        <v>3.48</v>
      </c>
      <c r="Z140">
        <v>3.43</v>
      </c>
      <c r="AA140">
        <v>3.3250000000000002</v>
      </c>
      <c r="AC140">
        <v>3.37</v>
      </c>
      <c r="AD140">
        <v>0.747</v>
      </c>
    </row>
    <row r="141" spans="2:30">
      <c r="B141" s="2">
        <v>45322</v>
      </c>
      <c r="C141">
        <v>3.3144</v>
      </c>
      <c r="D141" s="2">
        <v>45322</v>
      </c>
      <c r="E141">
        <v>3.2549999999999999</v>
      </c>
      <c r="F141" s="2">
        <v>45322</v>
      </c>
      <c r="G141">
        <v>3.2930000000000001</v>
      </c>
      <c r="H141" s="2">
        <v>45322</v>
      </c>
      <c r="I141">
        <v>3.3406199999999999</v>
      </c>
      <c r="J141" s="2">
        <v>45322</v>
      </c>
      <c r="K141">
        <v>3.3250000000000002</v>
      </c>
      <c r="L141" s="2">
        <v>45322</v>
      </c>
      <c r="M141">
        <v>3.2970000000000002</v>
      </c>
      <c r="N141" s="2">
        <v>45041</v>
      </c>
      <c r="O141">
        <v>3.3</v>
      </c>
      <c r="P141" s="2">
        <v>45322</v>
      </c>
      <c r="Q141">
        <v>3.31</v>
      </c>
      <c r="R141" s="2">
        <v>45114</v>
      </c>
      <c r="S141">
        <v>1.3360000000000001</v>
      </c>
      <c r="U141" s="2">
        <v>45389</v>
      </c>
    </row>
    <row r="142" spans="2:30">
      <c r="B142" s="2">
        <v>45321</v>
      </c>
      <c r="C142">
        <v>3.31</v>
      </c>
      <c r="D142" s="2">
        <v>45321</v>
      </c>
      <c r="E142">
        <v>3.27</v>
      </c>
      <c r="F142" s="2">
        <v>45321</v>
      </c>
      <c r="G142">
        <v>3.3069999999999999</v>
      </c>
      <c r="H142" s="2">
        <v>45321</v>
      </c>
      <c r="I142">
        <v>3.3679999999999999</v>
      </c>
      <c r="J142" s="2">
        <v>45321</v>
      </c>
      <c r="K142">
        <v>3.3370000000000002</v>
      </c>
      <c r="L142" s="2">
        <v>45321</v>
      </c>
      <c r="M142">
        <v>3.33</v>
      </c>
      <c r="N142" s="2">
        <v>45034</v>
      </c>
      <c r="O142">
        <v>3.2850000000000001</v>
      </c>
      <c r="P142" s="2">
        <v>45321</v>
      </c>
      <c r="Q142">
        <v>3.3149999999999999</v>
      </c>
      <c r="R142" s="2">
        <v>45113</v>
      </c>
      <c r="S142">
        <v>1.3140000000000001</v>
      </c>
      <c r="U142" s="2">
        <v>45388</v>
      </c>
    </row>
    <row r="143" spans="2:30">
      <c r="B143" s="2">
        <v>45320</v>
      </c>
      <c r="C143">
        <v>3.347</v>
      </c>
      <c r="D143" s="2">
        <v>45320</v>
      </c>
      <c r="E143">
        <v>3.302</v>
      </c>
      <c r="F143" s="2">
        <v>45320</v>
      </c>
      <c r="G143">
        <v>3.3620000000000001</v>
      </c>
      <c r="H143" s="2">
        <v>45320</v>
      </c>
      <c r="I143">
        <v>3.4369999999999998</v>
      </c>
      <c r="J143" s="2">
        <v>45320</v>
      </c>
      <c r="K143">
        <v>3.4253</v>
      </c>
      <c r="L143" s="2">
        <v>45320</v>
      </c>
      <c r="M143">
        <v>3.367</v>
      </c>
      <c r="N143" s="2">
        <v>45033</v>
      </c>
      <c r="O143">
        <v>3.2749999999999999</v>
      </c>
      <c r="P143" s="2">
        <v>45320</v>
      </c>
      <c r="Q143">
        <v>3.3450000000000002</v>
      </c>
      <c r="R143" s="2">
        <v>45112</v>
      </c>
      <c r="S143">
        <v>1.2450000000000001</v>
      </c>
      <c r="U143" s="2">
        <v>45387</v>
      </c>
      <c r="V143">
        <v>3.3650000000000002</v>
      </c>
      <c r="W143">
        <v>3.3315600000000001</v>
      </c>
      <c r="X143">
        <v>3.367</v>
      </c>
      <c r="Y143">
        <v>3.4350000000000001</v>
      </c>
      <c r="Z143">
        <v>3.395</v>
      </c>
      <c r="AA143">
        <v>3.3</v>
      </c>
      <c r="AC143">
        <v>3.335</v>
      </c>
      <c r="AD143">
        <v>0.72</v>
      </c>
    </row>
    <row r="144" spans="2:30">
      <c r="B144" s="2">
        <v>45317</v>
      </c>
      <c r="C144">
        <v>3.2850000000000001</v>
      </c>
      <c r="D144" s="2">
        <v>45317</v>
      </c>
      <c r="E144">
        <v>3.27</v>
      </c>
      <c r="F144" s="2">
        <v>45317</v>
      </c>
      <c r="G144">
        <v>3.31</v>
      </c>
      <c r="H144" s="2">
        <v>45317</v>
      </c>
      <c r="I144">
        <v>3.3849999999999998</v>
      </c>
      <c r="J144" s="2">
        <v>45317</v>
      </c>
      <c r="K144">
        <v>3.355</v>
      </c>
      <c r="L144" s="2">
        <v>45317</v>
      </c>
      <c r="M144">
        <v>3.2970000000000002</v>
      </c>
      <c r="N144" s="2">
        <v>45030</v>
      </c>
      <c r="O144">
        <v>3.26</v>
      </c>
      <c r="P144" s="2">
        <v>45317</v>
      </c>
      <c r="Q144">
        <v>3.3149999999999999</v>
      </c>
      <c r="R144" s="2">
        <v>45111</v>
      </c>
      <c r="S144">
        <v>1.27</v>
      </c>
      <c r="U144" s="2">
        <v>45386</v>
      </c>
      <c r="V144">
        <v>3.3639999999999999</v>
      </c>
      <c r="W144">
        <v>3.335</v>
      </c>
      <c r="X144">
        <v>3.38</v>
      </c>
      <c r="Y144">
        <v>3.4569999999999999</v>
      </c>
      <c r="Z144">
        <v>3.43</v>
      </c>
      <c r="AA144">
        <v>3.31</v>
      </c>
      <c r="AB144">
        <v>3.2970000000000002</v>
      </c>
      <c r="AC144">
        <v>3.3519999999999999</v>
      </c>
      <c r="AD144">
        <v>0.74092999999999998</v>
      </c>
    </row>
    <row r="145" spans="2:30">
      <c r="B145" s="2">
        <v>45316</v>
      </c>
      <c r="C145">
        <v>3.34</v>
      </c>
      <c r="D145" s="2">
        <v>45316</v>
      </c>
      <c r="E145">
        <v>3.3050000000000002</v>
      </c>
      <c r="F145" s="2">
        <v>45316</v>
      </c>
      <c r="G145">
        <v>3.3479999999999999</v>
      </c>
      <c r="H145" s="2">
        <v>45316</v>
      </c>
      <c r="I145">
        <v>3.415</v>
      </c>
      <c r="J145" s="2">
        <v>45316</v>
      </c>
      <c r="K145">
        <v>3.37</v>
      </c>
      <c r="L145" s="2">
        <v>45316</v>
      </c>
      <c r="M145">
        <v>3.3050000000000002</v>
      </c>
      <c r="N145" s="2">
        <v>45029</v>
      </c>
      <c r="O145">
        <v>3.26</v>
      </c>
      <c r="P145" s="2">
        <v>45316</v>
      </c>
      <c r="Q145">
        <v>3.35</v>
      </c>
      <c r="R145" s="2">
        <v>45110</v>
      </c>
      <c r="S145">
        <v>1.2689999999999999</v>
      </c>
      <c r="U145" s="2">
        <v>45385</v>
      </c>
      <c r="V145">
        <v>3.3690000000000002</v>
      </c>
      <c r="W145">
        <v>3.34</v>
      </c>
      <c r="X145">
        <v>3.38</v>
      </c>
      <c r="Y145">
        <v>3.46</v>
      </c>
      <c r="Z145">
        <v>3.37</v>
      </c>
      <c r="AA145">
        <v>3.31</v>
      </c>
      <c r="AC145">
        <v>3.3820000000000001</v>
      </c>
    </row>
    <row r="146" spans="2:30">
      <c r="B146" s="2">
        <v>45315</v>
      </c>
      <c r="C146">
        <v>3.367</v>
      </c>
      <c r="D146" s="2">
        <v>45315</v>
      </c>
      <c r="E146">
        <v>3.2869999999999999</v>
      </c>
      <c r="F146" s="2">
        <v>45315</v>
      </c>
      <c r="G146">
        <v>3.335</v>
      </c>
      <c r="H146" s="2">
        <v>45315</v>
      </c>
      <c r="I146">
        <v>3.395</v>
      </c>
      <c r="J146" s="2">
        <v>45315</v>
      </c>
      <c r="K146">
        <v>3.335</v>
      </c>
      <c r="L146" s="2">
        <v>45315</v>
      </c>
      <c r="M146">
        <v>3.2719999999999998</v>
      </c>
      <c r="N146" s="2">
        <v>45026</v>
      </c>
      <c r="O146">
        <v>3.22</v>
      </c>
      <c r="P146" s="2">
        <v>45315</v>
      </c>
      <c r="Q146">
        <v>3.355</v>
      </c>
      <c r="R146" s="2">
        <v>45107</v>
      </c>
      <c r="S146">
        <v>1.3540000000000001</v>
      </c>
      <c r="U146" s="2">
        <v>45384</v>
      </c>
      <c r="V146">
        <v>3.36</v>
      </c>
      <c r="W146">
        <v>3.3250000000000002</v>
      </c>
      <c r="X146">
        <v>3.3650000000000002</v>
      </c>
      <c r="Y146">
        <v>3.423</v>
      </c>
      <c r="Z146">
        <v>3.3719999999999999</v>
      </c>
      <c r="AA146">
        <v>3.3029999999999999</v>
      </c>
      <c r="AC146">
        <v>3.3769999999999998</v>
      </c>
    </row>
    <row r="147" spans="2:30">
      <c r="B147" s="2">
        <v>45314</v>
      </c>
      <c r="C147">
        <v>3.335</v>
      </c>
      <c r="D147" s="2">
        <v>45314</v>
      </c>
      <c r="E147">
        <v>3.29</v>
      </c>
      <c r="F147" s="2">
        <v>45314</v>
      </c>
      <c r="G147">
        <v>3.3319999999999999</v>
      </c>
      <c r="H147" s="2">
        <v>45314</v>
      </c>
      <c r="I147">
        <v>3.375</v>
      </c>
      <c r="J147" s="2">
        <v>45314</v>
      </c>
      <c r="K147">
        <v>3.3220000000000001</v>
      </c>
      <c r="L147" s="2">
        <v>45314</v>
      </c>
      <c r="M147">
        <v>3.2650000000000001</v>
      </c>
      <c r="N147" s="2">
        <v>45016</v>
      </c>
      <c r="O147">
        <v>3.29</v>
      </c>
      <c r="P147" s="2">
        <v>45314</v>
      </c>
      <c r="Q147">
        <v>3.3279999999999998</v>
      </c>
      <c r="R147" s="2">
        <v>45106</v>
      </c>
      <c r="S147">
        <v>1.31</v>
      </c>
      <c r="U147" s="2">
        <v>45383</v>
      </c>
      <c r="V147">
        <v>3.3403</v>
      </c>
      <c r="W147">
        <v>3.2919999999999998</v>
      </c>
      <c r="X147">
        <v>3.3250000000000002</v>
      </c>
      <c r="Y147">
        <v>3.3769999999999998</v>
      </c>
      <c r="Z147">
        <v>3.2879999999999998</v>
      </c>
      <c r="AA147">
        <v>3.31</v>
      </c>
      <c r="AC147">
        <v>3.3450000000000002</v>
      </c>
      <c r="AD147">
        <v>0.61031999999999997</v>
      </c>
    </row>
    <row r="148" spans="2:30">
      <c r="B148" s="2">
        <v>45313</v>
      </c>
      <c r="C148">
        <v>3.3119999999999998</v>
      </c>
      <c r="D148" s="2">
        <v>45313</v>
      </c>
      <c r="E148">
        <v>3.278</v>
      </c>
      <c r="F148" s="2">
        <v>45313</v>
      </c>
      <c r="G148">
        <v>3.355</v>
      </c>
      <c r="H148" s="2">
        <v>45313</v>
      </c>
      <c r="I148">
        <v>3.3769999999999998</v>
      </c>
      <c r="J148" s="2">
        <v>45313</v>
      </c>
      <c r="K148">
        <v>3.3119999999999998</v>
      </c>
      <c r="L148" s="2">
        <v>45313</v>
      </c>
      <c r="M148">
        <v>3.2389999999999999</v>
      </c>
      <c r="N148" s="2">
        <v>45012</v>
      </c>
      <c r="O148">
        <v>3.15</v>
      </c>
      <c r="P148" s="2">
        <v>45313</v>
      </c>
      <c r="Q148">
        <v>3.3220000000000001</v>
      </c>
      <c r="R148" s="2">
        <v>45105</v>
      </c>
      <c r="S148">
        <v>1.32</v>
      </c>
      <c r="U148" s="2">
        <v>45382</v>
      </c>
    </row>
    <row r="149" spans="2:30">
      <c r="B149" s="2">
        <v>45310</v>
      </c>
      <c r="C149">
        <v>3.3450000000000002</v>
      </c>
      <c r="D149" s="2">
        <v>45310</v>
      </c>
      <c r="E149">
        <v>3.2949999999999999</v>
      </c>
      <c r="F149" s="2">
        <v>45310</v>
      </c>
      <c r="G149">
        <v>3.3519999999999999</v>
      </c>
      <c r="H149" s="2">
        <v>45310</v>
      </c>
      <c r="I149">
        <v>3.41</v>
      </c>
      <c r="J149" s="2">
        <v>45310</v>
      </c>
      <c r="K149">
        <v>3.3250000000000002</v>
      </c>
      <c r="L149" s="2">
        <v>45310</v>
      </c>
      <c r="M149">
        <v>3.262</v>
      </c>
      <c r="N149" s="2">
        <v>45006</v>
      </c>
      <c r="O149">
        <v>3.2549999999999999</v>
      </c>
      <c r="P149" s="2">
        <v>45310</v>
      </c>
      <c r="Q149">
        <v>3.347</v>
      </c>
      <c r="R149" s="2">
        <v>45104</v>
      </c>
      <c r="S149">
        <v>1.29</v>
      </c>
      <c r="U149" s="2">
        <v>45381</v>
      </c>
    </row>
    <row r="150" spans="2:30">
      <c r="B150" s="2">
        <v>45309</v>
      </c>
      <c r="C150">
        <v>3.3170000000000002</v>
      </c>
      <c r="D150" s="2">
        <v>45309</v>
      </c>
      <c r="E150">
        <v>3.27</v>
      </c>
      <c r="F150" s="2">
        <v>45309</v>
      </c>
      <c r="G150">
        <v>3.3149999999999999</v>
      </c>
      <c r="H150" s="2">
        <v>45309</v>
      </c>
      <c r="I150">
        <v>3.37</v>
      </c>
      <c r="J150" s="2">
        <v>45309</v>
      </c>
      <c r="K150">
        <v>3.2869999999999999</v>
      </c>
      <c r="L150" s="2">
        <v>45309</v>
      </c>
      <c r="M150">
        <v>3.2250000000000001</v>
      </c>
      <c r="N150" s="2">
        <v>45005</v>
      </c>
      <c r="O150">
        <v>3.29</v>
      </c>
      <c r="P150" s="2">
        <v>45309</v>
      </c>
      <c r="Q150">
        <v>3.3250000000000002</v>
      </c>
      <c r="R150" s="2">
        <v>45103</v>
      </c>
      <c r="S150">
        <v>1.29</v>
      </c>
      <c r="U150" s="2">
        <v>45380</v>
      </c>
      <c r="V150">
        <v>3.3736899999999999</v>
      </c>
      <c r="W150">
        <v>3.32</v>
      </c>
      <c r="X150">
        <v>3.3450000000000002</v>
      </c>
      <c r="Y150">
        <v>3.4</v>
      </c>
      <c r="Z150">
        <v>3.3780000000000001</v>
      </c>
      <c r="AA150">
        <v>3.31</v>
      </c>
      <c r="AC150">
        <v>3.3650000000000002</v>
      </c>
    </row>
    <row r="151" spans="2:30">
      <c r="B151" s="2">
        <v>45308</v>
      </c>
      <c r="C151">
        <v>3.33</v>
      </c>
      <c r="D151" s="2">
        <v>45308</v>
      </c>
      <c r="E151">
        <v>3.23</v>
      </c>
      <c r="F151" s="2">
        <v>45308</v>
      </c>
      <c r="G151">
        <v>3.3149999999999999</v>
      </c>
      <c r="H151" s="2">
        <v>45308</v>
      </c>
      <c r="I151">
        <v>3.3620000000000001</v>
      </c>
      <c r="J151" s="2">
        <v>45308</v>
      </c>
      <c r="K151">
        <v>3.2770000000000001</v>
      </c>
      <c r="L151" s="2">
        <v>45308</v>
      </c>
      <c r="M151">
        <v>3.2170000000000001</v>
      </c>
      <c r="N151" s="2">
        <v>45002</v>
      </c>
      <c r="O151">
        <v>3.35</v>
      </c>
      <c r="P151" s="2">
        <v>45308</v>
      </c>
      <c r="Q151">
        <v>3.33</v>
      </c>
      <c r="R151" s="2">
        <v>45100</v>
      </c>
      <c r="S151">
        <v>1.3520000000000001</v>
      </c>
      <c r="U151" s="2">
        <v>45379</v>
      </c>
      <c r="V151">
        <v>3.3380000000000001</v>
      </c>
      <c r="W151">
        <v>3.2869999999999999</v>
      </c>
      <c r="X151">
        <v>3.3250000000000002</v>
      </c>
      <c r="Y151">
        <v>3.38</v>
      </c>
      <c r="Z151">
        <v>3.37</v>
      </c>
      <c r="AA151">
        <v>3.2509999999999999</v>
      </c>
      <c r="AB151">
        <v>3.2610000000000001</v>
      </c>
      <c r="AC151">
        <v>3.3519999999999999</v>
      </c>
    </row>
    <row r="152" spans="2:30">
      <c r="B152" s="2">
        <v>45307</v>
      </c>
      <c r="C152">
        <v>3.3</v>
      </c>
      <c r="D152" s="2">
        <v>45307</v>
      </c>
      <c r="E152">
        <v>3.2410000000000001</v>
      </c>
      <c r="F152" s="2">
        <v>45307</v>
      </c>
      <c r="G152">
        <v>3.2639999999999998</v>
      </c>
      <c r="H152" s="2">
        <v>45307</v>
      </c>
      <c r="I152">
        <v>3.3149999999999999</v>
      </c>
      <c r="J152" s="2">
        <v>45307</v>
      </c>
      <c r="K152">
        <v>3.262</v>
      </c>
      <c r="L152" s="2">
        <v>45307</v>
      </c>
      <c r="M152">
        <v>3.22</v>
      </c>
      <c r="N152" s="2">
        <v>45001</v>
      </c>
      <c r="O152">
        <v>3.38</v>
      </c>
      <c r="P152" s="2">
        <v>45307</v>
      </c>
      <c r="Q152">
        <v>3.3</v>
      </c>
      <c r="R152" s="2">
        <v>45098</v>
      </c>
      <c r="S152">
        <v>1.2849999999999999</v>
      </c>
      <c r="U152" s="2">
        <v>45378</v>
      </c>
      <c r="V152">
        <v>3.3250000000000002</v>
      </c>
      <c r="W152">
        <v>3.29</v>
      </c>
      <c r="X152">
        <v>3.3450000000000002</v>
      </c>
      <c r="Y152">
        <v>3.375</v>
      </c>
      <c r="Z152">
        <v>3.367</v>
      </c>
      <c r="AA152">
        <v>3.262</v>
      </c>
      <c r="AC152">
        <v>3.3450000000000002</v>
      </c>
    </row>
    <row r="153" spans="2:30">
      <c r="B153" s="2">
        <v>45306</v>
      </c>
      <c r="C153">
        <v>3.266</v>
      </c>
      <c r="D153" s="2">
        <v>45306</v>
      </c>
      <c r="E153">
        <v>3.1970000000000001</v>
      </c>
      <c r="F153" s="2">
        <v>45306</v>
      </c>
      <c r="G153">
        <v>3.23</v>
      </c>
      <c r="H153" s="2">
        <v>45306</v>
      </c>
      <c r="I153">
        <v>3.2970000000000002</v>
      </c>
      <c r="J153" s="2">
        <v>45306</v>
      </c>
      <c r="K153">
        <v>3.24</v>
      </c>
      <c r="L153" s="2">
        <v>45306</v>
      </c>
      <c r="M153">
        <v>3.1970000000000001</v>
      </c>
      <c r="N153" s="2">
        <v>45000</v>
      </c>
      <c r="O153">
        <v>3.32</v>
      </c>
      <c r="P153" s="2">
        <v>45306</v>
      </c>
      <c r="Q153">
        <v>3.26</v>
      </c>
      <c r="R153" s="2">
        <v>45097</v>
      </c>
      <c r="S153">
        <v>1.28</v>
      </c>
      <c r="U153" s="2">
        <v>45377</v>
      </c>
      <c r="V153">
        <v>3.3250000000000002</v>
      </c>
      <c r="W153">
        <v>3.302</v>
      </c>
      <c r="X153">
        <v>3.33</v>
      </c>
      <c r="Y153">
        <v>3.371</v>
      </c>
      <c r="Z153">
        <v>3.4249999999999998</v>
      </c>
      <c r="AA153">
        <v>3.2850000000000001</v>
      </c>
      <c r="AC153">
        <v>3.355</v>
      </c>
    </row>
    <row r="154" spans="2:30">
      <c r="B154" s="2">
        <v>45303</v>
      </c>
      <c r="C154">
        <v>3.31</v>
      </c>
      <c r="D154" s="2">
        <v>45303</v>
      </c>
      <c r="E154">
        <v>3.1970000000000001</v>
      </c>
      <c r="F154" s="2">
        <v>45303</v>
      </c>
      <c r="G154">
        <v>3.2349999999999999</v>
      </c>
      <c r="H154" s="2">
        <v>45303</v>
      </c>
      <c r="I154">
        <v>3.3050000000000002</v>
      </c>
      <c r="J154" s="2">
        <v>45303</v>
      </c>
      <c r="K154">
        <v>3.2549999999999999</v>
      </c>
      <c r="L154" s="2">
        <v>45303</v>
      </c>
      <c r="M154">
        <v>3.2149999999999999</v>
      </c>
      <c r="N154" s="2">
        <v>44998</v>
      </c>
      <c r="O154">
        <v>3.2949999999999999</v>
      </c>
      <c r="P154" s="2">
        <v>45303</v>
      </c>
      <c r="Q154">
        <v>3.26</v>
      </c>
      <c r="R154" s="2">
        <v>45096</v>
      </c>
      <c r="S154">
        <v>1.28</v>
      </c>
      <c r="U154" s="2">
        <v>45376</v>
      </c>
      <c r="V154">
        <v>3.31</v>
      </c>
      <c r="W154">
        <v>3.29</v>
      </c>
      <c r="X154">
        <v>3.3250000000000002</v>
      </c>
      <c r="Y154">
        <v>3.38</v>
      </c>
      <c r="Z154">
        <v>3.367</v>
      </c>
      <c r="AA154">
        <v>3.2530000000000001</v>
      </c>
      <c r="AB154">
        <v>3.2582100000000001</v>
      </c>
      <c r="AC154">
        <v>3.3450000000000002</v>
      </c>
    </row>
    <row r="155" spans="2:30">
      <c r="B155" s="2">
        <v>45302</v>
      </c>
      <c r="C155">
        <v>3.3519999999999999</v>
      </c>
      <c r="D155" s="2">
        <v>45302</v>
      </c>
      <c r="E155">
        <v>3.22</v>
      </c>
      <c r="F155" s="2">
        <v>45302</v>
      </c>
      <c r="G155">
        <v>3.26</v>
      </c>
      <c r="H155" s="2">
        <v>45302</v>
      </c>
      <c r="I155">
        <v>3.3149999999999999</v>
      </c>
      <c r="J155" s="2">
        <v>45302</v>
      </c>
      <c r="K155">
        <v>3.2450000000000001</v>
      </c>
      <c r="L155" s="2">
        <v>45302</v>
      </c>
      <c r="M155">
        <v>3.202</v>
      </c>
      <c r="N155" s="2">
        <v>44992</v>
      </c>
      <c r="O155">
        <v>3.52</v>
      </c>
      <c r="P155" s="2">
        <v>45302</v>
      </c>
      <c r="Q155">
        <v>3.29</v>
      </c>
      <c r="R155" s="2">
        <v>45093</v>
      </c>
      <c r="S155">
        <v>1.3</v>
      </c>
      <c r="U155" s="2">
        <v>45375</v>
      </c>
    </row>
    <row r="156" spans="2:30">
      <c r="B156" s="2">
        <v>45301</v>
      </c>
      <c r="C156">
        <v>3.36</v>
      </c>
      <c r="D156" s="2">
        <v>45301</v>
      </c>
      <c r="E156">
        <v>3.2650000000000001</v>
      </c>
      <c r="F156" s="2">
        <v>45301</v>
      </c>
      <c r="G156">
        <v>3.2850000000000001</v>
      </c>
      <c r="H156" s="2">
        <v>45301</v>
      </c>
      <c r="I156">
        <v>3.347</v>
      </c>
      <c r="J156" s="2">
        <v>45301</v>
      </c>
      <c r="K156">
        <v>3.258</v>
      </c>
      <c r="L156" s="2">
        <v>45301</v>
      </c>
      <c r="M156">
        <v>3.2149999999999999</v>
      </c>
      <c r="N156" s="2">
        <v>44985</v>
      </c>
      <c r="O156">
        <v>3.4689999999999999</v>
      </c>
      <c r="P156" s="2">
        <v>45301</v>
      </c>
      <c r="Q156">
        <v>3.3570000000000002</v>
      </c>
      <c r="R156" s="2">
        <v>45092</v>
      </c>
      <c r="S156">
        <v>1.32</v>
      </c>
      <c r="U156" s="2">
        <v>45374</v>
      </c>
    </row>
    <row r="157" spans="2:30">
      <c r="B157" s="2">
        <v>45300</v>
      </c>
      <c r="C157">
        <v>3.36</v>
      </c>
      <c r="D157" s="2">
        <v>45300</v>
      </c>
      <c r="E157">
        <v>3.29</v>
      </c>
      <c r="F157" s="2">
        <v>45300</v>
      </c>
      <c r="G157">
        <v>3.27</v>
      </c>
      <c r="H157" s="2">
        <v>45300</v>
      </c>
      <c r="I157">
        <v>3.32</v>
      </c>
      <c r="J157" s="2">
        <v>45300</v>
      </c>
      <c r="K157">
        <v>3.21</v>
      </c>
      <c r="L157" s="2">
        <v>45300</v>
      </c>
      <c r="M157">
        <v>3.1702400000000002</v>
      </c>
      <c r="N157" s="2">
        <v>44980</v>
      </c>
      <c r="O157">
        <v>3.44</v>
      </c>
      <c r="P157" s="2">
        <v>45300</v>
      </c>
      <c r="Q157">
        <v>3.32</v>
      </c>
      <c r="R157" s="2">
        <v>45091</v>
      </c>
      <c r="S157">
        <v>1.32</v>
      </c>
      <c r="U157" s="2">
        <v>45373</v>
      </c>
      <c r="V157">
        <v>3.335</v>
      </c>
      <c r="W157">
        <v>3.2879999999999998</v>
      </c>
      <c r="X157">
        <v>3.3220000000000001</v>
      </c>
      <c r="Y157">
        <v>3.367</v>
      </c>
      <c r="Z157">
        <v>3.3530000000000002</v>
      </c>
      <c r="AA157">
        <v>3.2650000000000001</v>
      </c>
      <c r="AC157">
        <v>3.35</v>
      </c>
    </row>
    <row r="158" spans="2:30">
      <c r="B158" s="2">
        <v>45299</v>
      </c>
      <c r="C158">
        <v>3.3929999999999998</v>
      </c>
      <c r="D158" s="2">
        <v>45299</v>
      </c>
      <c r="E158">
        <v>3.29</v>
      </c>
      <c r="F158" s="2">
        <v>45299</v>
      </c>
      <c r="G158">
        <v>3.3050000000000002</v>
      </c>
      <c r="H158" s="2">
        <v>45299</v>
      </c>
      <c r="I158">
        <v>3.355</v>
      </c>
      <c r="J158" s="2">
        <v>45299</v>
      </c>
      <c r="K158">
        <v>3.1240000000000001</v>
      </c>
      <c r="L158" s="2">
        <v>45299</v>
      </c>
      <c r="M158">
        <v>3.19</v>
      </c>
      <c r="N158" s="2">
        <v>44977</v>
      </c>
      <c r="O158">
        <v>3.4609999999999999</v>
      </c>
      <c r="P158" s="2">
        <v>45299</v>
      </c>
      <c r="Q158">
        <v>3.3570000000000002</v>
      </c>
      <c r="R158" s="2">
        <v>45089</v>
      </c>
      <c r="S158">
        <v>1.3160000000000001</v>
      </c>
      <c r="U158" s="2">
        <v>45372</v>
      </c>
      <c r="V158">
        <v>3.355</v>
      </c>
      <c r="W158">
        <v>3.32</v>
      </c>
      <c r="X158">
        <v>3.3420000000000001</v>
      </c>
      <c r="Y158">
        <v>3.4140000000000001</v>
      </c>
      <c r="Z158">
        <v>3.3719999999999999</v>
      </c>
      <c r="AA158">
        <v>3.2829999999999999</v>
      </c>
      <c r="AB158">
        <v>3.2530000000000001</v>
      </c>
      <c r="AC158">
        <v>3.36</v>
      </c>
    </row>
    <row r="159" spans="2:30">
      <c r="B159" s="2">
        <v>45296</v>
      </c>
      <c r="C159">
        <v>3.3809999999999998</v>
      </c>
      <c r="D159" s="2">
        <v>45296</v>
      </c>
      <c r="E159">
        <v>3.2650000000000001</v>
      </c>
      <c r="F159" s="2">
        <v>45296</v>
      </c>
      <c r="G159">
        <v>3.3050000000000002</v>
      </c>
      <c r="H159" s="2">
        <v>45296</v>
      </c>
      <c r="I159">
        <v>3.3250000000000002</v>
      </c>
      <c r="J159" s="2">
        <v>45296</v>
      </c>
      <c r="K159">
        <v>3.242</v>
      </c>
      <c r="L159" s="2">
        <v>45296</v>
      </c>
      <c r="M159">
        <v>3.19</v>
      </c>
      <c r="N159" s="2">
        <v>44974</v>
      </c>
      <c r="O159">
        <v>3.44</v>
      </c>
      <c r="P159" s="2">
        <v>45296</v>
      </c>
      <c r="Q159">
        <v>3.35</v>
      </c>
      <c r="R159" s="2">
        <v>45086</v>
      </c>
      <c r="S159">
        <v>1.3320000000000001</v>
      </c>
      <c r="U159" s="2">
        <v>45371</v>
      </c>
      <c r="V159">
        <v>3.4350000000000001</v>
      </c>
      <c r="W159">
        <v>3.3650000000000002</v>
      </c>
      <c r="X159">
        <v>3.39</v>
      </c>
      <c r="Y159">
        <v>3.44</v>
      </c>
      <c r="Z159">
        <v>3.387</v>
      </c>
      <c r="AA159">
        <v>3.3119999999999998</v>
      </c>
      <c r="AC159">
        <v>3.423</v>
      </c>
      <c r="AD159">
        <v>0.76800000000000002</v>
      </c>
    </row>
    <row r="160" spans="2:30">
      <c r="B160" s="2">
        <v>45295</v>
      </c>
      <c r="C160">
        <v>3.34</v>
      </c>
      <c r="D160" s="2">
        <v>45295</v>
      </c>
      <c r="E160">
        <v>3.2250000000000001</v>
      </c>
      <c r="F160" s="2">
        <v>45295</v>
      </c>
      <c r="G160">
        <v>3.258</v>
      </c>
      <c r="H160" s="2">
        <v>45295</v>
      </c>
      <c r="I160">
        <v>3.2850000000000001</v>
      </c>
      <c r="J160" s="2">
        <v>45295</v>
      </c>
      <c r="K160">
        <v>3.2090000000000001</v>
      </c>
      <c r="L160" s="2">
        <v>45295</v>
      </c>
      <c r="M160">
        <v>3.1949999999999998</v>
      </c>
      <c r="N160" s="2">
        <v>44965</v>
      </c>
      <c r="O160">
        <v>3.2010000000000001</v>
      </c>
      <c r="P160" s="2">
        <v>45295</v>
      </c>
      <c r="Q160">
        <v>3.32</v>
      </c>
      <c r="R160" s="2">
        <v>45085</v>
      </c>
      <c r="S160">
        <v>1.32</v>
      </c>
      <c r="U160" s="2">
        <v>45370</v>
      </c>
      <c r="V160">
        <v>3.4493399999999999</v>
      </c>
      <c r="W160">
        <v>3.39</v>
      </c>
      <c r="X160">
        <v>3.41</v>
      </c>
      <c r="Y160">
        <v>3.48</v>
      </c>
      <c r="Z160">
        <v>3.43</v>
      </c>
      <c r="AA160">
        <v>3.3420000000000001</v>
      </c>
      <c r="AC160">
        <v>3.44</v>
      </c>
    </row>
    <row r="161" spans="2:30">
      <c r="B161" s="2">
        <v>45294</v>
      </c>
      <c r="C161">
        <v>3.331</v>
      </c>
      <c r="D161" s="2">
        <v>45294</v>
      </c>
      <c r="E161">
        <v>3.27</v>
      </c>
      <c r="F161" s="2">
        <v>45294</v>
      </c>
      <c r="G161">
        <v>3.31</v>
      </c>
      <c r="H161" s="2">
        <v>45294</v>
      </c>
      <c r="I161">
        <v>3.3370000000000002</v>
      </c>
      <c r="J161" s="2">
        <v>45294</v>
      </c>
      <c r="K161">
        <v>3.25</v>
      </c>
      <c r="L161" s="2">
        <v>45294</v>
      </c>
      <c r="M161">
        <v>3.2280000000000002</v>
      </c>
      <c r="N161" s="2">
        <v>44957</v>
      </c>
      <c r="O161">
        <v>3.24</v>
      </c>
      <c r="P161" s="2">
        <v>45294</v>
      </c>
      <c r="Q161">
        <v>3.38</v>
      </c>
      <c r="R161" s="2">
        <v>45084</v>
      </c>
      <c r="S161">
        <v>1.24</v>
      </c>
      <c r="U161" s="2">
        <v>45369</v>
      </c>
      <c r="V161">
        <v>3.4068700000000001</v>
      </c>
      <c r="W161">
        <v>3.3050000000000002</v>
      </c>
      <c r="X161">
        <v>3.387</v>
      </c>
      <c r="Y161">
        <v>3.4319999999999999</v>
      </c>
      <c r="Z161">
        <v>3.23</v>
      </c>
      <c r="AA161">
        <v>3.3250000000000002</v>
      </c>
      <c r="AB161">
        <v>3.31</v>
      </c>
      <c r="AC161">
        <v>3.415</v>
      </c>
    </row>
    <row r="162" spans="2:30">
      <c r="B162" s="2">
        <v>45293</v>
      </c>
      <c r="C162">
        <v>3.3279999999999998</v>
      </c>
      <c r="D162" s="2">
        <v>45293</v>
      </c>
      <c r="E162">
        <v>3.24</v>
      </c>
      <c r="F162" s="2">
        <v>45293</v>
      </c>
      <c r="G162">
        <v>3.157</v>
      </c>
      <c r="H162" s="2">
        <v>45293</v>
      </c>
      <c r="I162">
        <v>3.165</v>
      </c>
      <c r="J162" s="2">
        <v>45293</v>
      </c>
      <c r="K162">
        <v>3.24</v>
      </c>
      <c r="L162" s="2">
        <v>45293</v>
      </c>
      <c r="M162">
        <v>3.2159</v>
      </c>
      <c r="N162" s="2">
        <v>44956</v>
      </c>
      <c r="O162">
        <v>3.22</v>
      </c>
      <c r="P162" s="2">
        <v>45293</v>
      </c>
      <c r="Q162">
        <v>3.33</v>
      </c>
      <c r="R162" s="2">
        <v>45079</v>
      </c>
      <c r="S162">
        <v>1.24</v>
      </c>
      <c r="U162" s="2">
        <v>45368</v>
      </c>
    </row>
    <row r="163" spans="2:30">
      <c r="B163" s="2">
        <v>45289</v>
      </c>
      <c r="C163">
        <v>3.3036500000000002</v>
      </c>
      <c r="D163" s="2">
        <v>45288</v>
      </c>
      <c r="E163">
        <v>3.145</v>
      </c>
      <c r="F163" s="2">
        <v>45288</v>
      </c>
      <c r="G163">
        <v>3.157</v>
      </c>
      <c r="H163" s="2">
        <v>45289</v>
      </c>
      <c r="I163">
        <v>3.19</v>
      </c>
      <c r="J163" s="2">
        <v>45288</v>
      </c>
      <c r="K163">
        <v>3.085</v>
      </c>
      <c r="L163" s="2">
        <v>45289</v>
      </c>
      <c r="M163">
        <v>2.98</v>
      </c>
      <c r="N163" s="2">
        <v>44953</v>
      </c>
      <c r="O163">
        <v>3.25</v>
      </c>
      <c r="P163" s="2">
        <v>45288</v>
      </c>
      <c r="Q163">
        <v>3.33</v>
      </c>
      <c r="R163" s="2">
        <v>45078</v>
      </c>
      <c r="S163">
        <v>1.292</v>
      </c>
      <c r="U163" s="2">
        <v>45367</v>
      </c>
    </row>
    <row r="164" spans="2:30">
      <c r="B164" s="2">
        <v>45288</v>
      </c>
      <c r="C164">
        <v>3.2741199999999999</v>
      </c>
      <c r="D164" s="2">
        <v>45287</v>
      </c>
      <c r="E164">
        <v>3.2149999999999999</v>
      </c>
      <c r="F164" s="2">
        <v>45287</v>
      </c>
      <c r="G164">
        <v>3.2149999999999999</v>
      </c>
      <c r="H164" s="2">
        <v>45288</v>
      </c>
      <c r="I164">
        <v>3.17</v>
      </c>
      <c r="J164" s="2">
        <v>45287</v>
      </c>
      <c r="K164">
        <v>3.1619999999999999</v>
      </c>
      <c r="L164" s="2">
        <v>45288</v>
      </c>
      <c r="M164">
        <v>3.08</v>
      </c>
      <c r="N164" s="2">
        <v>44952</v>
      </c>
      <c r="O164">
        <v>3.2250000000000001</v>
      </c>
      <c r="P164" s="2">
        <v>45287</v>
      </c>
      <c r="Q164">
        <v>3.33</v>
      </c>
      <c r="R164" s="2">
        <v>45077</v>
      </c>
      <c r="S164">
        <v>1.23</v>
      </c>
      <c r="U164" s="2">
        <v>45366</v>
      </c>
      <c r="V164">
        <v>3.3450000000000002</v>
      </c>
      <c r="W164">
        <v>3.2669999999999999</v>
      </c>
      <c r="X164">
        <v>3.3</v>
      </c>
      <c r="Y164">
        <v>3.35</v>
      </c>
      <c r="Z164">
        <v>3.3849999999999998</v>
      </c>
      <c r="AA164">
        <v>3.3069999999999999</v>
      </c>
      <c r="AB164">
        <v>3.31</v>
      </c>
      <c r="AC164">
        <v>3.3969999999999998</v>
      </c>
      <c r="AD164">
        <v>0.621</v>
      </c>
    </row>
    <row r="165" spans="2:30">
      <c r="B165" s="2">
        <v>45287</v>
      </c>
      <c r="C165">
        <v>3.2869999999999999</v>
      </c>
      <c r="D165" s="2">
        <v>45286</v>
      </c>
      <c r="E165">
        <v>3.2149999999999999</v>
      </c>
      <c r="F165" s="2">
        <v>45286</v>
      </c>
      <c r="G165">
        <v>3.22</v>
      </c>
      <c r="H165" s="2">
        <v>45287</v>
      </c>
      <c r="I165">
        <v>3.2519999999999998</v>
      </c>
      <c r="J165" s="2">
        <v>45286</v>
      </c>
      <c r="K165">
        <v>3.2149999999999999</v>
      </c>
      <c r="L165" s="2">
        <v>45287</v>
      </c>
      <c r="M165">
        <v>3.14</v>
      </c>
      <c r="N165" s="2">
        <v>44951</v>
      </c>
      <c r="O165">
        <v>3.1749999999999998</v>
      </c>
      <c r="P165" s="2">
        <v>45286</v>
      </c>
      <c r="Q165">
        <v>3.3450000000000002</v>
      </c>
      <c r="R165" s="2">
        <v>45076</v>
      </c>
      <c r="S165">
        <v>1.35</v>
      </c>
      <c r="U165" s="2">
        <v>45365</v>
      </c>
      <c r="V165">
        <v>3.35</v>
      </c>
      <c r="W165">
        <v>3.2450000000000001</v>
      </c>
      <c r="X165">
        <v>3.3</v>
      </c>
      <c r="Y165">
        <v>3.3570000000000002</v>
      </c>
      <c r="Z165">
        <v>3.34</v>
      </c>
      <c r="AA165">
        <v>3.2650000000000001</v>
      </c>
      <c r="AC165">
        <v>3.36</v>
      </c>
      <c r="AD165">
        <v>0.71799999999999997</v>
      </c>
    </row>
    <row r="166" spans="2:30">
      <c r="B166" s="2">
        <v>45282</v>
      </c>
      <c r="C166">
        <v>3.3</v>
      </c>
      <c r="D166" s="2">
        <v>45282</v>
      </c>
      <c r="E166">
        <v>3.2250000000000001</v>
      </c>
      <c r="F166" s="2">
        <v>45282</v>
      </c>
      <c r="G166">
        <v>3.2450000000000001</v>
      </c>
      <c r="H166" s="2">
        <v>45286</v>
      </c>
      <c r="I166">
        <v>3.26</v>
      </c>
      <c r="J166" s="2">
        <v>45282</v>
      </c>
      <c r="K166">
        <v>3.14</v>
      </c>
      <c r="L166" s="2">
        <v>45286</v>
      </c>
      <c r="M166">
        <v>3.198</v>
      </c>
      <c r="N166" s="2">
        <v>44945</v>
      </c>
      <c r="O166">
        <v>3.1749999999999998</v>
      </c>
      <c r="P166" s="2">
        <v>45282</v>
      </c>
      <c r="Q166">
        <v>3.347</v>
      </c>
      <c r="R166" s="2">
        <v>45072</v>
      </c>
      <c r="S166">
        <v>1.32</v>
      </c>
      <c r="U166" s="2">
        <v>45364</v>
      </c>
      <c r="V166">
        <v>3.3220000000000001</v>
      </c>
      <c r="W166">
        <v>3.2450000000000001</v>
      </c>
      <c r="X166">
        <v>3.2669999999999999</v>
      </c>
      <c r="Y166">
        <v>3.327</v>
      </c>
      <c r="Z166">
        <v>3.31</v>
      </c>
      <c r="AA166">
        <v>3.2450000000000001</v>
      </c>
      <c r="AC166">
        <v>3.3420000000000001</v>
      </c>
    </row>
    <row r="167" spans="2:30">
      <c r="B167" s="2">
        <v>45281</v>
      </c>
      <c r="C167">
        <v>3.3010000000000002</v>
      </c>
      <c r="D167" s="2">
        <v>45281</v>
      </c>
      <c r="E167">
        <v>3.2349999999999999</v>
      </c>
      <c r="F167" s="2">
        <v>45281</v>
      </c>
      <c r="G167">
        <v>3.2549999999999999</v>
      </c>
      <c r="H167" s="2">
        <v>45282</v>
      </c>
      <c r="I167">
        <v>3.29</v>
      </c>
      <c r="J167" s="2">
        <v>45281</v>
      </c>
      <c r="K167">
        <v>3.2519999999999998</v>
      </c>
      <c r="L167" s="2">
        <v>45282</v>
      </c>
      <c r="M167">
        <v>3.21</v>
      </c>
      <c r="N167" s="2">
        <v>44944</v>
      </c>
      <c r="O167">
        <v>3.2650000000000001</v>
      </c>
      <c r="P167" s="2">
        <v>45281</v>
      </c>
      <c r="Q167">
        <v>3.34</v>
      </c>
      <c r="R167" s="2">
        <v>45071</v>
      </c>
      <c r="S167">
        <v>1.2989999999999999</v>
      </c>
      <c r="U167" s="2">
        <v>45363</v>
      </c>
      <c r="V167">
        <v>3.3719999999999999</v>
      </c>
      <c r="W167">
        <v>3.2749999999999999</v>
      </c>
      <c r="X167">
        <v>3.28</v>
      </c>
      <c r="Y167">
        <v>3.33</v>
      </c>
      <c r="Z167">
        <v>3.3220000000000001</v>
      </c>
      <c r="AA167">
        <v>3.266</v>
      </c>
      <c r="AC167">
        <v>3.3580000000000001</v>
      </c>
      <c r="AD167">
        <v>0.71199999999999997</v>
      </c>
    </row>
    <row r="168" spans="2:30">
      <c r="B168" s="2">
        <v>45280</v>
      </c>
      <c r="C168">
        <v>3.3170000000000002</v>
      </c>
      <c r="D168" s="2">
        <v>45280</v>
      </c>
      <c r="E168">
        <v>3.22</v>
      </c>
      <c r="F168" s="2">
        <v>45280</v>
      </c>
      <c r="G168">
        <v>3.25</v>
      </c>
      <c r="H168" s="2">
        <v>45281</v>
      </c>
      <c r="I168">
        <v>3.29</v>
      </c>
      <c r="J168" s="2">
        <v>45280</v>
      </c>
      <c r="K168">
        <v>3.2320000000000002</v>
      </c>
      <c r="L168" s="2">
        <v>45281</v>
      </c>
      <c r="M168">
        <v>3.22</v>
      </c>
      <c r="N168" s="2">
        <v>44943</v>
      </c>
      <c r="O168">
        <v>3.3650000000000002</v>
      </c>
      <c r="P168" s="2">
        <v>45280</v>
      </c>
      <c r="Q168">
        <v>3.347</v>
      </c>
      <c r="R168" s="2">
        <v>45070</v>
      </c>
      <c r="S168">
        <v>1.2390000000000001</v>
      </c>
      <c r="U168" s="2">
        <v>45362</v>
      </c>
      <c r="V168">
        <v>3.3420000000000001</v>
      </c>
      <c r="W168">
        <v>3.2749999999999999</v>
      </c>
      <c r="X168">
        <v>3.2850000000000001</v>
      </c>
      <c r="Y168">
        <v>3.3450000000000002</v>
      </c>
      <c r="Z168">
        <v>3.34</v>
      </c>
      <c r="AA168">
        <v>3.2719999999999998</v>
      </c>
      <c r="AC168">
        <v>3.3420000000000001</v>
      </c>
      <c r="AD168">
        <v>0.71099999999999997</v>
      </c>
    </row>
    <row r="169" spans="2:30">
      <c r="B169" s="2">
        <v>45279</v>
      </c>
      <c r="C169">
        <v>3.3650000000000002</v>
      </c>
      <c r="D169" s="2">
        <v>45279</v>
      </c>
      <c r="E169">
        <v>3.2719999999999998</v>
      </c>
      <c r="F169" s="2">
        <v>45279</v>
      </c>
      <c r="G169">
        <v>3.3</v>
      </c>
      <c r="H169" s="2">
        <v>45280</v>
      </c>
      <c r="I169">
        <v>3.2719999999999998</v>
      </c>
      <c r="J169" s="2">
        <v>45279</v>
      </c>
      <c r="K169">
        <v>3.242</v>
      </c>
      <c r="L169" s="2">
        <v>45280</v>
      </c>
      <c r="M169">
        <v>3.202</v>
      </c>
      <c r="N169" s="2">
        <v>44942</v>
      </c>
      <c r="O169">
        <v>3.3450000000000002</v>
      </c>
      <c r="P169" s="2">
        <v>45279</v>
      </c>
      <c r="Q169">
        <v>3.383</v>
      </c>
      <c r="R169" s="2">
        <v>45069</v>
      </c>
      <c r="S169">
        <v>1.232</v>
      </c>
      <c r="U169" s="2">
        <v>45361</v>
      </c>
    </row>
    <row r="170" spans="2:30">
      <c r="B170" s="2">
        <v>45278</v>
      </c>
      <c r="C170">
        <v>3.3679999999999999</v>
      </c>
      <c r="D170" s="2">
        <v>45278</v>
      </c>
      <c r="E170">
        <v>3.2749999999999999</v>
      </c>
      <c r="F170" s="2">
        <v>45278</v>
      </c>
      <c r="G170">
        <v>3.3050000000000002</v>
      </c>
      <c r="H170" s="2">
        <v>45279</v>
      </c>
      <c r="I170">
        <v>3.302</v>
      </c>
      <c r="J170" s="2">
        <v>45278</v>
      </c>
      <c r="K170">
        <v>3.2570000000000001</v>
      </c>
      <c r="L170" s="2">
        <v>45279</v>
      </c>
      <c r="M170">
        <v>3.2250000000000001</v>
      </c>
      <c r="N170" s="2">
        <v>44939</v>
      </c>
      <c r="O170">
        <v>3.31</v>
      </c>
      <c r="P170" s="2">
        <v>45278</v>
      </c>
      <c r="Q170">
        <v>3.3650000000000002</v>
      </c>
      <c r="R170" s="2">
        <v>45068</v>
      </c>
      <c r="S170">
        <v>1.208</v>
      </c>
      <c r="U170" s="2">
        <v>45360</v>
      </c>
    </row>
    <row r="171" spans="2:30">
      <c r="B171" s="2">
        <v>45275</v>
      </c>
      <c r="C171">
        <v>3.4014799999999998</v>
      </c>
      <c r="D171" s="2">
        <v>45275</v>
      </c>
      <c r="E171">
        <v>3.2749999999999999</v>
      </c>
      <c r="F171" s="2">
        <v>45275</v>
      </c>
      <c r="G171">
        <v>3.3050000000000002</v>
      </c>
      <c r="H171" s="2">
        <v>45278</v>
      </c>
      <c r="I171">
        <v>3.34</v>
      </c>
      <c r="J171" s="2">
        <v>45275</v>
      </c>
      <c r="K171">
        <v>3.2850000000000001</v>
      </c>
      <c r="L171" s="2">
        <v>45278</v>
      </c>
      <c r="M171">
        <v>3.25</v>
      </c>
      <c r="N171" s="2">
        <v>44924</v>
      </c>
      <c r="O171">
        <v>3.68</v>
      </c>
      <c r="P171" s="2">
        <v>45275</v>
      </c>
      <c r="Q171">
        <v>3.375</v>
      </c>
      <c r="R171" s="2">
        <v>45064</v>
      </c>
      <c r="S171">
        <v>1.1950000000000001</v>
      </c>
      <c r="U171" s="2">
        <v>45359</v>
      </c>
      <c r="V171">
        <v>3.3889999999999998</v>
      </c>
      <c r="W171">
        <v>3.2650000000000001</v>
      </c>
      <c r="X171">
        <v>3.2970000000000002</v>
      </c>
      <c r="Y171">
        <v>3.3250000000000002</v>
      </c>
      <c r="Z171">
        <v>3.34</v>
      </c>
      <c r="AA171">
        <v>3.27</v>
      </c>
      <c r="AC171">
        <v>3.34</v>
      </c>
      <c r="AD171">
        <v>0.67</v>
      </c>
    </row>
    <row r="172" spans="2:30">
      <c r="B172" s="2">
        <v>45274</v>
      </c>
      <c r="C172">
        <v>3.34</v>
      </c>
      <c r="D172" s="2">
        <v>45274</v>
      </c>
      <c r="E172">
        <v>3.46</v>
      </c>
      <c r="F172" s="2">
        <v>45274</v>
      </c>
      <c r="G172">
        <v>3.26</v>
      </c>
      <c r="H172" s="2">
        <v>45275</v>
      </c>
      <c r="I172">
        <v>3.3450000000000002</v>
      </c>
      <c r="J172" s="2">
        <v>45274</v>
      </c>
      <c r="K172">
        <v>3.2050000000000001</v>
      </c>
      <c r="L172" s="2">
        <v>45275</v>
      </c>
      <c r="M172">
        <v>3.2109999999999999</v>
      </c>
      <c r="N172" s="2">
        <v>44895</v>
      </c>
      <c r="O172">
        <v>3.6501000000000001</v>
      </c>
      <c r="P172" s="2">
        <v>45274</v>
      </c>
      <c r="Q172">
        <v>3.3370000000000002</v>
      </c>
      <c r="R172" s="2">
        <v>45063</v>
      </c>
      <c r="S172">
        <v>1.1850000000000001</v>
      </c>
      <c r="U172" s="2">
        <v>45358</v>
      </c>
      <c r="V172">
        <v>3.4129999999999998</v>
      </c>
      <c r="W172">
        <v>3.3170000000000002</v>
      </c>
      <c r="X172">
        <v>3.36</v>
      </c>
      <c r="Y172">
        <v>3.395</v>
      </c>
      <c r="Z172">
        <v>3.4</v>
      </c>
      <c r="AA172">
        <v>3.327</v>
      </c>
      <c r="AC172">
        <v>3.3820000000000001</v>
      </c>
      <c r="AD172">
        <v>0.72499999999999998</v>
      </c>
    </row>
    <row r="173" spans="2:30">
      <c r="B173" s="2">
        <v>45273</v>
      </c>
      <c r="C173">
        <v>3.5270000000000001</v>
      </c>
      <c r="D173" s="2">
        <v>45273</v>
      </c>
      <c r="E173">
        <v>3.45</v>
      </c>
      <c r="F173" s="2">
        <v>45273</v>
      </c>
      <c r="G173">
        <v>3.492</v>
      </c>
      <c r="H173" s="2">
        <v>45274</v>
      </c>
      <c r="I173">
        <v>3.3</v>
      </c>
      <c r="J173" s="2">
        <v>45273</v>
      </c>
      <c r="K173">
        <v>3.395</v>
      </c>
      <c r="L173" s="2">
        <v>45274</v>
      </c>
      <c r="M173">
        <v>3.2330000000000001</v>
      </c>
      <c r="N173" s="2">
        <v>44879</v>
      </c>
      <c r="O173">
        <v>3.87</v>
      </c>
      <c r="P173" s="2">
        <v>45273</v>
      </c>
      <c r="Q173">
        <v>3.5550000000000002</v>
      </c>
      <c r="R173" s="2">
        <v>45062</v>
      </c>
      <c r="S173">
        <v>1.1930000000000001</v>
      </c>
      <c r="U173" s="2">
        <v>45357</v>
      </c>
      <c r="V173">
        <v>3.42</v>
      </c>
      <c r="W173">
        <v>3.3170000000000002</v>
      </c>
      <c r="X173">
        <v>3.355</v>
      </c>
      <c r="Y173">
        <v>3.4350000000000001</v>
      </c>
      <c r="Z173">
        <v>3.375</v>
      </c>
      <c r="AA173">
        <v>3.3069999999999999</v>
      </c>
      <c r="AC173">
        <v>3.3820000000000001</v>
      </c>
      <c r="AD173">
        <v>0.72</v>
      </c>
    </row>
    <row r="174" spans="2:30">
      <c r="B174" s="2">
        <v>45272</v>
      </c>
      <c r="C174">
        <v>3.5190000000000001</v>
      </c>
      <c r="D174" s="2">
        <v>45272</v>
      </c>
      <c r="E174">
        <v>3.4470000000000001</v>
      </c>
      <c r="F174" s="2">
        <v>45272</v>
      </c>
      <c r="G174">
        <v>3.49</v>
      </c>
      <c r="H174" s="2">
        <v>45273</v>
      </c>
      <c r="I174">
        <v>3.5249999999999999</v>
      </c>
      <c r="J174" s="2">
        <v>45272</v>
      </c>
      <c r="K174">
        <v>3.4460000000000002</v>
      </c>
      <c r="L174" s="2">
        <v>45273</v>
      </c>
      <c r="M174">
        <v>3.3769999999999998</v>
      </c>
      <c r="N174" s="2">
        <v>44876</v>
      </c>
      <c r="O174">
        <v>3.85</v>
      </c>
      <c r="P174" s="2">
        <v>45272</v>
      </c>
      <c r="Q174">
        <v>3.5470000000000002</v>
      </c>
      <c r="R174" s="2">
        <v>45061</v>
      </c>
      <c r="S174">
        <v>1.19</v>
      </c>
      <c r="U174" s="2">
        <v>45356</v>
      </c>
      <c r="V174">
        <v>3.4359999999999999</v>
      </c>
      <c r="W174">
        <v>3.3570000000000002</v>
      </c>
      <c r="X174">
        <v>3.39</v>
      </c>
      <c r="Y174">
        <v>3.4119999999999999</v>
      </c>
      <c r="Z174">
        <v>3.395</v>
      </c>
      <c r="AA174">
        <v>3.3180399999999999</v>
      </c>
      <c r="AC174">
        <v>3.4129999999999998</v>
      </c>
      <c r="AD174">
        <v>0.72</v>
      </c>
    </row>
    <row r="175" spans="2:30">
      <c r="B175" s="2">
        <v>45271</v>
      </c>
      <c r="C175">
        <v>3.5550000000000002</v>
      </c>
      <c r="D175" s="2">
        <v>45271</v>
      </c>
      <c r="E175">
        <v>3.48489</v>
      </c>
      <c r="F175" s="2">
        <v>45271</v>
      </c>
      <c r="G175">
        <v>3.5049999999999999</v>
      </c>
      <c r="H175" s="2">
        <v>45272</v>
      </c>
      <c r="I175">
        <v>3.53</v>
      </c>
      <c r="J175" s="2">
        <v>45271</v>
      </c>
      <c r="K175">
        <v>3.4950000000000001</v>
      </c>
      <c r="L175" s="2">
        <v>45272</v>
      </c>
      <c r="M175">
        <v>3.43</v>
      </c>
      <c r="N175" s="2">
        <v>44872</v>
      </c>
      <c r="O175">
        <v>4.0949999999999998</v>
      </c>
      <c r="P175" s="2">
        <v>45271</v>
      </c>
      <c r="Q175">
        <v>3.5819999999999999</v>
      </c>
      <c r="R175" s="2">
        <v>45058</v>
      </c>
      <c r="S175">
        <v>1.1759999999999999</v>
      </c>
      <c r="U175" s="2">
        <v>45355</v>
      </c>
      <c r="V175">
        <v>3.4449999999999998</v>
      </c>
      <c r="W175">
        <v>3.355</v>
      </c>
      <c r="X175">
        <v>3.4020000000000001</v>
      </c>
      <c r="Y175">
        <v>3.4750000000000001</v>
      </c>
      <c r="Z175">
        <v>3.47</v>
      </c>
      <c r="AA175">
        <v>3.3530000000000002</v>
      </c>
      <c r="AC175">
        <v>3.4169999999999998</v>
      </c>
      <c r="AD175">
        <v>0.74</v>
      </c>
    </row>
    <row r="176" spans="2:30">
      <c r="B176" s="2">
        <v>45268</v>
      </c>
      <c r="C176">
        <v>3.5339999999999998</v>
      </c>
      <c r="D176" s="2">
        <v>45268</v>
      </c>
      <c r="E176">
        <v>3.4550000000000001</v>
      </c>
      <c r="F176" s="2">
        <v>45268</v>
      </c>
      <c r="G176">
        <v>3.46</v>
      </c>
      <c r="H176" s="2">
        <v>45271</v>
      </c>
      <c r="I176">
        <v>3.56</v>
      </c>
      <c r="J176" s="2">
        <v>45268</v>
      </c>
      <c r="K176">
        <v>3.452</v>
      </c>
      <c r="L176" s="2">
        <v>45271</v>
      </c>
      <c r="M176">
        <v>3.4350000000000001</v>
      </c>
      <c r="N176" s="2">
        <v>44851</v>
      </c>
      <c r="O176">
        <v>3.96</v>
      </c>
      <c r="P176" s="2">
        <v>45268</v>
      </c>
      <c r="Q176">
        <v>3.53</v>
      </c>
      <c r="R176" s="2">
        <v>45056</v>
      </c>
      <c r="S176">
        <v>1.2070000000000001</v>
      </c>
      <c r="U176" s="2">
        <v>45354</v>
      </c>
    </row>
    <row r="177" spans="2:29">
      <c r="B177" s="2">
        <v>45267</v>
      </c>
      <c r="C177">
        <v>3.5466099999999998</v>
      </c>
      <c r="D177" s="2">
        <v>45267</v>
      </c>
      <c r="E177">
        <v>3.5049999999999999</v>
      </c>
      <c r="F177" s="2">
        <v>45267</v>
      </c>
      <c r="G177">
        <v>3.5179999999999998</v>
      </c>
      <c r="H177" s="2">
        <v>45268</v>
      </c>
      <c r="I177">
        <v>3.5350000000000001</v>
      </c>
      <c r="J177" s="2">
        <v>45267</v>
      </c>
      <c r="K177">
        <v>3.4769999999999999</v>
      </c>
      <c r="L177" s="2">
        <v>45268</v>
      </c>
      <c r="M177">
        <v>3.4209999999999998</v>
      </c>
      <c r="N177" s="2">
        <v>44848</v>
      </c>
      <c r="O177">
        <v>3.96</v>
      </c>
      <c r="P177" s="2">
        <v>45267</v>
      </c>
      <c r="Q177">
        <v>3.5619999999999998</v>
      </c>
      <c r="R177" s="2">
        <v>45054</v>
      </c>
      <c r="S177">
        <v>1.2070000000000001</v>
      </c>
      <c r="U177" s="2">
        <v>45353</v>
      </c>
    </row>
    <row r="178" spans="2:29">
      <c r="B178" s="2">
        <v>45266</v>
      </c>
      <c r="C178">
        <v>3.4872800000000002</v>
      </c>
      <c r="D178" s="2">
        <v>45266</v>
      </c>
      <c r="E178">
        <v>3.47</v>
      </c>
      <c r="F178" s="2">
        <v>45266</v>
      </c>
      <c r="G178">
        <v>3.4849999999999999</v>
      </c>
      <c r="H178" s="2">
        <v>45267</v>
      </c>
      <c r="I178">
        <v>3.53</v>
      </c>
      <c r="J178" s="2">
        <v>45266</v>
      </c>
      <c r="K178">
        <v>3.4470000000000001</v>
      </c>
      <c r="L178" s="2">
        <v>45267</v>
      </c>
      <c r="M178">
        <v>3.4620000000000002</v>
      </c>
      <c r="N178" s="2">
        <v>44823</v>
      </c>
      <c r="O178">
        <v>3.52</v>
      </c>
      <c r="P178" s="2">
        <v>45266</v>
      </c>
      <c r="Q178">
        <v>3.5270000000000001</v>
      </c>
      <c r="R178" s="2">
        <v>45050</v>
      </c>
      <c r="S178">
        <v>1.173</v>
      </c>
      <c r="U178" s="2">
        <v>45352</v>
      </c>
    </row>
    <row r="179" spans="2:29">
      <c r="B179" s="2">
        <v>45265</v>
      </c>
      <c r="C179">
        <v>3.57</v>
      </c>
      <c r="D179" s="2">
        <v>45265</v>
      </c>
      <c r="E179">
        <v>3.532</v>
      </c>
      <c r="F179" s="2">
        <v>45265</v>
      </c>
      <c r="G179">
        <v>3.5070000000000001</v>
      </c>
      <c r="H179" s="2">
        <v>45266</v>
      </c>
      <c r="I179">
        <v>3.53</v>
      </c>
      <c r="J179" s="2">
        <v>45265</v>
      </c>
      <c r="K179">
        <v>3.4249999999999998</v>
      </c>
      <c r="L179" s="2">
        <v>45266</v>
      </c>
      <c r="M179">
        <v>3.4220000000000002</v>
      </c>
      <c r="N179" s="2">
        <v>44818</v>
      </c>
      <c r="O179">
        <v>3.4277299999999999</v>
      </c>
      <c r="P179" s="2">
        <v>45265</v>
      </c>
      <c r="Q179">
        <v>3.54</v>
      </c>
      <c r="R179" s="2">
        <v>45048</v>
      </c>
      <c r="S179">
        <v>1.21</v>
      </c>
      <c r="U179" s="2">
        <v>45351</v>
      </c>
      <c r="V179">
        <v>3.46197</v>
      </c>
      <c r="W179">
        <v>3.3820000000000001</v>
      </c>
      <c r="X179">
        <v>3.41</v>
      </c>
      <c r="Y179">
        <v>3.4780000000000002</v>
      </c>
      <c r="Z179">
        <v>3.4515500000000001</v>
      </c>
      <c r="AA179">
        <v>3.3604599999999998</v>
      </c>
      <c r="AB179">
        <v>3.3210000000000002</v>
      </c>
      <c r="AC179">
        <v>3.4420000000000002</v>
      </c>
    </row>
    <row r="180" spans="2:29">
      <c r="B180" s="2">
        <v>45264</v>
      </c>
      <c r="C180">
        <v>3.57091</v>
      </c>
      <c r="D180" s="2">
        <v>45264</v>
      </c>
      <c r="E180">
        <v>3.532</v>
      </c>
      <c r="F180" s="2">
        <v>45264</v>
      </c>
      <c r="G180">
        <v>3.5619999999999998</v>
      </c>
      <c r="H180" s="2">
        <v>45265</v>
      </c>
      <c r="I180">
        <v>3.625</v>
      </c>
      <c r="J180" s="2">
        <v>45264</v>
      </c>
      <c r="K180">
        <v>3.5249999999999999</v>
      </c>
      <c r="L180" s="2">
        <v>45265</v>
      </c>
      <c r="M180">
        <v>3.4119999999999999</v>
      </c>
      <c r="N180" s="2">
        <v>44804</v>
      </c>
      <c r="O180">
        <v>3.4769999999999999</v>
      </c>
      <c r="P180" s="2">
        <v>45264</v>
      </c>
      <c r="Q180">
        <v>3.5649999999999999</v>
      </c>
      <c r="R180" s="2">
        <v>45044</v>
      </c>
      <c r="S180">
        <v>1.206</v>
      </c>
      <c r="U180" s="2">
        <v>45350</v>
      </c>
      <c r="V180">
        <v>3.4460000000000002</v>
      </c>
      <c r="W180">
        <v>3.3650000000000002</v>
      </c>
      <c r="X180">
        <v>3.41</v>
      </c>
      <c r="Y180">
        <v>3.4569999999999999</v>
      </c>
      <c r="Z180">
        <v>3.4369999999999998</v>
      </c>
      <c r="AA180">
        <v>3.3620000000000001</v>
      </c>
      <c r="AC180">
        <v>3.42</v>
      </c>
    </row>
    <row r="181" spans="2:29">
      <c r="B181" s="2">
        <v>45261</v>
      </c>
      <c r="C181">
        <v>3.6150000000000002</v>
      </c>
      <c r="D181" s="2">
        <v>45261</v>
      </c>
      <c r="E181">
        <v>3.58</v>
      </c>
      <c r="F181" s="2">
        <v>45261</v>
      </c>
      <c r="G181">
        <v>3.62</v>
      </c>
      <c r="H181" s="2">
        <v>45264</v>
      </c>
      <c r="I181">
        <v>3.625</v>
      </c>
      <c r="J181" s="2">
        <v>45261</v>
      </c>
      <c r="K181">
        <v>3.5670000000000002</v>
      </c>
      <c r="L181" s="2">
        <v>45264</v>
      </c>
      <c r="M181">
        <v>3.5049999999999999</v>
      </c>
      <c r="N181" s="2">
        <v>44791</v>
      </c>
      <c r="O181">
        <v>3.1080000000000001</v>
      </c>
      <c r="P181" s="2">
        <v>45261</v>
      </c>
      <c r="Q181">
        <v>3.6070000000000002</v>
      </c>
      <c r="R181" s="2">
        <v>45043</v>
      </c>
      <c r="S181">
        <v>1.165</v>
      </c>
      <c r="U181" s="2">
        <v>45349</v>
      </c>
      <c r="V181">
        <v>3.4489999999999998</v>
      </c>
      <c r="W181">
        <v>3.3650000000000002</v>
      </c>
      <c r="X181">
        <v>3.4</v>
      </c>
      <c r="Y181">
        <v>3.4249999999999998</v>
      </c>
      <c r="Z181">
        <v>3.4</v>
      </c>
      <c r="AA181">
        <v>3.3170000000000002</v>
      </c>
      <c r="AB181">
        <v>3.2829999999999999</v>
      </c>
      <c r="AC181">
        <v>3.415</v>
      </c>
    </row>
    <row r="182" spans="2:29">
      <c r="B182" s="2">
        <v>45260</v>
      </c>
      <c r="C182">
        <v>3.605</v>
      </c>
      <c r="D182" s="2">
        <v>45260</v>
      </c>
      <c r="E182">
        <v>3.58</v>
      </c>
      <c r="F182" s="2">
        <v>45260</v>
      </c>
      <c r="G182">
        <v>3.62</v>
      </c>
      <c r="H182" s="2">
        <v>45261</v>
      </c>
      <c r="I182">
        <v>3.6760000000000002</v>
      </c>
      <c r="J182" s="2">
        <v>45260</v>
      </c>
      <c r="K182">
        <v>3.5950000000000002</v>
      </c>
      <c r="L182" s="2">
        <v>45261</v>
      </c>
      <c r="M182">
        <v>3.56</v>
      </c>
      <c r="N182" s="2">
        <v>44785</v>
      </c>
      <c r="O182">
        <v>3.1749999999999998</v>
      </c>
      <c r="P182" s="2">
        <v>45260</v>
      </c>
      <c r="Q182">
        <v>3.62</v>
      </c>
      <c r="R182" s="2">
        <v>45040</v>
      </c>
      <c r="S182">
        <v>1.1679999999999999</v>
      </c>
      <c r="U182" s="2">
        <v>45348</v>
      </c>
      <c r="V182">
        <v>3.4289999999999998</v>
      </c>
      <c r="W182">
        <v>3.3410000000000002</v>
      </c>
      <c r="X182">
        <v>3.375</v>
      </c>
      <c r="Y182">
        <v>3.4020000000000001</v>
      </c>
      <c r="Z182">
        <v>3.3820000000000001</v>
      </c>
      <c r="AA182">
        <v>3.3069999999999999</v>
      </c>
      <c r="AC182">
        <v>3.4169999999999998</v>
      </c>
    </row>
    <row r="183" spans="2:29">
      <c r="B183" s="2">
        <v>45259</v>
      </c>
      <c r="C183">
        <v>3.6030000000000002</v>
      </c>
      <c r="D183" s="2">
        <v>45259</v>
      </c>
      <c r="E183">
        <v>3.5550000000000002</v>
      </c>
      <c r="F183" s="2">
        <v>45259</v>
      </c>
      <c r="G183">
        <v>3.5870000000000002</v>
      </c>
      <c r="H183" s="2">
        <v>45260</v>
      </c>
      <c r="I183">
        <v>3.6429999999999998</v>
      </c>
      <c r="J183" s="2">
        <v>45259</v>
      </c>
      <c r="K183">
        <v>3.55</v>
      </c>
      <c r="L183" s="2">
        <v>45260</v>
      </c>
      <c r="M183">
        <v>3.5602999999999998</v>
      </c>
      <c r="N183" s="2">
        <v>44784</v>
      </c>
      <c r="O183">
        <v>3.0904099999999999</v>
      </c>
      <c r="P183" s="2">
        <v>45259</v>
      </c>
      <c r="Q183">
        <v>3.605</v>
      </c>
      <c r="R183" s="2">
        <v>45037</v>
      </c>
      <c r="S183">
        <v>1.1839999999999999</v>
      </c>
      <c r="U183" s="2">
        <v>45347</v>
      </c>
    </row>
    <row r="184" spans="2:29">
      <c r="B184" s="2">
        <v>45258</v>
      </c>
      <c r="C184">
        <v>3.6749999999999998</v>
      </c>
      <c r="D184" s="2">
        <v>45258</v>
      </c>
      <c r="E184">
        <v>3.6469999999999998</v>
      </c>
      <c r="F184" s="2">
        <v>45258</v>
      </c>
      <c r="G184">
        <v>3.67</v>
      </c>
      <c r="H184" s="2">
        <v>45259</v>
      </c>
      <c r="I184">
        <v>3.6562800000000002</v>
      </c>
      <c r="J184" s="2">
        <v>45258</v>
      </c>
      <c r="K184">
        <v>3.645</v>
      </c>
      <c r="L184" s="2">
        <v>45259</v>
      </c>
      <c r="M184">
        <v>3.5150000000000001</v>
      </c>
      <c r="N184" s="2">
        <v>44775</v>
      </c>
      <c r="O184">
        <v>3.07</v>
      </c>
      <c r="P184" s="2">
        <v>45258</v>
      </c>
      <c r="Q184">
        <v>3.69</v>
      </c>
      <c r="R184" s="2">
        <v>45036</v>
      </c>
      <c r="S184">
        <v>1.222</v>
      </c>
      <c r="U184" s="2">
        <v>45346</v>
      </c>
    </row>
    <row r="185" spans="2:29">
      <c r="B185" s="2">
        <v>45257</v>
      </c>
      <c r="C185">
        <v>3.7349999999999999</v>
      </c>
      <c r="D185" s="2">
        <v>45257</v>
      </c>
      <c r="E185">
        <v>3.6829999999999998</v>
      </c>
      <c r="F185" s="2">
        <v>45257</v>
      </c>
      <c r="G185">
        <v>3.7149999999999999</v>
      </c>
      <c r="H185" s="2">
        <v>45258</v>
      </c>
      <c r="I185">
        <v>3.73</v>
      </c>
      <c r="J185" s="2">
        <v>45257</v>
      </c>
      <c r="K185">
        <v>3.7050000000000001</v>
      </c>
      <c r="L185" s="2">
        <v>45258</v>
      </c>
      <c r="M185">
        <v>3.6120000000000001</v>
      </c>
      <c r="N185" s="2">
        <v>44774</v>
      </c>
      <c r="O185">
        <v>3.0871</v>
      </c>
      <c r="P185" s="2">
        <v>45257</v>
      </c>
      <c r="Q185">
        <v>3.7250000000000001</v>
      </c>
      <c r="R185" s="2">
        <v>45035</v>
      </c>
      <c r="S185">
        <v>1.1990000000000001</v>
      </c>
      <c r="U185" s="2">
        <v>45345</v>
      </c>
      <c r="V185">
        <v>3.4470000000000001</v>
      </c>
      <c r="W185">
        <v>3.375</v>
      </c>
      <c r="X185">
        <v>3.39</v>
      </c>
      <c r="Y185">
        <v>3.46</v>
      </c>
      <c r="Z185">
        <v>3.4550000000000001</v>
      </c>
      <c r="AA185">
        <v>3.37</v>
      </c>
      <c r="AC185">
        <v>3.44</v>
      </c>
    </row>
    <row r="186" spans="2:29">
      <c r="B186" s="2">
        <v>45254</v>
      </c>
      <c r="C186">
        <v>3.7320000000000002</v>
      </c>
      <c r="D186" s="2">
        <v>45254</v>
      </c>
      <c r="E186">
        <v>3.677</v>
      </c>
      <c r="F186" s="2">
        <v>45254</v>
      </c>
      <c r="G186">
        <v>3.7549999999999999</v>
      </c>
      <c r="H186" s="2">
        <v>45257</v>
      </c>
      <c r="I186">
        <v>3.76</v>
      </c>
      <c r="J186" s="2">
        <v>45254</v>
      </c>
      <c r="K186">
        <v>3.8050000000000002</v>
      </c>
      <c r="L186" s="2">
        <v>45257</v>
      </c>
      <c r="M186">
        <v>3.67</v>
      </c>
      <c r="N186" s="2">
        <v>44771</v>
      </c>
      <c r="O186">
        <v>3.0504699999999998</v>
      </c>
      <c r="P186" s="2">
        <v>45254</v>
      </c>
      <c r="Q186">
        <v>3.7250000000000001</v>
      </c>
      <c r="R186" s="2">
        <v>45034</v>
      </c>
      <c r="S186">
        <v>1.214</v>
      </c>
      <c r="U186" s="2">
        <v>45344</v>
      </c>
      <c r="V186">
        <v>3.42</v>
      </c>
      <c r="W186">
        <v>3.3450000000000002</v>
      </c>
      <c r="X186">
        <v>3.41</v>
      </c>
      <c r="Y186">
        <v>3.43</v>
      </c>
      <c r="Z186">
        <v>3.427</v>
      </c>
      <c r="AA186">
        <v>3.3650000000000002</v>
      </c>
      <c r="AC186">
        <v>3.48</v>
      </c>
    </row>
    <row r="187" spans="2:29">
      <c r="B187" s="2">
        <v>45253</v>
      </c>
      <c r="C187">
        <v>3.7050000000000001</v>
      </c>
      <c r="D187" s="2">
        <v>45253</v>
      </c>
      <c r="E187">
        <v>3.645</v>
      </c>
      <c r="F187" s="2">
        <v>45253</v>
      </c>
      <c r="G187">
        <v>3.6760000000000002</v>
      </c>
      <c r="H187" s="2">
        <v>45254</v>
      </c>
      <c r="I187">
        <v>3.7850000000000001</v>
      </c>
      <c r="J187" s="2">
        <v>45253</v>
      </c>
      <c r="K187">
        <v>3.645</v>
      </c>
      <c r="L187" s="2">
        <v>45254</v>
      </c>
      <c r="M187">
        <v>3.67</v>
      </c>
      <c r="N187" s="2">
        <v>44761</v>
      </c>
      <c r="O187">
        <v>3.08</v>
      </c>
      <c r="P187" s="2">
        <v>45253</v>
      </c>
      <c r="Q187">
        <v>3.7</v>
      </c>
      <c r="R187" s="2">
        <v>45030</v>
      </c>
      <c r="S187">
        <v>1.159</v>
      </c>
      <c r="U187" s="2">
        <v>45343</v>
      </c>
      <c r="V187">
        <v>3.4609999999999999</v>
      </c>
      <c r="W187">
        <v>3.4020000000000001</v>
      </c>
      <c r="X187">
        <v>3.44</v>
      </c>
      <c r="Y187">
        <v>3.472</v>
      </c>
      <c r="Z187">
        <v>3.452</v>
      </c>
      <c r="AA187">
        <v>3.387</v>
      </c>
      <c r="AC187">
        <v>3.4630000000000001</v>
      </c>
    </row>
    <row r="188" spans="2:29">
      <c r="B188" s="2">
        <v>45252</v>
      </c>
      <c r="C188">
        <v>3.7149999999999999</v>
      </c>
      <c r="D188" s="2">
        <v>45252</v>
      </c>
      <c r="E188">
        <v>3.665</v>
      </c>
      <c r="F188" s="2">
        <v>45252</v>
      </c>
      <c r="G188">
        <v>3.702</v>
      </c>
      <c r="H188" s="2">
        <v>45253</v>
      </c>
      <c r="I188">
        <v>3.7229999999999999</v>
      </c>
      <c r="J188" s="2">
        <v>45252</v>
      </c>
      <c r="K188">
        <v>3.68</v>
      </c>
      <c r="L188" s="2">
        <v>45253</v>
      </c>
      <c r="M188">
        <v>3.6019999999999999</v>
      </c>
      <c r="N188" s="2">
        <v>44750</v>
      </c>
      <c r="O188">
        <v>3.12</v>
      </c>
      <c r="P188" s="2">
        <v>45252</v>
      </c>
      <c r="Q188">
        <v>3.6850000000000001</v>
      </c>
      <c r="R188" s="2">
        <v>45029</v>
      </c>
      <c r="S188">
        <v>1.1419999999999999</v>
      </c>
      <c r="U188" s="2">
        <v>45342</v>
      </c>
      <c r="V188">
        <v>3.4649999999999999</v>
      </c>
      <c r="W188">
        <v>3.4049999999999998</v>
      </c>
      <c r="X188">
        <v>3.46</v>
      </c>
      <c r="Y188">
        <v>3.492</v>
      </c>
      <c r="Z188">
        <v>3.4649999999999999</v>
      </c>
      <c r="AA188">
        <v>3.3980000000000001</v>
      </c>
      <c r="AC188">
        <v>3.4449999999999998</v>
      </c>
    </row>
    <row r="189" spans="2:29">
      <c r="B189" s="2">
        <v>45251</v>
      </c>
      <c r="C189">
        <v>3.6850000000000001</v>
      </c>
      <c r="D189" s="2">
        <v>45251</v>
      </c>
      <c r="E189">
        <v>3.6379999999999999</v>
      </c>
      <c r="F189" s="2">
        <v>45251</v>
      </c>
      <c r="G189">
        <v>3.6619999999999999</v>
      </c>
      <c r="H189" s="2">
        <v>45252</v>
      </c>
      <c r="I189">
        <v>3.76</v>
      </c>
      <c r="J189" s="2">
        <v>45251</v>
      </c>
      <c r="K189">
        <v>3.63</v>
      </c>
      <c r="L189" s="2">
        <v>45252</v>
      </c>
      <c r="M189">
        <v>3.6015000000000001</v>
      </c>
      <c r="N189" s="2">
        <v>44743</v>
      </c>
      <c r="O189">
        <v>3.32</v>
      </c>
      <c r="P189" s="2">
        <v>45251</v>
      </c>
      <c r="Q189">
        <v>3.6850000000000001</v>
      </c>
      <c r="R189" s="2">
        <v>45028</v>
      </c>
      <c r="S189">
        <v>1.129</v>
      </c>
      <c r="U189" s="2">
        <v>45341</v>
      </c>
      <c r="V189">
        <v>3.45</v>
      </c>
      <c r="W189">
        <v>3.3969999999999998</v>
      </c>
      <c r="X189">
        <v>3.44</v>
      </c>
      <c r="Y189">
        <v>3.47</v>
      </c>
      <c r="Z189">
        <v>3.43</v>
      </c>
      <c r="AA189">
        <v>3.262</v>
      </c>
      <c r="AB189">
        <v>3.32</v>
      </c>
      <c r="AC189">
        <v>3.44</v>
      </c>
    </row>
    <row r="190" spans="2:29">
      <c r="B190" s="2">
        <v>45250</v>
      </c>
      <c r="C190">
        <v>3.7250000000000001</v>
      </c>
      <c r="D190" s="2">
        <v>45250</v>
      </c>
      <c r="E190">
        <v>3.65</v>
      </c>
      <c r="F190" s="2">
        <v>45250</v>
      </c>
      <c r="G190">
        <v>3.6869999999999998</v>
      </c>
      <c r="H190" s="2">
        <v>45251</v>
      </c>
      <c r="I190">
        <v>3.7069999999999999</v>
      </c>
      <c r="J190" s="2">
        <v>45250</v>
      </c>
      <c r="K190">
        <v>3.66</v>
      </c>
      <c r="L190" s="2">
        <v>45251</v>
      </c>
      <c r="M190">
        <v>3.5870000000000002</v>
      </c>
      <c r="N190" s="2">
        <v>44742</v>
      </c>
      <c r="O190">
        <v>3.43</v>
      </c>
      <c r="P190" s="2">
        <v>45250</v>
      </c>
      <c r="Q190">
        <v>3.6970000000000001</v>
      </c>
      <c r="R190" s="2">
        <v>45027</v>
      </c>
      <c r="S190">
        <v>1.1220000000000001</v>
      </c>
      <c r="U190" s="2">
        <v>45340</v>
      </c>
    </row>
    <row r="191" spans="2:29">
      <c r="B191" s="2">
        <v>45247</v>
      </c>
      <c r="C191">
        <v>3.7250000000000001</v>
      </c>
      <c r="D191" s="2">
        <v>45247</v>
      </c>
      <c r="E191">
        <v>3.6819999999999999</v>
      </c>
      <c r="F191" s="2">
        <v>45247</v>
      </c>
      <c r="G191">
        <v>3.72</v>
      </c>
      <c r="H191" s="2">
        <v>45250</v>
      </c>
      <c r="I191">
        <v>3.76</v>
      </c>
      <c r="J191" s="2">
        <v>45247</v>
      </c>
      <c r="K191">
        <v>3.71</v>
      </c>
      <c r="L191" s="2">
        <v>45250</v>
      </c>
      <c r="M191">
        <v>3.63</v>
      </c>
      <c r="N191" s="2">
        <v>44722</v>
      </c>
      <c r="O191">
        <v>3.23</v>
      </c>
      <c r="P191" s="2">
        <v>45247</v>
      </c>
      <c r="Q191">
        <v>3.71</v>
      </c>
      <c r="R191" s="2">
        <v>45026</v>
      </c>
      <c r="S191">
        <v>1.1439999999999999</v>
      </c>
      <c r="U191" s="2">
        <v>45339</v>
      </c>
    </row>
    <row r="192" spans="2:29">
      <c r="B192" s="2">
        <v>45246</v>
      </c>
      <c r="C192">
        <v>3.7559999999999998</v>
      </c>
      <c r="D192" s="2">
        <v>45246</v>
      </c>
      <c r="E192">
        <v>3.74</v>
      </c>
      <c r="F192" s="2">
        <v>45246</v>
      </c>
      <c r="G192">
        <v>3.71</v>
      </c>
      <c r="H192" s="2">
        <v>45247</v>
      </c>
      <c r="I192">
        <v>3.8050000000000002</v>
      </c>
      <c r="J192" s="2">
        <v>45246</v>
      </c>
      <c r="K192">
        <v>3.665</v>
      </c>
      <c r="L192" s="2">
        <v>45247</v>
      </c>
      <c r="M192">
        <v>3.67</v>
      </c>
      <c r="N192" s="2">
        <v>44719</v>
      </c>
      <c r="O192">
        <v>3.1850000000000001</v>
      </c>
      <c r="P192" s="2">
        <v>45246</v>
      </c>
      <c r="Q192">
        <v>3.75</v>
      </c>
      <c r="R192" s="2">
        <v>45023</v>
      </c>
      <c r="S192">
        <v>1.22</v>
      </c>
      <c r="U192" s="2">
        <v>45338</v>
      </c>
      <c r="V192">
        <v>3.4550000000000001</v>
      </c>
      <c r="W192">
        <v>3.4049999999999998</v>
      </c>
      <c r="X192">
        <v>3.45</v>
      </c>
      <c r="Y192">
        <v>3.4820000000000002</v>
      </c>
      <c r="Z192">
        <v>3.4249999999999998</v>
      </c>
      <c r="AA192">
        <v>3.3580000000000001</v>
      </c>
      <c r="AC192">
        <v>3.4550000000000001</v>
      </c>
    </row>
    <row r="193" spans="2:30">
      <c r="B193" s="2">
        <v>45245</v>
      </c>
      <c r="C193">
        <v>3.7850000000000001</v>
      </c>
      <c r="D193" s="2">
        <v>45245</v>
      </c>
      <c r="E193">
        <v>3.7570000000000001</v>
      </c>
      <c r="F193" s="2">
        <v>45245</v>
      </c>
      <c r="G193">
        <v>3.76</v>
      </c>
      <c r="H193" s="2">
        <v>45246</v>
      </c>
      <c r="I193">
        <v>3.984</v>
      </c>
      <c r="J193" s="2">
        <v>45245</v>
      </c>
      <c r="K193">
        <v>3.6949999999999998</v>
      </c>
      <c r="L193" s="2">
        <v>45246</v>
      </c>
      <c r="M193">
        <v>3.6219999999999999</v>
      </c>
      <c r="N193" s="2">
        <v>44694</v>
      </c>
      <c r="O193">
        <v>3.097</v>
      </c>
      <c r="P193" s="2">
        <v>45245</v>
      </c>
      <c r="Q193">
        <v>3.7869999999999999</v>
      </c>
      <c r="R193" s="2">
        <v>45019</v>
      </c>
      <c r="S193">
        <v>1.2130000000000001</v>
      </c>
      <c r="U193" s="2">
        <v>45337</v>
      </c>
      <c r="V193">
        <v>3.4590000000000001</v>
      </c>
      <c r="W193">
        <v>3.4</v>
      </c>
      <c r="X193">
        <v>3.44</v>
      </c>
      <c r="Y193">
        <v>3.4769999999999999</v>
      </c>
      <c r="Z193">
        <v>3.415</v>
      </c>
      <c r="AA193">
        <v>3.3380000000000001</v>
      </c>
      <c r="AC193">
        <v>3.43</v>
      </c>
      <c r="AD193">
        <v>0.84499999999999997</v>
      </c>
    </row>
    <row r="194" spans="2:30">
      <c r="B194" s="2">
        <v>45243</v>
      </c>
      <c r="C194">
        <v>3.895</v>
      </c>
      <c r="D194" s="2">
        <v>45244</v>
      </c>
      <c r="E194">
        <v>3.855</v>
      </c>
      <c r="F194" s="2">
        <v>45244</v>
      </c>
      <c r="G194">
        <v>3.9020000000000001</v>
      </c>
      <c r="H194" s="2">
        <v>45245</v>
      </c>
      <c r="I194">
        <v>3.8330000000000002</v>
      </c>
      <c r="J194" s="2">
        <v>45244</v>
      </c>
      <c r="K194">
        <v>3.8370000000000002</v>
      </c>
      <c r="L194" s="2">
        <v>45245</v>
      </c>
      <c r="M194">
        <v>3.6469999999999998</v>
      </c>
      <c r="N194" s="2">
        <v>44692</v>
      </c>
      <c r="O194">
        <v>3.2080000000000002</v>
      </c>
      <c r="P194" s="2">
        <v>45244</v>
      </c>
      <c r="Q194">
        <v>3.875</v>
      </c>
      <c r="R194" s="2">
        <v>45015</v>
      </c>
      <c r="S194">
        <v>1.2</v>
      </c>
      <c r="U194" s="2">
        <v>45336</v>
      </c>
      <c r="V194">
        <v>3.47</v>
      </c>
      <c r="W194">
        <v>3.407</v>
      </c>
      <c r="X194">
        <v>3.44</v>
      </c>
      <c r="Y194">
        <v>3.45</v>
      </c>
      <c r="Z194">
        <v>3.415</v>
      </c>
      <c r="AA194">
        <v>3.35</v>
      </c>
      <c r="AB194">
        <v>3.37</v>
      </c>
      <c r="AC194">
        <v>3.45</v>
      </c>
      <c r="AD194">
        <v>0.87</v>
      </c>
    </row>
    <row r="195" spans="2:30">
      <c r="B195" s="2">
        <v>45240</v>
      </c>
      <c r="C195">
        <v>3.89425</v>
      </c>
      <c r="D195" s="2">
        <v>45243</v>
      </c>
      <c r="E195">
        <v>3.8719999999999999</v>
      </c>
      <c r="F195" s="2">
        <v>45243</v>
      </c>
      <c r="G195">
        <v>3.93</v>
      </c>
      <c r="H195" s="2">
        <v>45244</v>
      </c>
      <c r="I195">
        <v>3.9769999999999999</v>
      </c>
      <c r="J195" s="2">
        <v>45243</v>
      </c>
      <c r="K195">
        <v>3.8250000000000002</v>
      </c>
      <c r="L195" s="2">
        <v>45244</v>
      </c>
      <c r="M195">
        <v>3.7970000000000002</v>
      </c>
      <c r="N195" s="2">
        <v>44687</v>
      </c>
      <c r="O195">
        <v>3.2309999999999999</v>
      </c>
      <c r="P195" s="2">
        <v>45243</v>
      </c>
      <c r="Q195">
        <v>3.887</v>
      </c>
      <c r="R195" s="2">
        <v>45013</v>
      </c>
      <c r="S195">
        <v>1.19</v>
      </c>
      <c r="U195" s="2">
        <v>45335</v>
      </c>
      <c r="V195">
        <v>3.39</v>
      </c>
      <c r="W195">
        <v>3.35</v>
      </c>
      <c r="X195">
        <v>3.39</v>
      </c>
      <c r="Y195">
        <v>3.45</v>
      </c>
      <c r="Z195">
        <v>3.395</v>
      </c>
      <c r="AA195">
        <v>3.2519999999999998</v>
      </c>
      <c r="AB195">
        <v>3.2950400000000002</v>
      </c>
      <c r="AC195">
        <v>3.4</v>
      </c>
    </row>
    <row r="196" spans="2:30">
      <c r="B196" s="2">
        <v>45239</v>
      </c>
      <c r="C196">
        <v>3.875</v>
      </c>
      <c r="D196" s="2">
        <v>45240</v>
      </c>
      <c r="E196">
        <v>3.8519999999999999</v>
      </c>
      <c r="F196" s="2">
        <v>45240</v>
      </c>
      <c r="G196">
        <v>3.8929999999999998</v>
      </c>
      <c r="H196" s="2">
        <v>45243</v>
      </c>
      <c r="I196">
        <v>4</v>
      </c>
      <c r="J196" s="2">
        <v>45240</v>
      </c>
      <c r="K196">
        <v>3.7850000000000001</v>
      </c>
      <c r="L196" s="2">
        <v>45243</v>
      </c>
      <c r="M196">
        <v>3.7850000000000001</v>
      </c>
      <c r="N196" s="2">
        <v>44679</v>
      </c>
      <c r="O196">
        <v>3.0649999999999999</v>
      </c>
      <c r="P196" s="2">
        <v>45240</v>
      </c>
      <c r="Q196">
        <v>3.86</v>
      </c>
      <c r="R196" s="2">
        <v>45007</v>
      </c>
      <c r="S196">
        <v>1.2230000000000001</v>
      </c>
      <c r="U196" s="2">
        <v>45334</v>
      </c>
    </row>
    <row r="197" spans="2:30">
      <c r="B197" s="2">
        <v>45238</v>
      </c>
      <c r="C197">
        <v>3.8650000000000002</v>
      </c>
      <c r="D197" s="2">
        <v>45239</v>
      </c>
      <c r="E197">
        <v>3.8420000000000001</v>
      </c>
      <c r="F197" s="2">
        <v>45239</v>
      </c>
      <c r="G197">
        <v>3.8730000000000002</v>
      </c>
      <c r="H197" s="2">
        <v>45240</v>
      </c>
      <c r="I197">
        <v>3.988</v>
      </c>
      <c r="J197" s="2">
        <v>45239</v>
      </c>
      <c r="K197">
        <v>3.78</v>
      </c>
      <c r="L197" s="2">
        <v>45240</v>
      </c>
      <c r="M197">
        <v>3.7370000000000001</v>
      </c>
      <c r="N197" s="2">
        <v>44678</v>
      </c>
      <c r="O197">
        <v>3.0939999999999999</v>
      </c>
      <c r="P197" s="2">
        <v>45239</v>
      </c>
      <c r="Q197">
        <v>3.84</v>
      </c>
      <c r="R197" s="2">
        <v>45002</v>
      </c>
      <c r="S197">
        <v>1.2450000000000001</v>
      </c>
      <c r="U197" s="2">
        <v>45333</v>
      </c>
    </row>
    <row r="198" spans="2:30">
      <c r="B198" s="2">
        <v>45237</v>
      </c>
      <c r="C198">
        <v>3.8982999999999999</v>
      </c>
      <c r="D198" s="2">
        <v>45238</v>
      </c>
      <c r="E198">
        <v>3.87</v>
      </c>
      <c r="F198" s="2">
        <v>45238</v>
      </c>
      <c r="G198">
        <v>3.93</v>
      </c>
      <c r="H198" s="2">
        <v>45239</v>
      </c>
      <c r="I198">
        <v>3.931</v>
      </c>
      <c r="J198" s="2">
        <v>45238</v>
      </c>
      <c r="K198">
        <v>3.88</v>
      </c>
      <c r="L198" s="2">
        <v>45239</v>
      </c>
      <c r="M198">
        <v>3.722</v>
      </c>
      <c r="N198" s="2">
        <v>44677</v>
      </c>
      <c r="O198">
        <v>3.0702199999999999</v>
      </c>
      <c r="P198" s="2">
        <v>45238</v>
      </c>
      <c r="Q198">
        <v>3.847</v>
      </c>
      <c r="R198" s="2">
        <v>45000</v>
      </c>
      <c r="S198">
        <v>1.24</v>
      </c>
      <c r="U198" s="2">
        <v>45332</v>
      </c>
    </row>
    <row r="199" spans="2:30">
      <c r="B199" s="2">
        <v>45236</v>
      </c>
      <c r="C199">
        <v>3.8540000000000001</v>
      </c>
      <c r="D199" s="2">
        <v>45237</v>
      </c>
      <c r="E199">
        <v>3.8820000000000001</v>
      </c>
      <c r="F199" s="2">
        <v>45237</v>
      </c>
      <c r="G199">
        <v>3.9569999999999999</v>
      </c>
      <c r="H199" s="2">
        <v>45238</v>
      </c>
      <c r="I199">
        <v>4.03</v>
      </c>
      <c r="J199" s="2">
        <v>45237</v>
      </c>
      <c r="K199">
        <v>3.9249999999999998</v>
      </c>
      <c r="L199" s="2">
        <v>45238</v>
      </c>
      <c r="M199">
        <v>3.91</v>
      </c>
      <c r="N199" s="2">
        <v>44672</v>
      </c>
      <c r="O199">
        <v>3.2104400000000002</v>
      </c>
      <c r="P199" s="2">
        <v>45237</v>
      </c>
      <c r="Q199">
        <v>3.87</v>
      </c>
      <c r="R199" s="2">
        <v>44999</v>
      </c>
      <c r="S199">
        <v>1.149</v>
      </c>
      <c r="U199" s="2">
        <v>45331</v>
      </c>
    </row>
    <row r="200" spans="2:30">
      <c r="B200" s="2">
        <v>45233</v>
      </c>
      <c r="C200">
        <v>3.9049999999999998</v>
      </c>
      <c r="D200" s="2">
        <v>45236</v>
      </c>
      <c r="E200">
        <v>3.875</v>
      </c>
      <c r="F200" s="2">
        <v>45236</v>
      </c>
      <c r="G200">
        <v>3.952</v>
      </c>
      <c r="H200" s="2">
        <v>45237</v>
      </c>
      <c r="I200">
        <v>4.0549999999999997</v>
      </c>
      <c r="J200" s="2">
        <v>45236</v>
      </c>
      <c r="K200">
        <v>3.96</v>
      </c>
      <c r="L200" s="2">
        <v>45237</v>
      </c>
      <c r="M200">
        <v>3.8719999999999999</v>
      </c>
      <c r="N200" s="2">
        <v>44666</v>
      </c>
      <c r="O200">
        <v>3.165</v>
      </c>
      <c r="P200" s="2">
        <v>45236</v>
      </c>
      <c r="Q200">
        <v>3.875</v>
      </c>
      <c r="R200" s="2">
        <v>44998</v>
      </c>
      <c r="S200">
        <v>1.2350000000000001</v>
      </c>
      <c r="U200" s="2">
        <v>45330</v>
      </c>
      <c r="V200">
        <v>3.39</v>
      </c>
      <c r="W200">
        <v>3.3050000000000002</v>
      </c>
      <c r="X200">
        <v>3.335</v>
      </c>
      <c r="Y200">
        <v>3.407</v>
      </c>
      <c r="Z200">
        <v>3.3650000000000002</v>
      </c>
      <c r="AA200">
        <v>3.2850000000000001</v>
      </c>
      <c r="AB200">
        <v>3.2949999999999999</v>
      </c>
      <c r="AC200">
        <v>3.3530000000000002</v>
      </c>
    </row>
    <row r="201" spans="2:30">
      <c r="B201" s="2">
        <v>45232</v>
      </c>
      <c r="C201">
        <v>3.90584</v>
      </c>
      <c r="D201" s="2">
        <v>45233</v>
      </c>
      <c r="E201">
        <v>3.9449999999999998</v>
      </c>
      <c r="F201" s="2">
        <v>45233</v>
      </c>
      <c r="G201">
        <v>4.0199999999999996</v>
      </c>
      <c r="H201" s="2">
        <v>45236</v>
      </c>
      <c r="I201">
        <v>4.05</v>
      </c>
      <c r="J201" s="2">
        <v>45233</v>
      </c>
      <c r="K201">
        <v>3.9969999999999999</v>
      </c>
      <c r="L201" s="2">
        <v>45236</v>
      </c>
      <c r="M201">
        <v>3.88</v>
      </c>
      <c r="N201" s="2">
        <v>44665</v>
      </c>
      <c r="O201">
        <v>3.0550000000000002</v>
      </c>
      <c r="P201" s="2">
        <v>45233</v>
      </c>
      <c r="Q201">
        <v>3.9350000000000001</v>
      </c>
      <c r="R201" s="2">
        <v>44995</v>
      </c>
      <c r="S201">
        <v>1.3839999999999999</v>
      </c>
      <c r="U201" s="2">
        <v>45329</v>
      </c>
      <c r="V201">
        <v>3.3759999999999999</v>
      </c>
      <c r="W201">
        <v>3.29</v>
      </c>
      <c r="X201">
        <v>3.3180000000000001</v>
      </c>
      <c r="Y201">
        <v>3.38</v>
      </c>
      <c r="Z201">
        <v>3.347</v>
      </c>
      <c r="AA201">
        <v>3.3</v>
      </c>
      <c r="AB201">
        <v>3.25007</v>
      </c>
      <c r="AC201">
        <v>3.355</v>
      </c>
    </row>
    <row r="202" spans="2:30">
      <c r="B202" s="2">
        <v>45231</v>
      </c>
      <c r="C202">
        <v>3.98</v>
      </c>
      <c r="D202" s="2">
        <v>45232</v>
      </c>
      <c r="E202">
        <v>3.98</v>
      </c>
      <c r="F202" s="2">
        <v>45232</v>
      </c>
      <c r="G202">
        <v>4.0599999999999996</v>
      </c>
      <c r="H202" s="2">
        <v>45233</v>
      </c>
      <c r="I202">
        <v>4.1020000000000003</v>
      </c>
      <c r="J202" s="2">
        <v>45232</v>
      </c>
      <c r="K202">
        <v>4.05</v>
      </c>
      <c r="L202" s="2">
        <v>45233</v>
      </c>
      <c r="M202">
        <v>3.9950000000000001</v>
      </c>
      <c r="N202" s="2">
        <v>44662</v>
      </c>
      <c r="O202">
        <v>3.01525</v>
      </c>
      <c r="P202" s="2">
        <v>45232</v>
      </c>
      <c r="Q202">
        <v>3.9449999999999998</v>
      </c>
      <c r="R202" s="2">
        <v>44994</v>
      </c>
      <c r="S202">
        <v>1.4510000000000001</v>
      </c>
      <c r="U202" s="2">
        <v>45328</v>
      </c>
      <c r="V202">
        <v>3.375</v>
      </c>
      <c r="W202">
        <v>3.29</v>
      </c>
      <c r="X202">
        <v>3.3100200000000002</v>
      </c>
      <c r="Y202">
        <v>3.39</v>
      </c>
      <c r="Z202">
        <v>3.3420000000000001</v>
      </c>
      <c r="AA202">
        <v>3.3018999999999998</v>
      </c>
      <c r="AB202">
        <v>3.2480000000000002</v>
      </c>
      <c r="AC202">
        <v>3.37</v>
      </c>
    </row>
    <row r="203" spans="2:30">
      <c r="B203" s="2">
        <v>45230</v>
      </c>
      <c r="C203">
        <v>4.0010000000000003</v>
      </c>
      <c r="D203" s="2">
        <v>45231</v>
      </c>
      <c r="E203">
        <v>4.0650000000000004</v>
      </c>
      <c r="F203" s="2">
        <v>45231</v>
      </c>
      <c r="G203">
        <v>4.1013299999999999</v>
      </c>
      <c r="H203" s="2">
        <v>45232</v>
      </c>
      <c r="I203">
        <v>4.1630000000000003</v>
      </c>
      <c r="J203" s="2">
        <v>45231</v>
      </c>
      <c r="K203">
        <v>4.09</v>
      </c>
      <c r="L203" s="2">
        <v>45232</v>
      </c>
      <c r="M203">
        <v>4.0010000000000003</v>
      </c>
      <c r="N203" s="2">
        <v>44659</v>
      </c>
      <c r="O203">
        <v>2.9950000000000001</v>
      </c>
      <c r="P203" s="2">
        <v>45231</v>
      </c>
      <c r="Q203">
        <v>4.0149999999999997</v>
      </c>
      <c r="R203" s="2">
        <v>44993</v>
      </c>
      <c r="S203">
        <v>1.385</v>
      </c>
      <c r="U203" s="2">
        <v>45327</v>
      </c>
      <c r="V203">
        <v>3.4</v>
      </c>
      <c r="W203">
        <v>3.3069999999999999</v>
      </c>
      <c r="X203">
        <v>3.335</v>
      </c>
      <c r="Y203">
        <v>3.38</v>
      </c>
      <c r="Z203">
        <v>3.3220000000000001</v>
      </c>
      <c r="AA203">
        <v>3.2120000000000002</v>
      </c>
      <c r="AC203">
        <v>3.367</v>
      </c>
      <c r="AD203">
        <v>0.81499999999999995</v>
      </c>
    </row>
    <row r="204" spans="2:30">
      <c r="B204" s="2">
        <v>45229</v>
      </c>
      <c r="C204">
        <v>3.98</v>
      </c>
      <c r="D204" s="2">
        <v>45230</v>
      </c>
      <c r="E204">
        <v>4.08</v>
      </c>
      <c r="F204" s="2">
        <v>45230</v>
      </c>
      <c r="G204">
        <v>4.2050000000000001</v>
      </c>
      <c r="H204" s="2">
        <v>45231</v>
      </c>
      <c r="I204">
        <v>4.2850000000000001</v>
      </c>
      <c r="J204" s="2">
        <v>45230</v>
      </c>
      <c r="K204">
        <v>4.1399999999999997</v>
      </c>
      <c r="L204" s="2">
        <v>45231</v>
      </c>
      <c r="M204">
        <v>4.0199999999999996</v>
      </c>
      <c r="N204" s="2">
        <v>44657</v>
      </c>
      <c r="O204">
        <v>3.0249999999999999</v>
      </c>
      <c r="P204" s="2">
        <v>45230</v>
      </c>
      <c r="Q204">
        <v>3.99</v>
      </c>
      <c r="R204" s="2">
        <v>44992</v>
      </c>
      <c r="S204">
        <v>1.385</v>
      </c>
      <c r="U204" s="2">
        <v>45326</v>
      </c>
    </row>
    <row r="205" spans="2:30">
      <c r="B205" s="2">
        <v>45226</v>
      </c>
      <c r="C205">
        <v>3.9</v>
      </c>
      <c r="D205" s="2">
        <v>45229</v>
      </c>
      <c r="E205">
        <v>4.0890000000000004</v>
      </c>
      <c r="F205" s="2">
        <v>45229</v>
      </c>
      <c r="G205">
        <v>4.1870000000000003</v>
      </c>
      <c r="H205" s="2">
        <v>45230</v>
      </c>
      <c r="I205">
        <v>4.33</v>
      </c>
      <c r="J205" s="2">
        <v>45229</v>
      </c>
      <c r="K205">
        <v>4.1449999999999996</v>
      </c>
      <c r="L205" s="2">
        <v>45230</v>
      </c>
      <c r="M205">
        <v>4.0730000000000004</v>
      </c>
      <c r="N205" s="2">
        <v>44655</v>
      </c>
      <c r="O205">
        <v>3.0350000000000001</v>
      </c>
      <c r="P205" s="2">
        <v>45229</v>
      </c>
      <c r="Q205">
        <v>3.99</v>
      </c>
      <c r="R205" s="2">
        <v>44991</v>
      </c>
      <c r="S205">
        <v>1.4670000000000001</v>
      </c>
      <c r="U205" s="2">
        <v>45325</v>
      </c>
    </row>
    <row r="206" spans="2:30">
      <c r="B206" s="2">
        <v>45225</v>
      </c>
      <c r="C206">
        <v>4</v>
      </c>
      <c r="D206" s="2">
        <v>45226</v>
      </c>
      <c r="E206">
        <v>4.077</v>
      </c>
      <c r="F206" s="2">
        <v>45226</v>
      </c>
      <c r="G206">
        <v>4.1719999999999997</v>
      </c>
      <c r="H206" s="2">
        <v>45229</v>
      </c>
      <c r="I206">
        <v>4.3</v>
      </c>
      <c r="J206" s="2">
        <v>45226</v>
      </c>
      <c r="K206">
        <v>4.2549999999999999</v>
      </c>
      <c r="L206" s="2">
        <v>45229</v>
      </c>
      <c r="M206">
        <v>4.0149999999999997</v>
      </c>
      <c r="N206" s="2">
        <v>44652</v>
      </c>
      <c r="O206">
        <v>2.72</v>
      </c>
      <c r="P206" s="2">
        <v>45226</v>
      </c>
      <c r="Q206">
        <v>3.99</v>
      </c>
      <c r="R206" s="2">
        <v>44988</v>
      </c>
      <c r="S206">
        <v>1.484</v>
      </c>
      <c r="U206" s="2">
        <v>45324</v>
      </c>
      <c r="V206">
        <v>3.31</v>
      </c>
      <c r="W206">
        <v>3.242</v>
      </c>
      <c r="X206">
        <v>3.2549999999999999</v>
      </c>
      <c r="Y206">
        <v>3.29</v>
      </c>
      <c r="Z206">
        <v>3.25</v>
      </c>
      <c r="AA206">
        <v>3.2069999999999999</v>
      </c>
      <c r="AC206">
        <v>3.3</v>
      </c>
      <c r="AD206">
        <v>0.77</v>
      </c>
    </row>
    <row r="207" spans="2:30">
      <c r="B207" s="2">
        <v>45224</v>
      </c>
      <c r="C207">
        <v>3.95</v>
      </c>
      <c r="D207" s="2">
        <v>45225</v>
      </c>
      <c r="E207">
        <v>4.1120000000000001</v>
      </c>
      <c r="F207" s="2">
        <v>45225</v>
      </c>
      <c r="G207">
        <v>4.242</v>
      </c>
      <c r="H207" s="2">
        <v>45226</v>
      </c>
      <c r="I207">
        <v>4.29</v>
      </c>
      <c r="J207" s="2">
        <v>45225</v>
      </c>
      <c r="K207">
        <v>4.2649999999999997</v>
      </c>
      <c r="L207" s="2">
        <v>45226</v>
      </c>
      <c r="M207">
        <v>4.04</v>
      </c>
      <c r="N207" s="2">
        <v>44651</v>
      </c>
      <c r="O207">
        <v>2.7501199999999999</v>
      </c>
      <c r="P207" s="2">
        <v>45225</v>
      </c>
      <c r="Q207">
        <v>4.0149999999999997</v>
      </c>
      <c r="R207" s="2">
        <v>44987</v>
      </c>
      <c r="S207">
        <v>1.5449999999999999</v>
      </c>
      <c r="U207" s="2">
        <v>45323</v>
      </c>
      <c r="V207">
        <v>3.3050000000000002</v>
      </c>
      <c r="W207">
        <v>3.2669999999999999</v>
      </c>
      <c r="X207">
        <v>3.2970000000000002</v>
      </c>
      <c r="Y207">
        <v>3.347</v>
      </c>
      <c r="Z207">
        <v>3.32</v>
      </c>
      <c r="AA207">
        <v>3.266</v>
      </c>
      <c r="AC207">
        <v>3.3069999999999999</v>
      </c>
      <c r="AD207">
        <v>0.80500000000000005</v>
      </c>
    </row>
    <row r="208" spans="2:30">
      <c r="B208" s="2">
        <v>45223</v>
      </c>
      <c r="C208">
        <v>3.89</v>
      </c>
      <c r="D208" s="2">
        <v>45224</v>
      </c>
      <c r="E208">
        <v>4.0449999999999999</v>
      </c>
      <c r="F208" s="2">
        <v>45224</v>
      </c>
      <c r="G208">
        <v>4.165</v>
      </c>
      <c r="H208" s="2">
        <v>45225</v>
      </c>
      <c r="I208">
        <v>4.3920000000000003</v>
      </c>
      <c r="J208" s="2">
        <v>45224</v>
      </c>
      <c r="K208">
        <v>4.2050000000000001</v>
      </c>
      <c r="L208" s="2">
        <v>45225</v>
      </c>
      <c r="M208">
        <v>4.242</v>
      </c>
      <c r="N208" s="2">
        <v>44644</v>
      </c>
      <c r="O208">
        <v>2.65008</v>
      </c>
      <c r="P208" s="2">
        <v>45224</v>
      </c>
      <c r="Q208">
        <v>3.97</v>
      </c>
      <c r="R208" s="2">
        <v>44985</v>
      </c>
      <c r="S208">
        <v>1.5069999999999999</v>
      </c>
      <c r="U208" s="2">
        <v>45322</v>
      </c>
      <c r="V208">
        <v>3.3144</v>
      </c>
      <c r="W208">
        <v>3.2549999999999999</v>
      </c>
      <c r="X208">
        <v>3.2930000000000001</v>
      </c>
      <c r="Y208">
        <v>3.3406199999999999</v>
      </c>
      <c r="Z208">
        <v>3.3250000000000002</v>
      </c>
      <c r="AA208">
        <v>3.2970000000000002</v>
      </c>
      <c r="AB208">
        <v>3.2502499999999999</v>
      </c>
      <c r="AC208">
        <v>3.31</v>
      </c>
    </row>
    <row r="209" spans="2:30">
      <c r="B209" s="2">
        <v>45222</v>
      </c>
      <c r="C209">
        <v>3.96</v>
      </c>
      <c r="D209" s="2">
        <v>45223</v>
      </c>
      <c r="E209">
        <v>4.0049999999999999</v>
      </c>
      <c r="F209" s="2">
        <v>45223</v>
      </c>
      <c r="G209">
        <v>4.1719999999999997</v>
      </c>
      <c r="H209" s="2">
        <v>45224</v>
      </c>
      <c r="I209">
        <v>4.2869999999999999</v>
      </c>
      <c r="J209" s="2">
        <v>45223</v>
      </c>
      <c r="K209">
        <v>4.2300000000000004</v>
      </c>
      <c r="L209" s="2">
        <v>45224</v>
      </c>
      <c r="M209">
        <v>4.1749999999999998</v>
      </c>
      <c r="N209" s="2">
        <v>44642</v>
      </c>
      <c r="O209">
        <v>2.65029</v>
      </c>
      <c r="P209" s="2">
        <v>45223</v>
      </c>
      <c r="Q209">
        <v>3.93</v>
      </c>
      <c r="R209" s="2">
        <v>44984</v>
      </c>
      <c r="S209">
        <v>1.429</v>
      </c>
      <c r="U209" s="2">
        <v>45321</v>
      </c>
      <c r="V209">
        <v>3.31</v>
      </c>
      <c r="W209">
        <v>3.27</v>
      </c>
      <c r="X209">
        <v>3.3069999999999999</v>
      </c>
      <c r="Y209">
        <v>3.3679999999999999</v>
      </c>
      <c r="Z209">
        <v>3.3370000000000002</v>
      </c>
      <c r="AA209">
        <v>3.33</v>
      </c>
      <c r="AB209">
        <v>3.3</v>
      </c>
      <c r="AC209">
        <v>3.3149999999999999</v>
      </c>
      <c r="AD209">
        <v>0.84699999999999998</v>
      </c>
    </row>
    <row r="210" spans="2:30">
      <c r="B210" s="2">
        <v>45219</v>
      </c>
      <c r="C210">
        <v>3.93</v>
      </c>
      <c r="D210" s="2">
        <v>45222</v>
      </c>
      <c r="E210">
        <v>4.0570000000000004</v>
      </c>
      <c r="F210" s="2">
        <v>45222</v>
      </c>
      <c r="G210">
        <v>4.2370000000000001</v>
      </c>
      <c r="H210" s="2">
        <v>45223</v>
      </c>
      <c r="I210">
        <v>4.2679999999999998</v>
      </c>
      <c r="J210" s="2">
        <v>45222</v>
      </c>
      <c r="K210">
        <v>4.34</v>
      </c>
      <c r="L210" s="2">
        <v>45223</v>
      </c>
      <c r="M210">
        <v>4.2270000000000003</v>
      </c>
      <c r="N210" s="2">
        <v>44641</v>
      </c>
      <c r="O210">
        <v>2.645</v>
      </c>
      <c r="P210" s="2">
        <v>45222</v>
      </c>
      <c r="Q210">
        <v>3.9649999999999999</v>
      </c>
      <c r="R210" s="2">
        <v>44981</v>
      </c>
      <c r="S210">
        <v>1.36</v>
      </c>
      <c r="U210" s="2">
        <v>45320</v>
      </c>
      <c r="V210">
        <v>3.347</v>
      </c>
      <c r="W210">
        <v>3.302</v>
      </c>
      <c r="X210">
        <v>3.3620000000000001</v>
      </c>
      <c r="Y210">
        <v>3.4369999999999998</v>
      </c>
      <c r="Z210">
        <v>3.4253</v>
      </c>
      <c r="AA210">
        <v>3.367</v>
      </c>
      <c r="AB210">
        <v>3.3454000000000002</v>
      </c>
      <c r="AC210">
        <v>3.3450000000000002</v>
      </c>
    </row>
    <row r="211" spans="2:30">
      <c r="B211" s="2">
        <v>45218</v>
      </c>
      <c r="C211">
        <v>3.9550000000000001</v>
      </c>
      <c r="D211" s="2">
        <v>45219</v>
      </c>
      <c r="E211">
        <v>4.0250000000000004</v>
      </c>
      <c r="F211" s="2">
        <v>45219</v>
      </c>
      <c r="G211">
        <v>4.1719999999999997</v>
      </c>
      <c r="H211" s="2">
        <v>45222</v>
      </c>
      <c r="I211">
        <v>4.3769999999999998</v>
      </c>
      <c r="J211" s="2">
        <v>45219</v>
      </c>
      <c r="K211">
        <v>4.2649999999999997</v>
      </c>
      <c r="L211" s="2">
        <v>45222</v>
      </c>
      <c r="M211">
        <v>4.2969999999999997</v>
      </c>
      <c r="N211" s="2">
        <v>44638</v>
      </c>
      <c r="O211">
        <v>2.645</v>
      </c>
      <c r="P211" s="2">
        <v>45219</v>
      </c>
      <c r="Q211">
        <v>3.9249999999999998</v>
      </c>
      <c r="R211" s="2">
        <v>44980</v>
      </c>
      <c r="S211">
        <v>1.42</v>
      </c>
      <c r="U211" s="2">
        <v>45319</v>
      </c>
    </row>
    <row r="212" spans="2:30">
      <c r="B212" s="2">
        <v>45217</v>
      </c>
      <c r="C212">
        <v>3.9049999999999998</v>
      </c>
      <c r="D212" s="2">
        <v>45218</v>
      </c>
      <c r="E212">
        <v>4.0599999999999996</v>
      </c>
      <c r="F212" s="2">
        <v>45218</v>
      </c>
      <c r="G212">
        <v>4.21</v>
      </c>
      <c r="H212" s="2">
        <v>45219</v>
      </c>
      <c r="I212">
        <v>4.32</v>
      </c>
      <c r="J212" s="2">
        <v>45218</v>
      </c>
      <c r="K212">
        <v>4.3</v>
      </c>
      <c r="L212" s="2">
        <v>45219</v>
      </c>
      <c r="M212">
        <v>4.2469999999999999</v>
      </c>
      <c r="N212" s="2">
        <v>44630</v>
      </c>
      <c r="O212">
        <v>2.67021</v>
      </c>
      <c r="P212" s="2">
        <v>45218</v>
      </c>
      <c r="Q212">
        <v>3.9620000000000002</v>
      </c>
      <c r="R212" s="2">
        <v>44979</v>
      </c>
      <c r="S212">
        <v>1.48</v>
      </c>
      <c r="U212" s="2">
        <v>45318</v>
      </c>
    </row>
    <row r="213" spans="2:30">
      <c r="B213" s="2">
        <v>45216</v>
      </c>
      <c r="C213">
        <v>3.9306000000000001</v>
      </c>
      <c r="D213" s="2">
        <v>45217</v>
      </c>
      <c r="E213">
        <v>4.0250000000000004</v>
      </c>
      <c r="F213" s="2">
        <v>45217</v>
      </c>
      <c r="G213">
        <v>4.1500000000000004</v>
      </c>
      <c r="H213" s="2">
        <v>45218</v>
      </c>
      <c r="I213">
        <v>4.3600000000000003</v>
      </c>
      <c r="J213" s="2">
        <v>45217</v>
      </c>
      <c r="K213">
        <v>4.2320000000000002</v>
      </c>
      <c r="L213" s="2">
        <v>45218</v>
      </c>
      <c r="M213">
        <v>4.2679999999999998</v>
      </c>
      <c r="N213" s="2">
        <v>44624</v>
      </c>
      <c r="O213">
        <v>2.6002200000000002</v>
      </c>
      <c r="P213" s="2">
        <v>45217</v>
      </c>
      <c r="Q213">
        <v>3.9449999999999998</v>
      </c>
      <c r="R213" s="2">
        <v>44978</v>
      </c>
      <c r="S213">
        <v>1.49</v>
      </c>
      <c r="U213" s="2">
        <v>45317</v>
      </c>
      <c r="V213">
        <v>3.2850000000000001</v>
      </c>
      <c r="W213">
        <v>3.27</v>
      </c>
      <c r="X213">
        <v>3.31</v>
      </c>
      <c r="Y213">
        <v>3.3849999999999998</v>
      </c>
      <c r="Z213">
        <v>3.355</v>
      </c>
      <c r="AA213">
        <v>3.2970000000000002</v>
      </c>
      <c r="AC213">
        <v>3.3149999999999999</v>
      </c>
      <c r="AD213">
        <v>0.83299999999999996</v>
      </c>
    </row>
    <row r="214" spans="2:30">
      <c r="B214" s="2">
        <v>45215</v>
      </c>
      <c r="C214">
        <v>3.92</v>
      </c>
      <c r="D214" s="2">
        <v>45216</v>
      </c>
      <c r="E214">
        <v>3.9969999999999999</v>
      </c>
      <c r="F214" s="2">
        <v>45216</v>
      </c>
      <c r="G214">
        <v>4.0999999999999996</v>
      </c>
      <c r="H214" s="2">
        <v>45217</v>
      </c>
      <c r="I214">
        <v>4.2649999999999997</v>
      </c>
      <c r="J214" s="2">
        <v>45216</v>
      </c>
      <c r="K214">
        <v>4.1849999999999996</v>
      </c>
      <c r="L214" s="2">
        <v>45217</v>
      </c>
      <c r="M214">
        <v>4.2069999999999999</v>
      </c>
      <c r="N214" s="2">
        <v>44622</v>
      </c>
      <c r="O214">
        <v>2.5500099999999999</v>
      </c>
      <c r="P214" s="2">
        <v>45216</v>
      </c>
      <c r="Q214">
        <v>3.915</v>
      </c>
      <c r="R214" s="2">
        <v>44977</v>
      </c>
      <c r="S214">
        <v>1.46</v>
      </c>
      <c r="U214" s="2">
        <v>45316</v>
      </c>
      <c r="V214">
        <v>3.34</v>
      </c>
      <c r="W214">
        <v>3.3050000000000002</v>
      </c>
      <c r="X214">
        <v>3.3479999999999999</v>
      </c>
      <c r="Y214">
        <v>3.415</v>
      </c>
      <c r="Z214">
        <v>3.37</v>
      </c>
      <c r="AA214">
        <v>3.3050000000000002</v>
      </c>
      <c r="AC214">
        <v>3.35</v>
      </c>
      <c r="AD214">
        <v>0.89400000000000002</v>
      </c>
    </row>
    <row r="215" spans="2:30">
      <c r="B215" s="2">
        <v>45212</v>
      </c>
      <c r="C215">
        <v>3.9180000000000001</v>
      </c>
      <c r="D215" s="2">
        <v>45215</v>
      </c>
      <c r="E215">
        <v>3.97</v>
      </c>
      <c r="F215" s="2">
        <v>45215</v>
      </c>
      <c r="G215">
        <v>4.0650000000000004</v>
      </c>
      <c r="H215" s="2">
        <v>45216</v>
      </c>
      <c r="I215">
        <v>4.2249999999999996</v>
      </c>
      <c r="J215" s="2">
        <v>45215</v>
      </c>
      <c r="K215">
        <v>4.1500000000000004</v>
      </c>
      <c r="L215" s="2">
        <v>45216</v>
      </c>
      <c r="M215">
        <v>4.17</v>
      </c>
      <c r="N215" s="2">
        <v>44620</v>
      </c>
      <c r="O215">
        <v>2.6</v>
      </c>
      <c r="P215" s="2">
        <v>45215</v>
      </c>
      <c r="Q215">
        <v>3.91</v>
      </c>
      <c r="R215" s="2">
        <v>44974</v>
      </c>
      <c r="S215">
        <v>1.4</v>
      </c>
      <c r="U215" s="2">
        <v>45315</v>
      </c>
      <c r="V215">
        <v>3.367</v>
      </c>
      <c r="W215">
        <v>3.2869999999999999</v>
      </c>
      <c r="X215">
        <v>3.335</v>
      </c>
      <c r="Y215">
        <v>3.395</v>
      </c>
      <c r="Z215">
        <v>3.335</v>
      </c>
      <c r="AA215">
        <v>3.2719999999999998</v>
      </c>
      <c r="AC215">
        <v>3.355</v>
      </c>
      <c r="AD215">
        <v>0.86499999999999999</v>
      </c>
    </row>
    <row r="216" spans="2:30">
      <c r="B216" s="2">
        <v>45211</v>
      </c>
      <c r="C216">
        <v>3.907</v>
      </c>
      <c r="D216" s="2">
        <v>45212</v>
      </c>
      <c r="E216">
        <v>3.952</v>
      </c>
      <c r="F216" s="2">
        <v>45212</v>
      </c>
      <c r="G216">
        <v>4.0350000000000001</v>
      </c>
      <c r="H216" s="2">
        <v>45215</v>
      </c>
      <c r="I216">
        <v>4.1950000000000003</v>
      </c>
      <c r="J216" s="2">
        <v>45212</v>
      </c>
      <c r="K216">
        <v>4.01</v>
      </c>
      <c r="L216" s="2">
        <v>45215</v>
      </c>
      <c r="M216">
        <v>4.0944000000000003</v>
      </c>
      <c r="N216" s="2">
        <v>44613</v>
      </c>
      <c r="O216">
        <v>2.64</v>
      </c>
      <c r="P216" s="2">
        <v>45212</v>
      </c>
      <c r="Q216">
        <v>3.895</v>
      </c>
      <c r="R216" s="2">
        <v>44973</v>
      </c>
      <c r="S216">
        <v>1.3149999999999999</v>
      </c>
      <c r="U216" s="2">
        <v>45314</v>
      </c>
      <c r="V216">
        <v>3.335</v>
      </c>
      <c r="W216">
        <v>3.29</v>
      </c>
      <c r="X216">
        <v>3.3319999999999999</v>
      </c>
      <c r="Y216">
        <v>3.375</v>
      </c>
      <c r="Z216">
        <v>3.3220000000000001</v>
      </c>
      <c r="AA216">
        <v>3.2650000000000001</v>
      </c>
      <c r="AC216">
        <v>3.3279999999999998</v>
      </c>
      <c r="AD216">
        <v>0.87</v>
      </c>
    </row>
    <row r="217" spans="2:30">
      <c r="B217" s="2">
        <v>45210</v>
      </c>
      <c r="C217">
        <v>3.923</v>
      </c>
      <c r="D217" s="2">
        <v>45211</v>
      </c>
      <c r="E217">
        <v>3.927</v>
      </c>
      <c r="F217" s="2">
        <v>45211</v>
      </c>
      <c r="G217">
        <v>4.0049999999999999</v>
      </c>
      <c r="H217" s="2">
        <v>45212</v>
      </c>
      <c r="I217">
        <v>4.165</v>
      </c>
      <c r="J217" s="2">
        <v>45211</v>
      </c>
      <c r="K217">
        <v>4.04</v>
      </c>
      <c r="L217" s="2">
        <v>45212</v>
      </c>
      <c r="M217">
        <v>4.0949999999999998</v>
      </c>
      <c r="N217" s="2">
        <v>44610</v>
      </c>
      <c r="O217">
        <v>2.64</v>
      </c>
      <c r="P217" s="2">
        <v>45211</v>
      </c>
      <c r="Q217">
        <v>3.9</v>
      </c>
      <c r="R217" s="2">
        <v>44972</v>
      </c>
      <c r="S217">
        <v>1.325</v>
      </c>
      <c r="U217" s="2">
        <v>45313</v>
      </c>
      <c r="V217">
        <v>3.3119999999999998</v>
      </c>
      <c r="W217">
        <v>3.278</v>
      </c>
      <c r="X217">
        <v>3.355</v>
      </c>
      <c r="Y217">
        <v>3.3769999999999998</v>
      </c>
      <c r="Z217">
        <v>3.3119999999999998</v>
      </c>
      <c r="AA217">
        <v>3.2389999999999999</v>
      </c>
      <c r="AB217">
        <v>3.2250100000000002</v>
      </c>
      <c r="AC217">
        <v>3.3220000000000001</v>
      </c>
      <c r="AD217">
        <v>0.87</v>
      </c>
    </row>
    <row r="218" spans="2:30">
      <c r="B218" s="2">
        <v>45209</v>
      </c>
      <c r="C218">
        <v>3.93</v>
      </c>
      <c r="D218" s="2">
        <v>45210</v>
      </c>
      <c r="E218">
        <v>3.95</v>
      </c>
      <c r="F218" s="2">
        <v>45210</v>
      </c>
      <c r="G218">
        <v>4.0460000000000003</v>
      </c>
      <c r="H218" s="2">
        <v>45211</v>
      </c>
      <c r="I218">
        <v>4.0869999999999997</v>
      </c>
      <c r="J218" s="2">
        <v>45210</v>
      </c>
      <c r="K218">
        <v>4.12</v>
      </c>
      <c r="L218" s="2">
        <v>45211</v>
      </c>
      <c r="M218">
        <v>4.0279999999999996</v>
      </c>
      <c r="N218" s="2">
        <v>44609</v>
      </c>
      <c r="O218">
        <v>2.6030000000000002</v>
      </c>
      <c r="P218" s="2">
        <v>45210</v>
      </c>
      <c r="Q218">
        <v>3.91</v>
      </c>
      <c r="R218" s="2">
        <v>44967</v>
      </c>
      <c r="S218">
        <v>1.3</v>
      </c>
      <c r="U218" s="2">
        <v>45312</v>
      </c>
    </row>
    <row r="219" spans="2:30">
      <c r="B219" s="2">
        <v>45205</v>
      </c>
      <c r="C219">
        <v>3.9824299999999999</v>
      </c>
      <c r="D219" s="2">
        <v>45209</v>
      </c>
      <c r="E219">
        <v>4.0019999999999998</v>
      </c>
      <c r="F219" s="2">
        <v>45209</v>
      </c>
      <c r="G219">
        <v>4.0949999999999998</v>
      </c>
      <c r="H219" s="2">
        <v>45210</v>
      </c>
      <c r="I219">
        <v>4.1360000000000001</v>
      </c>
      <c r="J219" s="2">
        <v>45209</v>
      </c>
      <c r="K219">
        <v>4.1740000000000004</v>
      </c>
      <c r="L219" s="2">
        <v>45210</v>
      </c>
      <c r="M219">
        <v>4.085</v>
      </c>
      <c r="N219" s="2">
        <v>44602</v>
      </c>
      <c r="O219">
        <v>2.5670000000000002</v>
      </c>
      <c r="P219" s="2">
        <v>45209</v>
      </c>
      <c r="Q219">
        <v>3.9550000000000001</v>
      </c>
      <c r="R219" s="2">
        <v>44966</v>
      </c>
      <c r="S219">
        <v>1.26</v>
      </c>
      <c r="U219" s="2">
        <v>45311</v>
      </c>
    </row>
    <row r="220" spans="2:30">
      <c r="B220" s="2">
        <v>45204</v>
      </c>
      <c r="C220">
        <v>4.01</v>
      </c>
      <c r="D220" s="2">
        <v>45205</v>
      </c>
      <c r="E220">
        <v>4.0049999999999999</v>
      </c>
      <c r="F220" s="2">
        <v>45205</v>
      </c>
      <c r="G220">
        <v>4.0919999999999996</v>
      </c>
      <c r="H220" s="2">
        <v>45209</v>
      </c>
      <c r="I220">
        <v>4.2249999999999996</v>
      </c>
      <c r="J220" s="2">
        <v>45205</v>
      </c>
      <c r="K220">
        <v>4.17</v>
      </c>
      <c r="L220" s="2">
        <v>45209</v>
      </c>
      <c r="M220">
        <v>4.13</v>
      </c>
      <c r="N220" s="2">
        <v>44601</v>
      </c>
      <c r="O220">
        <v>2.5640000000000001</v>
      </c>
      <c r="P220" s="2">
        <v>45205</v>
      </c>
      <c r="Q220">
        <v>3.9849999999999999</v>
      </c>
      <c r="R220" s="2">
        <v>44963</v>
      </c>
      <c r="S220">
        <v>1.2450000000000001</v>
      </c>
      <c r="U220" s="2">
        <v>45310</v>
      </c>
      <c r="V220">
        <v>3.3450000000000002</v>
      </c>
      <c r="W220">
        <v>3.2949999999999999</v>
      </c>
      <c r="X220">
        <v>3.3519999999999999</v>
      </c>
      <c r="Y220">
        <v>3.41</v>
      </c>
      <c r="Z220">
        <v>3.3250000000000002</v>
      </c>
      <c r="AA220">
        <v>3.262</v>
      </c>
      <c r="AC220">
        <v>3.347</v>
      </c>
      <c r="AD220">
        <v>0.91</v>
      </c>
    </row>
    <row r="221" spans="2:30">
      <c r="B221" s="2">
        <v>45203</v>
      </c>
      <c r="C221">
        <v>4.0510000000000002</v>
      </c>
      <c r="D221" s="2">
        <v>45204</v>
      </c>
      <c r="E221">
        <v>4.0819999999999999</v>
      </c>
      <c r="F221" s="2">
        <v>45204</v>
      </c>
      <c r="G221">
        <v>4.1870000000000003</v>
      </c>
      <c r="H221" s="2">
        <v>45205</v>
      </c>
      <c r="I221">
        <v>4.24</v>
      </c>
      <c r="J221" s="2">
        <v>45204</v>
      </c>
      <c r="K221">
        <v>4.2450000000000001</v>
      </c>
      <c r="L221" s="2">
        <v>45205</v>
      </c>
      <c r="M221">
        <v>4.04</v>
      </c>
      <c r="N221" s="2">
        <v>44589</v>
      </c>
      <c r="O221">
        <v>2.4849999999999999</v>
      </c>
      <c r="P221" s="2">
        <v>45204</v>
      </c>
      <c r="Q221">
        <v>3.9969999999999999</v>
      </c>
      <c r="R221" s="2">
        <v>44960</v>
      </c>
      <c r="S221">
        <v>1.171</v>
      </c>
      <c r="U221" s="2">
        <v>45309</v>
      </c>
      <c r="V221">
        <v>3.3170000000000002</v>
      </c>
      <c r="W221">
        <v>3.27</v>
      </c>
      <c r="X221">
        <v>3.3149999999999999</v>
      </c>
      <c r="Y221">
        <v>3.37</v>
      </c>
      <c r="Z221">
        <v>3.2869999999999999</v>
      </c>
      <c r="AA221">
        <v>3.2250000000000001</v>
      </c>
      <c r="AC221">
        <v>3.3250000000000002</v>
      </c>
      <c r="AD221">
        <v>0.91800000000000004</v>
      </c>
    </row>
    <row r="222" spans="2:30">
      <c r="B222" s="2">
        <v>45196</v>
      </c>
      <c r="C222">
        <v>3.85</v>
      </c>
      <c r="D222" s="2">
        <v>45203</v>
      </c>
      <c r="E222">
        <v>4.0356399999999999</v>
      </c>
      <c r="F222" s="2">
        <v>45203</v>
      </c>
      <c r="G222">
        <v>4.0828800000000003</v>
      </c>
      <c r="H222" s="2">
        <v>45204</v>
      </c>
      <c r="I222">
        <v>4.3440000000000003</v>
      </c>
      <c r="J222" s="2">
        <v>45203</v>
      </c>
      <c r="K222">
        <v>4.2060000000000004</v>
      </c>
      <c r="L222" s="2">
        <v>45204</v>
      </c>
      <c r="M222">
        <v>4.1950000000000003</v>
      </c>
      <c r="N222" s="2">
        <v>44587</v>
      </c>
      <c r="O222">
        <v>2.395</v>
      </c>
      <c r="P222" s="2">
        <v>45203</v>
      </c>
      <c r="Q222">
        <v>4.12</v>
      </c>
      <c r="R222" s="2">
        <v>44959</v>
      </c>
      <c r="S222">
        <v>1.2</v>
      </c>
      <c r="U222" s="2">
        <v>45308</v>
      </c>
      <c r="V222">
        <v>3.33</v>
      </c>
      <c r="W222">
        <v>3.23</v>
      </c>
      <c r="X222">
        <v>3.3149999999999999</v>
      </c>
      <c r="Y222">
        <v>3.3620000000000001</v>
      </c>
      <c r="Z222">
        <v>3.2770000000000001</v>
      </c>
      <c r="AA222">
        <v>3.2170000000000001</v>
      </c>
      <c r="AC222">
        <v>3.33</v>
      </c>
      <c r="AD222">
        <v>0.89</v>
      </c>
    </row>
    <row r="223" spans="2:30">
      <c r="B223" s="2">
        <v>45195</v>
      </c>
      <c r="C223">
        <v>3.8820000000000001</v>
      </c>
      <c r="D223" s="2">
        <v>45196</v>
      </c>
      <c r="E223">
        <v>3.88</v>
      </c>
      <c r="F223" s="2">
        <v>45196</v>
      </c>
      <c r="G223">
        <v>3.9357899999999999</v>
      </c>
      <c r="H223" s="2">
        <v>45203</v>
      </c>
      <c r="I223">
        <v>4.0350000000000001</v>
      </c>
      <c r="J223" s="2">
        <v>45196</v>
      </c>
      <c r="K223">
        <v>3.93</v>
      </c>
      <c r="L223" s="2">
        <v>45203</v>
      </c>
      <c r="M223">
        <v>4.1500000000000004</v>
      </c>
      <c r="N223" s="2">
        <v>44585</v>
      </c>
      <c r="O223">
        <v>2.4253</v>
      </c>
      <c r="P223" s="2">
        <v>45196</v>
      </c>
      <c r="Q223">
        <v>3.88</v>
      </c>
      <c r="R223" s="2">
        <v>44957</v>
      </c>
      <c r="S223">
        <v>1.347</v>
      </c>
      <c r="U223" s="2">
        <v>45307</v>
      </c>
      <c r="V223">
        <v>3.3</v>
      </c>
      <c r="W223">
        <v>3.2410000000000001</v>
      </c>
      <c r="X223">
        <v>3.2639999999999998</v>
      </c>
      <c r="Y223">
        <v>3.3149999999999999</v>
      </c>
      <c r="Z223">
        <v>3.262</v>
      </c>
      <c r="AA223">
        <v>3.22</v>
      </c>
      <c r="AC223">
        <v>3.3</v>
      </c>
      <c r="AD223">
        <v>0.91</v>
      </c>
    </row>
    <row r="224" spans="2:30">
      <c r="B224" s="2">
        <v>45194</v>
      </c>
      <c r="C224">
        <v>3.86</v>
      </c>
      <c r="D224" s="2">
        <v>45195</v>
      </c>
      <c r="E224">
        <v>3.8980000000000001</v>
      </c>
      <c r="F224" s="2">
        <v>45195</v>
      </c>
      <c r="G224">
        <v>3.968</v>
      </c>
      <c r="H224" s="2">
        <v>45196</v>
      </c>
      <c r="I224">
        <v>4.0119999999999996</v>
      </c>
      <c r="J224" s="2">
        <v>45195</v>
      </c>
      <c r="K224">
        <v>3.9740000000000002</v>
      </c>
      <c r="L224" s="2">
        <v>45196</v>
      </c>
      <c r="M224">
        <v>3.9113500000000001</v>
      </c>
      <c r="N224" s="2">
        <v>44582</v>
      </c>
      <c r="O224">
        <v>2.3919999999999999</v>
      </c>
      <c r="P224" s="2">
        <v>45195</v>
      </c>
      <c r="Q224">
        <v>3.8980000000000001</v>
      </c>
      <c r="R224" s="2">
        <v>44953</v>
      </c>
      <c r="S224">
        <v>1.31</v>
      </c>
      <c r="U224" s="2">
        <v>45306</v>
      </c>
      <c r="V224">
        <v>3.266</v>
      </c>
      <c r="W224">
        <v>3.1970000000000001</v>
      </c>
      <c r="X224">
        <v>3.23</v>
      </c>
      <c r="Y224">
        <v>3.2970000000000002</v>
      </c>
      <c r="Z224">
        <v>3.24</v>
      </c>
      <c r="AA224">
        <v>3.1970000000000001</v>
      </c>
      <c r="AB224">
        <v>3.17503</v>
      </c>
      <c r="AC224">
        <v>3.26</v>
      </c>
      <c r="AD224">
        <v>0.86499999999999999</v>
      </c>
    </row>
    <row r="225" spans="2:30">
      <c r="B225" s="2">
        <v>45191</v>
      </c>
      <c r="C225">
        <v>3.9119999999999999</v>
      </c>
      <c r="D225" s="2">
        <v>45194</v>
      </c>
      <c r="E225">
        <v>3.8820000000000001</v>
      </c>
      <c r="F225" s="2">
        <v>45194</v>
      </c>
      <c r="G225">
        <v>3.9350000000000001</v>
      </c>
      <c r="H225" s="2">
        <v>45195</v>
      </c>
      <c r="I225">
        <v>4.0579999999999998</v>
      </c>
      <c r="J225" s="2">
        <v>45194</v>
      </c>
      <c r="K225">
        <v>3.89</v>
      </c>
      <c r="L225" s="2">
        <v>45195</v>
      </c>
      <c r="M225">
        <v>3.87</v>
      </c>
      <c r="N225" s="2">
        <v>44580</v>
      </c>
      <c r="O225">
        <v>2.4300000000000002</v>
      </c>
      <c r="P225" s="2">
        <v>45194</v>
      </c>
      <c r="Q225">
        <v>3.88</v>
      </c>
      <c r="R225" s="2">
        <v>44952</v>
      </c>
      <c r="S225">
        <v>1.2809999999999999</v>
      </c>
      <c r="U225" s="2">
        <v>45305</v>
      </c>
    </row>
    <row r="226" spans="2:30">
      <c r="B226" s="2">
        <v>45190</v>
      </c>
      <c r="C226">
        <v>3.93</v>
      </c>
      <c r="D226" s="2">
        <v>45191</v>
      </c>
      <c r="E226">
        <v>3.8650000000000002</v>
      </c>
      <c r="F226" s="2">
        <v>45191</v>
      </c>
      <c r="G226">
        <v>3.96</v>
      </c>
      <c r="H226" s="2">
        <v>45194</v>
      </c>
      <c r="I226">
        <v>3.9849999999999999</v>
      </c>
      <c r="J226" s="2">
        <v>45191</v>
      </c>
      <c r="K226">
        <v>3.923</v>
      </c>
      <c r="L226" s="2">
        <v>45194</v>
      </c>
      <c r="M226">
        <v>3.8719999999999999</v>
      </c>
      <c r="N226" s="2">
        <v>44579</v>
      </c>
      <c r="O226">
        <v>2.39</v>
      </c>
      <c r="P226" s="2">
        <v>45191</v>
      </c>
      <c r="Q226">
        <v>3.91</v>
      </c>
      <c r="R226" s="2">
        <v>44945</v>
      </c>
      <c r="S226">
        <v>1.24</v>
      </c>
      <c r="U226" s="2">
        <v>45304</v>
      </c>
    </row>
    <row r="227" spans="2:30">
      <c r="B227" s="2">
        <v>45189</v>
      </c>
      <c r="C227">
        <v>3.9328400000000001</v>
      </c>
      <c r="D227" s="2">
        <v>45190</v>
      </c>
      <c r="E227">
        <v>3.9220000000000002</v>
      </c>
      <c r="F227" s="2">
        <v>45190</v>
      </c>
      <c r="G227">
        <v>3.96</v>
      </c>
      <c r="H227" s="2">
        <v>45191</v>
      </c>
      <c r="I227">
        <v>3.9969999999999999</v>
      </c>
      <c r="J227" s="2">
        <v>45190</v>
      </c>
      <c r="K227">
        <v>3.9</v>
      </c>
      <c r="L227" s="2">
        <v>45191</v>
      </c>
      <c r="M227">
        <v>3.83</v>
      </c>
      <c r="N227" s="2">
        <v>44578</v>
      </c>
      <c r="O227">
        <v>2.363</v>
      </c>
      <c r="P227" s="2">
        <v>45190</v>
      </c>
      <c r="Q227">
        <v>3.9350000000000001</v>
      </c>
      <c r="R227" s="2">
        <v>44943</v>
      </c>
      <c r="S227">
        <v>1.415</v>
      </c>
      <c r="U227" s="2">
        <v>45303</v>
      </c>
      <c r="V227">
        <v>3.31</v>
      </c>
      <c r="W227">
        <v>3.1970000000000001</v>
      </c>
      <c r="X227">
        <v>3.2349999999999999</v>
      </c>
      <c r="Y227">
        <v>3.3050000000000002</v>
      </c>
      <c r="Z227">
        <v>3.2549999999999999</v>
      </c>
      <c r="AA227">
        <v>3.2149999999999999</v>
      </c>
      <c r="AB227">
        <v>3.173</v>
      </c>
      <c r="AC227">
        <v>3.26</v>
      </c>
      <c r="AD227">
        <v>0.88700000000000001</v>
      </c>
    </row>
    <row r="228" spans="2:30">
      <c r="B228" s="2">
        <v>45188</v>
      </c>
      <c r="C228">
        <v>3.895</v>
      </c>
      <c r="D228" s="2">
        <v>45189</v>
      </c>
      <c r="E228">
        <v>3.88</v>
      </c>
      <c r="F228" s="2">
        <v>45189</v>
      </c>
      <c r="G228">
        <v>3.9049999999999998</v>
      </c>
      <c r="H228" s="2">
        <v>45190</v>
      </c>
      <c r="I228">
        <v>4.03</v>
      </c>
      <c r="J228" s="2">
        <v>45189</v>
      </c>
      <c r="K228">
        <v>3.85</v>
      </c>
      <c r="L228" s="2">
        <v>45190</v>
      </c>
      <c r="M228">
        <v>3.847</v>
      </c>
      <c r="N228" s="2">
        <v>44575</v>
      </c>
      <c r="O228">
        <v>2.2949999999999999</v>
      </c>
      <c r="P228" s="2">
        <v>45189</v>
      </c>
      <c r="Q228">
        <v>3.895</v>
      </c>
      <c r="R228" s="2">
        <v>44942</v>
      </c>
      <c r="S228">
        <v>1.3740000000000001</v>
      </c>
      <c r="U228" s="2">
        <v>45302</v>
      </c>
      <c r="V228">
        <v>3.3519999999999999</v>
      </c>
      <c r="W228">
        <v>3.22</v>
      </c>
      <c r="X228">
        <v>3.26</v>
      </c>
      <c r="Y228">
        <v>3.3149999999999999</v>
      </c>
      <c r="Z228">
        <v>3.2450000000000001</v>
      </c>
      <c r="AA228">
        <v>3.202</v>
      </c>
      <c r="AC228">
        <v>3.29</v>
      </c>
      <c r="AD228">
        <v>0.90500000000000003</v>
      </c>
    </row>
    <row r="229" spans="2:30">
      <c r="B229" s="2">
        <v>45187</v>
      </c>
      <c r="C229">
        <v>3.8969999999999998</v>
      </c>
      <c r="D229" s="2">
        <v>45188</v>
      </c>
      <c r="E229">
        <v>3.8879999999999999</v>
      </c>
      <c r="F229" s="2">
        <v>45188</v>
      </c>
      <c r="G229">
        <v>3.915</v>
      </c>
      <c r="H229" s="2">
        <v>45189</v>
      </c>
      <c r="I229">
        <v>3.9645000000000001</v>
      </c>
      <c r="J229" s="2">
        <v>45188</v>
      </c>
      <c r="K229">
        <v>3.85</v>
      </c>
      <c r="L229" s="2">
        <v>45189</v>
      </c>
      <c r="M229">
        <v>3.8069999999999999</v>
      </c>
      <c r="N229" s="2">
        <v>44574</v>
      </c>
      <c r="O229">
        <v>2.351</v>
      </c>
      <c r="P229" s="2">
        <v>45188</v>
      </c>
      <c r="Q229">
        <v>3.9</v>
      </c>
      <c r="R229" s="2">
        <v>44939</v>
      </c>
      <c r="S229">
        <v>1.4370000000000001</v>
      </c>
      <c r="U229" s="2">
        <v>45301</v>
      </c>
      <c r="V229">
        <v>3.36</v>
      </c>
      <c r="W229">
        <v>3.2650000000000001</v>
      </c>
      <c r="X229">
        <v>3.2850000000000001</v>
      </c>
      <c r="Y229">
        <v>3.347</v>
      </c>
      <c r="Z229">
        <v>3.258</v>
      </c>
      <c r="AA229">
        <v>3.2149999999999999</v>
      </c>
      <c r="AC229">
        <v>3.3570000000000002</v>
      </c>
      <c r="AD229">
        <v>0.90500000000000003</v>
      </c>
    </row>
    <row r="230" spans="2:30">
      <c r="B230" s="2">
        <v>45184</v>
      </c>
      <c r="C230">
        <v>3.8650000000000002</v>
      </c>
      <c r="D230" s="2">
        <v>45187</v>
      </c>
      <c r="E230">
        <v>3.8929999999999998</v>
      </c>
      <c r="F230" s="2">
        <v>45187</v>
      </c>
      <c r="G230">
        <v>3.93</v>
      </c>
      <c r="H230" s="2">
        <v>45188</v>
      </c>
      <c r="I230">
        <v>3.9550000000000001</v>
      </c>
      <c r="J230" s="2">
        <v>45187</v>
      </c>
      <c r="K230">
        <v>3.8450000000000002</v>
      </c>
      <c r="L230" s="2">
        <v>45188</v>
      </c>
      <c r="M230">
        <v>3.665</v>
      </c>
      <c r="N230" s="2">
        <v>44566</v>
      </c>
      <c r="O230">
        <v>2.3201299999999998</v>
      </c>
      <c r="P230" s="2">
        <v>45187</v>
      </c>
      <c r="Q230">
        <v>3.9049999999999998</v>
      </c>
      <c r="R230" s="2">
        <v>44937</v>
      </c>
      <c r="S230">
        <v>1.39</v>
      </c>
      <c r="U230" s="2">
        <v>45300</v>
      </c>
      <c r="V230">
        <v>3.36</v>
      </c>
      <c r="W230">
        <v>3.29</v>
      </c>
      <c r="X230">
        <v>3.27</v>
      </c>
      <c r="Y230">
        <v>3.32</v>
      </c>
      <c r="Z230">
        <v>3.21</v>
      </c>
      <c r="AA230">
        <v>3.1702400000000002</v>
      </c>
      <c r="AC230">
        <v>3.32</v>
      </c>
      <c r="AD230">
        <v>0.91834000000000005</v>
      </c>
    </row>
    <row r="231" spans="2:30">
      <c r="B231" s="2">
        <v>45183</v>
      </c>
      <c r="C231">
        <v>3.851</v>
      </c>
      <c r="D231" s="2">
        <v>45184</v>
      </c>
      <c r="E231">
        <v>3.83</v>
      </c>
      <c r="F231" s="2">
        <v>45184</v>
      </c>
      <c r="G231">
        <v>3.88</v>
      </c>
      <c r="H231" s="2">
        <v>45187</v>
      </c>
      <c r="I231">
        <v>3.9750000000000001</v>
      </c>
      <c r="J231" s="2">
        <v>45184</v>
      </c>
      <c r="K231">
        <v>3.7109999999999999</v>
      </c>
      <c r="L231" s="2">
        <v>45187</v>
      </c>
      <c r="M231">
        <v>3.8149999999999999</v>
      </c>
      <c r="N231" s="2">
        <v>44565</v>
      </c>
      <c r="O231">
        <v>2.3220000000000001</v>
      </c>
      <c r="P231" s="2">
        <v>45184</v>
      </c>
      <c r="Q231">
        <v>3.8769999999999998</v>
      </c>
      <c r="R231" s="2">
        <v>44935</v>
      </c>
      <c r="S231">
        <v>1.4650000000000001</v>
      </c>
      <c r="U231" s="2">
        <v>45299</v>
      </c>
      <c r="V231">
        <v>3.3929999999999998</v>
      </c>
      <c r="W231">
        <v>3.29</v>
      </c>
      <c r="X231">
        <v>3.3050000000000002</v>
      </c>
      <c r="Y231">
        <v>3.355</v>
      </c>
      <c r="Z231">
        <v>3.1240000000000001</v>
      </c>
      <c r="AA231">
        <v>3.19</v>
      </c>
      <c r="AC231">
        <v>3.3570000000000002</v>
      </c>
      <c r="AD231">
        <v>0.94533</v>
      </c>
    </row>
    <row r="232" spans="2:30">
      <c r="B232" s="2">
        <v>45182</v>
      </c>
      <c r="C232">
        <v>3.8980000000000001</v>
      </c>
      <c r="D232" s="2">
        <v>45183</v>
      </c>
      <c r="E232">
        <v>3.84</v>
      </c>
      <c r="F232" s="2">
        <v>45183</v>
      </c>
      <c r="G232">
        <v>3.8620000000000001</v>
      </c>
      <c r="H232" s="2">
        <v>45184</v>
      </c>
      <c r="I232">
        <v>3.92</v>
      </c>
      <c r="J232" s="2">
        <v>45183</v>
      </c>
      <c r="K232">
        <v>3.6909999999999998</v>
      </c>
      <c r="L232" s="2">
        <v>45184</v>
      </c>
      <c r="M232">
        <v>3.77</v>
      </c>
      <c r="N232" s="2">
        <v>44564</v>
      </c>
      <c r="O232">
        <v>2.3201000000000001</v>
      </c>
      <c r="P232" s="2">
        <v>45183</v>
      </c>
      <c r="Q232">
        <v>3.8650000000000002</v>
      </c>
      <c r="R232" s="2">
        <v>44932</v>
      </c>
      <c r="S232">
        <v>1.556</v>
      </c>
      <c r="U232" s="2">
        <v>45298</v>
      </c>
    </row>
    <row r="233" spans="2:30">
      <c r="B233" s="2">
        <v>45181</v>
      </c>
      <c r="C233">
        <v>3.87</v>
      </c>
      <c r="D233" s="2">
        <v>45182</v>
      </c>
      <c r="E233">
        <v>3.85</v>
      </c>
      <c r="F233" s="2">
        <v>45182</v>
      </c>
      <c r="G233">
        <v>3.89</v>
      </c>
      <c r="H233" s="2">
        <v>45183</v>
      </c>
      <c r="I233">
        <v>3.91</v>
      </c>
      <c r="J233" s="2">
        <v>45182</v>
      </c>
      <c r="K233">
        <v>3.8149999999999999</v>
      </c>
      <c r="L233" s="2">
        <v>45183</v>
      </c>
      <c r="M233">
        <v>3.75</v>
      </c>
      <c r="N233" s="2">
        <v>44560</v>
      </c>
      <c r="O233">
        <v>1.625</v>
      </c>
      <c r="P233" s="2">
        <v>45182</v>
      </c>
      <c r="Q233">
        <v>3.89</v>
      </c>
      <c r="R233" s="2">
        <v>44931</v>
      </c>
      <c r="S233">
        <v>1.56</v>
      </c>
      <c r="U233" s="2">
        <v>45297</v>
      </c>
    </row>
    <row r="234" spans="2:30">
      <c r="B234" s="2">
        <v>45180</v>
      </c>
      <c r="C234">
        <v>3.875</v>
      </c>
      <c r="D234" s="2">
        <v>45181</v>
      </c>
      <c r="E234">
        <v>3.8620000000000001</v>
      </c>
      <c r="F234" s="2">
        <v>45181</v>
      </c>
      <c r="G234">
        <v>3.89</v>
      </c>
      <c r="H234" s="2">
        <v>45182</v>
      </c>
      <c r="I234">
        <v>3.9470000000000001</v>
      </c>
      <c r="J234" s="2">
        <v>45181</v>
      </c>
      <c r="K234">
        <v>3.855</v>
      </c>
      <c r="L234" s="2">
        <v>45182</v>
      </c>
      <c r="M234">
        <v>3.782</v>
      </c>
      <c r="N234" s="2">
        <v>44558</v>
      </c>
      <c r="O234">
        <v>2.2300200000000001</v>
      </c>
      <c r="P234" s="2">
        <v>45181</v>
      </c>
      <c r="Q234">
        <v>3.89</v>
      </c>
      <c r="R234" s="2">
        <v>44929</v>
      </c>
      <c r="S234">
        <v>1.6970000000000001</v>
      </c>
      <c r="U234" s="2">
        <v>45296</v>
      </c>
      <c r="V234">
        <v>3.3809999999999998</v>
      </c>
      <c r="W234">
        <v>3.2650000000000001</v>
      </c>
      <c r="X234">
        <v>3.3050000000000002</v>
      </c>
      <c r="Y234">
        <v>3.3250000000000002</v>
      </c>
      <c r="Z234">
        <v>3.242</v>
      </c>
      <c r="AA234">
        <v>3.19</v>
      </c>
      <c r="AB234">
        <v>3.18</v>
      </c>
      <c r="AC234">
        <v>3.35</v>
      </c>
      <c r="AD234">
        <v>0.95599999999999996</v>
      </c>
    </row>
    <row r="235" spans="2:30">
      <c r="B235" s="2">
        <v>45177</v>
      </c>
      <c r="C235">
        <v>3.8250000000000002</v>
      </c>
      <c r="D235" s="2">
        <v>45180</v>
      </c>
      <c r="E235">
        <v>3.855</v>
      </c>
      <c r="F235" s="2">
        <v>45180</v>
      </c>
      <c r="G235">
        <v>3.88</v>
      </c>
      <c r="H235" s="2">
        <v>45181</v>
      </c>
      <c r="I235">
        <v>3.9670000000000001</v>
      </c>
      <c r="J235" s="2">
        <v>45180</v>
      </c>
      <c r="K235">
        <v>3.8450000000000002</v>
      </c>
      <c r="L235" s="2">
        <v>45181</v>
      </c>
      <c r="M235">
        <v>3.8250000000000002</v>
      </c>
      <c r="N235" s="2">
        <v>44540</v>
      </c>
      <c r="O235">
        <v>2.2200000000000002</v>
      </c>
      <c r="P235" s="2">
        <v>45180</v>
      </c>
      <c r="Q235">
        <v>3.89</v>
      </c>
      <c r="R235" s="2">
        <v>44917</v>
      </c>
      <c r="S235">
        <v>1.45</v>
      </c>
      <c r="U235" s="2">
        <v>45295</v>
      </c>
      <c r="V235">
        <v>3.34</v>
      </c>
      <c r="W235">
        <v>3.2250000000000001</v>
      </c>
      <c r="X235">
        <v>3.258</v>
      </c>
      <c r="Y235">
        <v>3.2850000000000001</v>
      </c>
      <c r="Z235">
        <v>3.2090000000000001</v>
      </c>
      <c r="AA235">
        <v>3.1949999999999998</v>
      </c>
      <c r="AC235">
        <v>3.32</v>
      </c>
    </row>
    <row r="236" spans="2:30">
      <c r="B236" s="2">
        <v>45176</v>
      </c>
      <c r="C236">
        <v>3.855</v>
      </c>
      <c r="D236" s="2">
        <v>45177</v>
      </c>
      <c r="E236">
        <v>3.8046099999999998</v>
      </c>
      <c r="F236" s="2">
        <v>45177</v>
      </c>
      <c r="G236">
        <v>3.84</v>
      </c>
      <c r="H236" s="2">
        <v>45180</v>
      </c>
      <c r="I236">
        <v>3.9550000000000001</v>
      </c>
      <c r="J236" s="2">
        <v>45177</v>
      </c>
      <c r="K236">
        <v>3.8170000000000002</v>
      </c>
      <c r="L236" s="2">
        <v>45180</v>
      </c>
      <c r="M236">
        <v>3.82</v>
      </c>
      <c r="N236" s="2">
        <v>44537</v>
      </c>
      <c r="O236">
        <v>2.2000000000000002</v>
      </c>
      <c r="P236" s="2">
        <v>45177</v>
      </c>
      <c r="Q236">
        <v>3.8279999999999998</v>
      </c>
      <c r="R236" s="2">
        <v>44916</v>
      </c>
      <c r="S236">
        <v>1.508</v>
      </c>
      <c r="U236" s="2">
        <v>45294</v>
      </c>
      <c r="V236">
        <v>3.331</v>
      </c>
      <c r="W236">
        <v>3.27</v>
      </c>
      <c r="X236">
        <v>3.31</v>
      </c>
      <c r="Y236">
        <v>3.3370000000000002</v>
      </c>
      <c r="Z236">
        <v>3.25</v>
      </c>
      <c r="AA236">
        <v>3.2280000000000002</v>
      </c>
      <c r="AC236">
        <v>3.38</v>
      </c>
    </row>
    <row r="237" spans="2:30">
      <c r="B237" s="2">
        <v>45175</v>
      </c>
      <c r="C237">
        <v>3.8</v>
      </c>
      <c r="D237" s="2">
        <v>45176</v>
      </c>
      <c r="E237">
        <v>3.835</v>
      </c>
      <c r="F237" s="2">
        <v>45176</v>
      </c>
      <c r="G237">
        <v>3.89</v>
      </c>
      <c r="H237" s="2">
        <v>45177</v>
      </c>
      <c r="I237">
        <v>3.887</v>
      </c>
      <c r="J237" s="2">
        <v>45176</v>
      </c>
      <c r="K237">
        <v>3.863</v>
      </c>
      <c r="L237" s="2">
        <v>45177</v>
      </c>
      <c r="M237">
        <v>3.754</v>
      </c>
      <c r="N237" s="2">
        <v>44530</v>
      </c>
      <c r="O237">
        <v>2.1349999999999998</v>
      </c>
      <c r="P237" s="2">
        <v>45176</v>
      </c>
      <c r="Q237">
        <v>3.867</v>
      </c>
      <c r="R237" s="2">
        <v>44915</v>
      </c>
      <c r="S237">
        <v>1.516</v>
      </c>
      <c r="U237" s="2">
        <v>45293</v>
      </c>
      <c r="V237">
        <v>3.3279999999999998</v>
      </c>
      <c r="W237">
        <v>3.24</v>
      </c>
      <c r="X237">
        <v>3.157</v>
      </c>
      <c r="Y237">
        <v>3.165</v>
      </c>
      <c r="Z237">
        <v>3.24</v>
      </c>
      <c r="AA237">
        <v>3.2159</v>
      </c>
      <c r="AC237">
        <v>3.33</v>
      </c>
    </row>
    <row r="238" spans="2:30">
      <c r="B238" s="2">
        <v>45174</v>
      </c>
      <c r="C238">
        <v>3.7930000000000001</v>
      </c>
      <c r="D238" s="2">
        <v>45175</v>
      </c>
      <c r="E238">
        <v>3.7650000000000001</v>
      </c>
      <c r="F238" s="2">
        <v>45175</v>
      </c>
      <c r="G238">
        <v>3.831</v>
      </c>
      <c r="H238" s="2">
        <v>45176</v>
      </c>
      <c r="I238">
        <v>3.97</v>
      </c>
      <c r="J238" s="2">
        <v>45175</v>
      </c>
      <c r="K238">
        <v>3.8250000000000002</v>
      </c>
      <c r="L238" s="2">
        <v>45176</v>
      </c>
      <c r="M238">
        <v>3.83</v>
      </c>
      <c r="N238" s="2">
        <v>44529</v>
      </c>
      <c r="O238">
        <v>2.3371599999999999</v>
      </c>
      <c r="P238" s="2">
        <v>45175</v>
      </c>
      <c r="Q238">
        <v>3.79</v>
      </c>
      <c r="R238" s="2">
        <v>44911</v>
      </c>
      <c r="S238">
        <v>1.375</v>
      </c>
      <c r="U238" s="2">
        <v>45292</v>
      </c>
    </row>
    <row r="239" spans="2:30">
      <c r="B239" s="2">
        <v>45173</v>
      </c>
      <c r="C239">
        <v>3.75</v>
      </c>
      <c r="D239" s="2">
        <v>45174</v>
      </c>
      <c r="E239">
        <v>3.7650000000000001</v>
      </c>
      <c r="F239" s="2">
        <v>45174</v>
      </c>
      <c r="G239">
        <v>3.8149999999999999</v>
      </c>
      <c r="H239" s="2">
        <v>45175</v>
      </c>
      <c r="I239">
        <v>3.91</v>
      </c>
      <c r="J239" s="2">
        <v>45174</v>
      </c>
      <c r="K239">
        <v>3.8</v>
      </c>
      <c r="L239" s="2">
        <v>45175</v>
      </c>
      <c r="M239">
        <v>3.742</v>
      </c>
      <c r="N239" s="2">
        <v>44526</v>
      </c>
      <c r="O239">
        <v>2.3050000000000002</v>
      </c>
      <c r="P239" s="2">
        <v>45174</v>
      </c>
      <c r="Q239">
        <v>3.79</v>
      </c>
      <c r="R239" s="2">
        <v>44909</v>
      </c>
      <c r="S239">
        <v>1.3839999999999999</v>
      </c>
      <c r="U239" s="2">
        <v>45291</v>
      </c>
    </row>
    <row r="240" spans="2:30">
      <c r="B240" s="2">
        <v>45170</v>
      </c>
      <c r="C240">
        <v>3.7050000000000001</v>
      </c>
      <c r="D240" s="2">
        <v>45173</v>
      </c>
      <c r="E240">
        <v>3.7320000000000002</v>
      </c>
      <c r="F240" s="2">
        <v>45173</v>
      </c>
      <c r="G240">
        <v>3.7789999999999999</v>
      </c>
      <c r="H240" s="2">
        <v>45174</v>
      </c>
      <c r="I240">
        <v>3.8690000000000002</v>
      </c>
      <c r="J240" s="2">
        <v>45173</v>
      </c>
      <c r="K240">
        <v>3.76</v>
      </c>
      <c r="L240" s="2">
        <v>45174</v>
      </c>
      <c r="M240">
        <v>3.7410000000000001</v>
      </c>
      <c r="N240" s="2">
        <v>44516</v>
      </c>
      <c r="O240">
        <v>2.2651300000000001</v>
      </c>
      <c r="P240" s="2">
        <v>45173</v>
      </c>
      <c r="Q240">
        <v>3.7450000000000001</v>
      </c>
      <c r="R240" s="2">
        <v>44908</v>
      </c>
      <c r="S240">
        <v>1.4330000000000001</v>
      </c>
      <c r="U240" s="2">
        <v>45290</v>
      </c>
    </row>
    <row r="241" spans="2:30">
      <c r="B241" s="2">
        <v>45169</v>
      </c>
      <c r="C241">
        <v>3.72519</v>
      </c>
      <c r="D241" s="2">
        <v>45170</v>
      </c>
      <c r="E241">
        <v>3.6909999999999998</v>
      </c>
      <c r="F241" s="2">
        <v>45170</v>
      </c>
      <c r="G241">
        <v>3.7149999999999999</v>
      </c>
      <c r="H241" s="2">
        <v>45173</v>
      </c>
      <c r="I241">
        <v>3.855</v>
      </c>
      <c r="J241" s="2">
        <v>45170</v>
      </c>
      <c r="K241">
        <v>3.72</v>
      </c>
      <c r="L241" s="2">
        <v>45173</v>
      </c>
      <c r="M241">
        <v>3.6059999999999999</v>
      </c>
      <c r="N241" s="2">
        <v>44515</v>
      </c>
      <c r="O241">
        <v>2.3199999999999998</v>
      </c>
      <c r="P241" s="2">
        <v>45170</v>
      </c>
      <c r="Q241">
        <v>3.7149999999999999</v>
      </c>
      <c r="R241" s="2">
        <v>44907</v>
      </c>
      <c r="S241">
        <v>1.5149999999999999</v>
      </c>
      <c r="U241" s="2">
        <v>45289</v>
      </c>
      <c r="V241">
        <v>3.3036500000000002</v>
      </c>
      <c r="Y241">
        <v>3.19</v>
      </c>
      <c r="AA241">
        <v>2.98</v>
      </c>
    </row>
    <row r="242" spans="2:30">
      <c r="B242" s="2">
        <v>45168</v>
      </c>
      <c r="C242">
        <v>3.7349999999999999</v>
      </c>
      <c r="D242" s="2">
        <v>45169</v>
      </c>
      <c r="E242">
        <v>3.7187299999999999</v>
      </c>
      <c r="F242" s="2">
        <v>45169</v>
      </c>
      <c r="G242">
        <v>3.7469999999999999</v>
      </c>
      <c r="H242" s="2">
        <v>45170</v>
      </c>
      <c r="I242">
        <v>3.7770000000000001</v>
      </c>
      <c r="J242" s="2">
        <v>45169</v>
      </c>
      <c r="K242">
        <v>3.7651300000000001</v>
      </c>
      <c r="L242" s="2">
        <v>45170</v>
      </c>
      <c r="M242">
        <v>3.6819999999999999</v>
      </c>
      <c r="N242" s="2">
        <v>44512</v>
      </c>
      <c r="O242">
        <v>2.3199999999999998</v>
      </c>
      <c r="P242" s="2">
        <v>45169</v>
      </c>
      <c r="Q242">
        <v>3.72</v>
      </c>
      <c r="R242" s="2">
        <v>44903</v>
      </c>
      <c r="S242">
        <v>1.45</v>
      </c>
      <c r="U242" s="2">
        <v>45288</v>
      </c>
      <c r="V242">
        <v>3.2741199999999999</v>
      </c>
      <c r="W242">
        <v>3.145</v>
      </c>
      <c r="X242">
        <v>3.157</v>
      </c>
      <c r="Y242">
        <v>3.17</v>
      </c>
      <c r="Z242">
        <v>3.085</v>
      </c>
      <c r="AA242">
        <v>3.08</v>
      </c>
      <c r="AB242">
        <v>3.06</v>
      </c>
      <c r="AC242">
        <v>3.33</v>
      </c>
    </row>
    <row r="243" spans="2:30">
      <c r="B243" s="2">
        <v>45167</v>
      </c>
      <c r="C243">
        <v>3.75</v>
      </c>
      <c r="D243" s="2">
        <v>45168</v>
      </c>
      <c r="E243">
        <v>3.74</v>
      </c>
      <c r="F243" s="2">
        <v>45168</v>
      </c>
      <c r="G243">
        <v>3.78</v>
      </c>
      <c r="H243" s="2">
        <v>45169</v>
      </c>
      <c r="I243">
        <v>3.8570000000000002</v>
      </c>
      <c r="J243" s="2">
        <v>45168</v>
      </c>
      <c r="K243">
        <v>3.82</v>
      </c>
      <c r="L243" s="2">
        <v>45169</v>
      </c>
      <c r="M243">
        <v>3.74</v>
      </c>
      <c r="N243" s="2">
        <v>44509</v>
      </c>
      <c r="O243">
        <v>2.2000000000000002</v>
      </c>
      <c r="P243" s="2">
        <v>45168</v>
      </c>
      <c r="Q243">
        <v>3.76</v>
      </c>
      <c r="R243" s="2">
        <v>44902</v>
      </c>
      <c r="S243">
        <v>1.4790000000000001</v>
      </c>
      <c r="U243" s="2">
        <v>45287</v>
      </c>
      <c r="V243">
        <v>3.2869999999999999</v>
      </c>
      <c r="W243">
        <v>3.2149999999999999</v>
      </c>
      <c r="X243">
        <v>3.2149999999999999</v>
      </c>
      <c r="Y243">
        <v>3.2519999999999998</v>
      </c>
      <c r="Z243">
        <v>3.1619999999999999</v>
      </c>
      <c r="AA243">
        <v>3.14</v>
      </c>
      <c r="AC243">
        <v>3.33</v>
      </c>
    </row>
    <row r="244" spans="2:30">
      <c r="B244" s="2">
        <v>45166</v>
      </c>
      <c r="C244">
        <v>3.798</v>
      </c>
      <c r="D244" s="2">
        <v>45167</v>
      </c>
      <c r="E244">
        <v>3.74</v>
      </c>
      <c r="F244" s="2">
        <v>45167</v>
      </c>
      <c r="G244">
        <v>3.7850000000000001</v>
      </c>
      <c r="H244" s="2">
        <v>45168</v>
      </c>
      <c r="I244">
        <v>3.8109999999999999</v>
      </c>
      <c r="J244" s="2">
        <v>45167</v>
      </c>
      <c r="K244">
        <v>3.8149999999999999</v>
      </c>
      <c r="L244" s="2">
        <v>45168</v>
      </c>
      <c r="M244">
        <v>3.78</v>
      </c>
      <c r="N244" s="2">
        <v>44503</v>
      </c>
      <c r="O244">
        <v>2.4169999999999998</v>
      </c>
      <c r="P244" s="2">
        <v>45167</v>
      </c>
      <c r="Q244">
        <v>3.77</v>
      </c>
      <c r="R244" s="2">
        <v>44901</v>
      </c>
      <c r="S244">
        <v>1.43</v>
      </c>
      <c r="U244" s="2">
        <v>45286</v>
      </c>
      <c r="W244">
        <v>3.2149999999999999</v>
      </c>
      <c r="X244">
        <v>3.22</v>
      </c>
      <c r="Y244">
        <v>3.26</v>
      </c>
      <c r="Z244">
        <v>3.2149999999999999</v>
      </c>
      <c r="AA244">
        <v>3.198</v>
      </c>
      <c r="AB244">
        <v>3.17</v>
      </c>
      <c r="AC244">
        <v>3.3450000000000002</v>
      </c>
      <c r="AD244">
        <v>0.84</v>
      </c>
    </row>
    <row r="245" spans="2:30">
      <c r="B245" s="2">
        <v>45163</v>
      </c>
      <c r="C245">
        <v>3.7890000000000001</v>
      </c>
      <c r="D245" s="2">
        <v>45166</v>
      </c>
      <c r="E245">
        <v>3.762</v>
      </c>
      <c r="F245" s="2">
        <v>45166</v>
      </c>
      <c r="G245">
        <v>3.8</v>
      </c>
      <c r="H245" s="2">
        <v>45167</v>
      </c>
      <c r="I245">
        <v>3.847</v>
      </c>
      <c r="J245" s="2">
        <v>45166</v>
      </c>
      <c r="K245">
        <v>3.84</v>
      </c>
      <c r="L245" s="2">
        <v>45167</v>
      </c>
      <c r="M245">
        <v>3.78</v>
      </c>
      <c r="N245" s="2">
        <v>44498</v>
      </c>
      <c r="O245">
        <v>2.3951199999999999</v>
      </c>
      <c r="P245" s="2">
        <v>45166</v>
      </c>
      <c r="Q245">
        <v>3.81</v>
      </c>
      <c r="R245" s="2">
        <v>44900</v>
      </c>
      <c r="S245">
        <v>1.5049999999999999</v>
      </c>
      <c r="U245" s="2">
        <v>45285</v>
      </c>
    </row>
    <row r="246" spans="2:30">
      <c r="B246" s="2">
        <v>45162</v>
      </c>
      <c r="C246">
        <v>3.76</v>
      </c>
      <c r="D246" s="2">
        <v>45163</v>
      </c>
      <c r="E246">
        <v>3.77</v>
      </c>
      <c r="F246" s="2">
        <v>45163</v>
      </c>
      <c r="G246">
        <v>3.8370000000000002</v>
      </c>
      <c r="H246" s="2">
        <v>45166</v>
      </c>
      <c r="I246">
        <v>3.8719999999999999</v>
      </c>
      <c r="J246" s="2">
        <v>45163</v>
      </c>
      <c r="K246">
        <v>3.86</v>
      </c>
      <c r="L246" s="2">
        <v>45166</v>
      </c>
      <c r="M246">
        <v>3.8</v>
      </c>
      <c r="N246" s="2">
        <v>44491</v>
      </c>
      <c r="O246">
        <v>2.2639999999999998</v>
      </c>
      <c r="P246" s="2">
        <v>45163</v>
      </c>
      <c r="Q246">
        <v>3.7970000000000002</v>
      </c>
      <c r="R246" s="2">
        <v>44897</v>
      </c>
      <c r="S246">
        <v>1.49</v>
      </c>
      <c r="U246" s="2">
        <v>45284</v>
      </c>
    </row>
    <row r="247" spans="2:30">
      <c r="B247" s="2">
        <v>45161</v>
      </c>
      <c r="C247">
        <v>3.74</v>
      </c>
      <c r="D247" s="2">
        <v>45162</v>
      </c>
      <c r="E247">
        <v>3.7549999999999999</v>
      </c>
      <c r="F247" s="2">
        <v>45162</v>
      </c>
      <c r="G247">
        <v>3.8450000000000002</v>
      </c>
      <c r="H247" s="2">
        <v>45163</v>
      </c>
      <c r="I247">
        <v>3.93</v>
      </c>
      <c r="J247" s="2">
        <v>45162</v>
      </c>
      <c r="K247">
        <v>3.8319999999999999</v>
      </c>
      <c r="L247" s="2">
        <v>45163</v>
      </c>
      <c r="M247">
        <v>3.8370000000000002</v>
      </c>
      <c r="N247" s="2">
        <v>44484</v>
      </c>
      <c r="O247">
        <v>2.27</v>
      </c>
      <c r="P247" s="2">
        <v>45162</v>
      </c>
      <c r="Q247">
        <v>3.7650000000000001</v>
      </c>
      <c r="R247" s="2">
        <v>44896</v>
      </c>
      <c r="S247">
        <v>1.581</v>
      </c>
      <c r="U247" s="2">
        <v>45283</v>
      </c>
    </row>
    <row r="248" spans="2:30">
      <c r="B248" s="2">
        <v>45160</v>
      </c>
      <c r="C248">
        <v>3.7829999999999999</v>
      </c>
      <c r="D248" s="2">
        <v>45161</v>
      </c>
      <c r="E248">
        <v>3.77</v>
      </c>
      <c r="F248" s="2">
        <v>45161</v>
      </c>
      <c r="G248">
        <v>3.83</v>
      </c>
      <c r="H248" s="2">
        <v>45162</v>
      </c>
      <c r="I248">
        <v>3.875</v>
      </c>
      <c r="J248" s="2">
        <v>45161</v>
      </c>
      <c r="K248">
        <v>3.87</v>
      </c>
      <c r="L248" s="2">
        <v>45162</v>
      </c>
      <c r="M248">
        <v>3.77</v>
      </c>
      <c r="N248" s="2">
        <v>44481</v>
      </c>
      <c r="O248">
        <v>2.32517</v>
      </c>
      <c r="P248" s="2">
        <v>45161</v>
      </c>
      <c r="Q248">
        <v>3.7869999999999999</v>
      </c>
      <c r="R248" s="2">
        <v>44895</v>
      </c>
      <c r="S248">
        <v>1.61</v>
      </c>
      <c r="U248" s="2">
        <v>45282</v>
      </c>
      <c r="V248">
        <v>3.3</v>
      </c>
      <c r="W248">
        <v>3.2250000000000001</v>
      </c>
      <c r="X248">
        <v>3.2450000000000001</v>
      </c>
      <c r="Y248">
        <v>3.29</v>
      </c>
      <c r="Z248">
        <v>3.14</v>
      </c>
      <c r="AA248">
        <v>3.21</v>
      </c>
      <c r="AB248">
        <v>3.19</v>
      </c>
      <c r="AC248">
        <v>3.347</v>
      </c>
      <c r="AD248">
        <v>0.83499999999999996</v>
      </c>
    </row>
    <row r="249" spans="2:30">
      <c r="B249" s="2">
        <v>45159</v>
      </c>
      <c r="C249">
        <v>3.7970000000000002</v>
      </c>
      <c r="D249" s="2">
        <v>45160</v>
      </c>
      <c r="E249">
        <v>3.79</v>
      </c>
      <c r="F249" s="2">
        <v>45160</v>
      </c>
      <c r="G249">
        <v>3.8650000000000002</v>
      </c>
      <c r="H249" s="2">
        <v>45161</v>
      </c>
      <c r="I249">
        <v>3.9249999999999998</v>
      </c>
      <c r="J249" s="2">
        <v>45160</v>
      </c>
      <c r="K249">
        <v>3.9169999999999998</v>
      </c>
      <c r="L249" s="2">
        <v>45161</v>
      </c>
      <c r="M249">
        <v>3.8149999999999999</v>
      </c>
      <c r="N249" s="2">
        <v>44476</v>
      </c>
      <c r="O249">
        <v>2.2000000000000002</v>
      </c>
      <c r="P249" s="2">
        <v>45160</v>
      </c>
      <c r="Q249">
        <v>3.8</v>
      </c>
      <c r="R249" s="2">
        <v>44894</v>
      </c>
      <c r="S249">
        <v>1.621</v>
      </c>
      <c r="U249" s="2">
        <v>45281</v>
      </c>
      <c r="V249">
        <v>3.3010000000000002</v>
      </c>
      <c r="W249">
        <v>3.2349999999999999</v>
      </c>
      <c r="X249">
        <v>3.2549999999999999</v>
      </c>
      <c r="Y249">
        <v>3.29</v>
      </c>
      <c r="Z249">
        <v>3.2519999999999998</v>
      </c>
      <c r="AA249">
        <v>3.22</v>
      </c>
      <c r="AB249">
        <v>3.2050000000000001</v>
      </c>
      <c r="AC249">
        <v>3.34</v>
      </c>
    </row>
    <row r="250" spans="2:30">
      <c r="B250" s="2">
        <v>45156</v>
      </c>
      <c r="C250">
        <v>3.7050000000000001</v>
      </c>
      <c r="D250" s="2">
        <v>45159</v>
      </c>
      <c r="E250">
        <v>3.79</v>
      </c>
      <c r="F250" s="2">
        <v>45159</v>
      </c>
      <c r="G250">
        <v>3.84</v>
      </c>
      <c r="H250" s="2">
        <v>45160</v>
      </c>
      <c r="I250">
        <v>3.99</v>
      </c>
      <c r="J250" s="2">
        <v>45159</v>
      </c>
      <c r="K250">
        <v>3.8559999999999999</v>
      </c>
      <c r="L250" s="2">
        <v>45160</v>
      </c>
      <c r="M250">
        <v>3.855</v>
      </c>
      <c r="N250" s="2">
        <v>44475</v>
      </c>
      <c r="O250">
        <v>2.2003499999999998</v>
      </c>
      <c r="P250" s="2">
        <v>45159</v>
      </c>
      <c r="Q250">
        <v>3.78</v>
      </c>
      <c r="R250" s="2">
        <v>44893</v>
      </c>
      <c r="S250">
        <v>1.56</v>
      </c>
      <c r="U250" s="2">
        <v>45280</v>
      </c>
      <c r="V250">
        <v>3.3170000000000002</v>
      </c>
      <c r="W250">
        <v>3.22</v>
      </c>
      <c r="X250">
        <v>3.25</v>
      </c>
      <c r="Y250">
        <v>3.2719999999999998</v>
      </c>
      <c r="Z250">
        <v>3.2320000000000002</v>
      </c>
      <c r="AA250">
        <v>3.202</v>
      </c>
      <c r="AB250">
        <v>3.17</v>
      </c>
      <c r="AC250">
        <v>3.347</v>
      </c>
    </row>
    <row r="251" spans="2:30">
      <c r="B251" s="2">
        <v>45155</v>
      </c>
      <c r="C251">
        <v>3.782</v>
      </c>
      <c r="D251" s="2">
        <v>45156</v>
      </c>
      <c r="E251">
        <v>3.73</v>
      </c>
      <c r="F251" s="2">
        <v>45156</v>
      </c>
      <c r="G251">
        <v>3.7970000000000002</v>
      </c>
      <c r="H251" s="2">
        <v>45159</v>
      </c>
      <c r="I251">
        <v>3.93682</v>
      </c>
      <c r="J251" s="2">
        <v>45156</v>
      </c>
      <c r="K251">
        <v>3.8250000000000002</v>
      </c>
      <c r="L251" s="2">
        <v>45159</v>
      </c>
      <c r="M251">
        <v>3.7749999999999999</v>
      </c>
      <c r="N251" s="2">
        <v>44474</v>
      </c>
      <c r="O251">
        <v>2.1503000000000001</v>
      </c>
      <c r="P251" s="2">
        <v>45156</v>
      </c>
      <c r="Q251">
        <v>3.782</v>
      </c>
      <c r="R251" s="2">
        <v>44890</v>
      </c>
      <c r="S251">
        <v>1.552</v>
      </c>
      <c r="U251" s="2">
        <v>45279</v>
      </c>
      <c r="V251">
        <v>3.3650000000000002</v>
      </c>
      <c r="W251">
        <v>3.2719999999999998</v>
      </c>
      <c r="X251">
        <v>3.3</v>
      </c>
      <c r="Y251">
        <v>3.302</v>
      </c>
      <c r="Z251">
        <v>3.242</v>
      </c>
      <c r="AA251">
        <v>3.2250000000000001</v>
      </c>
      <c r="AC251">
        <v>3.383</v>
      </c>
    </row>
    <row r="252" spans="2:30">
      <c r="B252" s="2">
        <v>45154</v>
      </c>
      <c r="C252">
        <v>3.7320000000000002</v>
      </c>
      <c r="D252" s="2">
        <v>45155</v>
      </c>
      <c r="E252">
        <v>3.7829999999999999</v>
      </c>
      <c r="F252" s="2">
        <v>45155</v>
      </c>
      <c r="G252">
        <v>3.8450000000000002</v>
      </c>
      <c r="H252" s="2">
        <v>45156</v>
      </c>
      <c r="I252">
        <v>3.87</v>
      </c>
      <c r="J252" s="2">
        <v>45155</v>
      </c>
      <c r="K252">
        <v>3.8849999999999998</v>
      </c>
      <c r="L252" s="2">
        <v>45156</v>
      </c>
      <c r="M252">
        <v>3.7839999999999998</v>
      </c>
      <c r="N252" s="2">
        <v>44469</v>
      </c>
      <c r="O252">
        <v>2.1779999999999999</v>
      </c>
      <c r="P252" s="2">
        <v>45155</v>
      </c>
      <c r="Q252">
        <v>3.7850000000000001</v>
      </c>
      <c r="R252" s="2">
        <v>44883</v>
      </c>
      <c r="S252">
        <v>1.61</v>
      </c>
      <c r="U252" s="2">
        <v>45278</v>
      </c>
      <c r="V252">
        <v>3.3679999999999999</v>
      </c>
      <c r="W252">
        <v>3.2749999999999999</v>
      </c>
      <c r="X252">
        <v>3.3050000000000002</v>
      </c>
      <c r="Y252">
        <v>3.34</v>
      </c>
      <c r="Z252">
        <v>3.2570000000000001</v>
      </c>
      <c r="AA252">
        <v>3.25</v>
      </c>
      <c r="AC252">
        <v>3.3650000000000002</v>
      </c>
    </row>
    <row r="253" spans="2:30">
      <c r="B253" s="2">
        <v>45152</v>
      </c>
      <c r="C253">
        <v>3.74</v>
      </c>
      <c r="D253" s="2">
        <v>45154</v>
      </c>
      <c r="E253">
        <v>3.7</v>
      </c>
      <c r="F253" s="2">
        <v>45154</v>
      </c>
      <c r="G253">
        <v>3.7679999999999998</v>
      </c>
      <c r="H253" s="2">
        <v>45155</v>
      </c>
      <c r="I253">
        <v>3.9649999999999999</v>
      </c>
      <c r="J253" s="2">
        <v>45154</v>
      </c>
      <c r="K253">
        <v>3.8170000000000002</v>
      </c>
      <c r="L253" s="2">
        <v>45155</v>
      </c>
      <c r="M253">
        <v>3.8370000000000002</v>
      </c>
      <c r="N253" s="2">
        <v>44466</v>
      </c>
      <c r="O253">
        <v>2.1179999999999999</v>
      </c>
      <c r="P253" s="2">
        <v>45154</v>
      </c>
      <c r="Q253">
        <v>3.7269999999999999</v>
      </c>
      <c r="R253" s="2">
        <v>44882</v>
      </c>
      <c r="S253">
        <v>1.661</v>
      </c>
      <c r="U253" s="2">
        <v>45277</v>
      </c>
    </row>
    <row r="254" spans="2:30">
      <c r="B254" s="2">
        <v>45149</v>
      </c>
      <c r="C254">
        <v>3.72</v>
      </c>
      <c r="D254" s="2">
        <v>45152</v>
      </c>
      <c r="E254">
        <v>3.75</v>
      </c>
      <c r="F254" s="2">
        <v>45152</v>
      </c>
      <c r="G254">
        <v>3.7949999999999999</v>
      </c>
      <c r="H254" s="2">
        <v>45154</v>
      </c>
      <c r="I254">
        <v>3.85005</v>
      </c>
      <c r="J254" s="2">
        <v>45152</v>
      </c>
      <c r="K254">
        <v>3.8250000000000002</v>
      </c>
      <c r="L254" s="2">
        <v>45154</v>
      </c>
      <c r="M254">
        <v>3.762</v>
      </c>
      <c r="N254" s="2">
        <v>44456</v>
      </c>
      <c r="O254">
        <v>2.04</v>
      </c>
      <c r="P254" s="2">
        <v>45152</v>
      </c>
      <c r="Q254">
        <v>3.77</v>
      </c>
      <c r="R254" s="2">
        <v>44876</v>
      </c>
      <c r="S254">
        <v>1.71</v>
      </c>
      <c r="U254" s="2">
        <v>45276</v>
      </c>
    </row>
    <row r="255" spans="2:30">
      <c r="B255" s="2">
        <v>45148</v>
      </c>
      <c r="C255">
        <v>3.72</v>
      </c>
      <c r="D255" s="2">
        <v>45149</v>
      </c>
      <c r="E255">
        <v>3.6949999999999998</v>
      </c>
      <c r="F255" s="2">
        <v>45149</v>
      </c>
      <c r="G255">
        <v>3.7570000000000001</v>
      </c>
      <c r="H255" s="2">
        <v>45152</v>
      </c>
      <c r="I255">
        <v>3.9</v>
      </c>
      <c r="J255" s="2">
        <v>45149</v>
      </c>
      <c r="K255">
        <v>3.7650000000000001</v>
      </c>
      <c r="L255" s="2">
        <v>45152</v>
      </c>
      <c r="M255">
        <v>3.7669999999999999</v>
      </c>
      <c r="N255" s="2">
        <v>44449</v>
      </c>
      <c r="O255">
        <v>1.99</v>
      </c>
      <c r="P255" s="2">
        <v>45149</v>
      </c>
      <c r="Q255">
        <v>3.7320000000000002</v>
      </c>
      <c r="R255" s="2">
        <v>44874</v>
      </c>
      <c r="S255">
        <v>1.96</v>
      </c>
      <c r="U255" s="2">
        <v>45275</v>
      </c>
      <c r="V255">
        <v>3.4014799999999998</v>
      </c>
      <c r="W255">
        <v>3.2749999999999999</v>
      </c>
      <c r="X255">
        <v>3.3050000000000002</v>
      </c>
      <c r="Y255">
        <v>3.3450000000000002</v>
      </c>
      <c r="Z255">
        <v>3.2850000000000001</v>
      </c>
      <c r="AA255">
        <v>3.2109999999999999</v>
      </c>
      <c r="AC255">
        <v>3.375</v>
      </c>
    </row>
    <row r="256" spans="2:30">
      <c r="B256" s="2">
        <v>45147</v>
      </c>
      <c r="C256">
        <v>3.7050000000000001</v>
      </c>
      <c r="D256" s="2">
        <v>45148</v>
      </c>
      <c r="E256">
        <v>3.6850000000000001</v>
      </c>
      <c r="F256" s="2">
        <v>45148</v>
      </c>
      <c r="G256">
        <v>3.7050000000000001</v>
      </c>
      <c r="H256" s="2">
        <v>45149</v>
      </c>
      <c r="I256">
        <v>3.8170000000000002</v>
      </c>
      <c r="J256" s="2">
        <v>45148</v>
      </c>
      <c r="K256">
        <v>3.7149999999999999</v>
      </c>
      <c r="L256" s="2">
        <v>45149</v>
      </c>
      <c r="M256">
        <v>3.722</v>
      </c>
      <c r="N256" s="2">
        <v>44448</v>
      </c>
      <c r="O256">
        <v>1.9750000000000001</v>
      </c>
      <c r="P256" s="2">
        <v>45148</v>
      </c>
      <c r="Q256">
        <v>3.75</v>
      </c>
      <c r="R256" s="2">
        <v>44873</v>
      </c>
      <c r="S256">
        <v>1.96</v>
      </c>
      <c r="U256" s="2">
        <v>45274</v>
      </c>
      <c r="V256">
        <v>3.34</v>
      </c>
      <c r="W256">
        <v>3.46</v>
      </c>
      <c r="X256">
        <v>3.26</v>
      </c>
      <c r="Y256">
        <v>3.3</v>
      </c>
      <c r="Z256">
        <v>3.2050000000000001</v>
      </c>
      <c r="AA256">
        <v>3.2330000000000001</v>
      </c>
      <c r="AB256">
        <v>3.1702599999999999</v>
      </c>
      <c r="AC256">
        <v>3.3370000000000002</v>
      </c>
      <c r="AD256">
        <v>0.86499999999999999</v>
      </c>
    </row>
    <row r="257" spans="2:30">
      <c r="B257" s="2">
        <v>45146</v>
      </c>
      <c r="C257">
        <v>3.7080000000000002</v>
      </c>
      <c r="D257" s="2">
        <v>45147</v>
      </c>
      <c r="E257">
        <v>3.6640000000000001</v>
      </c>
      <c r="F257" s="2">
        <v>45147</v>
      </c>
      <c r="G257">
        <v>3.6949999999999998</v>
      </c>
      <c r="H257" s="2">
        <v>45148</v>
      </c>
      <c r="I257">
        <v>3.7850000000000001</v>
      </c>
      <c r="J257" s="2">
        <v>45147</v>
      </c>
      <c r="K257">
        <v>3.6949999999999998</v>
      </c>
      <c r="L257" s="2">
        <v>45148</v>
      </c>
      <c r="M257">
        <v>3.6850000000000001</v>
      </c>
      <c r="N257" s="2">
        <v>44442</v>
      </c>
      <c r="O257">
        <v>1.96</v>
      </c>
      <c r="P257" s="2">
        <v>45147</v>
      </c>
      <c r="Q257">
        <v>3.7</v>
      </c>
      <c r="R257" s="2">
        <v>44872</v>
      </c>
      <c r="S257">
        <v>1.9390000000000001</v>
      </c>
      <c r="U257" s="2">
        <v>45273</v>
      </c>
      <c r="V257">
        <v>3.5270000000000001</v>
      </c>
      <c r="W257">
        <v>3.45</v>
      </c>
      <c r="X257">
        <v>3.492</v>
      </c>
      <c r="Y257">
        <v>3.5249999999999999</v>
      </c>
      <c r="Z257">
        <v>3.395</v>
      </c>
      <c r="AA257">
        <v>3.3769999999999998</v>
      </c>
      <c r="AC257">
        <v>3.5550000000000002</v>
      </c>
    </row>
    <row r="258" spans="2:30">
      <c r="B258" s="2">
        <v>45145</v>
      </c>
      <c r="C258">
        <v>3.73</v>
      </c>
      <c r="D258" s="2">
        <v>45146</v>
      </c>
      <c r="E258">
        <v>3.6469999999999998</v>
      </c>
      <c r="F258" s="2">
        <v>45146</v>
      </c>
      <c r="G258">
        <v>3.6722800000000002</v>
      </c>
      <c r="H258" s="2">
        <v>45147</v>
      </c>
      <c r="I258">
        <v>3.78</v>
      </c>
      <c r="J258" s="2">
        <v>45146</v>
      </c>
      <c r="K258">
        <v>3.7</v>
      </c>
      <c r="L258" s="2">
        <v>45147</v>
      </c>
      <c r="M258">
        <v>3.6869999999999998</v>
      </c>
      <c r="N258" s="2">
        <v>44440</v>
      </c>
      <c r="O258">
        <v>1.952</v>
      </c>
      <c r="P258" s="2">
        <v>45146</v>
      </c>
      <c r="Q258">
        <v>3.6949999999999998</v>
      </c>
      <c r="R258" s="2">
        <v>44869</v>
      </c>
      <c r="S258">
        <v>1.92</v>
      </c>
      <c r="U258" s="2">
        <v>45272</v>
      </c>
      <c r="V258">
        <v>3.5190000000000001</v>
      </c>
      <c r="W258">
        <v>3.4470000000000001</v>
      </c>
      <c r="X258">
        <v>3.49</v>
      </c>
      <c r="Y258">
        <v>3.53</v>
      </c>
      <c r="Z258">
        <v>3.4460000000000002</v>
      </c>
      <c r="AA258">
        <v>3.43</v>
      </c>
      <c r="AB258">
        <v>3.4009999999999998</v>
      </c>
      <c r="AC258">
        <v>3.5470000000000002</v>
      </c>
      <c r="AD258">
        <v>1</v>
      </c>
    </row>
    <row r="259" spans="2:30">
      <c r="B259" s="2">
        <v>45142</v>
      </c>
      <c r="C259">
        <v>3.74</v>
      </c>
      <c r="D259" s="2">
        <v>45145</v>
      </c>
      <c r="E259">
        <v>3.7229999999999999</v>
      </c>
      <c r="F259" s="2">
        <v>45145</v>
      </c>
      <c r="G259">
        <v>3.722</v>
      </c>
      <c r="H259" s="2">
        <v>45146</v>
      </c>
      <c r="I259">
        <v>3.74</v>
      </c>
      <c r="J259" s="2">
        <v>45145</v>
      </c>
      <c r="K259">
        <v>3.7650000000000001</v>
      </c>
      <c r="L259" s="2">
        <v>45146</v>
      </c>
      <c r="M259">
        <v>3.702</v>
      </c>
      <c r="N259" s="2">
        <v>44439</v>
      </c>
      <c r="O259">
        <v>1.94</v>
      </c>
      <c r="P259" s="2">
        <v>45145</v>
      </c>
      <c r="Q259">
        <v>3.71</v>
      </c>
      <c r="R259" s="2">
        <v>44862</v>
      </c>
      <c r="S259">
        <v>1.895</v>
      </c>
      <c r="U259" s="2">
        <v>45271</v>
      </c>
      <c r="V259">
        <v>3.5550000000000002</v>
      </c>
      <c r="W259">
        <v>3.48489</v>
      </c>
      <c r="X259">
        <v>3.5049999999999999</v>
      </c>
      <c r="Y259">
        <v>3.56</v>
      </c>
      <c r="Z259">
        <v>3.4950000000000001</v>
      </c>
      <c r="AA259">
        <v>3.4350000000000001</v>
      </c>
      <c r="AB259">
        <v>3.4249999999999998</v>
      </c>
      <c r="AC259">
        <v>3.5819999999999999</v>
      </c>
      <c r="AD259">
        <v>0.97</v>
      </c>
    </row>
    <row r="260" spans="2:30">
      <c r="B260" s="2">
        <v>45141</v>
      </c>
      <c r="C260">
        <v>3.7370000000000001</v>
      </c>
      <c r="D260" s="2">
        <v>45142</v>
      </c>
      <c r="E260">
        <v>3.7349999999999999</v>
      </c>
      <c r="F260" s="2">
        <v>45142</v>
      </c>
      <c r="G260">
        <v>3.76</v>
      </c>
      <c r="H260" s="2">
        <v>45145</v>
      </c>
      <c r="I260">
        <v>3.8740000000000001</v>
      </c>
      <c r="J260" s="2">
        <v>45142</v>
      </c>
      <c r="K260">
        <v>3.8</v>
      </c>
      <c r="L260" s="2">
        <v>45145</v>
      </c>
      <c r="M260">
        <v>3.7250000000000001</v>
      </c>
      <c r="N260" s="2">
        <v>44427</v>
      </c>
      <c r="O260">
        <v>1.8901300000000001</v>
      </c>
      <c r="P260" s="2">
        <v>45142</v>
      </c>
      <c r="Q260">
        <v>3.7749999999999999</v>
      </c>
      <c r="R260" s="2">
        <v>44861</v>
      </c>
      <c r="S260">
        <v>1.95</v>
      </c>
      <c r="U260" s="2">
        <v>45270</v>
      </c>
    </row>
    <row r="261" spans="2:30">
      <c r="B261" s="2">
        <v>45140</v>
      </c>
      <c r="C261">
        <v>3.7410000000000001</v>
      </c>
      <c r="D261" s="2">
        <v>45141</v>
      </c>
      <c r="E261">
        <v>3.7130000000000001</v>
      </c>
      <c r="F261" s="2">
        <v>45141</v>
      </c>
      <c r="G261">
        <v>3.698</v>
      </c>
      <c r="H261" s="2">
        <v>45142</v>
      </c>
      <c r="I261">
        <v>3.8719999999999999</v>
      </c>
      <c r="J261" s="2">
        <v>45141</v>
      </c>
      <c r="K261">
        <v>3.7650000000000001</v>
      </c>
      <c r="L261" s="2">
        <v>45142</v>
      </c>
      <c r="M261">
        <v>3.7519999999999998</v>
      </c>
      <c r="N261" s="2">
        <v>44425</v>
      </c>
      <c r="O261">
        <v>1.96</v>
      </c>
      <c r="P261" s="2">
        <v>45141</v>
      </c>
      <c r="Q261">
        <v>3.75</v>
      </c>
      <c r="R261" s="2">
        <v>44860</v>
      </c>
      <c r="S261">
        <v>1.98</v>
      </c>
      <c r="U261" s="2">
        <v>45269</v>
      </c>
    </row>
    <row r="262" spans="2:30">
      <c r="B262" s="2">
        <v>45139</v>
      </c>
      <c r="C262">
        <v>3.69</v>
      </c>
      <c r="D262" s="2">
        <v>45140</v>
      </c>
      <c r="E262">
        <v>3.6909999999999998</v>
      </c>
      <c r="F262" s="2">
        <v>45140</v>
      </c>
      <c r="G262">
        <v>3.7130000000000001</v>
      </c>
      <c r="H262" s="2">
        <v>45141</v>
      </c>
      <c r="I262">
        <v>3.7650000000000001</v>
      </c>
      <c r="J262" s="2">
        <v>45140</v>
      </c>
      <c r="K262">
        <v>3.7050000000000001</v>
      </c>
      <c r="L262" s="2">
        <v>45141</v>
      </c>
      <c r="M262">
        <v>3.681</v>
      </c>
      <c r="N262" s="2">
        <v>44421</v>
      </c>
      <c r="O262">
        <v>1.96</v>
      </c>
      <c r="P262" s="2">
        <v>45140</v>
      </c>
      <c r="Q262">
        <v>3.71</v>
      </c>
      <c r="R262" s="2">
        <v>44859</v>
      </c>
      <c r="S262">
        <v>2.1909999999999998</v>
      </c>
      <c r="U262" s="2">
        <v>45268</v>
      </c>
      <c r="V262">
        <v>3.5339999999999998</v>
      </c>
      <c r="W262">
        <v>3.4550000000000001</v>
      </c>
      <c r="X262">
        <v>3.46</v>
      </c>
      <c r="Y262">
        <v>3.5350000000000001</v>
      </c>
      <c r="Z262">
        <v>3.452</v>
      </c>
      <c r="AA262">
        <v>3.4209999999999998</v>
      </c>
      <c r="AB262">
        <v>3.4249999999999998</v>
      </c>
      <c r="AC262">
        <v>3.53</v>
      </c>
      <c r="AD262">
        <v>0.97</v>
      </c>
    </row>
    <row r="263" spans="2:30">
      <c r="B263" s="2">
        <v>45138</v>
      </c>
      <c r="C263">
        <v>3.72085</v>
      </c>
      <c r="D263" s="2">
        <v>45139</v>
      </c>
      <c r="E263">
        <v>3.645</v>
      </c>
      <c r="F263" s="2">
        <v>45139</v>
      </c>
      <c r="G263">
        <v>3.6720000000000002</v>
      </c>
      <c r="H263" s="2">
        <v>45140</v>
      </c>
      <c r="I263">
        <v>3.7869999999999999</v>
      </c>
      <c r="J263" s="2">
        <v>45139</v>
      </c>
      <c r="K263">
        <v>3.6749999999999998</v>
      </c>
      <c r="L263" s="2">
        <v>45140</v>
      </c>
      <c r="M263">
        <v>3.67</v>
      </c>
      <c r="N263" s="2">
        <v>44417</v>
      </c>
      <c r="O263">
        <v>1.9550000000000001</v>
      </c>
      <c r="P263" s="2">
        <v>45139</v>
      </c>
      <c r="Q263">
        <v>3.7050000000000001</v>
      </c>
      <c r="R263" s="2">
        <v>44855</v>
      </c>
      <c r="S263">
        <v>2.3090000000000002</v>
      </c>
      <c r="U263" s="2">
        <v>45267</v>
      </c>
      <c r="V263">
        <v>3.5466099999999998</v>
      </c>
      <c r="W263">
        <v>3.5049999999999999</v>
      </c>
      <c r="X263">
        <v>3.5179999999999998</v>
      </c>
      <c r="Y263">
        <v>3.53</v>
      </c>
      <c r="Z263">
        <v>3.4769999999999999</v>
      </c>
      <c r="AA263">
        <v>3.4620000000000002</v>
      </c>
      <c r="AC263">
        <v>3.5619999999999998</v>
      </c>
      <c r="AD263">
        <v>1.01</v>
      </c>
    </row>
    <row r="264" spans="2:30">
      <c r="B264" s="2">
        <v>45135</v>
      </c>
      <c r="C264">
        <v>3.6749999999999998</v>
      </c>
      <c r="D264" s="2">
        <v>45138</v>
      </c>
      <c r="E264">
        <v>3.6850000000000001</v>
      </c>
      <c r="F264" s="2">
        <v>45138</v>
      </c>
      <c r="G264">
        <v>3.7</v>
      </c>
      <c r="H264" s="2">
        <v>45139</v>
      </c>
      <c r="I264">
        <v>3.64</v>
      </c>
      <c r="J264" s="2">
        <v>45138</v>
      </c>
      <c r="K264">
        <v>3.6920000000000002</v>
      </c>
      <c r="L264" s="2">
        <v>45139</v>
      </c>
      <c r="M264">
        <v>3.6419999999999999</v>
      </c>
      <c r="N264" s="2">
        <v>44411</v>
      </c>
      <c r="O264">
        <v>1.88002</v>
      </c>
      <c r="P264" s="2">
        <v>45138</v>
      </c>
      <c r="Q264">
        <v>3.72</v>
      </c>
      <c r="R264" s="2">
        <v>44854</v>
      </c>
      <c r="S264">
        <v>2.0249999999999999</v>
      </c>
      <c r="U264" s="2">
        <v>45266</v>
      </c>
      <c r="V264">
        <v>3.4872800000000002</v>
      </c>
      <c r="W264">
        <v>3.47</v>
      </c>
      <c r="X264">
        <v>3.4849999999999999</v>
      </c>
      <c r="Y264">
        <v>3.53</v>
      </c>
      <c r="Z264">
        <v>3.4470000000000001</v>
      </c>
      <c r="AA264">
        <v>3.4220000000000002</v>
      </c>
      <c r="AC264">
        <v>3.5270000000000001</v>
      </c>
      <c r="AD264">
        <v>0.97</v>
      </c>
    </row>
    <row r="265" spans="2:30">
      <c r="B265" s="2">
        <v>45134</v>
      </c>
      <c r="C265">
        <v>3.294</v>
      </c>
      <c r="D265" s="2">
        <v>45135</v>
      </c>
      <c r="E265">
        <v>3.6320000000000001</v>
      </c>
      <c r="F265" s="2">
        <v>45135</v>
      </c>
      <c r="G265">
        <v>3.6469999999999998</v>
      </c>
      <c r="H265" s="2">
        <v>45138</v>
      </c>
      <c r="I265">
        <v>3.7570000000000001</v>
      </c>
      <c r="J265" s="2">
        <v>45135</v>
      </c>
      <c r="K265">
        <v>3.6949999999999998</v>
      </c>
      <c r="L265" s="2">
        <v>45138</v>
      </c>
      <c r="M265">
        <v>3.6819999999999999</v>
      </c>
      <c r="N265" s="2">
        <v>44407</v>
      </c>
      <c r="O265">
        <v>1.905</v>
      </c>
      <c r="P265" s="2">
        <v>45135</v>
      </c>
      <c r="Q265">
        <v>3.7</v>
      </c>
      <c r="R265" s="2">
        <v>44852</v>
      </c>
      <c r="S265">
        <v>2.0150000000000001</v>
      </c>
      <c r="U265" s="2">
        <v>45265</v>
      </c>
      <c r="V265">
        <v>3.57</v>
      </c>
      <c r="W265">
        <v>3.532</v>
      </c>
      <c r="X265">
        <v>3.5070000000000001</v>
      </c>
      <c r="Y265">
        <v>3.625</v>
      </c>
      <c r="Z265">
        <v>3.4249999999999998</v>
      </c>
      <c r="AA265">
        <v>3.4119999999999999</v>
      </c>
      <c r="AC265">
        <v>3.54</v>
      </c>
    </row>
    <row r="266" spans="2:30">
      <c r="B266" s="2">
        <v>45133</v>
      </c>
      <c r="C266">
        <v>3.6840000000000002</v>
      </c>
      <c r="D266" s="2">
        <v>45134</v>
      </c>
      <c r="E266">
        <v>3.5870000000000002</v>
      </c>
      <c r="F266" s="2">
        <v>45134</v>
      </c>
      <c r="G266">
        <v>3.59</v>
      </c>
      <c r="H266" s="2">
        <v>45135</v>
      </c>
      <c r="I266">
        <v>3.7269999999999999</v>
      </c>
      <c r="J266" s="2">
        <v>45134</v>
      </c>
      <c r="K266">
        <v>3.6301800000000002</v>
      </c>
      <c r="L266" s="2">
        <v>45135</v>
      </c>
      <c r="M266">
        <v>3.6869999999999998</v>
      </c>
      <c r="N266" s="2">
        <v>44406</v>
      </c>
      <c r="O266">
        <v>1.9751099999999999</v>
      </c>
      <c r="P266" s="2">
        <v>45134</v>
      </c>
      <c r="Q266">
        <v>3.6469999999999998</v>
      </c>
      <c r="R266" s="2">
        <v>44851</v>
      </c>
      <c r="S266">
        <v>2.0339999999999998</v>
      </c>
      <c r="U266" s="2">
        <v>45264</v>
      </c>
      <c r="V266">
        <v>3.57091</v>
      </c>
      <c r="W266">
        <v>3.532</v>
      </c>
      <c r="X266">
        <v>3.5619999999999998</v>
      </c>
      <c r="Y266">
        <v>3.625</v>
      </c>
      <c r="Z266">
        <v>3.5249999999999999</v>
      </c>
      <c r="AA266">
        <v>3.5049999999999999</v>
      </c>
      <c r="AB266">
        <v>3.4369999999999998</v>
      </c>
      <c r="AC266">
        <v>3.5649999999999999</v>
      </c>
      <c r="AD266">
        <v>1.02</v>
      </c>
    </row>
    <row r="267" spans="2:30">
      <c r="B267" s="2">
        <v>45132</v>
      </c>
      <c r="C267">
        <v>3.694</v>
      </c>
      <c r="D267" s="2">
        <v>45133</v>
      </c>
      <c r="E267">
        <v>3.63</v>
      </c>
      <c r="F267" s="2">
        <v>45133</v>
      </c>
      <c r="G267">
        <v>3.61</v>
      </c>
      <c r="H267" s="2">
        <v>45134</v>
      </c>
      <c r="I267">
        <v>3.63</v>
      </c>
      <c r="J267" s="2">
        <v>45133</v>
      </c>
      <c r="K267">
        <v>3.63551</v>
      </c>
      <c r="L267" s="2">
        <v>45134</v>
      </c>
      <c r="M267">
        <v>3.6320000000000001</v>
      </c>
      <c r="N267" s="2">
        <v>44403</v>
      </c>
      <c r="O267">
        <v>1.9359999999999999</v>
      </c>
      <c r="P267" s="2">
        <v>45133</v>
      </c>
      <c r="Q267">
        <v>3.69</v>
      </c>
      <c r="R267" s="2">
        <v>44848</v>
      </c>
      <c r="S267">
        <v>1.98</v>
      </c>
      <c r="U267" s="2">
        <v>45263</v>
      </c>
    </row>
    <row r="268" spans="2:30">
      <c r="B268" s="2">
        <v>45128</v>
      </c>
      <c r="C268">
        <v>3.6819999999999999</v>
      </c>
      <c r="D268" s="2">
        <v>45132</v>
      </c>
      <c r="E268">
        <v>3.609</v>
      </c>
      <c r="F268" s="2">
        <v>45132</v>
      </c>
      <c r="G268">
        <v>3.6320000000000001</v>
      </c>
      <c r="H268" s="2">
        <v>45133</v>
      </c>
      <c r="I268">
        <v>3.65</v>
      </c>
      <c r="J268" s="2">
        <v>45132</v>
      </c>
      <c r="K268">
        <v>3.637</v>
      </c>
      <c r="L268" s="2">
        <v>45133</v>
      </c>
      <c r="M268">
        <v>3.6259999999999999</v>
      </c>
      <c r="N268" s="2">
        <v>44397</v>
      </c>
      <c r="O268">
        <v>1.9102300000000001</v>
      </c>
      <c r="P268" s="2">
        <v>45132</v>
      </c>
      <c r="Q268">
        <v>3.6920000000000002</v>
      </c>
      <c r="R268" s="2">
        <v>44847</v>
      </c>
      <c r="S268">
        <v>1.9770000000000001</v>
      </c>
      <c r="U268" s="2">
        <v>45262</v>
      </c>
    </row>
    <row r="269" spans="2:30">
      <c r="B269" s="2">
        <v>45127</v>
      </c>
      <c r="C269">
        <v>3.625</v>
      </c>
      <c r="D269" s="2">
        <v>45131</v>
      </c>
      <c r="E269">
        <v>3.61</v>
      </c>
      <c r="F269" s="2">
        <v>45131</v>
      </c>
      <c r="G269">
        <v>3.6070000000000002</v>
      </c>
      <c r="H269" s="2">
        <v>45132</v>
      </c>
      <c r="I269">
        <v>3.6819999999999999</v>
      </c>
      <c r="J269" s="2">
        <v>45131</v>
      </c>
      <c r="K269">
        <v>3.597</v>
      </c>
      <c r="L269" s="2">
        <v>45132</v>
      </c>
      <c r="M269">
        <v>3.56</v>
      </c>
      <c r="N269" s="2">
        <v>44390</v>
      </c>
      <c r="O269">
        <v>2.0902400000000001</v>
      </c>
      <c r="P269" s="2">
        <v>45131</v>
      </c>
      <c r="Q269">
        <v>3.657</v>
      </c>
      <c r="R269" s="2">
        <v>44846</v>
      </c>
      <c r="S269">
        <v>1.92</v>
      </c>
      <c r="U269" s="2">
        <v>45261</v>
      </c>
      <c r="V269">
        <v>3.6150000000000002</v>
      </c>
      <c r="W269">
        <v>3.58</v>
      </c>
      <c r="X269">
        <v>3.62</v>
      </c>
      <c r="Y269">
        <v>3.6760000000000002</v>
      </c>
      <c r="Z269">
        <v>3.5670000000000002</v>
      </c>
      <c r="AA269">
        <v>3.56</v>
      </c>
      <c r="AC269">
        <v>3.6070000000000002</v>
      </c>
    </row>
    <row r="270" spans="2:30">
      <c r="B270" s="2">
        <v>45126</v>
      </c>
      <c r="C270">
        <v>3.6269999999999998</v>
      </c>
      <c r="D270" s="2">
        <v>45128</v>
      </c>
      <c r="E270">
        <v>3.6120000000000001</v>
      </c>
      <c r="F270" s="2">
        <v>45128</v>
      </c>
      <c r="G270">
        <v>3.605</v>
      </c>
      <c r="H270" s="2">
        <v>45131</v>
      </c>
      <c r="I270">
        <v>3.6379999999999999</v>
      </c>
      <c r="J270" s="2">
        <v>45128</v>
      </c>
      <c r="K270">
        <v>3.605</v>
      </c>
      <c r="L270" s="2">
        <v>45131</v>
      </c>
      <c r="M270">
        <v>3.5939999999999999</v>
      </c>
      <c r="N270" s="2">
        <v>44389</v>
      </c>
      <c r="O270">
        <v>2.06</v>
      </c>
      <c r="P270" s="2">
        <v>45128</v>
      </c>
      <c r="Q270">
        <v>3.68</v>
      </c>
      <c r="R270" s="2">
        <v>44845</v>
      </c>
      <c r="S270">
        <v>2.0550000000000002</v>
      </c>
      <c r="U270" s="2">
        <v>45260</v>
      </c>
      <c r="V270">
        <v>3.605</v>
      </c>
      <c r="W270">
        <v>3.58</v>
      </c>
      <c r="X270">
        <v>3.62</v>
      </c>
      <c r="Y270">
        <v>3.6429999999999998</v>
      </c>
      <c r="Z270">
        <v>3.5950000000000002</v>
      </c>
      <c r="AA270">
        <v>3.5602999999999998</v>
      </c>
      <c r="AB270">
        <v>3.5019999999999998</v>
      </c>
      <c r="AC270">
        <v>3.62</v>
      </c>
    </row>
    <row r="271" spans="2:30">
      <c r="B271" s="2">
        <v>45125</v>
      </c>
      <c r="C271">
        <v>3.6499199999999998</v>
      </c>
      <c r="D271" s="2">
        <v>45127</v>
      </c>
      <c r="E271">
        <v>3.5819999999999999</v>
      </c>
      <c r="F271" s="2">
        <v>45127</v>
      </c>
      <c r="G271">
        <v>3.585</v>
      </c>
      <c r="H271" s="2">
        <v>45128</v>
      </c>
      <c r="I271">
        <v>3.6669999999999998</v>
      </c>
      <c r="J271" s="2">
        <v>45127</v>
      </c>
      <c r="K271">
        <v>3.5950000000000002</v>
      </c>
      <c r="L271" s="2">
        <v>45128</v>
      </c>
      <c r="M271">
        <v>3.6</v>
      </c>
      <c r="N271" s="2">
        <v>44386</v>
      </c>
      <c r="O271">
        <v>2.06</v>
      </c>
      <c r="P271" s="2">
        <v>45127</v>
      </c>
      <c r="Q271">
        <v>3.62</v>
      </c>
      <c r="R271" s="2">
        <v>44841</v>
      </c>
      <c r="S271">
        <v>1.98</v>
      </c>
      <c r="U271" s="2">
        <v>45259</v>
      </c>
      <c r="V271">
        <v>3.6030000000000002</v>
      </c>
      <c r="W271">
        <v>3.5550000000000002</v>
      </c>
      <c r="X271">
        <v>3.5870000000000002</v>
      </c>
      <c r="Y271">
        <v>3.6562800000000002</v>
      </c>
      <c r="Z271">
        <v>3.55</v>
      </c>
      <c r="AA271">
        <v>3.5150000000000001</v>
      </c>
      <c r="AC271">
        <v>3.605</v>
      </c>
      <c r="AD271">
        <v>0.99399999999999999</v>
      </c>
    </row>
    <row r="272" spans="2:30">
      <c r="B272" s="2">
        <v>45124</v>
      </c>
      <c r="C272">
        <v>3.665</v>
      </c>
      <c r="D272" s="2">
        <v>45126</v>
      </c>
      <c r="E272">
        <v>3.54</v>
      </c>
      <c r="F272" s="2">
        <v>45126</v>
      </c>
      <c r="G272">
        <v>3.54</v>
      </c>
      <c r="H272" s="2">
        <v>45127</v>
      </c>
      <c r="I272">
        <v>3.6120000000000001</v>
      </c>
      <c r="J272" s="2">
        <v>45126</v>
      </c>
      <c r="K272">
        <v>3.5950000000000002</v>
      </c>
      <c r="L272" s="2">
        <v>45127</v>
      </c>
      <c r="M272">
        <v>3.6040800000000002</v>
      </c>
      <c r="N272" s="2">
        <v>44382</v>
      </c>
      <c r="O272">
        <v>2.1150000000000002</v>
      </c>
      <c r="P272" s="2">
        <v>45126</v>
      </c>
      <c r="Q272">
        <v>3.605</v>
      </c>
      <c r="R272" s="2">
        <v>44840</v>
      </c>
      <c r="S272">
        <v>1.8340000000000001</v>
      </c>
      <c r="U272" s="2">
        <v>45258</v>
      </c>
      <c r="V272">
        <v>3.6749999999999998</v>
      </c>
      <c r="W272">
        <v>3.6469999999999998</v>
      </c>
      <c r="X272">
        <v>3.67</v>
      </c>
      <c r="Y272">
        <v>3.73</v>
      </c>
      <c r="Z272">
        <v>3.645</v>
      </c>
      <c r="AA272">
        <v>3.6120000000000001</v>
      </c>
      <c r="AC272">
        <v>3.69</v>
      </c>
    </row>
    <row r="273" spans="2:30">
      <c r="B273" s="2">
        <v>45121</v>
      </c>
      <c r="C273">
        <v>3.6436299999999999</v>
      </c>
      <c r="D273" s="2">
        <v>45125</v>
      </c>
      <c r="E273">
        <v>3.61</v>
      </c>
      <c r="F273" s="2">
        <v>45125</v>
      </c>
      <c r="G273">
        <v>3.597</v>
      </c>
      <c r="H273" s="2">
        <v>45126</v>
      </c>
      <c r="I273">
        <v>3.5750000000000002</v>
      </c>
      <c r="J273" s="2">
        <v>45125</v>
      </c>
      <c r="K273">
        <v>3.6377199999999998</v>
      </c>
      <c r="L273" s="2">
        <v>45126</v>
      </c>
      <c r="M273">
        <v>3.5880000000000001</v>
      </c>
      <c r="N273" s="2">
        <v>44378</v>
      </c>
      <c r="O273">
        <v>2.14005</v>
      </c>
      <c r="P273" s="2">
        <v>45125</v>
      </c>
      <c r="Q273">
        <v>3.64</v>
      </c>
      <c r="R273" s="2">
        <v>44839</v>
      </c>
      <c r="S273">
        <v>1.607</v>
      </c>
      <c r="U273" s="2">
        <v>45257</v>
      </c>
      <c r="V273">
        <v>3.7349999999999999</v>
      </c>
      <c r="W273">
        <v>3.6829999999999998</v>
      </c>
      <c r="X273">
        <v>3.7149999999999999</v>
      </c>
      <c r="Y273">
        <v>3.76</v>
      </c>
      <c r="Z273">
        <v>3.7050000000000001</v>
      </c>
      <c r="AA273">
        <v>3.67</v>
      </c>
      <c r="AB273">
        <v>3.55</v>
      </c>
      <c r="AC273">
        <v>3.7250000000000001</v>
      </c>
    </row>
    <row r="274" spans="2:30">
      <c r="B274" s="2">
        <v>45120</v>
      </c>
      <c r="C274">
        <v>3.6549999999999998</v>
      </c>
      <c r="D274" s="2">
        <v>45124</v>
      </c>
      <c r="E274">
        <v>3.605</v>
      </c>
      <c r="F274" s="2">
        <v>45124</v>
      </c>
      <c r="G274">
        <v>3.62</v>
      </c>
      <c r="H274" s="2">
        <v>45125</v>
      </c>
      <c r="I274">
        <v>3.637</v>
      </c>
      <c r="J274" s="2">
        <v>45124</v>
      </c>
      <c r="K274">
        <v>3.63</v>
      </c>
      <c r="L274" s="2">
        <v>45125</v>
      </c>
      <c r="M274">
        <v>3.6105700000000001</v>
      </c>
      <c r="N274" s="2">
        <v>44377</v>
      </c>
      <c r="O274">
        <v>2.165</v>
      </c>
      <c r="P274" s="2">
        <v>45124</v>
      </c>
      <c r="Q274">
        <v>3.66</v>
      </c>
      <c r="R274" s="2">
        <v>44834</v>
      </c>
      <c r="S274">
        <v>1.819</v>
      </c>
      <c r="U274" s="2">
        <v>45256</v>
      </c>
    </row>
    <row r="275" spans="2:30">
      <c r="B275" s="2">
        <v>45119</v>
      </c>
      <c r="C275">
        <v>3.77</v>
      </c>
      <c r="D275" s="2">
        <v>45121</v>
      </c>
      <c r="E275">
        <v>3.6219999999999999</v>
      </c>
      <c r="F275" s="2">
        <v>45121</v>
      </c>
      <c r="G275">
        <v>3.62</v>
      </c>
      <c r="H275" s="2">
        <v>45124</v>
      </c>
      <c r="I275">
        <v>3.66</v>
      </c>
      <c r="J275" s="2">
        <v>45121</v>
      </c>
      <c r="K275">
        <v>3.6520000000000001</v>
      </c>
      <c r="L275" s="2">
        <v>45124</v>
      </c>
      <c r="M275">
        <v>3.6030000000000002</v>
      </c>
      <c r="N275" s="2">
        <v>44358</v>
      </c>
      <c r="O275">
        <v>2.165</v>
      </c>
      <c r="P275" s="2">
        <v>45121</v>
      </c>
      <c r="Q275">
        <v>3.665</v>
      </c>
      <c r="R275" s="2">
        <v>44832</v>
      </c>
      <c r="S275">
        <v>2.089</v>
      </c>
      <c r="U275" s="2">
        <v>45255</v>
      </c>
    </row>
    <row r="276" spans="2:30">
      <c r="B276" s="2">
        <v>45118</v>
      </c>
      <c r="C276">
        <v>3.75</v>
      </c>
      <c r="D276" s="2">
        <v>45120</v>
      </c>
      <c r="E276">
        <v>3.605</v>
      </c>
      <c r="F276" s="2">
        <v>45120</v>
      </c>
      <c r="G276">
        <v>3.6070000000000002</v>
      </c>
      <c r="H276" s="2">
        <v>45121</v>
      </c>
      <c r="I276">
        <v>3.69</v>
      </c>
      <c r="J276" s="2">
        <v>45120</v>
      </c>
      <c r="K276">
        <v>3.63</v>
      </c>
      <c r="L276" s="2">
        <v>45121</v>
      </c>
      <c r="M276">
        <v>3.5070000000000001</v>
      </c>
      <c r="N276" s="2">
        <v>44357</v>
      </c>
      <c r="O276">
        <v>2.1500900000000001</v>
      </c>
      <c r="P276" s="2">
        <v>45120</v>
      </c>
      <c r="Q276">
        <v>3.6850000000000001</v>
      </c>
      <c r="R276" s="2">
        <v>44831</v>
      </c>
      <c r="S276">
        <v>1.93</v>
      </c>
      <c r="U276" s="2">
        <v>45254</v>
      </c>
      <c r="V276">
        <v>3.7320000000000002</v>
      </c>
      <c r="W276">
        <v>3.677</v>
      </c>
      <c r="X276">
        <v>3.7549999999999999</v>
      </c>
      <c r="Y276">
        <v>3.7850000000000001</v>
      </c>
      <c r="Z276">
        <v>3.8050000000000002</v>
      </c>
      <c r="AA276">
        <v>3.67</v>
      </c>
      <c r="AC276">
        <v>3.7250000000000001</v>
      </c>
      <c r="AD276">
        <v>1.07</v>
      </c>
    </row>
    <row r="277" spans="2:30">
      <c r="B277" s="2">
        <v>45117</v>
      </c>
      <c r="C277">
        <v>3.85</v>
      </c>
      <c r="D277" s="2">
        <v>45119</v>
      </c>
      <c r="E277">
        <v>3.7069999999999999</v>
      </c>
      <c r="F277" s="2">
        <v>45119</v>
      </c>
      <c r="G277">
        <v>3.722</v>
      </c>
      <c r="H277" s="2">
        <v>45120</v>
      </c>
      <c r="I277">
        <v>3.6549999999999998</v>
      </c>
      <c r="J277" s="2">
        <v>45119</v>
      </c>
      <c r="K277">
        <v>3.69</v>
      </c>
      <c r="L277" s="2">
        <v>45120</v>
      </c>
      <c r="M277">
        <v>3.6</v>
      </c>
      <c r="N277" s="2">
        <v>44350</v>
      </c>
      <c r="O277">
        <v>2.2501699999999998</v>
      </c>
      <c r="P277" s="2">
        <v>45119</v>
      </c>
      <c r="Q277">
        <v>3.76</v>
      </c>
      <c r="R277" s="2">
        <v>44830</v>
      </c>
      <c r="S277">
        <v>2.0150000000000001</v>
      </c>
      <c r="U277" s="2">
        <v>45253</v>
      </c>
      <c r="V277">
        <v>3.7050000000000001</v>
      </c>
      <c r="W277">
        <v>3.645</v>
      </c>
      <c r="X277">
        <v>3.6760000000000002</v>
      </c>
      <c r="Y277">
        <v>3.7229999999999999</v>
      </c>
      <c r="Z277">
        <v>3.645</v>
      </c>
      <c r="AA277">
        <v>3.6019999999999999</v>
      </c>
      <c r="AC277">
        <v>3.7</v>
      </c>
      <c r="AD277">
        <v>1.0369999999999999</v>
      </c>
    </row>
    <row r="278" spans="2:30">
      <c r="B278" s="2">
        <v>45114</v>
      </c>
      <c r="C278">
        <v>3.78</v>
      </c>
      <c r="D278" s="2">
        <v>45118</v>
      </c>
      <c r="E278">
        <v>3.72</v>
      </c>
      <c r="F278" s="2">
        <v>45118</v>
      </c>
      <c r="G278">
        <v>3.722</v>
      </c>
      <c r="H278" s="2">
        <v>45119</v>
      </c>
      <c r="I278">
        <v>3.7570000000000001</v>
      </c>
      <c r="J278" s="2">
        <v>45118</v>
      </c>
      <c r="K278">
        <v>3.6949999999999998</v>
      </c>
      <c r="L278" s="2">
        <v>45119</v>
      </c>
      <c r="M278">
        <v>3.637</v>
      </c>
      <c r="N278" s="2">
        <v>44348</v>
      </c>
      <c r="O278">
        <v>2.2749999999999999</v>
      </c>
      <c r="P278" s="2">
        <v>45118</v>
      </c>
      <c r="Q278">
        <v>3.7549999999999999</v>
      </c>
      <c r="R278" s="2">
        <v>44827</v>
      </c>
      <c r="S278">
        <v>1.865</v>
      </c>
      <c r="U278" s="2">
        <v>45252</v>
      </c>
      <c r="V278">
        <v>3.7149999999999999</v>
      </c>
      <c r="W278">
        <v>3.665</v>
      </c>
      <c r="X278">
        <v>3.702</v>
      </c>
      <c r="Y278">
        <v>3.76</v>
      </c>
      <c r="Z278">
        <v>3.68</v>
      </c>
      <c r="AA278">
        <v>3.6015000000000001</v>
      </c>
      <c r="AC278">
        <v>3.6850000000000001</v>
      </c>
      <c r="AD278">
        <v>1.0389999999999999</v>
      </c>
    </row>
    <row r="279" spans="2:30">
      <c r="B279" s="2">
        <v>45113</v>
      </c>
      <c r="C279">
        <v>3.7309999999999999</v>
      </c>
      <c r="D279" s="2">
        <v>45117</v>
      </c>
      <c r="E279">
        <v>3.7970000000000002</v>
      </c>
      <c r="F279" s="2">
        <v>45117</v>
      </c>
      <c r="G279">
        <v>3.8170000000000002</v>
      </c>
      <c r="H279" s="2">
        <v>45118</v>
      </c>
      <c r="I279">
        <v>3.7570000000000001</v>
      </c>
      <c r="J279" s="2">
        <v>45117</v>
      </c>
      <c r="K279">
        <v>3.79</v>
      </c>
      <c r="L279" s="2">
        <v>45118</v>
      </c>
      <c r="M279">
        <v>3.63</v>
      </c>
      <c r="N279" s="2">
        <v>44330</v>
      </c>
      <c r="O279">
        <v>2.23</v>
      </c>
      <c r="P279" s="2">
        <v>45117</v>
      </c>
      <c r="Q279">
        <v>3.81</v>
      </c>
      <c r="R279" s="2">
        <v>44824</v>
      </c>
      <c r="S279">
        <v>1.681</v>
      </c>
      <c r="U279" s="2">
        <v>45251</v>
      </c>
      <c r="V279">
        <v>3.6850000000000001</v>
      </c>
      <c r="W279">
        <v>3.6379999999999999</v>
      </c>
      <c r="X279">
        <v>3.6619999999999999</v>
      </c>
      <c r="Y279">
        <v>3.7069999999999999</v>
      </c>
      <c r="Z279">
        <v>3.63</v>
      </c>
      <c r="AA279">
        <v>3.5870000000000002</v>
      </c>
      <c r="AC279">
        <v>3.6850000000000001</v>
      </c>
    </row>
    <row r="280" spans="2:30">
      <c r="B280" s="2">
        <v>45112</v>
      </c>
      <c r="C280">
        <v>3.665</v>
      </c>
      <c r="D280" s="2">
        <v>45114</v>
      </c>
      <c r="E280">
        <v>3.7349999999999999</v>
      </c>
      <c r="F280" s="2">
        <v>45114</v>
      </c>
      <c r="G280">
        <v>3.6819999999999999</v>
      </c>
      <c r="H280" s="2">
        <v>45117</v>
      </c>
      <c r="I280">
        <v>3.8341099999999999</v>
      </c>
      <c r="J280" s="2">
        <v>45114</v>
      </c>
      <c r="K280">
        <v>3.7</v>
      </c>
      <c r="L280" s="2">
        <v>45117</v>
      </c>
      <c r="M280">
        <v>3.79</v>
      </c>
      <c r="N280" s="2">
        <v>44322</v>
      </c>
      <c r="O280">
        <v>2.2100900000000001</v>
      </c>
      <c r="P280" s="2">
        <v>45114</v>
      </c>
      <c r="Q280">
        <v>3.79</v>
      </c>
      <c r="R280" s="2">
        <v>44817</v>
      </c>
      <c r="S280">
        <v>1.593</v>
      </c>
      <c r="U280" s="2">
        <v>45250</v>
      </c>
      <c r="V280">
        <v>3.7250000000000001</v>
      </c>
      <c r="W280">
        <v>3.65</v>
      </c>
      <c r="X280">
        <v>3.6869999999999998</v>
      </c>
      <c r="Y280">
        <v>3.76</v>
      </c>
      <c r="Z280">
        <v>3.66</v>
      </c>
      <c r="AA280">
        <v>3.63</v>
      </c>
      <c r="AC280">
        <v>3.6970000000000001</v>
      </c>
      <c r="AD280">
        <v>1.075</v>
      </c>
    </row>
    <row r="281" spans="2:30">
      <c r="B281" s="2">
        <v>45111</v>
      </c>
      <c r="C281">
        <v>3.6749999999999998</v>
      </c>
      <c r="D281" s="2">
        <v>45113</v>
      </c>
      <c r="E281">
        <v>3.6720000000000002</v>
      </c>
      <c r="F281" s="2">
        <v>45113</v>
      </c>
      <c r="G281">
        <v>3.6850000000000001</v>
      </c>
      <c r="H281" s="2">
        <v>45114</v>
      </c>
      <c r="I281">
        <v>3.76</v>
      </c>
      <c r="J281" s="2">
        <v>45113</v>
      </c>
      <c r="K281">
        <v>3.6680000000000001</v>
      </c>
      <c r="L281" s="2">
        <v>45114</v>
      </c>
      <c r="M281">
        <v>3.7</v>
      </c>
      <c r="N281" s="2">
        <v>44306</v>
      </c>
      <c r="O281">
        <v>2.0503</v>
      </c>
      <c r="P281" s="2">
        <v>45113</v>
      </c>
      <c r="Q281">
        <v>3.7320000000000002</v>
      </c>
      <c r="R281" s="2">
        <v>44812</v>
      </c>
      <c r="S281">
        <v>1.59</v>
      </c>
      <c r="U281" s="2">
        <v>45249</v>
      </c>
    </row>
    <row r="282" spans="2:30">
      <c r="B282" s="2">
        <v>45110</v>
      </c>
      <c r="C282">
        <v>3.665</v>
      </c>
      <c r="D282" s="2">
        <v>45112</v>
      </c>
      <c r="E282">
        <v>3.61</v>
      </c>
      <c r="F282" s="2">
        <v>45112</v>
      </c>
      <c r="G282">
        <v>3.6070000000000002</v>
      </c>
      <c r="H282" s="2">
        <v>45113</v>
      </c>
      <c r="I282">
        <v>3.673</v>
      </c>
      <c r="J282" s="2">
        <v>45112</v>
      </c>
      <c r="K282">
        <v>3.62</v>
      </c>
      <c r="L282" s="2">
        <v>45113</v>
      </c>
      <c r="M282">
        <v>3.6419999999999999</v>
      </c>
      <c r="N282" s="2">
        <v>44305</v>
      </c>
      <c r="O282">
        <v>2.1</v>
      </c>
      <c r="P282" s="2">
        <v>45112</v>
      </c>
      <c r="Q282">
        <v>3.68</v>
      </c>
      <c r="R282" s="2">
        <v>44806</v>
      </c>
      <c r="S282">
        <v>1.6719999999999999</v>
      </c>
      <c r="U282" s="2">
        <v>45248</v>
      </c>
    </row>
    <row r="283" spans="2:30">
      <c r="B283" s="2">
        <v>45107</v>
      </c>
      <c r="C283">
        <v>3.6949999999999998</v>
      </c>
      <c r="D283" s="2">
        <v>45111</v>
      </c>
      <c r="E283">
        <v>3.6640000000000001</v>
      </c>
      <c r="F283" s="2">
        <v>45111</v>
      </c>
      <c r="G283">
        <v>3.6</v>
      </c>
      <c r="H283" s="2">
        <v>45112</v>
      </c>
      <c r="I283">
        <v>3.65</v>
      </c>
      <c r="J283" s="2">
        <v>45111</v>
      </c>
      <c r="K283">
        <v>3.625</v>
      </c>
      <c r="L283" s="2">
        <v>45112</v>
      </c>
      <c r="M283">
        <v>3.6160000000000001</v>
      </c>
      <c r="N283" s="2">
        <v>44302</v>
      </c>
      <c r="O283">
        <v>2.1</v>
      </c>
      <c r="P283" s="2">
        <v>45111</v>
      </c>
      <c r="Q283">
        <v>3.68</v>
      </c>
      <c r="R283" s="2">
        <v>44805</v>
      </c>
      <c r="S283">
        <v>1.66</v>
      </c>
      <c r="U283" s="2">
        <v>45247</v>
      </c>
      <c r="V283">
        <v>3.7250000000000001</v>
      </c>
      <c r="W283">
        <v>3.6819999999999999</v>
      </c>
      <c r="X283">
        <v>3.72</v>
      </c>
      <c r="Y283">
        <v>3.8050000000000002</v>
      </c>
      <c r="Z283">
        <v>3.71</v>
      </c>
      <c r="AA283">
        <v>3.67</v>
      </c>
      <c r="AC283">
        <v>3.71</v>
      </c>
    </row>
    <row r="284" spans="2:30">
      <c r="B284" s="2">
        <v>45106</v>
      </c>
      <c r="C284">
        <v>3.669</v>
      </c>
      <c r="D284" s="2">
        <v>45110</v>
      </c>
      <c r="E284">
        <v>3.61</v>
      </c>
      <c r="F284" s="2">
        <v>45110</v>
      </c>
      <c r="G284">
        <v>3.6023299999999998</v>
      </c>
      <c r="H284" s="2">
        <v>45111</v>
      </c>
      <c r="I284">
        <v>3.63</v>
      </c>
      <c r="J284" s="2">
        <v>45110</v>
      </c>
      <c r="K284">
        <v>3.5819999999999999</v>
      </c>
      <c r="L284" s="2">
        <v>45111</v>
      </c>
      <c r="M284">
        <v>3.6320000000000001</v>
      </c>
      <c r="N284" s="2">
        <v>44287</v>
      </c>
      <c r="O284">
        <v>2.1501700000000001</v>
      </c>
      <c r="P284" s="2">
        <v>45110</v>
      </c>
      <c r="Q284">
        <v>3.7170000000000001</v>
      </c>
      <c r="R284" s="2">
        <v>44803</v>
      </c>
      <c r="S284">
        <v>1.583</v>
      </c>
      <c r="U284" s="2">
        <v>45246</v>
      </c>
      <c r="V284">
        <v>3.7559999999999998</v>
      </c>
      <c r="W284">
        <v>3.74</v>
      </c>
      <c r="X284">
        <v>3.71</v>
      </c>
      <c r="Y284">
        <v>3.984</v>
      </c>
      <c r="Z284">
        <v>3.665</v>
      </c>
      <c r="AA284">
        <v>3.6219999999999999</v>
      </c>
      <c r="AC284">
        <v>3.75</v>
      </c>
      <c r="AD284">
        <v>1.06</v>
      </c>
    </row>
    <row r="285" spans="2:30">
      <c r="B285" s="2">
        <v>45105</v>
      </c>
      <c r="C285">
        <v>3.653</v>
      </c>
      <c r="D285" s="2">
        <v>45107</v>
      </c>
      <c r="E285">
        <v>3.5950000000000002</v>
      </c>
      <c r="F285" s="2">
        <v>45107</v>
      </c>
      <c r="G285">
        <v>3.673</v>
      </c>
      <c r="H285" s="2">
        <v>45110</v>
      </c>
      <c r="I285">
        <v>3.5920000000000001</v>
      </c>
      <c r="J285" s="2">
        <v>45107</v>
      </c>
      <c r="K285">
        <v>3.7189999999999999</v>
      </c>
      <c r="L285" s="2">
        <v>45110</v>
      </c>
      <c r="M285">
        <v>3.6002299999999998</v>
      </c>
      <c r="N285" s="2">
        <v>44286</v>
      </c>
      <c r="O285">
        <v>2.1501899999999998</v>
      </c>
      <c r="P285" s="2">
        <v>45107</v>
      </c>
      <c r="Q285">
        <v>3.6720000000000002</v>
      </c>
      <c r="R285" s="2">
        <v>44802</v>
      </c>
      <c r="S285">
        <v>1.577</v>
      </c>
      <c r="U285" s="2">
        <v>45245</v>
      </c>
      <c r="V285">
        <v>3.7850000000000001</v>
      </c>
      <c r="W285">
        <v>3.7570000000000001</v>
      </c>
      <c r="X285">
        <v>3.76</v>
      </c>
      <c r="Y285">
        <v>3.8330000000000002</v>
      </c>
      <c r="Z285">
        <v>3.6949999999999998</v>
      </c>
      <c r="AA285">
        <v>3.6469999999999998</v>
      </c>
      <c r="AC285">
        <v>3.7869999999999999</v>
      </c>
      <c r="AD285">
        <v>1.0740000000000001</v>
      </c>
    </row>
    <row r="286" spans="2:30">
      <c r="B286" s="2">
        <v>45104</v>
      </c>
      <c r="C286">
        <v>3.62</v>
      </c>
      <c r="D286" s="2">
        <v>45106</v>
      </c>
      <c r="E286">
        <v>3.5950000000000002</v>
      </c>
      <c r="F286" s="2">
        <v>45106</v>
      </c>
      <c r="G286">
        <v>3.5979999999999999</v>
      </c>
      <c r="H286" s="2">
        <v>45107</v>
      </c>
      <c r="I286">
        <v>3.6970000000000001</v>
      </c>
      <c r="J286" s="2">
        <v>45106</v>
      </c>
      <c r="K286">
        <v>3.66</v>
      </c>
      <c r="L286" s="2">
        <v>45107</v>
      </c>
      <c r="M286">
        <v>3.694</v>
      </c>
      <c r="N286" s="2">
        <v>44267</v>
      </c>
      <c r="O286">
        <v>2.1552600000000002</v>
      </c>
      <c r="P286" s="2">
        <v>45106</v>
      </c>
      <c r="Q286">
        <v>3.645</v>
      </c>
      <c r="R286" s="2">
        <v>44798</v>
      </c>
      <c r="S286">
        <v>1.5</v>
      </c>
      <c r="U286" s="2">
        <v>45244</v>
      </c>
      <c r="W286">
        <v>3.855</v>
      </c>
      <c r="X286">
        <v>3.9020000000000001</v>
      </c>
      <c r="Y286">
        <v>3.9769999999999999</v>
      </c>
      <c r="Z286">
        <v>3.8370000000000002</v>
      </c>
      <c r="AA286">
        <v>3.7970000000000002</v>
      </c>
      <c r="AB286">
        <v>3.76</v>
      </c>
      <c r="AC286">
        <v>3.875</v>
      </c>
    </row>
    <row r="287" spans="2:30">
      <c r="B287" s="2">
        <v>45103</v>
      </c>
      <c r="C287">
        <v>3.629</v>
      </c>
      <c r="D287" s="2">
        <v>45105</v>
      </c>
      <c r="E287">
        <v>3.56</v>
      </c>
      <c r="F287" s="2">
        <v>45105</v>
      </c>
      <c r="G287">
        <v>3.5720000000000001</v>
      </c>
      <c r="H287" s="2">
        <v>45106</v>
      </c>
      <c r="I287">
        <v>3.63</v>
      </c>
      <c r="J287" s="2">
        <v>45105</v>
      </c>
      <c r="K287">
        <v>3.6469999999999998</v>
      </c>
      <c r="L287" s="2">
        <v>45106</v>
      </c>
      <c r="M287">
        <v>3.6619999999999999</v>
      </c>
      <c r="N287" s="2">
        <v>44258</v>
      </c>
      <c r="O287">
        <v>2.0939999999999999</v>
      </c>
      <c r="P287" s="2">
        <v>45105</v>
      </c>
      <c r="Q287">
        <v>3.6469999999999998</v>
      </c>
      <c r="R287" s="2">
        <v>44796</v>
      </c>
      <c r="S287">
        <v>1.468</v>
      </c>
      <c r="U287" s="2">
        <v>45243</v>
      </c>
      <c r="V287">
        <v>3.895</v>
      </c>
      <c r="W287">
        <v>3.8719999999999999</v>
      </c>
      <c r="X287">
        <v>3.93</v>
      </c>
      <c r="Y287">
        <v>4</v>
      </c>
      <c r="Z287">
        <v>3.8250000000000002</v>
      </c>
      <c r="AA287">
        <v>3.7850000000000001</v>
      </c>
      <c r="AB287">
        <v>3.73</v>
      </c>
      <c r="AC287">
        <v>3.887</v>
      </c>
    </row>
    <row r="288" spans="2:30">
      <c r="B288" s="2">
        <v>45100</v>
      </c>
      <c r="C288">
        <v>3.665</v>
      </c>
      <c r="D288" s="2">
        <v>45104</v>
      </c>
      <c r="E288">
        <v>3.5390000000000001</v>
      </c>
      <c r="F288" s="2">
        <v>45104</v>
      </c>
      <c r="G288">
        <v>3.5649999999999999</v>
      </c>
      <c r="H288" s="2">
        <v>45105</v>
      </c>
      <c r="I288">
        <v>3.605</v>
      </c>
      <c r="J288" s="2">
        <v>45104</v>
      </c>
      <c r="K288">
        <v>3.6219999999999999</v>
      </c>
      <c r="L288" s="2">
        <v>45105</v>
      </c>
      <c r="M288">
        <v>3.657</v>
      </c>
      <c r="N288" s="2">
        <v>44253</v>
      </c>
      <c r="O288">
        <v>2.0569999999999999</v>
      </c>
      <c r="P288" s="2">
        <v>45104</v>
      </c>
      <c r="Q288">
        <v>3.6419999999999999</v>
      </c>
      <c r="R288" s="2">
        <v>44795</v>
      </c>
      <c r="S288">
        <v>1.468</v>
      </c>
      <c r="U288" s="2">
        <v>45242</v>
      </c>
    </row>
    <row r="289" spans="2:30">
      <c r="B289" s="2">
        <v>45099</v>
      </c>
      <c r="C289">
        <v>3.64</v>
      </c>
      <c r="D289" s="2">
        <v>45103</v>
      </c>
      <c r="E289">
        <v>3.5619999999999998</v>
      </c>
      <c r="F289" s="2">
        <v>45103</v>
      </c>
      <c r="G289">
        <v>3.57</v>
      </c>
      <c r="H289" s="2">
        <v>45104</v>
      </c>
      <c r="I289">
        <v>3.605</v>
      </c>
      <c r="J289" s="2">
        <v>45103</v>
      </c>
      <c r="K289">
        <v>3.6469999999999998</v>
      </c>
      <c r="L289" s="2">
        <v>45104</v>
      </c>
      <c r="M289">
        <v>3.64</v>
      </c>
      <c r="N289" s="2">
        <v>44251</v>
      </c>
      <c r="O289">
        <v>2.024</v>
      </c>
      <c r="P289" s="2">
        <v>45103</v>
      </c>
      <c r="Q289">
        <v>3.645</v>
      </c>
      <c r="R289" s="2">
        <v>44792</v>
      </c>
      <c r="S289">
        <v>1.4510000000000001</v>
      </c>
      <c r="U289" s="2">
        <v>45241</v>
      </c>
    </row>
    <row r="290" spans="2:30">
      <c r="B290" s="2">
        <v>45098</v>
      </c>
      <c r="C290">
        <v>3.621</v>
      </c>
      <c r="D290" s="2">
        <v>45100</v>
      </c>
      <c r="E290">
        <v>3.6</v>
      </c>
      <c r="F290" s="2">
        <v>45100</v>
      </c>
      <c r="G290">
        <v>3.605</v>
      </c>
      <c r="H290" s="2">
        <v>45103</v>
      </c>
      <c r="I290">
        <v>3.605</v>
      </c>
      <c r="J290" s="2">
        <v>45100</v>
      </c>
      <c r="K290">
        <v>3.7250000000000001</v>
      </c>
      <c r="L290" s="2">
        <v>45103</v>
      </c>
      <c r="M290">
        <v>3.65</v>
      </c>
      <c r="N290" s="2">
        <v>44246</v>
      </c>
      <c r="O290">
        <v>2.0019900000000002</v>
      </c>
      <c r="P290" s="2">
        <v>45100</v>
      </c>
      <c r="Q290">
        <v>3.69</v>
      </c>
      <c r="R290" s="2">
        <v>44790</v>
      </c>
      <c r="S290">
        <v>1.42</v>
      </c>
      <c r="U290" s="2">
        <v>45240</v>
      </c>
      <c r="V290">
        <v>3.89425</v>
      </c>
      <c r="W290">
        <v>3.8519999999999999</v>
      </c>
      <c r="X290">
        <v>3.8929999999999998</v>
      </c>
      <c r="Y290">
        <v>3.988</v>
      </c>
      <c r="Z290">
        <v>3.7850000000000001</v>
      </c>
      <c r="AA290">
        <v>3.7370000000000001</v>
      </c>
      <c r="AB290">
        <v>3.73</v>
      </c>
      <c r="AC290">
        <v>3.86</v>
      </c>
    </row>
    <row r="291" spans="2:30">
      <c r="B291" s="2">
        <v>45097</v>
      </c>
      <c r="C291">
        <v>3.61</v>
      </c>
      <c r="D291" s="2">
        <v>45099</v>
      </c>
      <c r="E291">
        <v>3.581</v>
      </c>
      <c r="F291" s="2">
        <v>45099</v>
      </c>
      <c r="G291">
        <v>3.5880000000000001</v>
      </c>
      <c r="H291" s="2">
        <v>45100</v>
      </c>
      <c r="I291">
        <v>3.6702699999999999</v>
      </c>
      <c r="J291" s="2">
        <v>45099</v>
      </c>
      <c r="K291">
        <v>3.7</v>
      </c>
      <c r="L291" s="2">
        <v>45100</v>
      </c>
      <c r="M291">
        <v>3.7349999999999999</v>
      </c>
      <c r="N291" s="2">
        <v>44245</v>
      </c>
      <c r="O291">
        <v>1.9801899999999999</v>
      </c>
      <c r="P291" s="2">
        <v>45099</v>
      </c>
      <c r="Q291">
        <v>3.6749999999999998</v>
      </c>
      <c r="R291" s="2">
        <v>44785</v>
      </c>
      <c r="S291">
        <v>1.48</v>
      </c>
      <c r="U291" s="2">
        <v>45239</v>
      </c>
      <c r="V291">
        <v>3.875</v>
      </c>
      <c r="W291">
        <v>3.8420000000000001</v>
      </c>
      <c r="X291">
        <v>3.8730000000000002</v>
      </c>
      <c r="Y291">
        <v>3.931</v>
      </c>
      <c r="Z291">
        <v>3.78</v>
      </c>
      <c r="AA291">
        <v>3.722</v>
      </c>
      <c r="AC291">
        <v>3.84</v>
      </c>
      <c r="AD291">
        <v>1.1739999999999999</v>
      </c>
    </row>
    <row r="292" spans="2:30">
      <c r="B292" s="2">
        <v>45096</v>
      </c>
      <c r="C292">
        <v>3.6453600000000002</v>
      </c>
      <c r="D292" s="2">
        <v>45098</v>
      </c>
      <c r="E292">
        <v>3.5649999999999999</v>
      </c>
      <c r="F292" s="2">
        <v>45098</v>
      </c>
      <c r="G292">
        <v>3.5619999999999998</v>
      </c>
      <c r="H292" s="2">
        <v>45099</v>
      </c>
      <c r="I292">
        <v>3.6549999999999998</v>
      </c>
      <c r="J292" s="2">
        <v>45098</v>
      </c>
      <c r="K292">
        <v>3.68</v>
      </c>
      <c r="L292" s="2">
        <v>45099</v>
      </c>
      <c r="M292">
        <v>3.7</v>
      </c>
      <c r="N292" s="2">
        <v>44237</v>
      </c>
      <c r="O292">
        <v>1.9930000000000001</v>
      </c>
      <c r="P292" s="2">
        <v>45098</v>
      </c>
      <c r="Q292">
        <v>3.625</v>
      </c>
      <c r="R292" s="2">
        <v>44783</v>
      </c>
      <c r="S292">
        <v>1.41</v>
      </c>
      <c r="U292" s="2">
        <v>45238</v>
      </c>
      <c r="V292">
        <v>3.8650000000000002</v>
      </c>
      <c r="W292">
        <v>3.87</v>
      </c>
      <c r="X292">
        <v>3.93</v>
      </c>
      <c r="Y292">
        <v>4.03</v>
      </c>
      <c r="Z292">
        <v>3.88</v>
      </c>
      <c r="AA292">
        <v>3.91</v>
      </c>
      <c r="AC292">
        <v>3.847</v>
      </c>
      <c r="AD292">
        <v>1.2549999999999999</v>
      </c>
    </row>
    <row r="293" spans="2:30">
      <c r="B293" s="2">
        <v>45093</v>
      </c>
      <c r="C293">
        <v>3.665</v>
      </c>
      <c r="D293" s="2">
        <v>45097</v>
      </c>
      <c r="E293">
        <v>3.5489999999999999</v>
      </c>
      <c r="F293" s="2">
        <v>45097</v>
      </c>
      <c r="G293">
        <v>3.5870000000000002</v>
      </c>
      <c r="H293" s="2">
        <v>45098</v>
      </c>
      <c r="I293">
        <v>3.62</v>
      </c>
      <c r="J293" s="2">
        <v>45097</v>
      </c>
      <c r="K293">
        <v>3.7</v>
      </c>
      <c r="L293" s="2">
        <v>45098</v>
      </c>
      <c r="M293">
        <v>3.665</v>
      </c>
      <c r="N293" s="2">
        <v>44235</v>
      </c>
      <c r="O293">
        <v>1.97</v>
      </c>
      <c r="P293" s="2">
        <v>45097</v>
      </c>
      <c r="Q293">
        <v>3.6880000000000002</v>
      </c>
      <c r="R293" s="2">
        <v>44781</v>
      </c>
      <c r="S293">
        <v>1.42</v>
      </c>
      <c r="U293" s="2">
        <v>45237</v>
      </c>
      <c r="V293">
        <v>3.8982999999999999</v>
      </c>
      <c r="W293">
        <v>3.8820000000000001</v>
      </c>
      <c r="X293">
        <v>3.9569999999999999</v>
      </c>
      <c r="Y293">
        <v>4.0549999999999997</v>
      </c>
      <c r="Z293">
        <v>3.9249999999999998</v>
      </c>
      <c r="AA293">
        <v>3.8719999999999999</v>
      </c>
      <c r="AC293">
        <v>3.87</v>
      </c>
      <c r="AD293">
        <v>1.26</v>
      </c>
    </row>
    <row r="294" spans="2:30">
      <c r="B294" s="2">
        <v>45092</v>
      </c>
      <c r="C294">
        <v>3.665</v>
      </c>
      <c r="D294" s="2">
        <v>45096</v>
      </c>
      <c r="E294">
        <v>3.58</v>
      </c>
      <c r="F294" s="2">
        <v>45096</v>
      </c>
      <c r="G294">
        <v>3.5870000000000002</v>
      </c>
      <c r="H294" s="2">
        <v>45097</v>
      </c>
      <c r="I294">
        <v>3.6320000000000001</v>
      </c>
      <c r="J294" s="2">
        <v>45096</v>
      </c>
      <c r="K294">
        <v>3.6865000000000001</v>
      </c>
      <c r="L294" s="2">
        <v>45097</v>
      </c>
      <c r="M294">
        <v>3.7069999999999999</v>
      </c>
      <c r="N294" s="2">
        <v>44232</v>
      </c>
      <c r="O294">
        <v>1.9510000000000001</v>
      </c>
      <c r="P294" s="2">
        <v>45096</v>
      </c>
      <c r="Q294">
        <v>3.6480000000000001</v>
      </c>
      <c r="R294" s="2">
        <v>44778</v>
      </c>
      <c r="S294">
        <v>1.5489999999999999</v>
      </c>
      <c r="U294" s="2">
        <v>45236</v>
      </c>
      <c r="V294">
        <v>3.8540000000000001</v>
      </c>
      <c r="W294">
        <v>3.875</v>
      </c>
      <c r="X294">
        <v>3.952</v>
      </c>
      <c r="Y294">
        <v>4.05</v>
      </c>
      <c r="Z294">
        <v>3.96</v>
      </c>
      <c r="AA294">
        <v>3.88</v>
      </c>
      <c r="AC294">
        <v>3.875</v>
      </c>
      <c r="AD294">
        <v>1.276</v>
      </c>
    </row>
    <row r="295" spans="2:30">
      <c r="B295" s="2">
        <v>45091</v>
      </c>
      <c r="C295">
        <v>3.6</v>
      </c>
      <c r="D295" s="2">
        <v>45093</v>
      </c>
      <c r="E295">
        <v>3.59</v>
      </c>
      <c r="F295" s="2">
        <v>45093</v>
      </c>
      <c r="G295">
        <v>3.61</v>
      </c>
      <c r="H295" s="2">
        <v>45096</v>
      </c>
      <c r="I295">
        <v>3.6349999999999998</v>
      </c>
      <c r="J295" s="2">
        <v>45093</v>
      </c>
      <c r="K295">
        <v>3.6850000000000001</v>
      </c>
      <c r="L295" s="2">
        <v>45096</v>
      </c>
      <c r="M295">
        <v>3.6720000000000002</v>
      </c>
      <c r="N295" s="2">
        <v>44231</v>
      </c>
      <c r="O295">
        <v>1.9450000000000001</v>
      </c>
      <c r="P295" s="2">
        <v>45093</v>
      </c>
      <c r="Q295">
        <v>3.6320000000000001</v>
      </c>
      <c r="R295" s="2">
        <v>44776</v>
      </c>
      <c r="S295">
        <v>1.2649999999999999</v>
      </c>
      <c r="U295" s="2">
        <v>45235</v>
      </c>
    </row>
    <row r="296" spans="2:30">
      <c r="B296" s="2">
        <v>45090</v>
      </c>
      <c r="C296">
        <v>3.5449999999999999</v>
      </c>
      <c r="D296" s="2">
        <v>45092</v>
      </c>
      <c r="E296">
        <v>3.62</v>
      </c>
      <c r="F296" s="2">
        <v>45092</v>
      </c>
      <c r="G296">
        <v>3.63</v>
      </c>
      <c r="H296" s="2">
        <v>45093</v>
      </c>
      <c r="I296">
        <v>3.65591</v>
      </c>
      <c r="J296" s="2">
        <v>45092</v>
      </c>
      <c r="K296">
        <v>3.69</v>
      </c>
      <c r="L296" s="2">
        <v>45093</v>
      </c>
      <c r="M296">
        <v>3.6749999999999998</v>
      </c>
      <c r="N296" s="2">
        <v>44228</v>
      </c>
      <c r="O296">
        <v>1.93005</v>
      </c>
      <c r="P296" s="2">
        <v>45092</v>
      </c>
      <c r="Q296">
        <v>3.65</v>
      </c>
      <c r="R296" s="2">
        <v>44774</v>
      </c>
      <c r="S296">
        <v>1.417</v>
      </c>
      <c r="U296" s="2">
        <v>45234</v>
      </c>
    </row>
    <row r="297" spans="2:30">
      <c r="B297" s="2">
        <v>45089</v>
      </c>
      <c r="C297">
        <v>3.5680000000000001</v>
      </c>
      <c r="D297" s="2">
        <v>45091</v>
      </c>
      <c r="E297">
        <v>3.54</v>
      </c>
      <c r="F297" s="2">
        <v>45091</v>
      </c>
      <c r="G297">
        <v>3.56</v>
      </c>
      <c r="H297" s="2">
        <v>45092</v>
      </c>
      <c r="I297">
        <v>3.6880000000000002</v>
      </c>
      <c r="J297" s="2">
        <v>45091</v>
      </c>
      <c r="K297">
        <v>3.6619999999999999</v>
      </c>
      <c r="L297" s="2">
        <v>45092</v>
      </c>
      <c r="M297">
        <v>3.69</v>
      </c>
      <c r="N297" s="2">
        <v>44225</v>
      </c>
      <c r="O297">
        <v>1.88</v>
      </c>
      <c r="P297" s="2">
        <v>45091</v>
      </c>
      <c r="Q297">
        <v>3.6080000000000001</v>
      </c>
      <c r="R297" s="2">
        <v>44771</v>
      </c>
      <c r="S297">
        <v>1.399</v>
      </c>
      <c r="U297" s="2">
        <v>45233</v>
      </c>
      <c r="V297">
        <v>3.9049999999999998</v>
      </c>
      <c r="W297">
        <v>3.9449999999999998</v>
      </c>
      <c r="X297">
        <v>4.0199999999999996</v>
      </c>
      <c r="Y297">
        <v>4.1020000000000003</v>
      </c>
      <c r="Z297">
        <v>3.9969999999999999</v>
      </c>
      <c r="AA297">
        <v>3.9950000000000001</v>
      </c>
      <c r="AC297">
        <v>3.9350000000000001</v>
      </c>
      <c r="AD297">
        <v>1.276</v>
      </c>
    </row>
    <row r="298" spans="2:30">
      <c r="B298" s="2">
        <v>45086</v>
      </c>
      <c r="C298">
        <v>3.5910000000000002</v>
      </c>
      <c r="D298" s="2">
        <v>45090</v>
      </c>
      <c r="E298">
        <v>3.472</v>
      </c>
      <c r="F298" s="2">
        <v>45090</v>
      </c>
      <c r="G298">
        <v>3.5049999999999999</v>
      </c>
      <c r="H298" s="2">
        <v>45091</v>
      </c>
      <c r="I298">
        <v>3.625</v>
      </c>
      <c r="J298" s="2">
        <v>45090</v>
      </c>
      <c r="K298">
        <v>3.65</v>
      </c>
      <c r="L298" s="2">
        <v>45091</v>
      </c>
      <c r="M298">
        <v>3.6389999999999998</v>
      </c>
      <c r="N298" s="2">
        <v>44218</v>
      </c>
      <c r="O298">
        <v>1.8420099999999999</v>
      </c>
      <c r="P298" s="2">
        <v>45090</v>
      </c>
      <c r="Q298">
        <v>3.55</v>
      </c>
      <c r="R298" s="2">
        <v>44770</v>
      </c>
      <c r="S298">
        <v>1.4430000000000001</v>
      </c>
      <c r="U298" s="2">
        <v>45232</v>
      </c>
      <c r="V298">
        <v>3.90584</v>
      </c>
      <c r="W298">
        <v>3.98</v>
      </c>
      <c r="X298">
        <v>4.0599999999999996</v>
      </c>
      <c r="Y298">
        <v>4.1630000000000003</v>
      </c>
      <c r="Z298">
        <v>4.05</v>
      </c>
      <c r="AA298">
        <v>4.0010000000000003</v>
      </c>
      <c r="AB298">
        <v>3.8500700000000001</v>
      </c>
      <c r="AC298">
        <v>3.9449999999999998</v>
      </c>
    </row>
    <row r="299" spans="2:30">
      <c r="B299" s="2">
        <v>45085</v>
      </c>
      <c r="C299">
        <v>3.6221800000000002</v>
      </c>
      <c r="D299" s="2">
        <v>45089</v>
      </c>
      <c r="E299">
        <v>3.4990000000000001</v>
      </c>
      <c r="F299" s="2">
        <v>45089</v>
      </c>
      <c r="G299">
        <v>3.5110000000000001</v>
      </c>
      <c r="H299" s="2">
        <v>45090</v>
      </c>
      <c r="I299">
        <v>3.58</v>
      </c>
      <c r="J299" s="2">
        <v>45089</v>
      </c>
      <c r="K299">
        <v>3.66</v>
      </c>
      <c r="L299" s="2">
        <v>45090</v>
      </c>
      <c r="M299">
        <v>3.6349999999999998</v>
      </c>
      <c r="N299" s="2">
        <v>44195</v>
      </c>
      <c r="O299">
        <v>1.8251299999999999</v>
      </c>
      <c r="P299" s="2">
        <v>45089</v>
      </c>
      <c r="Q299">
        <v>3.5680000000000001</v>
      </c>
      <c r="R299" s="2">
        <v>44769</v>
      </c>
      <c r="S299">
        <v>1.39</v>
      </c>
      <c r="U299" s="2">
        <v>45231</v>
      </c>
      <c r="V299">
        <v>3.98</v>
      </c>
      <c r="W299">
        <v>4.0650000000000004</v>
      </c>
      <c r="X299">
        <v>4.1013299999999999</v>
      </c>
      <c r="Y299">
        <v>4.2850000000000001</v>
      </c>
      <c r="Z299">
        <v>4.09</v>
      </c>
      <c r="AA299">
        <v>4.0199999999999996</v>
      </c>
      <c r="AB299">
        <v>3.9502600000000001</v>
      </c>
      <c r="AC299">
        <v>4.0149999999999997</v>
      </c>
    </row>
    <row r="300" spans="2:30">
      <c r="B300" s="2">
        <v>45084</v>
      </c>
      <c r="C300">
        <v>3.5760000000000001</v>
      </c>
      <c r="D300" s="2">
        <v>45086</v>
      </c>
      <c r="E300">
        <v>3.52</v>
      </c>
      <c r="F300" s="2">
        <v>45086</v>
      </c>
      <c r="G300">
        <v>3.5030000000000001</v>
      </c>
      <c r="H300" s="2">
        <v>45089</v>
      </c>
      <c r="I300">
        <v>3.577</v>
      </c>
      <c r="J300" s="2">
        <v>45086</v>
      </c>
      <c r="K300">
        <v>3.68</v>
      </c>
      <c r="L300" s="2">
        <v>45089</v>
      </c>
      <c r="M300">
        <v>3.6619999999999999</v>
      </c>
      <c r="N300" s="2">
        <v>44183</v>
      </c>
      <c r="O300">
        <v>1.8149999999999999</v>
      </c>
      <c r="P300" s="2">
        <v>45086</v>
      </c>
      <c r="Q300">
        <v>3.59</v>
      </c>
      <c r="R300" s="2">
        <v>44768</v>
      </c>
      <c r="S300">
        <v>1.41</v>
      </c>
      <c r="U300" s="2">
        <v>45230</v>
      </c>
      <c r="V300">
        <v>4.0010000000000003</v>
      </c>
      <c r="W300">
        <v>4.08</v>
      </c>
      <c r="X300">
        <v>4.2050000000000001</v>
      </c>
      <c r="Y300">
        <v>4.33</v>
      </c>
      <c r="Z300">
        <v>4.1399999999999997</v>
      </c>
      <c r="AA300">
        <v>4.0730000000000004</v>
      </c>
      <c r="AC300">
        <v>3.99</v>
      </c>
    </row>
    <row r="301" spans="2:30">
      <c r="B301" s="2">
        <v>45082</v>
      </c>
      <c r="C301">
        <v>3.6040000000000001</v>
      </c>
      <c r="D301" s="2">
        <v>45085</v>
      </c>
      <c r="E301">
        <v>3.5310000000000001</v>
      </c>
      <c r="F301" s="2">
        <v>45085</v>
      </c>
      <c r="G301">
        <v>3.54</v>
      </c>
      <c r="H301" s="2">
        <v>45086</v>
      </c>
      <c r="I301">
        <v>3.61</v>
      </c>
      <c r="J301" s="2">
        <v>45085</v>
      </c>
      <c r="K301">
        <v>3.6819999999999999</v>
      </c>
      <c r="L301" s="2">
        <v>45086</v>
      </c>
      <c r="M301">
        <v>3.6869999999999998</v>
      </c>
      <c r="N301" s="2">
        <v>44182</v>
      </c>
      <c r="O301">
        <v>1.835</v>
      </c>
      <c r="P301" s="2">
        <v>45085</v>
      </c>
      <c r="Q301">
        <v>3.61</v>
      </c>
      <c r="R301" s="2">
        <v>44767</v>
      </c>
      <c r="S301">
        <v>1.411</v>
      </c>
      <c r="U301" s="2">
        <v>45229</v>
      </c>
      <c r="V301">
        <v>3.98</v>
      </c>
      <c r="W301">
        <v>4.0890000000000004</v>
      </c>
      <c r="X301">
        <v>4.1870000000000003</v>
      </c>
      <c r="Y301">
        <v>4.3</v>
      </c>
      <c r="Z301">
        <v>4.1449999999999996</v>
      </c>
      <c r="AA301">
        <v>4.0149999999999997</v>
      </c>
      <c r="AC301">
        <v>3.99</v>
      </c>
      <c r="AD301">
        <v>1.4339999999999999</v>
      </c>
    </row>
    <row r="302" spans="2:30">
      <c r="B302" s="2">
        <v>45079</v>
      </c>
      <c r="C302">
        <v>3.5459999999999998</v>
      </c>
      <c r="D302" s="2">
        <v>45084</v>
      </c>
      <c r="E302">
        <v>3.4769999999999999</v>
      </c>
      <c r="F302" s="2">
        <v>45084</v>
      </c>
      <c r="G302">
        <v>3.4750000000000001</v>
      </c>
      <c r="H302" s="2">
        <v>45085</v>
      </c>
      <c r="I302">
        <v>3.6320000000000001</v>
      </c>
      <c r="J302" s="2">
        <v>45084</v>
      </c>
      <c r="K302">
        <v>3.5870000000000002</v>
      </c>
      <c r="L302" s="2">
        <v>45085</v>
      </c>
      <c r="M302">
        <v>3.6920000000000002</v>
      </c>
      <c r="N302" s="2">
        <v>44179</v>
      </c>
      <c r="O302">
        <v>1.77</v>
      </c>
      <c r="P302" s="2">
        <v>45084</v>
      </c>
      <c r="Q302">
        <v>3.5550000000000002</v>
      </c>
      <c r="R302" s="2">
        <v>44764</v>
      </c>
      <c r="S302">
        <v>1.41</v>
      </c>
      <c r="U302" s="2">
        <v>45228</v>
      </c>
    </row>
    <row r="303" spans="2:30">
      <c r="B303" s="2">
        <v>45078</v>
      </c>
      <c r="C303">
        <v>3.5880000000000001</v>
      </c>
      <c r="D303" s="2">
        <v>45082</v>
      </c>
      <c r="E303">
        <v>3.5</v>
      </c>
      <c r="F303" s="2">
        <v>45082</v>
      </c>
      <c r="G303">
        <v>3.4849999999999999</v>
      </c>
      <c r="H303" s="2">
        <v>45084</v>
      </c>
      <c r="I303">
        <v>3.52</v>
      </c>
      <c r="J303" s="2">
        <v>45082</v>
      </c>
      <c r="K303">
        <v>3.6</v>
      </c>
      <c r="L303" s="2">
        <v>45084</v>
      </c>
      <c r="M303">
        <v>3.597</v>
      </c>
      <c r="N303" s="2">
        <v>44176</v>
      </c>
      <c r="O303">
        <v>1.75</v>
      </c>
      <c r="P303" s="2">
        <v>45082</v>
      </c>
      <c r="Q303">
        <v>3.5950000000000002</v>
      </c>
      <c r="R303" s="2">
        <v>44763</v>
      </c>
      <c r="S303">
        <v>1.48</v>
      </c>
      <c r="U303" s="2">
        <v>45227</v>
      </c>
    </row>
    <row r="304" spans="2:30">
      <c r="B304" s="2">
        <v>45077</v>
      </c>
      <c r="C304">
        <v>3.552</v>
      </c>
      <c r="D304" s="2">
        <v>45079</v>
      </c>
      <c r="E304">
        <v>3.4380000000000002</v>
      </c>
      <c r="F304" s="2">
        <v>45079</v>
      </c>
      <c r="G304">
        <v>3.4049999999999998</v>
      </c>
      <c r="H304" s="2">
        <v>45082</v>
      </c>
      <c r="I304">
        <v>3.5619999999999998</v>
      </c>
      <c r="J304" s="2">
        <v>45079</v>
      </c>
      <c r="K304">
        <v>3.5449999999999999</v>
      </c>
      <c r="L304" s="2">
        <v>45082</v>
      </c>
      <c r="M304">
        <v>3.605</v>
      </c>
      <c r="N304" s="2">
        <v>44166</v>
      </c>
      <c r="O304">
        <v>1.72</v>
      </c>
      <c r="P304" s="2">
        <v>45079</v>
      </c>
      <c r="Q304">
        <v>3.5150000000000001</v>
      </c>
      <c r="R304" s="2">
        <v>44762</v>
      </c>
      <c r="S304">
        <v>1.48</v>
      </c>
      <c r="U304" s="2">
        <v>45226</v>
      </c>
      <c r="V304">
        <v>3.9</v>
      </c>
      <c r="W304">
        <v>4.077</v>
      </c>
      <c r="X304">
        <v>4.1719999999999997</v>
      </c>
      <c r="Y304">
        <v>4.29</v>
      </c>
      <c r="Z304">
        <v>4.2549999999999999</v>
      </c>
      <c r="AA304">
        <v>4.04</v>
      </c>
      <c r="AC304">
        <v>3.99</v>
      </c>
      <c r="AD304">
        <v>1.41</v>
      </c>
    </row>
    <row r="305" spans="2:30">
      <c r="B305" s="2">
        <v>45076</v>
      </c>
      <c r="C305">
        <v>3.649</v>
      </c>
      <c r="D305" s="2">
        <v>45078</v>
      </c>
      <c r="E305">
        <v>3.48</v>
      </c>
      <c r="F305" s="2">
        <v>45078</v>
      </c>
      <c r="G305">
        <v>3.4649999999999999</v>
      </c>
      <c r="H305" s="2">
        <v>45079</v>
      </c>
      <c r="I305">
        <v>3.508</v>
      </c>
      <c r="J305" s="2">
        <v>45078</v>
      </c>
      <c r="K305">
        <v>3.62</v>
      </c>
      <c r="L305" s="2">
        <v>45079</v>
      </c>
      <c r="M305">
        <v>3.55</v>
      </c>
      <c r="N305" s="2">
        <v>44165</v>
      </c>
      <c r="O305">
        <v>1.7302</v>
      </c>
      <c r="P305" s="2">
        <v>45078</v>
      </c>
      <c r="Q305">
        <v>3.56</v>
      </c>
      <c r="R305" s="2">
        <v>44761</v>
      </c>
      <c r="S305">
        <v>1.448</v>
      </c>
      <c r="U305" s="2">
        <v>45225</v>
      </c>
      <c r="V305">
        <v>4</v>
      </c>
      <c r="W305">
        <v>4.1120000000000001</v>
      </c>
      <c r="X305">
        <v>4.242</v>
      </c>
      <c r="Y305">
        <v>4.3920000000000003</v>
      </c>
      <c r="Z305">
        <v>4.2649999999999997</v>
      </c>
      <c r="AA305">
        <v>4.242</v>
      </c>
      <c r="AC305">
        <v>4.0149999999999997</v>
      </c>
      <c r="AD305">
        <v>1.47</v>
      </c>
    </row>
    <row r="306" spans="2:30">
      <c r="B306" s="2">
        <v>45072</v>
      </c>
      <c r="C306">
        <v>3.6120000000000001</v>
      </c>
      <c r="D306" s="2">
        <v>45077</v>
      </c>
      <c r="E306">
        <v>3.4420000000000002</v>
      </c>
      <c r="F306" s="2">
        <v>45077</v>
      </c>
      <c r="G306">
        <v>3.4590000000000001</v>
      </c>
      <c r="H306" s="2">
        <v>45078</v>
      </c>
      <c r="I306">
        <v>3.5569999999999999</v>
      </c>
      <c r="J306" s="2">
        <v>45077</v>
      </c>
      <c r="K306">
        <v>3.59</v>
      </c>
      <c r="L306" s="2">
        <v>45078</v>
      </c>
      <c r="M306">
        <v>3.62</v>
      </c>
      <c r="N306" s="2">
        <v>44162</v>
      </c>
      <c r="O306">
        <v>1.728</v>
      </c>
      <c r="P306" s="2">
        <v>45077</v>
      </c>
      <c r="Q306">
        <v>3.58</v>
      </c>
      <c r="R306" s="2">
        <v>44760</v>
      </c>
      <c r="S306">
        <v>1.46</v>
      </c>
      <c r="U306" s="2">
        <v>45224</v>
      </c>
      <c r="V306">
        <v>3.95</v>
      </c>
      <c r="W306">
        <v>4.0449999999999999</v>
      </c>
      <c r="X306">
        <v>4.165</v>
      </c>
      <c r="Y306">
        <v>4.2869999999999999</v>
      </c>
      <c r="Z306">
        <v>4.2050000000000001</v>
      </c>
      <c r="AA306">
        <v>4.1749999999999998</v>
      </c>
      <c r="AC306">
        <v>3.97</v>
      </c>
    </row>
    <row r="307" spans="2:30">
      <c r="B307" s="2">
        <v>45071</v>
      </c>
      <c r="C307">
        <v>3.56</v>
      </c>
      <c r="D307" s="2">
        <v>45076</v>
      </c>
      <c r="E307">
        <v>3.5270000000000001</v>
      </c>
      <c r="F307" s="2">
        <v>45076</v>
      </c>
      <c r="G307">
        <v>3.5750000000000002</v>
      </c>
      <c r="H307" s="2">
        <v>45077</v>
      </c>
      <c r="I307">
        <v>3.54</v>
      </c>
      <c r="J307" s="2">
        <v>45076</v>
      </c>
      <c r="K307">
        <v>3.6949999999999998</v>
      </c>
      <c r="L307" s="2">
        <v>45077</v>
      </c>
      <c r="M307">
        <v>3.601</v>
      </c>
      <c r="N307" s="2">
        <v>44134</v>
      </c>
      <c r="O307">
        <v>1.65011</v>
      </c>
      <c r="P307" s="2">
        <v>45076</v>
      </c>
      <c r="Q307">
        <v>3.633</v>
      </c>
      <c r="R307" s="2">
        <v>44757</v>
      </c>
      <c r="S307">
        <v>1.4790000000000001</v>
      </c>
      <c r="U307" s="2">
        <v>45223</v>
      </c>
      <c r="V307">
        <v>3.89</v>
      </c>
      <c r="W307">
        <v>4.0049999999999999</v>
      </c>
      <c r="X307">
        <v>4.1719999999999997</v>
      </c>
      <c r="Y307">
        <v>4.2679999999999998</v>
      </c>
      <c r="Z307">
        <v>4.2300000000000004</v>
      </c>
      <c r="AA307">
        <v>4.2270000000000003</v>
      </c>
      <c r="AC307">
        <v>3.93</v>
      </c>
    </row>
    <row r="308" spans="2:30">
      <c r="B308" s="2">
        <v>45070</v>
      </c>
      <c r="C308">
        <v>3.45</v>
      </c>
      <c r="D308" s="2">
        <v>45072</v>
      </c>
      <c r="E308">
        <v>3.5270000000000001</v>
      </c>
      <c r="F308" s="2">
        <v>45072</v>
      </c>
      <c r="G308">
        <v>3.5569999999999999</v>
      </c>
      <c r="H308" s="2">
        <v>45076</v>
      </c>
      <c r="I308">
        <v>3.65</v>
      </c>
      <c r="J308" s="2">
        <v>45072</v>
      </c>
      <c r="K308">
        <v>3.6869999999999998</v>
      </c>
      <c r="L308" s="2">
        <v>45076</v>
      </c>
      <c r="M308">
        <v>3.6829999999999998</v>
      </c>
      <c r="N308" s="2">
        <v>44123</v>
      </c>
      <c r="O308">
        <v>1.67</v>
      </c>
      <c r="P308" s="2">
        <v>45072</v>
      </c>
      <c r="Q308">
        <v>3.63</v>
      </c>
      <c r="R308" s="2">
        <v>44756</v>
      </c>
      <c r="S308">
        <v>1.5</v>
      </c>
      <c r="U308" s="2">
        <v>45222</v>
      </c>
      <c r="V308">
        <v>3.96</v>
      </c>
      <c r="W308">
        <v>4.0570000000000004</v>
      </c>
      <c r="X308">
        <v>4.2370000000000001</v>
      </c>
      <c r="Y308">
        <v>4.3769999999999998</v>
      </c>
      <c r="Z308">
        <v>4.34</v>
      </c>
      <c r="AA308">
        <v>4.2969999999999997</v>
      </c>
      <c r="AC308">
        <v>3.9649999999999999</v>
      </c>
    </row>
    <row r="309" spans="2:30">
      <c r="B309" s="2">
        <v>45069</v>
      </c>
      <c r="C309">
        <v>3.46</v>
      </c>
      <c r="D309" s="2">
        <v>45071</v>
      </c>
      <c r="E309">
        <v>3.5110000000000001</v>
      </c>
      <c r="F309" s="2">
        <v>45071</v>
      </c>
      <c r="G309">
        <v>3.4950000000000001</v>
      </c>
      <c r="H309" s="2">
        <v>45072</v>
      </c>
      <c r="I309">
        <v>3.645</v>
      </c>
      <c r="J309" s="2">
        <v>45071</v>
      </c>
      <c r="K309">
        <v>3.625</v>
      </c>
      <c r="L309" s="2">
        <v>45072</v>
      </c>
      <c r="M309">
        <v>3.6579999999999999</v>
      </c>
      <c r="N309" s="2">
        <v>44111</v>
      </c>
      <c r="O309">
        <v>1.6001000000000001</v>
      </c>
      <c r="P309" s="2">
        <v>45071</v>
      </c>
      <c r="Q309">
        <v>3.55</v>
      </c>
      <c r="R309" s="2">
        <v>44754</v>
      </c>
      <c r="S309">
        <v>1.47</v>
      </c>
      <c r="U309" s="2">
        <v>45221</v>
      </c>
    </row>
    <row r="310" spans="2:30">
      <c r="B310" s="2">
        <v>45068</v>
      </c>
      <c r="C310">
        <v>3.41</v>
      </c>
      <c r="D310" s="2">
        <v>45070</v>
      </c>
      <c r="E310">
        <v>3.387</v>
      </c>
      <c r="F310" s="2">
        <v>45070</v>
      </c>
      <c r="G310">
        <v>3.3969999999999998</v>
      </c>
      <c r="H310" s="2">
        <v>45071</v>
      </c>
      <c r="I310">
        <v>3.6</v>
      </c>
      <c r="J310" s="2">
        <v>45070</v>
      </c>
      <c r="K310">
        <v>3.55</v>
      </c>
      <c r="L310" s="2">
        <v>45071</v>
      </c>
      <c r="M310">
        <v>3.613</v>
      </c>
      <c r="N310" s="2">
        <v>44103</v>
      </c>
      <c r="O310">
        <v>1.605</v>
      </c>
      <c r="P310" s="2">
        <v>45070</v>
      </c>
      <c r="Q310">
        <v>3.4449999999999998</v>
      </c>
      <c r="R310" s="2">
        <v>44753</v>
      </c>
      <c r="S310">
        <v>1.33</v>
      </c>
      <c r="U310" s="2">
        <v>45220</v>
      </c>
    </row>
    <row r="311" spans="2:30">
      <c r="B311" s="2">
        <v>45065</v>
      </c>
      <c r="C311">
        <v>3.4350000000000001</v>
      </c>
      <c r="D311" s="2">
        <v>45069</v>
      </c>
      <c r="E311">
        <v>3.38</v>
      </c>
      <c r="F311" s="2">
        <v>45069</v>
      </c>
      <c r="G311">
        <v>3.395</v>
      </c>
      <c r="H311" s="2">
        <v>45070</v>
      </c>
      <c r="I311">
        <v>3.51</v>
      </c>
      <c r="J311" s="2">
        <v>45069</v>
      </c>
      <c r="K311">
        <v>3.51</v>
      </c>
      <c r="L311" s="2">
        <v>45070</v>
      </c>
      <c r="M311">
        <v>3.54</v>
      </c>
      <c r="N311" s="2">
        <v>44092</v>
      </c>
      <c r="O311">
        <v>1.653</v>
      </c>
      <c r="P311" s="2">
        <v>45069</v>
      </c>
      <c r="Q311">
        <v>3.468</v>
      </c>
      <c r="R311" s="2">
        <v>44750</v>
      </c>
      <c r="S311">
        <v>1.43</v>
      </c>
      <c r="U311" s="2">
        <v>45219</v>
      </c>
      <c r="V311">
        <v>3.93</v>
      </c>
      <c r="W311">
        <v>4.0250000000000004</v>
      </c>
      <c r="X311">
        <v>4.1719999999999997</v>
      </c>
      <c r="Y311">
        <v>4.32</v>
      </c>
      <c r="Z311">
        <v>4.2649999999999997</v>
      </c>
      <c r="AA311">
        <v>4.2469999999999999</v>
      </c>
      <c r="AB311">
        <v>4.21</v>
      </c>
      <c r="AC311">
        <v>3.9249999999999998</v>
      </c>
    </row>
    <row r="312" spans="2:30">
      <c r="B312" s="2">
        <v>45064</v>
      </c>
      <c r="C312">
        <v>3.4159999999999999</v>
      </c>
      <c r="D312" s="2">
        <v>45068</v>
      </c>
      <c r="E312">
        <v>3.31</v>
      </c>
      <c r="F312" s="2">
        <v>45068</v>
      </c>
      <c r="G312">
        <v>3.3170000000000002</v>
      </c>
      <c r="H312" s="2">
        <v>45069</v>
      </c>
      <c r="I312">
        <v>3.4870000000000001</v>
      </c>
      <c r="J312" s="2">
        <v>45068</v>
      </c>
      <c r="K312">
        <v>3.4350000000000001</v>
      </c>
      <c r="L312" s="2">
        <v>45069</v>
      </c>
      <c r="M312">
        <v>3.4674399999999999</v>
      </c>
      <c r="N312" s="2">
        <v>44091</v>
      </c>
      <c r="O312">
        <v>1.6639999999999999</v>
      </c>
      <c r="P312" s="2">
        <v>45068</v>
      </c>
      <c r="Q312">
        <v>3.4249999999999998</v>
      </c>
      <c r="R312" s="2">
        <v>44749</v>
      </c>
      <c r="S312">
        <v>1.42</v>
      </c>
      <c r="U312" s="2">
        <v>45218</v>
      </c>
      <c r="V312">
        <v>3.9550000000000001</v>
      </c>
      <c r="W312">
        <v>4.0599999999999996</v>
      </c>
      <c r="X312">
        <v>4.21</v>
      </c>
      <c r="Y312">
        <v>4.3600000000000003</v>
      </c>
      <c r="Z312">
        <v>4.3</v>
      </c>
      <c r="AA312">
        <v>4.2679999999999998</v>
      </c>
      <c r="AB312">
        <v>4.2169999999999996</v>
      </c>
      <c r="AC312">
        <v>3.9620000000000002</v>
      </c>
      <c r="AD312">
        <v>1.4830000000000001</v>
      </c>
    </row>
    <row r="313" spans="2:30">
      <c r="B313" s="2">
        <v>45063</v>
      </c>
      <c r="C313">
        <v>3.3740000000000001</v>
      </c>
      <c r="D313" s="2">
        <v>45065</v>
      </c>
      <c r="E313">
        <v>3.327</v>
      </c>
      <c r="F313" s="2">
        <v>45065</v>
      </c>
      <c r="G313">
        <v>3.33</v>
      </c>
      <c r="H313" s="2">
        <v>45068</v>
      </c>
      <c r="I313">
        <v>3.4009999999999998</v>
      </c>
      <c r="J313" s="2">
        <v>45065</v>
      </c>
      <c r="K313">
        <v>3.4470000000000001</v>
      </c>
      <c r="L313" s="2">
        <v>45068</v>
      </c>
      <c r="M313">
        <v>3.3</v>
      </c>
      <c r="N313" s="2">
        <v>44085</v>
      </c>
      <c r="O313">
        <v>1.6352</v>
      </c>
      <c r="P313" s="2">
        <v>45065</v>
      </c>
      <c r="Q313">
        <v>3.42</v>
      </c>
      <c r="R313" s="2">
        <v>44748</v>
      </c>
      <c r="S313">
        <v>1.37</v>
      </c>
      <c r="U313" s="2">
        <v>45217</v>
      </c>
      <c r="V313">
        <v>3.9049999999999998</v>
      </c>
      <c r="W313">
        <v>4.0250000000000004</v>
      </c>
      <c r="X313">
        <v>4.1500000000000004</v>
      </c>
      <c r="Y313">
        <v>4.2649999999999997</v>
      </c>
      <c r="Z313">
        <v>4.2320000000000002</v>
      </c>
      <c r="AA313">
        <v>4.2069999999999999</v>
      </c>
      <c r="AB313">
        <v>4.1399999999999997</v>
      </c>
      <c r="AC313">
        <v>3.9449999999999998</v>
      </c>
    </row>
    <row r="314" spans="2:30">
      <c r="B314" s="2">
        <v>45062</v>
      </c>
      <c r="C314">
        <v>3.3559999999999999</v>
      </c>
      <c r="D314" s="2">
        <v>45064</v>
      </c>
      <c r="E314">
        <v>3.3119999999999998</v>
      </c>
      <c r="F314" s="2">
        <v>45064</v>
      </c>
      <c r="G314">
        <v>3.2850000000000001</v>
      </c>
      <c r="H314" s="2">
        <v>45065</v>
      </c>
      <c r="I314">
        <v>3.4170600000000002</v>
      </c>
      <c r="J314" s="2">
        <v>45064</v>
      </c>
      <c r="K314">
        <v>3.4</v>
      </c>
      <c r="L314" s="2">
        <v>45065</v>
      </c>
      <c r="M314">
        <v>3.4470000000000001</v>
      </c>
      <c r="N314" s="2">
        <v>44070</v>
      </c>
      <c r="O314">
        <v>1.637</v>
      </c>
      <c r="P314" s="2">
        <v>45064</v>
      </c>
      <c r="Q314">
        <v>3.415</v>
      </c>
      <c r="R314" s="2">
        <v>44747</v>
      </c>
      <c r="S314">
        <v>1.365</v>
      </c>
      <c r="U314" s="2">
        <v>45216</v>
      </c>
      <c r="V314">
        <v>3.9306000000000001</v>
      </c>
      <c r="W314">
        <v>3.9969999999999999</v>
      </c>
      <c r="X314">
        <v>4.0999999999999996</v>
      </c>
      <c r="Y314">
        <v>4.2249999999999996</v>
      </c>
      <c r="Z314">
        <v>4.1849999999999996</v>
      </c>
      <c r="AA314">
        <v>4.17</v>
      </c>
      <c r="AB314">
        <v>4.0599999999999996</v>
      </c>
      <c r="AC314">
        <v>3.915</v>
      </c>
    </row>
    <row r="315" spans="2:30">
      <c r="B315" s="2">
        <v>45061</v>
      </c>
      <c r="C315">
        <v>3.37</v>
      </c>
      <c r="D315" s="2">
        <v>45063</v>
      </c>
      <c r="E315">
        <v>3.2749999999999999</v>
      </c>
      <c r="F315" s="2">
        <v>45063</v>
      </c>
      <c r="G315">
        <v>3.242</v>
      </c>
      <c r="H315" s="2">
        <v>45064</v>
      </c>
      <c r="I315">
        <v>3.3650000000000002</v>
      </c>
      <c r="J315" s="2">
        <v>45063</v>
      </c>
      <c r="K315">
        <v>3.3650000000000002</v>
      </c>
      <c r="L315" s="2">
        <v>45064</v>
      </c>
      <c r="M315">
        <v>3.4020000000000001</v>
      </c>
      <c r="N315" s="2">
        <v>44061</v>
      </c>
      <c r="O315">
        <v>1.57</v>
      </c>
      <c r="P315" s="2">
        <v>45063</v>
      </c>
      <c r="Q315">
        <v>3.37</v>
      </c>
      <c r="R315" s="2">
        <v>44746</v>
      </c>
      <c r="S315">
        <v>1.37</v>
      </c>
      <c r="U315" s="2">
        <v>45215</v>
      </c>
      <c r="V315">
        <v>3.92</v>
      </c>
      <c r="W315">
        <v>3.97</v>
      </c>
      <c r="X315">
        <v>4.0650000000000004</v>
      </c>
      <c r="Y315">
        <v>4.1950000000000003</v>
      </c>
      <c r="Z315">
        <v>4.1500000000000004</v>
      </c>
      <c r="AA315">
        <v>4.0944000000000003</v>
      </c>
      <c r="AB315">
        <v>4.05</v>
      </c>
      <c r="AC315">
        <v>3.91</v>
      </c>
    </row>
    <row r="316" spans="2:30">
      <c r="B316" s="2">
        <v>45058</v>
      </c>
      <c r="C316">
        <v>3.29</v>
      </c>
      <c r="D316" s="2">
        <v>45062</v>
      </c>
      <c r="E316">
        <v>3.2349999999999999</v>
      </c>
      <c r="F316" s="2">
        <v>45062</v>
      </c>
      <c r="G316">
        <v>3.21</v>
      </c>
      <c r="H316" s="2">
        <v>45063</v>
      </c>
      <c r="I316">
        <v>3.3170000000000002</v>
      </c>
      <c r="J316" s="2">
        <v>45062</v>
      </c>
      <c r="K316">
        <v>3.3580000000000001</v>
      </c>
      <c r="L316" s="2">
        <v>45063</v>
      </c>
      <c r="M316">
        <v>3.37</v>
      </c>
      <c r="N316" s="2">
        <v>44057</v>
      </c>
      <c r="O316">
        <v>1.61</v>
      </c>
      <c r="P316" s="2">
        <v>45062</v>
      </c>
      <c r="Q316">
        <v>3.33</v>
      </c>
      <c r="R316" s="2">
        <v>44743</v>
      </c>
      <c r="S316">
        <v>1.29</v>
      </c>
      <c r="U316" s="2">
        <v>45214</v>
      </c>
    </row>
    <row r="317" spans="2:30">
      <c r="B317" s="2">
        <v>45057</v>
      </c>
      <c r="C317">
        <v>3.3050000000000002</v>
      </c>
      <c r="D317" s="2">
        <v>45061</v>
      </c>
      <c r="E317">
        <v>3.2719999999999998</v>
      </c>
      <c r="F317" s="2">
        <v>45061</v>
      </c>
      <c r="G317">
        <v>3.2530000000000001</v>
      </c>
      <c r="H317" s="2">
        <v>45062</v>
      </c>
      <c r="I317">
        <v>3.3011499999999998</v>
      </c>
      <c r="J317" s="2">
        <v>45061</v>
      </c>
      <c r="K317">
        <v>3.379</v>
      </c>
      <c r="L317" s="2">
        <v>45062</v>
      </c>
      <c r="M317">
        <v>3.3570000000000002</v>
      </c>
      <c r="N317" s="2">
        <v>44048</v>
      </c>
      <c r="O317">
        <v>1.52007</v>
      </c>
      <c r="P317" s="2">
        <v>45061</v>
      </c>
      <c r="Q317">
        <v>3.3650000000000002</v>
      </c>
      <c r="R317" s="2">
        <v>44741</v>
      </c>
      <c r="S317">
        <v>1.329</v>
      </c>
      <c r="U317" s="2">
        <v>45213</v>
      </c>
    </row>
    <row r="318" spans="2:30">
      <c r="B318" s="2">
        <v>45056</v>
      </c>
      <c r="C318">
        <v>3.3580000000000001</v>
      </c>
      <c r="D318" s="2">
        <v>45058</v>
      </c>
      <c r="E318">
        <v>3.2349999999999999</v>
      </c>
      <c r="F318" s="2">
        <v>45058</v>
      </c>
      <c r="G318">
        <v>3.1949999999999998</v>
      </c>
      <c r="H318" s="2">
        <v>45061</v>
      </c>
      <c r="I318">
        <v>3.3</v>
      </c>
      <c r="J318" s="2">
        <v>45058</v>
      </c>
      <c r="K318">
        <v>3.327</v>
      </c>
      <c r="L318" s="2">
        <v>45061</v>
      </c>
      <c r="M318">
        <v>3.3849999999999998</v>
      </c>
      <c r="N318" s="2">
        <v>44043</v>
      </c>
      <c r="O318">
        <v>1.4901500000000001</v>
      </c>
      <c r="P318" s="2">
        <v>45058</v>
      </c>
      <c r="Q318">
        <v>3.32</v>
      </c>
      <c r="R318" s="2">
        <v>44740</v>
      </c>
      <c r="S318">
        <v>1.395</v>
      </c>
      <c r="U318" s="2">
        <v>45212</v>
      </c>
      <c r="V318">
        <v>3.9180000000000001</v>
      </c>
      <c r="W318">
        <v>3.952</v>
      </c>
      <c r="X318">
        <v>4.0350000000000001</v>
      </c>
      <c r="Y318">
        <v>4.165</v>
      </c>
      <c r="Z318">
        <v>4.01</v>
      </c>
      <c r="AA318">
        <v>4.0949999999999998</v>
      </c>
      <c r="AB318">
        <v>4.0449999999999999</v>
      </c>
      <c r="AC318">
        <v>3.895</v>
      </c>
    </row>
    <row r="319" spans="2:30">
      <c r="B319" s="2">
        <v>45055</v>
      </c>
      <c r="C319">
        <v>3.35</v>
      </c>
      <c r="D319" s="2">
        <v>45057</v>
      </c>
      <c r="E319">
        <v>3.2250000000000001</v>
      </c>
      <c r="F319" s="2">
        <v>45057</v>
      </c>
      <c r="G319">
        <v>3.20166</v>
      </c>
      <c r="H319" s="2">
        <v>45058</v>
      </c>
      <c r="I319">
        <v>3.28</v>
      </c>
      <c r="J319" s="2">
        <v>45057</v>
      </c>
      <c r="K319">
        <v>3.3370000000000002</v>
      </c>
      <c r="L319" s="2">
        <v>45058</v>
      </c>
      <c r="M319">
        <v>3.3050000000000002</v>
      </c>
      <c r="N319" s="2">
        <v>44042</v>
      </c>
      <c r="O319">
        <v>1.5029999999999999</v>
      </c>
      <c r="P319" s="2">
        <v>45057</v>
      </c>
      <c r="Q319">
        <v>3.33</v>
      </c>
      <c r="R319" s="2">
        <v>44739</v>
      </c>
      <c r="S319">
        <v>1.4</v>
      </c>
      <c r="U319" s="2">
        <v>45211</v>
      </c>
      <c r="V319">
        <v>3.907</v>
      </c>
      <c r="W319">
        <v>3.927</v>
      </c>
      <c r="X319">
        <v>4.0049999999999999</v>
      </c>
      <c r="Y319">
        <v>4.0869999999999997</v>
      </c>
      <c r="Z319">
        <v>4.04</v>
      </c>
      <c r="AA319">
        <v>4.0279999999999996</v>
      </c>
      <c r="AC319">
        <v>3.9</v>
      </c>
      <c r="AD319">
        <v>1.321</v>
      </c>
    </row>
    <row r="320" spans="2:30">
      <c r="B320" s="2">
        <v>45054</v>
      </c>
      <c r="C320">
        <v>3.37</v>
      </c>
      <c r="D320" s="2">
        <v>45056</v>
      </c>
      <c r="E320">
        <v>3.27</v>
      </c>
      <c r="F320" s="2">
        <v>45056</v>
      </c>
      <c r="G320">
        <v>3.2549999999999999</v>
      </c>
      <c r="H320" s="2">
        <v>45057</v>
      </c>
      <c r="I320">
        <v>3.302</v>
      </c>
      <c r="J320" s="2">
        <v>45056</v>
      </c>
      <c r="K320">
        <v>3.351</v>
      </c>
      <c r="L320" s="2">
        <v>45057</v>
      </c>
      <c r="M320">
        <v>3.35</v>
      </c>
      <c r="N320" s="2">
        <v>44026</v>
      </c>
      <c r="O320">
        <v>1.5500700000000001</v>
      </c>
      <c r="P320" s="2">
        <v>45056</v>
      </c>
      <c r="Q320">
        <v>3.36</v>
      </c>
      <c r="R320" s="2">
        <v>44736</v>
      </c>
      <c r="S320">
        <v>1.4219999999999999</v>
      </c>
      <c r="U320" s="2">
        <v>45210</v>
      </c>
      <c r="V320">
        <v>3.923</v>
      </c>
      <c r="W320">
        <v>3.95</v>
      </c>
      <c r="X320">
        <v>4.0460000000000003</v>
      </c>
      <c r="Y320">
        <v>4.1360000000000001</v>
      </c>
      <c r="Z320">
        <v>4.12</v>
      </c>
      <c r="AA320">
        <v>4.085</v>
      </c>
      <c r="AC320">
        <v>3.91</v>
      </c>
      <c r="AD320">
        <v>1.357</v>
      </c>
    </row>
    <row r="321" spans="2:30">
      <c r="B321" s="2">
        <v>45050</v>
      </c>
      <c r="C321">
        <v>3.3089400000000002</v>
      </c>
      <c r="D321" s="2">
        <v>45055</v>
      </c>
      <c r="E321">
        <v>3.25</v>
      </c>
      <c r="F321" s="2">
        <v>45055</v>
      </c>
      <c r="G321">
        <v>3.24</v>
      </c>
      <c r="H321" s="2">
        <v>45056</v>
      </c>
      <c r="I321">
        <v>3.335</v>
      </c>
      <c r="J321" s="2">
        <v>45055</v>
      </c>
      <c r="K321">
        <v>3.3570000000000002</v>
      </c>
      <c r="L321" s="2">
        <v>45056</v>
      </c>
      <c r="M321">
        <v>3.355</v>
      </c>
      <c r="N321" s="2">
        <v>44006</v>
      </c>
      <c r="O321">
        <v>1.603</v>
      </c>
      <c r="P321" s="2">
        <v>45055</v>
      </c>
      <c r="Q321">
        <v>3.37</v>
      </c>
      <c r="R321" s="2">
        <v>44735</v>
      </c>
      <c r="S321">
        <v>1.4139999999999999</v>
      </c>
      <c r="U321" s="2">
        <v>45209</v>
      </c>
      <c r="V321">
        <v>3.93</v>
      </c>
      <c r="W321">
        <v>4.0019999999999998</v>
      </c>
      <c r="X321">
        <v>4.0949999999999998</v>
      </c>
      <c r="Y321">
        <v>4.2249999999999996</v>
      </c>
      <c r="Z321">
        <v>4.1740000000000004</v>
      </c>
      <c r="AA321">
        <v>4.13</v>
      </c>
      <c r="AC321">
        <v>3.9550000000000001</v>
      </c>
    </row>
    <row r="322" spans="2:30">
      <c r="B322" s="2">
        <v>45049</v>
      </c>
      <c r="C322">
        <v>3.3519999999999999</v>
      </c>
      <c r="D322" s="2">
        <v>45054</v>
      </c>
      <c r="E322">
        <v>3.26</v>
      </c>
      <c r="F322" s="2">
        <v>45054</v>
      </c>
      <c r="G322">
        <v>3.24</v>
      </c>
      <c r="H322" s="2">
        <v>45055</v>
      </c>
      <c r="I322">
        <v>3.32</v>
      </c>
      <c r="J322" s="2">
        <v>45054</v>
      </c>
      <c r="K322">
        <v>3.37</v>
      </c>
      <c r="L322" s="2">
        <v>45055</v>
      </c>
      <c r="M322">
        <v>3.355</v>
      </c>
      <c r="N322" s="2">
        <v>44004</v>
      </c>
      <c r="O322">
        <v>1.56</v>
      </c>
      <c r="P322" s="2">
        <v>45054</v>
      </c>
      <c r="Q322">
        <v>3.3450000000000002</v>
      </c>
      <c r="R322" s="2">
        <v>44734</v>
      </c>
      <c r="S322">
        <v>1.44</v>
      </c>
      <c r="U322" s="2">
        <v>45208</v>
      </c>
    </row>
    <row r="323" spans="2:30">
      <c r="B323" s="2">
        <v>45048</v>
      </c>
      <c r="C323">
        <v>3.419</v>
      </c>
      <c r="D323" s="2">
        <v>45050</v>
      </c>
      <c r="E323">
        <v>3.27</v>
      </c>
      <c r="F323" s="2">
        <v>45050</v>
      </c>
      <c r="G323">
        <v>3.2050000000000001</v>
      </c>
      <c r="H323" s="2">
        <v>45054</v>
      </c>
      <c r="I323">
        <v>3.3180000000000001</v>
      </c>
      <c r="J323" s="2">
        <v>45050</v>
      </c>
      <c r="K323">
        <v>3.335</v>
      </c>
      <c r="L323" s="2">
        <v>45054</v>
      </c>
      <c r="M323">
        <v>3.3769999999999998</v>
      </c>
      <c r="N323" s="2">
        <v>43997</v>
      </c>
      <c r="O323">
        <v>1.57</v>
      </c>
      <c r="P323" s="2">
        <v>45050</v>
      </c>
      <c r="Q323">
        <v>3.3</v>
      </c>
      <c r="R323" s="2">
        <v>44733</v>
      </c>
      <c r="S323">
        <v>1.52</v>
      </c>
      <c r="U323" s="2">
        <v>45207</v>
      </c>
    </row>
    <row r="324" spans="2:30">
      <c r="B324" s="2">
        <v>45044</v>
      </c>
      <c r="C324">
        <v>3.37</v>
      </c>
      <c r="D324" s="2">
        <v>45049</v>
      </c>
      <c r="E324">
        <v>3.2749999999999999</v>
      </c>
      <c r="F324" s="2">
        <v>45049</v>
      </c>
      <c r="G324">
        <v>3.26</v>
      </c>
      <c r="H324" s="2">
        <v>45050</v>
      </c>
      <c r="I324">
        <v>3.2850000000000001</v>
      </c>
      <c r="J324" s="2">
        <v>45049</v>
      </c>
      <c r="K324">
        <v>3.36</v>
      </c>
      <c r="L324" s="2">
        <v>45050</v>
      </c>
      <c r="M324">
        <v>3.335</v>
      </c>
      <c r="N324" s="2">
        <v>43994</v>
      </c>
      <c r="O324">
        <v>1.57</v>
      </c>
      <c r="P324" s="2">
        <v>45049</v>
      </c>
      <c r="Q324">
        <v>3.36</v>
      </c>
      <c r="R324" s="2">
        <v>44732</v>
      </c>
      <c r="S324">
        <v>1.48</v>
      </c>
      <c r="U324" s="2">
        <v>45206</v>
      </c>
    </row>
    <row r="325" spans="2:30">
      <c r="B325" s="2">
        <v>45043</v>
      </c>
      <c r="C325">
        <v>3.3450000000000002</v>
      </c>
      <c r="D325" s="2">
        <v>45048</v>
      </c>
      <c r="E325">
        <v>3.327</v>
      </c>
      <c r="F325" s="2">
        <v>45048</v>
      </c>
      <c r="G325">
        <v>3.3420000000000001</v>
      </c>
      <c r="H325" s="2">
        <v>45049</v>
      </c>
      <c r="I325">
        <v>3.32</v>
      </c>
      <c r="J325" s="2">
        <v>45048</v>
      </c>
      <c r="K325">
        <v>3.37</v>
      </c>
      <c r="L325" s="2">
        <v>45049</v>
      </c>
      <c r="M325">
        <v>3.355</v>
      </c>
      <c r="N325" s="2">
        <v>43985</v>
      </c>
      <c r="O325">
        <v>1.58</v>
      </c>
      <c r="P325" s="2">
        <v>45048</v>
      </c>
      <c r="Q325">
        <v>3.4</v>
      </c>
      <c r="R325" s="2">
        <v>44728</v>
      </c>
      <c r="S325">
        <v>1.4610000000000001</v>
      </c>
      <c r="U325" s="2">
        <v>45205</v>
      </c>
      <c r="V325">
        <v>3.9824299999999999</v>
      </c>
      <c r="W325">
        <v>4.0049999999999999</v>
      </c>
      <c r="X325">
        <v>4.0919999999999996</v>
      </c>
      <c r="Y325">
        <v>4.24</v>
      </c>
      <c r="Z325">
        <v>4.17</v>
      </c>
      <c r="AA325">
        <v>4.04</v>
      </c>
      <c r="AB325">
        <v>4.0720000000000001</v>
      </c>
      <c r="AC325">
        <v>3.9849999999999999</v>
      </c>
      <c r="AD325">
        <v>1.385</v>
      </c>
    </row>
    <row r="326" spans="2:30">
      <c r="B326" s="2">
        <v>45042</v>
      </c>
      <c r="C326">
        <v>3.2829999999999999</v>
      </c>
      <c r="D326" s="2">
        <v>45044</v>
      </c>
      <c r="E326">
        <v>3.3029999999999999</v>
      </c>
      <c r="F326" s="2">
        <v>45044</v>
      </c>
      <c r="G326">
        <v>3.2817500000000002</v>
      </c>
      <c r="H326" s="2">
        <v>45048</v>
      </c>
      <c r="I326">
        <v>3.375</v>
      </c>
      <c r="J326" s="2">
        <v>45044</v>
      </c>
      <c r="K326">
        <v>3.3650000000000002</v>
      </c>
      <c r="L326" s="2">
        <v>45048</v>
      </c>
      <c r="M326">
        <v>3.4</v>
      </c>
      <c r="N326" s="2">
        <v>43983</v>
      </c>
      <c r="O326">
        <v>1.5449999999999999</v>
      </c>
      <c r="P326" s="2">
        <v>45044</v>
      </c>
      <c r="Q326">
        <v>3.3450000000000002</v>
      </c>
      <c r="R326" s="2">
        <v>44726</v>
      </c>
      <c r="S326">
        <v>1.2250000000000001</v>
      </c>
      <c r="U326" s="2">
        <v>45204</v>
      </c>
      <c r="V326">
        <v>4.01</v>
      </c>
      <c r="W326">
        <v>4.0819999999999999</v>
      </c>
      <c r="X326">
        <v>4.1870000000000003</v>
      </c>
      <c r="Y326">
        <v>4.3440000000000003</v>
      </c>
      <c r="Z326">
        <v>4.2450000000000001</v>
      </c>
      <c r="AA326">
        <v>4.1950000000000003</v>
      </c>
      <c r="AC326">
        <v>3.9969999999999999</v>
      </c>
    </row>
    <row r="327" spans="2:30">
      <c r="B327" s="2">
        <v>45041</v>
      </c>
      <c r="C327">
        <v>3.34</v>
      </c>
      <c r="D327" s="2">
        <v>45043</v>
      </c>
      <c r="E327">
        <v>3.282</v>
      </c>
      <c r="F327" s="2">
        <v>45043</v>
      </c>
      <c r="G327">
        <v>3.2650000000000001</v>
      </c>
      <c r="H327" s="2">
        <v>45044</v>
      </c>
      <c r="I327">
        <v>3.39</v>
      </c>
      <c r="J327" s="2">
        <v>45043</v>
      </c>
      <c r="K327">
        <v>3.3519999999999999</v>
      </c>
      <c r="L327" s="2">
        <v>45044</v>
      </c>
      <c r="M327">
        <v>3.355</v>
      </c>
      <c r="N327" s="2">
        <v>43977</v>
      </c>
      <c r="O327">
        <v>1.46</v>
      </c>
      <c r="P327" s="2">
        <v>45043</v>
      </c>
      <c r="Q327">
        <v>3.3</v>
      </c>
      <c r="R327" s="2">
        <v>44725</v>
      </c>
      <c r="S327">
        <v>1.22</v>
      </c>
      <c r="U327" s="2">
        <v>45203</v>
      </c>
      <c r="V327">
        <v>4.0510000000000002</v>
      </c>
      <c r="W327">
        <v>4.0356399999999999</v>
      </c>
      <c r="X327">
        <v>4.0828800000000003</v>
      </c>
      <c r="Y327">
        <v>4.0350000000000001</v>
      </c>
      <c r="Z327">
        <v>4.2060000000000004</v>
      </c>
      <c r="AA327">
        <v>4.1500000000000004</v>
      </c>
      <c r="AB327">
        <v>4.05</v>
      </c>
      <c r="AC327">
        <v>4.12</v>
      </c>
      <c r="AD327">
        <v>1.478</v>
      </c>
    </row>
    <row r="328" spans="2:30">
      <c r="B328" s="2">
        <v>45040</v>
      </c>
      <c r="C328">
        <v>3.3220000000000001</v>
      </c>
      <c r="D328" s="2">
        <v>45042</v>
      </c>
      <c r="E328">
        <v>3.26</v>
      </c>
      <c r="F328" s="2">
        <v>45042</v>
      </c>
      <c r="G328">
        <v>3.2519999999999998</v>
      </c>
      <c r="H328" s="2">
        <v>45043</v>
      </c>
      <c r="I328">
        <v>3.3450000000000002</v>
      </c>
      <c r="J328" s="2">
        <v>45042</v>
      </c>
      <c r="K328">
        <v>3.335</v>
      </c>
      <c r="L328" s="2">
        <v>45043</v>
      </c>
      <c r="M328">
        <v>3.3450000000000002</v>
      </c>
      <c r="N328" s="2">
        <v>43958</v>
      </c>
      <c r="O328">
        <v>1.635</v>
      </c>
      <c r="P328" s="2">
        <v>45042</v>
      </c>
      <c r="Q328">
        <v>3.31</v>
      </c>
      <c r="R328" s="2">
        <v>44722</v>
      </c>
      <c r="S328">
        <v>1.3340000000000001</v>
      </c>
      <c r="U328" s="2">
        <v>45202</v>
      </c>
    </row>
    <row r="329" spans="2:30">
      <c r="B329" s="2">
        <v>45037</v>
      </c>
      <c r="C329">
        <v>3.327</v>
      </c>
      <c r="D329" s="2">
        <v>45041</v>
      </c>
      <c r="E329">
        <v>3.2679999999999998</v>
      </c>
      <c r="F329" s="2">
        <v>45041</v>
      </c>
      <c r="G329">
        <v>3.2650000000000001</v>
      </c>
      <c r="H329" s="2">
        <v>45042</v>
      </c>
      <c r="I329">
        <v>3.3050000000000002</v>
      </c>
      <c r="J329" s="2">
        <v>45041</v>
      </c>
      <c r="K329">
        <v>3.3450000000000002</v>
      </c>
      <c r="L329" s="2">
        <v>45042</v>
      </c>
      <c r="M329">
        <v>3.3250000000000002</v>
      </c>
      <c r="N329" s="2">
        <v>43957</v>
      </c>
      <c r="O329">
        <v>1.65</v>
      </c>
      <c r="P329" s="2">
        <v>45041</v>
      </c>
      <c r="Q329">
        <v>3.32</v>
      </c>
      <c r="R329" s="2">
        <v>44721</v>
      </c>
      <c r="S329">
        <v>1.4119999999999999</v>
      </c>
      <c r="U329" s="2">
        <v>45201</v>
      </c>
    </row>
    <row r="330" spans="2:30">
      <c r="B330" s="2">
        <v>45036</v>
      </c>
      <c r="C330">
        <v>3.415</v>
      </c>
      <c r="D330" s="2">
        <v>45040</v>
      </c>
      <c r="E330">
        <v>3.2349999999999999</v>
      </c>
      <c r="F330" s="2">
        <v>45040</v>
      </c>
      <c r="G330">
        <v>3.2879999999999998</v>
      </c>
      <c r="H330" s="2">
        <v>45041</v>
      </c>
      <c r="I330">
        <v>3.3025699999999998</v>
      </c>
      <c r="J330" s="2">
        <v>45040</v>
      </c>
      <c r="K330">
        <v>3.3220000000000001</v>
      </c>
      <c r="L330" s="2">
        <v>45041</v>
      </c>
      <c r="M330">
        <v>3.33</v>
      </c>
      <c r="N330" s="2">
        <v>43955</v>
      </c>
      <c r="O330">
        <v>1.65</v>
      </c>
      <c r="P330" s="2">
        <v>45040</v>
      </c>
      <c r="Q330">
        <v>3.2749999999999999</v>
      </c>
      <c r="R330" s="2">
        <v>44720</v>
      </c>
      <c r="S330">
        <v>1.4</v>
      </c>
      <c r="U330" s="2">
        <v>45200</v>
      </c>
    </row>
    <row r="331" spans="2:30">
      <c r="B331" s="2">
        <v>45035</v>
      </c>
      <c r="C331">
        <v>3.39</v>
      </c>
      <c r="D331" s="2">
        <v>45037</v>
      </c>
      <c r="E331">
        <v>3.2549999999999999</v>
      </c>
      <c r="F331" s="2">
        <v>45037</v>
      </c>
      <c r="G331">
        <v>3.26</v>
      </c>
      <c r="H331" s="2">
        <v>45040</v>
      </c>
      <c r="I331">
        <v>3.306</v>
      </c>
      <c r="J331" s="2">
        <v>45037</v>
      </c>
      <c r="K331">
        <v>3.3170000000000002</v>
      </c>
      <c r="L331" s="2">
        <v>45040</v>
      </c>
      <c r="M331">
        <v>3.3130000000000002</v>
      </c>
      <c r="N331" s="2">
        <v>43950</v>
      </c>
      <c r="O331">
        <v>1.6850000000000001</v>
      </c>
      <c r="P331" s="2">
        <v>45037</v>
      </c>
      <c r="Q331">
        <v>3.28</v>
      </c>
      <c r="R331" s="2">
        <v>44719</v>
      </c>
      <c r="S331">
        <v>1.4650000000000001</v>
      </c>
      <c r="U331" s="2">
        <v>45199</v>
      </c>
    </row>
    <row r="332" spans="2:30">
      <c r="B332" s="2">
        <v>45034</v>
      </c>
      <c r="C332">
        <v>3.343</v>
      </c>
      <c r="D332" s="2">
        <v>45036</v>
      </c>
      <c r="E332">
        <v>3.327</v>
      </c>
      <c r="F332" s="2">
        <v>45036</v>
      </c>
      <c r="G332">
        <v>3.33</v>
      </c>
      <c r="H332" s="2">
        <v>45037</v>
      </c>
      <c r="I332">
        <v>3.3420000000000001</v>
      </c>
      <c r="J332" s="2">
        <v>45036</v>
      </c>
      <c r="K332">
        <v>3.3849999999999998</v>
      </c>
      <c r="L332" s="2">
        <v>45037</v>
      </c>
      <c r="M332">
        <v>3.31</v>
      </c>
      <c r="N332" s="2">
        <v>43948</v>
      </c>
      <c r="O332">
        <v>1.6359999999999999</v>
      </c>
      <c r="P332" s="2">
        <v>45036</v>
      </c>
      <c r="Q332">
        <v>3.335</v>
      </c>
      <c r="R332" s="2">
        <v>44715</v>
      </c>
      <c r="S332">
        <v>1.3149999999999999</v>
      </c>
      <c r="U332" s="2">
        <v>45198</v>
      </c>
    </row>
    <row r="333" spans="2:30">
      <c r="B333" s="2">
        <v>45033</v>
      </c>
      <c r="C333">
        <v>3.32</v>
      </c>
      <c r="D333" s="2">
        <v>45035</v>
      </c>
      <c r="E333">
        <v>3.35</v>
      </c>
      <c r="F333" s="2">
        <v>45035</v>
      </c>
      <c r="G333">
        <v>3.335</v>
      </c>
      <c r="H333" s="2">
        <v>45036</v>
      </c>
      <c r="I333">
        <v>3.3919999999999999</v>
      </c>
      <c r="J333" s="2">
        <v>45035</v>
      </c>
      <c r="K333">
        <v>3.3439999999999999</v>
      </c>
      <c r="L333" s="2">
        <v>45036</v>
      </c>
      <c r="M333">
        <v>3.38</v>
      </c>
      <c r="N333" s="2">
        <v>43934</v>
      </c>
      <c r="O333">
        <v>1.55</v>
      </c>
      <c r="P333" s="2">
        <v>45035</v>
      </c>
      <c r="Q333">
        <v>3.33</v>
      </c>
      <c r="R333" s="2">
        <v>44714</v>
      </c>
      <c r="S333">
        <v>1.47</v>
      </c>
      <c r="U333" s="2">
        <v>45197</v>
      </c>
    </row>
    <row r="334" spans="2:30">
      <c r="B334" s="2">
        <v>45030</v>
      </c>
      <c r="C334">
        <v>3.26</v>
      </c>
      <c r="D334" s="2">
        <v>45034</v>
      </c>
      <c r="E334">
        <v>3.2919999999999998</v>
      </c>
      <c r="F334" s="2">
        <v>45034</v>
      </c>
      <c r="G334">
        <v>3.2949999999999999</v>
      </c>
      <c r="H334" s="2">
        <v>45035</v>
      </c>
      <c r="I334">
        <v>3.3719999999999999</v>
      </c>
      <c r="J334" s="2">
        <v>45034</v>
      </c>
      <c r="K334">
        <v>3.32</v>
      </c>
      <c r="L334" s="2">
        <v>45035</v>
      </c>
      <c r="M334">
        <v>3.302</v>
      </c>
      <c r="N334" s="2">
        <v>43931</v>
      </c>
      <c r="O334">
        <v>1.55</v>
      </c>
      <c r="P334" s="2">
        <v>45034</v>
      </c>
      <c r="Q334">
        <v>3.3119999999999998</v>
      </c>
      <c r="R334" s="2">
        <v>44712</v>
      </c>
      <c r="S334">
        <v>1.3740000000000001</v>
      </c>
      <c r="U334" s="2">
        <v>45196</v>
      </c>
      <c r="V334">
        <v>3.85</v>
      </c>
      <c r="W334">
        <v>3.88</v>
      </c>
      <c r="X334">
        <v>3.9357899999999999</v>
      </c>
      <c r="Y334">
        <v>4.0119999999999996</v>
      </c>
      <c r="Z334">
        <v>3.93</v>
      </c>
      <c r="AA334">
        <v>3.9113500000000001</v>
      </c>
      <c r="AB334">
        <v>3.8450000000000002</v>
      </c>
      <c r="AC334">
        <v>3.88</v>
      </c>
      <c r="AD334">
        <v>1.23</v>
      </c>
    </row>
    <row r="335" spans="2:30">
      <c r="B335" s="2">
        <v>45029</v>
      </c>
      <c r="C335">
        <v>3.26</v>
      </c>
      <c r="D335" s="2">
        <v>45033</v>
      </c>
      <c r="E335">
        <v>3.2949999999999999</v>
      </c>
      <c r="F335" s="2">
        <v>45033</v>
      </c>
      <c r="G335">
        <v>3.2919999999999998</v>
      </c>
      <c r="H335" s="2">
        <v>45034</v>
      </c>
      <c r="I335">
        <v>3.35</v>
      </c>
      <c r="J335" s="2">
        <v>45033</v>
      </c>
      <c r="K335">
        <v>3.2766000000000002</v>
      </c>
      <c r="L335" s="2">
        <v>45034</v>
      </c>
      <c r="M335">
        <v>3.3239999999999998</v>
      </c>
      <c r="N335" s="2">
        <v>43906</v>
      </c>
      <c r="O335">
        <v>1.51</v>
      </c>
      <c r="P335" s="2">
        <v>45033</v>
      </c>
      <c r="Q335">
        <v>3.31</v>
      </c>
      <c r="R335" s="2">
        <v>44711</v>
      </c>
      <c r="S335">
        <v>1.32</v>
      </c>
      <c r="U335" s="2">
        <v>45195</v>
      </c>
      <c r="V335">
        <v>3.8820000000000001</v>
      </c>
      <c r="W335">
        <v>3.8980000000000001</v>
      </c>
      <c r="X335">
        <v>3.968</v>
      </c>
      <c r="Y335">
        <v>4.0579999999999998</v>
      </c>
      <c r="Z335">
        <v>3.9740000000000002</v>
      </c>
      <c r="AA335">
        <v>3.87</v>
      </c>
      <c r="AC335">
        <v>3.8980000000000001</v>
      </c>
      <c r="AD335">
        <v>1.2669999999999999</v>
      </c>
    </row>
    <row r="336" spans="2:30">
      <c r="B336" s="2">
        <v>45028</v>
      </c>
      <c r="C336">
        <v>3.3050000000000002</v>
      </c>
      <c r="D336" s="2">
        <v>45030</v>
      </c>
      <c r="E336">
        <v>3.21</v>
      </c>
      <c r="F336" s="2">
        <v>45030</v>
      </c>
      <c r="G336">
        <v>3.21</v>
      </c>
      <c r="H336" s="2">
        <v>45033</v>
      </c>
      <c r="I336">
        <v>3.36</v>
      </c>
      <c r="J336" s="2">
        <v>45030</v>
      </c>
      <c r="K336">
        <v>3.262</v>
      </c>
      <c r="L336" s="2">
        <v>45033</v>
      </c>
      <c r="M336">
        <v>3.3050000000000002</v>
      </c>
      <c r="N336" s="2">
        <v>43882</v>
      </c>
      <c r="O336">
        <v>1.54</v>
      </c>
      <c r="P336" s="2">
        <v>45030</v>
      </c>
      <c r="Q336">
        <v>3.2450000000000001</v>
      </c>
      <c r="R336" s="2">
        <v>44708</v>
      </c>
      <c r="S336">
        <v>1.3169999999999999</v>
      </c>
      <c r="U336" s="2">
        <v>45194</v>
      </c>
      <c r="V336">
        <v>3.86</v>
      </c>
      <c r="W336">
        <v>3.8820000000000001</v>
      </c>
      <c r="X336">
        <v>3.9350000000000001</v>
      </c>
      <c r="Y336">
        <v>3.9849999999999999</v>
      </c>
      <c r="Z336">
        <v>3.89</v>
      </c>
      <c r="AA336">
        <v>3.8719999999999999</v>
      </c>
      <c r="AB336">
        <v>3.8</v>
      </c>
      <c r="AC336">
        <v>3.88</v>
      </c>
    </row>
    <row r="337" spans="2:30">
      <c r="B337" s="2">
        <v>45027</v>
      </c>
      <c r="C337">
        <v>3.2949899999999999</v>
      </c>
      <c r="D337" s="2">
        <v>45029</v>
      </c>
      <c r="E337">
        <v>3.2</v>
      </c>
      <c r="F337" s="2">
        <v>45029</v>
      </c>
      <c r="G337">
        <v>3.1970000000000001</v>
      </c>
      <c r="H337" s="2">
        <v>45030</v>
      </c>
      <c r="I337">
        <v>3.29</v>
      </c>
      <c r="J337" s="2">
        <v>45029</v>
      </c>
      <c r="K337">
        <v>3.25902</v>
      </c>
      <c r="L337" s="2">
        <v>45030</v>
      </c>
      <c r="M337">
        <v>3.25</v>
      </c>
      <c r="N337" s="2">
        <v>43878</v>
      </c>
      <c r="O337">
        <v>1.63</v>
      </c>
      <c r="P337" s="2">
        <v>45029</v>
      </c>
      <c r="Q337">
        <v>3.2370000000000001</v>
      </c>
      <c r="R337" s="2">
        <v>44707</v>
      </c>
      <c r="S337">
        <v>1.355</v>
      </c>
      <c r="U337" s="2">
        <v>45193</v>
      </c>
    </row>
    <row r="338" spans="2:30">
      <c r="B338" s="2">
        <v>45026</v>
      </c>
      <c r="C338">
        <v>3.3010000000000002</v>
      </c>
      <c r="D338" s="2">
        <v>45028</v>
      </c>
      <c r="E338">
        <v>3.2450000000000001</v>
      </c>
      <c r="F338" s="2">
        <v>45028</v>
      </c>
      <c r="G338">
        <v>3.2349999999999999</v>
      </c>
      <c r="H338" s="2">
        <v>45029</v>
      </c>
      <c r="I338">
        <v>3.2749999999999999</v>
      </c>
      <c r="J338" s="2">
        <v>45028</v>
      </c>
      <c r="K338">
        <v>3.2</v>
      </c>
      <c r="L338" s="2">
        <v>45029</v>
      </c>
      <c r="M338">
        <v>3.2549999999999999</v>
      </c>
      <c r="N338" s="2">
        <v>43875</v>
      </c>
      <c r="O338">
        <v>1.63</v>
      </c>
      <c r="P338" s="2">
        <v>45028</v>
      </c>
      <c r="Q338">
        <v>3.2749999999999999</v>
      </c>
      <c r="R338" s="2">
        <v>44706</v>
      </c>
      <c r="S338">
        <v>1.448</v>
      </c>
      <c r="U338" s="2">
        <v>45192</v>
      </c>
    </row>
    <row r="339" spans="2:30">
      <c r="B339" s="2">
        <v>45023</v>
      </c>
      <c r="C339">
        <v>3.3250000000000002</v>
      </c>
      <c r="D339" s="2">
        <v>45027</v>
      </c>
      <c r="E339">
        <v>3.1920000000000002</v>
      </c>
      <c r="F339" s="2">
        <v>45027</v>
      </c>
      <c r="G339">
        <v>3.18</v>
      </c>
      <c r="H339" s="2">
        <v>45028</v>
      </c>
      <c r="I339">
        <v>3.2719999999999998</v>
      </c>
      <c r="J339" s="2">
        <v>45027</v>
      </c>
      <c r="K339">
        <v>3.2269999999999999</v>
      </c>
      <c r="L339" s="2">
        <v>45028</v>
      </c>
      <c r="M339">
        <v>3.22</v>
      </c>
      <c r="N339" s="2">
        <v>43816</v>
      </c>
      <c r="O339">
        <v>1.5009999999999999</v>
      </c>
      <c r="P339" s="2">
        <v>45027</v>
      </c>
      <c r="Q339">
        <v>3.25</v>
      </c>
      <c r="R339" s="2">
        <v>44705</v>
      </c>
      <c r="S339">
        <v>1.42</v>
      </c>
      <c r="U339" s="2">
        <v>45191</v>
      </c>
      <c r="V339">
        <v>3.9119999999999999</v>
      </c>
      <c r="W339">
        <v>3.8650000000000002</v>
      </c>
      <c r="X339">
        <v>3.96</v>
      </c>
      <c r="Y339">
        <v>3.9969999999999999</v>
      </c>
      <c r="Z339">
        <v>3.923</v>
      </c>
      <c r="AA339">
        <v>3.83</v>
      </c>
      <c r="AB339">
        <v>3.8119999999999998</v>
      </c>
      <c r="AC339">
        <v>3.91</v>
      </c>
    </row>
    <row r="340" spans="2:30">
      <c r="B340" s="2">
        <v>45022</v>
      </c>
      <c r="C340">
        <v>3.27</v>
      </c>
      <c r="D340" s="2">
        <v>45026</v>
      </c>
      <c r="E340">
        <v>3.1840000000000002</v>
      </c>
      <c r="F340" s="2">
        <v>45026</v>
      </c>
      <c r="G340">
        <v>3.1549999999999998</v>
      </c>
      <c r="H340" s="2">
        <v>45027</v>
      </c>
      <c r="I340">
        <v>3.2229999999999999</v>
      </c>
      <c r="J340" s="2">
        <v>45026</v>
      </c>
      <c r="K340">
        <v>3.2250000000000001</v>
      </c>
      <c r="L340" s="2">
        <v>45027</v>
      </c>
      <c r="M340">
        <v>3.21</v>
      </c>
      <c r="N340" s="2">
        <v>43812</v>
      </c>
      <c r="O340">
        <v>1.5249999999999999</v>
      </c>
      <c r="P340" s="2">
        <v>45026</v>
      </c>
      <c r="Q340">
        <v>3.22</v>
      </c>
      <c r="R340" s="2">
        <v>44704</v>
      </c>
      <c r="S340">
        <v>1.43</v>
      </c>
      <c r="U340" s="2">
        <v>45190</v>
      </c>
      <c r="V340">
        <v>3.93</v>
      </c>
      <c r="W340">
        <v>3.9220000000000002</v>
      </c>
      <c r="X340">
        <v>3.96</v>
      </c>
      <c r="Y340">
        <v>4.03</v>
      </c>
      <c r="Z340">
        <v>3.9</v>
      </c>
      <c r="AA340">
        <v>3.847</v>
      </c>
      <c r="AC340">
        <v>3.9350000000000001</v>
      </c>
      <c r="AD340">
        <v>1.2609900000000001</v>
      </c>
    </row>
    <row r="341" spans="2:30">
      <c r="B341" s="2">
        <v>45021</v>
      </c>
      <c r="C341">
        <v>3.33</v>
      </c>
      <c r="D341" s="2">
        <v>45023</v>
      </c>
      <c r="E341">
        <v>3.2370000000000001</v>
      </c>
      <c r="F341" s="2">
        <v>45023</v>
      </c>
      <c r="G341">
        <v>3.19</v>
      </c>
      <c r="H341" s="2">
        <v>45026</v>
      </c>
      <c r="I341">
        <v>3.22</v>
      </c>
      <c r="J341" s="2">
        <v>45023</v>
      </c>
      <c r="K341">
        <v>3.2450000000000001</v>
      </c>
      <c r="L341" s="2">
        <v>45026</v>
      </c>
      <c r="M341">
        <v>3.2130000000000001</v>
      </c>
      <c r="N341" s="2">
        <v>43805</v>
      </c>
      <c r="O341">
        <v>1.54</v>
      </c>
      <c r="P341" s="2">
        <v>45023</v>
      </c>
      <c r="Q341">
        <v>3.2749999999999999</v>
      </c>
      <c r="R341" s="2">
        <v>44701</v>
      </c>
      <c r="S341">
        <v>1.355</v>
      </c>
      <c r="U341" s="2">
        <v>45189</v>
      </c>
      <c r="V341">
        <v>3.9328400000000001</v>
      </c>
      <c r="W341">
        <v>3.88</v>
      </c>
      <c r="X341">
        <v>3.9049999999999998</v>
      </c>
      <c r="Y341">
        <v>3.9645000000000001</v>
      </c>
      <c r="Z341">
        <v>3.85</v>
      </c>
      <c r="AA341">
        <v>3.8069999999999999</v>
      </c>
      <c r="AB341">
        <v>3.79</v>
      </c>
      <c r="AC341">
        <v>3.895</v>
      </c>
      <c r="AD341">
        <v>1.24</v>
      </c>
    </row>
    <row r="342" spans="2:30">
      <c r="B342" s="2">
        <v>45020</v>
      </c>
      <c r="C342">
        <v>3.3280699999999999</v>
      </c>
      <c r="D342" s="2">
        <v>45022</v>
      </c>
      <c r="E342">
        <v>3.2120000000000002</v>
      </c>
      <c r="F342" s="2">
        <v>45022</v>
      </c>
      <c r="G342">
        <v>3.2</v>
      </c>
      <c r="H342" s="2">
        <v>45023</v>
      </c>
      <c r="I342">
        <v>3.2949999999999999</v>
      </c>
      <c r="J342" s="2">
        <v>45022</v>
      </c>
      <c r="K342">
        <v>3.2469999999999999</v>
      </c>
      <c r="L342" s="2">
        <v>45023</v>
      </c>
      <c r="M342">
        <v>3.2490000000000001</v>
      </c>
      <c r="N342" s="2">
        <v>43804</v>
      </c>
      <c r="O342">
        <v>1.623</v>
      </c>
      <c r="P342" s="2">
        <v>45022</v>
      </c>
      <c r="Q342">
        <v>3.26</v>
      </c>
      <c r="R342" s="2">
        <v>44700</v>
      </c>
      <c r="S342">
        <v>1.4590000000000001</v>
      </c>
      <c r="U342" s="2">
        <v>45188</v>
      </c>
      <c r="V342">
        <v>3.895</v>
      </c>
      <c r="W342">
        <v>3.8879999999999999</v>
      </c>
      <c r="X342">
        <v>3.915</v>
      </c>
      <c r="Y342">
        <v>3.9550000000000001</v>
      </c>
      <c r="Z342">
        <v>3.85</v>
      </c>
      <c r="AA342">
        <v>3.665</v>
      </c>
      <c r="AC342">
        <v>3.9</v>
      </c>
    </row>
    <row r="343" spans="2:30">
      <c r="B343" s="2">
        <v>45019</v>
      </c>
      <c r="C343">
        <v>3.3610199999999999</v>
      </c>
      <c r="D343" s="2">
        <v>45021</v>
      </c>
      <c r="E343">
        <v>3.2669999999999999</v>
      </c>
      <c r="F343" s="2">
        <v>45021</v>
      </c>
      <c r="G343">
        <v>3.23</v>
      </c>
      <c r="H343" s="2">
        <v>45022</v>
      </c>
      <c r="I343">
        <v>3.282</v>
      </c>
      <c r="J343" s="2">
        <v>45021</v>
      </c>
      <c r="K343">
        <v>3.3030499999999998</v>
      </c>
      <c r="L343" s="2">
        <v>45022</v>
      </c>
      <c r="M343">
        <v>3.3849999999999998</v>
      </c>
      <c r="N343" s="2">
        <v>43801</v>
      </c>
      <c r="O343">
        <v>1.595</v>
      </c>
      <c r="P343" s="2">
        <v>45021</v>
      </c>
      <c r="Q343">
        <v>3.3149999999999999</v>
      </c>
      <c r="R343" s="2">
        <v>44698</v>
      </c>
      <c r="S343">
        <v>1.4</v>
      </c>
      <c r="U343" s="2">
        <v>45187</v>
      </c>
      <c r="V343">
        <v>3.8969999999999998</v>
      </c>
      <c r="W343">
        <v>3.8929999999999998</v>
      </c>
      <c r="X343">
        <v>3.93</v>
      </c>
      <c r="Y343">
        <v>3.9750000000000001</v>
      </c>
      <c r="Z343">
        <v>3.8450000000000002</v>
      </c>
      <c r="AA343">
        <v>3.8149999999999999</v>
      </c>
      <c r="AC343">
        <v>3.9049999999999998</v>
      </c>
    </row>
    <row r="344" spans="2:30">
      <c r="B344" s="2">
        <v>45016</v>
      </c>
      <c r="C344">
        <v>3.3359999999999999</v>
      </c>
      <c r="D344" s="2">
        <v>45020</v>
      </c>
      <c r="E344">
        <v>3.2709999999999999</v>
      </c>
      <c r="F344" s="2">
        <v>45020</v>
      </c>
      <c r="G344">
        <v>3.2530000000000001</v>
      </c>
      <c r="H344" s="2">
        <v>45021</v>
      </c>
      <c r="I344">
        <v>3.3170000000000002</v>
      </c>
      <c r="J344" s="2">
        <v>45020</v>
      </c>
      <c r="K344">
        <v>3.355</v>
      </c>
      <c r="L344" s="2">
        <v>45021</v>
      </c>
      <c r="M344">
        <v>3.3108599999999999</v>
      </c>
      <c r="N344" s="2">
        <v>43780</v>
      </c>
      <c r="O344">
        <v>1.79</v>
      </c>
      <c r="P344" s="2">
        <v>45020</v>
      </c>
      <c r="Q344">
        <v>3.31</v>
      </c>
      <c r="R344" s="2">
        <v>44694</v>
      </c>
      <c r="S344">
        <v>1.379</v>
      </c>
      <c r="U344" s="2">
        <v>45186</v>
      </c>
    </row>
    <row r="345" spans="2:30">
      <c r="B345" s="2">
        <v>45015</v>
      </c>
      <c r="C345">
        <v>3.347</v>
      </c>
      <c r="D345" s="2">
        <v>45019</v>
      </c>
      <c r="E345">
        <v>3.34</v>
      </c>
      <c r="F345" s="2">
        <v>45019</v>
      </c>
      <c r="G345">
        <v>3.327</v>
      </c>
      <c r="H345" s="2">
        <v>45020</v>
      </c>
      <c r="I345">
        <v>3.32</v>
      </c>
      <c r="J345" s="2">
        <v>45019</v>
      </c>
      <c r="K345">
        <v>3.415</v>
      </c>
      <c r="L345" s="2">
        <v>45020</v>
      </c>
      <c r="M345">
        <v>3.343</v>
      </c>
      <c r="N345" s="2">
        <v>43776</v>
      </c>
      <c r="O345">
        <v>1.76</v>
      </c>
      <c r="P345" s="2">
        <v>45019</v>
      </c>
      <c r="Q345">
        <v>3.387</v>
      </c>
      <c r="R345" s="2">
        <v>44693</v>
      </c>
      <c r="S345">
        <v>1.32</v>
      </c>
      <c r="U345" s="2">
        <v>45185</v>
      </c>
    </row>
    <row r="346" spans="2:30">
      <c r="B346" s="2">
        <v>45014</v>
      </c>
      <c r="C346">
        <v>3.3260000000000001</v>
      </c>
      <c r="D346" s="2">
        <v>45016</v>
      </c>
      <c r="E346">
        <v>3.2629999999999999</v>
      </c>
      <c r="F346" s="2">
        <v>45016</v>
      </c>
      <c r="G346">
        <v>3.258</v>
      </c>
      <c r="H346" s="2">
        <v>45019</v>
      </c>
      <c r="I346">
        <v>3.3860000000000001</v>
      </c>
      <c r="J346" s="2">
        <v>45016</v>
      </c>
      <c r="K346">
        <v>3.35</v>
      </c>
      <c r="L346" s="2">
        <v>45019</v>
      </c>
      <c r="M346">
        <v>3.3879999999999999</v>
      </c>
      <c r="N346" s="2">
        <v>43775</v>
      </c>
      <c r="O346">
        <v>1.8</v>
      </c>
      <c r="P346" s="2">
        <v>45016</v>
      </c>
      <c r="Q346">
        <v>3.31</v>
      </c>
      <c r="R346" s="2">
        <v>44692</v>
      </c>
      <c r="S346">
        <v>1.39</v>
      </c>
      <c r="U346" s="2">
        <v>45184</v>
      </c>
      <c r="V346">
        <v>3.8650000000000002</v>
      </c>
      <c r="W346">
        <v>3.83</v>
      </c>
      <c r="X346">
        <v>3.88</v>
      </c>
      <c r="Y346">
        <v>3.92</v>
      </c>
      <c r="Z346">
        <v>3.7109999999999999</v>
      </c>
      <c r="AA346">
        <v>3.77</v>
      </c>
      <c r="AC346">
        <v>3.8769999999999998</v>
      </c>
    </row>
    <row r="347" spans="2:30">
      <c r="B347" s="2">
        <v>45013</v>
      </c>
      <c r="C347">
        <v>3.3219099999999999</v>
      </c>
      <c r="D347" s="2">
        <v>45015</v>
      </c>
      <c r="E347">
        <v>3.2250000000000001</v>
      </c>
      <c r="F347" s="2">
        <v>45015</v>
      </c>
      <c r="G347">
        <v>3.282</v>
      </c>
      <c r="H347" s="2">
        <v>45016</v>
      </c>
      <c r="I347">
        <v>3.3620000000000001</v>
      </c>
      <c r="J347" s="2">
        <v>45015</v>
      </c>
      <c r="K347">
        <v>3.327</v>
      </c>
      <c r="L347" s="2">
        <v>45016</v>
      </c>
      <c r="M347">
        <v>3.37</v>
      </c>
      <c r="N347" s="2">
        <v>43769</v>
      </c>
      <c r="O347">
        <v>1.7</v>
      </c>
      <c r="P347" s="2">
        <v>45015</v>
      </c>
      <c r="Q347">
        <v>3.2949999999999999</v>
      </c>
      <c r="R347" s="2">
        <v>44691</v>
      </c>
      <c r="S347">
        <v>1.4430000000000001</v>
      </c>
      <c r="U347" s="2">
        <v>45183</v>
      </c>
      <c r="V347">
        <v>3.851</v>
      </c>
      <c r="W347">
        <v>3.84</v>
      </c>
      <c r="X347">
        <v>3.8620000000000001</v>
      </c>
      <c r="Y347">
        <v>3.91</v>
      </c>
      <c r="Z347">
        <v>3.6909999999999998</v>
      </c>
      <c r="AA347">
        <v>3.75</v>
      </c>
      <c r="AC347">
        <v>3.8650000000000002</v>
      </c>
    </row>
    <row r="348" spans="2:30">
      <c r="B348" s="2">
        <v>45012</v>
      </c>
      <c r="C348">
        <v>3.3119999999999998</v>
      </c>
      <c r="D348" s="2">
        <v>45014</v>
      </c>
      <c r="E348">
        <v>3.22</v>
      </c>
      <c r="F348" s="2">
        <v>45014</v>
      </c>
      <c r="G348">
        <v>3.2250000000000001</v>
      </c>
      <c r="H348" s="2">
        <v>45015</v>
      </c>
      <c r="I348">
        <v>3.3069999999999999</v>
      </c>
      <c r="J348" s="2">
        <v>45014</v>
      </c>
      <c r="K348">
        <v>3.2749999999999999</v>
      </c>
      <c r="L348" s="2">
        <v>45015</v>
      </c>
      <c r="M348">
        <v>3.3250000000000002</v>
      </c>
      <c r="N348" s="2">
        <v>43763</v>
      </c>
      <c r="O348">
        <v>1.6850000000000001</v>
      </c>
      <c r="P348" s="2">
        <v>45014</v>
      </c>
      <c r="Q348">
        <v>3.35</v>
      </c>
      <c r="R348" s="2">
        <v>44690</v>
      </c>
      <c r="S348">
        <v>1.47</v>
      </c>
      <c r="U348" s="2">
        <v>45182</v>
      </c>
      <c r="V348">
        <v>3.8980000000000001</v>
      </c>
      <c r="W348">
        <v>3.85</v>
      </c>
      <c r="X348">
        <v>3.89</v>
      </c>
      <c r="Y348">
        <v>3.9470000000000001</v>
      </c>
      <c r="Z348">
        <v>3.8149999999999999</v>
      </c>
      <c r="AA348">
        <v>3.782</v>
      </c>
      <c r="AC348">
        <v>3.89</v>
      </c>
      <c r="AD348">
        <v>1.258</v>
      </c>
    </row>
    <row r="349" spans="2:30">
      <c r="B349" s="2">
        <v>45009</v>
      </c>
      <c r="C349">
        <v>3.2490000000000001</v>
      </c>
      <c r="D349" s="2">
        <v>45013</v>
      </c>
      <c r="E349">
        <v>3.2549999999999999</v>
      </c>
      <c r="F349" s="2">
        <v>45013</v>
      </c>
      <c r="G349">
        <v>3.2519999999999998</v>
      </c>
      <c r="H349" s="2">
        <v>45014</v>
      </c>
      <c r="I349">
        <v>3.27</v>
      </c>
      <c r="J349" s="2">
        <v>45013</v>
      </c>
      <c r="K349">
        <v>3.28</v>
      </c>
      <c r="L349" s="2">
        <v>45014</v>
      </c>
      <c r="M349">
        <v>3.2549999999999999</v>
      </c>
      <c r="N349" s="2">
        <v>43761</v>
      </c>
      <c r="O349">
        <v>1.679</v>
      </c>
      <c r="P349" s="2">
        <v>45013</v>
      </c>
      <c r="Q349">
        <v>3.34</v>
      </c>
      <c r="R349" s="2">
        <v>44687</v>
      </c>
      <c r="S349">
        <v>1.554</v>
      </c>
      <c r="U349" s="2">
        <v>45181</v>
      </c>
      <c r="V349">
        <v>3.87</v>
      </c>
      <c r="W349">
        <v>3.8620000000000001</v>
      </c>
      <c r="X349">
        <v>3.89</v>
      </c>
      <c r="Y349">
        <v>3.9670000000000001</v>
      </c>
      <c r="Z349">
        <v>3.855</v>
      </c>
      <c r="AA349">
        <v>3.8250000000000002</v>
      </c>
      <c r="AB349">
        <v>3.73001</v>
      </c>
      <c r="AC349">
        <v>3.89</v>
      </c>
    </row>
    <row r="350" spans="2:30">
      <c r="B350" s="2">
        <v>45008</v>
      </c>
      <c r="C350">
        <v>3.3123999999999998</v>
      </c>
      <c r="D350" s="2">
        <v>45012</v>
      </c>
      <c r="E350">
        <v>3.23</v>
      </c>
      <c r="F350" s="2">
        <v>45012</v>
      </c>
      <c r="G350">
        <v>3.1619999999999999</v>
      </c>
      <c r="H350" s="2">
        <v>45013</v>
      </c>
      <c r="I350">
        <v>3.2770000000000001</v>
      </c>
      <c r="J350" s="2">
        <v>45012</v>
      </c>
      <c r="K350">
        <v>3.2549999999999999</v>
      </c>
      <c r="L350" s="2">
        <v>45013</v>
      </c>
      <c r="M350">
        <v>3.258</v>
      </c>
      <c r="N350" s="2">
        <v>43760</v>
      </c>
      <c r="O350">
        <v>1.6779999999999999</v>
      </c>
      <c r="P350" s="2">
        <v>45012</v>
      </c>
      <c r="Q350">
        <v>3.31</v>
      </c>
      <c r="R350" s="2">
        <v>44685</v>
      </c>
      <c r="S350">
        <v>1.659</v>
      </c>
      <c r="U350" s="2">
        <v>45180</v>
      </c>
      <c r="V350">
        <v>3.875</v>
      </c>
      <c r="W350">
        <v>3.855</v>
      </c>
      <c r="X350">
        <v>3.88</v>
      </c>
      <c r="Y350">
        <v>3.9550000000000001</v>
      </c>
      <c r="Z350">
        <v>3.8450000000000002</v>
      </c>
      <c r="AA350">
        <v>3.82</v>
      </c>
      <c r="AB350">
        <v>3.78</v>
      </c>
      <c r="AC350">
        <v>3.89</v>
      </c>
      <c r="AD350">
        <v>1.2629999999999999</v>
      </c>
    </row>
    <row r="351" spans="2:30">
      <c r="B351" s="2">
        <v>45007</v>
      </c>
      <c r="C351">
        <v>3.363</v>
      </c>
      <c r="D351" s="2">
        <v>45009</v>
      </c>
      <c r="E351">
        <v>3.2149999999999999</v>
      </c>
      <c r="F351" s="2">
        <v>45009</v>
      </c>
      <c r="G351">
        <v>3.165</v>
      </c>
      <c r="H351" s="2">
        <v>45012</v>
      </c>
      <c r="I351">
        <v>3.1749999999999998</v>
      </c>
      <c r="J351" s="2">
        <v>45009</v>
      </c>
      <c r="K351">
        <v>3.2149999999999999</v>
      </c>
      <c r="L351" s="2">
        <v>45012</v>
      </c>
      <c r="M351">
        <v>3.23</v>
      </c>
      <c r="N351" s="2">
        <v>43752</v>
      </c>
      <c r="O351">
        <v>1.5</v>
      </c>
      <c r="P351" s="2">
        <v>45009</v>
      </c>
      <c r="Q351">
        <v>3.26</v>
      </c>
      <c r="R351" s="2">
        <v>44684</v>
      </c>
      <c r="S351">
        <v>1.577</v>
      </c>
      <c r="U351" s="2">
        <v>45179</v>
      </c>
    </row>
    <row r="352" spans="2:30">
      <c r="B352" s="2">
        <v>45006</v>
      </c>
      <c r="C352">
        <v>3.35</v>
      </c>
      <c r="D352" s="2">
        <v>45008</v>
      </c>
      <c r="E352">
        <v>3.22</v>
      </c>
      <c r="F352" s="2">
        <v>45008</v>
      </c>
      <c r="G352">
        <v>3.1949999999999998</v>
      </c>
      <c r="H352" s="2">
        <v>45009</v>
      </c>
      <c r="I352">
        <v>3.222</v>
      </c>
      <c r="J352" s="2">
        <v>45008</v>
      </c>
      <c r="K352">
        <v>3.2510300000000001</v>
      </c>
      <c r="L352" s="2">
        <v>45009</v>
      </c>
      <c r="M352">
        <v>3.2</v>
      </c>
      <c r="N352" s="2">
        <v>43749</v>
      </c>
      <c r="O352">
        <v>1.5</v>
      </c>
      <c r="P352" s="2">
        <v>45008</v>
      </c>
      <c r="Q352">
        <v>3.32</v>
      </c>
      <c r="R352" s="2">
        <v>44683</v>
      </c>
      <c r="S352">
        <v>1.4850000000000001</v>
      </c>
      <c r="U352" s="2">
        <v>45178</v>
      </c>
    </row>
    <row r="353" spans="2:30">
      <c r="B353" s="2">
        <v>45005</v>
      </c>
      <c r="C353">
        <v>3.34</v>
      </c>
      <c r="D353" s="2">
        <v>45007</v>
      </c>
      <c r="E353">
        <v>3.2650000000000001</v>
      </c>
      <c r="F353" s="2">
        <v>45007</v>
      </c>
      <c r="G353">
        <v>3.25</v>
      </c>
      <c r="H353" s="2">
        <v>45008</v>
      </c>
      <c r="I353">
        <v>3.28</v>
      </c>
      <c r="J353" s="2">
        <v>45007</v>
      </c>
      <c r="K353">
        <v>3.3130000000000002</v>
      </c>
      <c r="L353" s="2">
        <v>45008</v>
      </c>
      <c r="M353">
        <v>3.2349999999999999</v>
      </c>
      <c r="N353" s="2">
        <v>43735</v>
      </c>
      <c r="O353">
        <v>1.39</v>
      </c>
      <c r="P353" s="2">
        <v>45007</v>
      </c>
      <c r="Q353">
        <v>3.395</v>
      </c>
      <c r="R353" s="2">
        <v>44680</v>
      </c>
      <c r="S353">
        <v>1.28</v>
      </c>
      <c r="U353" s="2">
        <v>45177</v>
      </c>
      <c r="V353">
        <v>3.8250000000000002</v>
      </c>
      <c r="W353">
        <v>3.8046099999999998</v>
      </c>
      <c r="X353">
        <v>3.84</v>
      </c>
      <c r="Y353">
        <v>3.887</v>
      </c>
      <c r="Z353">
        <v>3.8170000000000002</v>
      </c>
      <c r="AA353">
        <v>3.754</v>
      </c>
      <c r="AB353">
        <v>3.73</v>
      </c>
      <c r="AC353">
        <v>3.8279999999999998</v>
      </c>
      <c r="AD353">
        <v>1.2</v>
      </c>
    </row>
    <row r="354" spans="2:30">
      <c r="B354" s="2">
        <v>45002</v>
      </c>
      <c r="C354">
        <v>3.47</v>
      </c>
      <c r="D354" s="2">
        <v>45006</v>
      </c>
      <c r="E354">
        <v>3.2850000000000001</v>
      </c>
      <c r="F354" s="2">
        <v>45006</v>
      </c>
      <c r="G354">
        <v>3.28</v>
      </c>
      <c r="H354" s="2">
        <v>45007</v>
      </c>
      <c r="I354">
        <v>3.2869999999999999</v>
      </c>
      <c r="J354" s="2">
        <v>45006</v>
      </c>
      <c r="K354">
        <v>3.3149999999999999</v>
      </c>
      <c r="L354" s="2">
        <v>45007</v>
      </c>
      <c r="M354">
        <v>3.2549999999999999</v>
      </c>
      <c r="N354" s="2">
        <v>43732</v>
      </c>
      <c r="O354">
        <v>1.395</v>
      </c>
      <c r="P354" s="2">
        <v>45006</v>
      </c>
      <c r="Q354">
        <v>3.355</v>
      </c>
      <c r="R354" s="2">
        <v>44679</v>
      </c>
      <c r="S354">
        <v>1.27</v>
      </c>
      <c r="U354" s="2">
        <v>45176</v>
      </c>
      <c r="V354">
        <v>3.855</v>
      </c>
      <c r="W354">
        <v>3.835</v>
      </c>
      <c r="X354">
        <v>3.89</v>
      </c>
      <c r="Y354">
        <v>3.97</v>
      </c>
      <c r="Z354">
        <v>3.863</v>
      </c>
      <c r="AA354">
        <v>3.83</v>
      </c>
      <c r="AB354">
        <v>3.7549999999999999</v>
      </c>
      <c r="AC354">
        <v>3.867</v>
      </c>
    </row>
    <row r="355" spans="2:30">
      <c r="B355" s="2">
        <v>45001</v>
      </c>
      <c r="C355">
        <v>3.4540000000000002</v>
      </c>
      <c r="D355" s="2">
        <v>45005</v>
      </c>
      <c r="E355">
        <v>3.2829999999999999</v>
      </c>
      <c r="F355" s="2">
        <v>45005</v>
      </c>
      <c r="G355">
        <v>3.25</v>
      </c>
      <c r="H355" s="2">
        <v>45006</v>
      </c>
      <c r="I355">
        <v>3.29</v>
      </c>
      <c r="J355" s="2">
        <v>45005</v>
      </c>
      <c r="K355">
        <v>3.32125</v>
      </c>
      <c r="L355" s="2">
        <v>45006</v>
      </c>
      <c r="M355">
        <v>3.2949999999999999</v>
      </c>
      <c r="N355" s="2">
        <v>43689</v>
      </c>
      <c r="O355">
        <v>1.2749999999999999</v>
      </c>
      <c r="P355" s="2">
        <v>45005</v>
      </c>
      <c r="Q355">
        <v>3.36</v>
      </c>
      <c r="R355" s="2">
        <v>44678</v>
      </c>
      <c r="S355">
        <v>1.3080000000000001</v>
      </c>
      <c r="U355" s="2">
        <v>45175</v>
      </c>
      <c r="V355">
        <v>3.8</v>
      </c>
      <c r="W355">
        <v>3.7650000000000001</v>
      </c>
      <c r="X355">
        <v>3.831</v>
      </c>
      <c r="Y355">
        <v>3.91</v>
      </c>
      <c r="Z355">
        <v>3.8250000000000002</v>
      </c>
      <c r="AA355">
        <v>3.742</v>
      </c>
      <c r="AC355">
        <v>3.79</v>
      </c>
      <c r="AD355">
        <v>1.23</v>
      </c>
    </row>
    <row r="356" spans="2:30">
      <c r="B356" s="2">
        <v>45000</v>
      </c>
      <c r="C356">
        <v>3.5230000000000001</v>
      </c>
      <c r="D356" s="2">
        <v>45002</v>
      </c>
      <c r="E356">
        <v>3.407</v>
      </c>
      <c r="F356" s="2">
        <v>45002</v>
      </c>
      <c r="G356">
        <v>3.38</v>
      </c>
      <c r="H356" s="2">
        <v>45005</v>
      </c>
      <c r="I356">
        <v>3.28</v>
      </c>
      <c r="J356" s="2">
        <v>45002</v>
      </c>
      <c r="K356">
        <v>3.3849999999999998</v>
      </c>
      <c r="L356" s="2">
        <v>45005</v>
      </c>
      <c r="M356">
        <v>3.2949999999999999</v>
      </c>
      <c r="N356" s="2">
        <v>43686</v>
      </c>
      <c r="O356">
        <v>1.2749999999999999</v>
      </c>
      <c r="P356" s="2">
        <v>45002</v>
      </c>
      <c r="Q356">
        <v>3.4550000000000001</v>
      </c>
      <c r="R356" s="2">
        <v>44677</v>
      </c>
      <c r="S356">
        <v>1.2450000000000001</v>
      </c>
      <c r="U356" s="2">
        <v>45174</v>
      </c>
      <c r="V356">
        <v>3.7930000000000001</v>
      </c>
      <c r="W356">
        <v>3.7650000000000001</v>
      </c>
      <c r="X356">
        <v>3.8149999999999999</v>
      </c>
      <c r="Y356">
        <v>3.8690000000000002</v>
      </c>
      <c r="Z356">
        <v>3.8</v>
      </c>
      <c r="AA356">
        <v>3.7410000000000001</v>
      </c>
      <c r="AB356">
        <v>3.67</v>
      </c>
      <c r="AC356">
        <v>3.79</v>
      </c>
      <c r="AD356">
        <v>1.218</v>
      </c>
    </row>
    <row r="357" spans="2:30">
      <c r="B357" s="2">
        <v>44999</v>
      </c>
      <c r="C357">
        <v>3.3050000000000002</v>
      </c>
      <c r="D357" s="2">
        <v>45001</v>
      </c>
      <c r="E357">
        <v>3.415</v>
      </c>
      <c r="F357" s="2">
        <v>45001</v>
      </c>
      <c r="G357">
        <v>3.37</v>
      </c>
      <c r="H357" s="2">
        <v>45002</v>
      </c>
      <c r="I357">
        <v>3.4020000000000001</v>
      </c>
      <c r="J357" s="2">
        <v>45001</v>
      </c>
      <c r="K357">
        <v>3.3820000000000001</v>
      </c>
      <c r="L357" s="2">
        <v>45002</v>
      </c>
      <c r="M357">
        <v>3.36</v>
      </c>
      <c r="N357" s="2">
        <v>43675</v>
      </c>
      <c r="O357">
        <v>1.4450000000000001</v>
      </c>
      <c r="P357" s="2">
        <v>45001</v>
      </c>
      <c r="Q357">
        <v>3.4550000000000001</v>
      </c>
      <c r="R357" s="2">
        <v>44676</v>
      </c>
      <c r="S357">
        <v>1.36</v>
      </c>
      <c r="U357" s="2">
        <v>45173</v>
      </c>
      <c r="V357">
        <v>3.75</v>
      </c>
      <c r="W357">
        <v>3.7320000000000002</v>
      </c>
      <c r="X357">
        <v>3.7789999999999999</v>
      </c>
      <c r="Y357">
        <v>3.855</v>
      </c>
      <c r="Z357">
        <v>3.76</v>
      </c>
      <c r="AA357">
        <v>3.6059999999999999</v>
      </c>
      <c r="AC357">
        <v>3.7450000000000001</v>
      </c>
      <c r="AD357">
        <v>1.1850000000000001</v>
      </c>
    </row>
    <row r="358" spans="2:30">
      <c r="B358" s="2">
        <v>44998</v>
      </c>
      <c r="C358">
        <v>3.4790000000000001</v>
      </c>
      <c r="D358" s="2">
        <v>45000</v>
      </c>
      <c r="E358">
        <v>3.4649999999999999</v>
      </c>
      <c r="F358" s="2">
        <v>45000</v>
      </c>
      <c r="G358">
        <v>3.4249999999999998</v>
      </c>
      <c r="H358" s="2">
        <v>45001</v>
      </c>
      <c r="I358">
        <v>3.4</v>
      </c>
      <c r="J358" s="2">
        <v>45000</v>
      </c>
      <c r="K358">
        <v>3.3849999999999998</v>
      </c>
      <c r="L358" s="2">
        <v>45001</v>
      </c>
      <c r="M358">
        <v>3.31</v>
      </c>
      <c r="N358" s="2">
        <v>43671</v>
      </c>
      <c r="O358">
        <v>1.4450000000000001</v>
      </c>
      <c r="P358" s="2">
        <v>45000</v>
      </c>
      <c r="Q358">
        <v>3.54</v>
      </c>
      <c r="R358" s="2">
        <v>44673</v>
      </c>
      <c r="S358">
        <v>1.4259999999999999</v>
      </c>
      <c r="U358" s="2">
        <v>45172</v>
      </c>
    </row>
    <row r="359" spans="2:30">
      <c r="B359" s="2">
        <v>44995</v>
      </c>
      <c r="C359">
        <v>3.75</v>
      </c>
      <c r="D359" s="2">
        <v>44999</v>
      </c>
      <c r="E359">
        <v>3.423</v>
      </c>
      <c r="F359" s="2">
        <v>44999</v>
      </c>
      <c r="G359">
        <v>3.355</v>
      </c>
      <c r="H359" s="2">
        <v>45000</v>
      </c>
      <c r="I359">
        <v>3.3849999999999998</v>
      </c>
      <c r="J359" s="2">
        <v>44999</v>
      </c>
      <c r="K359">
        <v>3.35</v>
      </c>
      <c r="L359" s="2">
        <v>45000</v>
      </c>
      <c r="M359">
        <v>3.3570000000000002</v>
      </c>
      <c r="N359" s="2">
        <v>43641</v>
      </c>
      <c r="O359">
        <v>1.635</v>
      </c>
      <c r="P359" s="2">
        <v>44999</v>
      </c>
      <c r="Q359">
        <v>3.2</v>
      </c>
      <c r="R359" s="2">
        <v>44672</v>
      </c>
      <c r="S359">
        <v>1.405</v>
      </c>
      <c r="U359" s="2">
        <v>45171</v>
      </c>
    </row>
    <row r="360" spans="2:30">
      <c r="B360" s="2">
        <v>44994</v>
      </c>
      <c r="C360">
        <v>3.9289999999999998</v>
      </c>
      <c r="D360" s="2">
        <v>44998</v>
      </c>
      <c r="E360">
        <v>3.46</v>
      </c>
      <c r="F360" s="2">
        <v>44998</v>
      </c>
      <c r="G360">
        <v>3.407</v>
      </c>
      <c r="H360" s="2">
        <v>44999</v>
      </c>
      <c r="I360">
        <v>3.35</v>
      </c>
      <c r="J360" s="2">
        <v>44998</v>
      </c>
      <c r="K360">
        <v>3.3860000000000001</v>
      </c>
      <c r="L360" s="2">
        <v>44999</v>
      </c>
      <c r="M360">
        <v>3.3250000000000002</v>
      </c>
      <c r="N360" s="2">
        <v>43640</v>
      </c>
      <c r="O360">
        <v>1.635</v>
      </c>
      <c r="P360" s="2">
        <v>44998</v>
      </c>
      <c r="Q360">
        <v>3.4950000000000001</v>
      </c>
      <c r="R360" s="2">
        <v>44670</v>
      </c>
      <c r="S360">
        <v>1.4319999999999999</v>
      </c>
      <c r="U360" s="2">
        <v>45170</v>
      </c>
      <c r="V360">
        <v>3.7050000000000001</v>
      </c>
      <c r="W360">
        <v>3.6909999999999998</v>
      </c>
      <c r="X360">
        <v>3.7149999999999999</v>
      </c>
      <c r="Y360">
        <v>3.7770000000000001</v>
      </c>
      <c r="Z360">
        <v>3.72</v>
      </c>
      <c r="AA360">
        <v>3.6819999999999999</v>
      </c>
      <c r="AB360">
        <v>3.6219999999999999</v>
      </c>
      <c r="AC360">
        <v>3.7149999999999999</v>
      </c>
      <c r="AD360">
        <v>1.1850000000000001</v>
      </c>
    </row>
    <row r="361" spans="2:30">
      <c r="B361" s="2">
        <v>44993</v>
      </c>
      <c r="C361">
        <v>3.9209999999999998</v>
      </c>
      <c r="D361" s="2">
        <v>44995</v>
      </c>
      <c r="E361">
        <v>3.67</v>
      </c>
      <c r="F361" s="2">
        <v>44995</v>
      </c>
      <c r="G361">
        <v>3.6589999999999998</v>
      </c>
      <c r="H361" s="2">
        <v>44998</v>
      </c>
      <c r="I361">
        <v>3.427</v>
      </c>
      <c r="J361" s="2">
        <v>44995</v>
      </c>
      <c r="K361">
        <v>3.4750000000000001</v>
      </c>
      <c r="L361" s="2">
        <v>44998</v>
      </c>
      <c r="M361">
        <v>3.4350000000000001</v>
      </c>
      <c r="N361" s="2">
        <v>43630</v>
      </c>
      <c r="O361">
        <v>1.65</v>
      </c>
      <c r="P361" s="2">
        <v>44995</v>
      </c>
      <c r="Q361">
        <v>3.77</v>
      </c>
      <c r="R361" s="2">
        <v>44669</v>
      </c>
      <c r="S361">
        <v>1.44</v>
      </c>
      <c r="U361" s="2">
        <v>45169</v>
      </c>
      <c r="V361">
        <v>3.72519</v>
      </c>
      <c r="W361">
        <v>3.7187299999999999</v>
      </c>
      <c r="X361">
        <v>3.7469999999999999</v>
      </c>
      <c r="Y361">
        <v>3.8570000000000002</v>
      </c>
      <c r="Z361">
        <v>3.7651300000000001</v>
      </c>
      <c r="AA361">
        <v>3.74</v>
      </c>
      <c r="AC361">
        <v>3.72</v>
      </c>
      <c r="AD361">
        <v>1.206</v>
      </c>
    </row>
    <row r="362" spans="2:30">
      <c r="B362" s="2">
        <v>44992</v>
      </c>
      <c r="C362">
        <v>3.8039999999999998</v>
      </c>
      <c r="D362" s="2">
        <v>44994</v>
      </c>
      <c r="E362">
        <v>3.8580000000000001</v>
      </c>
      <c r="F362" s="2">
        <v>44994</v>
      </c>
      <c r="G362">
        <v>3.8149999999999999</v>
      </c>
      <c r="H362" s="2">
        <v>44995</v>
      </c>
      <c r="I362">
        <v>3.72</v>
      </c>
      <c r="J362" s="2">
        <v>44994</v>
      </c>
      <c r="K362">
        <v>3.625</v>
      </c>
      <c r="L362" s="2">
        <v>44995</v>
      </c>
      <c r="M362">
        <v>3.4319999999999999</v>
      </c>
      <c r="N362" s="2">
        <v>43628</v>
      </c>
      <c r="O362">
        <v>1.698</v>
      </c>
      <c r="P362" s="2">
        <v>44994</v>
      </c>
      <c r="Q362">
        <v>3.9249999999999998</v>
      </c>
      <c r="R362" s="2">
        <v>44666</v>
      </c>
      <c r="S362">
        <v>1.38</v>
      </c>
      <c r="U362" s="2">
        <v>45168</v>
      </c>
      <c r="V362">
        <v>3.7349999999999999</v>
      </c>
      <c r="W362">
        <v>3.74</v>
      </c>
      <c r="X362">
        <v>3.78</v>
      </c>
      <c r="Y362">
        <v>3.8109999999999999</v>
      </c>
      <c r="Z362">
        <v>3.82</v>
      </c>
      <c r="AA362">
        <v>3.78</v>
      </c>
      <c r="AB362">
        <v>3.72</v>
      </c>
      <c r="AC362">
        <v>3.76</v>
      </c>
      <c r="AD362">
        <v>1.246</v>
      </c>
    </row>
    <row r="363" spans="2:30">
      <c r="B363" s="2">
        <v>44991</v>
      </c>
      <c r="C363">
        <v>3.8290000000000002</v>
      </c>
      <c r="D363" s="2">
        <v>44993</v>
      </c>
      <c r="E363">
        <v>3.83</v>
      </c>
      <c r="F363" s="2">
        <v>44993</v>
      </c>
      <c r="G363">
        <v>3.8203399999999998</v>
      </c>
      <c r="H363" s="2">
        <v>44994</v>
      </c>
      <c r="I363">
        <v>3.7029999999999998</v>
      </c>
      <c r="J363" s="2">
        <v>44993</v>
      </c>
      <c r="K363">
        <v>3.6219999999999999</v>
      </c>
      <c r="L363" s="2">
        <v>44994</v>
      </c>
      <c r="M363">
        <v>3.5819999999999999</v>
      </c>
      <c r="N363" s="2">
        <v>43570</v>
      </c>
      <c r="O363">
        <v>1.88</v>
      </c>
      <c r="P363" s="2">
        <v>44993</v>
      </c>
      <c r="Q363">
        <v>3.9049999999999998</v>
      </c>
      <c r="R363" s="2">
        <v>44665</v>
      </c>
      <c r="S363">
        <v>1.36</v>
      </c>
      <c r="U363" s="2">
        <v>45167</v>
      </c>
      <c r="V363">
        <v>3.75</v>
      </c>
      <c r="W363">
        <v>3.74</v>
      </c>
      <c r="X363">
        <v>3.7850000000000001</v>
      </c>
      <c r="Y363">
        <v>3.847</v>
      </c>
      <c r="Z363">
        <v>3.8149999999999999</v>
      </c>
      <c r="AA363">
        <v>3.78</v>
      </c>
      <c r="AB363">
        <v>3.7170000000000001</v>
      </c>
      <c r="AC363">
        <v>3.77</v>
      </c>
      <c r="AD363">
        <v>1.244</v>
      </c>
    </row>
    <row r="364" spans="2:30">
      <c r="B364" s="2">
        <v>44988</v>
      </c>
      <c r="C364">
        <v>3.8981300000000001</v>
      </c>
      <c r="D364" s="2">
        <v>44992</v>
      </c>
      <c r="E364">
        <v>3.7269999999999999</v>
      </c>
      <c r="F364" s="2">
        <v>44992</v>
      </c>
      <c r="G364">
        <v>3.7120000000000002</v>
      </c>
      <c r="H364" s="2">
        <v>44993</v>
      </c>
      <c r="I364">
        <v>3.7</v>
      </c>
      <c r="J364" s="2">
        <v>44992</v>
      </c>
      <c r="K364">
        <v>3.5950000000000002</v>
      </c>
      <c r="L364" s="2">
        <v>44993</v>
      </c>
      <c r="M364">
        <v>3.5819999999999999</v>
      </c>
      <c r="N364" s="2">
        <v>43567</v>
      </c>
      <c r="O364">
        <v>1.88</v>
      </c>
      <c r="P364" s="2">
        <v>44992</v>
      </c>
      <c r="Q364">
        <v>3.7749999999999999</v>
      </c>
      <c r="R364" s="2">
        <v>44664</v>
      </c>
      <c r="S364">
        <v>1.41</v>
      </c>
      <c r="U364" s="2">
        <v>45166</v>
      </c>
      <c r="V364">
        <v>3.798</v>
      </c>
      <c r="W364">
        <v>3.762</v>
      </c>
      <c r="X364">
        <v>3.8</v>
      </c>
      <c r="Y364">
        <v>3.8719999999999999</v>
      </c>
      <c r="Z364">
        <v>3.84</v>
      </c>
      <c r="AA364">
        <v>3.8</v>
      </c>
      <c r="AC364">
        <v>3.81</v>
      </c>
    </row>
    <row r="365" spans="2:30">
      <c r="B365" s="2">
        <v>44987</v>
      </c>
      <c r="C365">
        <v>3.9670000000000001</v>
      </c>
      <c r="D365" s="2">
        <v>44991</v>
      </c>
      <c r="E365">
        <v>3.7650000000000001</v>
      </c>
      <c r="F365" s="2">
        <v>44991</v>
      </c>
      <c r="G365">
        <v>3.8050000000000002</v>
      </c>
      <c r="H365" s="2">
        <v>44992</v>
      </c>
      <c r="I365">
        <v>3.6520000000000001</v>
      </c>
      <c r="J365" s="2">
        <v>44991</v>
      </c>
      <c r="K365">
        <v>3.63</v>
      </c>
      <c r="L365" s="2">
        <v>44992</v>
      </c>
      <c r="M365">
        <v>3.5550000000000002</v>
      </c>
      <c r="N365" s="2">
        <v>43553</v>
      </c>
      <c r="O365">
        <v>1.8109999999999999</v>
      </c>
      <c r="P365" s="2">
        <v>44991</v>
      </c>
      <c r="Q365">
        <v>3.8149999999999999</v>
      </c>
      <c r="R365" s="2">
        <v>44663</v>
      </c>
      <c r="S365">
        <v>1.4139999999999999</v>
      </c>
      <c r="U365" s="2">
        <v>45165</v>
      </c>
    </row>
    <row r="366" spans="2:30">
      <c r="B366" s="2">
        <v>44985</v>
      </c>
      <c r="C366">
        <v>3.8660000000000001</v>
      </c>
      <c r="D366" s="2">
        <v>44988</v>
      </c>
      <c r="E366">
        <v>3.79</v>
      </c>
      <c r="F366" s="2">
        <v>44988</v>
      </c>
      <c r="G366">
        <v>3.8050000000000002</v>
      </c>
      <c r="H366" s="2">
        <v>44991</v>
      </c>
      <c r="I366">
        <v>3.7149999999999999</v>
      </c>
      <c r="J366" s="2">
        <v>44988</v>
      </c>
      <c r="K366">
        <v>3.6749999999999998</v>
      </c>
      <c r="L366" s="2">
        <v>44991</v>
      </c>
      <c r="M366">
        <v>3.57</v>
      </c>
      <c r="N366" s="2">
        <v>43552</v>
      </c>
      <c r="O366">
        <v>1.796</v>
      </c>
      <c r="P366" s="2">
        <v>44988</v>
      </c>
      <c r="Q366">
        <v>3.9449999999999998</v>
      </c>
      <c r="R366" s="2">
        <v>44662</v>
      </c>
      <c r="S366">
        <v>1.3</v>
      </c>
      <c r="U366" s="2">
        <v>45164</v>
      </c>
    </row>
    <row r="367" spans="2:30">
      <c r="B367" s="2">
        <v>44984</v>
      </c>
      <c r="C367">
        <v>3.7650000000000001</v>
      </c>
      <c r="D367" s="2">
        <v>44987</v>
      </c>
      <c r="E367">
        <v>3.944</v>
      </c>
      <c r="F367" s="2">
        <v>44987</v>
      </c>
      <c r="G367">
        <v>3.9049999999999998</v>
      </c>
      <c r="H367" s="2">
        <v>44988</v>
      </c>
      <c r="I367">
        <v>3.7719999999999998</v>
      </c>
      <c r="J367" s="2">
        <v>44987</v>
      </c>
      <c r="K367">
        <v>3.72</v>
      </c>
      <c r="L367" s="2">
        <v>44988</v>
      </c>
      <c r="M367">
        <v>3.6219999999999999</v>
      </c>
      <c r="N367" s="2">
        <v>43539</v>
      </c>
      <c r="O367">
        <v>1.9810000000000001</v>
      </c>
      <c r="P367" s="2">
        <v>44987</v>
      </c>
      <c r="Q367">
        <v>3.97</v>
      </c>
      <c r="R367" s="2">
        <v>44659</v>
      </c>
      <c r="S367">
        <v>1.2</v>
      </c>
      <c r="U367" s="2">
        <v>45163</v>
      </c>
      <c r="V367">
        <v>3.7890000000000001</v>
      </c>
      <c r="W367">
        <v>3.77</v>
      </c>
      <c r="X367">
        <v>3.8370000000000002</v>
      </c>
      <c r="Y367">
        <v>3.93</v>
      </c>
      <c r="Z367">
        <v>3.86</v>
      </c>
      <c r="AA367">
        <v>3.8370000000000002</v>
      </c>
      <c r="AC367">
        <v>3.7970000000000002</v>
      </c>
    </row>
    <row r="368" spans="2:30">
      <c r="B368" s="2">
        <v>44981</v>
      </c>
      <c r="C368">
        <v>3.65</v>
      </c>
      <c r="D368" s="2">
        <v>44985</v>
      </c>
      <c r="E368">
        <v>3.79</v>
      </c>
      <c r="F368" s="2">
        <v>44985</v>
      </c>
      <c r="G368">
        <v>3.8220000000000001</v>
      </c>
      <c r="H368" s="2">
        <v>44987</v>
      </c>
      <c r="I368">
        <v>3.84</v>
      </c>
      <c r="J368" s="2">
        <v>44985</v>
      </c>
      <c r="K368">
        <v>3.6080000000000001</v>
      </c>
      <c r="L368" s="2">
        <v>44987</v>
      </c>
      <c r="M368">
        <v>3.661</v>
      </c>
      <c r="N368" s="2">
        <v>43538</v>
      </c>
      <c r="O368">
        <v>2</v>
      </c>
      <c r="P368" s="2">
        <v>44985</v>
      </c>
      <c r="Q368">
        <v>3.83</v>
      </c>
      <c r="R368" s="2">
        <v>44658</v>
      </c>
      <c r="S368">
        <v>1.1719999999999999</v>
      </c>
      <c r="U368" s="2">
        <v>45162</v>
      </c>
      <c r="V368">
        <v>3.76</v>
      </c>
      <c r="W368">
        <v>3.7549999999999999</v>
      </c>
      <c r="X368">
        <v>3.8450000000000002</v>
      </c>
      <c r="Y368">
        <v>3.875</v>
      </c>
      <c r="Z368">
        <v>3.8319999999999999</v>
      </c>
      <c r="AA368">
        <v>3.77</v>
      </c>
      <c r="AC368">
        <v>3.7650000000000001</v>
      </c>
    </row>
    <row r="369" spans="2:30">
      <c r="B369" s="2">
        <v>44980</v>
      </c>
      <c r="C369">
        <v>3.7010000000000001</v>
      </c>
      <c r="D369" s="2">
        <v>44984</v>
      </c>
      <c r="E369">
        <v>3.7</v>
      </c>
      <c r="F369" s="2">
        <v>44984</v>
      </c>
      <c r="G369">
        <v>3.702</v>
      </c>
      <c r="H369" s="2">
        <v>44985</v>
      </c>
      <c r="I369">
        <v>3.7629999999999999</v>
      </c>
      <c r="J369" s="2">
        <v>44984</v>
      </c>
      <c r="K369">
        <v>3.53</v>
      </c>
      <c r="L369" s="2">
        <v>44985</v>
      </c>
      <c r="M369">
        <v>3.5613000000000001</v>
      </c>
      <c r="N369" s="2">
        <v>43514</v>
      </c>
      <c r="O369">
        <v>1.9610000000000001</v>
      </c>
      <c r="P369" s="2">
        <v>44984</v>
      </c>
      <c r="Q369">
        <v>3.7749999999999999</v>
      </c>
      <c r="R369" s="2">
        <v>44657</v>
      </c>
      <c r="S369">
        <v>1.167</v>
      </c>
      <c r="U369" s="2">
        <v>45161</v>
      </c>
      <c r="V369">
        <v>3.74</v>
      </c>
      <c r="W369">
        <v>3.77</v>
      </c>
      <c r="X369">
        <v>3.83</v>
      </c>
      <c r="Y369">
        <v>3.9249999999999998</v>
      </c>
      <c r="Z369">
        <v>3.87</v>
      </c>
      <c r="AA369">
        <v>3.8149999999999999</v>
      </c>
      <c r="AC369">
        <v>3.7869999999999999</v>
      </c>
      <c r="AD369">
        <v>1.3049999999999999</v>
      </c>
    </row>
    <row r="370" spans="2:30">
      <c r="B370" s="2">
        <v>44979</v>
      </c>
      <c r="C370">
        <v>3.76</v>
      </c>
      <c r="D370" s="2">
        <v>44981</v>
      </c>
      <c r="E370">
        <v>3.55</v>
      </c>
      <c r="F370" s="2">
        <v>44981</v>
      </c>
      <c r="G370">
        <v>3.552</v>
      </c>
      <c r="H370" s="2">
        <v>44984</v>
      </c>
      <c r="I370">
        <v>3.6320000000000001</v>
      </c>
      <c r="J370" s="2">
        <v>44981</v>
      </c>
      <c r="K370">
        <v>3.4550000000000001</v>
      </c>
      <c r="L370" s="2">
        <v>44984</v>
      </c>
      <c r="M370">
        <v>3.49</v>
      </c>
      <c r="N370" s="2">
        <v>43511</v>
      </c>
      <c r="O370">
        <v>1.97</v>
      </c>
      <c r="P370" s="2">
        <v>44981</v>
      </c>
      <c r="Q370">
        <v>3.6619999999999999</v>
      </c>
      <c r="R370" s="2">
        <v>44656</v>
      </c>
      <c r="S370">
        <v>0.97</v>
      </c>
      <c r="U370" s="2">
        <v>45160</v>
      </c>
      <c r="V370">
        <v>3.7829999999999999</v>
      </c>
      <c r="W370">
        <v>3.79</v>
      </c>
      <c r="X370">
        <v>3.8650000000000002</v>
      </c>
      <c r="Y370">
        <v>3.99</v>
      </c>
      <c r="Z370">
        <v>3.9169999999999998</v>
      </c>
      <c r="AA370">
        <v>3.855</v>
      </c>
      <c r="AC370">
        <v>3.8</v>
      </c>
    </row>
    <row r="371" spans="2:30">
      <c r="B371" s="2">
        <v>44978</v>
      </c>
      <c r="C371">
        <v>3.7309999999999999</v>
      </c>
      <c r="D371" s="2">
        <v>44980</v>
      </c>
      <c r="E371">
        <v>3.6019999999999999</v>
      </c>
      <c r="F371" s="2">
        <v>44980</v>
      </c>
      <c r="G371">
        <v>3.63</v>
      </c>
      <c r="H371" s="2">
        <v>44981</v>
      </c>
      <c r="I371">
        <v>3.573</v>
      </c>
      <c r="J371" s="2">
        <v>44980</v>
      </c>
      <c r="K371">
        <v>3.5449999999999999</v>
      </c>
      <c r="L371" s="2">
        <v>44981</v>
      </c>
      <c r="M371">
        <v>3.26</v>
      </c>
      <c r="N371" s="2">
        <v>43510</v>
      </c>
      <c r="O371">
        <v>2.0070000000000001</v>
      </c>
      <c r="P371" s="2">
        <v>44980</v>
      </c>
      <c r="Q371">
        <v>3.7250000000000001</v>
      </c>
      <c r="R371" s="2">
        <v>44655</v>
      </c>
      <c r="S371">
        <v>1.036</v>
      </c>
      <c r="U371" s="2">
        <v>45159</v>
      </c>
      <c r="V371">
        <v>3.7970000000000002</v>
      </c>
      <c r="W371">
        <v>3.79</v>
      </c>
      <c r="X371">
        <v>3.84</v>
      </c>
      <c r="Y371">
        <v>3.93682</v>
      </c>
      <c r="Z371">
        <v>3.8559999999999999</v>
      </c>
      <c r="AA371">
        <v>3.7749999999999999</v>
      </c>
      <c r="AC371">
        <v>3.78</v>
      </c>
      <c r="AD371">
        <v>1.35</v>
      </c>
    </row>
    <row r="372" spans="2:30">
      <c r="B372" s="2">
        <v>44977</v>
      </c>
      <c r="C372">
        <v>3.7650000000000001</v>
      </c>
      <c r="D372" s="2">
        <v>44979</v>
      </c>
      <c r="E372">
        <v>3.62</v>
      </c>
      <c r="F372" s="2">
        <v>44979</v>
      </c>
      <c r="G372">
        <v>3.66</v>
      </c>
      <c r="H372" s="2">
        <v>44980</v>
      </c>
      <c r="I372">
        <v>3.597</v>
      </c>
      <c r="J372" s="2">
        <v>44979</v>
      </c>
      <c r="K372">
        <v>3.58</v>
      </c>
      <c r="L372" s="2">
        <v>44980</v>
      </c>
      <c r="M372">
        <v>3.508</v>
      </c>
      <c r="N372" s="2">
        <v>43497</v>
      </c>
      <c r="O372">
        <v>2.0409999999999999</v>
      </c>
      <c r="P372" s="2">
        <v>44979</v>
      </c>
      <c r="Q372">
        <v>3.77</v>
      </c>
      <c r="R372" s="2">
        <v>44652</v>
      </c>
      <c r="S372">
        <v>0.96</v>
      </c>
      <c r="U372" s="2">
        <v>45158</v>
      </c>
    </row>
    <row r="373" spans="2:30">
      <c r="B373" s="2">
        <v>44974</v>
      </c>
      <c r="C373">
        <v>3.7639999999999998</v>
      </c>
      <c r="D373" s="2">
        <v>44978</v>
      </c>
      <c r="E373">
        <v>3.62</v>
      </c>
      <c r="F373" s="2">
        <v>44978</v>
      </c>
      <c r="G373">
        <v>3.64</v>
      </c>
      <c r="H373" s="2">
        <v>44979</v>
      </c>
      <c r="I373">
        <v>3.6204200000000002</v>
      </c>
      <c r="J373" s="2">
        <v>44978</v>
      </c>
      <c r="K373">
        <v>3.5569999999999999</v>
      </c>
      <c r="L373" s="2">
        <v>44979</v>
      </c>
      <c r="M373">
        <v>3.5470000000000002</v>
      </c>
      <c r="N373" s="2">
        <v>43444</v>
      </c>
      <c r="O373">
        <v>1.95</v>
      </c>
      <c r="P373" s="2">
        <v>44978</v>
      </c>
      <c r="Q373">
        <v>3.7</v>
      </c>
      <c r="R373" s="2">
        <v>44651</v>
      </c>
      <c r="S373">
        <v>0.96499999999999997</v>
      </c>
      <c r="U373" s="2">
        <v>45157</v>
      </c>
    </row>
    <row r="374" spans="2:30">
      <c r="B374" s="2">
        <v>44973</v>
      </c>
      <c r="C374">
        <v>3.5950000000000002</v>
      </c>
      <c r="D374" s="2">
        <v>44977</v>
      </c>
      <c r="E374">
        <v>3.6850000000000001</v>
      </c>
      <c r="F374" s="2">
        <v>44977</v>
      </c>
      <c r="G374">
        <v>3.6949999999999998</v>
      </c>
      <c r="H374" s="2">
        <v>44978</v>
      </c>
      <c r="I374">
        <v>3.61</v>
      </c>
      <c r="J374" s="2">
        <v>44977</v>
      </c>
      <c r="K374">
        <v>3.5950000000000002</v>
      </c>
      <c r="L374" s="2">
        <v>44978</v>
      </c>
      <c r="M374">
        <v>3.5550000000000002</v>
      </c>
      <c r="N374" s="2">
        <v>43441</v>
      </c>
      <c r="O374">
        <v>1.95</v>
      </c>
      <c r="P374" s="2">
        <v>44977</v>
      </c>
      <c r="Q374">
        <v>3.7450000000000001</v>
      </c>
      <c r="R374" s="2">
        <v>44650</v>
      </c>
      <c r="S374">
        <v>0.96</v>
      </c>
      <c r="U374" s="2">
        <v>45156</v>
      </c>
      <c r="V374">
        <v>3.7050000000000001</v>
      </c>
      <c r="W374">
        <v>3.73</v>
      </c>
      <c r="X374">
        <v>3.7970000000000002</v>
      </c>
      <c r="Y374">
        <v>3.87</v>
      </c>
      <c r="Z374">
        <v>3.8250000000000002</v>
      </c>
      <c r="AA374">
        <v>3.7839999999999998</v>
      </c>
      <c r="AC374">
        <v>3.782</v>
      </c>
      <c r="AD374">
        <v>1.3420000000000001</v>
      </c>
    </row>
    <row r="375" spans="2:30">
      <c r="B375" s="2">
        <v>44972</v>
      </c>
      <c r="C375">
        <v>3.59</v>
      </c>
      <c r="D375" s="2">
        <v>44974</v>
      </c>
      <c r="E375">
        <v>3.64</v>
      </c>
      <c r="F375" s="2">
        <v>44974</v>
      </c>
      <c r="G375">
        <v>3.64</v>
      </c>
      <c r="H375" s="2">
        <v>44977</v>
      </c>
      <c r="I375">
        <v>3.59</v>
      </c>
      <c r="J375" s="2">
        <v>44974</v>
      </c>
      <c r="K375">
        <v>3.53</v>
      </c>
      <c r="L375" s="2">
        <v>44977</v>
      </c>
      <c r="M375">
        <v>3.5449999999999999</v>
      </c>
      <c r="N375" s="2">
        <v>43356</v>
      </c>
      <c r="O375">
        <v>2.09</v>
      </c>
      <c r="P375" s="2">
        <v>44974</v>
      </c>
      <c r="Q375">
        <v>3.6949999999999998</v>
      </c>
      <c r="R375" s="2">
        <v>44649</v>
      </c>
      <c r="S375">
        <v>0.98</v>
      </c>
      <c r="U375" s="2">
        <v>45155</v>
      </c>
      <c r="V375">
        <v>3.782</v>
      </c>
      <c r="W375">
        <v>3.7829999999999999</v>
      </c>
      <c r="X375">
        <v>3.8450000000000002</v>
      </c>
      <c r="Y375">
        <v>3.9649999999999999</v>
      </c>
      <c r="Z375">
        <v>3.8849999999999998</v>
      </c>
      <c r="AA375">
        <v>3.8370000000000002</v>
      </c>
      <c r="AB375">
        <v>3.7669999999999999</v>
      </c>
      <c r="AC375">
        <v>3.7850000000000001</v>
      </c>
    </row>
    <row r="376" spans="2:30">
      <c r="B376" s="2">
        <v>44971</v>
      </c>
      <c r="C376">
        <v>3.5</v>
      </c>
      <c r="D376" s="2">
        <v>44973</v>
      </c>
      <c r="E376">
        <v>3.5049999999999999</v>
      </c>
      <c r="F376" s="2">
        <v>44973</v>
      </c>
      <c r="G376">
        <v>3.5019999999999998</v>
      </c>
      <c r="H376" s="2">
        <v>44974</v>
      </c>
      <c r="I376">
        <v>3.62</v>
      </c>
      <c r="J376" s="2">
        <v>44973</v>
      </c>
      <c r="K376">
        <v>3.4</v>
      </c>
      <c r="L376" s="2">
        <v>44974</v>
      </c>
      <c r="M376">
        <v>3.49</v>
      </c>
      <c r="N376" s="2">
        <v>43355</v>
      </c>
      <c r="O376">
        <v>2.09</v>
      </c>
      <c r="P376" s="2">
        <v>44973</v>
      </c>
      <c r="Q376">
        <v>3.5579999999999998</v>
      </c>
      <c r="R376" s="2">
        <v>44648</v>
      </c>
      <c r="S376">
        <v>1.02</v>
      </c>
      <c r="U376" s="2">
        <v>45154</v>
      </c>
      <c r="V376">
        <v>3.7320000000000002</v>
      </c>
      <c r="W376">
        <v>3.7</v>
      </c>
      <c r="X376">
        <v>3.7679999999999998</v>
      </c>
      <c r="Y376">
        <v>3.85005</v>
      </c>
      <c r="Z376">
        <v>3.8170000000000002</v>
      </c>
      <c r="AA376">
        <v>3.762</v>
      </c>
      <c r="AC376">
        <v>3.7269999999999999</v>
      </c>
      <c r="AD376">
        <v>1.33</v>
      </c>
    </row>
    <row r="377" spans="2:30">
      <c r="B377" s="2">
        <v>44970</v>
      </c>
      <c r="C377">
        <v>3.51</v>
      </c>
      <c r="D377" s="2">
        <v>44972</v>
      </c>
      <c r="E377">
        <v>3.5</v>
      </c>
      <c r="F377" s="2">
        <v>44972</v>
      </c>
      <c r="G377">
        <v>3.51</v>
      </c>
      <c r="H377" s="2">
        <v>44973</v>
      </c>
      <c r="I377">
        <v>3.4750000000000001</v>
      </c>
      <c r="J377" s="2">
        <v>44972</v>
      </c>
      <c r="K377">
        <v>3.4</v>
      </c>
      <c r="L377" s="2">
        <v>44973</v>
      </c>
      <c r="M377">
        <v>3.35</v>
      </c>
      <c r="N377" s="2">
        <v>43272</v>
      </c>
      <c r="O377">
        <v>2.5089999999999999</v>
      </c>
      <c r="P377" s="2">
        <v>44972</v>
      </c>
      <c r="Q377">
        <v>3.55</v>
      </c>
      <c r="R377" s="2">
        <v>44645</v>
      </c>
      <c r="S377">
        <v>0.91500000000000004</v>
      </c>
      <c r="U377" s="2">
        <v>45153</v>
      </c>
    </row>
    <row r="378" spans="2:30">
      <c r="B378" s="2">
        <v>44967</v>
      </c>
      <c r="C378">
        <v>3.4649999999999999</v>
      </c>
      <c r="D378" s="2">
        <v>44971</v>
      </c>
      <c r="E378">
        <v>3.427</v>
      </c>
      <c r="F378" s="2">
        <v>44971</v>
      </c>
      <c r="G378">
        <v>3.4169999999999998</v>
      </c>
      <c r="H378" s="2">
        <v>44972</v>
      </c>
      <c r="I378">
        <v>3.4820000000000002</v>
      </c>
      <c r="J378" s="2">
        <v>44971</v>
      </c>
      <c r="K378">
        <v>3.34</v>
      </c>
      <c r="L378" s="2">
        <v>44972</v>
      </c>
      <c r="M378">
        <v>3.3540000000000001</v>
      </c>
      <c r="N378" s="2">
        <v>43244</v>
      </c>
      <c r="O378">
        <v>2.76</v>
      </c>
      <c r="P378" s="2">
        <v>44971</v>
      </c>
      <c r="Q378">
        <v>3.4750000000000001</v>
      </c>
      <c r="R378" s="2">
        <v>44644</v>
      </c>
      <c r="S378">
        <v>0.89500000000000002</v>
      </c>
      <c r="U378" s="2">
        <v>45152</v>
      </c>
      <c r="V378">
        <v>3.74</v>
      </c>
      <c r="W378">
        <v>3.75</v>
      </c>
      <c r="X378">
        <v>3.7949999999999999</v>
      </c>
      <c r="Y378">
        <v>3.9</v>
      </c>
      <c r="Z378">
        <v>3.8250000000000002</v>
      </c>
      <c r="AA378">
        <v>3.7669999999999999</v>
      </c>
      <c r="AB378">
        <v>3.69</v>
      </c>
      <c r="AC378">
        <v>3.77</v>
      </c>
      <c r="AD378">
        <v>1.345</v>
      </c>
    </row>
    <row r="379" spans="2:30">
      <c r="B379" s="2">
        <v>44966</v>
      </c>
      <c r="C379">
        <v>3.4849999999999999</v>
      </c>
      <c r="D379" s="2">
        <v>44970</v>
      </c>
      <c r="E379">
        <v>3.4449999999999998</v>
      </c>
      <c r="F379" s="2">
        <v>44970</v>
      </c>
      <c r="G379">
        <v>3.4550000000000001</v>
      </c>
      <c r="H379" s="2">
        <v>44971</v>
      </c>
      <c r="I379">
        <v>3.395</v>
      </c>
      <c r="J379" s="2">
        <v>44970</v>
      </c>
      <c r="K379">
        <v>3.3849999999999998</v>
      </c>
      <c r="L379" s="2">
        <v>44971</v>
      </c>
      <c r="M379">
        <v>3.302</v>
      </c>
      <c r="N379" s="2">
        <v>43192</v>
      </c>
      <c r="O379">
        <v>2.7050000000000001</v>
      </c>
      <c r="P379" s="2">
        <v>44970</v>
      </c>
      <c r="Q379">
        <v>3.5</v>
      </c>
      <c r="R379" s="2">
        <v>44643</v>
      </c>
      <c r="S379">
        <v>0.80600000000000005</v>
      </c>
      <c r="U379" s="2">
        <v>45151</v>
      </c>
    </row>
    <row r="380" spans="2:30">
      <c r="B380" s="2">
        <v>44965</v>
      </c>
      <c r="C380">
        <v>3.41</v>
      </c>
      <c r="D380" s="2">
        <v>44967</v>
      </c>
      <c r="E380">
        <v>3.39</v>
      </c>
      <c r="F380" s="2">
        <v>44967</v>
      </c>
      <c r="G380">
        <v>3.38036</v>
      </c>
      <c r="H380" s="2">
        <v>44970</v>
      </c>
      <c r="I380">
        <v>3.4169999999999998</v>
      </c>
      <c r="J380" s="2">
        <v>44967</v>
      </c>
      <c r="K380">
        <v>3.33</v>
      </c>
      <c r="L380" s="2">
        <v>44970</v>
      </c>
      <c r="M380">
        <v>3.35</v>
      </c>
      <c r="N380" s="2">
        <v>43175</v>
      </c>
      <c r="O380">
        <v>2.64</v>
      </c>
      <c r="P380" s="2">
        <v>44967</v>
      </c>
      <c r="Q380">
        <v>3.4550000000000001</v>
      </c>
      <c r="R380" s="2">
        <v>44642</v>
      </c>
      <c r="S380">
        <v>0.90500000000000003</v>
      </c>
      <c r="U380" s="2">
        <v>45150</v>
      </c>
    </row>
    <row r="381" spans="2:30">
      <c r="B381" s="2">
        <v>44964</v>
      </c>
      <c r="C381">
        <v>3.4449999999999998</v>
      </c>
      <c r="D381" s="2">
        <v>44966</v>
      </c>
      <c r="E381">
        <v>3.33</v>
      </c>
      <c r="F381" s="2">
        <v>44966</v>
      </c>
      <c r="G381">
        <v>3.2749999999999999</v>
      </c>
      <c r="H381" s="2">
        <v>44967</v>
      </c>
      <c r="I381">
        <v>3.355</v>
      </c>
      <c r="J381" s="2">
        <v>44966</v>
      </c>
      <c r="K381">
        <v>3.3170000000000002</v>
      </c>
      <c r="L381" s="2">
        <v>44967</v>
      </c>
      <c r="M381">
        <v>3.3</v>
      </c>
      <c r="N381" s="2">
        <v>43174</v>
      </c>
      <c r="O381">
        <v>2.64</v>
      </c>
      <c r="P381" s="2">
        <v>44966</v>
      </c>
      <c r="Q381">
        <v>3.4649999999999999</v>
      </c>
      <c r="R381" s="2">
        <v>44641</v>
      </c>
      <c r="S381">
        <v>0.85499999999999998</v>
      </c>
      <c r="U381" s="2">
        <v>45149</v>
      </c>
      <c r="V381">
        <v>3.72</v>
      </c>
      <c r="W381">
        <v>3.6949999999999998</v>
      </c>
      <c r="X381">
        <v>3.7570000000000001</v>
      </c>
      <c r="Y381">
        <v>3.8170000000000002</v>
      </c>
      <c r="Z381">
        <v>3.7650000000000001</v>
      </c>
      <c r="AA381">
        <v>3.722</v>
      </c>
      <c r="AB381">
        <v>3.69</v>
      </c>
      <c r="AC381">
        <v>3.7320000000000002</v>
      </c>
      <c r="AD381">
        <v>1.3</v>
      </c>
    </row>
    <row r="382" spans="2:30">
      <c r="B382" s="2">
        <v>44963</v>
      </c>
      <c r="C382">
        <v>3.4049999999999998</v>
      </c>
      <c r="D382" s="2">
        <v>44965</v>
      </c>
      <c r="E382">
        <v>3.3479999999999999</v>
      </c>
      <c r="F382" s="2">
        <v>44965</v>
      </c>
      <c r="G382">
        <v>3.28</v>
      </c>
      <c r="H382" s="2">
        <v>44966</v>
      </c>
      <c r="I382">
        <v>3.35</v>
      </c>
      <c r="J382" s="2">
        <v>44965</v>
      </c>
      <c r="K382">
        <v>3.2919999999999998</v>
      </c>
      <c r="L382" s="2">
        <v>44966</v>
      </c>
      <c r="M382">
        <v>3.2919999999999998</v>
      </c>
      <c r="N382" s="2">
        <v>43150</v>
      </c>
      <c r="O382">
        <v>2.7450000000000001</v>
      </c>
      <c r="P382" s="2">
        <v>44965</v>
      </c>
      <c r="Q382">
        <v>3.4</v>
      </c>
      <c r="R382" s="2">
        <v>44638</v>
      </c>
      <c r="S382">
        <v>0.87</v>
      </c>
      <c r="U382" s="2">
        <v>45148</v>
      </c>
      <c r="V382">
        <v>3.72</v>
      </c>
      <c r="W382">
        <v>3.6850000000000001</v>
      </c>
      <c r="X382">
        <v>3.7050000000000001</v>
      </c>
      <c r="Y382">
        <v>3.7850000000000001</v>
      </c>
      <c r="Z382">
        <v>3.7149999999999999</v>
      </c>
      <c r="AA382">
        <v>3.6850000000000001</v>
      </c>
      <c r="AC382">
        <v>3.75</v>
      </c>
    </row>
    <row r="383" spans="2:30">
      <c r="B383" s="2">
        <v>44960</v>
      </c>
      <c r="C383">
        <v>3.2509999999999999</v>
      </c>
      <c r="D383" s="2">
        <v>44964</v>
      </c>
      <c r="E383">
        <v>3.3050000000000002</v>
      </c>
      <c r="F383" s="2">
        <v>44964</v>
      </c>
      <c r="G383">
        <v>3.31</v>
      </c>
      <c r="H383" s="2">
        <v>44965</v>
      </c>
      <c r="I383">
        <v>3.2919999999999998</v>
      </c>
      <c r="J383" s="2">
        <v>44964</v>
      </c>
      <c r="K383">
        <v>3.282</v>
      </c>
      <c r="L383" s="2">
        <v>44965</v>
      </c>
      <c r="M383">
        <v>3.3</v>
      </c>
      <c r="N383" s="2">
        <v>43131</v>
      </c>
      <c r="O383">
        <v>2.7</v>
      </c>
      <c r="P383" s="2">
        <v>44964</v>
      </c>
      <c r="Q383">
        <v>3.44</v>
      </c>
      <c r="R383" s="2">
        <v>44637</v>
      </c>
      <c r="S383">
        <v>0.93</v>
      </c>
      <c r="U383" s="2">
        <v>45147</v>
      </c>
      <c r="V383">
        <v>3.7050000000000001</v>
      </c>
      <c r="W383">
        <v>3.6640000000000001</v>
      </c>
      <c r="X383">
        <v>3.6949999999999998</v>
      </c>
      <c r="Y383">
        <v>3.78</v>
      </c>
      <c r="Z383">
        <v>3.6949999999999998</v>
      </c>
      <c r="AA383">
        <v>3.6869999999999998</v>
      </c>
      <c r="AC383">
        <v>3.7</v>
      </c>
      <c r="AD383">
        <v>1.268</v>
      </c>
    </row>
    <row r="384" spans="2:30">
      <c r="B384" s="2">
        <v>44959</v>
      </c>
      <c r="C384">
        <v>3.335</v>
      </c>
      <c r="D384" s="2">
        <v>44963</v>
      </c>
      <c r="E384">
        <v>3.2919999999999998</v>
      </c>
      <c r="F384" s="2">
        <v>44963</v>
      </c>
      <c r="G384">
        <v>3.2709999999999999</v>
      </c>
      <c r="H384" s="2">
        <v>44964</v>
      </c>
      <c r="I384">
        <v>3.3119999999999998</v>
      </c>
      <c r="J384" s="2">
        <v>44963</v>
      </c>
      <c r="K384">
        <v>3.2949999999999999</v>
      </c>
      <c r="L384" s="2">
        <v>44964</v>
      </c>
      <c r="M384">
        <v>3.2770000000000001</v>
      </c>
      <c r="N384" s="2">
        <v>43130</v>
      </c>
      <c r="O384">
        <v>2.7050000000000001</v>
      </c>
      <c r="P384" s="2">
        <v>44963</v>
      </c>
      <c r="Q384">
        <v>3.4</v>
      </c>
      <c r="R384" s="2">
        <v>44636</v>
      </c>
      <c r="S384">
        <v>1.0160899999999999</v>
      </c>
      <c r="U384" s="2">
        <v>45146</v>
      </c>
      <c r="V384">
        <v>3.7080000000000002</v>
      </c>
      <c r="W384">
        <v>3.6469999999999998</v>
      </c>
      <c r="X384">
        <v>3.6722800000000002</v>
      </c>
      <c r="Y384">
        <v>3.74</v>
      </c>
      <c r="Z384">
        <v>3.7</v>
      </c>
      <c r="AA384">
        <v>3.702</v>
      </c>
      <c r="AB384">
        <v>3.65</v>
      </c>
      <c r="AC384">
        <v>3.6949999999999998</v>
      </c>
    </row>
    <row r="385" spans="2:30">
      <c r="B385" s="2">
        <v>44958</v>
      </c>
      <c r="C385">
        <v>3.403</v>
      </c>
      <c r="D385" s="2">
        <v>44960</v>
      </c>
      <c r="E385">
        <v>3.19</v>
      </c>
      <c r="F385" s="2">
        <v>44960</v>
      </c>
      <c r="G385">
        <v>3.105</v>
      </c>
      <c r="H385" s="2">
        <v>44963</v>
      </c>
      <c r="I385">
        <v>3.29</v>
      </c>
      <c r="J385" s="2">
        <v>44960</v>
      </c>
      <c r="K385">
        <v>3.19</v>
      </c>
      <c r="L385" s="2">
        <v>44963</v>
      </c>
      <c r="M385">
        <v>3.2850000000000001</v>
      </c>
      <c r="N385" s="2">
        <v>43115</v>
      </c>
      <c r="O385">
        <v>2.5299999999999998</v>
      </c>
      <c r="P385" s="2">
        <v>44960</v>
      </c>
      <c r="Q385">
        <v>3.24</v>
      </c>
      <c r="R385" s="2">
        <v>44634</v>
      </c>
      <c r="S385">
        <v>0.93400000000000005</v>
      </c>
      <c r="U385" s="2">
        <v>45145</v>
      </c>
      <c r="V385">
        <v>3.73</v>
      </c>
      <c r="W385">
        <v>3.7229999999999999</v>
      </c>
      <c r="X385">
        <v>3.722</v>
      </c>
      <c r="Y385">
        <v>3.8740000000000001</v>
      </c>
      <c r="Z385">
        <v>3.7650000000000001</v>
      </c>
      <c r="AA385">
        <v>3.7250000000000001</v>
      </c>
      <c r="AC385">
        <v>3.71</v>
      </c>
    </row>
    <row r="386" spans="2:30">
      <c r="B386" s="2">
        <v>44957</v>
      </c>
      <c r="C386">
        <v>3.4350000000000001</v>
      </c>
      <c r="D386" s="2">
        <v>44959</v>
      </c>
      <c r="E386">
        <v>3.29</v>
      </c>
      <c r="F386" s="2">
        <v>44959</v>
      </c>
      <c r="G386">
        <v>3.25</v>
      </c>
      <c r="H386" s="2">
        <v>44960</v>
      </c>
      <c r="I386">
        <v>3.1469999999999998</v>
      </c>
      <c r="J386" s="2">
        <v>44959</v>
      </c>
      <c r="K386">
        <v>3.2469999999999999</v>
      </c>
      <c r="L386" s="2">
        <v>44960</v>
      </c>
      <c r="M386">
        <v>3.1960000000000002</v>
      </c>
      <c r="N386" s="2">
        <v>43096</v>
      </c>
      <c r="O386">
        <v>2.46</v>
      </c>
      <c r="P386" s="2">
        <v>44959</v>
      </c>
      <c r="Q386">
        <v>3.3050000000000002</v>
      </c>
      <c r="R386" s="2">
        <v>44631</v>
      </c>
      <c r="S386">
        <v>0.92600000000000005</v>
      </c>
      <c r="U386" s="2">
        <v>45144</v>
      </c>
    </row>
    <row r="387" spans="2:30">
      <c r="B387" s="2">
        <v>44956</v>
      </c>
      <c r="C387">
        <v>3.3820000000000001</v>
      </c>
      <c r="D387" s="2">
        <v>44958</v>
      </c>
      <c r="E387">
        <v>3.27</v>
      </c>
      <c r="F387" s="2">
        <v>44958</v>
      </c>
      <c r="G387">
        <v>3.242</v>
      </c>
      <c r="H387" s="2">
        <v>44959</v>
      </c>
      <c r="I387">
        <v>3.22</v>
      </c>
      <c r="J387" s="2">
        <v>44958</v>
      </c>
      <c r="K387">
        <v>3.2749999999999999</v>
      </c>
      <c r="L387" s="2">
        <v>44959</v>
      </c>
      <c r="M387">
        <v>3.26</v>
      </c>
      <c r="N387" s="2">
        <v>43095</v>
      </c>
      <c r="O387">
        <v>2.44</v>
      </c>
      <c r="P387" s="2">
        <v>44958</v>
      </c>
      <c r="Q387">
        <v>3.415</v>
      </c>
      <c r="R387" s="2">
        <v>44630</v>
      </c>
      <c r="S387">
        <v>0.94</v>
      </c>
      <c r="U387" s="2">
        <v>45143</v>
      </c>
    </row>
    <row r="388" spans="2:30">
      <c r="B388" s="2">
        <v>44953</v>
      </c>
      <c r="C388">
        <v>3.4319999999999999</v>
      </c>
      <c r="D388" s="2">
        <v>44957</v>
      </c>
      <c r="E388">
        <v>3.3149999999999999</v>
      </c>
      <c r="F388" s="2">
        <v>44957</v>
      </c>
      <c r="G388">
        <v>3.302</v>
      </c>
      <c r="H388" s="2">
        <v>44958</v>
      </c>
      <c r="I388">
        <v>3.24</v>
      </c>
      <c r="J388" s="2">
        <v>44957</v>
      </c>
      <c r="K388">
        <v>3.29</v>
      </c>
      <c r="L388" s="2">
        <v>44958</v>
      </c>
      <c r="M388">
        <v>3.24</v>
      </c>
      <c r="N388" s="2">
        <v>43020</v>
      </c>
      <c r="O388">
        <v>2.367</v>
      </c>
      <c r="P388" s="2">
        <v>44957</v>
      </c>
      <c r="Q388">
        <v>3.44</v>
      </c>
      <c r="R388" s="2">
        <v>44628</v>
      </c>
      <c r="S388">
        <v>0.86099999999999999</v>
      </c>
      <c r="U388" s="2">
        <v>45142</v>
      </c>
      <c r="V388">
        <v>3.74</v>
      </c>
      <c r="W388">
        <v>3.7349999999999999</v>
      </c>
      <c r="X388">
        <v>3.76</v>
      </c>
      <c r="Y388">
        <v>3.8719999999999999</v>
      </c>
      <c r="Z388">
        <v>3.8</v>
      </c>
      <c r="AA388">
        <v>3.7519999999999998</v>
      </c>
      <c r="AB388">
        <v>3.702</v>
      </c>
      <c r="AC388">
        <v>3.7749999999999999</v>
      </c>
      <c r="AD388">
        <v>1.302</v>
      </c>
    </row>
    <row r="389" spans="2:30">
      <c r="B389" s="2">
        <v>44952</v>
      </c>
      <c r="C389">
        <v>3.37</v>
      </c>
      <c r="D389" s="2">
        <v>44956</v>
      </c>
      <c r="E389">
        <v>3.2650000000000001</v>
      </c>
      <c r="F389" s="2">
        <v>44956</v>
      </c>
      <c r="G389">
        <v>3.2260399999999998</v>
      </c>
      <c r="H389" s="2">
        <v>44957</v>
      </c>
      <c r="I389">
        <v>3.2850000000000001</v>
      </c>
      <c r="J389" s="2">
        <v>44956</v>
      </c>
      <c r="K389">
        <v>3.28</v>
      </c>
      <c r="L389" s="2">
        <v>44957</v>
      </c>
      <c r="M389">
        <v>3.298</v>
      </c>
      <c r="N389" s="2">
        <v>43005</v>
      </c>
      <c r="O389">
        <v>2.33</v>
      </c>
      <c r="P389" s="2">
        <v>44956</v>
      </c>
      <c r="Q389">
        <v>3.39</v>
      </c>
      <c r="R389" s="2">
        <v>44627</v>
      </c>
      <c r="S389">
        <v>0.88700000000000001</v>
      </c>
      <c r="U389" s="2">
        <v>45141</v>
      </c>
      <c r="V389">
        <v>3.7370000000000001</v>
      </c>
      <c r="W389">
        <v>3.7130000000000001</v>
      </c>
      <c r="X389">
        <v>3.698</v>
      </c>
      <c r="Y389">
        <v>3.7650000000000001</v>
      </c>
      <c r="Z389">
        <v>3.7650000000000001</v>
      </c>
      <c r="AA389">
        <v>3.681</v>
      </c>
      <c r="AB389">
        <v>3.6349999999999998</v>
      </c>
      <c r="AC389">
        <v>3.75</v>
      </c>
      <c r="AD389">
        <v>1.3149999999999999</v>
      </c>
    </row>
    <row r="390" spans="2:30">
      <c r="B390" s="2">
        <v>44951</v>
      </c>
      <c r="C390">
        <v>3.3780000000000001</v>
      </c>
      <c r="D390" s="2">
        <v>44953</v>
      </c>
      <c r="E390">
        <v>3.27</v>
      </c>
      <c r="F390" s="2">
        <v>44953</v>
      </c>
      <c r="G390">
        <v>3.27</v>
      </c>
      <c r="H390" s="2">
        <v>44956</v>
      </c>
      <c r="I390">
        <v>3.2257699999999998</v>
      </c>
      <c r="J390" s="2">
        <v>44953</v>
      </c>
      <c r="K390">
        <v>3.3069999999999999</v>
      </c>
      <c r="L390" s="2">
        <v>44956</v>
      </c>
      <c r="M390">
        <v>3.2650000000000001</v>
      </c>
      <c r="N390" s="2">
        <v>42985</v>
      </c>
      <c r="O390">
        <v>2.327</v>
      </c>
      <c r="P390" s="2">
        <v>44953</v>
      </c>
      <c r="Q390">
        <v>3.4649999999999999</v>
      </c>
      <c r="R390" s="2">
        <v>44624</v>
      </c>
      <c r="S390">
        <v>0.90600000000000003</v>
      </c>
      <c r="U390" s="2">
        <v>45140</v>
      </c>
      <c r="V390">
        <v>3.7410000000000001</v>
      </c>
      <c r="W390">
        <v>3.6909999999999998</v>
      </c>
      <c r="X390">
        <v>3.7130000000000001</v>
      </c>
      <c r="Y390">
        <v>3.7869999999999999</v>
      </c>
      <c r="Z390">
        <v>3.7050000000000001</v>
      </c>
      <c r="AA390">
        <v>3.67</v>
      </c>
      <c r="AC390">
        <v>3.71</v>
      </c>
      <c r="AD390">
        <v>1.2549999999999999</v>
      </c>
    </row>
    <row r="391" spans="2:30">
      <c r="B391" s="2">
        <v>44946</v>
      </c>
      <c r="C391">
        <v>3.3839100000000002</v>
      </c>
      <c r="D391" s="2">
        <v>44952</v>
      </c>
      <c r="E391">
        <v>3.27</v>
      </c>
      <c r="F391" s="2">
        <v>44952</v>
      </c>
      <c r="G391">
        <v>3.23</v>
      </c>
      <c r="H391" s="2">
        <v>44953</v>
      </c>
      <c r="I391">
        <v>3.2850000000000001</v>
      </c>
      <c r="J391" s="2">
        <v>44952</v>
      </c>
      <c r="K391">
        <v>3.2423999999999999</v>
      </c>
      <c r="L391" s="2">
        <v>44953</v>
      </c>
      <c r="M391">
        <v>3.2949999999999999</v>
      </c>
      <c r="N391" s="2">
        <v>42947</v>
      </c>
      <c r="O391">
        <v>2.2749999999999999</v>
      </c>
      <c r="P391" s="2">
        <v>44952</v>
      </c>
      <c r="Q391">
        <v>3.4</v>
      </c>
      <c r="R391" s="2">
        <v>44623</v>
      </c>
      <c r="S391">
        <v>0.91600000000000004</v>
      </c>
      <c r="U391" s="2">
        <v>45139</v>
      </c>
      <c r="V391">
        <v>3.69</v>
      </c>
      <c r="W391">
        <v>3.645</v>
      </c>
      <c r="X391">
        <v>3.6720000000000002</v>
      </c>
      <c r="Y391">
        <v>3.64</v>
      </c>
      <c r="Z391">
        <v>3.6749999999999998</v>
      </c>
      <c r="AA391">
        <v>3.6419999999999999</v>
      </c>
      <c r="AC391">
        <v>3.7050000000000001</v>
      </c>
      <c r="AD391">
        <v>1.22</v>
      </c>
    </row>
    <row r="392" spans="2:30">
      <c r="B392" s="2">
        <v>44945</v>
      </c>
      <c r="C392">
        <v>3.34</v>
      </c>
      <c r="D392" s="2">
        <v>44951</v>
      </c>
      <c r="E392">
        <v>3.33</v>
      </c>
      <c r="F392" s="2">
        <v>44951</v>
      </c>
      <c r="G392">
        <v>3.2370000000000001</v>
      </c>
      <c r="H392" s="2">
        <v>44952</v>
      </c>
      <c r="I392">
        <v>3.23</v>
      </c>
      <c r="J392" s="2">
        <v>44951</v>
      </c>
      <c r="K392">
        <v>3.24</v>
      </c>
      <c r="L392" s="2">
        <v>44952</v>
      </c>
      <c r="M392">
        <v>3.262</v>
      </c>
      <c r="N392" s="2">
        <v>42901</v>
      </c>
      <c r="O392">
        <v>2.4500000000000002</v>
      </c>
      <c r="P392" s="2">
        <v>44951</v>
      </c>
      <c r="Q392">
        <v>3.3879999999999999</v>
      </c>
      <c r="R392" s="2">
        <v>44622</v>
      </c>
      <c r="S392">
        <v>0.77100000000000002</v>
      </c>
      <c r="U392" s="2">
        <v>45138</v>
      </c>
      <c r="V392">
        <v>3.72085</v>
      </c>
      <c r="W392">
        <v>3.6850000000000001</v>
      </c>
      <c r="X392">
        <v>3.7</v>
      </c>
      <c r="Y392">
        <v>3.7570000000000001</v>
      </c>
      <c r="Z392">
        <v>3.6920000000000002</v>
      </c>
      <c r="AA392">
        <v>3.6819999999999999</v>
      </c>
      <c r="AB392">
        <v>3.65</v>
      </c>
      <c r="AC392">
        <v>3.72</v>
      </c>
      <c r="AD392">
        <v>1.24</v>
      </c>
    </row>
    <row r="393" spans="2:30">
      <c r="B393" s="2">
        <v>44944</v>
      </c>
      <c r="C393">
        <v>3.415</v>
      </c>
      <c r="D393" s="2">
        <v>44946</v>
      </c>
      <c r="E393">
        <v>3.3149999999999999</v>
      </c>
      <c r="F393" s="2">
        <v>44946</v>
      </c>
      <c r="G393">
        <v>3.2869999999999999</v>
      </c>
      <c r="H393" s="2">
        <v>44951</v>
      </c>
      <c r="I393">
        <v>3.22</v>
      </c>
      <c r="J393" s="2">
        <v>44946</v>
      </c>
      <c r="K393">
        <v>3.25</v>
      </c>
      <c r="L393" s="2">
        <v>44951</v>
      </c>
      <c r="M393">
        <v>3.2450000000000001</v>
      </c>
      <c r="N393" s="2">
        <v>42898</v>
      </c>
      <c r="O393">
        <v>2.3050000000000002</v>
      </c>
      <c r="P393" s="2">
        <v>44946</v>
      </c>
      <c r="Q393">
        <v>3.395</v>
      </c>
      <c r="R393" s="2">
        <v>44620</v>
      </c>
      <c r="S393">
        <v>1</v>
      </c>
      <c r="U393" s="2">
        <v>45137</v>
      </c>
    </row>
    <row r="394" spans="2:30">
      <c r="B394" s="2">
        <v>44943</v>
      </c>
      <c r="C394">
        <v>3.49</v>
      </c>
      <c r="D394" s="2">
        <v>44945</v>
      </c>
      <c r="E394">
        <v>3.2450000000000001</v>
      </c>
      <c r="F394" s="2">
        <v>44945</v>
      </c>
      <c r="G394">
        <v>3.24</v>
      </c>
      <c r="H394" s="2">
        <v>44946</v>
      </c>
      <c r="I394">
        <v>3.2669999999999999</v>
      </c>
      <c r="J394" s="2">
        <v>44945</v>
      </c>
      <c r="K394">
        <v>3.23</v>
      </c>
      <c r="L394" s="2">
        <v>44946</v>
      </c>
      <c r="M394">
        <v>3.26</v>
      </c>
      <c r="N394" s="2">
        <v>42895</v>
      </c>
      <c r="O394">
        <v>3.49</v>
      </c>
      <c r="P394" s="2">
        <v>44945</v>
      </c>
      <c r="Q394">
        <v>3.35</v>
      </c>
      <c r="R394" s="2">
        <v>44617</v>
      </c>
      <c r="S394">
        <v>1.028</v>
      </c>
      <c r="U394" s="2">
        <v>45136</v>
      </c>
    </row>
    <row r="395" spans="2:30">
      <c r="B395" s="2">
        <v>44942</v>
      </c>
      <c r="C395">
        <v>3.5</v>
      </c>
      <c r="D395" s="2">
        <v>44944</v>
      </c>
      <c r="E395">
        <v>3.3719999999999999</v>
      </c>
      <c r="F395" s="2">
        <v>44944</v>
      </c>
      <c r="G395">
        <v>3.34</v>
      </c>
      <c r="H395" s="2">
        <v>44945</v>
      </c>
      <c r="I395">
        <v>3.2450000000000001</v>
      </c>
      <c r="J395" s="2">
        <v>44944</v>
      </c>
      <c r="K395">
        <v>3.3250000000000002</v>
      </c>
      <c r="L395" s="2">
        <v>44945</v>
      </c>
      <c r="M395">
        <v>3.2349999999999999</v>
      </c>
      <c r="N395" s="2">
        <v>42894</v>
      </c>
      <c r="O395">
        <v>3.5</v>
      </c>
      <c r="P395" s="2">
        <v>44944</v>
      </c>
      <c r="Q395">
        <v>3.4119999999999999</v>
      </c>
      <c r="R395" s="2">
        <v>44616</v>
      </c>
      <c r="S395">
        <v>1.0940000000000001</v>
      </c>
      <c r="U395" s="2">
        <v>45135</v>
      </c>
      <c r="V395">
        <v>3.6749999999999998</v>
      </c>
      <c r="W395">
        <v>3.6320000000000001</v>
      </c>
      <c r="X395">
        <v>3.6469999999999998</v>
      </c>
      <c r="Y395">
        <v>3.7269999999999999</v>
      </c>
      <c r="Z395">
        <v>3.6949999999999998</v>
      </c>
      <c r="AA395">
        <v>3.6869999999999998</v>
      </c>
      <c r="AB395">
        <v>3.637</v>
      </c>
      <c r="AC395">
        <v>3.7</v>
      </c>
    </row>
    <row r="396" spans="2:30">
      <c r="B396" s="2">
        <v>44939</v>
      </c>
      <c r="C396">
        <v>3.39</v>
      </c>
      <c r="D396" s="2">
        <v>44943</v>
      </c>
      <c r="E396">
        <v>3.47</v>
      </c>
      <c r="F396" s="2">
        <v>44943</v>
      </c>
      <c r="G396">
        <v>3.4369999999999998</v>
      </c>
      <c r="H396" s="2">
        <v>44944</v>
      </c>
      <c r="I396">
        <v>3.32</v>
      </c>
      <c r="J396" s="2">
        <v>44943</v>
      </c>
      <c r="K396">
        <v>3.4249999999999998</v>
      </c>
      <c r="L396" s="2">
        <v>44944</v>
      </c>
      <c r="M396">
        <v>3.3149999999999999</v>
      </c>
      <c r="N396" s="2">
        <v>42886</v>
      </c>
      <c r="O396">
        <v>2.375</v>
      </c>
      <c r="P396" s="2">
        <v>44942</v>
      </c>
      <c r="Q396">
        <v>3.46</v>
      </c>
      <c r="R396" s="2">
        <v>44615</v>
      </c>
      <c r="S396">
        <v>1.2310000000000001</v>
      </c>
      <c r="U396" s="2">
        <v>45134</v>
      </c>
      <c r="V396">
        <v>3.294</v>
      </c>
      <c r="W396">
        <v>3.5870000000000002</v>
      </c>
      <c r="X396">
        <v>3.59</v>
      </c>
      <c r="Y396">
        <v>3.63</v>
      </c>
      <c r="Z396">
        <v>3.6301800000000002</v>
      </c>
      <c r="AA396">
        <v>3.6320000000000001</v>
      </c>
      <c r="AB396">
        <v>3.5979999999999999</v>
      </c>
      <c r="AC396">
        <v>3.6469999999999998</v>
      </c>
      <c r="AD396">
        <v>1.175</v>
      </c>
    </row>
    <row r="397" spans="2:30">
      <c r="B397" s="2">
        <v>44938</v>
      </c>
      <c r="C397">
        <v>3.5</v>
      </c>
      <c r="D397" s="2">
        <v>44942</v>
      </c>
      <c r="E397">
        <v>3.45</v>
      </c>
      <c r="F397" s="2">
        <v>44942</v>
      </c>
      <c r="G397">
        <v>3.26</v>
      </c>
      <c r="H397" s="2">
        <v>44943</v>
      </c>
      <c r="I397">
        <v>3.3929999999999998</v>
      </c>
      <c r="J397" s="2">
        <v>44942</v>
      </c>
      <c r="K397">
        <v>3.3</v>
      </c>
      <c r="L397" s="2">
        <v>44943</v>
      </c>
      <c r="M397">
        <v>3.403</v>
      </c>
      <c r="N397" s="2">
        <v>42885</v>
      </c>
      <c r="O397">
        <v>2.4180000000000001</v>
      </c>
      <c r="P397" s="2">
        <v>44939</v>
      </c>
      <c r="Q397">
        <v>3.4049999999999998</v>
      </c>
      <c r="R397" s="2">
        <v>44614</v>
      </c>
      <c r="S397">
        <v>1.2350000000000001</v>
      </c>
      <c r="U397" s="2">
        <v>45133</v>
      </c>
      <c r="V397">
        <v>3.6840000000000002</v>
      </c>
      <c r="W397">
        <v>3.63</v>
      </c>
      <c r="X397">
        <v>3.61</v>
      </c>
      <c r="Y397">
        <v>3.65</v>
      </c>
      <c r="Z397">
        <v>3.63551</v>
      </c>
      <c r="AA397">
        <v>3.6259999999999999</v>
      </c>
      <c r="AC397">
        <v>3.69</v>
      </c>
      <c r="AD397">
        <v>1.2090000000000001</v>
      </c>
    </row>
    <row r="398" spans="2:30">
      <c r="B398" s="2">
        <v>44937</v>
      </c>
      <c r="C398">
        <v>3.49</v>
      </c>
      <c r="D398" s="2">
        <v>44939</v>
      </c>
      <c r="E398">
        <v>3.3650000000000002</v>
      </c>
      <c r="F398" s="2">
        <v>44939</v>
      </c>
      <c r="G398">
        <v>3.26</v>
      </c>
      <c r="H398" s="2">
        <v>44942</v>
      </c>
      <c r="I398">
        <v>3.375</v>
      </c>
      <c r="J398" s="2">
        <v>44939</v>
      </c>
      <c r="K398">
        <v>3.3</v>
      </c>
      <c r="L398" s="2">
        <v>44942</v>
      </c>
      <c r="M398">
        <v>3.3</v>
      </c>
      <c r="N398" s="2">
        <v>42884</v>
      </c>
      <c r="O398">
        <v>2.4350000000000001</v>
      </c>
      <c r="P398" s="2">
        <v>44938</v>
      </c>
      <c r="Q398">
        <v>3.49</v>
      </c>
      <c r="R398" s="2">
        <v>44613</v>
      </c>
      <c r="S398">
        <v>1.2849999999999999</v>
      </c>
      <c r="U398" s="2">
        <v>45132</v>
      </c>
      <c r="V398">
        <v>3.694</v>
      </c>
      <c r="W398">
        <v>3.609</v>
      </c>
      <c r="X398">
        <v>3.6320000000000001</v>
      </c>
      <c r="Y398">
        <v>3.6819999999999999</v>
      </c>
      <c r="Z398">
        <v>3.637</v>
      </c>
      <c r="AA398">
        <v>3.56</v>
      </c>
      <c r="AC398">
        <v>3.6920000000000002</v>
      </c>
      <c r="AD398">
        <v>1.1930000000000001</v>
      </c>
    </row>
    <row r="399" spans="2:30">
      <c r="B399" s="2">
        <v>44936</v>
      </c>
      <c r="C399">
        <v>3.6040000000000001</v>
      </c>
      <c r="D399" s="2">
        <v>44938</v>
      </c>
      <c r="E399">
        <v>3.4649999999999999</v>
      </c>
      <c r="F399" s="2">
        <v>44938</v>
      </c>
      <c r="G399">
        <v>3.395</v>
      </c>
      <c r="H399" s="2">
        <v>44939</v>
      </c>
      <c r="I399">
        <v>3.2949999999999999</v>
      </c>
      <c r="J399" s="2">
        <v>44938</v>
      </c>
      <c r="K399">
        <v>3.4239999999999999</v>
      </c>
      <c r="L399" s="2">
        <v>44939</v>
      </c>
      <c r="M399">
        <v>3.33</v>
      </c>
      <c r="N399" s="2">
        <v>42878</v>
      </c>
      <c r="O399">
        <v>2.4950000000000001</v>
      </c>
      <c r="P399" s="2">
        <v>44937</v>
      </c>
      <c r="Q399">
        <v>3.6</v>
      </c>
      <c r="R399" s="2">
        <v>44610</v>
      </c>
      <c r="S399">
        <v>1.2589999999999999</v>
      </c>
      <c r="U399" s="2">
        <v>45131</v>
      </c>
      <c r="W399">
        <v>3.61</v>
      </c>
      <c r="X399">
        <v>3.6070000000000002</v>
      </c>
      <c r="Y399">
        <v>3.6379999999999999</v>
      </c>
      <c r="Z399">
        <v>3.597</v>
      </c>
      <c r="AA399">
        <v>3.5939999999999999</v>
      </c>
      <c r="AB399">
        <v>3.577</v>
      </c>
      <c r="AC399">
        <v>3.657</v>
      </c>
      <c r="AD399">
        <v>1.2050000000000001</v>
      </c>
    </row>
    <row r="400" spans="2:30">
      <c r="B400" s="2">
        <v>44935</v>
      </c>
      <c r="C400">
        <v>3.57</v>
      </c>
      <c r="D400" s="2">
        <v>44937</v>
      </c>
      <c r="E400">
        <v>3.49</v>
      </c>
      <c r="F400" s="2">
        <v>44937</v>
      </c>
      <c r="G400">
        <v>3.38</v>
      </c>
      <c r="H400" s="2">
        <v>44938</v>
      </c>
      <c r="I400">
        <v>3.395</v>
      </c>
      <c r="J400" s="2">
        <v>44937</v>
      </c>
      <c r="K400">
        <v>3.4319999999999999</v>
      </c>
      <c r="L400" s="2">
        <v>44938</v>
      </c>
      <c r="M400">
        <v>3.3149999999999999</v>
      </c>
      <c r="N400" s="2">
        <v>42874</v>
      </c>
      <c r="O400">
        <v>2.4449999999999998</v>
      </c>
      <c r="P400" s="2">
        <v>44936</v>
      </c>
      <c r="Q400">
        <v>3.5819999999999999</v>
      </c>
      <c r="R400" s="2">
        <v>44609</v>
      </c>
      <c r="S400">
        <v>1.2150000000000001</v>
      </c>
      <c r="U400" s="2">
        <v>45130</v>
      </c>
    </row>
    <row r="401" spans="2:30">
      <c r="B401" s="2">
        <v>44932</v>
      </c>
      <c r="C401">
        <v>3.7</v>
      </c>
      <c r="D401" s="2">
        <v>44936</v>
      </c>
      <c r="E401">
        <v>3.55</v>
      </c>
      <c r="F401" s="2">
        <v>44936</v>
      </c>
      <c r="G401">
        <v>3.48</v>
      </c>
      <c r="H401" s="2">
        <v>44937</v>
      </c>
      <c r="I401">
        <v>3.39</v>
      </c>
      <c r="J401" s="2">
        <v>44936</v>
      </c>
      <c r="K401">
        <v>3.46</v>
      </c>
      <c r="L401" s="2">
        <v>44937</v>
      </c>
      <c r="M401">
        <v>3.4350000000000001</v>
      </c>
      <c r="N401" s="2">
        <v>42853</v>
      </c>
      <c r="O401">
        <v>2.3650000000000002</v>
      </c>
      <c r="P401" s="2">
        <v>44935</v>
      </c>
      <c r="Q401">
        <v>3.585</v>
      </c>
      <c r="R401" s="2">
        <v>44606</v>
      </c>
      <c r="S401">
        <v>1.1759999999999999</v>
      </c>
      <c r="U401" s="2">
        <v>45129</v>
      </c>
    </row>
    <row r="402" spans="2:30">
      <c r="B402" s="2">
        <v>44931</v>
      </c>
      <c r="C402">
        <v>3.6949999999999998</v>
      </c>
      <c r="D402" s="2">
        <v>44935</v>
      </c>
      <c r="E402">
        <v>3.56</v>
      </c>
      <c r="F402" s="2">
        <v>44935</v>
      </c>
      <c r="G402">
        <v>3.48</v>
      </c>
      <c r="H402" s="2">
        <v>44936</v>
      </c>
      <c r="I402">
        <v>3.4729999999999999</v>
      </c>
      <c r="J402" s="2">
        <v>44935</v>
      </c>
      <c r="K402">
        <v>3.4550000000000001</v>
      </c>
      <c r="L402" s="2">
        <v>44936</v>
      </c>
      <c r="M402">
        <v>3.4820000000000002</v>
      </c>
      <c r="N402" s="2">
        <v>42822</v>
      </c>
      <c r="O402">
        <v>2.3149999999999999</v>
      </c>
      <c r="P402" s="2">
        <v>44932</v>
      </c>
      <c r="Q402">
        <v>3.7</v>
      </c>
      <c r="R402" s="2">
        <v>44603</v>
      </c>
      <c r="S402">
        <v>1.22</v>
      </c>
      <c r="U402" s="2">
        <v>45128</v>
      </c>
      <c r="V402">
        <v>3.6819999999999999</v>
      </c>
      <c r="W402">
        <v>3.6120000000000001</v>
      </c>
      <c r="X402">
        <v>3.605</v>
      </c>
      <c r="Y402">
        <v>3.6669999999999998</v>
      </c>
      <c r="Z402">
        <v>3.605</v>
      </c>
      <c r="AA402">
        <v>3.6</v>
      </c>
      <c r="AB402">
        <v>3.55037</v>
      </c>
      <c r="AC402">
        <v>3.68</v>
      </c>
      <c r="AD402">
        <v>1.21</v>
      </c>
    </row>
    <row r="403" spans="2:30">
      <c r="B403" s="2">
        <v>44930</v>
      </c>
      <c r="C403">
        <v>3.665</v>
      </c>
      <c r="D403" s="2">
        <v>44932</v>
      </c>
      <c r="E403">
        <v>3.68</v>
      </c>
      <c r="F403" s="2">
        <v>44932</v>
      </c>
      <c r="G403">
        <v>3.6269999999999998</v>
      </c>
      <c r="H403" s="2">
        <v>44935</v>
      </c>
      <c r="I403">
        <v>3.4670000000000001</v>
      </c>
      <c r="J403" s="2">
        <v>44932</v>
      </c>
      <c r="K403">
        <v>3.54</v>
      </c>
      <c r="L403" s="2">
        <v>44935</v>
      </c>
      <c r="M403">
        <v>3.46</v>
      </c>
      <c r="N403" s="2">
        <v>42817</v>
      </c>
      <c r="O403">
        <v>2.2250000000000001</v>
      </c>
      <c r="P403" s="2">
        <v>44931</v>
      </c>
      <c r="Q403">
        <v>3.6749999999999998</v>
      </c>
      <c r="R403" s="2">
        <v>44602</v>
      </c>
      <c r="S403">
        <v>1.157</v>
      </c>
      <c r="U403" s="2">
        <v>45127</v>
      </c>
      <c r="V403">
        <v>3.625</v>
      </c>
      <c r="W403">
        <v>3.5819999999999999</v>
      </c>
      <c r="X403">
        <v>3.585</v>
      </c>
      <c r="Y403">
        <v>3.6120000000000001</v>
      </c>
      <c r="Z403">
        <v>3.5950000000000002</v>
      </c>
      <c r="AA403">
        <v>3.6040800000000002</v>
      </c>
      <c r="AC403">
        <v>3.62</v>
      </c>
      <c r="AD403">
        <v>1.2030000000000001</v>
      </c>
    </row>
    <row r="404" spans="2:30">
      <c r="B404" s="2">
        <v>44929</v>
      </c>
      <c r="C404">
        <v>3.7250000000000001</v>
      </c>
      <c r="D404" s="2">
        <v>44931</v>
      </c>
      <c r="E404">
        <v>3.6217800000000002</v>
      </c>
      <c r="F404" s="2">
        <v>44931</v>
      </c>
      <c r="G404">
        <v>3.5950000000000002</v>
      </c>
      <c r="H404" s="2">
        <v>44932</v>
      </c>
      <c r="I404">
        <v>3.58</v>
      </c>
      <c r="J404" s="2">
        <v>44931</v>
      </c>
      <c r="K404">
        <v>3.5720000000000001</v>
      </c>
      <c r="L404" s="2">
        <v>44932</v>
      </c>
      <c r="M404">
        <v>3.54</v>
      </c>
      <c r="N404" s="2">
        <v>42816</v>
      </c>
      <c r="O404">
        <v>2.2250000000000001</v>
      </c>
      <c r="P404" s="2">
        <v>44930</v>
      </c>
      <c r="Q404">
        <v>3.67</v>
      </c>
      <c r="R404" s="2">
        <v>44601</v>
      </c>
      <c r="S404">
        <v>1.133</v>
      </c>
      <c r="U404" s="2">
        <v>45126</v>
      </c>
      <c r="V404">
        <v>3.6269999999999998</v>
      </c>
      <c r="W404">
        <v>3.54</v>
      </c>
      <c r="X404">
        <v>3.54</v>
      </c>
      <c r="Y404">
        <v>3.5750000000000002</v>
      </c>
      <c r="Z404">
        <v>3.5950000000000002</v>
      </c>
      <c r="AA404">
        <v>3.5880000000000001</v>
      </c>
      <c r="AC404">
        <v>3.605</v>
      </c>
      <c r="AD404">
        <v>1.165</v>
      </c>
    </row>
    <row r="405" spans="2:30">
      <c r="B405" s="2">
        <v>44928</v>
      </c>
      <c r="C405">
        <v>3.82</v>
      </c>
      <c r="D405" s="2">
        <v>44930</v>
      </c>
      <c r="E405">
        <v>3.617</v>
      </c>
      <c r="F405" s="2">
        <v>44930</v>
      </c>
      <c r="G405">
        <v>3.597</v>
      </c>
      <c r="H405" s="2">
        <v>44931</v>
      </c>
      <c r="I405">
        <v>3.5750000000000002</v>
      </c>
      <c r="J405" s="2">
        <v>44930</v>
      </c>
      <c r="K405">
        <v>3.5939999999999999</v>
      </c>
      <c r="L405" s="2">
        <v>44931</v>
      </c>
      <c r="M405">
        <v>3.73</v>
      </c>
      <c r="N405" s="2">
        <v>42790</v>
      </c>
      <c r="O405">
        <v>2.2250000000000001</v>
      </c>
      <c r="P405" s="2">
        <v>44929</v>
      </c>
      <c r="Q405">
        <v>3.7250000000000001</v>
      </c>
      <c r="R405" s="2">
        <v>44599</v>
      </c>
      <c r="S405">
        <v>1.087</v>
      </c>
      <c r="U405" s="2">
        <v>45125</v>
      </c>
      <c r="V405">
        <v>3.6499199999999998</v>
      </c>
      <c r="W405">
        <v>3.61</v>
      </c>
      <c r="X405">
        <v>3.597</v>
      </c>
      <c r="Y405">
        <v>3.637</v>
      </c>
      <c r="Z405">
        <v>3.6377199999999998</v>
      </c>
      <c r="AA405">
        <v>3.6105700000000001</v>
      </c>
      <c r="AC405">
        <v>3.64</v>
      </c>
      <c r="AD405">
        <v>1.2250000000000001</v>
      </c>
    </row>
    <row r="406" spans="2:30">
      <c r="B406" s="2">
        <v>44924</v>
      </c>
      <c r="C406">
        <v>3.81</v>
      </c>
      <c r="D406" s="2">
        <v>44929</v>
      </c>
      <c r="E406">
        <v>3.67</v>
      </c>
      <c r="F406" s="2">
        <v>44929</v>
      </c>
      <c r="G406">
        <v>3.67</v>
      </c>
      <c r="H406" s="2">
        <v>44930</v>
      </c>
      <c r="I406">
        <v>3.5750000000000002</v>
      </c>
      <c r="J406" s="2">
        <v>44929</v>
      </c>
      <c r="K406">
        <v>3.67</v>
      </c>
      <c r="L406" s="2">
        <v>44930</v>
      </c>
      <c r="M406">
        <v>3.6</v>
      </c>
      <c r="N406" s="2">
        <v>42767</v>
      </c>
      <c r="O406">
        <v>2.19</v>
      </c>
      <c r="P406" s="2">
        <v>44928</v>
      </c>
      <c r="Q406">
        <v>3.83</v>
      </c>
      <c r="R406" s="2">
        <v>44595</v>
      </c>
      <c r="S406">
        <v>1.0449999999999999</v>
      </c>
      <c r="U406" s="2">
        <v>45124</v>
      </c>
      <c r="V406">
        <v>3.665</v>
      </c>
      <c r="W406">
        <v>3.605</v>
      </c>
      <c r="X406">
        <v>3.62</v>
      </c>
      <c r="Y406">
        <v>3.66</v>
      </c>
      <c r="Z406">
        <v>3.63</v>
      </c>
      <c r="AA406">
        <v>3.6030000000000002</v>
      </c>
      <c r="AB406">
        <v>3.54</v>
      </c>
      <c r="AC406">
        <v>3.66</v>
      </c>
      <c r="AD406">
        <v>1.2310000000000001</v>
      </c>
    </row>
    <row r="407" spans="2:30">
      <c r="B407" s="2">
        <v>44923</v>
      </c>
      <c r="C407">
        <v>3.75</v>
      </c>
      <c r="D407" s="2">
        <v>44928</v>
      </c>
      <c r="E407">
        <v>3.7549999999999999</v>
      </c>
      <c r="F407" s="2">
        <v>44928</v>
      </c>
      <c r="G407">
        <v>3.7879999999999998</v>
      </c>
      <c r="H407" s="2">
        <v>44929</v>
      </c>
      <c r="I407">
        <v>3.6749999999999998</v>
      </c>
      <c r="J407" s="2">
        <v>44928</v>
      </c>
      <c r="K407">
        <v>3.7450000000000001</v>
      </c>
      <c r="L407" s="2">
        <v>44929</v>
      </c>
      <c r="M407">
        <v>3.665</v>
      </c>
      <c r="N407" s="2">
        <v>42760</v>
      </c>
      <c r="O407">
        <v>2.17</v>
      </c>
      <c r="P407" s="2">
        <v>44924</v>
      </c>
      <c r="Q407">
        <v>3.8</v>
      </c>
      <c r="R407" s="2">
        <v>44589</v>
      </c>
      <c r="S407">
        <v>1.06</v>
      </c>
      <c r="U407" s="2">
        <v>45123</v>
      </c>
    </row>
    <row r="408" spans="2:30">
      <c r="B408" s="2">
        <v>44922</v>
      </c>
      <c r="C408">
        <v>3.7610000000000001</v>
      </c>
      <c r="D408" s="2">
        <v>44924</v>
      </c>
      <c r="E408">
        <v>3.73</v>
      </c>
      <c r="F408" s="2">
        <v>44924</v>
      </c>
      <c r="G408">
        <v>3.7320000000000002</v>
      </c>
      <c r="H408" s="2">
        <v>44928</v>
      </c>
      <c r="I408">
        <v>3.7919999999999998</v>
      </c>
      <c r="J408" s="2">
        <v>44924</v>
      </c>
      <c r="K408">
        <v>3.6869999999999998</v>
      </c>
      <c r="L408" s="2">
        <v>44928</v>
      </c>
      <c r="M408">
        <v>3.73</v>
      </c>
      <c r="N408" s="2">
        <v>42732</v>
      </c>
      <c r="O408">
        <v>2.16</v>
      </c>
      <c r="P408" s="2">
        <v>44923</v>
      </c>
      <c r="Q408">
        <v>3.76</v>
      </c>
      <c r="R408" s="2">
        <v>44588</v>
      </c>
      <c r="S408">
        <v>1.06</v>
      </c>
      <c r="U408" s="2">
        <v>45122</v>
      </c>
    </row>
    <row r="409" spans="2:30">
      <c r="B409" s="2">
        <v>44921</v>
      </c>
      <c r="C409">
        <v>3.7749999999999999</v>
      </c>
      <c r="D409" s="2">
        <v>44923</v>
      </c>
      <c r="E409">
        <v>3.6669999999999998</v>
      </c>
      <c r="F409" s="2">
        <v>44923</v>
      </c>
      <c r="G409">
        <v>3.6749999999999998</v>
      </c>
      <c r="H409" s="2">
        <v>44924</v>
      </c>
      <c r="I409">
        <v>3.7349999999999999</v>
      </c>
      <c r="J409" s="2">
        <v>44923</v>
      </c>
      <c r="K409">
        <v>3.64</v>
      </c>
      <c r="L409" s="2">
        <v>44925</v>
      </c>
      <c r="M409">
        <v>3.5329999999999999</v>
      </c>
      <c r="N409" s="2">
        <v>42726</v>
      </c>
      <c r="O409">
        <v>2.1549999999999998</v>
      </c>
      <c r="P409" s="2">
        <v>44922</v>
      </c>
      <c r="Q409">
        <v>3.7650000000000001</v>
      </c>
      <c r="R409" s="2">
        <v>44586</v>
      </c>
      <c r="S409">
        <v>1.044</v>
      </c>
      <c r="U409" s="2">
        <v>45121</v>
      </c>
      <c r="V409">
        <v>3.6436299999999999</v>
      </c>
      <c r="W409">
        <v>3.6219999999999999</v>
      </c>
      <c r="X409">
        <v>3.62</v>
      </c>
      <c r="Y409">
        <v>3.69</v>
      </c>
      <c r="Z409">
        <v>3.6520000000000001</v>
      </c>
      <c r="AA409">
        <v>3.5070000000000001</v>
      </c>
      <c r="AB409">
        <v>3.58</v>
      </c>
      <c r="AC409">
        <v>3.665</v>
      </c>
    </row>
    <row r="410" spans="2:30">
      <c r="B410" s="2">
        <v>44918</v>
      </c>
      <c r="C410">
        <v>3.738</v>
      </c>
      <c r="D410" s="2">
        <v>44922</v>
      </c>
      <c r="E410">
        <v>3.665</v>
      </c>
      <c r="F410" s="2">
        <v>44922</v>
      </c>
      <c r="G410">
        <v>3.645</v>
      </c>
      <c r="H410" s="2">
        <v>44923</v>
      </c>
      <c r="I410">
        <v>3.67</v>
      </c>
      <c r="J410" s="2">
        <v>44922</v>
      </c>
      <c r="K410">
        <v>3.5950000000000002</v>
      </c>
      <c r="L410" s="2">
        <v>44924</v>
      </c>
      <c r="M410">
        <v>3.69</v>
      </c>
      <c r="N410" s="2">
        <v>42704</v>
      </c>
      <c r="O410">
        <v>2.14</v>
      </c>
      <c r="P410" s="2">
        <v>44921</v>
      </c>
      <c r="Q410">
        <v>3.798</v>
      </c>
      <c r="R410" s="2">
        <v>44585</v>
      </c>
      <c r="S410">
        <v>1.012</v>
      </c>
      <c r="U410" s="2">
        <v>45120</v>
      </c>
      <c r="V410">
        <v>3.6549999999999998</v>
      </c>
      <c r="W410">
        <v>3.605</v>
      </c>
      <c r="X410">
        <v>3.6070000000000002</v>
      </c>
      <c r="Y410">
        <v>3.6549999999999998</v>
      </c>
      <c r="Z410">
        <v>3.63</v>
      </c>
      <c r="AA410">
        <v>3.6</v>
      </c>
      <c r="AC410">
        <v>3.6850000000000001</v>
      </c>
      <c r="AD410">
        <v>1.22</v>
      </c>
    </row>
    <row r="411" spans="2:30">
      <c r="B411" s="2">
        <v>44917</v>
      </c>
      <c r="C411">
        <v>3.7130000000000001</v>
      </c>
      <c r="D411" s="2">
        <v>44921</v>
      </c>
      <c r="E411">
        <v>3.67</v>
      </c>
      <c r="F411" s="2">
        <v>44921</v>
      </c>
      <c r="G411">
        <v>3.64</v>
      </c>
      <c r="H411" s="2">
        <v>44922</v>
      </c>
      <c r="I411">
        <v>3.6019999999999999</v>
      </c>
      <c r="J411" s="2">
        <v>44921</v>
      </c>
      <c r="K411">
        <v>3.605</v>
      </c>
      <c r="L411" s="2">
        <v>44923</v>
      </c>
      <c r="M411">
        <v>3.625</v>
      </c>
      <c r="N411" s="2">
        <v>42702</v>
      </c>
      <c r="O411">
        <v>2.2450000000000001</v>
      </c>
      <c r="P411" s="2">
        <v>44918</v>
      </c>
      <c r="Q411">
        <v>3.782</v>
      </c>
      <c r="R411" s="2">
        <v>44582</v>
      </c>
      <c r="S411">
        <v>1.014</v>
      </c>
      <c r="U411" s="2">
        <v>45119</v>
      </c>
      <c r="V411">
        <v>3.77</v>
      </c>
      <c r="W411">
        <v>3.7069999999999999</v>
      </c>
      <c r="X411">
        <v>3.722</v>
      </c>
      <c r="Y411">
        <v>3.7570000000000001</v>
      </c>
      <c r="Z411">
        <v>3.69</v>
      </c>
      <c r="AA411">
        <v>3.637</v>
      </c>
      <c r="AC411">
        <v>3.76</v>
      </c>
      <c r="AD411">
        <v>1.327</v>
      </c>
    </row>
    <row r="412" spans="2:30">
      <c r="B412" s="2">
        <v>44916</v>
      </c>
      <c r="C412">
        <v>3.73</v>
      </c>
      <c r="D412" s="2">
        <v>44918</v>
      </c>
      <c r="E412">
        <v>3.64</v>
      </c>
      <c r="F412" s="2">
        <v>44918</v>
      </c>
      <c r="G412">
        <v>3.5550000000000002</v>
      </c>
      <c r="H412" s="2">
        <v>44921</v>
      </c>
      <c r="I412">
        <v>3.6349999999999998</v>
      </c>
      <c r="J412" s="2">
        <v>44918</v>
      </c>
      <c r="K412">
        <v>3.58</v>
      </c>
      <c r="L412" s="2">
        <v>44922</v>
      </c>
      <c r="M412">
        <v>3.56</v>
      </c>
      <c r="N412" s="2">
        <v>42699</v>
      </c>
      <c r="O412">
        <v>2.2719999999999998</v>
      </c>
      <c r="P412" s="2">
        <v>44917</v>
      </c>
      <c r="Q412">
        <v>3.72</v>
      </c>
      <c r="R412" s="2">
        <v>44581</v>
      </c>
      <c r="S412">
        <v>0.89</v>
      </c>
      <c r="U412" s="2">
        <v>45118</v>
      </c>
      <c r="V412">
        <v>3.75</v>
      </c>
      <c r="W412">
        <v>3.72</v>
      </c>
      <c r="X412">
        <v>3.722</v>
      </c>
      <c r="Y412">
        <v>3.7570000000000001</v>
      </c>
      <c r="Z412">
        <v>3.6949999999999998</v>
      </c>
      <c r="AA412">
        <v>3.63</v>
      </c>
      <c r="AC412">
        <v>3.7549999999999999</v>
      </c>
      <c r="AD412">
        <v>1.319</v>
      </c>
    </row>
    <row r="413" spans="2:30">
      <c r="B413" s="2">
        <v>44915</v>
      </c>
      <c r="C413">
        <v>3.7949999999999999</v>
      </c>
      <c r="D413" s="2">
        <v>44917</v>
      </c>
      <c r="E413">
        <v>3.5750000000000002</v>
      </c>
      <c r="F413" s="2">
        <v>44917</v>
      </c>
      <c r="G413">
        <v>3.48</v>
      </c>
      <c r="H413" s="2">
        <v>44918</v>
      </c>
      <c r="I413">
        <v>3.5550000000000002</v>
      </c>
      <c r="J413" s="2">
        <v>44917</v>
      </c>
      <c r="K413">
        <v>3.5350000000000001</v>
      </c>
      <c r="L413" s="2">
        <v>44921</v>
      </c>
      <c r="M413">
        <v>3.605</v>
      </c>
      <c r="N413" s="2">
        <v>42697</v>
      </c>
      <c r="O413">
        <v>2.21</v>
      </c>
      <c r="P413" s="2">
        <v>44916</v>
      </c>
      <c r="Q413">
        <v>3.79</v>
      </c>
      <c r="R413" s="2">
        <v>44580</v>
      </c>
      <c r="S413">
        <v>0.98099999999999998</v>
      </c>
      <c r="U413" s="2">
        <v>45117</v>
      </c>
      <c r="V413">
        <v>3.85</v>
      </c>
      <c r="W413">
        <v>3.7970000000000002</v>
      </c>
      <c r="X413">
        <v>3.8170000000000002</v>
      </c>
      <c r="Y413">
        <v>3.8341099999999999</v>
      </c>
      <c r="Z413">
        <v>3.79</v>
      </c>
      <c r="AA413">
        <v>3.79</v>
      </c>
      <c r="AB413">
        <v>3.7</v>
      </c>
      <c r="AC413">
        <v>3.81</v>
      </c>
      <c r="AD413">
        <v>1.325</v>
      </c>
    </row>
    <row r="414" spans="2:30">
      <c r="B414" s="2">
        <v>44914</v>
      </c>
      <c r="C414">
        <v>3.6619999999999999</v>
      </c>
      <c r="D414" s="2">
        <v>44916</v>
      </c>
      <c r="E414">
        <v>3.63</v>
      </c>
      <c r="F414" s="2">
        <v>44916</v>
      </c>
      <c r="G414">
        <v>3.54</v>
      </c>
      <c r="H414" s="2">
        <v>44917</v>
      </c>
      <c r="I414">
        <v>3.49</v>
      </c>
      <c r="J414" s="2">
        <v>44916</v>
      </c>
      <c r="K414">
        <v>3.57</v>
      </c>
      <c r="L414" s="2">
        <v>44918</v>
      </c>
      <c r="M414">
        <v>3.58</v>
      </c>
      <c r="N414" s="2">
        <v>42696</v>
      </c>
      <c r="O414">
        <v>2.1</v>
      </c>
      <c r="P414" s="2">
        <v>44915</v>
      </c>
      <c r="Q414">
        <v>3.84</v>
      </c>
      <c r="R414" s="2">
        <v>44578</v>
      </c>
      <c r="S414">
        <v>1.002</v>
      </c>
      <c r="U414" s="2">
        <v>45116</v>
      </c>
    </row>
    <row r="415" spans="2:30">
      <c r="B415" s="2">
        <v>44911</v>
      </c>
      <c r="C415">
        <v>3.6549999999999998</v>
      </c>
      <c r="D415" s="2">
        <v>44915</v>
      </c>
      <c r="E415">
        <v>3.677</v>
      </c>
      <c r="F415" s="2">
        <v>44915</v>
      </c>
      <c r="G415">
        <v>3.6150000000000002</v>
      </c>
      <c r="H415" s="2">
        <v>44916</v>
      </c>
      <c r="I415">
        <v>3.56</v>
      </c>
      <c r="J415" s="2">
        <v>44915</v>
      </c>
      <c r="K415">
        <v>3.5750000000000002</v>
      </c>
      <c r="L415" s="2">
        <v>44917</v>
      </c>
      <c r="M415">
        <v>3.54</v>
      </c>
      <c r="N415" s="2">
        <v>42692</v>
      </c>
      <c r="O415">
        <v>2.137</v>
      </c>
      <c r="P415" s="2">
        <v>44914</v>
      </c>
      <c r="Q415">
        <v>3.7050000000000001</v>
      </c>
      <c r="R415" s="2">
        <v>44575</v>
      </c>
      <c r="S415">
        <v>0.9</v>
      </c>
      <c r="U415" s="2">
        <v>45115</v>
      </c>
    </row>
    <row r="416" spans="2:30">
      <c r="B416" s="2">
        <v>44910</v>
      </c>
      <c r="C416">
        <v>3.69</v>
      </c>
      <c r="D416" s="2">
        <v>44914</v>
      </c>
      <c r="E416">
        <v>3.5449999999999999</v>
      </c>
      <c r="F416" s="2">
        <v>44914</v>
      </c>
      <c r="G416">
        <v>3.4550000000000001</v>
      </c>
      <c r="H416" s="2">
        <v>44915</v>
      </c>
      <c r="I416">
        <v>3.605</v>
      </c>
      <c r="J416" s="2">
        <v>44914</v>
      </c>
      <c r="K416">
        <v>3.42</v>
      </c>
      <c r="L416" s="2">
        <v>44916</v>
      </c>
      <c r="M416">
        <v>3.5720000000000001</v>
      </c>
      <c r="N416" s="2">
        <v>42685</v>
      </c>
      <c r="O416">
        <v>2.02</v>
      </c>
      <c r="P416" s="2">
        <v>44911</v>
      </c>
      <c r="Q416">
        <v>3.6949999999999998</v>
      </c>
      <c r="R416" s="2">
        <v>44574</v>
      </c>
      <c r="S416">
        <v>0.95565999999999995</v>
      </c>
      <c r="U416" s="2">
        <v>45114</v>
      </c>
      <c r="V416">
        <v>3.78</v>
      </c>
      <c r="W416">
        <v>3.7349999999999999</v>
      </c>
      <c r="X416">
        <v>3.6819999999999999</v>
      </c>
      <c r="Y416">
        <v>3.76</v>
      </c>
      <c r="Z416">
        <v>3.7</v>
      </c>
      <c r="AA416">
        <v>3.7</v>
      </c>
      <c r="AB416">
        <v>3.6949999999999998</v>
      </c>
      <c r="AC416">
        <v>3.79</v>
      </c>
      <c r="AD416">
        <v>1.3360000000000001</v>
      </c>
    </row>
    <row r="417" spans="2:30">
      <c r="B417" s="2">
        <v>44909</v>
      </c>
      <c r="C417">
        <v>3.6749999999999998</v>
      </c>
      <c r="D417" s="2">
        <v>44911</v>
      </c>
      <c r="E417">
        <v>3.5350000000000001</v>
      </c>
      <c r="F417" s="2">
        <v>44911</v>
      </c>
      <c r="G417">
        <v>3.4420000000000002</v>
      </c>
      <c r="H417" s="2">
        <v>44914</v>
      </c>
      <c r="I417">
        <v>3.4049999999999998</v>
      </c>
      <c r="J417" s="2">
        <v>44911</v>
      </c>
      <c r="K417">
        <v>3.3719999999999999</v>
      </c>
      <c r="L417" s="2">
        <v>44915</v>
      </c>
      <c r="M417">
        <v>3.57</v>
      </c>
      <c r="N417" s="2">
        <v>42678</v>
      </c>
      <c r="O417">
        <v>1.8120000000000001</v>
      </c>
      <c r="P417" s="2">
        <v>44910</v>
      </c>
      <c r="Q417">
        <v>3.7149999999999999</v>
      </c>
      <c r="R417" s="2">
        <v>44573</v>
      </c>
      <c r="S417">
        <v>1.004</v>
      </c>
      <c r="U417" s="2">
        <v>45113</v>
      </c>
      <c r="V417">
        <v>3.7309999999999999</v>
      </c>
      <c r="W417">
        <v>3.6720000000000002</v>
      </c>
      <c r="X417">
        <v>3.6850000000000001</v>
      </c>
      <c r="Y417">
        <v>3.673</v>
      </c>
      <c r="Z417">
        <v>3.6680000000000001</v>
      </c>
      <c r="AA417">
        <v>3.6419999999999999</v>
      </c>
      <c r="AC417">
        <v>3.7320000000000002</v>
      </c>
      <c r="AD417">
        <v>1.3140000000000001</v>
      </c>
    </row>
    <row r="418" spans="2:30">
      <c r="B418" s="2">
        <v>44908</v>
      </c>
      <c r="C418">
        <v>3.7650000000000001</v>
      </c>
      <c r="D418" s="2">
        <v>44910</v>
      </c>
      <c r="E418">
        <v>3.53</v>
      </c>
      <c r="F418" s="2">
        <v>44910</v>
      </c>
      <c r="G418">
        <v>3.427</v>
      </c>
      <c r="H418" s="2">
        <v>44911</v>
      </c>
      <c r="I418">
        <v>3.3580000000000001</v>
      </c>
      <c r="J418" s="2">
        <v>44910</v>
      </c>
      <c r="K418">
        <v>3.403</v>
      </c>
      <c r="L418" s="2">
        <v>44914</v>
      </c>
      <c r="M418">
        <v>3.407</v>
      </c>
      <c r="N418" s="2">
        <v>42676</v>
      </c>
      <c r="O418">
        <v>1.77</v>
      </c>
      <c r="P418" s="2">
        <v>44909</v>
      </c>
      <c r="Q418">
        <v>3.673</v>
      </c>
      <c r="R418" s="2">
        <v>44571</v>
      </c>
      <c r="S418">
        <v>0.98899999999999999</v>
      </c>
      <c r="U418" s="2">
        <v>45112</v>
      </c>
      <c r="V418">
        <v>3.665</v>
      </c>
      <c r="W418">
        <v>3.61</v>
      </c>
      <c r="X418">
        <v>3.6070000000000002</v>
      </c>
      <c r="Y418">
        <v>3.65</v>
      </c>
      <c r="Z418">
        <v>3.62</v>
      </c>
      <c r="AA418">
        <v>3.6160000000000001</v>
      </c>
      <c r="AC418">
        <v>3.68</v>
      </c>
      <c r="AD418">
        <v>1.2450000000000001</v>
      </c>
    </row>
    <row r="419" spans="2:30">
      <c r="B419" s="2">
        <v>44907</v>
      </c>
      <c r="C419">
        <v>3.74</v>
      </c>
      <c r="D419" s="2">
        <v>44909</v>
      </c>
      <c r="E419">
        <v>3.4969999999999999</v>
      </c>
      <c r="F419" s="2">
        <v>44909</v>
      </c>
      <c r="G419">
        <v>3.5219999999999998</v>
      </c>
      <c r="H419" s="2">
        <v>44910</v>
      </c>
      <c r="I419">
        <v>3.43</v>
      </c>
      <c r="J419" s="2">
        <v>44909</v>
      </c>
      <c r="K419">
        <v>3.4049999999999998</v>
      </c>
      <c r="L419" s="2">
        <v>44911</v>
      </c>
      <c r="M419">
        <v>3.41</v>
      </c>
      <c r="N419" s="2">
        <v>42669</v>
      </c>
      <c r="O419">
        <v>1.6930000000000001</v>
      </c>
      <c r="P419" s="2">
        <v>44908</v>
      </c>
      <c r="Q419">
        <v>3.7650000000000001</v>
      </c>
      <c r="R419" s="2">
        <v>44568</v>
      </c>
      <c r="S419">
        <v>0.99</v>
      </c>
      <c r="U419" s="2">
        <v>45111</v>
      </c>
      <c r="V419">
        <v>3.6749999999999998</v>
      </c>
      <c r="W419">
        <v>3.6640000000000001</v>
      </c>
      <c r="X419">
        <v>3.6</v>
      </c>
      <c r="Y419">
        <v>3.63</v>
      </c>
      <c r="Z419">
        <v>3.625</v>
      </c>
      <c r="AA419">
        <v>3.6320000000000001</v>
      </c>
      <c r="AB419">
        <v>3.4950000000000001</v>
      </c>
      <c r="AC419">
        <v>3.68</v>
      </c>
      <c r="AD419">
        <v>1.27</v>
      </c>
    </row>
    <row r="420" spans="2:30">
      <c r="B420" s="2">
        <v>44904</v>
      </c>
      <c r="C420">
        <v>3.7749999999999999</v>
      </c>
      <c r="D420" s="2">
        <v>44908</v>
      </c>
      <c r="E420">
        <v>3.62</v>
      </c>
      <c r="F420" s="2">
        <v>44908</v>
      </c>
      <c r="G420">
        <v>3.57</v>
      </c>
      <c r="H420" s="2">
        <v>44909</v>
      </c>
      <c r="I420">
        <v>3.4</v>
      </c>
      <c r="J420" s="2">
        <v>44908</v>
      </c>
      <c r="K420">
        <v>3.4620000000000002</v>
      </c>
      <c r="L420" s="2">
        <v>44910</v>
      </c>
      <c r="M420">
        <v>3.39</v>
      </c>
      <c r="N420" s="2">
        <v>42657</v>
      </c>
      <c r="O420">
        <v>1.62</v>
      </c>
      <c r="P420" s="2">
        <v>44907</v>
      </c>
      <c r="Q420">
        <v>3.7549999999999999</v>
      </c>
      <c r="R420" s="2">
        <v>44567</v>
      </c>
      <c r="S420">
        <v>1.03</v>
      </c>
      <c r="U420" s="2">
        <v>45110</v>
      </c>
      <c r="V420">
        <v>3.665</v>
      </c>
      <c r="W420">
        <v>3.61</v>
      </c>
      <c r="X420">
        <v>3.6023299999999998</v>
      </c>
      <c r="Y420">
        <v>3.5920000000000001</v>
      </c>
      <c r="Z420">
        <v>3.5819999999999999</v>
      </c>
      <c r="AA420">
        <v>3.6002299999999998</v>
      </c>
      <c r="AC420">
        <v>3.7170000000000001</v>
      </c>
      <c r="AD420">
        <v>1.2689999999999999</v>
      </c>
    </row>
    <row r="421" spans="2:30">
      <c r="B421" s="2">
        <v>44903</v>
      </c>
      <c r="C421">
        <v>3.7850000000000001</v>
      </c>
      <c r="D421" s="2">
        <v>44907</v>
      </c>
      <c r="E421">
        <v>3.61</v>
      </c>
      <c r="F421" s="2">
        <v>44907</v>
      </c>
      <c r="G421">
        <v>3.45</v>
      </c>
      <c r="H421" s="2">
        <v>44908</v>
      </c>
      <c r="I421">
        <v>3.4670000000000001</v>
      </c>
      <c r="J421" s="2">
        <v>44907</v>
      </c>
      <c r="K421">
        <v>3.46</v>
      </c>
      <c r="L421" s="2">
        <v>44909</v>
      </c>
      <c r="M421">
        <v>3.419</v>
      </c>
      <c r="N421" s="2">
        <v>42656</v>
      </c>
      <c r="O421">
        <v>1.59</v>
      </c>
      <c r="P421" s="2">
        <v>44904</v>
      </c>
      <c r="Q421">
        <v>3.78</v>
      </c>
      <c r="R421" s="2">
        <v>44566</v>
      </c>
      <c r="S421">
        <v>0.82699999999999996</v>
      </c>
      <c r="U421" s="2">
        <v>45109</v>
      </c>
    </row>
    <row r="422" spans="2:30">
      <c r="B422" s="2">
        <v>44902</v>
      </c>
      <c r="C422">
        <v>3.8</v>
      </c>
      <c r="D422" s="2">
        <v>44904</v>
      </c>
      <c r="E422">
        <v>3.64</v>
      </c>
      <c r="F422" s="2">
        <v>44904</v>
      </c>
      <c r="G422">
        <v>3.56</v>
      </c>
      <c r="H422" s="2">
        <v>44907</v>
      </c>
      <c r="I422">
        <v>3.44</v>
      </c>
      <c r="J422" s="2">
        <v>44904</v>
      </c>
      <c r="K422">
        <v>3.4620000000000002</v>
      </c>
      <c r="L422" s="2">
        <v>44908</v>
      </c>
      <c r="M422">
        <v>3.4620000000000002</v>
      </c>
      <c r="N422" s="2">
        <v>42655</v>
      </c>
      <c r="O422">
        <v>1.615</v>
      </c>
      <c r="P422" s="2">
        <v>44903</v>
      </c>
      <c r="Q422">
        <v>3.79</v>
      </c>
      <c r="R422" s="2">
        <v>44565</v>
      </c>
      <c r="S422">
        <v>0.68</v>
      </c>
      <c r="U422" s="2">
        <v>45108</v>
      </c>
    </row>
    <row r="423" spans="2:30">
      <c r="B423" s="2">
        <v>44901</v>
      </c>
      <c r="C423">
        <v>3.78</v>
      </c>
      <c r="D423" s="2">
        <v>44903</v>
      </c>
      <c r="E423">
        <v>3.6819999999999999</v>
      </c>
      <c r="F423" s="2">
        <v>44903</v>
      </c>
      <c r="G423">
        <v>3.61</v>
      </c>
      <c r="H423" s="2">
        <v>44904</v>
      </c>
      <c r="I423">
        <v>3.48</v>
      </c>
      <c r="J423" s="2">
        <v>44903</v>
      </c>
      <c r="K423">
        <v>3.49024</v>
      </c>
      <c r="L423" s="2">
        <v>44907</v>
      </c>
      <c r="M423">
        <v>3.46</v>
      </c>
      <c r="N423" s="2">
        <v>42654</v>
      </c>
      <c r="O423">
        <v>1.5740000000000001</v>
      </c>
      <c r="P423" s="2">
        <v>44902</v>
      </c>
      <c r="Q423">
        <v>3.7730000000000001</v>
      </c>
      <c r="R423" s="2">
        <v>44564</v>
      </c>
      <c r="S423">
        <v>0.79800000000000004</v>
      </c>
      <c r="U423" s="2">
        <v>45107</v>
      </c>
      <c r="V423">
        <v>3.6949999999999998</v>
      </c>
      <c r="W423">
        <v>3.5950000000000002</v>
      </c>
      <c r="X423">
        <v>3.673</v>
      </c>
      <c r="Y423">
        <v>3.6970000000000001</v>
      </c>
      <c r="Z423">
        <v>3.7189999999999999</v>
      </c>
      <c r="AA423">
        <v>3.694</v>
      </c>
      <c r="AB423">
        <v>3.6930000000000001</v>
      </c>
      <c r="AC423">
        <v>3.6720000000000002</v>
      </c>
      <c r="AD423">
        <v>1.3540000000000001</v>
      </c>
    </row>
    <row r="424" spans="2:30">
      <c r="B424" s="2">
        <v>44900</v>
      </c>
      <c r="C424">
        <v>3.5</v>
      </c>
      <c r="D424" s="2">
        <v>44902</v>
      </c>
      <c r="E424">
        <v>3.653</v>
      </c>
      <c r="F424" s="2">
        <v>44902</v>
      </c>
      <c r="G424">
        <v>3.62</v>
      </c>
      <c r="H424" s="2">
        <v>44903</v>
      </c>
      <c r="I424">
        <v>3.53</v>
      </c>
      <c r="J424" s="2">
        <v>44902</v>
      </c>
      <c r="K424">
        <v>3.5150000000000001</v>
      </c>
      <c r="L424" s="2">
        <v>44904</v>
      </c>
      <c r="M424">
        <v>3.464</v>
      </c>
      <c r="N424" s="2"/>
      <c r="P424" s="2">
        <v>44901</v>
      </c>
      <c r="Q424">
        <v>3.74</v>
      </c>
      <c r="R424" s="2">
        <v>44560</v>
      </c>
      <c r="S424">
        <v>0.77</v>
      </c>
      <c r="U424" s="2">
        <v>45106</v>
      </c>
      <c r="V424">
        <v>3.669</v>
      </c>
      <c r="W424">
        <v>3.5950000000000002</v>
      </c>
      <c r="X424">
        <v>3.5979999999999999</v>
      </c>
      <c r="Y424">
        <v>3.63</v>
      </c>
      <c r="Z424">
        <v>3.66</v>
      </c>
      <c r="AA424">
        <v>3.6619999999999999</v>
      </c>
      <c r="AC424">
        <v>3.645</v>
      </c>
      <c r="AD424">
        <v>1.31</v>
      </c>
    </row>
    <row r="425" spans="2:30">
      <c r="B425" s="2">
        <v>44897</v>
      </c>
      <c r="C425">
        <v>3.77</v>
      </c>
      <c r="D425" s="2">
        <v>44901</v>
      </c>
      <c r="E425">
        <v>3.6320000000000001</v>
      </c>
      <c r="F425" s="2">
        <v>44901</v>
      </c>
      <c r="G425">
        <v>3.59</v>
      </c>
      <c r="H425" s="2">
        <v>44902</v>
      </c>
      <c r="I425">
        <v>3.52</v>
      </c>
      <c r="J425" s="2">
        <v>44901</v>
      </c>
      <c r="K425">
        <v>3.51</v>
      </c>
      <c r="L425" s="2">
        <v>44903</v>
      </c>
      <c r="M425">
        <v>3.5049999999999999</v>
      </c>
      <c r="N425" s="2"/>
      <c r="P425" s="2">
        <v>44900</v>
      </c>
      <c r="Q425">
        <v>3.69</v>
      </c>
      <c r="R425" s="2">
        <v>44559</v>
      </c>
      <c r="S425">
        <v>0.70099999999999996</v>
      </c>
      <c r="U425" s="2">
        <v>45105</v>
      </c>
      <c r="V425">
        <v>3.653</v>
      </c>
      <c r="W425">
        <v>3.56</v>
      </c>
      <c r="X425">
        <v>3.5720000000000001</v>
      </c>
      <c r="Y425">
        <v>3.605</v>
      </c>
      <c r="Z425">
        <v>3.6469999999999998</v>
      </c>
      <c r="AA425">
        <v>3.657</v>
      </c>
      <c r="AC425">
        <v>3.6469999999999998</v>
      </c>
      <c r="AD425">
        <v>1.32</v>
      </c>
    </row>
    <row r="426" spans="2:30">
      <c r="B426" s="2">
        <v>44896</v>
      </c>
      <c r="C426">
        <v>3.7949999999999999</v>
      </c>
      <c r="D426" s="2">
        <v>44900</v>
      </c>
      <c r="E426">
        <v>3.6</v>
      </c>
      <c r="F426" s="2">
        <v>44900</v>
      </c>
      <c r="G426">
        <v>3.5870000000000002</v>
      </c>
      <c r="H426" s="2">
        <v>44901</v>
      </c>
      <c r="I426">
        <v>3.5</v>
      </c>
      <c r="J426" s="2">
        <v>44900</v>
      </c>
      <c r="K426">
        <v>3.55</v>
      </c>
      <c r="L426" s="2">
        <v>44902</v>
      </c>
      <c r="M426">
        <v>3.5049999999999999</v>
      </c>
      <c r="N426" s="2"/>
      <c r="P426" s="2">
        <v>44897</v>
      </c>
      <c r="Q426">
        <v>3.71</v>
      </c>
      <c r="R426" s="2">
        <v>44558</v>
      </c>
      <c r="S426">
        <v>0.751</v>
      </c>
      <c r="U426" s="2">
        <v>45104</v>
      </c>
      <c r="V426">
        <v>3.62</v>
      </c>
      <c r="W426">
        <v>3.5390000000000001</v>
      </c>
      <c r="X426">
        <v>3.5649999999999999</v>
      </c>
      <c r="Y426">
        <v>3.605</v>
      </c>
      <c r="Z426">
        <v>3.6219999999999999</v>
      </c>
      <c r="AA426">
        <v>3.64</v>
      </c>
      <c r="AC426">
        <v>3.6419999999999999</v>
      </c>
      <c r="AD426">
        <v>1.29</v>
      </c>
    </row>
    <row r="427" spans="2:30">
      <c r="B427" s="2">
        <v>44895</v>
      </c>
      <c r="C427">
        <v>3.823</v>
      </c>
      <c r="D427" s="2">
        <v>44897</v>
      </c>
      <c r="E427">
        <v>3.61</v>
      </c>
      <c r="F427" s="2">
        <v>44897</v>
      </c>
      <c r="G427">
        <v>3.625</v>
      </c>
      <c r="H427" s="2">
        <v>44900</v>
      </c>
      <c r="I427">
        <v>3.54</v>
      </c>
      <c r="J427" s="2">
        <v>44897</v>
      </c>
      <c r="K427">
        <v>3.6951000000000001</v>
      </c>
      <c r="L427" s="2">
        <v>44901</v>
      </c>
      <c r="M427">
        <v>3.46</v>
      </c>
      <c r="N427" s="2"/>
      <c r="P427" s="2">
        <v>44896</v>
      </c>
      <c r="Q427">
        <v>3.7480000000000002</v>
      </c>
      <c r="R427" s="2">
        <v>44557</v>
      </c>
      <c r="S427">
        <v>0.80300000000000005</v>
      </c>
      <c r="U427" s="2">
        <v>45103</v>
      </c>
      <c r="V427">
        <v>3.629</v>
      </c>
      <c r="W427">
        <v>3.5619999999999998</v>
      </c>
      <c r="X427">
        <v>3.57</v>
      </c>
      <c r="Y427">
        <v>3.605</v>
      </c>
      <c r="Z427">
        <v>3.6469999999999998</v>
      </c>
      <c r="AA427">
        <v>3.65</v>
      </c>
      <c r="AC427">
        <v>3.645</v>
      </c>
      <c r="AD427">
        <v>1.29</v>
      </c>
    </row>
    <row r="428" spans="2:30">
      <c r="B428" s="2">
        <v>44894</v>
      </c>
      <c r="C428">
        <v>3.8650000000000002</v>
      </c>
      <c r="D428" s="2">
        <v>44896</v>
      </c>
      <c r="E428">
        <v>3.6949999999999998</v>
      </c>
      <c r="F428" s="2">
        <v>44896</v>
      </c>
      <c r="G428">
        <v>3.67</v>
      </c>
      <c r="H428" s="2">
        <v>44897</v>
      </c>
      <c r="I428">
        <v>3.5920000000000001</v>
      </c>
      <c r="J428" s="2">
        <v>44896</v>
      </c>
      <c r="K428">
        <v>3.6920000000000002</v>
      </c>
      <c r="L428" s="2">
        <v>44900</v>
      </c>
      <c r="M428">
        <v>3.5350000000000001</v>
      </c>
      <c r="N428" s="2"/>
      <c r="P428" s="2">
        <v>44895</v>
      </c>
      <c r="Q428">
        <v>3.8</v>
      </c>
      <c r="R428" s="2">
        <v>44553</v>
      </c>
      <c r="S428">
        <v>0.82299999999999995</v>
      </c>
      <c r="U428" s="2">
        <v>45102</v>
      </c>
    </row>
    <row r="429" spans="2:30">
      <c r="B429" s="2">
        <v>44893</v>
      </c>
      <c r="C429">
        <v>3.81</v>
      </c>
      <c r="D429" s="2">
        <v>44895</v>
      </c>
      <c r="E429">
        <v>3.6621999999999999</v>
      </c>
      <c r="F429" s="2">
        <v>44895</v>
      </c>
      <c r="G429">
        <v>3.7050000000000001</v>
      </c>
      <c r="H429" s="2">
        <v>44896</v>
      </c>
      <c r="I429">
        <v>3.657</v>
      </c>
      <c r="J429" s="2">
        <v>44895</v>
      </c>
      <c r="K429">
        <v>3.7250000000000001</v>
      </c>
      <c r="L429" s="2">
        <v>44897</v>
      </c>
      <c r="M429">
        <v>3.57</v>
      </c>
      <c r="N429" s="2"/>
      <c r="P429" s="2">
        <v>44894</v>
      </c>
      <c r="Q429">
        <v>3.8149999999999999</v>
      </c>
      <c r="R429" s="2">
        <v>44552</v>
      </c>
      <c r="S429">
        <v>0.77500000000000002</v>
      </c>
      <c r="U429" s="2">
        <v>45101</v>
      </c>
    </row>
    <row r="430" spans="2:30">
      <c r="B430" s="2">
        <v>44890</v>
      </c>
      <c r="C430">
        <v>3.6669999999999998</v>
      </c>
      <c r="D430" s="2">
        <v>44894</v>
      </c>
      <c r="E430">
        <v>3.7149999999999999</v>
      </c>
      <c r="F430" s="2">
        <v>44894</v>
      </c>
      <c r="G430">
        <v>3.7189999999999999</v>
      </c>
      <c r="H430" s="2">
        <v>44895</v>
      </c>
      <c r="I430">
        <v>3.66</v>
      </c>
      <c r="J430" s="2">
        <v>44894</v>
      </c>
      <c r="K430">
        <v>3.71</v>
      </c>
      <c r="L430" s="2">
        <v>44896</v>
      </c>
      <c r="M430">
        <v>3.6760000000000002</v>
      </c>
      <c r="N430" s="2"/>
      <c r="P430" s="2">
        <v>44893</v>
      </c>
      <c r="Q430">
        <v>3.7970000000000002</v>
      </c>
      <c r="R430" s="2">
        <v>44551</v>
      </c>
      <c r="S430">
        <v>0.76</v>
      </c>
      <c r="U430" s="2">
        <v>45100</v>
      </c>
      <c r="V430">
        <v>3.665</v>
      </c>
      <c r="W430">
        <v>3.6</v>
      </c>
      <c r="X430">
        <v>3.605</v>
      </c>
      <c r="Y430">
        <v>3.6702699999999999</v>
      </c>
      <c r="Z430">
        <v>3.7250000000000001</v>
      </c>
      <c r="AA430">
        <v>3.7349999999999999</v>
      </c>
      <c r="AB430">
        <v>3.6850000000000001</v>
      </c>
      <c r="AC430">
        <v>3.69</v>
      </c>
      <c r="AD430">
        <v>1.3520000000000001</v>
      </c>
    </row>
    <row r="431" spans="2:30">
      <c r="B431" s="2">
        <v>44889</v>
      </c>
      <c r="C431">
        <v>3.83</v>
      </c>
      <c r="D431" s="2">
        <v>44893</v>
      </c>
      <c r="E431">
        <v>3.6549999999999998</v>
      </c>
      <c r="F431" s="2">
        <v>44893</v>
      </c>
      <c r="G431">
        <v>3.665</v>
      </c>
      <c r="H431" s="2">
        <v>44894</v>
      </c>
      <c r="I431">
        <v>3.415</v>
      </c>
      <c r="J431" s="2">
        <v>44893</v>
      </c>
      <c r="K431">
        <v>3.68</v>
      </c>
      <c r="L431" s="2">
        <v>44895</v>
      </c>
      <c r="M431">
        <v>3.67</v>
      </c>
      <c r="N431" s="2"/>
      <c r="P431" s="2">
        <v>44890</v>
      </c>
      <c r="Q431">
        <v>3.7650000000000001</v>
      </c>
      <c r="R431" s="2">
        <v>44550</v>
      </c>
      <c r="S431">
        <v>0.79</v>
      </c>
      <c r="U431" s="2">
        <v>45099</v>
      </c>
      <c r="V431">
        <v>3.64</v>
      </c>
      <c r="W431">
        <v>3.581</v>
      </c>
      <c r="X431">
        <v>3.5880000000000001</v>
      </c>
      <c r="Y431">
        <v>3.6549999999999998</v>
      </c>
      <c r="Z431">
        <v>3.7</v>
      </c>
      <c r="AA431">
        <v>3.7</v>
      </c>
      <c r="AC431">
        <v>3.6749999999999998</v>
      </c>
    </row>
    <row r="432" spans="2:30">
      <c r="B432" s="2">
        <v>44888</v>
      </c>
      <c r="C432">
        <v>3.9409999999999998</v>
      </c>
      <c r="D432" s="2">
        <v>44890</v>
      </c>
      <c r="E432">
        <v>3.64</v>
      </c>
      <c r="F432" s="2">
        <v>44890</v>
      </c>
      <c r="G432">
        <v>3.665</v>
      </c>
      <c r="H432" s="2">
        <v>44893</v>
      </c>
      <c r="I432">
        <v>3.5950000000000002</v>
      </c>
      <c r="J432" s="2">
        <v>44890</v>
      </c>
      <c r="K432">
        <v>3.69</v>
      </c>
      <c r="L432" s="2">
        <v>44894</v>
      </c>
      <c r="M432">
        <v>3.67</v>
      </c>
      <c r="N432" s="2"/>
      <c r="P432" s="2">
        <v>44889</v>
      </c>
      <c r="Q432">
        <v>3.8149999999999999</v>
      </c>
      <c r="R432" s="2">
        <v>44544</v>
      </c>
      <c r="S432">
        <v>0.77702000000000004</v>
      </c>
      <c r="U432" s="2">
        <v>45098</v>
      </c>
      <c r="V432">
        <v>3.621</v>
      </c>
      <c r="W432">
        <v>3.5649999999999999</v>
      </c>
      <c r="X432">
        <v>3.5619999999999998</v>
      </c>
      <c r="Y432">
        <v>3.62</v>
      </c>
      <c r="Z432">
        <v>3.68</v>
      </c>
      <c r="AA432">
        <v>3.665</v>
      </c>
      <c r="AC432">
        <v>3.625</v>
      </c>
      <c r="AD432">
        <v>1.2849999999999999</v>
      </c>
    </row>
    <row r="433" spans="2:30">
      <c r="B433" s="2">
        <v>44887</v>
      </c>
      <c r="C433">
        <v>3.94</v>
      </c>
      <c r="D433" s="2">
        <v>44889</v>
      </c>
      <c r="E433">
        <v>3.69</v>
      </c>
      <c r="F433" s="2">
        <v>44889</v>
      </c>
      <c r="G433">
        <v>3.7149999999999999</v>
      </c>
      <c r="H433" s="2">
        <v>44890</v>
      </c>
      <c r="I433">
        <v>3.6150000000000002</v>
      </c>
      <c r="J433" s="2">
        <v>44889</v>
      </c>
      <c r="K433">
        <v>3.65</v>
      </c>
      <c r="L433" s="2">
        <v>44893</v>
      </c>
      <c r="M433">
        <v>3.6749999999999998</v>
      </c>
      <c r="N433" s="2"/>
      <c r="P433" s="2">
        <v>44888</v>
      </c>
      <c r="Q433">
        <v>3.93</v>
      </c>
      <c r="R433" s="2">
        <v>44543</v>
      </c>
      <c r="S433">
        <v>0.79500000000000004</v>
      </c>
      <c r="U433" s="2">
        <v>45097</v>
      </c>
      <c r="V433">
        <v>3.61</v>
      </c>
      <c r="W433">
        <v>3.5489999999999999</v>
      </c>
      <c r="X433">
        <v>3.5870000000000002</v>
      </c>
      <c r="Y433">
        <v>3.6320000000000001</v>
      </c>
      <c r="Z433">
        <v>3.7</v>
      </c>
      <c r="AA433">
        <v>3.7069999999999999</v>
      </c>
      <c r="AC433">
        <v>3.6880000000000002</v>
      </c>
      <c r="AD433">
        <v>1.28</v>
      </c>
    </row>
    <row r="434" spans="2:30">
      <c r="B434" s="2">
        <v>44886</v>
      </c>
      <c r="C434">
        <v>3.915</v>
      </c>
      <c r="D434" s="2">
        <v>44888</v>
      </c>
      <c r="E434">
        <v>3.8450000000000002</v>
      </c>
      <c r="F434" s="2">
        <v>44888</v>
      </c>
      <c r="G434">
        <v>3.86</v>
      </c>
      <c r="H434" s="2">
        <v>44889</v>
      </c>
      <c r="I434">
        <v>3.61</v>
      </c>
      <c r="J434" s="2">
        <v>44888</v>
      </c>
      <c r="K434">
        <v>3.7949999999999999</v>
      </c>
      <c r="L434" s="2">
        <v>44890</v>
      </c>
      <c r="M434">
        <v>3.64</v>
      </c>
      <c r="N434" s="2"/>
      <c r="P434" s="2">
        <v>44887</v>
      </c>
      <c r="Q434">
        <v>3.95</v>
      </c>
      <c r="R434" s="2">
        <v>44539</v>
      </c>
      <c r="S434">
        <v>0.79600000000000004</v>
      </c>
      <c r="U434" s="2">
        <v>45096</v>
      </c>
      <c r="V434">
        <v>3.6453600000000002</v>
      </c>
      <c r="W434">
        <v>3.58</v>
      </c>
      <c r="X434">
        <v>3.5870000000000002</v>
      </c>
      <c r="Y434">
        <v>3.6349999999999998</v>
      </c>
      <c r="Z434">
        <v>3.6865000000000001</v>
      </c>
      <c r="AA434">
        <v>3.6720000000000002</v>
      </c>
      <c r="AC434">
        <v>3.6480000000000001</v>
      </c>
      <c r="AD434">
        <v>1.28</v>
      </c>
    </row>
    <row r="435" spans="2:30">
      <c r="B435" s="2">
        <v>44883</v>
      </c>
      <c r="C435">
        <v>3.86</v>
      </c>
      <c r="D435" s="2">
        <v>44887</v>
      </c>
      <c r="E435">
        <v>3.855</v>
      </c>
      <c r="F435" s="2">
        <v>44887</v>
      </c>
      <c r="G435">
        <v>3.875</v>
      </c>
      <c r="H435" s="2">
        <v>44888</v>
      </c>
      <c r="I435">
        <v>3.7669999999999999</v>
      </c>
      <c r="J435" s="2">
        <v>44887</v>
      </c>
      <c r="K435">
        <v>3.77</v>
      </c>
      <c r="L435" s="2">
        <v>44889</v>
      </c>
      <c r="M435">
        <v>3.64</v>
      </c>
      <c r="N435" s="2"/>
      <c r="P435" s="2">
        <v>44886</v>
      </c>
      <c r="Q435">
        <v>3.9350000000000001</v>
      </c>
      <c r="R435" s="2">
        <v>44538</v>
      </c>
      <c r="S435">
        <v>0.879</v>
      </c>
      <c r="U435" s="2">
        <v>45095</v>
      </c>
    </row>
    <row r="436" spans="2:30">
      <c r="B436" s="2">
        <v>44882</v>
      </c>
      <c r="C436">
        <v>3.875</v>
      </c>
      <c r="D436" s="2">
        <v>44886</v>
      </c>
      <c r="E436">
        <v>3.85</v>
      </c>
      <c r="F436" s="2">
        <v>44886</v>
      </c>
      <c r="G436">
        <v>3.87</v>
      </c>
      <c r="H436" s="2">
        <v>44887</v>
      </c>
      <c r="I436">
        <v>3.7829999999999999</v>
      </c>
      <c r="J436" s="2">
        <v>44886</v>
      </c>
      <c r="K436">
        <v>3.77</v>
      </c>
      <c r="L436" s="2">
        <v>44888</v>
      </c>
      <c r="M436">
        <v>3.77</v>
      </c>
      <c r="N436" s="2"/>
      <c r="P436" s="2">
        <v>44883</v>
      </c>
      <c r="Q436">
        <v>3.875</v>
      </c>
      <c r="R436" s="2">
        <v>44537</v>
      </c>
      <c r="S436">
        <v>0.871</v>
      </c>
      <c r="U436" s="2">
        <v>45094</v>
      </c>
    </row>
    <row r="437" spans="2:30">
      <c r="B437" s="2">
        <v>44881</v>
      </c>
      <c r="C437">
        <v>3.89</v>
      </c>
      <c r="D437" s="2">
        <v>44883</v>
      </c>
      <c r="E437">
        <v>3.8149999999999999</v>
      </c>
      <c r="F437" s="2">
        <v>44883</v>
      </c>
      <c r="G437">
        <v>3.84</v>
      </c>
      <c r="H437" s="2">
        <v>44886</v>
      </c>
      <c r="I437">
        <v>3.7650000000000001</v>
      </c>
      <c r="J437" s="2">
        <v>44883</v>
      </c>
      <c r="K437">
        <v>3.8</v>
      </c>
      <c r="L437" s="2">
        <v>44887</v>
      </c>
      <c r="M437">
        <v>3.7949999999999999</v>
      </c>
      <c r="N437" s="2"/>
      <c r="P437" s="2">
        <v>44882</v>
      </c>
      <c r="Q437">
        <v>3.88</v>
      </c>
      <c r="R437" s="2">
        <v>44533</v>
      </c>
      <c r="S437">
        <v>0.93300000000000005</v>
      </c>
      <c r="U437" s="2">
        <v>45093</v>
      </c>
      <c r="V437">
        <v>3.665</v>
      </c>
      <c r="W437">
        <v>3.59</v>
      </c>
      <c r="X437">
        <v>3.61</v>
      </c>
      <c r="Y437">
        <v>3.65591</v>
      </c>
      <c r="Z437">
        <v>3.6850000000000001</v>
      </c>
      <c r="AA437">
        <v>3.6749999999999998</v>
      </c>
      <c r="AB437">
        <v>3.6509999999999998</v>
      </c>
      <c r="AC437">
        <v>3.6320000000000001</v>
      </c>
      <c r="AD437">
        <v>1.3</v>
      </c>
    </row>
    <row r="438" spans="2:30">
      <c r="B438" s="2">
        <v>44880</v>
      </c>
      <c r="C438">
        <v>3.8370000000000002</v>
      </c>
      <c r="D438" s="2">
        <v>44882</v>
      </c>
      <c r="E438">
        <v>3.8050000000000002</v>
      </c>
      <c r="F438" s="2">
        <v>44882</v>
      </c>
      <c r="G438">
        <v>3.88</v>
      </c>
      <c r="H438" s="2">
        <v>44883</v>
      </c>
      <c r="I438">
        <v>3.887</v>
      </c>
      <c r="J438" s="2">
        <v>44882</v>
      </c>
      <c r="K438">
        <v>3.8460000000000001</v>
      </c>
      <c r="L438" s="2">
        <v>44886</v>
      </c>
      <c r="M438">
        <v>3.7650000000000001</v>
      </c>
      <c r="N438" s="2"/>
      <c r="P438" s="2">
        <v>44881</v>
      </c>
      <c r="Q438">
        <v>3.89</v>
      </c>
      <c r="R438" s="2">
        <v>44532</v>
      </c>
      <c r="S438">
        <v>0.94</v>
      </c>
      <c r="U438" s="2">
        <v>45092</v>
      </c>
      <c r="V438">
        <v>3.665</v>
      </c>
      <c r="W438">
        <v>3.62</v>
      </c>
      <c r="X438">
        <v>3.63</v>
      </c>
      <c r="Y438">
        <v>3.6880000000000002</v>
      </c>
      <c r="Z438">
        <v>3.69</v>
      </c>
      <c r="AA438">
        <v>3.69</v>
      </c>
      <c r="AB438">
        <v>3.6720000000000002</v>
      </c>
      <c r="AC438">
        <v>3.65</v>
      </c>
      <c r="AD438">
        <v>1.32</v>
      </c>
    </row>
    <row r="439" spans="2:30">
      <c r="B439" s="2">
        <v>44879</v>
      </c>
      <c r="C439">
        <v>3.915</v>
      </c>
      <c r="D439" s="2">
        <v>44881</v>
      </c>
      <c r="E439">
        <v>3.79</v>
      </c>
      <c r="F439" s="2">
        <v>44881</v>
      </c>
      <c r="G439">
        <v>3.8325</v>
      </c>
      <c r="H439" s="2">
        <v>44882</v>
      </c>
      <c r="I439">
        <v>3.8420000000000001</v>
      </c>
      <c r="J439" s="2">
        <v>44881</v>
      </c>
      <c r="K439">
        <v>3.9049999999999998</v>
      </c>
      <c r="L439" s="2">
        <v>44883</v>
      </c>
      <c r="M439">
        <v>3.78</v>
      </c>
      <c r="N439" s="2"/>
      <c r="P439" s="2">
        <v>44880</v>
      </c>
      <c r="Q439">
        <v>3.84</v>
      </c>
      <c r="R439" s="2">
        <v>44531</v>
      </c>
      <c r="S439">
        <v>0.97499999999999998</v>
      </c>
      <c r="U439" s="2">
        <v>45091</v>
      </c>
      <c r="V439">
        <v>3.6</v>
      </c>
      <c r="W439">
        <v>3.54</v>
      </c>
      <c r="X439">
        <v>3.56</v>
      </c>
      <c r="Y439">
        <v>3.625</v>
      </c>
      <c r="Z439">
        <v>3.6619999999999999</v>
      </c>
      <c r="AA439">
        <v>3.6389999999999998</v>
      </c>
      <c r="AC439">
        <v>3.6080000000000001</v>
      </c>
      <c r="AD439">
        <v>1.32</v>
      </c>
    </row>
    <row r="440" spans="2:30">
      <c r="B440" s="2">
        <v>44876</v>
      </c>
      <c r="C440">
        <v>3.9</v>
      </c>
      <c r="D440" s="2">
        <v>44880</v>
      </c>
      <c r="E440">
        <v>3.7469999999999999</v>
      </c>
      <c r="F440" s="2">
        <v>44880</v>
      </c>
      <c r="G440">
        <v>3.81</v>
      </c>
      <c r="H440" s="2">
        <v>44881</v>
      </c>
      <c r="I440">
        <v>3.8981499999999998</v>
      </c>
      <c r="J440" s="2">
        <v>44880</v>
      </c>
      <c r="K440">
        <v>3.855</v>
      </c>
      <c r="L440" s="2">
        <v>44882</v>
      </c>
      <c r="M440">
        <v>3.8250000000000002</v>
      </c>
      <c r="N440" s="2"/>
      <c r="P440" s="2">
        <v>44879</v>
      </c>
      <c r="Q440">
        <v>3.88</v>
      </c>
      <c r="R440" s="2">
        <v>44530</v>
      </c>
      <c r="S440">
        <v>0.99</v>
      </c>
      <c r="U440" s="2">
        <v>45090</v>
      </c>
      <c r="V440">
        <v>3.5449999999999999</v>
      </c>
      <c r="W440">
        <v>3.472</v>
      </c>
      <c r="X440">
        <v>3.5049999999999999</v>
      </c>
      <c r="Y440">
        <v>3.58</v>
      </c>
      <c r="Z440">
        <v>3.65</v>
      </c>
      <c r="AA440">
        <v>3.6349999999999998</v>
      </c>
      <c r="AC440">
        <v>3.55</v>
      </c>
    </row>
    <row r="441" spans="2:30">
      <c r="B441" s="2">
        <v>44875</v>
      </c>
      <c r="C441">
        <v>4.0949999999999998</v>
      </c>
      <c r="D441" s="2">
        <v>44879</v>
      </c>
      <c r="E441">
        <v>3.835</v>
      </c>
      <c r="F441" s="2">
        <v>44879</v>
      </c>
      <c r="G441">
        <v>3.927</v>
      </c>
      <c r="H441" s="2">
        <v>44880</v>
      </c>
      <c r="I441">
        <v>3.8450000000000002</v>
      </c>
      <c r="J441" s="2">
        <v>44879</v>
      </c>
      <c r="K441">
        <v>3.9350000000000001</v>
      </c>
      <c r="L441" s="2">
        <v>44881</v>
      </c>
      <c r="M441">
        <v>3.85</v>
      </c>
      <c r="N441" s="2"/>
      <c r="P441" s="2">
        <v>44876</v>
      </c>
      <c r="Q441">
        <v>3.88</v>
      </c>
      <c r="R441" s="2">
        <v>44529</v>
      </c>
      <c r="S441">
        <v>1.02</v>
      </c>
      <c r="U441" s="2">
        <v>45089</v>
      </c>
      <c r="V441">
        <v>3.5680000000000001</v>
      </c>
      <c r="W441">
        <v>3.4990000000000001</v>
      </c>
      <c r="X441">
        <v>3.5110000000000001</v>
      </c>
      <c r="Y441">
        <v>3.577</v>
      </c>
      <c r="Z441">
        <v>3.66</v>
      </c>
      <c r="AA441">
        <v>3.6619999999999999</v>
      </c>
      <c r="AB441">
        <v>3.6749999999999998</v>
      </c>
      <c r="AC441">
        <v>3.5680000000000001</v>
      </c>
      <c r="AD441">
        <v>1.3160000000000001</v>
      </c>
    </row>
    <row r="442" spans="2:30">
      <c r="B442" s="2">
        <v>44874</v>
      </c>
      <c r="C442">
        <v>4.05</v>
      </c>
      <c r="D442" s="2">
        <v>44876</v>
      </c>
      <c r="E442">
        <v>3.8319999999999999</v>
      </c>
      <c r="F442" s="2">
        <v>44876</v>
      </c>
      <c r="G442">
        <v>3.895</v>
      </c>
      <c r="H442" s="2">
        <v>44879</v>
      </c>
      <c r="I442">
        <v>3.9319999999999999</v>
      </c>
      <c r="J442" s="2">
        <v>44876</v>
      </c>
      <c r="K442">
        <v>3.9</v>
      </c>
      <c r="L442" s="2">
        <v>44880</v>
      </c>
      <c r="M442">
        <v>3.84</v>
      </c>
      <c r="N442" s="2"/>
      <c r="P442" s="2">
        <v>44875</v>
      </c>
      <c r="Q442">
        <v>4.1100000000000003</v>
      </c>
      <c r="R442" s="2">
        <v>44526</v>
      </c>
      <c r="S442">
        <v>0.95699999999999996</v>
      </c>
      <c r="U442" s="2">
        <v>45088</v>
      </c>
    </row>
    <row r="443" spans="2:30">
      <c r="B443" s="2">
        <v>44873</v>
      </c>
      <c r="C443">
        <v>4.24</v>
      </c>
      <c r="D443" s="2">
        <v>44875</v>
      </c>
      <c r="E443">
        <v>4.0250000000000004</v>
      </c>
      <c r="F443" s="2">
        <v>44875</v>
      </c>
      <c r="G443">
        <v>4.0819999999999999</v>
      </c>
      <c r="H443" s="2">
        <v>44876</v>
      </c>
      <c r="I443">
        <v>3.9020000000000001</v>
      </c>
      <c r="J443" s="2">
        <v>44875</v>
      </c>
      <c r="K443">
        <v>4.03</v>
      </c>
      <c r="L443" s="2">
        <v>44879</v>
      </c>
      <c r="M443">
        <v>3.8929999999999998</v>
      </c>
      <c r="N443" s="2"/>
      <c r="P443" s="2">
        <v>44874</v>
      </c>
      <c r="Q443">
        <v>4.1349999999999998</v>
      </c>
      <c r="R443" s="2">
        <v>44525</v>
      </c>
      <c r="S443">
        <v>1.0429999999999999</v>
      </c>
      <c r="U443" s="2">
        <v>45087</v>
      </c>
    </row>
    <row r="444" spans="2:30">
      <c r="B444" s="2">
        <v>44872</v>
      </c>
      <c r="C444">
        <v>4.2549999999999999</v>
      </c>
      <c r="D444" s="2">
        <v>44874</v>
      </c>
      <c r="E444">
        <v>4.0999999999999996</v>
      </c>
      <c r="F444" s="2">
        <v>44874</v>
      </c>
      <c r="G444">
        <v>4.1820000000000004</v>
      </c>
      <c r="H444" s="2">
        <v>44875</v>
      </c>
      <c r="I444">
        <v>4.0350000000000001</v>
      </c>
      <c r="J444" s="2">
        <v>44874</v>
      </c>
      <c r="K444">
        <v>4.165</v>
      </c>
      <c r="L444" s="2">
        <v>44876</v>
      </c>
      <c r="M444">
        <v>3.85</v>
      </c>
      <c r="N444" s="2"/>
      <c r="P444" s="2">
        <v>44873</v>
      </c>
      <c r="Q444">
        <v>4.2300000000000004</v>
      </c>
      <c r="R444" s="2">
        <v>44524</v>
      </c>
      <c r="S444">
        <v>1.099</v>
      </c>
      <c r="U444" s="2">
        <v>45086</v>
      </c>
      <c r="V444">
        <v>3.5910000000000002</v>
      </c>
      <c r="W444">
        <v>3.52</v>
      </c>
      <c r="X444">
        <v>3.5030000000000001</v>
      </c>
      <c r="Y444">
        <v>3.61</v>
      </c>
      <c r="Z444">
        <v>3.68</v>
      </c>
      <c r="AA444">
        <v>3.6869999999999998</v>
      </c>
      <c r="AB444">
        <v>3.6749999999999998</v>
      </c>
      <c r="AC444">
        <v>3.59</v>
      </c>
      <c r="AD444">
        <v>1.3320000000000001</v>
      </c>
    </row>
    <row r="445" spans="2:30">
      <c r="B445" s="2">
        <v>44869</v>
      </c>
      <c r="C445">
        <v>4.1749999999999998</v>
      </c>
      <c r="D445" s="2">
        <v>44873</v>
      </c>
      <c r="E445">
        <v>4.1550000000000002</v>
      </c>
      <c r="F445" s="2">
        <v>44873</v>
      </c>
      <c r="G445">
        <v>4.2450000000000001</v>
      </c>
      <c r="H445" s="2">
        <v>44874</v>
      </c>
      <c r="I445">
        <v>4.16</v>
      </c>
      <c r="J445" s="2">
        <v>44873</v>
      </c>
      <c r="K445">
        <v>4.2050000000000001</v>
      </c>
      <c r="L445" s="2">
        <v>44875</v>
      </c>
      <c r="M445">
        <v>4.0049999999999999</v>
      </c>
      <c r="N445" s="2"/>
      <c r="P445" s="2">
        <v>44872</v>
      </c>
      <c r="Q445">
        <v>4.2850000000000001</v>
      </c>
      <c r="R445" s="2">
        <v>44523</v>
      </c>
      <c r="S445">
        <v>1.075</v>
      </c>
      <c r="U445" s="2">
        <v>45085</v>
      </c>
      <c r="V445">
        <v>3.6221800000000002</v>
      </c>
      <c r="W445">
        <v>3.5310000000000001</v>
      </c>
      <c r="X445">
        <v>3.54</v>
      </c>
      <c r="Y445">
        <v>3.6320000000000001</v>
      </c>
      <c r="Z445">
        <v>3.6819999999999999</v>
      </c>
      <c r="AA445">
        <v>3.6920000000000002</v>
      </c>
      <c r="AB445">
        <v>3.6440000000000001</v>
      </c>
      <c r="AC445">
        <v>3.61</v>
      </c>
      <c r="AD445">
        <v>1.32</v>
      </c>
    </row>
    <row r="446" spans="2:30">
      <c r="B446" s="2">
        <v>44868</v>
      </c>
      <c r="C446">
        <v>4.2</v>
      </c>
      <c r="D446" s="2">
        <v>44872</v>
      </c>
      <c r="E446">
        <v>4.1870000000000003</v>
      </c>
      <c r="F446" s="2">
        <v>44872</v>
      </c>
      <c r="G446">
        <v>4.2699999999999996</v>
      </c>
      <c r="H446" s="2">
        <v>44873</v>
      </c>
      <c r="I446">
        <v>4.2350000000000003</v>
      </c>
      <c r="J446" s="2">
        <v>44872</v>
      </c>
      <c r="K446">
        <v>4.22</v>
      </c>
      <c r="L446" s="2">
        <v>44874</v>
      </c>
      <c r="M446">
        <v>4.125</v>
      </c>
      <c r="N446" s="2"/>
      <c r="P446" s="2">
        <v>44869</v>
      </c>
      <c r="Q446">
        <v>4.26</v>
      </c>
      <c r="R446" s="2">
        <v>44522</v>
      </c>
      <c r="S446">
        <v>1.022</v>
      </c>
      <c r="U446" s="2">
        <v>45084</v>
      </c>
      <c r="V446">
        <v>3.5760000000000001</v>
      </c>
      <c r="W446">
        <v>3.4769999999999999</v>
      </c>
      <c r="X446">
        <v>3.4750000000000001</v>
      </c>
      <c r="Y446">
        <v>3.52</v>
      </c>
      <c r="Z446">
        <v>3.5870000000000002</v>
      </c>
      <c r="AA446">
        <v>3.597</v>
      </c>
      <c r="AC446">
        <v>3.5550000000000002</v>
      </c>
      <c r="AD446">
        <v>1.24</v>
      </c>
    </row>
    <row r="447" spans="2:30">
      <c r="B447" s="2">
        <v>44867</v>
      </c>
      <c r="C447">
        <v>4.12</v>
      </c>
      <c r="D447" s="2">
        <v>44869</v>
      </c>
      <c r="E447">
        <v>4.125</v>
      </c>
      <c r="F447" s="2">
        <v>44869</v>
      </c>
      <c r="G447">
        <v>4.16</v>
      </c>
      <c r="H447" s="2">
        <v>44872</v>
      </c>
      <c r="I447">
        <v>4.2469999999999999</v>
      </c>
      <c r="J447" s="2">
        <v>44869</v>
      </c>
      <c r="K447">
        <v>4.1449999999999996</v>
      </c>
      <c r="L447" s="2">
        <v>44873</v>
      </c>
      <c r="M447">
        <v>4.16</v>
      </c>
      <c r="N447" s="2"/>
      <c r="P447" s="2">
        <v>44868</v>
      </c>
      <c r="Q447">
        <v>4.26</v>
      </c>
      <c r="R447" s="2">
        <v>44519</v>
      </c>
      <c r="S447">
        <v>0.96</v>
      </c>
      <c r="U447" s="2">
        <v>45083</v>
      </c>
    </row>
    <row r="448" spans="2:30">
      <c r="B448" s="2">
        <v>44866</v>
      </c>
      <c r="C448">
        <v>4.09</v>
      </c>
      <c r="D448" s="2">
        <v>44868</v>
      </c>
      <c r="E448">
        <v>4.085</v>
      </c>
      <c r="F448" s="2">
        <v>44868</v>
      </c>
      <c r="G448">
        <v>4.1449999999999996</v>
      </c>
      <c r="H448" s="2">
        <v>44869</v>
      </c>
      <c r="I448">
        <v>4.1900000000000004</v>
      </c>
      <c r="J448" s="2">
        <v>44868</v>
      </c>
      <c r="K448">
        <v>4.1349999999999998</v>
      </c>
      <c r="L448" s="2">
        <v>44872</v>
      </c>
      <c r="M448">
        <v>4.1749999999999998</v>
      </c>
      <c r="N448" s="2"/>
      <c r="P448" s="2">
        <v>44867</v>
      </c>
      <c r="Q448">
        <v>4.16</v>
      </c>
      <c r="R448" s="2">
        <v>44518</v>
      </c>
      <c r="S448">
        <v>0.94</v>
      </c>
      <c r="U448" s="2">
        <v>45082</v>
      </c>
      <c r="V448">
        <v>3.6040000000000001</v>
      </c>
      <c r="W448">
        <v>3.5</v>
      </c>
      <c r="X448">
        <v>3.4849999999999999</v>
      </c>
      <c r="Y448">
        <v>3.5619999999999998</v>
      </c>
      <c r="Z448">
        <v>3.6</v>
      </c>
      <c r="AA448">
        <v>3.605</v>
      </c>
      <c r="AC448">
        <v>3.5950000000000002</v>
      </c>
    </row>
    <row r="449" spans="2:30">
      <c r="B449" s="2">
        <v>44865</v>
      </c>
      <c r="C449">
        <v>4.1900000000000004</v>
      </c>
      <c r="D449" s="2">
        <v>44867</v>
      </c>
      <c r="E449">
        <v>4.077</v>
      </c>
      <c r="F449" s="2">
        <v>44867</v>
      </c>
      <c r="G449">
        <v>4.1500000000000004</v>
      </c>
      <c r="H449" s="2">
        <v>44868</v>
      </c>
      <c r="I449">
        <v>4.1980000000000004</v>
      </c>
      <c r="J449" s="2">
        <v>44867</v>
      </c>
      <c r="K449">
        <v>4.0949999999999998</v>
      </c>
      <c r="L449" s="2">
        <v>44869</v>
      </c>
      <c r="M449">
        <v>4.0970000000000004</v>
      </c>
      <c r="N449" s="2"/>
      <c r="P449" s="2">
        <v>44865</v>
      </c>
      <c r="Q449">
        <v>4.2469999999999999</v>
      </c>
      <c r="R449" s="2">
        <v>44517</v>
      </c>
      <c r="S449">
        <v>0.88700000000000001</v>
      </c>
      <c r="U449" s="2">
        <v>45081</v>
      </c>
    </row>
    <row r="450" spans="2:30">
      <c r="B450" s="2">
        <v>44862</v>
      </c>
      <c r="C450">
        <v>4.13</v>
      </c>
      <c r="D450" s="2">
        <v>44866</v>
      </c>
      <c r="E450">
        <v>4.0549999999999997</v>
      </c>
      <c r="F450" s="2">
        <v>44866</v>
      </c>
      <c r="G450">
        <v>4.1500000000000004</v>
      </c>
      <c r="H450" s="2">
        <v>44867</v>
      </c>
      <c r="I450">
        <v>4.1150000000000002</v>
      </c>
      <c r="J450" s="2">
        <v>44866</v>
      </c>
      <c r="K450">
        <v>4.09</v>
      </c>
      <c r="L450" s="2">
        <v>44868</v>
      </c>
      <c r="M450">
        <v>4.0449999999999999</v>
      </c>
      <c r="N450" s="2"/>
      <c r="P450" s="2">
        <v>44862</v>
      </c>
      <c r="Q450">
        <v>4.1900000000000004</v>
      </c>
      <c r="R450" s="2">
        <v>44516</v>
      </c>
      <c r="S450">
        <v>0.88600000000000001</v>
      </c>
      <c r="U450" s="2">
        <v>45080</v>
      </c>
    </row>
    <row r="451" spans="2:30">
      <c r="B451" s="2">
        <v>44861</v>
      </c>
      <c r="C451">
        <v>4.1879999999999997</v>
      </c>
      <c r="D451" s="2">
        <v>44865</v>
      </c>
      <c r="E451">
        <v>4.18</v>
      </c>
      <c r="F451" s="2">
        <v>44865</v>
      </c>
      <c r="G451">
        <v>4.2469999999999999</v>
      </c>
      <c r="H451" s="2">
        <v>44866</v>
      </c>
      <c r="I451">
        <v>4.133</v>
      </c>
      <c r="J451" s="2">
        <v>44865</v>
      </c>
      <c r="K451">
        <v>4.1399999999999997</v>
      </c>
      <c r="L451" s="2">
        <v>44867</v>
      </c>
      <c r="M451">
        <v>4.0250000000000004</v>
      </c>
      <c r="N451" s="2"/>
      <c r="P451" s="2">
        <v>44861</v>
      </c>
      <c r="Q451">
        <v>4.3150000000000004</v>
      </c>
      <c r="R451" s="2">
        <v>44515</v>
      </c>
      <c r="S451">
        <v>0.88578000000000001</v>
      </c>
      <c r="U451" s="2">
        <v>45079</v>
      </c>
      <c r="V451">
        <v>3.5459999999999998</v>
      </c>
      <c r="W451">
        <v>3.4380000000000002</v>
      </c>
      <c r="X451">
        <v>3.4049999999999998</v>
      </c>
      <c r="Y451">
        <v>3.508</v>
      </c>
      <c r="Z451">
        <v>3.5449999999999999</v>
      </c>
      <c r="AA451">
        <v>3.55</v>
      </c>
      <c r="AB451">
        <v>3.5404100000000001</v>
      </c>
      <c r="AC451">
        <v>3.5150000000000001</v>
      </c>
      <c r="AD451">
        <v>1.24</v>
      </c>
    </row>
    <row r="452" spans="2:30">
      <c r="B452" s="2">
        <v>44860</v>
      </c>
      <c r="C452">
        <v>4.2350000000000003</v>
      </c>
      <c r="D452" s="2">
        <v>44862</v>
      </c>
      <c r="E452">
        <v>4.12</v>
      </c>
      <c r="F452" s="2">
        <v>44862</v>
      </c>
      <c r="G452">
        <v>4.2</v>
      </c>
      <c r="H452" s="2">
        <v>44865</v>
      </c>
      <c r="I452">
        <v>4.2</v>
      </c>
      <c r="J452" s="2">
        <v>44862</v>
      </c>
      <c r="K452">
        <v>4.13</v>
      </c>
      <c r="L452" s="2">
        <v>44866</v>
      </c>
      <c r="M452">
        <v>4.0220000000000002</v>
      </c>
      <c r="N452" s="2"/>
      <c r="P452" s="2">
        <v>44860</v>
      </c>
      <c r="Q452">
        <v>4.29</v>
      </c>
      <c r="R452" s="2">
        <v>44512</v>
      </c>
      <c r="S452">
        <v>0.94</v>
      </c>
      <c r="U452" s="2">
        <v>45078</v>
      </c>
      <c r="V452">
        <v>3.5880000000000001</v>
      </c>
      <c r="W452">
        <v>3.48</v>
      </c>
      <c r="X452">
        <v>3.4649999999999999</v>
      </c>
      <c r="Y452">
        <v>3.5569999999999999</v>
      </c>
      <c r="Z452">
        <v>3.62</v>
      </c>
      <c r="AA452">
        <v>3.62</v>
      </c>
      <c r="AB452">
        <v>3.6</v>
      </c>
      <c r="AC452">
        <v>3.56</v>
      </c>
      <c r="AD452">
        <v>1.292</v>
      </c>
    </row>
    <row r="453" spans="2:30">
      <c r="B453" s="2">
        <v>44859</v>
      </c>
      <c r="C453">
        <v>4.25</v>
      </c>
      <c r="D453" s="2">
        <v>44861</v>
      </c>
      <c r="E453">
        <v>4.2699999999999996</v>
      </c>
      <c r="F453" s="2">
        <v>44861</v>
      </c>
      <c r="G453">
        <v>4.33</v>
      </c>
      <c r="H453" s="2">
        <v>44862</v>
      </c>
      <c r="I453">
        <v>4.17</v>
      </c>
      <c r="J453" s="2">
        <v>44861</v>
      </c>
      <c r="K453">
        <v>4.2350000000000003</v>
      </c>
      <c r="L453" s="2">
        <v>44865</v>
      </c>
      <c r="M453">
        <v>4.05</v>
      </c>
      <c r="N453" s="2"/>
      <c r="P453" s="2">
        <v>44859</v>
      </c>
      <c r="Q453">
        <v>4.2450000000000001</v>
      </c>
      <c r="R453" s="2">
        <v>44511</v>
      </c>
      <c r="S453">
        <v>0.96199999999999997</v>
      </c>
      <c r="U453" s="2">
        <v>45077</v>
      </c>
      <c r="V453">
        <v>3.552</v>
      </c>
      <c r="W453">
        <v>3.4420000000000002</v>
      </c>
      <c r="X453">
        <v>3.4590000000000001</v>
      </c>
      <c r="Y453">
        <v>3.54</v>
      </c>
      <c r="Z453">
        <v>3.59</v>
      </c>
      <c r="AA453">
        <v>3.601</v>
      </c>
      <c r="AB453">
        <v>3.5449999999999999</v>
      </c>
      <c r="AC453">
        <v>3.58</v>
      </c>
      <c r="AD453">
        <v>1.23</v>
      </c>
    </row>
    <row r="454" spans="2:30">
      <c r="B454" s="2">
        <v>44858</v>
      </c>
      <c r="C454">
        <v>4.34999</v>
      </c>
      <c r="D454" s="2">
        <v>44860</v>
      </c>
      <c r="E454">
        <v>4.22</v>
      </c>
      <c r="F454" s="2">
        <v>44860</v>
      </c>
      <c r="G454">
        <v>4.3250000000000002</v>
      </c>
      <c r="H454" s="2">
        <v>44861</v>
      </c>
      <c r="I454">
        <v>4.2310699999999999</v>
      </c>
      <c r="J454" s="2">
        <v>44860</v>
      </c>
      <c r="K454">
        <v>4.1849999999999996</v>
      </c>
      <c r="L454" s="2">
        <v>44862</v>
      </c>
      <c r="M454">
        <v>4.0629999999999997</v>
      </c>
      <c r="N454" s="2"/>
      <c r="P454" s="2">
        <v>44858</v>
      </c>
      <c r="Q454">
        <v>4.33</v>
      </c>
      <c r="R454" s="2">
        <v>44510</v>
      </c>
      <c r="S454">
        <v>1.02</v>
      </c>
      <c r="U454" s="2">
        <v>45076</v>
      </c>
      <c r="V454">
        <v>3.649</v>
      </c>
      <c r="W454">
        <v>3.5270000000000001</v>
      </c>
      <c r="X454">
        <v>3.5750000000000002</v>
      </c>
      <c r="Y454">
        <v>3.65</v>
      </c>
      <c r="Z454">
        <v>3.6949999999999998</v>
      </c>
      <c r="AA454">
        <v>3.6829999999999998</v>
      </c>
      <c r="AB454">
        <v>3.6320000000000001</v>
      </c>
      <c r="AC454">
        <v>3.633</v>
      </c>
      <c r="AD454">
        <v>1.35</v>
      </c>
    </row>
    <row r="455" spans="2:30">
      <c r="B455" s="2">
        <v>44855</v>
      </c>
      <c r="C455">
        <v>4.2699999999999996</v>
      </c>
      <c r="D455" s="2">
        <v>44859</v>
      </c>
      <c r="E455">
        <v>4.2149999999999999</v>
      </c>
      <c r="F455" s="2">
        <v>44859</v>
      </c>
      <c r="G455">
        <v>4.3550000000000004</v>
      </c>
      <c r="H455" s="2">
        <v>44860</v>
      </c>
      <c r="I455">
        <v>4.2830000000000004</v>
      </c>
      <c r="J455" s="2">
        <v>44859</v>
      </c>
      <c r="K455">
        <v>4.2699999999999996</v>
      </c>
      <c r="L455" s="2">
        <v>44861</v>
      </c>
      <c r="M455">
        <v>4.1399999999999997</v>
      </c>
      <c r="N455" s="2"/>
      <c r="P455" s="2">
        <v>44855</v>
      </c>
      <c r="Q455">
        <v>4.47</v>
      </c>
      <c r="R455" s="2">
        <v>44509</v>
      </c>
      <c r="S455">
        <v>0.98099999999999998</v>
      </c>
      <c r="U455" s="2">
        <v>45075</v>
      </c>
    </row>
    <row r="456" spans="2:30">
      <c r="B456" s="2">
        <v>44854</v>
      </c>
      <c r="C456">
        <v>4.33</v>
      </c>
      <c r="D456" s="2">
        <v>44858</v>
      </c>
      <c r="E456">
        <v>4.32</v>
      </c>
      <c r="F456" s="2">
        <v>44858</v>
      </c>
      <c r="G456">
        <v>4.5</v>
      </c>
      <c r="H456" s="2">
        <v>44859</v>
      </c>
      <c r="I456">
        <v>4.34</v>
      </c>
      <c r="J456" s="2">
        <v>44858</v>
      </c>
      <c r="K456">
        <v>4.5</v>
      </c>
      <c r="L456" s="2">
        <v>44860</v>
      </c>
      <c r="M456">
        <v>4.09</v>
      </c>
      <c r="N456" s="2"/>
      <c r="P456" s="2">
        <v>44854</v>
      </c>
      <c r="Q456">
        <v>4.3550000000000004</v>
      </c>
      <c r="R456" s="2">
        <v>44508</v>
      </c>
      <c r="S456">
        <v>1.101</v>
      </c>
      <c r="U456" s="2">
        <v>45074</v>
      </c>
    </row>
    <row r="457" spans="2:30">
      <c r="B457" s="2">
        <v>44853</v>
      </c>
      <c r="C457">
        <v>4.2590000000000003</v>
      </c>
      <c r="D457" s="2">
        <v>44855</v>
      </c>
      <c r="E457">
        <v>4.47</v>
      </c>
      <c r="F457" s="2">
        <v>44855</v>
      </c>
      <c r="G457">
        <v>4.6399999999999997</v>
      </c>
      <c r="H457" s="2">
        <v>44858</v>
      </c>
      <c r="I457">
        <v>4.47</v>
      </c>
      <c r="J457" s="2">
        <v>44855</v>
      </c>
      <c r="K457">
        <v>4.53</v>
      </c>
      <c r="L457" s="2">
        <v>44859</v>
      </c>
      <c r="M457">
        <v>4.16</v>
      </c>
      <c r="N457" s="2"/>
      <c r="P457" s="2">
        <v>44853</v>
      </c>
      <c r="Q457">
        <v>4.34</v>
      </c>
      <c r="R457" s="2">
        <v>44505</v>
      </c>
      <c r="S457">
        <v>1.101</v>
      </c>
      <c r="U457" s="2">
        <v>45073</v>
      </c>
    </row>
    <row r="458" spans="2:30">
      <c r="B458" s="2">
        <v>44852</v>
      </c>
      <c r="C458">
        <v>4.26999</v>
      </c>
      <c r="D458" s="2">
        <v>44854</v>
      </c>
      <c r="E458">
        <v>4.3499999999999996</v>
      </c>
      <c r="F458" s="2">
        <v>44854</v>
      </c>
      <c r="G458">
        <v>4.4720000000000004</v>
      </c>
      <c r="H458" s="2">
        <v>44855</v>
      </c>
      <c r="I458">
        <v>4.6120000000000001</v>
      </c>
      <c r="J458" s="2">
        <v>44854</v>
      </c>
      <c r="K458">
        <v>4.3250000000000002</v>
      </c>
      <c r="L458" s="2">
        <v>44858</v>
      </c>
      <c r="M458">
        <v>4.3650000000000002</v>
      </c>
      <c r="N458" s="2"/>
      <c r="P458" s="2">
        <v>44852</v>
      </c>
      <c r="Q458">
        <v>4.26</v>
      </c>
      <c r="R458" s="2">
        <v>44504</v>
      </c>
      <c r="S458">
        <v>1.1499999999999999</v>
      </c>
      <c r="U458" s="2">
        <v>45072</v>
      </c>
      <c r="V458">
        <v>3.6120000000000001</v>
      </c>
      <c r="W458">
        <v>3.5270000000000001</v>
      </c>
      <c r="X458">
        <v>3.5569999999999999</v>
      </c>
      <c r="Y458">
        <v>3.645</v>
      </c>
      <c r="Z458">
        <v>3.6869999999999998</v>
      </c>
      <c r="AA458">
        <v>3.6579999999999999</v>
      </c>
      <c r="AC458">
        <v>3.63</v>
      </c>
      <c r="AD458">
        <v>1.32</v>
      </c>
    </row>
    <row r="459" spans="2:30">
      <c r="B459" s="2">
        <v>44851</v>
      </c>
      <c r="C459">
        <v>4.2249999999999996</v>
      </c>
      <c r="D459" s="2">
        <v>44853</v>
      </c>
      <c r="E459">
        <v>4.335</v>
      </c>
      <c r="F459" s="2">
        <v>44853</v>
      </c>
      <c r="G459">
        <v>4.4000000000000004</v>
      </c>
      <c r="H459" s="2">
        <v>44854</v>
      </c>
      <c r="I459">
        <v>4.4050000000000002</v>
      </c>
      <c r="J459" s="2">
        <v>44853</v>
      </c>
      <c r="K459">
        <v>4.2750000000000004</v>
      </c>
      <c r="L459" s="2">
        <v>44855</v>
      </c>
      <c r="M459">
        <v>4.38</v>
      </c>
      <c r="N459" s="2"/>
      <c r="P459" s="2">
        <v>44851</v>
      </c>
      <c r="Q459">
        <v>4.2350000000000003</v>
      </c>
      <c r="R459" s="2">
        <v>44503</v>
      </c>
      <c r="S459">
        <v>1.19</v>
      </c>
      <c r="U459" s="2">
        <v>45071</v>
      </c>
      <c r="V459">
        <v>3.56</v>
      </c>
      <c r="W459">
        <v>3.5110000000000001</v>
      </c>
      <c r="X459">
        <v>3.4950000000000001</v>
      </c>
      <c r="Y459">
        <v>3.6</v>
      </c>
      <c r="Z459">
        <v>3.625</v>
      </c>
      <c r="AA459">
        <v>3.613</v>
      </c>
      <c r="AB459">
        <v>3.5249999999999999</v>
      </c>
      <c r="AC459">
        <v>3.55</v>
      </c>
      <c r="AD459">
        <v>1.2989999999999999</v>
      </c>
    </row>
    <row r="460" spans="2:30">
      <c r="B460" s="2">
        <v>44848</v>
      </c>
      <c r="C460">
        <v>4.17</v>
      </c>
      <c r="D460" s="2">
        <v>44852</v>
      </c>
      <c r="E460">
        <v>4.25</v>
      </c>
      <c r="F460" s="2">
        <v>44852</v>
      </c>
      <c r="G460">
        <v>4.2649999999999997</v>
      </c>
      <c r="H460" s="2">
        <v>44853</v>
      </c>
      <c r="I460">
        <v>4.4059999999999997</v>
      </c>
      <c r="J460" s="2">
        <v>44852</v>
      </c>
      <c r="K460">
        <v>4.157</v>
      </c>
      <c r="L460" s="2">
        <v>44854</v>
      </c>
      <c r="M460">
        <v>4.1970000000000001</v>
      </c>
      <c r="N460" s="2"/>
      <c r="P460" s="2">
        <v>44848</v>
      </c>
      <c r="Q460">
        <v>4.1950000000000003</v>
      </c>
      <c r="R460" s="2">
        <v>44502</v>
      </c>
      <c r="S460">
        <v>1.1479999999999999</v>
      </c>
      <c r="U460" s="2">
        <v>45070</v>
      </c>
      <c r="V460">
        <v>3.45</v>
      </c>
      <c r="W460">
        <v>3.387</v>
      </c>
      <c r="X460">
        <v>3.3969999999999998</v>
      </c>
      <c r="Y460">
        <v>3.51</v>
      </c>
      <c r="Z460">
        <v>3.55</v>
      </c>
      <c r="AA460">
        <v>3.54</v>
      </c>
      <c r="AB460">
        <v>3.41</v>
      </c>
      <c r="AC460">
        <v>3.4449999999999998</v>
      </c>
      <c r="AD460">
        <v>1.2390000000000001</v>
      </c>
    </row>
    <row r="461" spans="2:30">
      <c r="B461" s="2">
        <v>44847</v>
      </c>
      <c r="C461">
        <v>4.1749999999999998</v>
      </c>
      <c r="D461" s="2">
        <v>44851</v>
      </c>
      <c r="E461">
        <v>4.2300000000000004</v>
      </c>
      <c r="F461" s="2">
        <v>44851</v>
      </c>
      <c r="G461">
        <v>4.2450000000000001</v>
      </c>
      <c r="H461" s="2">
        <v>44852</v>
      </c>
      <c r="I461">
        <v>4.3099999999999996</v>
      </c>
      <c r="J461" s="2">
        <v>44851</v>
      </c>
      <c r="K461">
        <v>4.125</v>
      </c>
      <c r="L461" s="2">
        <v>44853</v>
      </c>
      <c r="M461">
        <v>4.1520000000000001</v>
      </c>
      <c r="N461" s="2"/>
      <c r="P461" s="2">
        <v>44847</v>
      </c>
      <c r="Q461">
        <v>4.1870000000000003</v>
      </c>
      <c r="R461" s="2">
        <v>44501</v>
      </c>
      <c r="S461">
        <v>1.0900000000000001</v>
      </c>
      <c r="U461" s="2">
        <v>45069</v>
      </c>
      <c r="V461">
        <v>3.46</v>
      </c>
      <c r="W461">
        <v>3.38</v>
      </c>
      <c r="X461">
        <v>3.395</v>
      </c>
      <c r="Y461">
        <v>3.4870000000000001</v>
      </c>
      <c r="Z461">
        <v>3.51</v>
      </c>
      <c r="AA461">
        <v>3.4674399999999999</v>
      </c>
      <c r="AB461">
        <v>3.4089999999999998</v>
      </c>
      <c r="AC461">
        <v>3.468</v>
      </c>
      <c r="AD461">
        <v>1.232</v>
      </c>
    </row>
    <row r="462" spans="2:30">
      <c r="B462" s="2">
        <v>44846</v>
      </c>
      <c r="C462">
        <v>4.1120000000000001</v>
      </c>
      <c r="D462" s="2">
        <v>44848</v>
      </c>
      <c r="E462">
        <v>4.21</v>
      </c>
      <c r="F462" s="2">
        <v>44848</v>
      </c>
      <c r="G462">
        <v>4.2</v>
      </c>
      <c r="H462" s="2">
        <v>44851</v>
      </c>
      <c r="I462">
        <v>4.2300000000000004</v>
      </c>
      <c r="J462" s="2">
        <v>44848</v>
      </c>
      <c r="K462">
        <v>4.09</v>
      </c>
      <c r="L462" s="2">
        <v>44852</v>
      </c>
      <c r="M462">
        <v>4.07</v>
      </c>
      <c r="N462" s="2"/>
      <c r="P462" s="2">
        <v>44845</v>
      </c>
      <c r="Q462">
        <v>4.3099999999999996</v>
      </c>
      <c r="R462" s="2">
        <v>44498</v>
      </c>
      <c r="S462">
        <v>1.071</v>
      </c>
      <c r="U462" s="2">
        <v>45068</v>
      </c>
      <c r="V462">
        <v>3.41</v>
      </c>
      <c r="W462">
        <v>3.31</v>
      </c>
      <c r="X462">
        <v>3.3170000000000002</v>
      </c>
      <c r="Y462">
        <v>3.4009999999999998</v>
      </c>
      <c r="Z462">
        <v>3.4350000000000001</v>
      </c>
      <c r="AA462">
        <v>3.3</v>
      </c>
      <c r="AB462">
        <v>3.395</v>
      </c>
      <c r="AC462">
        <v>3.4249999999999998</v>
      </c>
      <c r="AD462">
        <v>1.208</v>
      </c>
    </row>
    <row r="463" spans="2:30">
      <c r="B463" s="2">
        <v>44845</v>
      </c>
      <c r="C463">
        <v>4.13</v>
      </c>
      <c r="D463" s="2">
        <v>44847</v>
      </c>
      <c r="E463">
        <v>4.1760000000000002</v>
      </c>
      <c r="F463" s="2">
        <v>44847</v>
      </c>
      <c r="G463">
        <v>4.22</v>
      </c>
      <c r="H463" s="2">
        <v>44848</v>
      </c>
      <c r="I463">
        <v>4.18</v>
      </c>
      <c r="J463" s="2">
        <v>44847</v>
      </c>
      <c r="K463">
        <v>4.1150000000000002</v>
      </c>
      <c r="L463" s="2">
        <v>44851</v>
      </c>
      <c r="M463">
        <v>4.0155700000000003</v>
      </c>
      <c r="N463" s="2"/>
      <c r="P463" s="2">
        <v>44841</v>
      </c>
      <c r="Q463">
        <v>4.24</v>
      </c>
      <c r="R463" s="2">
        <v>44497</v>
      </c>
      <c r="S463">
        <v>1.0349999999999999</v>
      </c>
      <c r="U463" s="2">
        <v>45067</v>
      </c>
    </row>
    <row r="464" spans="2:30">
      <c r="B464" s="2">
        <v>44841</v>
      </c>
      <c r="C464">
        <v>4.1500000000000004</v>
      </c>
      <c r="D464" s="2">
        <v>44846</v>
      </c>
      <c r="E464">
        <v>4.32</v>
      </c>
      <c r="F464" s="2">
        <v>44846</v>
      </c>
      <c r="G464">
        <v>4.1150000000000002</v>
      </c>
      <c r="H464" s="2">
        <v>44847</v>
      </c>
      <c r="I464">
        <v>4.2300000000000004</v>
      </c>
      <c r="J464" s="2">
        <v>44846</v>
      </c>
      <c r="K464">
        <v>4.0199999999999996</v>
      </c>
      <c r="L464" s="2">
        <v>44848</v>
      </c>
      <c r="M464">
        <v>3.9950000000000001</v>
      </c>
      <c r="N464" s="2"/>
      <c r="P464" s="2">
        <v>44840</v>
      </c>
      <c r="Q464">
        <v>4.17</v>
      </c>
      <c r="R464" s="2">
        <v>44495</v>
      </c>
      <c r="S464">
        <v>1.052</v>
      </c>
      <c r="U464" s="2">
        <v>45066</v>
      </c>
    </row>
    <row r="465" spans="2:30">
      <c r="B465" s="2">
        <v>44840</v>
      </c>
      <c r="C465">
        <v>4.08</v>
      </c>
      <c r="D465" s="2">
        <v>44845</v>
      </c>
      <c r="E465">
        <v>4.3449999999999998</v>
      </c>
      <c r="F465" s="2">
        <v>44845</v>
      </c>
      <c r="G465">
        <v>4.3099999999999996</v>
      </c>
      <c r="H465" s="2">
        <v>44846</v>
      </c>
      <c r="I465">
        <v>3.94</v>
      </c>
      <c r="J465" s="2">
        <v>44845</v>
      </c>
      <c r="K465">
        <v>4.17</v>
      </c>
      <c r="L465" s="2">
        <v>44847</v>
      </c>
      <c r="M465">
        <v>3.992</v>
      </c>
      <c r="N465" s="2"/>
      <c r="P465" s="2">
        <v>44839</v>
      </c>
      <c r="Q465">
        <v>4.07</v>
      </c>
      <c r="R465" s="2">
        <v>44494</v>
      </c>
      <c r="S465">
        <v>1.03</v>
      </c>
      <c r="U465" s="2">
        <v>45065</v>
      </c>
      <c r="V465">
        <v>3.4350000000000001</v>
      </c>
      <c r="W465">
        <v>3.327</v>
      </c>
      <c r="X465">
        <v>3.33</v>
      </c>
      <c r="Y465">
        <v>3.4170600000000002</v>
      </c>
      <c r="Z465">
        <v>3.4470000000000001</v>
      </c>
      <c r="AA465">
        <v>3.4470000000000001</v>
      </c>
      <c r="AC465">
        <v>3.42</v>
      </c>
    </row>
    <row r="466" spans="2:30">
      <c r="B466" s="2">
        <v>44839</v>
      </c>
      <c r="C466">
        <v>3.97</v>
      </c>
      <c r="D466" s="2">
        <v>44841</v>
      </c>
      <c r="E466">
        <v>4.28</v>
      </c>
      <c r="F466" s="2">
        <v>44841</v>
      </c>
      <c r="G466">
        <v>4.2249999999999996</v>
      </c>
      <c r="H466" s="2">
        <v>44845</v>
      </c>
      <c r="I466">
        <v>4.3099999999999996</v>
      </c>
      <c r="J466" s="2">
        <v>44841</v>
      </c>
      <c r="K466">
        <v>4.03</v>
      </c>
      <c r="L466" s="2">
        <v>44846</v>
      </c>
      <c r="M466">
        <v>3.9249999999999998</v>
      </c>
      <c r="N466" s="2"/>
      <c r="P466" s="2">
        <v>44838</v>
      </c>
      <c r="Q466">
        <v>4.085</v>
      </c>
      <c r="R466" s="2">
        <v>44491</v>
      </c>
      <c r="S466">
        <v>1.0369999999999999</v>
      </c>
      <c r="U466" s="2">
        <v>45064</v>
      </c>
      <c r="V466">
        <v>3.4159999999999999</v>
      </c>
      <c r="W466">
        <v>3.3119999999999998</v>
      </c>
      <c r="X466">
        <v>3.2850000000000001</v>
      </c>
      <c r="Y466">
        <v>3.3650000000000002</v>
      </c>
      <c r="Z466">
        <v>3.4</v>
      </c>
      <c r="AA466">
        <v>3.4020000000000001</v>
      </c>
      <c r="AC466">
        <v>3.415</v>
      </c>
      <c r="AD466">
        <v>1.1950000000000001</v>
      </c>
    </row>
    <row r="467" spans="2:30">
      <c r="B467" s="2">
        <v>44838</v>
      </c>
      <c r="C467">
        <v>4.0540000000000003</v>
      </c>
      <c r="D467" s="2">
        <v>44840</v>
      </c>
      <c r="E467">
        <v>4.1449999999999996</v>
      </c>
      <c r="F467" s="2">
        <v>44840</v>
      </c>
      <c r="G467">
        <v>3.98</v>
      </c>
      <c r="H467" s="2">
        <v>44841</v>
      </c>
      <c r="I467">
        <v>4.0739999999999998</v>
      </c>
      <c r="J467" s="2">
        <v>44840</v>
      </c>
      <c r="K467">
        <v>3.98</v>
      </c>
      <c r="L467" s="2">
        <v>44845</v>
      </c>
      <c r="M467">
        <v>4.0197000000000003</v>
      </c>
      <c r="N467" s="2"/>
      <c r="P467" s="2">
        <v>44834</v>
      </c>
      <c r="Q467">
        <v>4.24</v>
      </c>
      <c r="R467" s="2">
        <v>44490</v>
      </c>
      <c r="S467">
        <v>1.0029999999999999</v>
      </c>
      <c r="U467" s="2">
        <v>45063</v>
      </c>
      <c r="V467">
        <v>3.3740000000000001</v>
      </c>
      <c r="W467">
        <v>3.2749999999999999</v>
      </c>
      <c r="X467">
        <v>3.242</v>
      </c>
      <c r="Y467">
        <v>3.3170000000000002</v>
      </c>
      <c r="Z467">
        <v>3.3650000000000002</v>
      </c>
      <c r="AA467">
        <v>3.37</v>
      </c>
      <c r="AC467">
        <v>3.37</v>
      </c>
      <c r="AD467">
        <v>1.1850000000000001</v>
      </c>
    </row>
    <row r="468" spans="2:30">
      <c r="B468" s="2">
        <v>44834</v>
      </c>
      <c r="C468">
        <v>4.2</v>
      </c>
      <c r="D468" s="2">
        <v>44839</v>
      </c>
      <c r="E468">
        <v>4.1719999999999997</v>
      </c>
      <c r="F468" s="2">
        <v>44839</v>
      </c>
      <c r="G468">
        <v>4.13</v>
      </c>
      <c r="H468" s="2">
        <v>44840</v>
      </c>
      <c r="I468">
        <v>4.1050000000000004</v>
      </c>
      <c r="J468" s="2">
        <v>44839</v>
      </c>
      <c r="K468">
        <v>3.9750000000000001</v>
      </c>
      <c r="L468" s="2">
        <v>44841</v>
      </c>
      <c r="M468">
        <v>3.9350000000000001</v>
      </c>
      <c r="N468" s="2"/>
      <c r="P468" s="2">
        <v>44833</v>
      </c>
      <c r="Q468">
        <v>4.3499999999999996</v>
      </c>
      <c r="R468" s="2">
        <v>44489</v>
      </c>
      <c r="S468">
        <v>1.022</v>
      </c>
      <c r="U468" s="2">
        <v>45062</v>
      </c>
      <c r="V468">
        <v>3.3559999999999999</v>
      </c>
      <c r="W468">
        <v>3.2349999999999999</v>
      </c>
      <c r="X468">
        <v>3.21</v>
      </c>
      <c r="Y468">
        <v>3.3011499999999998</v>
      </c>
      <c r="Z468">
        <v>3.3580000000000001</v>
      </c>
      <c r="AA468">
        <v>3.3570000000000002</v>
      </c>
      <c r="AC468">
        <v>3.33</v>
      </c>
      <c r="AD468">
        <v>1.1930000000000001</v>
      </c>
    </row>
    <row r="469" spans="2:30">
      <c r="B469" s="2">
        <v>44833</v>
      </c>
      <c r="C469">
        <v>4.3</v>
      </c>
      <c r="D469" s="2">
        <v>44838</v>
      </c>
      <c r="E469">
        <v>4.0599999999999996</v>
      </c>
      <c r="F469" s="2">
        <v>44838</v>
      </c>
      <c r="G469">
        <v>4.0250000000000004</v>
      </c>
      <c r="H469" s="2">
        <v>44839</v>
      </c>
      <c r="I469">
        <v>4.0854999999999997</v>
      </c>
      <c r="J469" s="2">
        <v>44838</v>
      </c>
      <c r="K469">
        <v>3.87</v>
      </c>
      <c r="L469" s="2">
        <v>44840</v>
      </c>
      <c r="M469">
        <v>3.87</v>
      </c>
      <c r="N469" s="2"/>
      <c r="P469" s="2">
        <v>44832</v>
      </c>
      <c r="Q469">
        <v>4.42</v>
      </c>
      <c r="R469" s="2">
        <v>44487</v>
      </c>
      <c r="S469">
        <v>1</v>
      </c>
      <c r="U469" s="2">
        <v>45061</v>
      </c>
      <c r="V469">
        <v>3.37</v>
      </c>
      <c r="W469">
        <v>3.2719999999999998</v>
      </c>
      <c r="X469">
        <v>3.2530000000000001</v>
      </c>
      <c r="Y469">
        <v>3.3</v>
      </c>
      <c r="Z469">
        <v>3.379</v>
      </c>
      <c r="AA469">
        <v>3.3849999999999998</v>
      </c>
      <c r="AC469">
        <v>3.3650000000000002</v>
      </c>
      <c r="AD469">
        <v>1.19</v>
      </c>
    </row>
    <row r="470" spans="2:30">
      <c r="B470" s="2">
        <v>44832</v>
      </c>
      <c r="C470">
        <v>4.29</v>
      </c>
      <c r="D470" s="2">
        <v>44834</v>
      </c>
      <c r="E470">
        <v>4.1900000000000004</v>
      </c>
      <c r="F470" s="2">
        <v>44834</v>
      </c>
      <c r="G470">
        <v>4.2320099999999998</v>
      </c>
      <c r="H470" s="2">
        <v>44838</v>
      </c>
      <c r="I470">
        <v>4.0419999999999998</v>
      </c>
      <c r="J470" s="2">
        <v>44834</v>
      </c>
      <c r="K470">
        <v>4.2450000000000001</v>
      </c>
      <c r="L470" s="2">
        <v>44839</v>
      </c>
      <c r="M470">
        <v>3.855</v>
      </c>
      <c r="N470" s="2"/>
      <c r="P470" s="2">
        <v>44831</v>
      </c>
      <c r="Q470">
        <v>4.54</v>
      </c>
      <c r="R470" s="2">
        <v>44484</v>
      </c>
      <c r="S470">
        <v>0.97899999999999998</v>
      </c>
      <c r="U470" s="2">
        <v>45060</v>
      </c>
    </row>
    <row r="471" spans="2:30">
      <c r="B471" s="2">
        <v>44831</v>
      </c>
      <c r="C471">
        <v>4.3639999999999999</v>
      </c>
      <c r="D471" s="2">
        <v>44833</v>
      </c>
      <c r="E471">
        <v>4.3</v>
      </c>
      <c r="F471" s="2">
        <v>44833</v>
      </c>
      <c r="G471">
        <v>4.1500000000000004</v>
      </c>
      <c r="H471" s="2">
        <v>44834</v>
      </c>
      <c r="I471">
        <v>4.16873</v>
      </c>
      <c r="J471" s="2">
        <v>44833</v>
      </c>
      <c r="K471">
        <v>4.1050000000000004</v>
      </c>
      <c r="L471" s="2">
        <v>44838</v>
      </c>
      <c r="M471">
        <v>3.8239999999999998</v>
      </c>
      <c r="N471" s="2"/>
      <c r="P471" s="2">
        <v>44830</v>
      </c>
      <c r="Q471">
        <v>4.2</v>
      </c>
      <c r="R471" s="2">
        <v>44483</v>
      </c>
      <c r="S471">
        <v>1.0269999999999999</v>
      </c>
      <c r="U471" s="2">
        <v>45059</v>
      </c>
    </row>
    <row r="472" spans="2:30">
      <c r="B472" s="2">
        <v>44830</v>
      </c>
      <c r="C472">
        <v>4.3250000000000002</v>
      </c>
      <c r="D472" s="2">
        <v>44832</v>
      </c>
      <c r="E472">
        <v>4.335</v>
      </c>
      <c r="F472" s="2">
        <v>44832</v>
      </c>
      <c r="G472">
        <v>4.37</v>
      </c>
      <c r="H472" s="2">
        <v>44833</v>
      </c>
      <c r="I472">
        <v>4.1900000000000004</v>
      </c>
      <c r="J472" s="2">
        <v>44832</v>
      </c>
      <c r="K472">
        <v>4.226</v>
      </c>
      <c r="L472" s="2">
        <v>44834</v>
      </c>
      <c r="M472">
        <v>3.84</v>
      </c>
      <c r="N472" s="2"/>
      <c r="P472" s="2">
        <v>44827</v>
      </c>
      <c r="Q472">
        <v>4.1050000000000004</v>
      </c>
      <c r="R472" s="2">
        <v>44482</v>
      </c>
      <c r="S472">
        <v>1.032</v>
      </c>
      <c r="U472" s="2">
        <v>45058</v>
      </c>
      <c r="V472">
        <v>3.29</v>
      </c>
      <c r="W472">
        <v>3.2349999999999999</v>
      </c>
      <c r="X472">
        <v>3.1949999999999998</v>
      </c>
      <c r="Y472">
        <v>3.28</v>
      </c>
      <c r="Z472">
        <v>3.327</v>
      </c>
      <c r="AA472">
        <v>3.3050000000000002</v>
      </c>
      <c r="AB472">
        <v>3.26</v>
      </c>
      <c r="AC472">
        <v>3.32</v>
      </c>
      <c r="AD472">
        <v>1.1759999999999999</v>
      </c>
    </row>
    <row r="473" spans="2:30">
      <c r="B473" s="2">
        <v>44827</v>
      </c>
      <c r="C473">
        <v>4.2309999999999999</v>
      </c>
      <c r="D473" s="2">
        <v>44831</v>
      </c>
      <c r="E473">
        <v>4.3099999999999996</v>
      </c>
      <c r="F473" s="2">
        <v>44831</v>
      </c>
      <c r="G473">
        <v>4.3550000000000004</v>
      </c>
      <c r="H473" s="2">
        <v>44832</v>
      </c>
      <c r="I473">
        <v>4.3150000000000004</v>
      </c>
      <c r="J473" s="2">
        <v>44831</v>
      </c>
      <c r="K473">
        <v>4.09</v>
      </c>
      <c r="L473" s="2">
        <v>44833</v>
      </c>
      <c r="M473">
        <v>3.9849999999999999</v>
      </c>
      <c r="N473" s="2"/>
      <c r="P473" s="2">
        <v>44826</v>
      </c>
      <c r="Q473">
        <v>4.04</v>
      </c>
      <c r="R473" s="2">
        <v>44481</v>
      </c>
      <c r="S473">
        <v>1.0169999999999999</v>
      </c>
      <c r="U473" s="2">
        <v>45057</v>
      </c>
      <c r="V473">
        <v>3.3050000000000002</v>
      </c>
      <c r="W473">
        <v>3.2250000000000001</v>
      </c>
      <c r="X473">
        <v>3.20166</v>
      </c>
      <c r="Y473">
        <v>3.302</v>
      </c>
      <c r="Z473">
        <v>3.3370000000000002</v>
      </c>
      <c r="AA473">
        <v>3.35</v>
      </c>
      <c r="AB473">
        <v>3.37</v>
      </c>
      <c r="AC473">
        <v>3.33</v>
      </c>
    </row>
    <row r="474" spans="2:30">
      <c r="B474" s="2">
        <v>44826</v>
      </c>
      <c r="C474">
        <v>4.1150000000000002</v>
      </c>
      <c r="D474" s="2">
        <v>44830</v>
      </c>
      <c r="E474">
        <v>4.5449999999999999</v>
      </c>
      <c r="F474" s="2">
        <v>44830</v>
      </c>
      <c r="G474">
        <v>4.5650000000000004</v>
      </c>
      <c r="H474" s="2">
        <v>44831</v>
      </c>
      <c r="I474">
        <v>4.21</v>
      </c>
      <c r="J474" s="2">
        <v>44830</v>
      </c>
      <c r="K474">
        <v>3.835</v>
      </c>
      <c r="L474" s="2">
        <v>44832</v>
      </c>
      <c r="M474">
        <v>4.0999999999999996</v>
      </c>
      <c r="N474" s="2"/>
      <c r="P474" s="2">
        <v>44825</v>
      </c>
      <c r="Q474">
        <v>3.8919999999999999</v>
      </c>
      <c r="R474" s="2">
        <v>44477</v>
      </c>
      <c r="S474">
        <v>0.87517999999999996</v>
      </c>
      <c r="U474" s="2">
        <v>45056</v>
      </c>
      <c r="V474">
        <v>3.3580000000000001</v>
      </c>
      <c r="W474">
        <v>3.27</v>
      </c>
      <c r="X474">
        <v>3.2549999999999999</v>
      </c>
      <c r="Y474">
        <v>3.335</v>
      </c>
      <c r="Z474">
        <v>3.351</v>
      </c>
      <c r="AA474">
        <v>3.355</v>
      </c>
      <c r="AB474">
        <v>3.36</v>
      </c>
      <c r="AC474">
        <v>3.36</v>
      </c>
      <c r="AD474">
        <v>1.2070000000000001</v>
      </c>
    </row>
    <row r="475" spans="2:30">
      <c r="B475" s="2">
        <v>44825</v>
      </c>
      <c r="C475">
        <v>3.8690000000000002</v>
      </c>
      <c r="D475" s="2">
        <v>44827</v>
      </c>
      <c r="E475">
        <v>4.1950000000000003</v>
      </c>
      <c r="F475" s="2">
        <v>44827</v>
      </c>
      <c r="G475">
        <v>4.22</v>
      </c>
      <c r="H475" s="2">
        <v>44830</v>
      </c>
      <c r="I475">
        <v>4.33</v>
      </c>
      <c r="J475" s="2">
        <v>44827</v>
      </c>
      <c r="K475">
        <v>3.93</v>
      </c>
      <c r="L475" s="2">
        <v>44831</v>
      </c>
      <c r="M475">
        <v>3.98</v>
      </c>
      <c r="N475" s="2"/>
      <c r="P475" s="2">
        <v>44824</v>
      </c>
      <c r="Q475">
        <v>3.8250000000000002</v>
      </c>
      <c r="R475" s="2">
        <v>44476</v>
      </c>
      <c r="S475">
        <v>0.88100000000000001</v>
      </c>
      <c r="U475" s="2">
        <v>45055</v>
      </c>
      <c r="V475">
        <v>3.35</v>
      </c>
      <c r="W475">
        <v>3.25</v>
      </c>
      <c r="X475">
        <v>3.24</v>
      </c>
      <c r="Y475">
        <v>3.32</v>
      </c>
      <c r="Z475">
        <v>3.3570000000000002</v>
      </c>
      <c r="AA475">
        <v>3.355</v>
      </c>
      <c r="AB475">
        <v>3.35</v>
      </c>
      <c r="AC475">
        <v>3.37</v>
      </c>
    </row>
    <row r="476" spans="2:30">
      <c r="B476" s="2">
        <v>44824</v>
      </c>
      <c r="C476">
        <v>3.8050000000000002</v>
      </c>
      <c r="D476" s="2">
        <v>44826</v>
      </c>
      <c r="E476">
        <v>4.1100000000000003</v>
      </c>
      <c r="F476" s="2">
        <v>44826</v>
      </c>
      <c r="G476">
        <v>4.1100000000000003</v>
      </c>
      <c r="H476" s="2">
        <v>44827</v>
      </c>
      <c r="I476">
        <v>4.12</v>
      </c>
      <c r="J476" s="2">
        <v>44826</v>
      </c>
      <c r="K476">
        <v>3.7850000000000001</v>
      </c>
      <c r="L476" s="2">
        <v>44830</v>
      </c>
      <c r="M476">
        <v>4.0250000000000004</v>
      </c>
      <c r="N476" s="2"/>
      <c r="P476" s="2">
        <v>44823</v>
      </c>
      <c r="Q476">
        <v>3.782</v>
      </c>
      <c r="R476" s="2">
        <v>44475</v>
      </c>
      <c r="S476">
        <v>0.89800000000000002</v>
      </c>
      <c r="U476" s="2">
        <v>45054</v>
      </c>
      <c r="V476">
        <v>3.37</v>
      </c>
      <c r="W476">
        <v>3.26</v>
      </c>
      <c r="X476">
        <v>3.24</v>
      </c>
      <c r="Y476">
        <v>3.3180000000000001</v>
      </c>
      <c r="Z476">
        <v>3.37</v>
      </c>
      <c r="AA476">
        <v>3.3769999999999998</v>
      </c>
      <c r="AC476">
        <v>3.3450000000000002</v>
      </c>
      <c r="AD476">
        <v>1.2070000000000001</v>
      </c>
    </row>
    <row r="477" spans="2:30">
      <c r="B477" s="2">
        <v>44823</v>
      </c>
      <c r="C477">
        <v>3.7559999999999998</v>
      </c>
      <c r="D477" s="2">
        <v>44825</v>
      </c>
      <c r="E477">
        <v>3.8450000000000002</v>
      </c>
      <c r="F477" s="2">
        <v>44825</v>
      </c>
      <c r="G477">
        <v>3.8519999999999999</v>
      </c>
      <c r="H477" s="2">
        <v>44826</v>
      </c>
      <c r="I477">
        <v>4.0049999999999999</v>
      </c>
      <c r="J477" s="2">
        <v>44825</v>
      </c>
      <c r="K477">
        <v>3.6949999999999998</v>
      </c>
      <c r="L477" s="2">
        <v>44827</v>
      </c>
      <c r="M477">
        <v>3.85</v>
      </c>
      <c r="N477" s="2"/>
      <c r="P477" s="2">
        <v>44820</v>
      </c>
      <c r="Q477">
        <v>3.74</v>
      </c>
      <c r="R477" s="2">
        <v>44474</v>
      </c>
      <c r="S477">
        <v>0.84</v>
      </c>
      <c r="U477" s="2">
        <v>45053</v>
      </c>
    </row>
    <row r="478" spans="2:30">
      <c r="B478" s="2">
        <v>44820</v>
      </c>
      <c r="C478">
        <v>3.7</v>
      </c>
      <c r="D478" s="2">
        <v>44824</v>
      </c>
      <c r="E478">
        <v>3.8250000000000002</v>
      </c>
      <c r="F478" s="2">
        <v>44824</v>
      </c>
      <c r="G478">
        <v>3.855</v>
      </c>
      <c r="H478" s="2">
        <v>44825</v>
      </c>
      <c r="I478">
        <v>3.9</v>
      </c>
      <c r="J478" s="2">
        <v>44824</v>
      </c>
      <c r="K478">
        <v>3.665</v>
      </c>
      <c r="L478" s="2">
        <v>44826</v>
      </c>
      <c r="M478">
        <v>3.7349999999999999</v>
      </c>
      <c r="N478" s="2"/>
      <c r="P478" s="2">
        <v>44819</v>
      </c>
      <c r="Q478">
        <v>3.7010000000000001</v>
      </c>
      <c r="R478" s="2">
        <v>44470</v>
      </c>
      <c r="S478">
        <v>0.82199999999999995</v>
      </c>
      <c r="U478" s="2">
        <v>45052</v>
      </c>
    </row>
    <row r="479" spans="2:30">
      <c r="B479" s="2">
        <v>44819</v>
      </c>
      <c r="C479">
        <v>3.7469999999999999</v>
      </c>
      <c r="D479" s="2">
        <v>44823</v>
      </c>
      <c r="E479">
        <v>3.7549999999999999</v>
      </c>
      <c r="F479" s="2">
        <v>44823</v>
      </c>
      <c r="G479">
        <v>3.7711000000000001</v>
      </c>
      <c r="H479" s="2">
        <v>44824</v>
      </c>
      <c r="I479">
        <v>3.84</v>
      </c>
      <c r="J479" s="2">
        <v>44823</v>
      </c>
      <c r="K479">
        <v>3.665</v>
      </c>
      <c r="L479" s="2">
        <v>44825</v>
      </c>
      <c r="M479">
        <v>3.6549999999999998</v>
      </c>
      <c r="N479" s="2"/>
      <c r="P479" s="2">
        <v>44818</v>
      </c>
      <c r="Q479">
        <v>3.66</v>
      </c>
      <c r="R479" s="2">
        <v>44469</v>
      </c>
      <c r="S479">
        <v>0.79200000000000004</v>
      </c>
      <c r="U479" s="2">
        <v>45051</v>
      </c>
    </row>
    <row r="480" spans="2:30">
      <c r="B480" s="2">
        <v>44818</v>
      </c>
      <c r="C480">
        <v>3.69</v>
      </c>
      <c r="D480" s="2">
        <v>44820</v>
      </c>
      <c r="E480">
        <v>3.7679999999999998</v>
      </c>
      <c r="F480" s="2">
        <v>44820</v>
      </c>
      <c r="G480">
        <v>3.77</v>
      </c>
      <c r="H480" s="2">
        <v>44823</v>
      </c>
      <c r="I480">
        <v>3.7850000000000001</v>
      </c>
      <c r="J480" s="2">
        <v>44820</v>
      </c>
      <c r="K480">
        <v>3.665</v>
      </c>
      <c r="L480" s="2">
        <v>44824</v>
      </c>
      <c r="M480">
        <v>3.6360000000000001</v>
      </c>
      <c r="N480" s="2"/>
      <c r="P480" s="2">
        <v>44817</v>
      </c>
      <c r="Q480">
        <v>3.59</v>
      </c>
      <c r="R480" s="2">
        <v>44467</v>
      </c>
      <c r="S480">
        <v>0.78300000000000003</v>
      </c>
      <c r="U480" s="2">
        <v>45050</v>
      </c>
      <c r="V480">
        <v>3.3089400000000002</v>
      </c>
      <c r="W480">
        <v>3.27</v>
      </c>
      <c r="X480">
        <v>3.2050000000000001</v>
      </c>
      <c r="Y480">
        <v>3.2850000000000001</v>
      </c>
      <c r="Z480">
        <v>3.335</v>
      </c>
      <c r="AA480">
        <v>3.335</v>
      </c>
      <c r="AC480">
        <v>3.3</v>
      </c>
      <c r="AD480">
        <v>1.173</v>
      </c>
    </row>
    <row r="481" spans="2:30">
      <c r="B481" s="2">
        <v>44817</v>
      </c>
      <c r="C481">
        <v>3.552</v>
      </c>
      <c r="D481" s="2">
        <v>44819</v>
      </c>
      <c r="E481">
        <v>3.75</v>
      </c>
      <c r="F481" s="2">
        <v>44819</v>
      </c>
      <c r="G481">
        <v>3.78</v>
      </c>
      <c r="H481" s="2">
        <v>44820</v>
      </c>
      <c r="I481">
        <v>3.7530000000000001</v>
      </c>
      <c r="J481" s="2">
        <v>44819</v>
      </c>
      <c r="K481">
        <v>3.66</v>
      </c>
      <c r="L481" s="2">
        <v>44823</v>
      </c>
      <c r="M481">
        <v>3.605</v>
      </c>
      <c r="N481" s="2"/>
      <c r="P481" s="2">
        <v>44812</v>
      </c>
      <c r="Q481">
        <v>3.54</v>
      </c>
      <c r="R481" s="2">
        <v>44466</v>
      </c>
      <c r="S481">
        <v>0.78800000000000003</v>
      </c>
      <c r="U481" s="2">
        <v>45049</v>
      </c>
      <c r="V481">
        <v>3.3519999999999999</v>
      </c>
      <c r="W481">
        <v>3.2749999999999999</v>
      </c>
      <c r="X481">
        <v>3.26</v>
      </c>
      <c r="Y481">
        <v>3.32</v>
      </c>
      <c r="Z481">
        <v>3.36</v>
      </c>
      <c r="AA481">
        <v>3.355</v>
      </c>
      <c r="AC481">
        <v>3.36</v>
      </c>
    </row>
    <row r="482" spans="2:30">
      <c r="B482" s="2">
        <v>44812</v>
      </c>
      <c r="C482">
        <v>3.6179999999999999</v>
      </c>
      <c r="D482" s="2">
        <v>44818</v>
      </c>
      <c r="E482">
        <v>3.58</v>
      </c>
      <c r="F482" s="2">
        <v>44818</v>
      </c>
      <c r="G482">
        <v>3.59</v>
      </c>
      <c r="H482" s="2">
        <v>44819</v>
      </c>
      <c r="I482">
        <v>3.47</v>
      </c>
      <c r="J482" s="2">
        <v>44818</v>
      </c>
      <c r="K482">
        <v>3.4929999999999999</v>
      </c>
      <c r="L482" s="2">
        <v>44820</v>
      </c>
      <c r="M482">
        <v>3.5750000000000002</v>
      </c>
      <c r="N482" s="2"/>
      <c r="P482" s="2">
        <v>44811</v>
      </c>
      <c r="Q482">
        <v>3.7050000000000001</v>
      </c>
      <c r="R482" s="2">
        <v>44463</v>
      </c>
      <c r="S482">
        <v>0.83599999999999997</v>
      </c>
      <c r="U482" s="2">
        <v>45048</v>
      </c>
      <c r="V482">
        <v>3.419</v>
      </c>
      <c r="W482">
        <v>3.327</v>
      </c>
      <c r="X482">
        <v>3.3420000000000001</v>
      </c>
      <c r="Y482">
        <v>3.375</v>
      </c>
      <c r="Z482">
        <v>3.37</v>
      </c>
      <c r="AA482">
        <v>3.4</v>
      </c>
      <c r="AB482">
        <v>3.3919999999999999</v>
      </c>
      <c r="AC482">
        <v>3.4</v>
      </c>
      <c r="AD482">
        <v>1.21</v>
      </c>
    </row>
    <row r="483" spans="2:30">
      <c r="B483" s="2">
        <v>44811</v>
      </c>
      <c r="C483">
        <v>3.6859999999999999</v>
      </c>
      <c r="D483" s="2">
        <v>44817</v>
      </c>
      <c r="E483">
        <v>3.52</v>
      </c>
      <c r="F483" s="2">
        <v>44817</v>
      </c>
      <c r="G483">
        <v>3.577</v>
      </c>
      <c r="H483" s="2">
        <v>44818</v>
      </c>
      <c r="I483">
        <v>3.65</v>
      </c>
      <c r="J483" s="2">
        <v>44817</v>
      </c>
      <c r="K483">
        <v>3.49</v>
      </c>
      <c r="L483" s="2">
        <v>44819</v>
      </c>
      <c r="M483">
        <v>3.5950000000000002</v>
      </c>
      <c r="N483" s="2"/>
      <c r="P483" s="2">
        <v>44810</v>
      </c>
      <c r="Q483">
        <v>3.6829999999999998</v>
      </c>
      <c r="R483" s="2">
        <v>44462</v>
      </c>
      <c r="S483">
        <v>0.79500000000000004</v>
      </c>
      <c r="U483" s="2">
        <v>45047</v>
      </c>
    </row>
    <row r="484" spans="2:30">
      <c r="B484" s="2">
        <v>44810</v>
      </c>
      <c r="C484">
        <v>3.6110000000000002</v>
      </c>
      <c r="D484" s="2">
        <v>44812</v>
      </c>
      <c r="E484">
        <v>3.5449999999999999</v>
      </c>
      <c r="F484" s="2">
        <v>44812</v>
      </c>
      <c r="G484">
        <v>3.6019999999999999</v>
      </c>
      <c r="H484" s="2">
        <v>44817</v>
      </c>
      <c r="I484">
        <v>3.64</v>
      </c>
      <c r="J484" s="2">
        <v>44812</v>
      </c>
      <c r="K484">
        <v>3.532</v>
      </c>
      <c r="L484" s="2">
        <v>44818</v>
      </c>
      <c r="M484">
        <v>3.4750000000000001</v>
      </c>
      <c r="N484" s="2"/>
      <c r="P484" s="2">
        <v>44809</v>
      </c>
      <c r="Q484">
        <v>3.6150000000000002</v>
      </c>
      <c r="R484" s="2">
        <v>44456</v>
      </c>
      <c r="S484">
        <v>0.82</v>
      </c>
      <c r="U484" s="2">
        <v>45046</v>
      </c>
    </row>
    <row r="485" spans="2:30">
      <c r="B485" s="2">
        <v>44809</v>
      </c>
      <c r="C485">
        <v>3.62</v>
      </c>
      <c r="D485" s="2">
        <v>44811</v>
      </c>
      <c r="E485">
        <v>3.69</v>
      </c>
      <c r="F485" s="2">
        <v>44811</v>
      </c>
      <c r="G485">
        <v>3.7469999999999999</v>
      </c>
      <c r="H485" s="2">
        <v>44812</v>
      </c>
      <c r="I485">
        <v>3.56</v>
      </c>
      <c r="J485" s="2">
        <v>44811</v>
      </c>
      <c r="K485">
        <v>3.645</v>
      </c>
      <c r="L485" s="2">
        <v>44817</v>
      </c>
      <c r="M485">
        <v>3.5009999999999999</v>
      </c>
      <c r="N485" s="2"/>
      <c r="P485" s="2">
        <v>44806</v>
      </c>
      <c r="Q485">
        <v>3.7250000000000001</v>
      </c>
      <c r="R485" s="2">
        <v>44455</v>
      </c>
      <c r="S485">
        <v>0.75600000000000001</v>
      </c>
      <c r="U485" s="2">
        <v>45045</v>
      </c>
    </row>
    <row r="486" spans="2:30">
      <c r="B486" s="2">
        <v>44806</v>
      </c>
      <c r="C486">
        <v>3.7370000000000001</v>
      </c>
      <c r="D486" s="2">
        <v>44810</v>
      </c>
      <c r="E486">
        <v>3.62</v>
      </c>
      <c r="F486" s="2">
        <v>44810</v>
      </c>
      <c r="G486">
        <v>3.74</v>
      </c>
      <c r="H486" s="2">
        <v>44811</v>
      </c>
      <c r="I486">
        <v>3.7149999999999999</v>
      </c>
      <c r="J486" s="2">
        <v>44810</v>
      </c>
      <c r="K486">
        <v>3.61</v>
      </c>
      <c r="L486" s="2">
        <v>44812</v>
      </c>
      <c r="M486">
        <v>3.472</v>
      </c>
      <c r="N486" s="2"/>
      <c r="P486" s="2">
        <v>44805</v>
      </c>
      <c r="Q486">
        <v>3.8</v>
      </c>
      <c r="R486" s="2">
        <v>44454</v>
      </c>
      <c r="S486">
        <v>0.76100000000000001</v>
      </c>
      <c r="U486" s="2">
        <v>45044</v>
      </c>
      <c r="V486">
        <v>3.37</v>
      </c>
      <c r="W486">
        <v>3.3029999999999999</v>
      </c>
      <c r="X486">
        <v>3.2817500000000002</v>
      </c>
      <c r="Y486">
        <v>3.39</v>
      </c>
      <c r="Z486">
        <v>3.3650000000000002</v>
      </c>
      <c r="AA486">
        <v>3.355</v>
      </c>
      <c r="AB486">
        <v>3.3580000000000001</v>
      </c>
      <c r="AC486">
        <v>3.3450000000000002</v>
      </c>
      <c r="AD486">
        <v>1.206</v>
      </c>
    </row>
    <row r="487" spans="2:30">
      <c r="B487" s="2">
        <v>44805</v>
      </c>
      <c r="C487">
        <v>3.7850000000000001</v>
      </c>
      <c r="D487" s="2">
        <v>44809</v>
      </c>
      <c r="E487">
        <v>3.6120000000000001</v>
      </c>
      <c r="F487" s="2">
        <v>44809</v>
      </c>
      <c r="G487">
        <v>3.69</v>
      </c>
      <c r="H487" s="2">
        <v>44810</v>
      </c>
      <c r="I487">
        <v>3.7</v>
      </c>
      <c r="J487" s="2">
        <v>44809</v>
      </c>
      <c r="K487">
        <v>3.585</v>
      </c>
      <c r="L487" s="2">
        <v>44811</v>
      </c>
      <c r="M487">
        <v>3.5449999999999999</v>
      </c>
      <c r="N487" s="2"/>
      <c r="P487" s="2">
        <v>44804</v>
      </c>
      <c r="Q487">
        <v>3.69</v>
      </c>
      <c r="R487" s="2">
        <v>44453</v>
      </c>
      <c r="S487">
        <v>0.76400000000000001</v>
      </c>
      <c r="U487" s="2">
        <v>45043</v>
      </c>
      <c r="V487">
        <v>3.3450000000000002</v>
      </c>
      <c r="W487">
        <v>3.282</v>
      </c>
      <c r="X487">
        <v>3.2650000000000001</v>
      </c>
      <c r="Y487">
        <v>3.3450000000000002</v>
      </c>
      <c r="Z487">
        <v>3.3519999999999999</v>
      </c>
      <c r="AA487">
        <v>3.3450000000000002</v>
      </c>
      <c r="AB487">
        <v>3.2303199999999999</v>
      </c>
      <c r="AC487">
        <v>3.3</v>
      </c>
      <c r="AD487">
        <v>1.165</v>
      </c>
    </row>
    <row r="488" spans="2:30">
      <c r="B488" s="2">
        <v>44804</v>
      </c>
      <c r="C488">
        <v>3.62</v>
      </c>
      <c r="D488" s="2">
        <v>44806</v>
      </c>
      <c r="E488">
        <v>3.6819999999999999</v>
      </c>
      <c r="F488" s="2">
        <v>44806</v>
      </c>
      <c r="G488">
        <v>3.7650000000000001</v>
      </c>
      <c r="H488" s="2">
        <v>44809</v>
      </c>
      <c r="I488">
        <v>3.665</v>
      </c>
      <c r="J488" s="2">
        <v>44806</v>
      </c>
      <c r="K488">
        <v>3.6720000000000002</v>
      </c>
      <c r="L488" s="2">
        <v>44810</v>
      </c>
      <c r="M488">
        <v>3.5350000000000001</v>
      </c>
      <c r="N488" s="2"/>
      <c r="P488" s="2">
        <v>44803</v>
      </c>
      <c r="Q488">
        <v>3.6749999999999998</v>
      </c>
      <c r="R488" s="2">
        <v>44452</v>
      </c>
      <c r="S488">
        <v>0.75</v>
      </c>
      <c r="U488" s="2">
        <v>45042</v>
      </c>
      <c r="V488">
        <v>3.2829999999999999</v>
      </c>
      <c r="W488">
        <v>3.26</v>
      </c>
      <c r="X488">
        <v>3.2519999999999998</v>
      </c>
      <c r="Y488">
        <v>3.3050000000000002</v>
      </c>
      <c r="Z488">
        <v>3.335</v>
      </c>
      <c r="AA488">
        <v>3.3250000000000002</v>
      </c>
      <c r="AB488">
        <v>3.3082199999999999</v>
      </c>
      <c r="AC488">
        <v>3.31</v>
      </c>
    </row>
    <row r="489" spans="2:30">
      <c r="B489" s="2">
        <v>44803</v>
      </c>
      <c r="C489">
        <v>3.6533000000000002</v>
      </c>
      <c r="D489" s="2">
        <v>44805</v>
      </c>
      <c r="E489">
        <v>3.79</v>
      </c>
      <c r="F489" s="2">
        <v>44805</v>
      </c>
      <c r="G489">
        <v>3.88</v>
      </c>
      <c r="H489" s="2">
        <v>44806</v>
      </c>
      <c r="I489">
        <v>3.73</v>
      </c>
      <c r="J489" s="2">
        <v>44805</v>
      </c>
      <c r="K489">
        <v>3.6930000000000001</v>
      </c>
      <c r="L489" s="2">
        <v>44809</v>
      </c>
      <c r="M489">
        <v>3.51</v>
      </c>
      <c r="N489" s="2"/>
      <c r="P489" s="2">
        <v>44802</v>
      </c>
      <c r="Q489">
        <v>3.6850000000000001</v>
      </c>
      <c r="R489" s="2">
        <v>44448</v>
      </c>
      <c r="S489">
        <v>0.73199999999999998</v>
      </c>
      <c r="U489" s="2">
        <v>45041</v>
      </c>
      <c r="V489">
        <v>3.34</v>
      </c>
      <c r="W489">
        <v>3.2679999999999998</v>
      </c>
      <c r="X489">
        <v>3.2650000000000001</v>
      </c>
      <c r="Y489">
        <v>3.3025699999999998</v>
      </c>
      <c r="Z489">
        <v>3.3450000000000002</v>
      </c>
      <c r="AA489">
        <v>3.33</v>
      </c>
      <c r="AB489">
        <v>3.3</v>
      </c>
      <c r="AC489">
        <v>3.32</v>
      </c>
    </row>
    <row r="490" spans="2:30">
      <c r="B490" s="2">
        <v>44802</v>
      </c>
      <c r="C490">
        <v>3.49</v>
      </c>
      <c r="D490" s="2">
        <v>44804</v>
      </c>
      <c r="E490">
        <v>3.68</v>
      </c>
      <c r="F490" s="2">
        <v>44804</v>
      </c>
      <c r="G490">
        <v>3.8250000000000002</v>
      </c>
      <c r="H490" s="2">
        <v>44805</v>
      </c>
      <c r="I490">
        <v>3.82</v>
      </c>
      <c r="J490" s="2">
        <v>44804</v>
      </c>
      <c r="K490">
        <v>3.63</v>
      </c>
      <c r="L490" s="2">
        <v>44806</v>
      </c>
      <c r="M490">
        <v>3.59</v>
      </c>
      <c r="N490" s="2"/>
      <c r="P490" s="2">
        <v>44799</v>
      </c>
      <c r="Q490">
        <v>3.46</v>
      </c>
      <c r="R490" s="2">
        <v>44447</v>
      </c>
      <c r="S490">
        <v>0.63500000000000001</v>
      </c>
      <c r="U490" s="2">
        <v>45040</v>
      </c>
      <c r="V490">
        <v>3.3220000000000001</v>
      </c>
      <c r="W490">
        <v>3.2349999999999999</v>
      </c>
      <c r="X490">
        <v>3.2879999999999998</v>
      </c>
      <c r="Y490">
        <v>3.306</v>
      </c>
      <c r="Z490">
        <v>3.3220000000000001</v>
      </c>
      <c r="AA490">
        <v>3.3130000000000002</v>
      </c>
      <c r="AC490">
        <v>3.2749999999999999</v>
      </c>
      <c r="AD490">
        <v>1.1679999999999999</v>
      </c>
    </row>
    <row r="491" spans="2:30">
      <c r="B491" s="2">
        <v>44799</v>
      </c>
      <c r="C491">
        <v>3.4849999999999999</v>
      </c>
      <c r="D491" s="2">
        <v>44803</v>
      </c>
      <c r="E491">
        <v>3.665</v>
      </c>
      <c r="F491" s="2">
        <v>44803</v>
      </c>
      <c r="G491">
        <v>3.7519999999999998</v>
      </c>
      <c r="H491" s="2">
        <v>44804</v>
      </c>
      <c r="I491">
        <v>3.7574999999999998</v>
      </c>
      <c r="J491" s="2">
        <v>44803</v>
      </c>
      <c r="K491">
        <v>3.605</v>
      </c>
      <c r="L491" s="2">
        <v>44805</v>
      </c>
      <c r="M491">
        <v>3.6219999999999999</v>
      </c>
      <c r="N491" s="2"/>
      <c r="P491" s="2">
        <v>44798</v>
      </c>
      <c r="Q491">
        <v>3.3</v>
      </c>
      <c r="R491" s="2">
        <v>44446</v>
      </c>
      <c r="S491">
        <v>0.72199999999999998</v>
      </c>
      <c r="U491" s="2">
        <v>45039</v>
      </c>
    </row>
    <row r="492" spans="2:30">
      <c r="B492" s="2">
        <v>44798</v>
      </c>
      <c r="C492">
        <v>3.5310000000000001</v>
      </c>
      <c r="D492" s="2">
        <v>44802</v>
      </c>
      <c r="E492">
        <v>3.6720000000000002</v>
      </c>
      <c r="F492" s="2">
        <v>44802</v>
      </c>
      <c r="G492">
        <v>3.52</v>
      </c>
      <c r="H492" s="2">
        <v>44803</v>
      </c>
      <c r="I492">
        <v>3.6920000000000002</v>
      </c>
      <c r="J492" s="2">
        <v>44802</v>
      </c>
      <c r="K492">
        <v>3.65</v>
      </c>
      <c r="L492" s="2">
        <v>44804</v>
      </c>
      <c r="M492">
        <v>3.5720000000000001</v>
      </c>
      <c r="N492" s="2"/>
      <c r="P492" s="2">
        <v>44797</v>
      </c>
      <c r="Q492">
        <v>3.24</v>
      </c>
      <c r="R492" s="2">
        <v>44445</v>
      </c>
      <c r="S492">
        <v>0.746</v>
      </c>
      <c r="U492" s="2">
        <v>45038</v>
      </c>
    </row>
    <row r="493" spans="2:30">
      <c r="B493" s="2">
        <v>44797</v>
      </c>
      <c r="C493">
        <v>3.282</v>
      </c>
      <c r="D493" s="2">
        <v>44799</v>
      </c>
      <c r="E493">
        <v>3.5350000000000001</v>
      </c>
      <c r="F493" s="2">
        <v>44799</v>
      </c>
      <c r="G493">
        <v>3.6320000000000001</v>
      </c>
      <c r="H493" s="2">
        <v>44802</v>
      </c>
      <c r="I493">
        <v>3.71</v>
      </c>
      <c r="J493" s="2">
        <v>44799</v>
      </c>
      <c r="K493">
        <v>3.46</v>
      </c>
      <c r="L493" s="2">
        <v>44803</v>
      </c>
      <c r="M493">
        <v>3.5550000000000002</v>
      </c>
      <c r="N493" s="2"/>
      <c r="P493" s="2">
        <v>44796</v>
      </c>
      <c r="Q493">
        <v>3.24</v>
      </c>
      <c r="R493" s="2">
        <v>44442</v>
      </c>
      <c r="S493">
        <v>0.745</v>
      </c>
      <c r="U493" s="2">
        <v>45037</v>
      </c>
      <c r="V493">
        <v>3.327</v>
      </c>
      <c r="W493">
        <v>3.2549999999999999</v>
      </c>
      <c r="X493">
        <v>3.26</v>
      </c>
      <c r="Y493">
        <v>3.3420000000000001</v>
      </c>
      <c r="Z493">
        <v>3.3170000000000002</v>
      </c>
      <c r="AA493">
        <v>3.31</v>
      </c>
      <c r="AC493">
        <v>3.28</v>
      </c>
      <c r="AD493">
        <v>1.1839999999999999</v>
      </c>
    </row>
    <row r="494" spans="2:30">
      <c r="B494" s="2">
        <v>44796</v>
      </c>
      <c r="C494">
        <v>3.27</v>
      </c>
      <c r="D494" s="2">
        <v>44798</v>
      </c>
      <c r="E494">
        <v>3.5350000000000001</v>
      </c>
      <c r="F494" s="2">
        <v>44798</v>
      </c>
      <c r="G494">
        <v>3.415</v>
      </c>
      <c r="H494" s="2">
        <v>44799</v>
      </c>
      <c r="I494">
        <v>3.55</v>
      </c>
      <c r="J494" s="2">
        <v>44798</v>
      </c>
      <c r="K494">
        <v>3.49</v>
      </c>
      <c r="L494" s="2">
        <v>44802</v>
      </c>
      <c r="M494">
        <v>3.5870000000000002</v>
      </c>
      <c r="N494" s="2"/>
      <c r="P494" s="2">
        <v>44795</v>
      </c>
      <c r="Q494">
        <v>3.1949999999999998</v>
      </c>
      <c r="R494" s="2">
        <v>44441</v>
      </c>
      <c r="S494">
        <v>0.75</v>
      </c>
      <c r="U494" s="2">
        <v>45036</v>
      </c>
      <c r="V494">
        <v>3.415</v>
      </c>
      <c r="W494">
        <v>3.327</v>
      </c>
      <c r="X494">
        <v>3.33</v>
      </c>
      <c r="Y494">
        <v>3.3919999999999999</v>
      </c>
      <c r="Z494">
        <v>3.3849999999999998</v>
      </c>
      <c r="AA494">
        <v>3.38</v>
      </c>
      <c r="AC494">
        <v>3.335</v>
      </c>
      <c r="AD494">
        <v>1.222</v>
      </c>
    </row>
    <row r="495" spans="2:30">
      <c r="B495" s="2">
        <v>44795</v>
      </c>
      <c r="C495">
        <v>3.1850000000000001</v>
      </c>
      <c r="D495" s="2">
        <v>44797</v>
      </c>
      <c r="E495">
        <v>3.3149999999999999</v>
      </c>
      <c r="F495" s="2">
        <v>44797</v>
      </c>
      <c r="G495">
        <v>3.3969999999999998</v>
      </c>
      <c r="H495" s="2">
        <v>44798</v>
      </c>
      <c r="I495">
        <v>3.5720000000000001</v>
      </c>
      <c r="J495" s="2">
        <v>44797</v>
      </c>
      <c r="K495">
        <v>3.28</v>
      </c>
      <c r="L495" s="2">
        <v>44799</v>
      </c>
      <c r="M495">
        <v>3.5150000000000001</v>
      </c>
      <c r="N495" s="2"/>
      <c r="P495" s="2">
        <v>44792</v>
      </c>
      <c r="Q495">
        <v>3.1469999999999998</v>
      </c>
      <c r="R495" s="2">
        <v>44439</v>
      </c>
      <c r="S495">
        <v>0.63200000000000001</v>
      </c>
      <c r="U495" s="2">
        <v>45035</v>
      </c>
      <c r="V495">
        <v>3.39</v>
      </c>
      <c r="W495">
        <v>3.35</v>
      </c>
      <c r="X495">
        <v>3.335</v>
      </c>
      <c r="Y495">
        <v>3.3719999999999999</v>
      </c>
      <c r="Z495">
        <v>3.3439999999999999</v>
      </c>
      <c r="AA495">
        <v>3.302</v>
      </c>
      <c r="AC495">
        <v>3.33</v>
      </c>
      <c r="AD495">
        <v>1.1990000000000001</v>
      </c>
    </row>
    <row r="496" spans="2:30">
      <c r="B496" s="2">
        <v>44792</v>
      </c>
      <c r="C496">
        <v>3.1469999999999998</v>
      </c>
      <c r="D496" s="2">
        <v>44796</v>
      </c>
      <c r="E496">
        <v>3.2719999999999998</v>
      </c>
      <c r="F496" s="2">
        <v>44796</v>
      </c>
      <c r="G496">
        <v>3.335</v>
      </c>
      <c r="H496" s="2">
        <v>44797</v>
      </c>
      <c r="I496">
        <v>3.4529999999999998</v>
      </c>
      <c r="J496" s="2">
        <v>44796</v>
      </c>
      <c r="K496">
        <v>3.33</v>
      </c>
      <c r="L496" s="2">
        <v>44798</v>
      </c>
      <c r="M496">
        <v>3.46</v>
      </c>
      <c r="N496" s="2"/>
      <c r="P496" s="2">
        <v>44791</v>
      </c>
      <c r="Q496">
        <v>3.08</v>
      </c>
      <c r="R496" s="2">
        <v>44434</v>
      </c>
      <c r="S496">
        <v>0.77300000000000002</v>
      </c>
      <c r="U496" s="2">
        <v>45034</v>
      </c>
      <c r="V496">
        <v>3.343</v>
      </c>
      <c r="W496">
        <v>3.2919999999999998</v>
      </c>
      <c r="X496">
        <v>3.2949999999999999</v>
      </c>
      <c r="Y496">
        <v>3.35</v>
      </c>
      <c r="Z496">
        <v>3.32</v>
      </c>
      <c r="AA496">
        <v>3.3239999999999998</v>
      </c>
      <c r="AB496">
        <v>3.2850000000000001</v>
      </c>
      <c r="AC496">
        <v>3.3119999999999998</v>
      </c>
      <c r="AD496">
        <v>1.214</v>
      </c>
    </row>
    <row r="497" spans="2:30">
      <c r="B497" s="2">
        <v>44791</v>
      </c>
      <c r="C497">
        <v>3.0840000000000001</v>
      </c>
      <c r="D497" s="2">
        <v>44795</v>
      </c>
      <c r="E497">
        <v>3.2349999999999999</v>
      </c>
      <c r="F497" s="2">
        <v>44795</v>
      </c>
      <c r="G497">
        <v>3.302</v>
      </c>
      <c r="H497" s="2">
        <v>44796</v>
      </c>
      <c r="I497">
        <v>3.35</v>
      </c>
      <c r="J497" s="2">
        <v>44795</v>
      </c>
      <c r="K497">
        <v>3.22</v>
      </c>
      <c r="L497" s="2">
        <v>44797</v>
      </c>
      <c r="M497">
        <v>3.36</v>
      </c>
      <c r="N497" s="2"/>
      <c r="P497" s="2">
        <v>44790</v>
      </c>
      <c r="Q497">
        <v>3.06</v>
      </c>
      <c r="R497" s="2">
        <v>44432</v>
      </c>
      <c r="S497">
        <v>0.77800000000000002</v>
      </c>
      <c r="U497" s="2">
        <v>45033</v>
      </c>
      <c r="V497">
        <v>3.32</v>
      </c>
      <c r="W497">
        <v>3.2949999999999999</v>
      </c>
      <c r="X497">
        <v>3.2919999999999998</v>
      </c>
      <c r="Y497">
        <v>3.36</v>
      </c>
      <c r="Z497">
        <v>3.2766000000000002</v>
      </c>
      <c r="AA497">
        <v>3.3050000000000002</v>
      </c>
      <c r="AB497">
        <v>3.2749999999999999</v>
      </c>
      <c r="AC497">
        <v>3.31</v>
      </c>
    </row>
    <row r="498" spans="2:30">
      <c r="B498" s="2">
        <v>44790</v>
      </c>
      <c r="C498">
        <v>3.0670000000000002</v>
      </c>
      <c r="D498" s="2">
        <v>44792</v>
      </c>
      <c r="E498">
        <v>3.13</v>
      </c>
      <c r="F498" s="2">
        <v>44792</v>
      </c>
      <c r="G498">
        <v>3.2730000000000001</v>
      </c>
      <c r="H498" s="2">
        <v>44795</v>
      </c>
      <c r="I498">
        <v>3.3319999999999999</v>
      </c>
      <c r="J498" s="2">
        <v>44792</v>
      </c>
      <c r="K498">
        <v>3.27</v>
      </c>
      <c r="L498" s="2">
        <v>44796</v>
      </c>
      <c r="M498">
        <v>3.2850000000000001</v>
      </c>
      <c r="N498" s="2"/>
      <c r="P498" s="2">
        <v>44789</v>
      </c>
      <c r="Q498">
        <v>3.0449999999999999</v>
      </c>
      <c r="R498" s="2">
        <v>44431</v>
      </c>
      <c r="S498">
        <v>0.76</v>
      </c>
      <c r="U498" s="2">
        <v>45032</v>
      </c>
    </row>
    <row r="499" spans="2:30">
      <c r="B499" s="2">
        <v>44789</v>
      </c>
      <c r="C499">
        <v>3.0619999999999998</v>
      </c>
      <c r="D499" s="2">
        <v>44791</v>
      </c>
      <c r="E499">
        <v>3.13</v>
      </c>
      <c r="F499" s="2">
        <v>44791</v>
      </c>
      <c r="G499">
        <v>3.14</v>
      </c>
      <c r="H499" s="2">
        <v>44792</v>
      </c>
      <c r="I499">
        <v>3.31</v>
      </c>
      <c r="J499" s="2">
        <v>44791</v>
      </c>
      <c r="K499">
        <v>3.1</v>
      </c>
      <c r="L499" s="2">
        <v>44795</v>
      </c>
      <c r="M499">
        <v>3.2450000000000001</v>
      </c>
      <c r="N499" s="2"/>
      <c r="P499" s="2">
        <v>44785</v>
      </c>
      <c r="Q499">
        <v>3.1469999999999998</v>
      </c>
      <c r="R499" s="2">
        <v>44428</v>
      </c>
      <c r="S499">
        <v>0.72499999999999998</v>
      </c>
      <c r="U499" s="2">
        <v>45031</v>
      </c>
    </row>
    <row r="500" spans="2:30">
      <c r="B500" s="2">
        <v>44785</v>
      </c>
      <c r="C500">
        <v>3.15</v>
      </c>
      <c r="D500" s="2">
        <v>44790</v>
      </c>
      <c r="E500">
        <v>3.0750000000000002</v>
      </c>
      <c r="F500" s="2">
        <v>44790</v>
      </c>
      <c r="G500">
        <v>3.14</v>
      </c>
      <c r="H500" s="2">
        <v>44791</v>
      </c>
      <c r="I500">
        <v>3.2250000000000001</v>
      </c>
      <c r="J500" s="2">
        <v>44790</v>
      </c>
      <c r="K500">
        <v>3.17</v>
      </c>
      <c r="L500" s="2">
        <v>44792</v>
      </c>
      <c r="M500">
        <v>3.2149999999999999</v>
      </c>
      <c r="N500" s="2"/>
      <c r="P500" s="2">
        <v>44784</v>
      </c>
      <c r="Q500">
        <v>3.145</v>
      </c>
      <c r="R500" s="2">
        <v>44427</v>
      </c>
      <c r="S500">
        <v>0.73</v>
      </c>
      <c r="U500" s="2">
        <v>45030</v>
      </c>
      <c r="V500">
        <v>3.26</v>
      </c>
      <c r="W500">
        <v>3.21</v>
      </c>
      <c r="X500">
        <v>3.21</v>
      </c>
      <c r="Y500">
        <v>3.29</v>
      </c>
      <c r="Z500">
        <v>3.262</v>
      </c>
      <c r="AA500">
        <v>3.25</v>
      </c>
      <c r="AB500">
        <v>3.26</v>
      </c>
      <c r="AC500">
        <v>3.2450000000000001</v>
      </c>
      <c r="AD500">
        <v>1.159</v>
      </c>
    </row>
    <row r="501" spans="2:30">
      <c r="B501" s="2">
        <v>44784</v>
      </c>
      <c r="C501">
        <v>3.125</v>
      </c>
      <c r="D501" s="2">
        <v>44789</v>
      </c>
      <c r="E501">
        <v>3.0649999999999999</v>
      </c>
      <c r="F501" s="2">
        <v>44789</v>
      </c>
      <c r="G501">
        <v>3.117</v>
      </c>
      <c r="H501" s="2">
        <v>44790</v>
      </c>
      <c r="I501">
        <v>3.18</v>
      </c>
      <c r="J501" s="2">
        <v>44789</v>
      </c>
      <c r="K501">
        <v>2.8</v>
      </c>
      <c r="L501" s="2">
        <v>44791</v>
      </c>
      <c r="M501">
        <v>3.17</v>
      </c>
      <c r="N501" s="2"/>
      <c r="P501" s="2">
        <v>44783</v>
      </c>
      <c r="Q501">
        <v>3.145</v>
      </c>
      <c r="R501" s="2">
        <v>44426</v>
      </c>
      <c r="S501">
        <v>0.75</v>
      </c>
      <c r="U501" s="2">
        <v>45029</v>
      </c>
      <c r="V501">
        <v>3.26</v>
      </c>
      <c r="W501">
        <v>3.2</v>
      </c>
      <c r="X501">
        <v>3.1970000000000001</v>
      </c>
      <c r="Y501">
        <v>3.2749999999999999</v>
      </c>
      <c r="Z501">
        <v>3.25902</v>
      </c>
      <c r="AA501">
        <v>3.2549999999999999</v>
      </c>
      <c r="AB501">
        <v>3.26</v>
      </c>
      <c r="AC501">
        <v>3.2370000000000001</v>
      </c>
      <c r="AD501">
        <v>1.1419999999999999</v>
      </c>
    </row>
    <row r="502" spans="2:30">
      <c r="B502" s="2">
        <v>44783</v>
      </c>
      <c r="C502">
        <v>3.16</v>
      </c>
      <c r="D502" s="2">
        <v>44785</v>
      </c>
      <c r="E502">
        <v>3.17</v>
      </c>
      <c r="F502" s="2">
        <v>44785</v>
      </c>
      <c r="G502">
        <v>3.242</v>
      </c>
      <c r="H502" s="2">
        <v>44789</v>
      </c>
      <c r="I502">
        <v>3.15</v>
      </c>
      <c r="J502" s="2">
        <v>44785</v>
      </c>
      <c r="K502">
        <v>3.2650000000000001</v>
      </c>
      <c r="L502" s="2">
        <v>44790</v>
      </c>
      <c r="M502">
        <v>3.1360000000000001</v>
      </c>
      <c r="N502" s="2"/>
      <c r="P502" s="2">
        <v>44782</v>
      </c>
      <c r="Q502">
        <v>3.1150000000000002</v>
      </c>
      <c r="R502" s="2">
        <v>44421</v>
      </c>
      <c r="S502">
        <v>0.75</v>
      </c>
      <c r="U502" s="2">
        <v>45028</v>
      </c>
      <c r="V502">
        <v>3.3050000000000002</v>
      </c>
      <c r="W502">
        <v>3.2450000000000001</v>
      </c>
      <c r="X502">
        <v>3.2349999999999999</v>
      </c>
      <c r="Y502">
        <v>3.2719999999999998</v>
      </c>
      <c r="Z502">
        <v>3.2</v>
      </c>
      <c r="AA502">
        <v>3.22</v>
      </c>
      <c r="AC502">
        <v>3.2749999999999999</v>
      </c>
      <c r="AD502">
        <v>1.129</v>
      </c>
    </row>
    <row r="503" spans="2:30">
      <c r="B503" s="2">
        <v>44782</v>
      </c>
      <c r="C503">
        <v>3.1419999999999999</v>
      </c>
      <c r="D503" s="2">
        <v>44784</v>
      </c>
      <c r="E503">
        <v>3.125</v>
      </c>
      <c r="F503" s="2">
        <v>44784</v>
      </c>
      <c r="G503">
        <v>3.165</v>
      </c>
      <c r="H503" s="2">
        <v>44785</v>
      </c>
      <c r="I503">
        <v>3.2770000000000001</v>
      </c>
      <c r="J503" s="2">
        <v>44784</v>
      </c>
      <c r="K503">
        <v>3.22</v>
      </c>
      <c r="L503" s="2">
        <v>44789</v>
      </c>
      <c r="M503">
        <v>3.1070000000000002</v>
      </c>
      <c r="N503" s="2"/>
      <c r="P503" s="2">
        <v>44781</v>
      </c>
      <c r="Q503">
        <v>3.15</v>
      </c>
      <c r="R503" s="2">
        <v>44420</v>
      </c>
      <c r="S503">
        <v>0.75</v>
      </c>
      <c r="U503" s="2">
        <v>45027</v>
      </c>
      <c r="V503">
        <v>3.2949899999999999</v>
      </c>
      <c r="W503">
        <v>3.1920000000000002</v>
      </c>
      <c r="X503">
        <v>3.18</v>
      </c>
      <c r="Y503">
        <v>3.2229999999999999</v>
      </c>
      <c r="Z503">
        <v>3.2269999999999999</v>
      </c>
      <c r="AA503">
        <v>3.21</v>
      </c>
      <c r="AC503">
        <v>3.25</v>
      </c>
      <c r="AD503">
        <v>1.1220000000000001</v>
      </c>
    </row>
    <row r="504" spans="2:30">
      <c r="B504" s="2">
        <v>44781</v>
      </c>
      <c r="C504">
        <v>3.1259999999999999</v>
      </c>
      <c r="D504" s="2">
        <v>44783</v>
      </c>
      <c r="E504">
        <v>3.13</v>
      </c>
      <c r="F504" s="2">
        <v>44783</v>
      </c>
      <c r="G504">
        <v>3.1720000000000002</v>
      </c>
      <c r="H504" s="2">
        <v>44784</v>
      </c>
      <c r="I504">
        <v>3.2149999999999999</v>
      </c>
      <c r="J504" s="2">
        <v>44783</v>
      </c>
      <c r="K504">
        <v>3.2</v>
      </c>
      <c r="L504" s="2">
        <v>44785</v>
      </c>
      <c r="M504">
        <v>3.2050000000000001</v>
      </c>
      <c r="N504" s="2"/>
      <c r="P504" s="2">
        <v>44778</v>
      </c>
      <c r="Q504">
        <v>3.0750000000000002</v>
      </c>
      <c r="R504" s="2">
        <v>44419</v>
      </c>
      <c r="S504">
        <v>0.77200000000000002</v>
      </c>
      <c r="U504" s="2">
        <v>45026</v>
      </c>
      <c r="V504">
        <v>3.3010000000000002</v>
      </c>
      <c r="W504">
        <v>3.1840000000000002</v>
      </c>
      <c r="X504">
        <v>3.1549999999999998</v>
      </c>
      <c r="Y504">
        <v>3.22</v>
      </c>
      <c r="Z504">
        <v>3.2250000000000001</v>
      </c>
      <c r="AA504">
        <v>3.2130000000000001</v>
      </c>
      <c r="AB504">
        <v>3.22</v>
      </c>
      <c r="AC504">
        <v>3.22</v>
      </c>
      <c r="AD504">
        <v>1.1439999999999999</v>
      </c>
    </row>
    <row r="505" spans="2:30">
      <c r="B505" s="2">
        <v>44778</v>
      </c>
      <c r="C505">
        <v>2.9550000000000001</v>
      </c>
      <c r="D505" s="2">
        <v>44782</v>
      </c>
      <c r="E505">
        <v>3.13</v>
      </c>
      <c r="F505" s="2">
        <v>44782</v>
      </c>
      <c r="G505">
        <v>2.9609999999999999</v>
      </c>
      <c r="H505" s="2">
        <v>44783</v>
      </c>
      <c r="I505">
        <v>3.21</v>
      </c>
      <c r="J505" s="2">
        <v>44782</v>
      </c>
      <c r="K505">
        <v>3.02</v>
      </c>
      <c r="L505" s="2">
        <v>44784</v>
      </c>
      <c r="M505">
        <v>3.17</v>
      </c>
      <c r="N505" s="2"/>
      <c r="P505" s="2">
        <v>44777</v>
      </c>
      <c r="Q505">
        <v>3.08</v>
      </c>
      <c r="R505" s="2">
        <v>44418</v>
      </c>
      <c r="S505">
        <v>0.64700000000000002</v>
      </c>
      <c r="U505" s="2">
        <v>45025</v>
      </c>
    </row>
    <row r="506" spans="2:30">
      <c r="B506" s="2">
        <v>44777</v>
      </c>
      <c r="C506">
        <v>3.0739999999999998</v>
      </c>
      <c r="D506" s="2">
        <v>44781</v>
      </c>
      <c r="E506">
        <v>3.14</v>
      </c>
      <c r="F506" s="2">
        <v>44781</v>
      </c>
      <c r="G506">
        <v>3.1349999999999998</v>
      </c>
      <c r="H506" s="2">
        <v>44782</v>
      </c>
      <c r="I506">
        <v>3.1549999999999998</v>
      </c>
      <c r="J506" s="2">
        <v>44781</v>
      </c>
      <c r="K506">
        <v>3.137</v>
      </c>
      <c r="L506" s="2">
        <v>44783</v>
      </c>
      <c r="M506">
        <v>3.145</v>
      </c>
      <c r="N506" s="2"/>
      <c r="P506" s="2">
        <v>44776</v>
      </c>
      <c r="Q506">
        <v>3.08</v>
      </c>
      <c r="R506" s="2">
        <v>44417</v>
      </c>
      <c r="S506">
        <v>0.77700000000000002</v>
      </c>
      <c r="U506" s="2">
        <v>45024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Z256"/>
  <sheetViews>
    <sheetView workbookViewId="0">
      <selection activeCell="B4" sqref="B4"/>
    </sheetView>
  </sheetViews>
  <sheetFormatPr defaultRowHeight="15"/>
  <cols>
    <col min="2" max="2" width="10.5703125" customWidth="1"/>
    <col min="3" max="3" width="11.140625" bestFit="1" customWidth="1"/>
    <col min="5" max="5" width="11.140625" bestFit="1" customWidth="1"/>
    <col min="19" max="19" width="10.5703125" customWidth="1"/>
  </cols>
  <sheetData>
    <row r="1" spans="1:52">
      <c r="B1" s="1" t="s">
        <v>0</v>
      </c>
      <c r="C1" s="2">
        <v>36543</v>
      </c>
      <c r="D1" s="1" t="s">
        <v>1</v>
      </c>
      <c r="E1" s="2">
        <f ca="1">TODAY()</f>
        <v>45523</v>
      </c>
      <c r="F1" s="1" t="s">
        <v>2</v>
      </c>
      <c r="G1">
        <v>250</v>
      </c>
      <c r="H1" s="1" t="s">
        <v>3</v>
      </c>
      <c r="I1" t="s">
        <v>4</v>
      </c>
      <c r="J1" s="1" t="s">
        <v>5</v>
      </c>
      <c r="K1" t="s">
        <v>6</v>
      </c>
      <c r="L1" s="1" t="s">
        <v>7</v>
      </c>
      <c r="M1">
        <v>0</v>
      </c>
      <c r="N1" s="1" t="s">
        <v>8</v>
      </c>
      <c r="O1" t="s">
        <v>9</v>
      </c>
    </row>
    <row r="2" spans="1:52">
      <c r="B2" t="s">
        <v>824</v>
      </c>
      <c r="C2" t="s">
        <v>826</v>
      </c>
      <c r="S2" t="s">
        <v>824</v>
      </c>
      <c r="T2" t="s">
        <v>826</v>
      </c>
      <c r="AJ2" t="s">
        <v>824</v>
      </c>
      <c r="AK2" t="s">
        <v>826</v>
      </c>
    </row>
    <row r="3" spans="1:52">
      <c r="B3">
        <v>1</v>
      </c>
      <c r="C3">
        <v>1</v>
      </c>
      <c r="S3">
        <v>2</v>
      </c>
      <c r="T3">
        <v>1</v>
      </c>
      <c r="AJ3">
        <v>12</v>
      </c>
      <c r="AK3">
        <v>1</v>
      </c>
    </row>
    <row r="4" spans="1:52">
      <c r="B4" t="str" cm="1">
        <f t="array" ref="B4">IF( INDEX(IR_code!$C$2:$U$82, matrix_data!B3, 3*C3-2) = "", NA(), INDEX(IR_code!$C$2:$U$82, matrix_data!B3, 3*C3-2) )</f>
        <v>BONDAVG01</v>
      </c>
      <c r="S4" t="str" cm="1">
        <f t="array" ref="S4">IF( INDEX(IR_code!$C$2:$U$82, matrix_data!S3, 3*T3-2) = "", NA(), INDEX(IR_code!$C$2:$U$82, matrix_data!S3, 3*T3-2) )</f>
        <v>BONDAVG02</v>
      </c>
      <c r="AJ4" t="str" cm="1">
        <f t="array" ref="AJ4">IF( INDEX(IR_code!$C$2:$U$82, matrix_data!AJ3, 3*AK3-2) = "", NA(), INDEX(IR_code!$C$2:$U$82, matrix_data!AJ3, 3*AK3-2) )</f>
        <v>BONDAVG14</v>
      </c>
    </row>
    <row r="5" spans="1:52">
      <c r="B5" t="str">
        <f ca="1">_xll.IMDH("IR",B4,B6:R6,$C$1,$E$1,$G$1,"Per="&amp;$I$1&amp;",sort="&amp;$K$1&amp;",real=true,Bizday="&amp;$M$1&amp;",Quote="&amp;$O$1&amp;",Pos=20,Orient=V,DtFmt=1,TmFmt=1,unit=true")</f>
        <v>조회[BONDAVG01]</v>
      </c>
      <c r="S5" t="str">
        <f ca="1">_xll.IMDH("IR",S4,S6:AI6,$C$1,$E$1,$G$1,"Per="&amp;$I$1&amp;",sort="&amp;$K$1&amp;",real=true,Bizday="&amp;$M$1&amp;",Quote="&amp;$O$1&amp;",Pos=20,Orient=V,DtFmt=1,TmFmt=1,unit=true")</f>
        <v>조회[BONDAVG02]</v>
      </c>
      <c r="AJ5" t="str">
        <f ca="1">_xll.IMDH("IR",AJ4,AJ6:AZ6,$C$1,$E$1,$G$1,"Per="&amp;$I$1&amp;",sort="&amp;$K$1&amp;",real=true,Bizday="&amp;$M$1&amp;",Quote="&amp;$O$1&amp;",Pos=20,Orient=V,DtFmt=1,TmFmt=1,unit=true")</f>
        <v>조회[BONDAVG14]</v>
      </c>
    </row>
    <row r="6" spans="1:52">
      <c r="A6" s="34" t="s">
        <v>827</v>
      </c>
      <c r="B6" s="3" t="s">
        <v>10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15</v>
      </c>
      <c r="H6" s="4" t="s">
        <v>16</v>
      </c>
      <c r="I6" s="4" t="s">
        <v>17</v>
      </c>
      <c r="J6" s="4" t="s">
        <v>18</v>
      </c>
      <c r="K6" s="4" t="s">
        <v>19</v>
      </c>
      <c r="L6" s="4" t="s">
        <v>20</v>
      </c>
      <c r="M6" s="4" t="s">
        <v>21</v>
      </c>
      <c r="N6" s="4" t="s">
        <v>22</v>
      </c>
      <c r="O6" s="4" t="s">
        <v>23</v>
      </c>
      <c r="P6" s="4" t="s">
        <v>24</v>
      </c>
      <c r="Q6" s="4" t="s">
        <v>25</v>
      </c>
      <c r="R6" s="4" t="s">
        <v>26</v>
      </c>
      <c r="S6" s="3" t="s">
        <v>10</v>
      </c>
      <c r="T6" s="4" t="s">
        <v>11</v>
      </c>
      <c r="U6" s="4" t="s">
        <v>12</v>
      </c>
      <c r="V6" s="4" t="s">
        <v>13</v>
      </c>
      <c r="W6" s="4" t="s">
        <v>14</v>
      </c>
      <c r="X6" s="4" t="s">
        <v>15</v>
      </c>
      <c r="Y6" s="4" t="s">
        <v>16</v>
      </c>
      <c r="Z6" s="4" t="s">
        <v>17</v>
      </c>
      <c r="AA6" s="4" t="s">
        <v>18</v>
      </c>
      <c r="AB6" s="4" t="s">
        <v>19</v>
      </c>
      <c r="AC6" s="4" t="s">
        <v>20</v>
      </c>
      <c r="AD6" s="4" t="s">
        <v>21</v>
      </c>
      <c r="AE6" s="4" t="s">
        <v>22</v>
      </c>
      <c r="AF6" s="4" t="s">
        <v>23</v>
      </c>
      <c r="AG6" s="4" t="s">
        <v>24</v>
      </c>
      <c r="AH6" s="4" t="s">
        <v>25</v>
      </c>
      <c r="AI6" s="4" t="s">
        <v>26</v>
      </c>
      <c r="AJ6" s="3" t="s">
        <v>10</v>
      </c>
      <c r="AK6" s="4" t="s">
        <v>11</v>
      </c>
      <c r="AL6" s="4" t="s">
        <v>12</v>
      </c>
      <c r="AM6" s="4" t="s">
        <v>13</v>
      </c>
      <c r="AN6" s="4" t="s">
        <v>14</v>
      </c>
      <c r="AO6" s="4" t="s">
        <v>15</v>
      </c>
      <c r="AP6" s="4" t="s">
        <v>16</v>
      </c>
      <c r="AQ6" s="4" t="s">
        <v>17</v>
      </c>
      <c r="AR6" s="4" t="s">
        <v>18</v>
      </c>
      <c r="AS6" s="4" t="s">
        <v>19</v>
      </c>
      <c r="AT6" s="4" t="s">
        <v>20</v>
      </c>
      <c r="AU6" s="4" t="s">
        <v>21</v>
      </c>
      <c r="AV6" s="4" t="s">
        <v>22</v>
      </c>
      <c r="AW6" s="4" t="s">
        <v>23</v>
      </c>
      <c r="AX6" s="4" t="s">
        <v>24</v>
      </c>
      <c r="AY6" s="4" t="s">
        <v>25</v>
      </c>
      <c r="AZ6" s="4" t="s">
        <v>26</v>
      </c>
    </row>
    <row r="7" spans="1:52">
      <c r="A7" s="34" t="s">
        <v>828</v>
      </c>
      <c r="B7" s="2">
        <v>45520</v>
      </c>
      <c r="C7">
        <v>3.3380000000000001</v>
      </c>
      <c r="D7">
        <v>3.2029999999999998</v>
      </c>
      <c r="E7">
        <v>3.1120000000000001</v>
      </c>
      <c r="F7">
        <v>3.052</v>
      </c>
      <c r="G7">
        <v>3.0550000000000002</v>
      </c>
      <c r="H7">
        <v>3.03</v>
      </c>
      <c r="I7">
        <v>2.944</v>
      </c>
      <c r="J7">
        <v>2.9220000000000002</v>
      </c>
      <c r="K7">
        <v>2.9430000000000001</v>
      </c>
      <c r="L7">
        <v>2.93</v>
      </c>
      <c r="M7">
        <v>2.9809999999999999</v>
      </c>
      <c r="N7">
        <v>2.9750000000000001</v>
      </c>
      <c r="O7">
        <v>2.9820000000000002</v>
      </c>
      <c r="P7">
        <v>2.952</v>
      </c>
      <c r="Q7">
        <v>2.8519999999999999</v>
      </c>
      <c r="R7">
        <v>2.7629999999999999</v>
      </c>
      <c r="S7" s="2">
        <v>45520</v>
      </c>
      <c r="T7">
        <v>3.3460000000000001</v>
      </c>
      <c r="U7">
        <v>3.254</v>
      </c>
      <c r="V7">
        <v>3.1720000000000002</v>
      </c>
      <c r="W7">
        <v>3.089</v>
      </c>
      <c r="X7">
        <v>3.077</v>
      </c>
      <c r="Y7">
        <v>3.0539999999999998</v>
      </c>
      <c r="Z7">
        <v>3.012</v>
      </c>
      <c r="AA7">
        <v>3.01</v>
      </c>
      <c r="AB7">
        <v>3.0110000000000001</v>
      </c>
      <c r="AC7">
        <v>3.052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 s="2">
        <v>45520</v>
      </c>
      <c r="AK7">
        <v>3.2709999999999999</v>
      </c>
      <c r="AL7">
        <v>3.169</v>
      </c>
      <c r="AM7">
        <v>3.097</v>
      </c>
      <c r="AN7">
        <v>3.0249999999999999</v>
      </c>
      <c r="AO7">
        <v>3.0430000000000001</v>
      </c>
      <c r="AP7">
        <v>2.9870000000000001</v>
      </c>
      <c r="AQ7">
        <v>2.9929999999999999</v>
      </c>
      <c r="AR7">
        <v>2.9940000000000002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 spans="1:52">
      <c r="A8" s="34" t="s">
        <v>829</v>
      </c>
      <c r="B8" s="2">
        <v>45518</v>
      </c>
      <c r="C8">
        <v>3.3380000000000001</v>
      </c>
      <c r="D8">
        <v>3.2029999999999998</v>
      </c>
      <c r="E8">
        <v>3.1110000000000002</v>
      </c>
      <c r="F8">
        <v>3.0449999999999999</v>
      </c>
      <c r="G8">
        <v>3.0350000000000001</v>
      </c>
      <c r="H8">
        <v>3.0009999999999999</v>
      </c>
      <c r="I8">
        <v>2.9119999999999999</v>
      </c>
      <c r="J8">
        <v>2.887</v>
      </c>
      <c r="K8">
        <v>2.915</v>
      </c>
      <c r="L8">
        <v>2.8980000000000001</v>
      </c>
      <c r="M8">
        <v>2.9489999999999998</v>
      </c>
      <c r="N8">
        <v>2.94</v>
      </c>
      <c r="O8">
        <v>2.9540000000000002</v>
      </c>
      <c r="P8">
        <v>2.93</v>
      </c>
      <c r="Q8">
        <v>2.83</v>
      </c>
      <c r="R8">
        <v>2.7719999999999998</v>
      </c>
      <c r="S8" s="2">
        <v>45518</v>
      </c>
      <c r="T8">
        <v>3.3460000000000001</v>
      </c>
      <c r="U8">
        <v>3.254</v>
      </c>
      <c r="V8">
        <v>3.1709999999999998</v>
      </c>
      <c r="W8">
        <v>3.081</v>
      </c>
      <c r="X8">
        <v>3.0550000000000002</v>
      </c>
      <c r="Y8">
        <v>3.024</v>
      </c>
      <c r="Z8">
        <v>2.98</v>
      </c>
      <c r="AA8">
        <v>2.9750000000000001</v>
      </c>
      <c r="AB8">
        <v>2.9809999999999999</v>
      </c>
      <c r="AC8">
        <v>3.016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 s="2">
        <v>45518</v>
      </c>
      <c r="AK8">
        <v>3.2709999999999999</v>
      </c>
      <c r="AL8">
        <v>3.1669999999999998</v>
      </c>
      <c r="AM8">
        <v>3.0939999999999999</v>
      </c>
      <c r="AN8">
        <v>3.02</v>
      </c>
      <c r="AO8">
        <v>3.01</v>
      </c>
      <c r="AP8">
        <v>2.9529999999999998</v>
      </c>
      <c r="AQ8">
        <v>2.9590000000000001</v>
      </c>
      <c r="AR8">
        <v>2.9590000000000001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 spans="1:52">
      <c r="A9" s="34" t="s">
        <v>830</v>
      </c>
      <c r="B9" s="2">
        <v>45517</v>
      </c>
      <c r="C9">
        <v>3.3410000000000002</v>
      </c>
      <c r="D9">
        <v>3.206</v>
      </c>
      <c r="E9">
        <v>3.1160000000000001</v>
      </c>
      <c r="F9">
        <v>3.0550000000000002</v>
      </c>
      <c r="G9">
        <v>3.048</v>
      </c>
      <c r="H9">
        <v>3.02</v>
      </c>
      <c r="I9">
        <v>2.9369999999999998</v>
      </c>
      <c r="J9">
        <v>2.915</v>
      </c>
      <c r="K9">
        <v>2.9449999999999998</v>
      </c>
      <c r="L9">
        <v>2.93</v>
      </c>
      <c r="M9">
        <v>2.98</v>
      </c>
      <c r="N9">
        <v>2.9750000000000001</v>
      </c>
      <c r="O9">
        <v>2.9889999999999999</v>
      </c>
      <c r="P9">
        <v>2.9620000000000002</v>
      </c>
      <c r="Q9">
        <v>2.8719999999999999</v>
      </c>
      <c r="R9">
        <v>2.8149999999999999</v>
      </c>
      <c r="S9" s="2">
        <v>45517</v>
      </c>
      <c r="T9">
        <v>3.3490000000000002</v>
      </c>
      <c r="U9">
        <v>3.2570000000000001</v>
      </c>
      <c r="V9">
        <v>3.177</v>
      </c>
      <c r="W9">
        <v>3.0910000000000002</v>
      </c>
      <c r="X9">
        <v>3.0659999999999998</v>
      </c>
      <c r="Y9">
        <v>3.0430000000000001</v>
      </c>
      <c r="Z9">
        <v>3.0049999999999999</v>
      </c>
      <c r="AA9">
        <v>3.0030000000000001</v>
      </c>
      <c r="AB9">
        <v>3.0110000000000001</v>
      </c>
      <c r="AC9">
        <v>3.044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 s="2">
        <v>45517</v>
      </c>
      <c r="AK9">
        <v>3.28</v>
      </c>
      <c r="AL9">
        <v>3.177</v>
      </c>
      <c r="AM9">
        <v>3.1059999999999999</v>
      </c>
      <c r="AN9">
        <v>3.03</v>
      </c>
      <c r="AO9">
        <v>3.0249999999999999</v>
      </c>
      <c r="AP9">
        <v>2.9710000000000001</v>
      </c>
      <c r="AQ9">
        <v>2.984</v>
      </c>
      <c r="AR9">
        <v>2.988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>
      <c r="A10" s="34" t="s">
        <v>817</v>
      </c>
      <c r="B10" s="2">
        <v>45516</v>
      </c>
      <c r="C10">
        <v>3.3460000000000001</v>
      </c>
      <c r="D10">
        <v>3.2160000000000002</v>
      </c>
      <c r="E10">
        <v>3.13</v>
      </c>
      <c r="F10">
        <v>3.08</v>
      </c>
      <c r="G10">
        <v>3.06</v>
      </c>
      <c r="H10">
        <v>3.0350000000000001</v>
      </c>
      <c r="I10">
        <v>2.97</v>
      </c>
      <c r="J10">
        <v>2.9449999999999998</v>
      </c>
      <c r="K10">
        <v>2.9729999999999999</v>
      </c>
      <c r="L10">
        <v>2.9590000000000001</v>
      </c>
      <c r="M10">
        <v>3.01</v>
      </c>
      <c r="N10">
        <v>3.0019999999999998</v>
      </c>
      <c r="O10">
        <v>3.016</v>
      </c>
      <c r="P10">
        <v>2.99</v>
      </c>
      <c r="Q10">
        <v>2.9</v>
      </c>
      <c r="R10">
        <v>2.8420000000000001</v>
      </c>
      <c r="S10" s="2">
        <v>45516</v>
      </c>
      <c r="T10">
        <v>3.3519999999999999</v>
      </c>
      <c r="U10">
        <v>3.2639999999999998</v>
      </c>
      <c r="V10">
        <v>3.1869999999999998</v>
      </c>
      <c r="W10">
        <v>3.1139999999999999</v>
      </c>
      <c r="X10">
        <v>3.0790000000000002</v>
      </c>
      <c r="Y10">
        <v>3.0579999999999998</v>
      </c>
      <c r="Z10">
        <v>3.032</v>
      </c>
      <c r="AA10">
        <v>3.028</v>
      </c>
      <c r="AB10">
        <v>3.0390000000000001</v>
      </c>
      <c r="AC10">
        <v>3.073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 s="2">
        <v>45516</v>
      </c>
      <c r="AK10">
        <v>3.29</v>
      </c>
      <c r="AL10">
        <v>3.1880000000000002</v>
      </c>
      <c r="AM10">
        <v>3.121</v>
      </c>
      <c r="AN10">
        <v>3.044</v>
      </c>
      <c r="AO10">
        <v>3.0459999999999998</v>
      </c>
      <c r="AP10">
        <v>2.9969999999999999</v>
      </c>
      <c r="AQ10">
        <v>3.008</v>
      </c>
      <c r="AR10">
        <v>3.01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 spans="1:52">
      <c r="A11" s="34" t="s">
        <v>831</v>
      </c>
      <c r="B11" s="2">
        <v>45513</v>
      </c>
      <c r="C11">
        <v>3.3479999999999999</v>
      </c>
      <c r="D11">
        <v>3.2160000000000002</v>
      </c>
      <c r="E11">
        <v>3.13</v>
      </c>
      <c r="F11">
        <v>3.08</v>
      </c>
      <c r="G11">
        <v>3.0579999999999998</v>
      </c>
      <c r="H11">
        <v>3.0310000000000001</v>
      </c>
      <c r="I11">
        <v>2.96</v>
      </c>
      <c r="J11">
        <v>2.94</v>
      </c>
      <c r="K11">
        <v>2.97</v>
      </c>
      <c r="L11">
        <v>2.9569999999999999</v>
      </c>
      <c r="M11">
        <v>3.0129999999999999</v>
      </c>
      <c r="N11">
        <v>3.012</v>
      </c>
      <c r="O11">
        <v>3.0259999999999998</v>
      </c>
      <c r="P11">
        <v>3</v>
      </c>
      <c r="Q11">
        <v>2.91</v>
      </c>
      <c r="R11">
        <v>2.8530000000000002</v>
      </c>
      <c r="S11" s="2">
        <v>45513</v>
      </c>
      <c r="T11">
        <v>3.3519999999999999</v>
      </c>
      <c r="U11">
        <v>3.2639999999999998</v>
      </c>
      <c r="V11">
        <v>3.1859999999999999</v>
      </c>
      <c r="W11">
        <v>3.1139999999999999</v>
      </c>
      <c r="X11">
        <v>3.0760000000000001</v>
      </c>
      <c r="Y11">
        <v>3.0529999999999999</v>
      </c>
      <c r="Z11">
        <v>3.0219999999999998</v>
      </c>
      <c r="AA11">
        <v>3.0230000000000001</v>
      </c>
      <c r="AB11">
        <v>3.0369999999999999</v>
      </c>
      <c r="AC11">
        <v>3.0670000000000002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 s="2">
        <v>45513</v>
      </c>
      <c r="AK11">
        <v>3.2930000000000001</v>
      </c>
      <c r="AL11">
        <v>3.1880000000000002</v>
      </c>
      <c r="AM11">
        <v>3.121</v>
      </c>
      <c r="AN11">
        <v>3.0470000000000002</v>
      </c>
      <c r="AO11">
        <v>3.05</v>
      </c>
      <c r="AP11">
        <v>2.99</v>
      </c>
      <c r="AQ11">
        <v>3.0019999999999998</v>
      </c>
      <c r="AR11">
        <v>3.0049999999999999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 spans="1:52">
      <c r="A12" s="34" t="s">
        <v>818</v>
      </c>
      <c r="B12" s="2">
        <v>45512</v>
      </c>
      <c r="C12">
        <v>3.351</v>
      </c>
      <c r="D12">
        <v>3.2160000000000002</v>
      </c>
      <c r="E12">
        <v>3.1259999999999999</v>
      </c>
      <c r="F12">
        <v>3.0790000000000002</v>
      </c>
      <c r="G12">
        <v>3.0550000000000002</v>
      </c>
      <c r="H12">
        <v>3.0150000000000001</v>
      </c>
      <c r="I12">
        <v>2.9350000000000001</v>
      </c>
      <c r="J12">
        <v>2.919</v>
      </c>
      <c r="K12">
        <v>2.9449999999999998</v>
      </c>
      <c r="L12">
        <v>2.9390000000000001</v>
      </c>
      <c r="M12">
        <v>2.9980000000000002</v>
      </c>
      <c r="N12">
        <v>3</v>
      </c>
      <c r="O12">
        <v>3.0190000000000001</v>
      </c>
      <c r="P12">
        <v>2.9950000000000001</v>
      </c>
      <c r="Q12">
        <v>2.9</v>
      </c>
      <c r="R12">
        <v>2.8420000000000001</v>
      </c>
      <c r="S12" s="2">
        <v>45512</v>
      </c>
      <c r="T12">
        <v>3.3559999999999999</v>
      </c>
      <c r="U12">
        <v>3.2639999999999998</v>
      </c>
      <c r="V12">
        <v>3.1819999999999999</v>
      </c>
      <c r="W12">
        <v>3.1120000000000001</v>
      </c>
      <c r="X12">
        <v>3.073</v>
      </c>
      <c r="Y12">
        <v>3.0369999999999999</v>
      </c>
      <c r="Z12">
        <v>2.9969999999999999</v>
      </c>
      <c r="AA12">
        <v>3.0019999999999998</v>
      </c>
      <c r="AB12">
        <v>3.012</v>
      </c>
      <c r="AC12">
        <v>3.0510000000000002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 s="2">
        <v>45512</v>
      </c>
      <c r="AK12">
        <v>3.2930000000000001</v>
      </c>
      <c r="AL12">
        <v>3.1880000000000002</v>
      </c>
      <c r="AM12">
        <v>3.121</v>
      </c>
      <c r="AN12">
        <v>3.0489999999999999</v>
      </c>
      <c r="AO12">
        <v>3.044</v>
      </c>
      <c r="AP12">
        <v>2.97</v>
      </c>
      <c r="AQ12">
        <v>2.98</v>
      </c>
      <c r="AR12">
        <v>2.9849999999999999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 spans="1:52">
      <c r="A13" s="34" t="s">
        <v>832</v>
      </c>
      <c r="B13" s="2">
        <v>45511</v>
      </c>
      <c r="C13">
        <v>3.355</v>
      </c>
      <c r="D13">
        <v>3.2309999999999999</v>
      </c>
      <c r="E13">
        <v>3.1379999999999999</v>
      </c>
      <c r="F13">
        <v>3.1019999999999999</v>
      </c>
      <c r="G13">
        <v>3.07</v>
      </c>
      <c r="H13">
        <v>3.0310000000000001</v>
      </c>
      <c r="I13">
        <v>2.952</v>
      </c>
      <c r="J13">
        <v>2.931</v>
      </c>
      <c r="K13">
        <v>2.956</v>
      </c>
      <c r="L13">
        <v>2.95</v>
      </c>
      <c r="M13">
        <v>3.0059999999999998</v>
      </c>
      <c r="N13">
        <v>3.0019999999999998</v>
      </c>
      <c r="O13">
        <v>3.0169999999999999</v>
      </c>
      <c r="P13">
        <v>2.9889999999999999</v>
      </c>
      <c r="Q13">
        <v>2.9</v>
      </c>
      <c r="R13">
        <v>2.8420000000000001</v>
      </c>
      <c r="S13" s="2">
        <v>45511</v>
      </c>
      <c r="T13">
        <v>3.359</v>
      </c>
      <c r="U13">
        <v>3.2789999999999999</v>
      </c>
      <c r="V13">
        <v>3.194</v>
      </c>
      <c r="W13">
        <v>3.1339999999999999</v>
      </c>
      <c r="X13">
        <v>3.089</v>
      </c>
      <c r="Y13">
        <v>3.0510000000000002</v>
      </c>
      <c r="Z13">
        <v>3.0139999999999998</v>
      </c>
      <c r="AA13">
        <v>3.0139999999999998</v>
      </c>
      <c r="AB13">
        <v>3.024</v>
      </c>
      <c r="AC13">
        <v>3.0609999999999999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 s="2">
        <v>45511</v>
      </c>
      <c r="AK13">
        <v>3.2949999999999999</v>
      </c>
      <c r="AL13">
        <v>3.19</v>
      </c>
      <c r="AM13">
        <v>3.13</v>
      </c>
      <c r="AN13">
        <v>3.07</v>
      </c>
      <c r="AO13">
        <v>3.0609999999999999</v>
      </c>
      <c r="AP13">
        <v>2.9849999999999999</v>
      </c>
      <c r="AQ13">
        <v>2.9950000000000001</v>
      </c>
      <c r="AR13">
        <v>2.9969999999999999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 spans="1:52">
      <c r="A14" s="34" t="s">
        <v>833</v>
      </c>
      <c r="B14" s="2">
        <v>45510</v>
      </c>
      <c r="C14">
        <v>3.34</v>
      </c>
      <c r="D14">
        <v>3.2330000000000001</v>
      </c>
      <c r="E14">
        <v>3.121</v>
      </c>
      <c r="F14">
        <v>3.1040000000000001</v>
      </c>
      <c r="G14">
        <v>3.0750000000000002</v>
      </c>
      <c r="H14">
        <v>3.04</v>
      </c>
      <c r="I14">
        <v>2.9580000000000002</v>
      </c>
      <c r="J14">
        <v>2.94</v>
      </c>
      <c r="K14">
        <v>2.96</v>
      </c>
      <c r="L14">
        <v>2.9550000000000001</v>
      </c>
      <c r="M14">
        <v>3.0049999999999999</v>
      </c>
      <c r="N14">
        <v>2.9969999999999999</v>
      </c>
      <c r="O14">
        <v>3.0169999999999999</v>
      </c>
      <c r="P14">
        <v>2.9950000000000001</v>
      </c>
      <c r="Q14">
        <v>2.915</v>
      </c>
      <c r="R14">
        <v>2.8570000000000002</v>
      </c>
      <c r="S14" s="2">
        <v>45510</v>
      </c>
      <c r="T14">
        <v>3.3439999999999999</v>
      </c>
      <c r="U14">
        <v>3.2789999999999999</v>
      </c>
      <c r="V14">
        <v>3.177</v>
      </c>
      <c r="W14">
        <v>3.1349999999999998</v>
      </c>
      <c r="X14">
        <v>3.0910000000000002</v>
      </c>
      <c r="Y14">
        <v>3.0609999999999999</v>
      </c>
      <c r="Z14">
        <v>3.02</v>
      </c>
      <c r="AA14">
        <v>3.0230000000000001</v>
      </c>
      <c r="AB14">
        <v>3.0259999999999998</v>
      </c>
      <c r="AC14">
        <v>3.0659999999999998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s="2">
        <v>45510</v>
      </c>
      <c r="AK14">
        <v>3.298</v>
      </c>
      <c r="AL14">
        <v>3.194</v>
      </c>
      <c r="AM14">
        <v>3.13</v>
      </c>
      <c r="AN14">
        <v>3.0670000000000002</v>
      </c>
      <c r="AO14">
        <v>3.0609999999999999</v>
      </c>
      <c r="AP14">
        <v>2.9990000000000001</v>
      </c>
      <c r="AQ14">
        <v>3.0030000000000001</v>
      </c>
      <c r="AR14">
        <v>3.0049999999999999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 spans="1:52">
      <c r="A15" s="34" t="s">
        <v>834</v>
      </c>
      <c r="B15" s="2">
        <v>45509</v>
      </c>
      <c r="C15">
        <v>3.331</v>
      </c>
      <c r="D15">
        <v>3.1960000000000002</v>
      </c>
      <c r="E15">
        <v>3.0830000000000002</v>
      </c>
      <c r="F15">
        <v>3.06</v>
      </c>
      <c r="G15">
        <v>3.0059999999999998</v>
      </c>
      <c r="H15">
        <v>2.9260000000000002</v>
      </c>
      <c r="I15">
        <v>2.8380000000000001</v>
      </c>
      <c r="J15">
        <v>2.8149999999999999</v>
      </c>
      <c r="K15">
        <v>2.835</v>
      </c>
      <c r="L15">
        <v>2.83</v>
      </c>
      <c r="M15">
        <v>2.89</v>
      </c>
      <c r="N15">
        <v>2.8919999999999999</v>
      </c>
      <c r="O15">
        <v>2.92</v>
      </c>
      <c r="P15">
        <v>2.907</v>
      </c>
      <c r="Q15">
        <v>2.84</v>
      </c>
      <c r="R15">
        <v>2.782</v>
      </c>
      <c r="S15" s="2">
        <v>45509</v>
      </c>
      <c r="T15">
        <v>3.3340000000000001</v>
      </c>
      <c r="U15">
        <v>3.2570000000000001</v>
      </c>
      <c r="V15">
        <v>3.1469999999999998</v>
      </c>
      <c r="W15">
        <v>3.0920000000000001</v>
      </c>
      <c r="X15">
        <v>3.02</v>
      </c>
      <c r="Y15">
        <v>2.95</v>
      </c>
      <c r="Z15">
        <v>2.9</v>
      </c>
      <c r="AA15">
        <v>2.899</v>
      </c>
      <c r="AB15">
        <v>2.9020000000000001</v>
      </c>
      <c r="AC15">
        <v>2.9460000000000002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 s="2">
        <v>45509</v>
      </c>
      <c r="AK15">
        <v>3.2930000000000001</v>
      </c>
      <c r="AL15">
        <v>3.1840000000000002</v>
      </c>
      <c r="AM15">
        <v>3.11</v>
      </c>
      <c r="AN15">
        <v>3.0259999999999998</v>
      </c>
      <c r="AO15">
        <v>2.9849999999999999</v>
      </c>
      <c r="AP15">
        <v>2.89</v>
      </c>
      <c r="AQ15">
        <v>2.887</v>
      </c>
      <c r="AR15">
        <v>2.8849999999999998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 spans="1:52">
      <c r="A16" s="34" t="s">
        <v>835</v>
      </c>
      <c r="B16" s="2">
        <v>45506</v>
      </c>
      <c r="C16">
        <v>3.3650000000000002</v>
      </c>
      <c r="D16">
        <v>3.25</v>
      </c>
      <c r="E16">
        <v>3.145</v>
      </c>
      <c r="F16">
        <v>3.1269999999999998</v>
      </c>
      <c r="G16">
        <v>3.09</v>
      </c>
      <c r="H16">
        <v>3.0369999999999999</v>
      </c>
      <c r="I16">
        <v>2.9670000000000001</v>
      </c>
      <c r="J16">
        <v>2.9359999999999999</v>
      </c>
      <c r="K16">
        <v>2.9590000000000001</v>
      </c>
      <c r="L16">
        <v>2.9420000000000002</v>
      </c>
      <c r="M16">
        <v>2.9849999999999999</v>
      </c>
      <c r="N16">
        <v>2.97</v>
      </c>
      <c r="O16">
        <v>2.9870000000000001</v>
      </c>
      <c r="P16">
        <v>2.9620000000000002</v>
      </c>
      <c r="Q16">
        <v>2.8730000000000002</v>
      </c>
      <c r="R16">
        <v>2.8149999999999999</v>
      </c>
      <c r="S16" s="2">
        <v>45506</v>
      </c>
      <c r="T16">
        <v>3.3690000000000002</v>
      </c>
      <c r="U16">
        <v>3.3109999999999999</v>
      </c>
      <c r="V16">
        <v>3.2090000000000001</v>
      </c>
      <c r="W16">
        <v>3.157</v>
      </c>
      <c r="X16">
        <v>3.1</v>
      </c>
      <c r="Y16">
        <v>3.06</v>
      </c>
      <c r="Z16">
        <v>3.0289999999999999</v>
      </c>
      <c r="AA16">
        <v>3.0209999999999999</v>
      </c>
      <c r="AB16">
        <v>3.0249999999999999</v>
      </c>
      <c r="AC16">
        <v>3.0659999999999998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 s="2">
        <v>45506</v>
      </c>
      <c r="AK16">
        <v>3.34</v>
      </c>
      <c r="AL16">
        <v>3.2440000000000002</v>
      </c>
      <c r="AM16">
        <v>3.1789999999999998</v>
      </c>
      <c r="AN16">
        <v>3.09</v>
      </c>
      <c r="AO16">
        <v>3.0750000000000002</v>
      </c>
      <c r="AP16">
        <v>3.0049999999999999</v>
      </c>
      <c r="AQ16">
        <v>3.0049999999999999</v>
      </c>
      <c r="AR16">
        <v>3.0049999999999999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>
      <c r="A17" s="34" t="s">
        <v>819</v>
      </c>
      <c r="B17" s="2">
        <v>45505</v>
      </c>
      <c r="C17">
        <v>3.3690000000000002</v>
      </c>
      <c r="D17">
        <v>3.2549999999999999</v>
      </c>
      <c r="E17">
        <v>3.161</v>
      </c>
      <c r="F17">
        <v>3.1389999999999998</v>
      </c>
      <c r="G17">
        <v>3.105</v>
      </c>
      <c r="H17">
        <v>3.06</v>
      </c>
      <c r="I17">
        <v>3.0070000000000001</v>
      </c>
      <c r="J17">
        <v>2.9750000000000001</v>
      </c>
      <c r="K17">
        <v>2.9990000000000001</v>
      </c>
      <c r="L17">
        <v>2.9849999999999999</v>
      </c>
      <c r="M17">
        <v>3.028</v>
      </c>
      <c r="N17">
        <v>3.012</v>
      </c>
      <c r="O17">
        <v>3.0289999999999999</v>
      </c>
      <c r="P17">
        <v>3.0049999999999999</v>
      </c>
      <c r="Q17">
        <v>2.9169999999999998</v>
      </c>
      <c r="R17">
        <v>2.86</v>
      </c>
      <c r="S17" s="2">
        <v>45505</v>
      </c>
      <c r="T17">
        <v>3.3719999999999999</v>
      </c>
      <c r="U17">
        <v>3.3159999999999998</v>
      </c>
      <c r="V17">
        <v>3.226</v>
      </c>
      <c r="W17">
        <v>3.17</v>
      </c>
      <c r="X17">
        <v>3.117</v>
      </c>
      <c r="Y17">
        <v>3.0870000000000002</v>
      </c>
      <c r="Z17">
        <v>3.069</v>
      </c>
      <c r="AA17">
        <v>3.06</v>
      </c>
      <c r="AB17">
        <v>3.0649999999999999</v>
      </c>
      <c r="AC17">
        <v>3.109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 s="2">
        <v>45505</v>
      </c>
      <c r="AK17">
        <v>3.343</v>
      </c>
      <c r="AL17">
        <v>3.25</v>
      </c>
      <c r="AM17">
        <v>3.1930000000000001</v>
      </c>
      <c r="AN17">
        <v>3.1139999999999999</v>
      </c>
      <c r="AO17">
        <v>3.1179999999999999</v>
      </c>
      <c r="AP17">
        <v>3.0379999999999998</v>
      </c>
      <c r="AQ17">
        <v>3.0449999999999999</v>
      </c>
      <c r="AR17">
        <v>3.0419999999999998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 spans="1:52">
      <c r="A18" s="34" t="s">
        <v>820</v>
      </c>
      <c r="B18" s="2">
        <v>45504</v>
      </c>
      <c r="C18">
        <v>3.3780000000000001</v>
      </c>
      <c r="D18">
        <v>3.2559999999999998</v>
      </c>
      <c r="E18">
        <v>3.165</v>
      </c>
      <c r="F18">
        <v>3.1440000000000001</v>
      </c>
      <c r="G18">
        <v>3.1139999999999999</v>
      </c>
      <c r="H18">
        <v>3.0739999999999998</v>
      </c>
      <c r="I18">
        <v>3.0350000000000001</v>
      </c>
      <c r="J18">
        <v>3</v>
      </c>
      <c r="K18">
        <v>3.03</v>
      </c>
      <c r="L18">
        <v>3.02</v>
      </c>
      <c r="M18">
        <v>3.069</v>
      </c>
      <c r="N18">
        <v>3.0569999999999999</v>
      </c>
      <c r="O18">
        <v>3.0680000000000001</v>
      </c>
      <c r="P18">
        <v>3.0369999999999999</v>
      </c>
      <c r="Q18">
        <v>2.9449999999999998</v>
      </c>
      <c r="R18">
        <v>2.887</v>
      </c>
      <c r="S18" s="2">
        <v>45504</v>
      </c>
      <c r="T18">
        <v>3.3809999999999998</v>
      </c>
      <c r="U18">
        <v>3.3170000000000002</v>
      </c>
      <c r="V18">
        <v>3.2290000000000001</v>
      </c>
      <c r="W18">
        <v>3.177</v>
      </c>
      <c r="X18">
        <v>3.1259999999999999</v>
      </c>
      <c r="Y18">
        <v>3.101</v>
      </c>
      <c r="Z18">
        <v>3.097</v>
      </c>
      <c r="AA18">
        <v>3.0840000000000001</v>
      </c>
      <c r="AB18">
        <v>3.0960000000000001</v>
      </c>
      <c r="AC18">
        <v>3.149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 s="2">
        <v>45504</v>
      </c>
      <c r="AK18">
        <v>3.343</v>
      </c>
      <c r="AL18">
        <v>3.2549999999999999</v>
      </c>
      <c r="AM18">
        <v>3.2040000000000002</v>
      </c>
      <c r="AN18">
        <v>3.1360000000000001</v>
      </c>
      <c r="AO18">
        <v>3.13</v>
      </c>
      <c r="AP18">
        <v>3.06</v>
      </c>
      <c r="AQ18">
        <v>3.07</v>
      </c>
      <c r="AR18">
        <v>3.0659999999999998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 spans="1:52">
      <c r="A19" s="34" t="s">
        <v>821</v>
      </c>
      <c r="B19" s="2">
        <v>45503</v>
      </c>
      <c r="C19">
        <v>3.3759999999999999</v>
      </c>
      <c r="D19">
        <v>3.2559999999999998</v>
      </c>
      <c r="E19">
        <v>3.1680000000000001</v>
      </c>
      <c r="F19">
        <v>3.1469999999999998</v>
      </c>
      <c r="G19">
        <v>3.1150000000000002</v>
      </c>
      <c r="H19">
        <v>3.069</v>
      </c>
      <c r="I19">
        <v>3.024</v>
      </c>
      <c r="J19">
        <v>2.9940000000000002</v>
      </c>
      <c r="K19">
        <v>3.0169999999999999</v>
      </c>
      <c r="L19">
        <v>3.0089999999999999</v>
      </c>
      <c r="M19">
        <v>3.0619999999999998</v>
      </c>
      <c r="N19">
        <v>3.0550000000000002</v>
      </c>
      <c r="O19">
        <v>3.0649999999999999</v>
      </c>
      <c r="P19">
        <v>3.0350000000000001</v>
      </c>
      <c r="Q19">
        <v>2.9420000000000002</v>
      </c>
      <c r="R19">
        <v>2.8849999999999998</v>
      </c>
      <c r="S19" s="2">
        <v>45503</v>
      </c>
      <c r="T19">
        <v>3.38</v>
      </c>
      <c r="U19">
        <v>3.3170000000000002</v>
      </c>
      <c r="V19">
        <v>3.2320000000000002</v>
      </c>
      <c r="W19">
        <v>3.18</v>
      </c>
      <c r="X19">
        <v>3.1280000000000001</v>
      </c>
      <c r="Y19">
        <v>3.0960000000000001</v>
      </c>
      <c r="Z19">
        <v>3.0880000000000001</v>
      </c>
      <c r="AA19">
        <v>3.081</v>
      </c>
      <c r="AB19">
        <v>3.0830000000000002</v>
      </c>
      <c r="AC19">
        <v>3.1379999999999999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s="2">
        <v>45503</v>
      </c>
      <c r="AK19">
        <v>3.343</v>
      </c>
      <c r="AL19">
        <v>3.2570000000000001</v>
      </c>
      <c r="AM19">
        <v>3.2090000000000001</v>
      </c>
      <c r="AN19">
        <v>3.1480000000000001</v>
      </c>
      <c r="AO19">
        <v>3.125</v>
      </c>
      <c r="AP19">
        <v>3.06</v>
      </c>
      <c r="AQ19">
        <v>3.0649999999999999</v>
      </c>
      <c r="AR19">
        <v>3.06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 spans="1:52">
      <c r="A20" s="34" t="s">
        <v>822</v>
      </c>
      <c r="B20" s="2">
        <v>45502</v>
      </c>
      <c r="C20">
        <v>3.375</v>
      </c>
      <c r="D20">
        <v>3.258</v>
      </c>
      <c r="E20">
        <v>3.165</v>
      </c>
      <c r="F20">
        <v>3.1419999999999999</v>
      </c>
      <c r="G20">
        <v>3.1019999999999999</v>
      </c>
      <c r="H20">
        <v>3.0529999999999999</v>
      </c>
      <c r="I20">
        <v>3.0019999999999998</v>
      </c>
      <c r="J20">
        <v>2.972</v>
      </c>
      <c r="K20">
        <v>2.9950000000000001</v>
      </c>
      <c r="L20">
        <v>2.9860000000000002</v>
      </c>
      <c r="M20">
        <v>3.0430000000000001</v>
      </c>
      <c r="N20">
        <v>3.0419999999999998</v>
      </c>
      <c r="O20">
        <v>3.0539999999999998</v>
      </c>
      <c r="P20">
        <v>3.0249999999999999</v>
      </c>
      <c r="Q20">
        <v>2.9369999999999998</v>
      </c>
      <c r="R20">
        <v>2.88</v>
      </c>
      <c r="S20" s="2">
        <v>45502</v>
      </c>
      <c r="T20">
        <v>3.3780000000000001</v>
      </c>
      <c r="U20">
        <v>3.319</v>
      </c>
      <c r="V20">
        <v>3.2290000000000001</v>
      </c>
      <c r="W20">
        <v>3.1749999999999998</v>
      </c>
      <c r="X20">
        <v>3.113</v>
      </c>
      <c r="Y20">
        <v>3.08</v>
      </c>
      <c r="Z20">
        <v>3.0670000000000002</v>
      </c>
      <c r="AA20">
        <v>3.0590000000000002</v>
      </c>
      <c r="AB20">
        <v>3.0609999999999999</v>
      </c>
      <c r="AC20">
        <v>3.1110000000000002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s="2">
        <v>45502</v>
      </c>
      <c r="AK20">
        <v>3.343</v>
      </c>
      <c r="AL20">
        <v>3.2570000000000001</v>
      </c>
      <c r="AM20">
        <v>3.2109999999999999</v>
      </c>
      <c r="AN20">
        <v>3.1480000000000001</v>
      </c>
      <c r="AO20">
        <v>3.1080000000000001</v>
      </c>
      <c r="AP20">
        <v>3.04</v>
      </c>
      <c r="AQ20">
        <v>3.044</v>
      </c>
      <c r="AR20">
        <v>3.0390000000000001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 spans="1:52">
      <c r="A21" s="34" t="s">
        <v>823</v>
      </c>
      <c r="B21" s="2">
        <v>45499</v>
      </c>
      <c r="C21">
        <v>3.3780000000000001</v>
      </c>
      <c r="D21">
        <v>3.2749999999999999</v>
      </c>
      <c r="E21">
        <v>3.18</v>
      </c>
      <c r="F21">
        <v>3.165</v>
      </c>
      <c r="G21">
        <v>3.137</v>
      </c>
      <c r="H21">
        <v>3.0880000000000001</v>
      </c>
      <c r="I21">
        <v>3.05</v>
      </c>
      <c r="J21">
        <v>3.0169999999999999</v>
      </c>
      <c r="K21">
        <v>3.048</v>
      </c>
      <c r="L21">
        <v>3.04</v>
      </c>
      <c r="M21">
        <v>3.1019999999999999</v>
      </c>
      <c r="N21">
        <v>3.1040000000000001</v>
      </c>
      <c r="O21">
        <v>3.1139999999999999</v>
      </c>
      <c r="P21">
        <v>3.0819999999999999</v>
      </c>
      <c r="Q21">
        <v>2.99</v>
      </c>
      <c r="R21">
        <v>2.9319999999999999</v>
      </c>
      <c r="S21" s="2">
        <v>45499</v>
      </c>
      <c r="T21">
        <v>3.3809999999999998</v>
      </c>
      <c r="U21">
        <v>3.3319999999999999</v>
      </c>
      <c r="V21">
        <v>3.2440000000000002</v>
      </c>
      <c r="W21">
        <v>3.1989999999999998</v>
      </c>
      <c r="X21">
        <v>3.1480000000000001</v>
      </c>
      <c r="Y21">
        <v>3.1160000000000001</v>
      </c>
      <c r="Z21">
        <v>3.1139999999999999</v>
      </c>
      <c r="AA21">
        <v>3.1019999999999999</v>
      </c>
      <c r="AB21">
        <v>3.109</v>
      </c>
      <c r="AC21">
        <v>3.1539999999999999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 s="2">
        <v>45499</v>
      </c>
      <c r="AK21">
        <v>3.3479999999999999</v>
      </c>
      <c r="AL21">
        <v>3.2639999999999998</v>
      </c>
      <c r="AM21">
        <v>3.2229999999999999</v>
      </c>
      <c r="AN21">
        <v>3.1680000000000001</v>
      </c>
      <c r="AO21">
        <v>3.1459999999999999</v>
      </c>
      <c r="AP21">
        <v>3.08</v>
      </c>
      <c r="AQ21">
        <v>3.089</v>
      </c>
      <c r="AR21">
        <v>3.0840000000000001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 spans="1:52">
      <c r="B22" s="2">
        <v>45498</v>
      </c>
      <c r="C22">
        <v>3.3780000000000001</v>
      </c>
      <c r="D22">
        <v>3.28</v>
      </c>
      <c r="E22">
        <v>3.2029999999999998</v>
      </c>
      <c r="F22">
        <v>3.1890000000000001</v>
      </c>
      <c r="G22">
        <v>3.1349999999999998</v>
      </c>
      <c r="H22">
        <v>3.0920000000000001</v>
      </c>
      <c r="I22">
        <v>3.048</v>
      </c>
      <c r="J22">
        <v>3.02</v>
      </c>
      <c r="K22">
        <v>3.0569999999999999</v>
      </c>
      <c r="L22">
        <v>3.052</v>
      </c>
      <c r="M22">
        <v>3.1160000000000001</v>
      </c>
      <c r="N22">
        <v>3.1219999999999999</v>
      </c>
      <c r="O22">
        <v>3.1259999999999999</v>
      </c>
      <c r="P22">
        <v>3.085</v>
      </c>
      <c r="Q22">
        <v>3</v>
      </c>
      <c r="R22">
        <v>2.9420000000000002</v>
      </c>
      <c r="S22" s="2">
        <v>45498</v>
      </c>
      <c r="T22">
        <v>3.3809999999999998</v>
      </c>
      <c r="U22">
        <v>3.3359999999999999</v>
      </c>
      <c r="V22">
        <v>3.2669999999999999</v>
      </c>
      <c r="W22">
        <v>3.22</v>
      </c>
      <c r="X22">
        <v>3.1459999999999999</v>
      </c>
      <c r="Y22">
        <v>3.12</v>
      </c>
      <c r="Z22">
        <v>3.1110000000000002</v>
      </c>
      <c r="AA22">
        <v>3.105</v>
      </c>
      <c r="AB22">
        <v>3.117</v>
      </c>
      <c r="AC22">
        <v>3.16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s="2">
        <v>45498</v>
      </c>
      <c r="AK22">
        <v>3.3479999999999999</v>
      </c>
      <c r="AL22">
        <v>3.2650000000000001</v>
      </c>
      <c r="AM22">
        <v>3.2280000000000002</v>
      </c>
      <c r="AN22">
        <v>3.1819999999999999</v>
      </c>
      <c r="AO22">
        <v>3.1480000000000001</v>
      </c>
      <c r="AP22">
        <v>3.0750000000000002</v>
      </c>
      <c r="AQ22">
        <v>3.089</v>
      </c>
      <c r="AR22">
        <v>3.0859999999999999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 spans="1:52">
      <c r="B23" s="2">
        <v>45497</v>
      </c>
      <c r="C23">
        <v>3.3780000000000001</v>
      </c>
      <c r="D23">
        <v>3.286</v>
      </c>
      <c r="E23">
        <v>3.214</v>
      </c>
      <c r="F23">
        <v>3.21</v>
      </c>
      <c r="G23">
        <v>3.1589999999999998</v>
      </c>
      <c r="H23">
        <v>3.1150000000000002</v>
      </c>
      <c r="I23">
        <v>3.0750000000000002</v>
      </c>
      <c r="J23">
        <v>3.0449999999999999</v>
      </c>
      <c r="K23">
        <v>3.085</v>
      </c>
      <c r="L23">
        <v>3.0739999999999998</v>
      </c>
      <c r="M23">
        <v>3.1320000000000001</v>
      </c>
      <c r="N23">
        <v>3.1320000000000001</v>
      </c>
      <c r="O23">
        <v>3.133</v>
      </c>
      <c r="P23">
        <v>3.0870000000000002</v>
      </c>
      <c r="Q23">
        <v>3.0049999999999999</v>
      </c>
      <c r="R23">
        <v>2.9470000000000001</v>
      </c>
      <c r="S23" s="2">
        <v>45497</v>
      </c>
      <c r="T23">
        <v>3.3809999999999998</v>
      </c>
      <c r="U23">
        <v>3.3439999999999999</v>
      </c>
      <c r="V23">
        <v>3.278</v>
      </c>
      <c r="W23">
        <v>3.242</v>
      </c>
      <c r="X23">
        <v>3.17</v>
      </c>
      <c r="Y23">
        <v>3.1429999999999998</v>
      </c>
      <c r="Z23">
        <v>3.1379999999999999</v>
      </c>
      <c r="AA23">
        <v>3.13</v>
      </c>
      <c r="AB23">
        <v>3.145</v>
      </c>
      <c r="AC23">
        <v>3.177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2">
        <v>45497</v>
      </c>
      <c r="AK23">
        <v>3.3530000000000002</v>
      </c>
      <c r="AL23">
        <v>3.2789999999999999</v>
      </c>
      <c r="AM23">
        <v>3.2429999999999999</v>
      </c>
      <c r="AN23">
        <v>3.2040000000000002</v>
      </c>
      <c r="AO23">
        <v>3.1739999999999999</v>
      </c>
      <c r="AP23">
        <v>3.0979999999999999</v>
      </c>
      <c r="AQ23">
        <v>3.1139999999999999</v>
      </c>
      <c r="AR23">
        <v>3.11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 spans="1:52">
      <c r="B24" s="2">
        <v>45496</v>
      </c>
      <c r="C24">
        <v>3.38</v>
      </c>
      <c r="D24">
        <v>3.2930000000000001</v>
      </c>
      <c r="E24">
        <v>3.22</v>
      </c>
      <c r="F24">
        <v>3.2240000000000002</v>
      </c>
      <c r="G24">
        <v>3.1829999999999998</v>
      </c>
      <c r="H24">
        <v>3.1429999999999998</v>
      </c>
      <c r="I24">
        <v>3.113</v>
      </c>
      <c r="J24">
        <v>3.0870000000000002</v>
      </c>
      <c r="K24">
        <v>3.1219999999999999</v>
      </c>
      <c r="L24">
        <v>3.1120000000000001</v>
      </c>
      <c r="M24">
        <v>3.1709999999999998</v>
      </c>
      <c r="N24">
        <v>3.1720000000000002</v>
      </c>
      <c r="O24">
        <v>3.1680000000000001</v>
      </c>
      <c r="P24">
        <v>3.117</v>
      </c>
      <c r="Q24">
        <v>3.0350000000000001</v>
      </c>
      <c r="R24">
        <v>2.9769999999999999</v>
      </c>
      <c r="S24" s="2">
        <v>45496</v>
      </c>
      <c r="T24">
        <v>3.383</v>
      </c>
      <c r="U24">
        <v>3.351</v>
      </c>
      <c r="V24">
        <v>3.2850000000000001</v>
      </c>
      <c r="W24">
        <v>3.2549999999999999</v>
      </c>
      <c r="X24">
        <v>3.194</v>
      </c>
      <c r="Y24">
        <v>3.1709999999999998</v>
      </c>
      <c r="Z24">
        <v>3.1779999999999999</v>
      </c>
      <c r="AA24">
        <v>3.1709999999999998</v>
      </c>
      <c r="AB24">
        <v>3.1829999999999998</v>
      </c>
      <c r="AC24">
        <v>3.2130000000000001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 s="2">
        <v>45496</v>
      </c>
      <c r="AK24">
        <v>3.355</v>
      </c>
      <c r="AL24">
        <v>3.2890000000000001</v>
      </c>
      <c r="AM24">
        <v>3.2629999999999999</v>
      </c>
      <c r="AN24">
        <v>3.2269999999999999</v>
      </c>
      <c r="AO24">
        <v>3.1840000000000002</v>
      </c>
      <c r="AP24">
        <v>3.1320000000000001</v>
      </c>
      <c r="AQ24">
        <v>3.1509999999999998</v>
      </c>
      <c r="AR24">
        <v>3.1520000000000001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 spans="1:52">
      <c r="B25" s="2">
        <v>45495</v>
      </c>
      <c r="C25">
        <v>3.3809999999999998</v>
      </c>
      <c r="D25">
        <v>3.2930000000000001</v>
      </c>
      <c r="E25">
        <v>3.2210000000000001</v>
      </c>
      <c r="F25">
        <v>3.23</v>
      </c>
      <c r="G25">
        <v>3.1789999999999998</v>
      </c>
      <c r="H25">
        <v>3.1259999999999999</v>
      </c>
      <c r="I25">
        <v>3.0950000000000002</v>
      </c>
      <c r="J25">
        <v>3.069</v>
      </c>
      <c r="K25">
        <v>3.1</v>
      </c>
      <c r="L25">
        <v>3.085</v>
      </c>
      <c r="M25">
        <v>3.1429999999999998</v>
      </c>
      <c r="N25">
        <v>3.1429999999999998</v>
      </c>
      <c r="O25">
        <v>3.141</v>
      </c>
      <c r="P25">
        <v>3.0950000000000002</v>
      </c>
      <c r="Q25">
        <v>3.0139999999999998</v>
      </c>
      <c r="R25">
        <v>2.956</v>
      </c>
      <c r="S25" s="2">
        <v>45495</v>
      </c>
      <c r="T25">
        <v>3.3849999999999998</v>
      </c>
      <c r="U25">
        <v>3.351</v>
      </c>
      <c r="V25">
        <v>3.286</v>
      </c>
      <c r="W25">
        <v>3.2610000000000001</v>
      </c>
      <c r="X25">
        <v>3.1859999999999999</v>
      </c>
      <c r="Y25">
        <v>3.1549999999999998</v>
      </c>
      <c r="Z25">
        <v>3.16</v>
      </c>
      <c r="AA25">
        <v>3.153</v>
      </c>
      <c r="AB25">
        <v>3.1619999999999999</v>
      </c>
      <c r="AC25">
        <v>3.1890000000000001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 s="2">
        <v>45495</v>
      </c>
      <c r="AK25">
        <v>3.36</v>
      </c>
      <c r="AL25">
        <v>3.2890000000000001</v>
      </c>
      <c r="AM25">
        <v>3.2669999999999999</v>
      </c>
      <c r="AN25">
        <v>3.2269999999999999</v>
      </c>
      <c r="AO25">
        <v>3.1640000000000001</v>
      </c>
      <c r="AP25">
        <v>3.1150000000000002</v>
      </c>
      <c r="AQ25">
        <v>3.1339999999999999</v>
      </c>
      <c r="AR25">
        <v>3.1339999999999999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 spans="1:52">
      <c r="B26" s="2">
        <v>45492</v>
      </c>
      <c r="C26">
        <v>3.3809999999999998</v>
      </c>
      <c r="D26">
        <v>3.2930000000000001</v>
      </c>
      <c r="E26">
        <v>3.2210000000000001</v>
      </c>
      <c r="F26">
        <v>3.2280000000000002</v>
      </c>
      <c r="G26">
        <v>3.1819999999999999</v>
      </c>
      <c r="H26">
        <v>3.137</v>
      </c>
      <c r="I26">
        <v>3.1</v>
      </c>
      <c r="J26">
        <v>3.0720000000000001</v>
      </c>
      <c r="K26">
        <v>3.1070000000000002</v>
      </c>
      <c r="L26">
        <v>3.0950000000000002</v>
      </c>
      <c r="M26">
        <v>3.153</v>
      </c>
      <c r="N26">
        <v>3.1520000000000001</v>
      </c>
      <c r="O26">
        <v>3.1509999999999998</v>
      </c>
      <c r="P26">
        <v>3.105</v>
      </c>
      <c r="Q26">
        <v>3.0249999999999999</v>
      </c>
      <c r="R26">
        <v>2.9670000000000001</v>
      </c>
      <c r="S26" s="2">
        <v>45492</v>
      </c>
      <c r="T26">
        <v>3.3849999999999998</v>
      </c>
      <c r="U26">
        <v>3.351</v>
      </c>
      <c r="V26">
        <v>3.286</v>
      </c>
      <c r="W26">
        <v>3.2629999999999999</v>
      </c>
      <c r="X26">
        <v>3.19</v>
      </c>
      <c r="Y26">
        <v>3.1659999999999999</v>
      </c>
      <c r="Z26">
        <v>3.165</v>
      </c>
      <c r="AA26">
        <v>3.157</v>
      </c>
      <c r="AB26">
        <v>3.1680000000000001</v>
      </c>
      <c r="AC26">
        <v>3.198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2">
        <v>45492</v>
      </c>
      <c r="AK26">
        <v>3.36</v>
      </c>
      <c r="AL26">
        <v>3.2890000000000001</v>
      </c>
      <c r="AM26">
        <v>3.2690000000000001</v>
      </c>
      <c r="AN26">
        <v>3.23</v>
      </c>
      <c r="AO26">
        <v>3.1680000000000001</v>
      </c>
      <c r="AP26">
        <v>3.1230000000000002</v>
      </c>
      <c r="AQ26">
        <v>3.14</v>
      </c>
      <c r="AR26">
        <v>3.14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 spans="1:52">
      <c r="B27" s="2">
        <v>45491</v>
      </c>
      <c r="C27">
        <v>3.3809999999999998</v>
      </c>
      <c r="D27">
        <v>3.2909999999999999</v>
      </c>
      <c r="E27">
        <v>3.2149999999999999</v>
      </c>
      <c r="F27">
        <v>3.2109999999999999</v>
      </c>
      <c r="G27">
        <v>3.1669999999999998</v>
      </c>
      <c r="H27">
        <v>3.1179999999999999</v>
      </c>
      <c r="I27">
        <v>3.085</v>
      </c>
      <c r="J27">
        <v>3.06</v>
      </c>
      <c r="K27">
        <v>3.0939999999999999</v>
      </c>
      <c r="L27">
        <v>3.0819999999999999</v>
      </c>
      <c r="M27">
        <v>3.137</v>
      </c>
      <c r="N27">
        <v>3.1349999999999998</v>
      </c>
      <c r="O27">
        <v>3.1349999999999998</v>
      </c>
      <c r="P27">
        <v>3.089</v>
      </c>
      <c r="Q27">
        <v>3.01</v>
      </c>
      <c r="R27">
        <v>2.952</v>
      </c>
      <c r="S27" s="2">
        <v>45491</v>
      </c>
      <c r="T27">
        <v>3.3849999999999998</v>
      </c>
      <c r="U27">
        <v>3.351</v>
      </c>
      <c r="V27">
        <v>3.2810000000000001</v>
      </c>
      <c r="W27">
        <v>3.246</v>
      </c>
      <c r="X27">
        <v>3.1749999999999998</v>
      </c>
      <c r="Y27">
        <v>3.1509999999999998</v>
      </c>
      <c r="Z27">
        <v>3.1509999999999998</v>
      </c>
      <c r="AA27">
        <v>3.1440000000000001</v>
      </c>
      <c r="AB27">
        <v>3.1549999999999998</v>
      </c>
      <c r="AC27">
        <v>3.18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 s="2">
        <v>45491</v>
      </c>
      <c r="AK27">
        <v>3.3660000000000001</v>
      </c>
      <c r="AL27">
        <v>3.2890000000000001</v>
      </c>
      <c r="AM27">
        <v>3.2690000000000001</v>
      </c>
      <c r="AN27">
        <v>3.222</v>
      </c>
      <c r="AO27">
        <v>3.15</v>
      </c>
      <c r="AP27">
        <v>3.11</v>
      </c>
      <c r="AQ27">
        <v>3.1269999999999998</v>
      </c>
      <c r="AR27">
        <v>3.125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 spans="1:52">
      <c r="B28" s="2">
        <v>45490</v>
      </c>
      <c r="C28">
        <v>3.38</v>
      </c>
      <c r="D28">
        <v>3.286</v>
      </c>
      <c r="E28">
        <v>3.2080000000000002</v>
      </c>
      <c r="F28">
        <v>3.2010000000000001</v>
      </c>
      <c r="G28">
        <v>3.1579999999999999</v>
      </c>
      <c r="H28">
        <v>3.1110000000000002</v>
      </c>
      <c r="I28">
        <v>3.0779999999999998</v>
      </c>
      <c r="J28">
        <v>3.0529999999999999</v>
      </c>
      <c r="K28">
        <v>3.0870000000000002</v>
      </c>
      <c r="L28">
        <v>3.0739999999999998</v>
      </c>
      <c r="M28">
        <v>3.1349999999999998</v>
      </c>
      <c r="N28">
        <v>3.14</v>
      </c>
      <c r="O28">
        <v>3.145</v>
      </c>
      <c r="P28">
        <v>3.1019999999999999</v>
      </c>
      <c r="Q28">
        <v>3.0249999999999999</v>
      </c>
      <c r="R28">
        <v>2.9670000000000001</v>
      </c>
      <c r="S28" s="2">
        <v>45490</v>
      </c>
      <c r="T28">
        <v>3.383</v>
      </c>
      <c r="U28">
        <v>3.3460000000000001</v>
      </c>
      <c r="V28">
        <v>3.274</v>
      </c>
      <c r="W28">
        <v>3.2349999999999999</v>
      </c>
      <c r="X28">
        <v>3.1669999999999998</v>
      </c>
      <c r="Y28">
        <v>3.1480000000000001</v>
      </c>
      <c r="Z28">
        <v>3.1480000000000001</v>
      </c>
      <c r="AA28">
        <v>3.14</v>
      </c>
      <c r="AB28">
        <v>3.1509999999999998</v>
      </c>
      <c r="AC28">
        <v>3.1739999999999999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 s="2">
        <v>45490</v>
      </c>
      <c r="AK28">
        <v>3.363</v>
      </c>
      <c r="AL28">
        <v>3.282</v>
      </c>
      <c r="AM28">
        <v>3.26</v>
      </c>
      <c r="AN28">
        <v>3.1960000000000002</v>
      </c>
      <c r="AO28">
        <v>3.141</v>
      </c>
      <c r="AP28">
        <v>3.11</v>
      </c>
      <c r="AQ28">
        <v>3.1219999999999999</v>
      </c>
      <c r="AR28">
        <v>3.1190000000000002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 spans="1:52">
      <c r="B29" s="2">
        <v>45489</v>
      </c>
      <c r="C29">
        <v>3.3759999999999999</v>
      </c>
      <c r="D29">
        <v>3.278</v>
      </c>
      <c r="E29">
        <v>3.198</v>
      </c>
      <c r="F29">
        <v>3.19</v>
      </c>
      <c r="G29">
        <v>3.137</v>
      </c>
      <c r="H29">
        <v>3.0950000000000002</v>
      </c>
      <c r="I29">
        <v>3.06</v>
      </c>
      <c r="J29">
        <v>3.0350000000000001</v>
      </c>
      <c r="K29">
        <v>3.07</v>
      </c>
      <c r="L29">
        <v>3.06</v>
      </c>
      <c r="M29">
        <v>3.1280000000000001</v>
      </c>
      <c r="N29">
        <v>3.137</v>
      </c>
      <c r="O29">
        <v>3.1440000000000001</v>
      </c>
      <c r="P29">
        <v>3.1030000000000002</v>
      </c>
      <c r="Q29">
        <v>3.03</v>
      </c>
      <c r="R29">
        <v>2.972</v>
      </c>
      <c r="S29" s="2">
        <v>45489</v>
      </c>
      <c r="T29">
        <v>3.38</v>
      </c>
      <c r="U29">
        <v>3.3420000000000001</v>
      </c>
      <c r="V29">
        <v>3.2709999999999999</v>
      </c>
      <c r="W29">
        <v>3.2250000000000001</v>
      </c>
      <c r="X29">
        <v>3.1480000000000001</v>
      </c>
      <c r="Y29">
        <v>3.1309999999999998</v>
      </c>
      <c r="Z29">
        <v>3.1309999999999998</v>
      </c>
      <c r="AA29">
        <v>3.125</v>
      </c>
      <c r="AB29">
        <v>3.1339999999999999</v>
      </c>
      <c r="AC29">
        <v>3.1640000000000001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s="2">
        <v>45489</v>
      </c>
      <c r="AK29">
        <v>3.363</v>
      </c>
      <c r="AL29">
        <v>3.2789999999999999</v>
      </c>
      <c r="AM29">
        <v>3.2570000000000001</v>
      </c>
      <c r="AN29">
        <v>3.1859999999999999</v>
      </c>
      <c r="AO29">
        <v>3.1259999999999999</v>
      </c>
      <c r="AP29">
        <v>3.0870000000000002</v>
      </c>
      <c r="AQ29">
        <v>3.1030000000000002</v>
      </c>
      <c r="AR29">
        <v>3.1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 spans="1:52">
      <c r="B30" s="2">
        <v>45488</v>
      </c>
      <c r="C30">
        <v>3.3780000000000001</v>
      </c>
      <c r="D30">
        <v>3.2829999999999999</v>
      </c>
      <c r="E30">
        <v>3.2090000000000001</v>
      </c>
      <c r="F30">
        <v>3.1949999999999998</v>
      </c>
      <c r="G30">
        <v>3.1549999999999998</v>
      </c>
      <c r="H30">
        <v>3.13</v>
      </c>
      <c r="I30">
        <v>3.0950000000000002</v>
      </c>
      <c r="J30">
        <v>3.0720000000000001</v>
      </c>
      <c r="K30">
        <v>3.1080000000000001</v>
      </c>
      <c r="L30">
        <v>3.097</v>
      </c>
      <c r="M30">
        <v>3.1659999999999999</v>
      </c>
      <c r="N30">
        <v>3.1749999999999998</v>
      </c>
      <c r="O30">
        <v>3.1840000000000002</v>
      </c>
      <c r="P30">
        <v>3.145</v>
      </c>
      <c r="Q30">
        <v>3.0670000000000002</v>
      </c>
      <c r="R30">
        <v>3.01</v>
      </c>
      <c r="S30" s="2">
        <v>45488</v>
      </c>
      <c r="T30">
        <v>3.3809999999999998</v>
      </c>
      <c r="U30">
        <v>3.347</v>
      </c>
      <c r="V30">
        <v>3.2829999999999999</v>
      </c>
      <c r="W30">
        <v>3.2349999999999999</v>
      </c>
      <c r="X30">
        <v>3.1709999999999998</v>
      </c>
      <c r="Y30">
        <v>3.17</v>
      </c>
      <c r="Z30">
        <v>3.1680000000000001</v>
      </c>
      <c r="AA30">
        <v>3.1640000000000001</v>
      </c>
      <c r="AB30">
        <v>3.1720000000000002</v>
      </c>
      <c r="AC30">
        <v>3.2029999999999998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s="2">
        <v>45488</v>
      </c>
      <c r="AK30">
        <v>3.367</v>
      </c>
      <c r="AL30">
        <v>3.282</v>
      </c>
      <c r="AM30">
        <v>3.2690000000000001</v>
      </c>
      <c r="AN30">
        <v>3.198</v>
      </c>
      <c r="AO30">
        <v>3.1469999999999998</v>
      </c>
      <c r="AP30">
        <v>3.125</v>
      </c>
      <c r="AQ30">
        <v>3.14</v>
      </c>
      <c r="AR30">
        <v>3.133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 spans="1:52">
      <c r="B31" s="2">
        <v>45485</v>
      </c>
      <c r="C31">
        <v>3.3809999999999998</v>
      </c>
      <c r="D31">
        <v>3.286</v>
      </c>
      <c r="E31">
        <v>3.2109999999999999</v>
      </c>
      <c r="F31">
        <v>3.194</v>
      </c>
      <c r="G31">
        <v>3.165</v>
      </c>
      <c r="H31">
        <v>3.1509999999999998</v>
      </c>
      <c r="I31">
        <v>3.117</v>
      </c>
      <c r="J31">
        <v>3.093</v>
      </c>
      <c r="K31">
        <v>3.121</v>
      </c>
      <c r="L31">
        <v>3.1040000000000001</v>
      </c>
      <c r="M31">
        <v>3.1659999999999999</v>
      </c>
      <c r="N31">
        <v>3.1669999999999998</v>
      </c>
      <c r="O31">
        <v>3.177</v>
      </c>
      <c r="P31">
        <v>3.1389999999999998</v>
      </c>
      <c r="Q31">
        <v>3.0579999999999998</v>
      </c>
      <c r="R31">
        <v>3.0009999999999999</v>
      </c>
      <c r="S31" s="2">
        <v>45485</v>
      </c>
      <c r="T31">
        <v>3.3849999999999998</v>
      </c>
      <c r="U31">
        <v>3.351</v>
      </c>
      <c r="V31">
        <v>3.286</v>
      </c>
      <c r="W31">
        <v>3.234</v>
      </c>
      <c r="X31">
        <v>3.181</v>
      </c>
      <c r="Y31">
        <v>3.1920000000000002</v>
      </c>
      <c r="Z31">
        <v>3.19</v>
      </c>
      <c r="AA31">
        <v>3.1850000000000001</v>
      </c>
      <c r="AB31">
        <v>3.1869999999999998</v>
      </c>
      <c r="AC31">
        <v>3.2090000000000001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s="2">
        <v>45485</v>
      </c>
      <c r="AK31">
        <v>3.367</v>
      </c>
      <c r="AL31">
        <v>3.282</v>
      </c>
      <c r="AM31">
        <v>3.2690000000000001</v>
      </c>
      <c r="AN31">
        <v>3.2029999999999998</v>
      </c>
      <c r="AO31">
        <v>3.1640000000000001</v>
      </c>
      <c r="AP31">
        <v>3.1429999999999998</v>
      </c>
      <c r="AQ31">
        <v>3.1619999999999999</v>
      </c>
      <c r="AR31">
        <v>3.1549999999999998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 spans="1:52">
      <c r="B32" s="2">
        <v>45484</v>
      </c>
      <c r="C32">
        <v>3.3839999999999999</v>
      </c>
      <c r="D32">
        <v>3.29</v>
      </c>
      <c r="E32">
        <v>3.2490000000000001</v>
      </c>
      <c r="F32">
        <v>3.226</v>
      </c>
      <c r="G32">
        <v>3.21</v>
      </c>
      <c r="H32">
        <v>3.2069999999999999</v>
      </c>
      <c r="I32">
        <v>3.1850000000000001</v>
      </c>
      <c r="J32">
        <v>3.1579999999999999</v>
      </c>
      <c r="K32">
        <v>3.1909999999999998</v>
      </c>
      <c r="L32">
        <v>3.17</v>
      </c>
      <c r="M32">
        <v>3.2280000000000002</v>
      </c>
      <c r="N32">
        <v>3.222</v>
      </c>
      <c r="O32">
        <v>3.2309999999999999</v>
      </c>
      <c r="P32">
        <v>3.1920000000000002</v>
      </c>
      <c r="Q32">
        <v>3.11</v>
      </c>
      <c r="R32">
        <v>3.08</v>
      </c>
      <c r="S32" s="2">
        <v>45484</v>
      </c>
      <c r="T32">
        <v>3.387</v>
      </c>
      <c r="U32">
        <v>3.355</v>
      </c>
      <c r="V32">
        <v>3.3149999999999999</v>
      </c>
      <c r="W32">
        <v>3.2610000000000001</v>
      </c>
      <c r="X32">
        <v>3.2269999999999999</v>
      </c>
      <c r="Y32">
        <v>3.2480000000000002</v>
      </c>
      <c r="Z32">
        <v>3.2549999999999999</v>
      </c>
      <c r="AA32">
        <v>3.2490000000000001</v>
      </c>
      <c r="AB32">
        <v>3.2559999999999998</v>
      </c>
      <c r="AC32">
        <v>3.27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s="2">
        <v>45484</v>
      </c>
      <c r="AK32">
        <v>3.37</v>
      </c>
      <c r="AL32">
        <v>3.2879999999999998</v>
      </c>
      <c r="AM32">
        <v>3.2759999999999998</v>
      </c>
      <c r="AN32">
        <v>3.222</v>
      </c>
      <c r="AO32">
        <v>3.2080000000000002</v>
      </c>
      <c r="AP32">
        <v>3.2</v>
      </c>
      <c r="AQ32">
        <v>3.2250000000000001</v>
      </c>
      <c r="AR32">
        <v>3.2189999999999999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 spans="2:52">
      <c r="B33" s="2">
        <v>45483</v>
      </c>
      <c r="C33">
        <v>3.363</v>
      </c>
      <c r="D33">
        <v>3.2629999999999999</v>
      </c>
      <c r="E33">
        <v>3.2210000000000001</v>
      </c>
      <c r="F33">
        <v>3.1989999999999998</v>
      </c>
      <c r="G33">
        <v>3.18</v>
      </c>
      <c r="H33">
        <v>3.1549999999999998</v>
      </c>
      <c r="I33">
        <v>3.14</v>
      </c>
      <c r="J33">
        <v>3.117</v>
      </c>
      <c r="K33">
        <v>3.1520000000000001</v>
      </c>
      <c r="L33">
        <v>3.1339999999999999</v>
      </c>
      <c r="M33">
        <v>3.1970000000000001</v>
      </c>
      <c r="N33">
        <v>3.1949999999999998</v>
      </c>
      <c r="O33">
        <v>3.2050000000000001</v>
      </c>
      <c r="P33">
        <v>3.17</v>
      </c>
      <c r="Q33">
        <v>3.0950000000000002</v>
      </c>
      <c r="R33">
        <v>3.0649999999999999</v>
      </c>
      <c r="S33" s="2">
        <v>45483</v>
      </c>
      <c r="T33">
        <v>3.3660000000000001</v>
      </c>
      <c r="U33">
        <v>3.331</v>
      </c>
      <c r="V33">
        <v>3.2890000000000001</v>
      </c>
      <c r="W33">
        <v>3.2349999999999999</v>
      </c>
      <c r="X33">
        <v>3.1970000000000001</v>
      </c>
      <c r="Y33">
        <v>3.198</v>
      </c>
      <c r="Z33">
        <v>3.21</v>
      </c>
      <c r="AA33">
        <v>3.2080000000000002</v>
      </c>
      <c r="AB33">
        <v>3.2170000000000001</v>
      </c>
      <c r="AC33">
        <v>3.2349999999999999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s="2">
        <v>45483</v>
      </c>
      <c r="AK33">
        <v>3.3559999999999999</v>
      </c>
      <c r="AL33">
        <v>3.2650000000000001</v>
      </c>
      <c r="AM33">
        <v>3.25</v>
      </c>
      <c r="AN33">
        <v>3.1880000000000002</v>
      </c>
      <c r="AO33">
        <v>3.1619999999999999</v>
      </c>
      <c r="AP33">
        <v>3.1509999999999998</v>
      </c>
      <c r="AQ33">
        <v>3.18</v>
      </c>
      <c r="AR33">
        <v>3.1749999999999998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 spans="2:52">
      <c r="B34" s="2">
        <v>45482</v>
      </c>
      <c r="C34">
        <v>3.3610000000000002</v>
      </c>
      <c r="D34">
        <v>3.2610000000000001</v>
      </c>
      <c r="E34">
        <v>3.218</v>
      </c>
      <c r="F34">
        <v>3.1970000000000001</v>
      </c>
      <c r="G34">
        <v>3.173</v>
      </c>
      <c r="H34">
        <v>3.1549999999999998</v>
      </c>
      <c r="I34">
        <v>3.1440000000000001</v>
      </c>
      <c r="J34">
        <v>3.12</v>
      </c>
      <c r="K34">
        <v>3.15</v>
      </c>
      <c r="L34">
        <v>3.14</v>
      </c>
      <c r="M34">
        <v>3.202</v>
      </c>
      <c r="N34">
        <v>3.2</v>
      </c>
      <c r="O34">
        <v>3.21</v>
      </c>
      <c r="P34">
        <v>3.1739999999999999</v>
      </c>
      <c r="Q34">
        <v>3.1059999999999999</v>
      </c>
      <c r="R34">
        <v>3.0760000000000001</v>
      </c>
      <c r="S34" s="2">
        <v>45482</v>
      </c>
      <c r="T34">
        <v>3.3660000000000001</v>
      </c>
      <c r="U34">
        <v>3.331</v>
      </c>
      <c r="V34">
        <v>3.2869999999999999</v>
      </c>
      <c r="W34">
        <v>3.234</v>
      </c>
      <c r="X34">
        <v>3.1920000000000002</v>
      </c>
      <c r="Y34">
        <v>3.198</v>
      </c>
      <c r="Z34">
        <v>3.2149999999999999</v>
      </c>
      <c r="AA34">
        <v>3.2109999999999999</v>
      </c>
      <c r="AB34">
        <v>3.2170000000000001</v>
      </c>
      <c r="AC34">
        <v>3.24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s="2">
        <v>45482</v>
      </c>
      <c r="AK34">
        <v>3.351</v>
      </c>
      <c r="AL34">
        <v>3.2570000000000001</v>
      </c>
      <c r="AM34">
        <v>3.2440000000000002</v>
      </c>
      <c r="AN34">
        <v>3.1760000000000002</v>
      </c>
      <c r="AO34">
        <v>3.16</v>
      </c>
      <c r="AP34">
        <v>3.1429999999999998</v>
      </c>
      <c r="AQ34">
        <v>3.1720000000000002</v>
      </c>
      <c r="AR34">
        <v>3.173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 spans="2:52">
      <c r="B35" s="2">
        <v>45481</v>
      </c>
      <c r="C35">
        <v>3.3650000000000002</v>
      </c>
      <c r="D35">
        <v>3.2610000000000001</v>
      </c>
      <c r="E35">
        <v>3.218</v>
      </c>
      <c r="F35">
        <v>3.2</v>
      </c>
      <c r="G35">
        <v>3.173</v>
      </c>
      <c r="H35">
        <v>3.1619999999999999</v>
      </c>
      <c r="I35">
        <v>3.1440000000000001</v>
      </c>
      <c r="J35">
        <v>3.12</v>
      </c>
      <c r="K35">
        <v>3.153</v>
      </c>
      <c r="L35">
        <v>3.1419999999999999</v>
      </c>
      <c r="M35">
        <v>3.2080000000000002</v>
      </c>
      <c r="N35">
        <v>3.21</v>
      </c>
      <c r="O35">
        <v>3.22</v>
      </c>
      <c r="P35">
        <v>3.18</v>
      </c>
      <c r="Q35">
        <v>3.113</v>
      </c>
      <c r="R35">
        <v>3.0830000000000002</v>
      </c>
      <c r="S35" s="2">
        <v>45481</v>
      </c>
      <c r="T35">
        <v>3.3759999999999999</v>
      </c>
      <c r="U35">
        <v>3.3410000000000002</v>
      </c>
      <c r="V35">
        <v>3.2909999999999999</v>
      </c>
      <c r="W35">
        <v>3.24</v>
      </c>
      <c r="X35">
        <v>3.1920000000000002</v>
      </c>
      <c r="Y35">
        <v>3.206</v>
      </c>
      <c r="Z35">
        <v>3.22</v>
      </c>
      <c r="AA35">
        <v>3.214</v>
      </c>
      <c r="AB35">
        <v>3.22</v>
      </c>
      <c r="AC35">
        <v>3.2410000000000001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 s="2">
        <v>45481</v>
      </c>
      <c r="AK35">
        <v>3.355</v>
      </c>
      <c r="AL35">
        <v>3.26</v>
      </c>
      <c r="AM35">
        <v>3.2469999999999999</v>
      </c>
      <c r="AN35">
        <v>3.18</v>
      </c>
      <c r="AO35">
        <v>3.161</v>
      </c>
      <c r="AP35">
        <v>3.1419999999999999</v>
      </c>
      <c r="AQ35">
        <v>3.1720000000000002</v>
      </c>
      <c r="AR35">
        <v>3.1749999999999998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 spans="2:52">
      <c r="B36" s="2">
        <v>45478</v>
      </c>
      <c r="C36">
        <v>3.37</v>
      </c>
      <c r="D36">
        <v>3.2629999999999999</v>
      </c>
      <c r="E36">
        <v>3.2290000000000001</v>
      </c>
      <c r="F36">
        <v>3.21</v>
      </c>
      <c r="G36">
        <v>3.1680000000000001</v>
      </c>
      <c r="H36">
        <v>3.145</v>
      </c>
      <c r="I36">
        <v>3.1349999999999998</v>
      </c>
      <c r="J36">
        <v>3.1150000000000002</v>
      </c>
      <c r="K36">
        <v>3.1549999999999998</v>
      </c>
      <c r="L36">
        <v>3.1469999999999998</v>
      </c>
      <c r="M36">
        <v>3.2130000000000001</v>
      </c>
      <c r="N36">
        <v>3.2149999999999999</v>
      </c>
      <c r="O36">
        <v>3.2210000000000001</v>
      </c>
      <c r="P36">
        <v>3.177</v>
      </c>
      <c r="Q36">
        <v>3.1120000000000001</v>
      </c>
      <c r="R36">
        <v>3.0819999999999999</v>
      </c>
      <c r="S36" s="2">
        <v>45478</v>
      </c>
      <c r="T36">
        <v>3.3809999999999998</v>
      </c>
      <c r="U36">
        <v>3.347</v>
      </c>
      <c r="V36">
        <v>3.3029999999999999</v>
      </c>
      <c r="W36">
        <v>3.25</v>
      </c>
      <c r="X36">
        <v>3.1909999999999998</v>
      </c>
      <c r="Y36">
        <v>3.19</v>
      </c>
      <c r="Z36">
        <v>3.2120000000000002</v>
      </c>
      <c r="AA36">
        <v>3.2080000000000002</v>
      </c>
      <c r="AB36">
        <v>3.222</v>
      </c>
      <c r="AC36">
        <v>3.2469999999999999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s="2">
        <v>45478</v>
      </c>
      <c r="AK36">
        <v>3.37</v>
      </c>
      <c r="AL36">
        <v>3.2719999999999998</v>
      </c>
      <c r="AM36">
        <v>3.262</v>
      </c>
      <c r="AN36">
        <v>3.1920000000000002</v>
      </c>
      <c r="AO36">
        <v>3.1589999999999998</v>
      </c>
      <c r="AP36">
        <v>3.13</v>
      </c>
      <c r="AQ36">
        <v>3.1640000000000001</v>
      </c>
      <c r="AR36">
        <v>3.17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 spans="2:52">
      <c r="B37" s="2">
        <v>45477</v>
      </c>
      <c r="C37">
        <v>3.3759999999999999</v>
      </c>
      <c r="D37">
        <v>3.266</v>
      </c>
      <c r="E37">
        <v>3.2360000000000002</v>
      </c>
      <c r="F37">
        <v>3.2130000000000001</v>
      </c>
      <c r="G37">
        <v>3.177</v>
      </c>
      <c r="H37">
        <v>3.15</v>
      </c>
      <c r="I37">
        <v>3.145</v>
      </c>
      <c r="J37">
        <v>3.1219999999999999</v>
      </c>
      <c r="K37">
        <v>3.1659999999999999</v>
      </c>
      <c r="L37">
        <v>3.16</v>
      </c>
      <c r="M37">
        <v>3.2280000000000002</v>
      </c>
      <c r="N37">
        <v>3.2349999999999999</v>
      </c>
      <c r="O37">
        <v>3.246</v>
      </c>
      <c r="P37">
        <v>3.2069999999999999</v>
      </c>
      <c r="Q37">
        <v>3.1469999999999998</v>
      </c>
      <c r="R37">
        <v>3.117</v>
      </c>
      <c r="S37" s="2">
        <v>45477</v>
      </c>
      <c r="T37">
        <v>3.3879999999999999</v>
      </c>
      <c r="U37">
        <v>3.3559999999999999</v>
      </c>
      <c r="V37">
        <v>3.3119999999999998</v>
      </c>
      <c r="W37">
        <v>3.258</v>
      </c>
      <c r="X37">
        <v>3.2029999999999998</v>
      </c>
      <c r="Y37">
        <v>3.198</v>
      </c>
      <c r="Z37">
        <v>3.2269999999999999</v>
      </c>
      <c r="AA37">
        <v>3.2229999999999999</v>
      </c>
      <c r="AB37">
        <v>3.238</v>
      </c>
      <c r="AC37">
        <v>3.2629999999999999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s="2">
        <v>45477</v>
      </c>
      <c r="AK37">
        <v>3.375</v>
      </c>
      <c r="AL37">
        <v>3.2879999999999998</v>
      </c>
      <c r="AM37">
        <v>3.2679999999999998</v>
      </c>
      <c r="AN37">
        <v>3.2</v>
      </c>
      <c r="AO37">
        <v>3.169</v>
      </c>
      <c r="AP37">
        <v>3.1349999999999998</v>
      </c>
      <c r="AQ37">
        <v>3.173</v>
      </c>
      <c r="AR37">
        <v>3.18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 spans="2:52">
      <c r="B38" s="2">
        <v>45476</v>
      </c>
      <c r="C38">
        <v>3.3959999999999999</v>
      </c>
      <c r="D38">
        <v>3.2810000000000001</v>
      </c>
      <c r="E38">
        <v>3.262</v>
      </c>
      <c r="F38">
        <v>3.2429999999999999</v>
      </c>
      <c r="G38">
        <v>3.2090000000000001</v>
      </c>
      <c r="H38">
        <v>3.194</v>
      </c>
      <c r="I38">
        <v>3.18</v>
      </c>
      <c r="J38">
        <v>3.16</v>
      </c>
      <c r="K38">
        <v>3.1970000000000001</v>
      </c>
      <c r="L38">
        <v>3.1920000000000002</v>
      </c>
      <c r="M38">
        <v>3.2629999999999999</v>
      </c>
      <c r="N38">
        <v>3.2749999999999999</v>
      </c>
      <c r="O38">
        <v>3.2810000000000001</v>
      </c>
      <c r="P38">
        <v>3.2370000000000001</v>
      </c>
      <c r="Q38">
        <v>3.1760000000000002</v>
      </c>
      <c r="R38">
        <v>3.1459999999999999</v>
      </c>
      <c r="S38" s="2">
        <v>45476</v>
      </c>
      <c r="T38">
        <v>3.4049999999999998</v>
      </c>
      <c r="U38">
        <v>3.3839999999999999</v>
      </c>
      <c r="V38">
        <v>3.3359999999999999</v>
      </c>
      <c r="W38">
        <v>3.2879999999999998</v>
      </c>
      <c r="X38">
        <v>3.2349999999999999</v>
      </c>
      <c r="Y38">
        <v>3.238</v>
      </c>
      <c r="Z38">
        <v>3.262</v>
      </c>
      <c r="AA38">
        <v>3.2610000000000001</v>
      </c>
      <c r="AB38">
        <v>3.2719999999999998</v>
      </c>
      <c r="AC38">
        <v>3.2959999999999998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 s="2">
        <v>45476</v>
      </c>
      <c r="AK38">
        <v>3.4</v>
      </c>
      <c r="AL38">
        <v>3.327</v>
      </c>
      <c r="AM38">
        <v>3.3</v>
      </c>
      <c r="AN38">
        <v>3.24</v>
      </c>
      <c r="AO38">
        <v>3.2130000000000001</v>
      </c>
      <c r="AP38">
        <v>3.1850000000000001</v>
      </c>
      <c r="AQ38">
        <v>3.2120000000000002</v>
      </c>
      <c r="AR38">
        <v>3.218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 spans="2:52">
      <c r="B39" s="2">
        <v>45475</v>
      </c>
      <c r="C39">
        <v>3.4060000000000001</v>
      </c>
      <c r="D39">
        <v>3.2959999999999998</v>
      </c>
      <c r="E39">
        <v>3.2810000000000001</v>
      </c>
      <c r="F39">
        <v>3.2559999999999998</v>
      </c>
      <c r="G39">
        <v>3.218</v>
      </c>
      <c r="H39">
        <v>3.1949999999999998</v>
      </c>
      <c r="I39">
        <v>3.1850000000000001</v>
      </c>
      <c r="J39">
        <v>3.165</v>
      </c>
      <c r="K39">
        <v>3.1949999999999998</v>
      </c>
      <c r="L39">
        <v>3.1920000000000002</v>
      </c>
      <c r="M39">
        <v>3.266</v>
      </c>
      <c r="N39">
        <v>3.28</v>
      </c>
      <c r="O39">
        <v>3.286</v>
      </c>
      <c r="P39">
        <v>3.242</v>
      </c>
      <c r="Q39">
        <v>3.1819999999999999</v>
      </c>
      <c r="R39">
        <v>3.1520000000000001</v>
      </c>
      <c r="S39" s="2">
        <v>45475</v>
      </c>
      <c r="T39">
        <v>3.4209999999999998</v>
      </c>
      <c r="U39">
        <v>3.399</v>
      </c>
      <c r="V39">
        <v>3.3559999999999999</v>
      </c>
      <c r="W39">
        <v>3.3010000000000002</v>
      </c>
      <c r="X39">
        <v>3.2440000000000002</v>
      </c>
      <c r="Y39">
        <v>3.242</v>
      </c>
      <c r="Z39">
        <v>3.2690000000000001</v>
      </c>
      <c r="AA39">
        <v>3.2690000000000001</v>
      </c>
      <c r="AB39">
        <v>3.27</v>
      </c>
      <c r="AC39">
        <v>3.3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 s="2">
        <v>45475</v>
      </c>
      <c r="AK39">
        <v>3.42</v>
      </c>
      <c r="AL39">
        <v>3.3620000000000001</v>
      </c>
      <c r="AM39">
        <v>3.319</v>
      </c>
      <c r="AN39">
        <v>3.274</v>
      </c>
      <c r="AO39">
        <v>3.23</v>
      </c>
      <c r="AP39">
        <v>3.2050000000000001</v>
      </c>
      <c r="AQ39">
        <v>3.226</v>
      </c>
      <c r="AR39">
        <v>3.23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 spans="2:52">
      <c r="B40" s="2">
        <v>45474</v>
      </c>
      <c r="C40">
        <v>3.42</v>
      </c>
      <c r="D40">
        <v>3.3210000000000002</v>
      </c>
      <c r="E40">
        <v>3.31</v>
      </c>
      <c r="F40">
        <v>3.29</v>
      </c>
      <c r="G40">
        <v>3.2650000000000001</v>
      </c>
      <c r="H40">
        <v>3.2570000000000001</v>
      </c>
      <c r="I40">
        <v>3.24</v>
      </c>
      <c r="J40">
        <v>3.2069999999999999</v>
      </c>
      <c r="K40">
        <v>3.2450000000000001</v>
      </c>
      <c r="L40">
        <v>3.2349999999999999</v>
      </c>
      <c r="M40">
        <v>3.3039999999999998</v>
      </c>
      <c r="N40">
        <v>3.3069999999999999</v>
      </c>
      <c r="O40">
        <v>3.3109999999999999</v>
      </c>
      <c r="P40">
        <v>3.2650000000000001</v>
      </c>
      <c r="Q40">
        <v>3.2050000000000001</v>
      </c>
      <c r="R40">
        <v>3.1749999999999998</v>
      </c>
      <c r="S40" s="2">
        <v>45474</v>
      </c>
      <c r="T40">
        <v>3.4350000000000001</v>
      </c>
      <c r="U40">
        <v>3.4239999999999999</v>
      </c>
      <c r="V40">
        <v>3.3860000000000001</v>
      </c>
      <c r="W40">
        <v>3.3370000000000002</v>
      </c>
      <c r="X40">
        <v>3.2919999999999998</v>
      </c>
      <c r="Y40">
        <v>3.3010000000000002</v>
      </c>
      <c r="Z40">
        <v>3.3239999999999998</v>
      </c>
      <c r="AA40">
        <v>3.3109999999999999</v>
      </c>
      <c r="AB40">
        <v>3.32</v>
      </c>
      <c r="AC40">
        <v>3.3450000000000002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 s="2">
        <v>45474</v>
      </c>
      <c r="AK40">
        <v>3.45</v>
      </c>
      <c r="AL40">
        <v>3.399</v>
      </c>
      <c r="AM40">
        <v>3.363</v>
      </c>
      <c r="AN40">
        <v>3.3159999999999998</v>
      </c>
      <c r="AO40">
        <v>3.2839999999999998</v>
      </c>
      <c r="AP40">
        <v>3.2570000000000001</v>
      </c>
      <c r="AQ40">
        <v>3.2770000000000001</v>
      </c>
      <c r="AR40">
        <v>3.2789999999999999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 spans="2:52">
      <c r="B41" s="2">
        <v>45471</v>
      </c>
      <c r="C41">
        <v>3.42</v>
      </c>
      <c r="D41">
        <v>3.323</v>
      </c>
      <c r="E41">
        <v>3.3149999999999999</v>
      </c>
      <c r="F41">
        <v>3.2930000000000001</v>
      </c>
      <c r="G41">
        <v>3.262</v>
      </c>
      <c r="H41">
        <v>3.2349999999999999</v>
      </c>
      <c r="I41">
        <v>3.214</v>
      </c>
      <c r="J41">
        <v>3.177</v>
      </c>
      <c r="K41">
        <v>3.2120000000000002</v>
      </c>
      <c r="L41">
        <v>3.1949999999999998</v>
      </c>
      <c r="M41">
        <v>3.2610000000000001</v>
      </c>
      <c r="N41">
        <v>3.26</v>
      </c>
      <c r="O41">
        <v>3.2759999999999998</v>
      </c>
      <c r="P41">
        <v>3.2429999999999999</v>
      </c>
      <c r="Q41">
        <v>3.1970000000000001</v>
      </c>
      <c r="R41">
        <v>3.1669999999999998</v>
      </c>
      <c r="S41" s="2">
        <v>45471</v>
      </c>
      <c r="T41">
        <v>3.4350000000000001</v>
      </c>
      <c r="U41">
        <v>3.4260000000000002</v>
      </c>
      <c r="V41">
        <v>3.3879999999999999</v>
      </c>
      <c r="W41">
        <v>3.34</v>
      </c>
      <c r="X41">
        <v>3.2839999999999998</v>
      </c>
      <c r="Y41">
        <v>3.2789999999999999</v>
      </c>
      <c r="Z41">
        <v>3.298</v>
      </c>
      <c r="AA41">
        <v>3.2810000000000001</v>
      </c>
      <c r="AB41">
        <v>3.2869999999999999</v>
      </c>
      <c r="AC41">
        <v>3.3050000000000002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 s="2">
        <v>45471</v>
      </c>
      <c r="AK41">
        <v>3.45</v>
      </c>
      <c r="AL41">
        <v>3.4020000000000001</v>
      </c>
      <c r="AM41">
        <v>3.3650000000000002</v>
      </c>
      <c r="AN41">
        <v>3.3239999999999998</v>
      </c>
      <c r="AO41">
        <v>3.27</v>
      </c>
      <c r="AP41">
        <v>3.2450000000000001</v>
      </c>
      <c r="AQ41">
        <v>3.2549999999999999</v>
      </c>
      <c r="AR41">
        <v>3.254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 spans="2:52">
      <c r="B42" s="2">
        <v>45470</v>
      </c>
      <c r="C42">
        <v>3.42</v>
      </c>
      <c r="D42">
        <v>3.3359999999999999</v>
      </c>
      <c r="E42">
        <v>3.3559999999999999</v>
      </c>
      <c r="F42">
        <v>3.335</v>
      </c>
      <c r="G42">
        <v>3.298</v>
      </c>
      <c r="H42">
        <v>3.27</v>
      </c>
      <c r="I42">
        <v>3.2450000000000001</v>
      </c>
      <c r="J42">
        <v>3.2120000000000002</v>
      </c>
      <c r="K42">
        <v>3.2469999999999999</v>
      </c>
      <c r="L42">
        <v>3.2360000000000002</v>
      </c>
      <c r="M42">
        <v>3.3010000000000002</v>
      </c>
      <c r="N42">
        <v>3.2949999999999999</v>
      </c>
      <c r="O42">
        <v>3.3090000000000002</v>
      </c>
      <c r="P42">
        <v>3.2719999999999998</v>
      </c>
      <c r="Q42">
        <v>3.22</v>
      </c>
      <c r="R42">
        <v>3.19</v>
      </c>
      <c r="S42" s="2">
        <v>45470</v>
      </c>
      <c r="T42">
        <v>3.4380000000000002</v>
      </c>
      <c r="U42">
        <v>3.4390000000000001</v>
      </c>
      <c r="V42">
        <v>3.427</v>
      </c>
      <c r="W42">
        <v>3.38</v>
      </c>
      <c r="X42">
        <v>3.3180000000000001</v>
      </c>
      <c r="Y42">
        <v>3.3140000000000001</v>
      </c>
      <c r="Z42">
        <v>3.3290000000000002</v>
      </c>
      <c r="AA42">
        <v>3.3159999999999998</v>
      </c>
      <c r="AB42">
        <v>3.323</v>
      </c>
      <c r="AC42">
        <v>3.34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 s="2">
        <v>45470</v>
      </c>
      <c r="AK42">
        <v>3.45</v>
      </c>
      <c r="AL42">
        <v>3.407</v>
      </c>
      <c r="AM42">
        <v>3.375</v>
      </c>
      <c r="AN42">
        <v>3.3420000000000001</v>
      </c>
      <c r="AO42">
        <v>3.3</v>
      </c>
      <c r="AP42">
        <v>3.28</v>
      </c>
      <c r="AQ42">
        <v>3.29</v>
      </c>
      <c r="AR42">
        <v>3.29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 spans="2:52">
      <c r="B43" s="2">
        <v>45469</v>
      </c>
      <c r="C43">
        <v>3.42</v>
      </c>
      <c r="D43">
        <v>3.3359999999999999</v>
      </c>
      <c r="E43">
        <v>3.3559999999999999</v>
      </c>
      <c r="F43">
        <v>3.335</v>
      </c>
      <c r="G43">
        <v>3.2970000000000002</v>
      </c>
      <c r="H43">
        <v>3.258</v>
      </c>
      <c r="I43">
        <v>3.24</v>
      </c>
      <c r="J43">
        <v>3.2080000000000002</v>
      </c>
      <c r="K43">
        <v>3.2349999999999999</v>
      </c>
      <c r="L43">
        <v>3.2250000000000001</v>
      </c>
      <c r="M43">
        <v>3.286</v>
      </c>
      <c r="N43">
        <v>3.2749999999999999</v>
      </c>
      <c r="O43">
        <v>3.2839999999999998</v>
      </c>
      <c r="P43">
        <v>3.2429999999999999</v>
      </c>
      <c r="Q43">
        <v>3.19</v>
      </c>
      <c r="R43">
        <v>3.16</v>
      </c>
      <c r="S43" s="2">
        <v>45469</v>
      </c>
      <c r="T43">
        <v>3.4380000000000002</v>
      </c>
      <c r="U43">
        <v>3.4390000000000001</v>
      </c>
      <c r="V43">
        <v>3.427</v>
      </c>
      <c r="W43">
        <v>3.38</v>
      </c>
      <c r="X43">
        <v>3.3159999999999998</v>
      </c>
      <c r="Y43">
        <v>3.302</v>
      </c>
      <c r="Z43">
        <v>3.3250000000000002</v>
      </c>
      <c r="AA43">
        <v>3.3119999999999998</v>
      </c>
      <c r="AB43">
        <v>3.31</v>
      </c>
      <c r="AC43">
        <v>3.3260000000000001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 s="2">
        <v>45469</v>
      </c>
      <c r="AK43">
        <v>3.45</v>
      </c>
      <c r="AL43">
        <v>3.4119999999999999</v>
      </c>
      <c r="AM43">
        <v>3.375</v>
      </c>
      <c r="AN43">
        <v>3.3439999999999999</v>
      </c>
      <c r="AO43">
        <v>3.2959999999999998</v>
      </c>
      <c r="AP43">
        <v>3.27</v>
      </c>
      <c r="AQ43">
        <v>3.282</v>
      </c>
      <c r="AR43">
        <v>3.28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 spans="2:52">
      <c r="B44" s="2">
        <v>45468</v>
      </c>
      <c r="C44">
        <v>3.42</v>
      </c>
      <c r="D44">
        <v>3.3380000000000001</v>
      </c>
      <c r="E44">
        <v>3.3559999999999999</v>
      </c>
      <c r="F44">
        <v>3.3359999999999999</v>
      </c>
      <c r="G44">
        <v>3.2970000000000002</v>
      </c>
      <c r="H44">
        <v>3.2549999999999999</v>
      </c>
      <c r="I44">
        <v>3.23</v>
      </c>
      <c r="J44">
        <v>3.2</v>
      </c>
      <c r="K44">
        <v>3.2269999999999999</v>
      </c>
      <c r="L44">
        <v>3.2120000000000002</v>
      </c>
      <c r="M44">
        <v>3.2759999999999998</v>
      </c>
      <c r="N44">
        <v>3.27</v>
      </c>
      <c r="O44">
        <v>3.282</v>
      </c>
      <c r="P44">
        <v>3.242</v>
      </c>
      <c r="Q44">
        <v>3.18</v>
      </c>
      <c r="R44">
        <v>3.15</v>
      </c>
      <c r="S44" s="2">
        <v>45468</v>
      </c>
      <c r="T44">
        <v>3.4380000000000002</v>
      </c>
      <c r="U44">
        <v>3.4420000000000002</v>
      </c>
      <c r="V44">
        <v>3.427</v>
      </c>
      <c r="W44">
        <v>3.3809999999999998</v>
      </c>
      <c r="X44">
        <v>3.3159999999999998</v>
      </c>
      <c r="Y44">
        <v>3.2989999999999999</v>
      </c>
      <c r="Z44">
        <v>3.3180000000000001</v>
      </c>
      <c r="AA44">
        <v>3.3039999999999998</v>
      </c>
      <c r="AB44">
        <v>3.3010000000000002</v>
      </c>
      <c r="AC44">
        <v>3.3140000000000001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 s="2">
        <v>45468</v>
      </c>
      <c r="AK44">
        <v>3.45</v>
      </c>
      <c r="AL44">
        <v>3.4119999999999999</v>
      </c>
      <c r="AM44">
        <v>3.379</v>
      </c>
      <c r="AN44">
        <v>3.3450000000000002</v>
      </c>
      <c r="AO44">
        <v>3.2949999999999999</v>
      </c>
      <c r="AP44">
        <v>3.26</v>
      </c>
      <c r="AQ44">
        <v>3.2730000000000001</v>
      </c>
      <c r="AR44">
        <v>3.2709999999999999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 spans="2:52">
      <c r="B45" s="2">
        <v>45467</v>
      </c>
      <c r="C45">
        <v>3.423</v>
      </c>
      <c r="D45">
        <v>3.3410000000000002</v>
      </c>
      <c r="E45">
        <v>3.3580000000000001</v>
      </c>
      <c r="F45">
        <v>3.3439999999999999</v>
      </c>
      <c r="G45">
        <v>3.302</v>
      </c>
      <c r="H45">
        <v>3.254</v>
      </c>
      <c r="I45">
        <v>3.22</v>
      </c>
      <c r="J45">
        <v>3.1920000000000002</v>
      </c>
      <c r="K45">
        <v>3.22</v>
      </c>
      <c r="L45">
        <v>3.2120000000000002</v>
      </c>
      <c r="M45">
        <v>3.2709999999999999</v>
      </c>
      <c r="N45">
        <v>3.262</v>
      </c>
      <c r="O45">
        <v>3.2759999999999998</v>
      </c>
      <c r="P45">
        <v>3.24</v>
      </c>
      <c r="Q45">
        <v>3.17</v>
      </c>
      <c r="R45">
        <v>3.14</v>
      </c>
      <c r="S45" s="2">
        <v>45467</v>
      </c>
      <c r="T45">
        <v>3.4409999999999998</v>
      </c>
      <c r="U45">
        <v>3.4460000000000002</v>
      </c>
      <c r="V45">
        <v>3.4289999999999998</v>
      </c>
      <c r="W45">
        <v>3.3889999999999998</v>
      </c>
      <c r="X45">
        <v>3.3170000000000002</v>
      </c>
      <c r="Y45">
        <v>3.298</v>
      </c>
      <c r="Z45">
        <v>3.31</v>
      </c>
      <c r="AA45">
        <v>3.2989999999999999</v>
      </c>
      <c r="AB45">
        <v>3.2970000000000002</v>
      </c>
      <c r="AC45">
        <v>3.3159999999999998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 s="2">
        <v>45467</v>
      </c>
      <c r="AK45">
        <v>3.45</v>
      </c>
      <c r="AL45">
        <v>3.4119999999999999</v>
      </c>
      <c r="AM45">
        <v>3.379</v>
      </c>
      <c r="AN45">
        <v>3.3450000000000002</v>
      </c>
      <c r="AO45">
        <v>3.2890000000000001</v>
      </c>
      <c r="AP45">
        <v>3.2549999999999999</v>
      </c>
      <c r="AQ45">
        <v>3.2679999999999998</v>
      </c>
      <c r="AR45">
        <v>3.2679999999999998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 spans="2:52">
      <c r="B46" s="2">
        <v>45464</v>
      </c>
      <c r="C46">
        <v>3.4159999999999999</v>
      </c>
      <c r="D46">
        <v>3.3359999999999999</v>
      </c>
      <c r="E46">
        <v>3.3450000000000002</v>
      </c>
      <c r="F46">
        <v>3.3370000000000002</v>
      </c>
      <c r="G46">
        <v>3.2879999999999998</v>
      </c>
      <c r="H46">
        <v>3.2309999999999999</v>
      </c>
      <c r="I46">
        <v>3.1949999999999998</v>
      </c>
      <c r="J46">
        <v>3.16</v>
      </c>
      <c r="K46">
        <v>3.19</v>
      </c>
      <c r="L46">
        <v>3.19</v>
      </c>
      <c r="M46">
        <v>3.25</v>
      </c>
      <c r="N46">
        <v>3.242</v>
      </c>
      <c r="O46">
        <v>3.26</v>
      </c>
      <c r="P46">
        <v>3.2269999999999999</v>
      </c>
      <c r="Q46">
        <v>3.157</v>
      </c>
      <c r="R46">
        <v>3.1269999999999998</v>
      </c>
      <c r="S46" s="2">
        <v>45464</v>
      </c>
      <c r="T46">
        <v>3.4350000000000001</v>
      </c>
      <c r="U46">
        <v>3.4409999999999998</v>
      </c>
      <c r="V46">
        <v>3.4169999999999998</v>
      </c>
      <c r="W46">
        <v>3.3839999999999999</v>
      </c>
      <c r="X46">
        <v>3.3079999999999998</v>
      </c>
      <c r="Y46">
        <v>3.2770000000000001</v>
      </c>
      <c r="Z46">
        <v>3.2850000000000001</v>
      </c>
      <c r="AA46">
        <v>3.2690000000000001</v>
      </c>
      <c r="AB46">
        <v>3.2679999999999998</v>
      </c>
      <c r="AC46">
        <v>3.2949999999999999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s="2">
        <v>45464</v>
      </c>
      <c r="AK46">
        <v>3.448</v>
      </c>
      <c r="AL46">
        <v>3.41</v>
      </c>
      <c r="AM46">
        <v>3.3740000000000001</v>
      </c>
      <c r="AN46">
        <v>3.335</v>
      </c>
      <c r="AO46">
        <v>3.28</v>
      </c>
      <c r="AP46">
        <v>3.2349999999999999</v>
      </c>
      <c r="AQ46">
        <v>3.2440000000000002</v>
      </c>
      <c r="AR46">
        <v>3.24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 spans="2:52">
      <c r="B47" s="2">
        <v>45463</v>
      </c>
      <c r="C47">
        <v>3.4159999999999999</v>
      </c>
      <c r="D47">
        <v>3.3380000000000001</v>
      </c>
      <c r="E47">
        <v>3.3450000000000002</v>
      </c>
      <c r="F47">
        <v>3.3439999999999999</v>
      </c>
      <c r="G47">
        <v>3.3079999999999998</v>
      </c>
      <c r="H47">
        <v>3.26</v>
      </c>
      <c r="I47">
        <v>3.2250000000000001</v>
      </c>
      <c r="J47">
        <v>3.1949999999999998</v>
      </c>
      <c r="K47">
        <v>3.22</v>
      </c>
      <c r="L47">
        <v>3.22</v>
      </c>
      <c r="M47">
        <v>3.2789999999999999</v>
      </c>
      <c r="N47">
        <v>3.27</v>
      </c>
      <c r="O47">
        <v>3.278</v>
      </c>
      <c r="P47">
        <v>3.2349999999999999</v>
      </c>
      <c r="Q47">
        <v>3.16</v>
      </c>
      <c r="R47">
        <v>3.13</v>
      </c>
      <c r="S47" s="2">
        <v>45463</v>
      </c>
      <c r="T47">
        <v>3.4350000000000001</v>
      </c>
      <c r="U47">
        <v>3.4420000000000002</v>
      </c>
      <c r="V47">
        <v>3.4140000000000001</v>
      </c>
      <c r="W47">
        <v>3.39</v>
      </c>
      <c r="X47">
        <v>3.3279999999999998</v>
      </c>
      <c r="Y47">
        <v>3.3029999999999999</v>
      </c>
      <c r="Z47">
        <v>3.3149999999999999</v>
      </c>
      <c r="AA47">
        <v>3.3029999999999999</v>
      </c>
      <c r="AB47">
        <v>3.298</v>
      </c>
      <c r="AC47">
        <v>3.33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 s="2">
        <v>45463</v>
      </c>
      <c r="AK47">
        <v>3.448</v>
      </c>
      <c r="AL47">
        <v>3.41</v>
      </c>
      <c r="AM47">
        <v>3.3740000000000001</v>
      </c>
      <c r="AN47">
        <v>3.3420000000000001</v>
      </c>
      <c r="AO47">
        <v>3.3</v>
      </c>
      <c r="AP47">
        <v>3.2559999999999998</v>
      </c>
      <c r="AQ47">
        <v>3.2709999999999999</v>
      </c>
      <c r="AR47">
        <v>3.2709999999999999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 spans="2:52">
      <c r="B48" s="2">
        <v>45462</v>
      </c>
      <c r="C48">
        <v>3.4159999999999999</v>
      </c>
      <c r="D48">
        <v>3.335</v>
      </c>
      <c r="E48">
        <v>3.34</v>
      </c>
      <c r="F48">
        <v>3.3319999999999999</v>
      </c>
      <c r="G48">
        <v>3.2930000000000001</v>
      </c>
      <c r="H48">
        <v>3.2250000000000001</v>
      </c>
      <c r="I48">
        <v>3.1779999999999999</v>
      </c>
      <c r="J48">
        <v>3.15</v>
      </c>
      <c r="K48">
        <v>3.18</v>
      </c>
      <c r="L48">
        <v>3.18</v>
      </c>
      <c r="M48">
        <v>3.2370000000000001</v>
      </c>
      <c r="N48">
        <v>3.2250000000000001</v>
      </c>
      <c r="O48">
        <v>3.2349999999999999</v>
      </c>
      <c r="P48">
        <v>3.1949999999999998</v>
      </c>
      <c r="Q48">
        <v>3.117</v>
      </c>
      <c r="R48">
        <v>3.0870000000000002</v>
      </c>
      <c r="S48" s="2">
        <v>45462</v>
      </c>
      <c r="T48">
        <v>3.4350000000000001</v>
      </c>
      <c r="U48">
        <v>3.4390000000000001</v>
      </c>
      <c r="V48">
        <v>3.407</v>
      </c>
      <c r="W48">
        <v>3.379</v>
      </c>
      <c r="X48">
        <v>3.3130000000000002</v>
      </c>
      <c r="Y48">
        <v>3.2709999999999999</v>
      </c>
      <c r="Z48">
        <v>3.2730000000000001</v>
      </c>
      <c r="AA48">
        <v>3.26</v>
      </c>
      <c r="AB48">
        <v>3.2570000000000001</v>
      </c>
      <c r="AC48">
        <v>3.294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 s="2">
        <v>45462</v>
      </c>
      <c r="AK48">
        <v>3.4430000000000001</v>
      </c>
      <c r="AL48">
        <v>3.4049999999999998</v>
      </c>
      <c r="AM48">
        <v>3.359</v>
      </c>
      <c r="AN48">
        <v>3.3290000000000002</v>
      </c>
      <c r="AO48">
        <v>3.286</v>
      </c>
      <c r="AP48">
        <v>3.23</v>
      </c>
      <c r="AQ48">
        <v>3.2389999999999999</v>
      </c>
      <c r="AR48">
        <v>3.238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 spans="2:52">
      <c r="B49" s="2">
        <v>45461</v>
      </c>
      <c r="C49">
        <v>3.4180000000000001</v>
      </c>
      <c r="D49">
        <v>3.3359999999999999</v>
      </c>
      <c r="E49">
        <v>3.3439999999999999</v>
      </c>
      <c r="F49">
        <v>3.3359999999999999</v>
      </c>
      <c r="G49">
        <v>3.3159999999999998</v>
      </c>
      <c r="H49">
        <v>3.2749999999999999</v>
      </c>
      <c r="I49">
        <v>3.2269999999999999</v>
      </c>
      <c r="J49">
        <v>3.2069999999999999</v>
      </c>
      <c r="K49">
        <v>3.2349999999999999</v>
      </c>
      <c r="L49">
        <v>3.23</v>
      </c>
      <c r="M49">
        <v>3.2869999999999999</v>
      </c>
      <c r="N49">
        <v>3.2770000000000001</v>
      </c>
      <c r="O49">
        <v>3.2810000000000001</v>
      </c>
      <c r="P49">
        <v>3.2349999999999999</v>
      </c>
      <c r="Q49">
        <v>3.15</v>
      </c>
      <c r="R49">
        <v>3.12</v>
      </c>
      <c r="S49" s="2">
        <v>45461</v>
      </c>
      <c r="T49">
        <v>3.4359999999999999</v>
      </c>
      <c r="U49">
        <v>3.4409999999999998</v>
      </c>
      <c r="V49">
        <v>3.415</v>
      </c>
      <c r="W49">
        <v>3.3839999999999999</v>
      </c>
      <c r="X49">
        <v>3.3380000000000001</v>
      </c>
      <c r="Y49">
        <v>3.32</v>
      </c>
      <c r="Z49">
        <v>3.3260000000000001</v>
      </c>
      <c r="AA49">
        <v>3.3170000000000002</v>
      </c>
      <c r="AB49">
        <v>3.3119999999999998</v>
      </c>
      <c r="AC49">
        <v>3.351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 s="2">
        <v>45461</v>
      </c>
      <c r="AK49">
        <v>3.4430000000000001</v>
      </c>
      <c r="AL49">
        <v>3.407</v>
      </c>
      <c r="AM49">
        <v>3.3650000000000002</v>
      </c>
      <c r="AN49">
        <v>3.3340000000000001</v>
      </c>
      <c r="AO49">
        <v>3.3130000000000002</v>
      </c>
      <c r="AP49">
        <v>3.2749999999999999</v>
      </c>
      <c r="AQ49">
        <v>3.282</v>
      </c>
      <c r="AR49">
        <v>3.2810000000000001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 spans="2:52">
      <c r="B50" s="2">
        <v>45460</v>
      </c>
      <c r="C50">
        <v>3.4159999999999999</v>
      </c>
      <c r="D50">
        <v>3.3279999999999998</v>
      </c>
      <c r="E50">
        <v>3.3439999999999999</v>
      </c>
      <c r="F50">
        <v>3.3359999999999999</v>
      </c>
      <c r="G50">
        <v>3.3159999999999998</v>
      </c>
      <c r="H50">
        <v>3.28</v>
      </c>
      <c r="I50">
        <v>3.2280000000000002</v>
      </c>
      <c r="J50">
        <v>3.2080000000000002</v>
      </c>
      <c r="K50">
        <v>3.2349999999999999</v>
      </c>
      <c r="L50">
        <v>3.23</v>
      </c>
      <c r="M50">
        <v>3.286</v>
      </c>
      <c r="N50">
        <v>3.2749999999999999</v>
      </c>
      <c r="O50">
        <v>3.286</v>
      </c>
      <c r="P50">
        <v>3.2469999999999999</v>
      </c>
      <c r="Q50">
        <v>3.1869999999999998</v>
      </c>
      <c r="R50">
        <v>3.157</v>
      </c>
      <c r="S50" s="2">
        <v>45460</v>
      </c>
      <c r="T50">
        <v>3.4350000000000001</v>
      </c>
      <c r="U50">
        <v>3.4319999999999999</v>
      </c>
      <c r="V50">
        <v>3.415</v>
      </c>
      <c r="W50">
        <v>3.3839999999999999</v>
      </c>
      <c r="X50">
        <v>3.3479999999999999</v>
      </c>
      <c r="Y50">
        <v>3.327</v>
      </c>
      <c r="Z50">
        <v>3.33</v>
      </c>
      <c r="AA50">
        <v>3.323</v>
      </c>
      <c r="AB50">
        <v>3.3159999999999998</v>
      </c>
      <c r="AC50">
        <v>3.3530000000000002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s="2">
        <v>45460</v>
      </c>
      <c r="AK50">
        <v>3.4430000000000001</v>
      </c>
      <c r="AL50">
        <v>3.407</v>
      </c>
      <c r="AM50">
        <v>3.3650000000000002</v>
      </c>
      <c r="AN50">
        <v>3.3340000000000001</v>
      </c>
      <c r="AO50">
        <v>3.3149999999999999</v>
      </c>
      <c r="AP50">
        <v>3.2749999999999999</v>
      </c>
      <c r="AQ50">
        <v>3.2810000000000001</v>
      </c>
      <c r="AR50">
        <v>3.28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 spans="2:52">
      <c r="B51" s="2">
        <v>45457</v>
      </c>
      <c r="C51">
        <v>3.4159999999999999</v>
      </c>
      <c r="D51">
        <v>3.335</v>
      </c>
      <c r="E51">
        <v>3.3540000000000001</v>
      </c>
      <c r="F51">
        <v>3.3439999999999999</v>
      </c>
      <c r="G51">
        <v>3.327</v>
      </c>
      <c r="H51">
        <v>3.3180000000000001</v>
      </c>
      <c r="I51">
        <v>3.2650000000000001</v>
      </c>
      <c r="J51">
        <v>3.242</v>
      </c>
      <c r="K51">
        <v>3.27</v>
      </c>
      <c r="L51">
        <v>3.262</v>
      </c>
      <c r="M51">
        <v>3.3149999999999999</v>
      </c>
      <c r="N51">
        <v>3.3</v>
      </c>
      <c r="O51">
        <v>3.3090000000000002</v>
      </c>
      <c r="P51">
        <v>3.2669999999999999</v>
      </c>
      <c r="Q51">
        <v>3.2050000000000001</v>
      </c>
      <c r="R51">
        <v>3.1749999999999998</v>
      </c>
      <c r="S51" s="2">
        <v>45457</v>
      </c>
      <c r="T51">
        <v>3.4380000000000002</v>
      </c>
      <c r="U51">
        <v>3.4390000000000001</v>
      </c>
      <c r="V51">
        <v>3.4249999999999998</v>
      </c>
      <c r="W51">
        <v>3.3929999999999998</v>
      </c>
      <c r="X51">
        <v>3.359</v>
      </c>
      <c r="Y51">
        <v>3.3650000000000002</v>
      </c>
      <c r="Z51">
        <v>3.37</v>
      </c>
      <c r="AA51">
        <v>3.36</v>
      </c>
      <c r="AB51">
        <v>3.3530000000000002</v>
      </c>
      <c r="AC51">
        <v>3.3849999999999998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s="2">
        <v>45457</v>
      </c>
      <c r="AK51">
        <v>3.4449999999999998</v>
      </c>
      <c r="AL51">
        <v>3.41</v>
      </c>
      <c r="AM51">
        <v>3.375</v>
      </c>
      <c r="AN51">
        <v>3.3460000000000001</v>
      </c>
      <c r="AO51">
        <v>3.3370000000000002</v>
      </c>
      <c r="AP51">
        <v>3.3090000000000002</v>
      </c>
      <c r="AQ51">
        <v>3.3140000000000001</v>
      </c>
      <c r="AR51">
        <v>3.3090000000000002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  <row r="52" spans="2:52">
      <c r="B52" s="2">
        <v>45456</v>
      </c>
      <c r="C52">
        <v>3.4159999999999999</v>
      </c>
      <c r="D52">
        <v>3.343</v>
      </c>
      <c r="E52">
        <v>3.3559999999999999</v>
      </c>
      <c r="F52">
        <v>3.3439999999999999</v>
      </c>
      <c r="G52">
        <v>3.3319999999999999</v>
      </c>
      <c r="H52">
        <v>3.3450000000000002</v>
      </c>
      <c r="I52">
        <v>3.3</v>
      </c>
      <c r="J52">
        <v>3.278</v>
      </c>
      <c r="K52">
        <v>3.3109999999999999</v>
      </c>
      <c r="L52">
        <v>3.3</v>
      </c>
      <c r="M52">
        <v>3.36</v>
      </c>
      <c r="N52">
        <v>3.3519999999999999</v>
      </c>
      <c r="O52">
        <v>3.3460000000000001</v>
      </c>
      <c r="P52">
        <v>3.29</v>
      </c>
      <c r="Q52">
        <v>3.2250000000000001</v>
      </c>
      <c r="R52">
        <v>3.2090000000000001</v>
      </c>
      <c r="S52" s="2">
        <v>45456</v>
      </c>
      <c r="T52">
        <v>3.4430000000000001</v>
      </c>
      <c r="U52">
        <v>3.444</v>
      </c>
      <c r="V52">
        <v>3.4319999999999999</v>
      </c>
      <c r="W52">
        <v>3.3959999999999999</v>
      </c>
      <c r="X52">
        <v>3.367</v>
      </c>
      <c r="Y52">
        <v>3.395</v>
      </c>
      <c r="Z52">
        <v>3.407</v>
      </c>
      <c r="AA52">
        <v>3.4</v>
      </c>
      <c r="AB52">
        <v>3.399</v>
      </c>
      <c r="AC52">
        <v>3.42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 s="2">
        <v>45456</v>
      </c>
      <c r="AK52">
        <v>3.4449999999999998</v>
      </c>
      <c r="AL52">
        <v>3.415</v>
      </c>
      <c r="AM52">
        <v>3.3889999999999998</v>
      </c>
      <c r="AN52">
        <v>3.36</v>
      </c>
      <c r="AO52">
        <v>3.3580000000000001</v>
      </c>
      <c r="AP52">
        <v>3.335</v>
      </c>
      <c r="AQ52">
        <v>3.3420000000000001</v>
      </c>
      <c r="AR52">
        <v>3.3420000000000001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</row>
    <row r="53" spans="2:52">
      <c r="B53" s="2">
        <v>45455</v>
      </c>
      <c r="C53">
        <v>3.42</v>
      </c>
      <c r="D53">
        <v>3.351</v>
      </c>
      <c r="E53">
        <v>3.363</v>
      </c>
      <c r="F53">
        <v>3.3439999999999999</v>
      </c>
      <c r="G53">
        <v>3.3340000000000001</v>
      </c>
      <c r="H53">
        <v>3.36</v>
      </c>
      <c r="I53">
        <v>3.3119999999999998</v>
      </c>
      <c r="J53">
        <v>3.2949999999999999</v>
      </c>
      <c r="K53">
        <v>3.33</v>
      </c>
      <c r="L53">
        <v>3.3149999999999999</v>
      </c>
      <c r="M53">
        <v>3.3759999999999999</v>
      </c>
      <c r="N53">
        <v>3.37</v>
      </c>
      <c r="O53">
        <v>3.3660000000000001</v>
      </c>
      <c r="P53">
        <v>3.3119999999999998</v>
      </c>
      <c r="Q53">
        <v>3.2370000000000001</v>
      </c>
      <c r="R53">
        <v>3.222</v>
      </c>
      <c r="S53" s="2">
        <v>45455</v>
      </c>
      <c r="T53">
        <v>3.4460000000000002</v>
      </c>
      <c r="U53">
        <v>3.456</v>
      </c>
      <c r="V53">
        <v>3.4380000000000002</v>
      </c>
      <c r="W53">
        <v>3.399</v>
      </c>
      <c r="X53">
        <v>3.3719999999999999</v>
      </c>
      <c r="Y53">
        <v>3.41</v>
      </c>
      <c r="Z53">
        <v>3.4209999999999998</v>
      </c>
      <c r="AA53">
        <v>3.4129999999999998</v>
      </c>
      <c r="AB53">
        <v>3.4169999999999998</v>
      </c>
      <c r="AC53">
        <v>3.4359999999999999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s="2">
        <v>45455</v>
      </c>
      <c r="AK53">
        <v>3.448</v>
      </c>
      <c r="AL53">
        <v>3.4249999999999998</v>
      </c>
      <c r="AM53">
        <v>3.399</v>
      </c>
      <c r="AN53">
        <v>3.37</v>
      </c>
      <c r="AO53">
        <v>3.3719999999999999</v>
      </c>
      <c r="AP53">
        <v>3.35</v>
      </c>
      <c r="AQ53">
        <v>3.3570000000000002</v>
      </c>
      <c r="AR53">
        <v>3.36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</row>
    <row r="54" spans="2:52">
      <c r="B54" s="2">
        <v>45454</v>
      </c>
      <c r="C54">
        <v>3.4180000000000001</v>
      </c>
      <c r="D54">
        <v>3.363</v>
      </c>
      <c r="E54">
        <v>3.3660000000000001</v>
      </c>
      <c r="F54">
        <v>3.3530000000000002</v>
      </c>
      <c r="G54">
        <v>3.3460000000000001</v>
      </c>
      <c r="H54">
        <v>3.39</v>
      </c>
      <c r="I54">
        <v>3.35</v>
      </c>
      <c r="J54">
        <v>3.3319999999999999</v>
      </c>
      <c r="K54">
        <v>3.37</v>
      </c>
      <c r="L54">
        <v>3.36</v>
      </c>
      <c r="M54">
        <v>3.4209999999999998</v>
      </c>
      <c r="N54">
        <v>3.4159999999999999</v>
      </c>
      <c r="O54">
        <v>3.4060000000000001</v>
      </c>
      <c r="P54">
        <v>3.347</v>
      </c>
      <c r="Q54">
        <v>3.2650000000000001</v>
      </c>
      <c r="R54">
        <v>3.2490000000000001</v>
      </c>
      <c r="S54" s="2">
        <v>45454</v>
      </c>
      <c r="T54">
        <v>3.4449999999999998</v>
      </c>
      <c r="U54">
        <v>3.4540000000000002</v>
      </c>
      <c r="V54">
        <v>3.44</v>
      </c>
      <c r="W54">
        <v>3.4060000000000001</v>
      </c>
      <c r="X54">
        <v>3.39</v>
      </c>
      <c r="Y54">
        <v>3.4390000000000001</v>
      </c>
      <c r="Z54">
        <v>3.4609999999999999</v>
      </c>
      <c r="AA54">
        <v>3.4540000000000002</v>
      </c>
      <c r="AB54">
        <v>3.4569999999999999</v>
      </c>
      <c r="AC54">
        <v>3.476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s="2">
        <v>45454</v>
      </c>
      <c r="AK54">
        <v>3.448</v>
      </c>
      <c r="AL54">
        <v>3.4289999999999998</v>
      </c>
      <c r="AM54">
        <v>3.4020000000000001</v>
      </c>
      <c r="AN54">
        <v>3.375</v>
      </c>
      <c r="AO54">
        <v>3.391</v>
      </c>
      <c r="AP54">
        <v>3.3759999999999999</v>
      </c>
      <c r="AQ54">
        <v>3.39</v>
      </c>
      <c r="AR54">
        <v>3.395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</row>
    <row r="55" spans="2:52">
      <c r="B55" s="2">
        <v>45453</v>
      </c>
      <c r="C55">
        <v>3.4180000000000001</v>
      </c>
      <c r="D55">
        <v>3.38</v>
      </c>
      <c r="E55">
        <v>3.3530000000000002</v>
      </c>
      <c r="F55">
        <v>3.347</v>
      </c>
      <c r="G55">
        <v>3.3519999999999999</v>
      </c>
      <c r="H55">
        <v>3.403</v>
      </c>
      <c r="I55">
        <v>3.3690000000000002</v>
      </c>
      <c r="J55">
        <v>3.3450000000000002</v>
      </c>
      <c r="K55">
        <v>3.3849999999999998</v>
      </c>
      <c r="L55">
        <v>3.3839999999999999</v>
      </c>
      <c r="M55">
        <v>3.44</v>
      </c>
      <c r="N55">
        <v>3.4319999999999999</v>
      </c>
      <c r="O55">
        <v>3.4260000000000002</v>
      </c>
      <c r="P55">
        <v>3.37</v>
      </c>
      <c r="Q55">
        <v>3.29</v>
      </c>
      <c r="R55">
        <v>3.274</v>
      </c>
      <c r="S55" s="2">
        <v>45453</v>
      </c>
      <c r="T55">
        <v>3.4460000000000002</v>
      </c>
      <c r="U55">
        <v>3.456</v>
      </c>
      <c r="V55">
        <v>3.4350000000000001</v>
      </c>
      <c r="W55">
        <v>3.4</v>
      </c>
      <c r="X55">
        <v>3.4009999999999998</v>
      </c>
      <c r="Y55">
        <v>3.4529999999999998</v>
      </c>
      <c r="Z55">
        <v>3.4820000000000002</v>
      </c>
      <c r="AA55">
        <v>3.472</v>
      </c>
      <c r="AB55">
        <v>3.4769999999999999</v>
      </c>
      <c r="AC55">
        <v>3.5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s="2">
        <v>45453</v>
      </c>
      <c r="AK55">
        <v>3.448</v>
      </c>
      <c r="AL55">
        <v>3.4289999999999998</v>
      </c>
      <c r="AM55">
        <v>3.4049999999999998</v>
      </c>
      <c r="AN55">
        <v>3.375</v>
      </c>
      <c r="AO55">
        <v>3.3980000000000001</v>
      </c>
      <c r="AP55">
        <v>3.3849999999999998</v>
      </c>
      <c r="AQ55">
        <v>3.4</v>
      </c>
      <c r="AR55">
        <v>3.4049999999999998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</row>
    <row r="56" spans="2:52">
      <c r="B56" s="2">
        <v>45450</v>
      </c>
      <c r="C56">
        <v>3.4129999999999998</v>
      </c>
      <c r="D56">
        <v>3.41</v>
      </c>
      <c r="E56">
        <v>3.35</v>
      </c>
      <c r="F56">
        <v>3.3439999999999999</v>
      </c>
      <c r="G56">
        <v>3.339</v>
      </c>
      <c r="H56">
        <v>3.355</v>
      </c>
      <c r="I56">
        <v>3.335</v>
      </c>
      <c r="J56">
        <v>3.3079999999999998</v>
      </c>
      <c r="K56">
        <v>3.3319999999999999</v>
      </c>
      <c r="L56">
        <v>3.33</v>
      </c>
      <c r="M56">
        <v>3.3740000000000001</v>
      </c>
      <c r="N56">
        <v>3.3849999999999998</v>
      </c>
      <c r="O56">
        <v>3.3690000000000002</v>
      </c>
      <c r="P56">
        <v>3.327</v>
      </c>
      <c r="Q56">
        <v>3.26</v>
      </c>
      <c r="R56">
        <v>3.2440000000000002</v>
      </c>
      <c r="S56" s="2">
        <v>45450</v>
      </c>
      <c r="T56">
        <v>3.4529999999999998</v>
      </c>
      <c r="U56">
        <v>3.456</v>
      </c>
      <c r="V56">
        <v>3.4319999999999999</v>
      </c>
      <c r="W56">
        <v>3.3940000000000001</v>
      </c>
      <c r="X56">
        <v>3.3769999999999998</v>
      </c>
      <c r="Y56">
        <v>3.4049999999999998</v>
      </c>
      <c r="Z56">
        <v>3.4329999999999998</v>
      </c>
      <c r="AA56">
        <v>3.4249999999999998</v>
      </c>
      <c r="AB56">
        <v>3.4289999999999998</v>
      </c>
      <c r="AC56">
        <v>3.45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s="2">
        <v>45450</v>
      </c>
      <c r="AK56">
        <v>3.448</v>
      </c>
      <c r="AL56">
        <v>3.427</v>
      </c>
      <c r="AM56">
        <v>3.4009999999999998</v>
      </c>
      <c r="AN56">
        <v>3.363</v>
      </c>
      <c r="AO56">
        <v>3.3620000000000001</v>
      </c>
      <c r="AP56">
        <v>3.34</v>
      </c>
      <c r="AQ56">
        <v>3.3479999999999999</v>
      </c>
      <c r="AR56">
        <v>3.35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</row>
    <row r="57" spans="2:52">
      <c r="B57" s="2">
        <v>45448</v>
      </c>
      <c r="C57">
        <v>3.4079999999999999</v>
      </c>
      <c r="D57">
        <v>3.4380000000000002</v>
      </c>
      <c r="E57">
        <v>3.363</v>
      </c>
      <c r="F57">
        <v>3.3519999999999999</v>
      </c>
      <c r="G57">
        <v>3.3570000000000002</v>
      </c>
      <c r="H57">
        <v>3.3839999999999999</v>
      </c>
      <c r="I57">
        <v>3.37</v>
      </c>
      <c r="J57">
        <v>3.343</v>
      </c>
      <c r="K57">
        <v>3.3719999999999999</v>
      </c>
      <c r="L57">
        <v>3.367</v>
      </c>
      <c r="M57">
        <v>3.4169999999999998</v>
      </c>
      <c r="N57">
        <v>3.4319999999999999</v>
      </c>
      <c r="O57">
        <v>3.411</v>
      </c>
      <c r="P57">
        <v>3.3650000000000002</v>
      </c>
      <c r="Q57">
        <v>3.2949999999999999</v>
      </c>
      <c r="R57">
        <v>3.2789999999999999</v>
      </c>
      <c r="S57" s="2">
        <v>45448</v>
      </c>
      <c r="T57">
        <v>3.45</v>
      </c>
      <c r="U57">
        <v>3.4710000000000001</v>
      </c>
      <c r="V57">
        <v>3.4430000000000001</v>
      </c>
      <c r="W57">
        <v>3.4039999999999999</v>
      </c>
      <c r="X57">
        <v>3.3959999999999999</v>
      </c>
      <c r="Y57">
        <v>3.4329999999999998</v>
      </c>
      <c r="Z57">
        <v>3.468</v>
      </c>
      <c r="AA57">
        <v>3.4630000000000001</v>
      </c>
      <c r="AB57">
        <v>3.472</v>
      </c>
      <c r="AC57">
        <v>3.4860000000000002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 s="2">
        <v>45448</v>
      </c>
      <c r="AK57">
        <v>3.45</v>
      </c>
      <c r="AL57">
        <v>3.43</v>
      </c>
      <c r="AM57">
        <v>3.4049999999999998</v>
      </c>
      <c r="AN57">
        <v>3.3730000000000002</v>
      </c>
      <c r="AO57">
        <v>3.38</v>
      </c>
      <c r="AP57">
        <v>3.3650000000000002</v>
      </c>
      <c r="AQ57">
        <v>3.3809999999999998</v>
      </c>
      <c r="AR57">
        <v>3.3849999999999998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</row>
    <row r="58" spans="2:52">
      <c r="B58" s="2">
        <v>45447</v>
      </c>
      <c r="C58">
        <v>3.403</v>
      </c>
      <c r="D58">
        <v>3.4529999999999998</v>
      </c>
      <c r="E58">
        <v>3.371</v>
      </c>
      <c r="F58">
        <v>3.3679999999999999</v>
      </c>
      <c r="G58">
        <v>3.375</v>
      </c>
      <c r="H58">
        <v>3.415</v>
      </c>
      <c r="I58">
        <v>3.4049999999999998</v>
      </c>
      <c r="J58">
        <v>3.3919999999999999</v>
      </c>
      <c r="K58">
        <v>3.4119999999999999</v>
      </c>
      <c r="L58">
        <v>3.4169999999999998</v>
      </c>
      <c r="M58">
        <v>3.4620000000000002</v>
      </c>
      <c r="N58">
        <v>3.472</v>
      </c>
      <c r="O58">
        <v>3.4489999999999998</v>
      </c>
      <c r="P58">
        <v>3.4</v>
      </c>
      <c r="Q58">
        <v>3.3220000000000001</v>
      </c>
      <c r="R58">
        <v>3.3069999999999999</v>
      </c>
      <c r="S58" s="2">
        <v>45447</v>
      </c>
      <c r="T58">
        <v>3.4449999999999998</v>
      </c>
      <c r="U58">
        <v>3.4809999999999999</v>
      </c>
      <c r="V58">
        <v>3.452</v>
      </c>
      <c r="W58">
        <v>3.4169999999999998</v>
      </c>
      <c r="X58">
        <v>3.419</v>
      </c>
      <c r="Y58">
        <v>3.4670000000000001</v>
      </c>
      <c r="Z58">
        <v>3.5059999999999998</v>
      </c>
      <c r="AA58">
        <v>3.5110000000000001</v>
      </c>
      <c r="AB58">
        <v>3.51</v>
      </c>
      <c r="AC58">
        <v>3.5329999999999999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 s="2">
        <v>45447</v>
      </c>
      <c r="AK58">
        <v>3.45</v>
      </c>
      <c r="AL58">
        <v>3.4340000000000002</v>
      </c>
      <c r="AM58">
        <v>3.41</v>
      </c>
      <c r="AN58">
        <v>3.38</v>
      </c>
      <c r="AO58">
        <v>3.4129999999999998</v>
      </c>
      <c r="AP58">
        <v>3.399</v>
      </c>
      <c r="AQ58">
        <v>3.4140000000000001</v>
      </c>
      <c r="AR58">
        <v>3.419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</row>
    <row r="59" spans="2:52">
      <c r="B59" s="2">
        <v>45446</v>
      </c>
      <c r="C59">
        <v>3.403</v>
      </c>
      <c r="D59">
        <v>3.456</v>
      </c>
      <c r="E59">
        <v>3.383</v>
      </c>
      <c r="F59">
        <v>3.3759999999999999</v>
      </c>
      <c r="G59">
        <v>3.395</v>
      </c>
      <c r="H59">
        <v>3.4460000000000002</v>
      </c>
      <c r="I59">
        <v>3.4369999999999998</v>
      </c>
      <c r="J59">
        <v>3.4319999999999999</v>
      </c>
      <c r="K59">
        <v>3.46</v>
      </c>
      <c r="L59">
        <v>3.4670000000000001</v>
      </c>
      <c r="M59">
        <v>3.52</v>
      </c>
      <c r="N59">
        <v>3.5369999999999999</v>
      </c>
      <c r="O59">
        <v>3.504</v>
      </c>
      <c r="P59">
        <v>3.4470000000000001</v>
      </c>
      <c r="Q59">
        <v>3.367</v>
      </c>
      <c r="R59">
        <v>3.3519999999999999</v>
      </c>
      <c r="S59" s="2">
        <v>45446</v>
      </c>
      <c r="T59">
        <v>3.4449999999999998</v>
      </c>
      <c r="U59">
        <v>3.4849999999999999</v>
      </c>
      <c r="V59">
        <v>3.4630000000000001</v>
      </c>
      <c r="W59">
        <v>3.4249999999999998</v>
      </c>
      <c r="X59">
        <v>3.4430000000000001</v>
      </c>
      <c r="Y59">
        <v>3.5009999999999999</v>
      </c>
      <c r="Z59">
        <v>3.5449999999999999</v>
      </c>
      <c r="AA59">
        <v>3.5579999999999998</v>
      </c>
      <c r="AB59">
        <v>3.5590000000000002</v>
      </c>
      <c r="AC59">
        <v>3.585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 s="2">
        <v>45446</v>
      </c>
      <c r="AK59">
        <v>3.45</v>
      </c>
      <c r="AL59">
        <v>3.4340000000000002</v>
      </c>
      <c r="AM59">
        <v>3.415</v>
      </c>
      <c r="AN59">
        <v>3.39</v>
      </c>
      <c r="AO59">
        <v>3.4449999999999998</v>
      </c>
      <c r="AP59">
        <v>3.4350000000000001</v>
      </c>
      <c r="AQ59">
        <v>3.45</v>
      </c>
      <c r="AR59">
        <v>3.456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</row>
    <row r="60" spans="2:52">
      <c r="B60" s="2">
        <v>45443</v>
      </c>
      <c r="C60">
        <v>3.403</v>
      </c>
      <c r="D60">
        <v>3.4590000000000001</v>
      </c>
      <c r="E60">
        <v>3.3929999999999998</v>
      </c>
      <c r="F60">
        <v>3.3860000000000001</v>
      </c>
      <c r="G60">
        <v>3.41</v>
      </c>
      <c r="H60">
        <v>3.4630000000000001</v>
      </c>
      <c r="I60">
        <v>3.4569999999999999</v>
      </c>
      <c r="J60">
        <v>3.452</v>
      </c>
      <c r="K60">
        <v>3.492</v>
      </c>
      <c r="L60">
        <v>3.5019999999999998</v>
      </c>
      <c r="M60">
        <v>3.56</v>
      </c>
      <c r="N60">
        <v>3.58</v>
      </c>
      <c r="O60">
        <v>3.5539999999999998</v>
      </c>
      <c r="P60">
        <v>3.5049999999999999</v>
      </c>
      <c r="Q60">
        <v>3.43</v>
      </c>
      <c r="R60">
        <v>3.4140000000000001</v>
      </c>
      <c r="S60" s="2">
        <v>45443</v>
      </c>
      <c r="T60">
        <v>3.4449999999999998</v>
      </c>
      <c r="U60">
        <v>3.4870000000000001</v>
      </c>
      <c r="V60">
        <v>3.4729999999999999</v>
      </c>
      <c r="W60">
        <v>3.4350000000000001</v>
      </c>
      <c r="X60">
        <v>3.4580000000000002</v>
      </c>
      <c r="Y60">
        <v>3.516</v>
      </c>
      <c r="Z60">
        <v>3.5649999999999999</v>
      </c>
      <c r="AA60">
        <v>3.58</v>
      </c>
      <c r="AB60">
        <v>3.59</v>
      </c>
      <c r="AC60">
        <v>3.6160000000000001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s="2">
        <v>45443</v>
      </c>
      <c r="AK60">
        <v>3.45</v>
      </c>
      <c r="AL60">
        <v>3.4350000000000001</v>
      </c>
      <c r="AM60">
        <v>3.4159999999999999</v>
      </c>
      <c r="AN60">
        <v>3.391</v>
      </c>
      <c r="AO60">
        <v>3.4569999999999999</v>
      </c>
      <c r="AP60">
        <v>3.4529999999999998</v>
      </c>
      <c r="AQ60">
        <v>3.472</v>
      </c>
      <c r="AR60">
        <v>3.476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</row>
    <row r="61" spans="2:52">
      <c r="B61" s="2">
        <v>45442</v>
      </c>
      <c r="C61">
        <v>3.403</v>
      </c>
      <c r="D61">
        <v>3.4550000000000001</v>
      </c>
      <c r="E61">
        <v>3.403</v>
      </c>
      <c r="F61">
        <v>3.403</v>
      </c>
      <c r="G61">
        <v>3.42</v>
      </c>
      <c r="H61">
        <v>3.4590000000000001</v>
      </c>
      <c r="I61">
        <v>3.45</v>
      </c>
      <c r="J61">
        <v>3.44</v>
      </c>
      <c r="K61">
        <v>3.4849999999999999</v>
      </c>
      <c r="L61">
        <v>3.49</v>
      </c>
      <c r="M61">
        <v>3.548</v>
      </c>
      <c r="N61">
        <v>3.5619999999999998</v>
      </c>
      <c r="O61">
        <v>3.5379999999999998</v>
      </c>
      <c r="P61">
        <v>3.49</v>
      </c>
      <c r="Q61">
        <v>3.41</v>
      </c>
      <c r="R61">
        <v>3.395</v>
      </c>
      <c r="S61" s="2">
        <v>45442</v>
      </c>
      <c r="T61">
        <v>3.4449999999999998</v>
      </c>
      <c r="U61">
        <v>3.484</v>
      </c>
      <c r="V61">
        <v>3.48</v>
      </c>
      <c r="W61">
        <v>3.4449999999999998</v>
      </c>
      <c r="X61">
        <v>3.4649999999999999</v>
      </c>
      <c r="Y61">
        <v>3.512</v>
      </c>
      <c r="Z61">
        <v>3.5579999999999998</v>
      </c>
      <c r="AA61">
        <v>3.5670000000000002</v>
      </c>
      <c r="AB61">
        <v>3.5830000000000002</v>
      </c>
      <c r="AC61">
        <v>3.6150000000000002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s="2">
        <v>45442</v>
      </c>
      <c r="AK61">
        <v>3.4460000000000002</v>
      </c>
      <c r="AL61">
        <v>3.4350000000000001</v>
      </c>
      <c r="AM61">
        <v>3.4180000000000001</v>
      </c>
      <c r="AN61">
        <v>3.3929999999999998</v>
      </c>
      <c r="AO61">
        <v>3.4550000000000001</v>
      </c>
      <c r="AP61">
        <v>3.4470000000000001</v>
      </c>
      <c r="AQ61">
        <v>3.468</v>
      </c>
      <c r="AR61">
        <v>3.4660000000000002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</row>
    <row r="62" spans="2:52">
      <c r="B62" s="2">
        <v>45441</v>
      </c>
      <c r="C62">
        <v>3.403</v>
      </c>
      <c r="D62">
        <v>3.4550000000000001</v>
      </c>
      <c r="E62">
        <v>3.4</v>
      </c>
      <c r="F62">
        <v>3.4</v>
      </c>
      <c r="G62">
        <v>3.41</v>
      </c>
      <c r="H62">
        <v>3.4449999999999998</v>
      </c>
      <c r="I62">
        <v>3.4319999999999999</v>
      </c>
      <c r="J62">
        <v>3.42</v>
      </c>
      <c r="K62">
        <v>3.4569999999999999</v>
      </c>
      <c r="L62">
        <v>3.4649999999999999</v>
      </c>
      <c r="M62">
        <v>3.5230000000000001</v>
      </c>
      <c r="N62">
        <v>3.5350000000000001</v>
      </c>
      <c r="O62">
        <v>3.5179999999999998</v>
      </c>
      <c r="P62">
        <v>3.4769999999999999</v>
      </c>
      <c r="Q62">
        <v>3.395</v>
      </c>
      <c r="R62">
        <v>3.383</v>
      </c>
      <c r="S62" s="2">
        <v>45441</v>
      </c>
      <c r="T62">
        <v>3.4449999999999998</v>
      </c>
      <c r="U62">
        <v>3.4809999999999999</v>
      </c>
      <c r="V62">
        <v>3.4769999999999999</v>
      </c>
      <c r="W62">
        <v>3.4420000000000002</v>
      </c>
      <c r="X62">
        <v>3.456</v>
      </c>
      <c r="Y62">
        <v>3.5019999999999998</v>
      </c>
      <c r="Z62">
        <v>3.54</v>
      </c>
      <c r="AA62">
        <v>3.5470000000000002</v>
      </c>
      <c r="AB62">
        <v>3.5590000000000002</v>
      </c>
      <c r="AC62">
        <v>3.5990000000000002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s="2">
        <v>45441</v>
      </c>
      <c r="AK62">
        <v>3.44</v>
      </c>
      <c r="AL62">
        <v>3.4279999999999999</v>
      </c>
      <c r="AM62">
        <v>3.407</v>
      </c>
      <c r="AN62">
        <v>3.3809999999999998</v>
      </c>
      <c r="AO62">
        <v>3.44</v>
      </c>
      <c r="AP62">
        <v>3.4279999999999999</v>
      </c>
      <c r="AQ62">
        <v>3.4470000000000001</v>
      </c>
      <c r="AR62">
        <v>3.448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</row>
    <row r="63" spans="2:52">
      <c r="B63" s="2">
        <v>45440</v>
      </c>
      <c r="C63">
        <v>3.403</v>
      </c>
      <c r="D63">
        <v>3.4529999999999998</v>
      </c>
      <c r="E63">
        <v>3.4</v>
      </c>
      <c r="F63">
        <v>3.3929999999999998</v>
      </c>
      <c r="G63">
        <v>3.407</v>
      </c>
      <c r="H63">
        <v>3.423</v>
      </c>
      <c r="I63">
        <v>3.3980000000000001</v>
      </c>
      <c r="J63">
        <v>3.387</v>
      </c>
      <c r="K63">
        <v>3.4169999999999998</v>
      </c>
      <c r="L63">
        <v>3.415</v>
      </c>
      <c r="M63">
        <v>3.47</v>
      </c>
      <c r="N63">
        <v>3.4769999999999999</v>
      </c>
      <c r="O63">
        <v>3.464</v>
      </c>
      <c r="P63">
        <v>3.427</v>
      </c>
      <c r="Q63">
        <v>3.355</v>
      </c>
      <c r="R63">
        <v>3.343</v>
      </c>
      <c r="S63" s="2">
        <v>45440</v>
      </c>
      <c r="T63">
        <v>3.4449999999999998</v>
      </c>
      <c r="U63">
        <v>3.4809999999999999</v>
      </c>
      <c r="V63">
        <v>3.4750000000000001</v>
      </c>
      <c r="W63">
        <v>3.4340000000000002</v>
      </c>
      <c r="X63">
        <v>3.448</v>
      </c>
      <c r="Y63">
        <v>3.48</v>
      </c>
      <c r="Z63">
        <v>3.5070000000000001</v>
      </c>
      <c r="AA63">
        <v>3.5150000000000001</v>
      </c>
      <c r="AB63">
        <v>3.5190000000000001</v>
      </c>
      <c r="AC63">
        <v>3.5579999999999998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s="2">
        <v>45440</v>
      </c>
      <c r="AK63">
        <v>3.4380000000000002</v>
      </c>
      <c r="AL63">
        <v>3.4249999999999998</v>
      </c>
      <c r="AM63">
        <v>3.4009999999999998</v>
      </c>
      <c r="AN63">
        <v>3.367</v>
      </c>
      <c r="AO63">
        <v>3.42</v>
      </c>
      <c r="AP63">
        <v>3.4049999999999998</v>
      </c>
      <c r="AQ63">
        <v>3.4119999999999999</v>
      </c>
      <c r="AR63">
        <v>3.415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</row>
    <row r="64" spans="2:52">
      <c r="B64" s="2">
        <v>45439</v>
      </c>
      <c r="C64">
        <v>3.403</v>
      </c>
      <c r="D64">
        <v>3.456</v>
      </c>
      <c r="E64">
        <v>3.4049999999999998</v>
      </c>
      <c r="F64">
        <v>3.4049999999999998</v>
      </c>
      <c r="G64">
        <v>3.4260000000000002</v>
      </c>
      <c r="H64">
        <v>3.4449999999999998</v>
      </c>
      <c r="I64">
        <v>3.415</v>
      </c>
      <c r="J64">
        <v>3.41</v>
      </c>
      <c r="K64">
        <v>3.4369999999999998</v>
      </c>
      <c r="L64">
        <v>3.4369999999999998</v>
      </c>
      <c r="M64">
        <v>3.4910000000000001</v>
      </c>
      <c r="N64">
        <v>3.4969999999999999</v>
      </c>
      <c r="O64">
        <v>3.4790000000000001</v>
      </c>
      <c r="P64">
        <v>3.44</v>
      </c>
      <c r="Q64">
        <v>3.36</v>
      </c>
      <c r="R64">
        <v>3.3479999999999999</v>
      </c>
      <c r="S64" s="2">
        <v>45439</v>
      </c>
      <c r="T64">
        <v>3.4460000000000002</v>
      </c>
      <c r="U64">
        <v>3.4860000000000002</v>
      </c>
      <c r="V64">
        <v>3.4820000000000002</v>
      </c>
      <c r="W64">
        <v>3.4420000000000002</v>
      </c>
      <c r="X64">
        <v>3.4660000000000002</v>
      </c>
      <c r="Y64">
        <v>3.4990000000000001</v>
      </c>
      <c r="Z64">
        <v>3.524</v>
      </c>
      <c r="AA64">
        <v>3.5379999999999998</v>
      </c>
      <c r="AB64">
        <v>3.5390000000000001</v>
      </c>
      <c r="AC64">
        <v>3.5750000000000002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 s="2">
        <v>45439</v>
      </c>
      <c r="AK64">
        <v>3.4430000000000001</v>
      </c>
      <c r="AL64">
        <v>3.4319999999999999</v>
      </c>
      <c r="AM64">
        <v>3.41</v>
      </c>
      <c r="AN64">
        <v>3.37</v>
      </c>
      <c r="AO64">
        <v>3.4319999999999999</v>
      </c>
      <c r="AP64">
        <v>3.42</v>
      </c>
      <c r="AQ64">
        <v>3.43</v>
      </c>
      <c r="AR64">
        <v>3.4369999999999998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</row>
    <row r="65" spans="2:52">
      <c r="B65" s="2">
        <v>45436</v>
      </c>
      <c r="C65">
        <v>3.4049999999999998</v>
      </c>
      <c r="D65">
        <v>3.4580000000000002</v>
      </c>
      <c r="E65">
        <v>3.403</v>
      </c>
      <c r="F65">
        <v>3.4129999999999998</v>
      </c>
      <c r="G65">
        <v>3.4350000000000001</v>
      </c>
      <c r="H65">
        <v>3.4489999999999998</v>
      </c>
      <c r="I65">
        <v>3.4220000000000002</v>
      </c>
      <c r="J65">
        <v>3.415</v>
      </c>
      <c r="K65">
        <v>3.44</v>
      </c>
      <c r="L65">
        <v>3.44</v>
      </c>
      <c r="M65">
        <v>3.4980000000000002</v>
      </c>
      <c r="N65">
        <v>3.5070000000000001</v>
      </c>
      <c r="O65">
        <v>3.484</v>
      </c>
      <c r="P65">
        <v>3.44</v>
      </c>
      <c r="Q65">
        <v>3.36</v>
      </c>
      <c r="R65">
        <v>3.3479999999999999</v>
      </c>
      <c r="S65" s="2">
        <v>45436</v>
      </c>
      <c r="T65">
        <v>3.448</v>
      </c>
      <c r="U65">
        <v>3.4870000000000001</v>
      </c>
      <c r="V65">
        <v>3.48</v>
      </c>
      <c r="W65">
        <v>3.4489999999999998</v>
      </c>
      <c r="X65">
        <v>3.472</v>
      </c>
      <c r="Y65">
        <v>3.508</v>
      </c>
      <c r="Z65">
        <v>3.532</v>
      </c>
      <c r="AA65">
        <v>3.5470000000000002</v>
      </c>
      <c r="AB65">
        <v>3.5470000000000002</v>
      </c>
      <c r="AC65">
        <v>3.5750000000000002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 s="2">
        <v>45436</v>
      </c>
      <c r="AK65">
        <v>3.4449999999999998</v>
      </c>
      <c r="AL65">
        <v>3.4340000000000002</v>
      </c>
      <c r="AM65">
        <v>3.4129999999999998</v>
      </c>
      <c r="AN65">
        <v>3.375</v>
      </c>
      <c r="AO65">
        <v>3.4409999999999998</v>
      </c>
      <c r="AP65">
        <v>3.43</v>
      </c>
      <c r="AQ65">
        <v>3.4380000000000002</v>
      </c>
      <c r="AR65">
        <v>3.4420000000000002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</row>
    <row r="66" spans="2:52">
      <c r="B66" s="2">
        <v>45435</v>
      </c>
      <c r="C66">
        <v>3.4049999999999998</v>
      </c>
      <c r="D66">
        <v>3.448</v>
      </c>
      <c r="E66">
        <v>3.3849999999999998</v>
      </c>
      <c r="F66">
        <v>3.4079999999999999</v>
      </c>
      <c r="G66">
        <v>3.4260000000000002</v>
      </c>
      <c r="H66">
        <v>3.4350000000000001</v>
      </c>
      <c r="I66">
        <v>3.407</v>
      </c>
      <c r="J66">
        <v>3.4</v>
      </c>
      <c r="K66">
        <v>3.42</v>
      </c>
      <c r="L66">
        <v>3.42</v>
      </c>
      <c r="M66">
        <v>3.4670000000000001</v>
      </c>
      <c r="N66">
        <v>3.4649999999999999</v>
      </c>
      <c r="O66">
        <v>3.45</v>
      </c>
      <c r="P66">
        <v>3.415</v>
      </c>
      <c r="Q66">
        <v>3.32</v>
      </c>
      <c r="R66">
        <v>3.3079999999999998</v>
      </c>
      <c r="S66" s="2">
        <v>45435</v>
      </c>
      <c r="T66">
        <v>3.448</v>
      </c>
      <c r="U66">
        <v>3.4769999999999999</v>
      </c>
      <c r="V66">
        <v>3.47</v>
      </c>
      <c r="W66">
        <v>3.444</v>
      </c>
      <c r="X66">
        <v>3.4620000000000002</v>
      </c>
      <c r="Y66">
        <v>3.4950000000000001</v>
      </c>
      <c r="Z66">
        <v>3.5169999999999999</v>
      </c>
      <c r="AA66">
        <v>3.532</v>
      </c>
      <c r="AB66">
        <v>3.5270000000000001</v>
      </c>
      <c r="AC66">
        <v>3.5489999999999999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s="2">
        <v>45435</v>
      </c>
      <c r="AK66">
        <v>3.4430000000000001</v>
      </c>
      <c r="AL66">
        <v>3.4289999999999998</v>
      </c>
      <c r="AM66">
        <v>3.4060000000000001</v>
      </c>
      <c r="AN66">
        <v>3.367</v>
      </c>
      <c r="AO66">
        <v>3.43</v>
      </c>
      <c r="AP66">
        <v>3.4180000000000001</v>
      </c>
      <c r="AQ66">
        <v>3.4249999999999998</v>
      </c>
      <c r="AR66">
        <v>3.43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</row>
    <row r="67" spans="2:52">
      <c r="B67" s="2">
        <v>45434</v>
      </c>
      <c r="C67">
        <v>3.4079999999999999</v>
      </c>
      <c r="D67">
        <v>3.4510000000000001</v>
      </c>
      <c r="E67">
        <v>3.3849999999999998</v>
      </c>
      <c r="F67">
        <v>3.423</v>
      </c>
      <c r="G67">
        <v>3.4369999999999998</v>
      </c>
      <c r="H67">
        <v>3.4449999999999998</v>
      </c>
      <c r="I67">
        <v>3.4249999999999998</v>
      </c>
      <c r="J67">
        <v>3.415</v>
      </c>
      <c r="K67">
        <v>3.4449999999999998</v>
      </c>
      <c r="L67">
        <v>3.4449999999999998</v>
      </c>
      <c r="M67">
        <v>3.4889999999999999</v>
      </c>
      <c r="N67">
        <v>3.4849999999999999</v>
      </c>
      <c r="O67">
        <v>3.4590000000000001</v>
      </c>
      <c r="P67">
        <v>3.4119999999999999</v>
      </c>
      <c r="Q67">
        <v>3.32</v>
      </c>
      <c r="R67">
        <v>3.3079999999999998</v>
      </c>
      <c r="S67" s="2">
        <v>45434</v>
      </c>
      <c r="T67">
        <v>3.4510000000000001</v>
      </c>
      <c r="U67">
        <v>3.4809999999999999</v>
      </c>
      <c r="V67">
        <v>3.47</v>
      </c>
      <c r="W67">
        <v>3.4569999999999999</v>
      </c>
      <c r="X67">
        <v>3.4729999999999999</v>
      </c>
      <c r="Y67">
        <v>3.5070000000000001</v>
      </c>
      <c r="Z67">
        <v>3.536</v>
      </c>
      <c r="AA67">
        <v>3.55</v>
      </c>
      <c r="AB67">
        <v>3.5510000000000002</v>
      </c>
      <c r="AC67">
        <v>3.5659999999999998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 s="2">
        <v>45434</v>
      </c>
      <c r="AK67">
        <v>3.4460000000000002</v>
      </c>
      <c r="AL67">
        <v>3.4319999999999999</v>
      </c>
      <c r="AM67">
        <v>3.407</v>
      </c>
      <c r="AN67">
        <v>3.37</v>
      </c>
      <c r="AO67">
        <v>3.44</v>
      </c>
      <c r="AP67">
        <v>3.4350000000000001</v>
      </c>
      <c r="AQ67">
        <v>3.4420000000000002</v>
      </c>
      <c r="AR67">
        <v>3.4449999999999998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</row>
    <row r="68" spans="2:52">
      <c r="B68" s="2">
        <v>45433</v>
      </c>
      <c r="C68">
        <v>3.4079999999999999</v>
      </c>
      <c r="D68">
        <v>3.4510000000000001</v>
      </c>
      <c r="E68">
        <v>3.3849999999999998</v>
      </c>
      <c r="F68">
        <v>3.431</v>
      </c>
      <c r="G68">
        <v>3.4390000000000001</v>
      </c>
      <c r="H68">
        <v>3.444</v>
      </c>
      <c r="I68">
        <v>3.4209999999999998</v>
      </c>
      <c r="J68">
        <v>3.4119999999999999</v>
      </c>
      <c r="K68">
        <v>3.4420000000000002</v>
      </c>
      <c r="L68">
        <v>3.4449999999999998</v>
      </c>
      <c r="M68">
        <v>3.4940000000000002</v>
      </c>
      <c r="N68">
        <v>3.4950000000000001</v>
      </c>
      <c r="O68">
        <v>3.472</v>
      </c>
      <c r="P68">
        <v>3.43</v>
      </c>
      <c r="Q68">
        <v>3.34</v>
      </c>
      <c r="R68">
        <v>3.3279999999999998</v>
      </c>
      <c r="S68" s="2">
        <v>45433</v>
      </c>
      <c r="T68">
        <v>3.4510000000000001</v>
      </c>
      <c r="U68">
        <v>3.4809999999999999</v>
      </c>
      <c r="V68">
        <v>3.47</v>
      </c>
      <c r="W68">
        <v>3.464</v>
      </c>
      <c r="X68">
        <v>3.4729999999999999</v>
      </c>
      <c r="Y68">
        <v>3.5049999999999999</v>
      </c>
      <c r="Z68">
        <v>3.5329999999999999</v>
      </c>
      <c r="AA68">
        <v>3.548</v>
      </c>
      <c r="AB68">
        <v>3.5489999999999999</v>
      </c>
      <c r="AC68">
        <v>3.569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s="2">
        <v>45433</v>
      </c>
      <c r="AK68">
        <v>3.4449999999999998</v>
      </c>
      <c r="AL68">
        <v>3.43</v>
      </c>
      <c r="AM68">
        <v>3.407</v>
      </c>
      <c r="AN68">
        <v>3.37</v>
      </c>
      <c r="AO68">
        <v>3.4350000000000001</v>
      </c>
      <c r="AP68">
        <v>3.43</v>
      </c>
      <c r="AQ68">
        <v>3.4390000000000001</v>
      </c>
      <c r="AR68">
        <v>3.4420000000000002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</row>
    <row r="69" spans="2:52">
      <c r="B69" s="2">
        <v>45432</v>
      </c>
      <c r="C69">
        <v>3.4079999999999999</v>
      </c>
      <c r="D69">
        <v>3.4510000000000001</v>
      </c>
      <c r="E69">
        <v>3.3849999999999998</v>
      </c>
      <c r="F69">
        <v>3.431</v>
      </c>
      <c r="G69">
        <v>3.44</v>
      </c>
      <c r="H69">
        <v>3.4390000000000001</v>
      </c>
      <c r="I69">
        <v>3.4169999999999998</v>
      </c>
      <c r="J69">
        <v>3.407</v>
      </c>
      <c r="K69">
        <v>3.44</v>
      </c>
      <c r="L69">
        <v>3.4420000000000002</v>
      </c>
      <c r="M69">
        <v>3.4940000000000002</v>
      </c>
      <c r="N69">
        <v>3.4969999999999999</v>
      </c>
      <c r="O69">
        <v>3.4849999999999999</v>
      </c>
      <c r="P69">
        <v>3.4529999999999998</v>
      </c>
      <c r="Q69">
        <v>3.36</v>
      </c>
      <c r="R69">
        <v>3.3479999999999999</v>
      </c>
      <c r="S69" s="2">
        <v>45432</v>
      </c>
      <c r="T69">
        <v>3.4510000000000001</v>
      </c>
      <c r="U69">
        <v>3.4809999999999999</v>
      </c>
      <c r="V69">
        <v>3.47</v>
      </c>
      <c r="W69">
        <v>3.464</v>
      </c>
      <c r="X69">
        <v>3.472</v>
      </c>
      <c r="Y69">
        <v>3.5</v>
      </c>
      <c r="Z69">
        <v>3.53</v>
      </c>
      <c r="AA69">
        <v>3.544</v>
      </c>
      <c r="AB69">
        <v>3.5470000000000002</v>
      </c>
      <c r="AC69">
        <v>3.5630000000000002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 s="2">
        <v>45432</v>
      </c>
      <c r="AK69">
        <v>3.4449999999999998</v>
      </c>
      <c r="AL69">
        <v>3.427</v>
      </c>
      <c r="AM69">
        <v>3.4039999999999999</v>
      </c>
      <c r="AN69">
        <v>3.37</v>
      </c>
      <c r="AO69">
        <v>3.4340000000000002</v>
      </c>
      <c r="AP69">
        <v>3.427</v>
      </c>
      <c r="AQ69">
        <v>3.4380000000000002</v>
      </c>
      <c r="AR69">
        <v>3.4420000000000002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</row>
    <row r="70" spans="2:52">
      <c r="B70" s="2">
        <v>45429</v>
      </c>
      <c r="C70">
        <v>3.403</v>
      </c>
      <c r="D70">
        <v>3.45</v>
      </c>
      <c r="E70">
        <v>3.3809999999999998</v>
      </c>
      <c r="F70">
        <v>3.42</v>
      </c>
      <c r="G70">
        <v>3.4279999999999999</v>
      </c>
      <c r="H70">
        <v>3.415</v>
      </c>
      <c r="I70">
        <v>3.3839999999999999</v>
      </c>
      <c r="J70">
        <v>3.375</v>
      </c>
      <c r="K70">
        <v>3.407</v>
      </c>
      <c r="L70">
        <v>3.41</v>
      </c>
      <c r="M70">
        <v>3.4569999999999999</v>
      </c>
      <c r="N70">
        <v>3.4550000000000001</v>
      </c>
      <c r="O70">
        <v>3.4359999999999999</v>
      </c>
      <c r="P70">
        <v>3.3969999999999998</v>
      </c>
      <c r="Q70">
        <v>3.32</v>
      </c>
      <c r="R70">
        <v>3.3079999999999998</v>
      </c>
      <c r="S70" s="2">
        <v>45429</v>
      </c>
      <c r="T70">
        <v>3.4460000000000002</v>
      </c>
      <c r="U70">
        <v>3.4790000000000001</v>
      </c>
      <c r="V70">
        <v>3.4620000000000002</v>
      </c>
      <c r="W70">
        <v>3.4510000000000001</v>
      </c>
      <c r="X70">
        <v>3.4569999999999999</v>
      </c>
      <c r="Y70">
        <v>3.476</v>
      </c>
      <c r="Z70">
        <v>3.4969999999999999</v>
      </c>
      <c r="AA70">
        <v>3.512</v>
      </c>
      <c r="AB70">
        <v>3.5139999999999998</v>
      </c>
      <c r="AC70">
        <v>3.53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 s="2">
        <v>45429</v>
      </c>
      <c r="AK70">
        <v>3.44</v>
      </c>
      <c r="AL70">
        <v>3.42</v>
      </c>
      <c r="AM70">
        <v>3.391</v>
      </c>
      <c r="AN70">
        <v>3.3540000000000001</v>
      </c>
      <c r="AO70">
        <v>3.415</v>
      </c>
      <c r="AP70">
        <v>3.4</v>
      </c>
      <c r="AQ70">
        <v>3.407</v>
      </c>
      <c r="AR70">
        <v>3.41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</row>
    <row r="71" spans="2:52">
      <c r="B71" s="2">
        <v>45428</v>
      </c>
      <c r="C71">
        <v>3.403</v>
      </c>
      <c r="D71">
        <v>3.45</v>
      </c>
      <c r="E71">
        <v>3.39</v>
      </c>
      <c r="F71">
        <v>3.42</v>
      </c>
      <c r="G71">
        <v>3.42</v>
      </c>
      <c r="H71">
        <v>3.415</v>
      </c>
      <c r="I71">
        <v>3.39</v>
      </c>
      <c r="J71">
        <v>3.3769999999999998</v>
      </c>
      <c r="K71">
        <v>3.41</v>
      </c>
      <c r="L71">
        <v>3.415</v>
      </c>
      <c r="M71">
        <v>3.4649999999999999</v>
      </c>
      <c r="N71">
        <v>3.4649999999999999</v>
      </c>
      <c r="O71">
        <v>3.4409999999999998</v>
      </c>
      <c r="P71">
        <v>3.395</v>
      </c>
      <c r="Q71">
        <v>3.3220000000000001</v>
      </c>
      <c r="R71">
        <v>3.31</v>
      </c>
      <c r="S71" s="2">
        <v>45428</v>
      </c>
      <c r="T71">
        <v>3.4460000000000002</v>
      </c>
      <c r="U71">
        <v>3.4790000000000001</v>
      </c>
      <c r="V71">
        <v>3.47</v>
      </c>
      <c r="W71">
        <v>3.4510000000000001</v>
      </c>
      <c r="X71">
        <v>3.4510000000000001</v>
      </c>
      <c r="Y71">
        <v>3.4769999999999999</v>
      </c>
      <c r="Z71">
        <v>3.5030000000000001</v>
      </c>
      <c r="AA71">
        <v>3.5139999999999998</v>
      </c>
      <c r="AB71">
        <v>3.5169999999999999</v>
      </c>
      <c r="AC71">
        <v>3.5339999999999998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 s="2">
        <v>45428</v>
      </c>
      <c r="AK71">
        <v>3.44</v>
      </c>
      <c r="AL71">
        <v>3.42</v>
      </c>
      <c r="AM71">
        <v>3.391</v>
      </c>
      <c r="AN71">
        <v>3.3519999999999999</v>
      </c>
      <c r="AO71">
        <v>3.415</v>
      </c>
      <c r="AP71">
        <v>3.4049999999999998</v>
      </c>
      <c r="AQ71">
        <v>3.4119999999999999</v>
      </c>
      <c r="AR71">
        <v>3.41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</row>
    <row r="72" spans="2:52">
      <c r="B72" s="2">
        <v>45426</v>
      </c>
      <c r="C72">
        <v>3.41</v>
      </c>
      <c r="D72">
        <v>3.4550000000000001</v>
      </c>
      <c r="E72">
        <v>3.4129999999999998</v>
      </c>
      <c r="F72">
        <v>3.456</v>
      </c>
      <c r="G72">
        <v>3.4649999999999999</v>
      </c>
      <c r="H72">
        <v>3.4729999999999999</v>
      </c>
      <c r="I72">
        <v>3.456</v>
      </c>
      <c r="J72">
        <v>3.452</v>
      </c>
      <c r="K72">
        <v>3.4870000000000001</v>
      </c>
      <c r="L72">
        <v>3.4950000000000001</v>
      </c>
      <c r="M72">
        <v>3.5449999999999999</v>
      </c>
      <c r="N72">
        <v>3.5449999999999999</v>
      </c>
      <c r="O72">
        <v>3.5179999999999998</v>
      </c>
      <c r="P72">
        <v>3.4729999999999999</v>
      </c>
      <c r="Q72">
        <v>3.3919999999999999</v>
      </c>
      <c r="R72">
        <v>3.38</v>
      </c>
      <c r="S72" s="2">
        <v>45426</v>
      </c>
      <c r="T72">
        <v>3.4529999999999998</v>
      </c>
      <c r="U72">
        <v>3.4860000000000002</v>
      </c>
      <c r="V72">
        <v>3.49</v>
      </c>
      <c r="W72">
        <v>3.4809999999999999</v>
      </c>
      <c r="X72">
        <v>3.496</v>
      </c>
      <c r="Y72">
        <v>3.536</v>
      </c>
      <c r="Z72">
        <v>3.569</v>
      </c>
      <c r="AA72">
        <v>3.589</v>
      </c>
      <c r="AB72">
        <v>3.593</v>
      </c>
      <c r="AC72">
        <v>3.6139999999999999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 s="2">
        <v>45426</v>
      </c>
      <c r="AK72">
        <v>3.45</v>
      </c>
      <c r="AL72">
        <v>3.4319999999999999</v>
      </c>
      <c r="AM72">
        <v>3.41</v>
      </c>
      <c r="AN72">
        <v>3.3759999999999999</v>
      </c>
      <c r="AO72">
        <v>3.46</v>
      </c>
      <c r="AP72">
        <v>3.4649999999999999</v>
      </c>
      <c r="AQ72">
        <v>3.4790000000000001</v>
      </c>
      <c r="AR72">
        <v>3.484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</row>
    <row r="73" spans="2:52">
      <c r="B73" s="2">
        <v>45425</v>
      </c>
      <c r="C73">
        <v>3.41</v>
      </c>
      <c r="D73">
        <v>3.4580000000000002</v>
      </c>
      <c r="E73">
        <v>3.4129999999999998</v>
      </c>
      <c r="F73">
        <v>3.46</v>
      </c>
      <c r="G73">
        <v>3.4660000000000002</v>
      </c>
      <c r="H73">
        <v>3.472</v>
      </c>
      <c r="I73">
        <v>3.4580000000000002</v>
      </c>
      <c r="J73">
        <v>3.452</v>
      </c>
      <c r="K73">
        <v>3.4849999999999999</v>
      </c>
      <c r="L73">
        <v>3.4950000000000001</v>
      </c>
      <c r="M73">
        <v>3.55</v>
      </c>
      <c r="N73">
        <v>3.5550000000000002</v>
      </c>
      <c r="O73">
        <v>3.5310000000000001</v>
      </c>
      <c r="P73">
        <v>3.49</v>
      </c>
      <c r="Q73">
        <v>3.407</v>
      </c>
      <c r="R73">
        <v>3.395</v>
      </c>
      <c r="S73" s="2">
        <v>45425</v>
      </c>
      <c r="T73">
        <v>3.4529999999999998</v>
      </c>
      <c r="U73">
        <v>3.4889999999999999</v>
      </c>
      <c r="V73">
        <v>3.49</v>
      </c>
      <c r="W73">
        <v>3.484</v>
      </c>
      <c r="X73">
        <v>3.4969999999999999</v>
      </c>
      <c r="Y73">
        <v>3.536</v>
      </c>
      <c r="Z73">
        <v>3.5710000000000002</v>
      </c>
      <c r="AA73">
        <v>3.589</v>
      </c>
      <c r="AB73">
        <v>3.5920000000000001</v>
      </c>
      <c r="AC73">
        <v>3.6139999999999999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 s="2">
        <v>45425</v>
      </c>
      <c r="AK73">
        <v>3.45</v>
      </c>
      <c r="AL73">
        <v>3.4319999999999999</v>
      </c>
      <c r="AM73">
        <v>3.4129999999999998</v>
      </c>
      <c r="AN73">
        <v>3.3820000000000001</v>
      </c>
      <c r="AO73">
        <v>3.4649999999999999</v>
      </c>
      <c r="AP73">
        <v>3.464</v>
      </c>
      <c r="AQ73">
        <v>3.4769999999999999</v>
      </c>
      <c r="AR73">
        <v>3.48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</row>
    <row r="74" spans="2:52">
      <c r="B74" s="2">
        <v>45422</v>
      </c>
      <c r="C74">
        <v>3.411</v>
      </c>
      <c r="D74">
        <v>3.4550000000000001</v>
      </c>
      <c r="E74">
        <v>3.4180000000000001</v>
      </c>
      <c r="F74">
        <v>3.4550000000000001</v>
      </c>
      <c r="G74">
        <v>3.4550000000000001</v>
      </c>
      <c r="H74">
        <v>3.46</v>
      </c>
      <c r="I74">
        <v>3.4409999999999998</v>
      </c>
      <c r="J74">
        <v>3.4340000000000002</v>
      </c>
      <c r="K74">
        <v>3.4660000000000002</v>
      </c>
      <c r="L74">
        <v>3.4750000000000001</v>
      </c>
      <c r="M74">
        <v>3.53</v>
      </c>
      <c r="N74">
        <v>3.5350000000000001</v>
      </c>
      <c r="O74">
        <v>3.5110000000000001</v>
      </c>
      <c r="P74">
        <v>3.47</v>
      </c>
      <c r="Q74">
        <v>3.3919999999999999</v>
      </c>
      <c r="R74">
        <v>3.38</v>
      </c>
      <c r="S74" s="2">
        <v>45422</v>
      </c>
      <c r="T74">
        <v>3.4550000000000001</v>
      </c>
      <c r="U74">
        <v>3.4860000000000002</v>
      </c>
      <c r="V74">
        <v>3.4950000000000001</v>
      </c>
      <c r="W74">
        <v>3.4830000000000001</v>
      </c>
      <c r="X74">
        <v>3.4860000000000002</v>
      </c>
      <c r="Y74">
        <v>3.5230000000000001</v>
      </c>
      <c r="Z74">
        <v>3.5539999999999998</v>
      </c>
      <c r="AA74">
        <v>3.5680000000000001</v>
      </c>
      <c r="AB74">
        <v>3.573</v>
      </c>
      <c r="AC74">
        <v>3.5939999999999999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 s="2">
        <v>45422</v>
      </c>
      <c r="AK74">
        <v>3.448</v>
      </c>
      <c r="AL74">
        <v>3.43</v>
      </c>
      <c r="AM74">
        <v>3.4129999999999998</v>
      </c>
      <c r="AN74">
        <v>3.3820000000000001</v>
      </c>
      <c r="AO74">
        <v>3.45</v>
      </c>
      <c r="AP74">
        <v>3.4510000000000001</v>
      </c>
      <c r="AQ74">
        <v>3.46</v>
      </c>
      <c r="AR74">
        <v>3.46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</row>
    <row r="75" spans="2:52">
      <c r="B75" s="2">
        <v>45421</v>
      </c>
      <c r="C75">
        <v>3.411</v>
      </c>
      <c r="D75">
        <v>3.4550000000000001</v>
      </c>
      <c r="E75">
        <v>3.4159999999999999</v>
      </c>
      <c r="F75">
        <v>3.4550000000000001</v>
      </c>
      <c r="G75">
        <v>3.4529999999999998</v>
      </c>
      <c r="H75">
        <v>3.4729999999999999</v>
      </c>
      <c r="I75">
        <v>3.4649999999999999</v>
      </c>
      <c r="J75">
        <v>3.45</v>
      </c>
      <c r="K75">
        <v>3.4860000000000002</v>
      </c>
      <c r="L75">
        <v>3.4950000000000001</v>
      </c>
      <c r="M75">
        <v>3.552</v>
      </c>
      <c r="N75">
        <v>3.5569999999999999</v>
      </c>
      <c r="O75">
        <v>3.5379999999999998</v>
      </c>
      <c r="P75">
        <v>3.5019999999999998</v>
      </c>
      <c r="Q75">
        <v>3.4220000000000002</v>
      </c>
      <c r="R75">
        <v>3.3969999999999998</v>
      </c>
      <c r="S75" s="2">
        <v>45421</v>
      </c>
      <c r="T75">
        <v>3.4550000000000001</v>
      </c>
      <c r="U75">
        <v>3.4860000000000002</v>
      </c>
      <c r="V75">
        <v>3.49</v>
      </c>
      <c r="W75">
        <v>3.4830000000000001</v>
      </c>
      <c r="X75">
        <v>3.4870000000000001</v>
      </c>
      <c r="Y75">
        <v>3.5369999999999999</v>
      </c>
      <c r="Z75">
        <v>3.5739999999999998</v>
      </c>
      <c r="AA75">
        <v>3.5859999999999999</v>
      </c>
      <c r="AB75">
        <v>3.593</v>
      </c>
      <c r="AC75">
        <v>3.6150000000000002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 s="2">
        <v>45421</v>
      </c>
      <c r="AK75">
        <v>3.45</v>
      </c>
      <c r="AL75">
        <v>3.4340000000000002</v>
      </c>
      <c r="AM75">
        <v>3.4209999999999998</v>
      </c>
      <c r="AN75">
        <v>3.395</v>
      </c>
      <c r="AO75">
        <v>3.4649999999999999</v>
      </c>
      <c r="AP75">
        <v>3.4670000000000001</v>
      </c>
      <c r="AQ75">
        <v>3.48</v>
      </c>
      <c r="AR75">
        <v>3.4740000000000002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</row>
    <row r="76" spans="2:52">
      <c r="B76" s="2">
        <v>45420</v>
      </c>
      <c r="C76">
        <v>3.4129999999999998</v>
      </c>
      <c r="D76">
        <v>3.4580000000000002</v>
      </c>
      <c r="E76">
        <v>3.4180000000000001</v>
      </c>
      <c r="F76">
        <v>3.4489999999999998</v>
      </c>
      <c r="G76">
        <v>3.4449999999999998</v>
      </c>
      <c r="H76">
        <v>3.4649999999999999</v>
      </c>
      <c r="I76">
        <v>3.4550000000000001</v>
      </c>
      <c r="J76">
        <v>3.4369999999999998</v>
      </c>
      <c r="K76">
        <v>3.47</v>
      </c>
      <c r="L76">
        <v>3.4750000000000001</v>
      </c>
      <c r="M76">
        <v>3.53</v>
      </c>
      <c r="N76">
        <v>3.532</v>
      </c>
      <c r="O76">
        <v>3.508</v>
      </c>
      <c r="P76">
        <v>3.4670000000000001</v>
      </c>
      <c r="Q76">
        <v>3.3849999999999998</v>
      </c>
      <c r="R76">
        <v>3.36</v>
      </c>
      <c r="S76" s="2">
        <v>45420</v>
      </c>
      <c r="T76">
        <v>3.456</v>
      </c>
      <c r="U76">
        <v>3.4870000000000001</v>
      </c>
      <c r="V76">
        <v>3.492</v>
      </c>
      <c r="W76">
        <v>3.4769999999999999</v>
      </c>
      <c r="X76">
        <v>3.48</v>
      </c>
      <c r="Y76">
        <v>3.5289999999999999</v>
      </c>
      <c r="Z76">
        <v>3.5640000000000001</v>
      </c>
      <c r="AA76">
        <v>3.5720000000000001</v>
      </c>
      <c r="AB76">
        <v>3.577</v>
      </c>
      <c r="AC76">
        <v>3.593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 s="2">
        <v>45420</v>
      </c>
      <c r="AK76">
        <v>3.45</v>
      </c>
      <c r="AL76">
        <v>3.4289999999999998</v>
      </c>
      <c r="AM76">
        <v>3.411</v>
      </c>
      <c r="AN76">
        <v>3.3929999999999998</v>
      </c>
      <c r="AO76">
        <v>3.456</v>
      </c>
      <c r="AP76">
        <v>3.4550000000000001</v>
      </c>
      <c r="AQ76">
        <v>3.468</v>
      </c>
      <c r="AR76">
        <v>3.4609999999999999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</row>
    <row r="77" spans="2:52">
      <c r="B77" s="2">
        <v>45419</v>
      </c>
      <c r="C77">
        <v>3.4159999999999999</v>
      </c>
      <c r="D77">
        <v>3.468</v>
      </c>
      <c r="E77">
        <v>3.4180000000000001</v>
      </c>
      <c r="F77">
        <v>3.45</v>
      </c>
      <c r="G77">
        <v>3.44</v>
      </c>
      <c r="H77">
        <v>3.4710000000000001</v>
      </c>
      <c r="I77">
        <v>3.46</v>
      </c>
      <c r="J77">
        <v>3.4430000000000001</v>
      </c>
      <c r="K77">
        <v>3.476</v>
      </c>
      <c r="L77">
        <v>3.48</v>
      </c>
      <c r="M77">
        <v>3.5350000000000001</v>
      </c>
      <c r="N77">
        <v>3.5369999999999999</v>
      </c>
      <c r="O77">
        <v>3.51</v>
      </c>
      <c r="P77">
        <v>3.4649999999999999</v>
      </c>
      <c r="Q77">
        <v>3.3769999999999998</v>
      </c>
      <c r="R77">
        <v>3.3519999999999999</v>
      </c>
      <c r="S77" s="2">
        <v>45419</v>
      </c>
      <c r="T77">
        <v>3.46</v>
      </c>
      <c r="U77">
        <v>3.4969999999999999</v>
      </c>
      <c r="V77">
        <v>3.492</v>
      </c>
      <c r="W77">
        <v>3.4769999999999999</v>
      </c>
      <c r="X77">
        <v>3.476</v>
      </c>
      <c r="Y77">
        <v>3.536</v>
      </c>
      <c r="Z77">
        <v>3.57</v>
      </c>
      <c r="AA77">
        <v>3.58</v>
      </c>
      <c r="AB77">
        <v>3.5830000000000002</v>
      </c>
      <c r="AC77">
        <v>3.5960000000000001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s="2">
        <v>45419</v>
      </c>
      <c r="AK77">
        <v>3.45</v>
      </c>
      <c r="AL77">
        <v>3.4289999999999998</v>
      </c>
      <c r="AM77">
        <v>3.415</v>
      </c>
      <c r="AN77">
        <v>3.3929999999999998</v>
      </c>
      <c r="AO77">
        <v>3.4620000000000002</v>
      </c>
      <c r="AP77">
        <v>3.4620000000000002</v>
      </c>
      <c r="AQ77">
        <v>3.4740000000000002</v>
      </c>
      <c r="AR77">
        <v>3.4670000000000001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</row>
    <row r="78" spans="2:52">
      <c r="B78" s="2">
        <v>45415</v>
      </c>
      <c r="C78">
        <v>3.4180000000000001</v>
      </c>
      <c r="D78">
        <v>3.4569999999999999</v>
      </c>
      <c r="E78">
        <v>3.4279999999999999</v>
      </c>
      <c r="F78">
        <v>3.4609999999999999</v>
      </c>
      <c r="G78">
        <v>3.4630000000000001</v>
      </c>
      <c r="H78">
        <v>3.5070000000000001</v>
      </c>
      <c r="I78">
        <v>3.5089999999999999</v>
      </c>
      <c r="J78">
        <v>3.5049999999999999</v>
      </c>
      <c r="K78">
        <v>3.5449999999999999</v>
      </c>
      <c r="L78">
        <v>3.552</v>
      </c>
      <c r="M78">
        <v>3.6110000000000002</v>
      </c>
      <c r="N78">
        <v>3.617</v>
      </c>
      <c r="O78">
        <v>3.5819999999999999</v>
      </c>
      <c r="P78">
        <v>3.53</v>
      </c>
      <c r="Q78">
        <v>3.4369999999999998</v>
      </c>
      <c r="R78">
        <v>3.4119999999999999</v>
      </c>
      <c r="S78" s="2">
        <v>45415</v>
      </c>
      <c r="T78">
        <v>3.4630000000000001</v>
      </c>
      <c r="U78">
        <v>3.4969999999999999</v>
      </c>
      <c r="V78">
        <v>3.4980000000000002</v>
      </c>
      <c r="W78">
        <v>3.4969999999999999</v>
      </c>
      <c r="X78">
        <v>3.5009999999999999</v>
      </c>
      <c r="Y78">
        <v>3.5739999999999998</v>
      </c>
      <c r="Z78">
        <v>3.6190000000000002</v>
      </c>
      <c r="AA78">
        <v>3.6419999999999999</v>
      </c>
      <c r="AB78">
        <v>3.6520000000000001</v>
      </c>
      <c r="AC78">
        <v>3.6680000000000001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s="2">
        <v>45415</v>
      </c>
      <c r="AK78">
        <v>3.4550000000000001</v>
      </c>
      <c r="AL78">
        <v>3.4380000000000002</v>
      </c>
      <c r="AM78">
        <v>3.4249999999999998</v>
      </c>
      <c r="AN78">
        <v>3.431</v>
      </c>
      <c r="AO78">
        <v>3.4929999999999999</v>
      </c>
      <c r="AP78">
        <v>3.5019999999999998</v>
      </c>
      <c r="AQ78">
        <v>3.5259999999999998</v>
      </c>
      <c r="AR78">
        <v>3.5289999999999999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</row>
    <row r="79" spans="2:52">
      <c r="B79" s="2">
        <v>45414</v>
      </c>
      <c r="C79">
        <v>3.4180000000000001</v>
      </c>
      <c r="D79">
        <v>3.452</v>
      </c>
      <c r="E79">
        <v>3.43</v>
      </c>
      <c r="F79">
        <v>3.4620000000000002</v>
      </c>
      <c r="G79">
        <v>3.4649999999999999</v>
      </c>
      <c r="H79">
        <v>3.504</v>
      </c>
      <c r="I79">
        <v>3.51</v>
      </c>
      <c r="J79">
        <v>3.51</v>
      </c>
      <c r="K79">
        <v>3.5590000000000002</v>
      </c>
      <c r="L79">
        <v>3.5649999999999999</v>
      </c>
      <c r="M79">
        <v>3.63</v>
      </c>
      <c r="N79">
        <v>3.6419999999999999</v>
      </c>
      <c r="O79">
        <v>3.605</v>
      </c>
      <c r="P79">
        <v>3.552</v>
      </c>
      <c r="Q79">
        <v>3.4649999999999999</v>
      </c>
      <c r="R79">
        <v>3.44</v>
      </c>
      <c r="S79" s="2">
        <v>45414</v>
      </c>
      <c r="T79">
        <v>3.4630000000000001</v>
      </c>
      <c r="U79">
        <v>3.496</v>
      </c>
      <c r="V79">
        <v>3.5</v>
      </c>
      <c r="W79">
        <v>3.4990000000000001</v>
      </c>
      <c r="X79">
        <v>3.5019999999999998</v>
      </c>
      <c r="Y79">
        <v>3.5710000000000002</v>
      </c>
      <c r="Z79">
        <v>3.62</v>
      </c>
      <c r="AA79">
        <v>3.6480000000000001</v>
      </c>
      <c r="AB79">
        <v>3.6659999999999999</v>
      </c>
      <c r="AC79">
        <v>3.6779999999999999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 s="2">
        <v>45414</v>
      </c>
      <c r="AK79">
        <v>3.4550000000000001</v>
      </c>
      <c r="AL79">
        <v>3.4390000000000001</v>
      </c>
      <c r="AM79">
        <v>3.4289999999999998</v>
      </c>
      <c r="AN79">
        <v>3.4359999999999999</v>
      </c>
      <c r="AO79">
        <v>3.4940000000000002</v>
      </c>
      <c r="AP79">
        <v>3.5019999999999998</v>
      </c>
      <c r="AQ79">
        <v>3.5289999999999999</v>
      </c>
      <c r="AR79">
        <v>3.5339999999999998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</row>
    <row r="80" spans="2:52">
      <c r="B80" s="2">
        <v>45412</v>
      </c>
      <c r="C80">
        <v>3.4180000000000001</v>
      </c>
      <c r="D80">
        <v>3.4420000000000002</v>
      </c>
      <c r="E80">
        <v>3.4350000000000001</v>
      </c>
      <c r="F80">
        <v>3.4689999999999999</v>
      </c>
      <c r="G80">
        <v>3.4740000000000002</v>
      </c>
      <c r="H80">
        <v>3.5190000000000001</v>
      </c>
      <c r="I80">
        <v>3.5259999999999998</v>
      </c>
      <c r="J80">
        <v>3.5249999999999999</v>
      </c>
      <c r="K80">
        <v>3.577</v>
      </c>
      <c r="L80">
        <v>3.585</v>
      </c>
      <c r="M80">
        <v>3.645</v>
      </c>
      <c r="N80">
        <v>3.65</v>
      </c>
      <c r="O80">
        <v>3.6139999999999999</v>
      </c>
      <c r="P80">
        <v>3.5619999999999998</v>
      </c>
      <c r="Q80">
        <v>3.4820000000000002</v>
      </c>
      <c r="R80">
        <v>3.4569999999999999</v>
      </c>
      <c r="S80" s="2">
        <v>45412</v>
      </c>
      <c r="T80">
        <v>3.4630000000000001</v>
      </c>
      <c r="U80">
        <v>3.4860000000000002</v>
      </c>
      <c r="V80">
        <v>3.4990000000000001</v>
      </c>
      <c r="W80">
        <v>3.5059999999999998</v>
      </c>
      <c r="X80">
        <v>3.51</v>
      </c>
      <c r="Y80">
        <v>3.5859999999999999</v>
      </c>
      <c r="Z80">
        <v>3.6360000000000001</v>
      </c>
      <c r="AA80">
        <v>3.6640000000000001</v>
      </c>
      <c r="AB80">
        <v>3.6840000000000002</v>
      </c>
      <c r="AC80">
        <v>3.6960000000000002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 s="2">
        <v>45412</v>
      </c>
      <c r="AK80">
        <v>3.4569999999999999</v>
      </c>
      <c r="AL80">
        <v>3.44</v>
      </c>
      <c r="AM80">
        <v>3.431</v>
      </c>
      <c r="AN80">
        <v>3.4460000000000002</v>
      </c>
      <c r="AO80">
        <v>3.5049999999999999</v>
      </c>
      <c r="AP80">
        <v>3.5169999999999999</v>
      </c>
      <c r="AQ80">
        <v>3.544</v>
      </c>
      <c r="AR80">
        <v>3.5489999999999999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</row>
    <row r="81" spans="2:52">
      <c r="B81" s="2">
        <v>45411</v>
      </c>
      <c r="C81">
        <v>3.4180000000000001</v>
      </c>
      <c r="D81">
        <v>3.4470000000000001</v>
      </c>
      <c r="E81">
        <v>3.44</v>
      </c>
      <c r="F81">
        <v>3.4750000000000001</v>
      </c>
      <c r="G81">
        <v>3.4790000000000001</v>
      </c>
      <c r="H81">
        <v>3.5249999999999999</v>
      </c>
      <c r="I81">
        <v>3.5350000000000001</v>
      </c>
      <c r="J81">
        <v>3.5369999999999999</v>
      </c>
      <c r="K81">
        <v>3.605</v>
      </c>
      <c r="L81">
        <v>3.6120000000000001</v>
      </c>
      <c r="M81">
        <v>3.68</v>
      </c>
      <c r="N81">
        <v>3.69</v>
      </c>
      <c r="O81">
        <v>3.6539999999999999</v>
      </c>
      <c r="P81">
        <v>3.6030000000000002</v>
      </c>
      <c r="Q81">
        <v>3.5169999999999999</v>
      </c>
      <c r="R81">
        <v>3.492</v>
      </c>
      <c r="S81" s="2">
        <v>45411</v>
      </c>
      <c r="T81">
        <v>3.4630000000000001</v>
      </c>
      <c r="U81">
        <v>3.4910000000000001</v>
      </c>
      <c r="V81">
        <v>3.504</v>
      </c>
      <c r="W81">
        <v>3.5129999999999999</v>
      </c>
      <c r="X81">
        <v>3.5150000000000001</v>
      </c>
      <c r="Y81">
        <v>3.593</v>
      </c>
      <c r="Z81">
        <v>3.645</v>
      </c>
      <c r="AA81">
        <v>3.6760000000000002</v>
      </c>
      <c r="AB81">
        <v>3.7120000000000002</v>
      </c>
      <c r="AC81">
        <v>3.7210000000000001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 s="2">
        <v>45411</v>
      </c>
      <c r="AK81">
        <v>3.46</v>
      </c>
      <c r="AL81">
        <v>3.4430000000000001</v>
      </c>
      <c r="AM81">
        <v>3.4340000000000002</v>
      </c>
      <c r="AN81">
        <v>3.45</v>
      </c>
      <c r="AO81">
        <v>3.508</v>
      </c>
      <c r="AP81">
        <v>3.5249999999999999</v>
      </c>
      <c r="AQ81">
        <v>3.5539999999999998</v>
      </c>
      <c r="AR81">
        <v>3.5609999999999999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</row>
    <row r="82" spans="2:52">
      <c r="B82" s="2">
        <v>45408</v>
      </c>
      <c r="C82">
        <v>3.4180000000000001</v>
      </c>
      <c r="D82">
        <v>3.4359999999999999</v>
      </c>
      <c r="E82">
        <v>3.431</v>
      </c>
      <c r="F82">
        <v>3.4660000000000002</v>
      </c>
      <c r="G82">
        <v>3.4649999999999999</v>
      </c>
      <c r="H82">
        <v>3.504</v>
      </c>
      <c r="I82">
        <v>3.5150000000000001</v>
      </c>
      <c r="J82">
        <v>3.5179999999999998</v>
      </c>
      <c r="K82">
        <v>3.5779999999999998</v>
      </c>
      <c r="L82">
        <v>3.5840000000000001</v>
      </c>
      <c r="M82">
        <v>3.6640000000000001</v>
      </c>
      <c r="N82">
        <v>3.6850000000000001</v>
      </c>
      <c r="O82">
        <v>3.6520000000000001</v>
      </c>
      <c r="P82">
        <v>3.605</v>
      </c>
      <c r="Q82">
        <v>3.52</v>
      </c>
      <c r="R82">
        <v>3.4950000000000001</v>
      </c>
      <c r="S82" s="2">
        <v>45408</v>
      </c>
      <c r="T82">
        <v>3.4630000000000001</v>
      </c>
      <c r="U82">
        <v>3.4809999999999999</v>
      </c>
      <c r="V82">
        <v>3.4950000000000001</v>
      </c>
      <c r="W82">
        <v>3.5070000000000001</v>
      </c>
      <c r="X82">
        <v>3.5009999999999999</v>
      </c>
      <c r="Y82">
        <v>3.5760000000000001</v>
      </c>
      <c r="Z82">
        <v>3.6259999999999999</v>
      </c>
      <c r="AA82">
        <v>3.66</v>
      </c>
      <c r="AB82">
        <v>3.6850000000000001</v>
      </c>
      <c r="AC82">
        <v>3.6949999999999998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s="2">
        <v>45408</v>
      </c>
      <c r="AK82">
        <v>3.456</v>
      </c>
      <c r="AL82">
        <v>3.4390000000000001</v>
      </c>
      <c r="AM82">
        <v>3.43</v>
      </c>
      <c r="AN82">
        <v>3.4350000000000001</v>
      </c>
      <c r="AO82">
        <v>3.488</v>
      </c>
      <c r="AP82">
        <v>3.4950000000000001</v>
      </c>
      <c r="AQ82">
        <v>3.53</v>
      </c>
      <c r="AR82">
        <v>3.5419999999999998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</row>
    <row r="83" spans="2:52">
      <c r="B83" s="2">
        <v>45407</v>
      </c>
      <c r="C83">
        <v>3.4180000000000001</v>
      </c>
      <c r="D83">
        <v>3.4329999999999998</v>
      </c>
      <c r="E83">
        <v>3.4329999999999998</v>
      </c>
      <c r="F83">
        <v>3.47</v>
      </c>
      <c r="G83">
        <v>3.468</v>
      </c>
      <c r="H83">
        <v>3.52</v>
      </c>
      <c r="I83">
        <v>3.5449999999999999</v>
      </c>
      <c r="J83">
        <v>3.54</v>
      </c>
      <c r="K83">
        <v>3.61</v>
      </c>
      <c r="L83">
        <v>3.625</v>
      </c>
      <c r="M83">
        <v>3.7</v>
      </c>
      <c r="N83">
        <v>3.7109999999999999</v>
      </c>
      <c r="O83">
        <v>3.67</v>
      </c>
      <c r="P83">
        <v>3.6150000000000002</v>
      </c>
      <c r="Q83">
        <v>3.5230000000000001</v>
      </c>
      <c r="R83">
        <v>3.4980000000000002</v>
      </c>
      <c r="S83" s="2">
        <v>45407</v>
      </c>
      <c r="T83">
        <v>3.4630000000000001</v>
      </c>
      <c r="U83">
        <v>3.4769999999999999</v>
      </c>
      <c r="V83">
        <v>3.4950000000000001</v>
      </c>
      <c r="W83">
        <v>3.5089999999999999</v>
      </c>
      <c r="X83">
        <v>3.5070000000000001</v>
      </c>
      <c r="Y83">
        <v>3.5920000000000001</v>
      </c>
      <c r="Z83">
        <v>3.6549999999999998</v>
      </c>
      <c r="AA83">
        <v>3.6850000000000001</v>
      </c>
      <c r="AB83">
        <v>3.718</v>
      </c>
      <c r="AC83">
        <v>3.7349999999999999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 s="2">
        <v>45407</v>
      </c>
      <c r="AK83">
        <v>3.456</v>
      </c>
      <c r="AL83">
        <v>3.4390000000000001</v>
      </c>
      <c r="AM83">
        <v>3.431</v>
      </c>
      <c r="AN83">
        <v>3.4380000000000002</v>
      </c>
      <c r="AO83">
        <v>3.5</v>
      </c>
      <c r="AP83">
        <v>3.5139999999999998</v>
      </c>
      <c r="AQ83">
        <v>3.552</v>
      </c>
      <c r="AR83">
        <v>3.5640000000000001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</row>
    <row r="84" spans="2:52">
      <c r="B84" s="2">
        <v>45406</v>
      </c>
      <c r="C84">
        <v>3.4180000000000001</v>
      </c>
      <c r="D84">
        <v>3.4329999999999998</v>
      </c>
      <c r="E84">
        <v>3.4350000000000001</v>
      </c>
      <c r="F84">
        <v>3.468</v>
      </c>
      <c r="G84">
        <v>3.4609999999999999</v>
      </c>
      <c r="H84">
        <v>3.5110000000000001</v>
      </c>
      <c r="I84">
        <v>3.5249999999999999</v>
      </c>
      <c r="J84">
        <v>3.5070000000000001</v>
      </c>
      <c r="K84">
        <v>3.5739999999999998</v>
      </c>
      <c r="L84">
        <v>3.5819999999999999</v>
      </c>
      <c r="M84">
        <v>3.65</v>
      </c>
      <c r="N84">
        <v>3.6520000000000001</v>
      </c>
      <c r="O84">
        <v>3.6150000000000002</v>
      </c>
      <c r="P84">
        <v>3.5649999999999999</v>
      </c>
      <c r="Q84">
        <v>3.472</v>
      </c>
      <c r="R84">
        <v>3.4470000000000001</v>
      </c>
      <c r="S84" s="2">
        <v>45406</v>
      </c>
      <c r="T84">
        <v>3.4630000000000001</v>
      </c>
      <c r="U84">
        <v>3.4769999999999999</v>
      </c>
      <c r="V84">
        <v>3.4969999999999999</v>
      </c>
      <c r="W84">
        <v>3.5049999999999999</v>
      </c>
      <c r="X84">
        <v>3.5009999999999999</v>
      </c>
      <c r="Y84">
        <v>3.5790000000000002</v>
      </c>
      <c r="Z84">
        <v>3.6349999999999998</v>
      </c>
      <c r="AA84">
        <v>3.653</v>
      </c>
      <c r="AB84">
        <v>3.6819999999999999</v>
      </c>
      <c r="AC84">
        <v>3.69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 s="2">
        <v>45406</v>
      </c>
      <c r="AK84">
        <v>3.4550000000000001</v>
      </c>
      <c r="AL84">
        <v>3.4369999999999998</v>
      </c>
      <c r="AM84">
        <v>3.4279999999999999</v>
      </c>
      <c r="AN84">
        <v>3.431</v>
      </c>
      <c r="AO84">
        <v>3.4790000000000001</v>
      </c>
      <c r="AP84">
        <v>3.4950000000000001</v>
      </c>
      <c r="AQ84">
        <v>3.5289999999999999</v>
      </c>
      <c r="AR84">
        <v>3.5310000000000001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</row>
    <row r="85" spans="2:52">
      <c r="B85" s="2">
        <v>45405</v>
      </c>
      <c r="C85">
        <v>3.4249999999999998</v>
      </c>
      <c r="D85">
        <v>3.44</v>
      </c>
      <c r="E85">
        <v>3.4449999999999998</v>
      </c>
      <c r="F85">
        <v>3.468</v>
      </c>
      <c r="G85">
        <v>3.4580000000000002</v>
      </c>
      <c r="H85">
        <v>3.504</v>
      </c>
      <c r="I85">
        <v>3.51</v>
      </c>
      <c r="J85">
        <v>3.4870000000000001</v>
      </c>
      <c r="K85">
        <v>3.5539999999999998</v>
      </c>
      <c r="L85">
        <v>3.56</v>
      </c>
      <c r="M85">
        <v>3.6280000000000001</v>
      </c>
      <c r="N85">
        <v>3.6349999999999998</v>
      </c>
      <c r="O85">
        <v>3.605</v>
      </c>
      <c r="P85">
        <v>3.56</v>
      </c>
      <c r="Q85">
        <v>3.46</v>
      </c>
      <c r="R85">
        <v>3.4350000000000001</v>
      </c>
      <c r="S85" s="2">
        <v>45405</v>
      </c>
      <c r="T85">
        <v>3.47</v>
      </c>
      <c r="U85">
        <v>3.4809999999999999</v>
      </c>
      <c r="V85">
        <v>3.5030000000000001</v>
      </c>
      <c r="W85">
        <v>3.5049999999999999</v>
      </c>
      <c r="X85">
        <v>3.4969999999999999</v>
      </c>
      <c r="Y85">
        <v>3.5750000000000002</v>
      </c>
      <c r="Z85">
        <v>3.62</v>
      </c>
      <c r="AA85">
        <v>3.6349999999999998</v>
      </c>
      <c r="AB85">
        <v>3.6629999999999998</v>
      </c>
      <c r="AC85">
        <v>3.665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 s="2">
        <v>45405</v>
      </c>
      <c r="AK85">
        <v>3.456</v>
      </c>
      <c r="AL85">
        <v>3.444</v>
      </c>
      <c r="AM85">
        <v>3.43</v>
      </c>
      <c r="AN85">
        <v>3.4319999999999999</v>
      </c>
      <c r="AO85">
        <v>3.4790000000000001</v>
      </c>
      <c r="AP85">
        <v>3.4969999999999999</v>
      </c>
      <c r="AQ85">
        <v>3.52</v>
      </c>
      <c r="AR85">
        <v>3.516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</row>
    <row r="86" spans="2:52">
      <c r="B86" s="2">
        <v>45404</v>
      </c>
      <c r="C86">
        <v>3.4249999999999998</v>
      </c>
      <c r="D86">
        <v>3.4449999999999998</v>
      </c>
      <c r="E86">
        <v>3.448</v>
      </c>
      <c r="F86">
        <v>3.476</v>
      </c>
      <c r="G86">
        <v>3.4729999999999999</v>
      </c>
      <c r="H86">
        <v>3.5219999999999998</v>
      </c>
      <c r="I86">
        <v>3.5270000000000001</v>
      </c>
      <c r="J86">
        <v>3.51</v>
      </c>
      <c r="K86">
        <v>3.5779999999999998</v>
      </c>
      <c r="L86">
        <v>3.585</v>
      </c>
      <c r="M86">
        <v>3.6480000000000001</v>
      </c>
      <c r="N86">
        <v>3.6520000000000001</v>
      </c>
      <c r="O86">
        <v>3.61</v>
      </c>
      <c r="P86">
        <v>3.5550000000000002</v>
      </c>
      <c r="Q86">
        <v>3.45</v>
      </c>
      <c r="R86">
        <v>3.4249999999999998</v>
      </c>
      <c r="S86" s="2">
        <v>45404</v>
      </c>
      <c r="T86">
        <v>3.47</v>
      </c>
      <c r="U86">
        <v>3.484</v>
      </c>
      <c r="V86">
        <v>3.5070000000000001</v>
      </c>
      <c r="W86">
        <v>3.5139999999999998</v>
      </c>
      <c r="X86">
        <v>3.512</v>
      </c>
      <c r="Y86">
        <v>3.5950000000000002</v>
      </c>
      <c r="Z86">
        <v>3.6389999999999998</v>
      </c>
      <c r="AA86">
        <v>3.6579999999999999</v>
      </c>
      <c r="AB86">
        <v>3.6880000000000002</v>
      </c>
      <c r="AC86">
        <v>3.6880000000000002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 s="2">
        <v>45404</v>
      </c>
      <c r="AK86">
        <v>3.4569999999999999</v>
      </c>
      <c r="AL86">
        <v>3.448</v>
      </c>
      <c r="AM86">
        <v>3.4319999999999999</v>
      </c>
      <c r="AN86">
        <v>3.4340000000000002</v>
      </c>
      <c r="AO86">
        <v>3.4950000000000001</v>
      </c>
      <c r="AP86">
        <v>3.52</v>
      </c>
      <c r="AQ86">
        <v>3.5390000000000001</v>
      </c>
      <c r="AR86">
        <v>3.5310000000000001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</row>
    <row r="87" spans="2:52">
      <c r="B87" s="2">
        <v>45401</v>
      </c>
      <c r="C87">
        <v>3.4249999999999998</v>
      </c>
      <c r="D87">
        <v>3.4460000000000002</v>
      </c>
      <c r="E87">
        <v>3.4510000000000001</v>
      </c>
      <c r="F87">
        <v>3.456</v>
      </c>
      <c r="G87">
        <v>3.448</v>
      </c>
      <c r="H87">
        <v>3.4969999999999999</v>
      </c>
      <c r="I87">
        <v>3.4950000000000001</v>
      </c>
      <c r="J87">
        <v>3.4769999999999999</v>
      </c>
      <c r="K87">
        <v>3.5430000000000001</v>
      </c>
      <c r="L87">
        <v>3.55</v>
      </c>
      <c r="M87">
        <v>3.601</v>
      </c>
      <c r="N87">
        <v>3.59</v>
      </c>
      <c r="O87">
        <v>3.5459999999999998</v>
      </c>
      <c r="P87">
        <v>3.49</v>
      </c>
      <c r="Q87">
        <v>3.3919999999999999</v>
      </c>
      <c r="R87">
        <v>3.367</v>
      </c>
      <c r="S87" s="2">
        <v>45401</v>
      </c>
      <c r="T87">
        <v>3.47</v>
      </c>
      <c r="U87">
        <v>3.4809999999999999</v>
      </c>
      <c r="V87">
        <v>3.5070000000000001</v>
      </c>
      <c r="W87">
        <v>3.4940000000000002</v>
      </c>
      <c r="X87">
        <v>3.4870000000000001</v>
      </c>
      <c r="Y87">
        <v>3.57</v>
      </c>
      <c r="Z87">
        <v>3.6080000000000001</v>
      </c>
      <c r="AA87">
        <v>3.6259999999999999</v>
      </c>
      <c r="AB87">
        <v>3.6549999999999998</v>
      </c>
      <c r="AC87">
        <v>3.653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 s="2">
        <v>45401</v>
      </c>
      <c r="AK87">
        <v>3.456</v>
      </c>
      <c r="AL87">
        <v>3.444</v>
      </c>
      <c r="AM87">
        <v>3.4209999999999998</v>
      </c>
      <c r="AN87">
        <v>3.4180000000000001</v>
      </c>
      <c r="AO87">
        <v>3.472</v>
      </c>
      <c r="AP87">
        <v>3.4950000000000001</v>
      </c>
      <c r="AQ87">
        <v>3.508</v>
      </c>
      <c r="AR87">
        <v>3.5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</row>
    <row r="88" spans="2:52">
      <c r="B88" s="2">
        <v>45400</v>
      </c>
      <c r="C88">
        <v>3.411</v>
      </c>
      <c r="D88">
        <v>3.4260000000000002</v>
      </c>
      <c r="E88">
        <v>3.4329999999999998</v>
      </c>
      <c r="F88">
        <v>3.4329999999999998</v>
      </c>
      <c r="G88">
        <v>3.42</v>
      </c>
      <c r="H88">
        <v>3.448</v>
      </c>
      <c r="I88">
        <v>3.448</v>
      </c>
      <c r="J88">
        <v>3.43</v>
      </c>
      <c r="K88">
        <v>3.492</v>
      </c>
      <c r="L88">
        <v>3.4980000000000002</v>
      </c>
      <c r="M88">
        <v>3.5590000000000002</v>
      </c>
      <c r="N88">
        <v>3.5649999999999999</v>
      </c>
      <c r="O88">
        <v>3.5259999999999998</v>
      </c>
      <c r="P88">
        <v>3.4750000000000001</v>
      </c>
      <c r="Q88">
        <v>3.3820000000000001</v>
      </c>
      <c r="R88">
        <v>3.3570000000000002</v>
      </c>
      <c r="S88" s="2">
        <v>45400</v>
      </c>
      <c r="T88">
        <v>3.456</v>
      </c>
      <c r="U88">
        <v>3.4660000000000002</v>
      </c>
      <c r="V88">
        <v>3.488</v>
      </c>
      <c r="W88">
        <v>3.47</v>
      </c>
      <c r="X88">
        <v>3.4590000000000001</v>
      </c>
      <c r="Y88">
        <v>3.5209999999999999</v>
      </c>
      <c r="Z88">
        <v>3.5619999999999998</v>
      </c>
      <c r="AA88">
        <v>3.5790000000000002</v>
      </c>
      <c r="AB88">
        <v>3.6059999999999999</v>
      </c>
      <c r="AC88">
        <v>3.6080000000000001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 s="2">
        <v>45400</v>
      </c>
      <c r="AK88">
        <v>3.45</v>
      </c>
      <c r="AL88">
        <v>3.43</v>
      </c>
      <c r="AM88">
        <v>3.3929999999999998</v>
      </c>
      <c r="AN88">
        <v>3.3879999999999999</v>
      </c>
      <c r="AO88">
        <v>3.4359999999999999</v>
      </c>
      <c r="AP88">
        <v>3.44</v>
      </c>
      <c r="AQ88">
        <v>3.46</v>
      </c>
      <c r="AR88">
        <v>3.452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</row>
    <row r="89" spans="2:52">
      <c r="B89" s="2">
        <v>45399</v>
      </c>
      <c r="C89">
        <v>3.415</v>
      </c>
      <c r="D89">
        <v>3.4350000000000001</v>
      </c>
      <c r="E89">
        <v>3.44</v>
      </c>
      <c r="F89">
        <v>3.44</v>
      </c>
      <c r="G89">
        <v>3.4529999999999998</v>
      </c>
      <c r="H89">
        <v>3.4820000000000002</v>
      </c>
      <c r="I89">
        <v>3.4790000000000001</v>
      </c>
      <c r="J89">
        <v>3.4649999999999999</v>
      </c>
      <c r="K89">
        <v>3.524</v>
      </c>
      <c r="L89">
        <v>3.532</v>
      </c>
      <c r="M89">
        <v>3.6059999999999999</v>
      </c>
      <c r="N89">
        <v>3.625</v>
      </c>
      <c r="O89">
        <v>3.5840000000000001</v>
      </c>
      <c r="P89">
        <v>3.5249999999999999</v>
      </c>
      <c r="Q89">
        <v>3.4249999999999998</v>
      </c>
      <c r="R89">
        <v>3.4</v>
      </c>
      <c r="S89" s="2">
        <v>45399</v>
      </c>
      <c r="T89">
        <v>3.46</v>
      </c>
      <c r="U89">
        <v>3.4740000000000002</v>
      </c>
      <c r="V89">
        <v>3.4980000000000002</v>
      </c>
      <c r="W89">
        <v>3.4750000000000001</v>
      </c>
      <c r="X89">
        <v>3.492</v>
      </c>
      <c r="Y89">
        <v>3.5569999999999999</v>
      </c>
      <c r="Z89">
        <v>3.5979999999999999</v>
      </c>
      <c r="AA89">
        <v>3.6160000000000001</v>
      </c>
      <c r="AB89">
        <v>3.64</v>
      </c>
      <c r="AC89">
        <v>3.6539999999999999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s="2">
        <v>45399</v>
      </c>
      <c r="AK89">
        <v>3.4510000000000001</v>
      </c>
      <c r="AL89">
        <v>3.4319999999999999</v>
      </c>
      <c r="AM89">
        <v>3.3929999999999998</v>
      </c>
      <c r="AN89">
        <v>3.3879999999999999</v>
      </c>
      <c r="AO89">
        <v>3.4609999999999999</v>
      </c>
      <c r="AP89">
        <v>3.4649999999999999</v>
      </c>
      <c r="AQ89">
        <v>3.4929999999999999</v>
      </c>
      <c r="AR89">
        <v>3.49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</row>
    <row r="90" spans="2:52">
      <c r="B90" s="2">
        <v>45398</v>
      </c>
      <c r="C90">
        <v>3.415</v>
      </c>
      <c r="D90">
        <v>3.4430000000000001</v>
      </c>
      <c r="E90">
        <v>3.44</v>
      </c>
      <c r="F90">
        <v>3.4409999999999998</v>
      </c>
      <c r="G90">
        <v>3.4630000000000001</v>
      </c>
      <c r="H90">
        <v>3.4870000000000001</v>
      </c>
      <c r="I90">
        <v>3.4830000000000001</v>
      </c>
      <c r="J90">
        <v>3.47</v>
      </c>
      <c r="K90">
        <v>3.5289999999999999</v>
      </c>
      <c r="L90">
        <v>3.5379999999999998</v>
      </c>
      <c r="M90">
        <v>3.6110000000000002</v>
      </c>
      <c r="N90">
        <v>3.6269999999999998</v>
      </c>
      <c r="O90">
        <v>3.5880000000000001</v>
      </c>
      <c r="P90">
        <v>3.53</v>
      </c>
      <c r="Q90">
        <v>3.4369999999999998</v>
      </c>
      <c r="R90">
        <v>3.4119999999999999</v>
      </c>
      <c r="S90" s="2">
        <v>45398</v>
      </c>
      <c r="T90">
        <v>3.456</v>
      </c>
      <c r="U90">
        <v>3.4769999999999999</v>
      </c>
      <c r="V90">
        <v>3.5</v>
      </c>
      <c r="W90">
        <v>3.4729999999999999</v>
      </c>
      <c r="X90">
        <v>3.5019999999999998</v>
      </c>
      <c r="Y90">
        <v>3.5619999999999998</v>
      </c>
      <c r="Z90">
        <v>3.6030000000000002</v>
      </c>
      <c r="AA90">
        <v>3.621</v>
      </c>
      <c r="AB90">
        <v>3.645</v>
      </c>
      <c r="AC90">
        <v>3.661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s="2">
        <v>45398</v>
      </c>
      <c r="AK90">
        <v>3.4510000000000001</v>
      </c>
      <c r="AL90">
        <v>3.4340000000000002</v>
      </c>
      <c r="AM90">
        <v>3.391</v>
      </c>
      <c r="AN90">
        <v>3.3849999999999998</v>
      </c>
      <c r="AO90">
        <v>3.4620000000000002</v>
      </c>
      <c r="AP90">
        <v>3.472</v>
      </c>
      <c r="AQ90">
        <v>3.4990000000000001</v>
      </c>
      <c r="AR90">
        <v>3.5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</row>
    <row r="91" spans="2:52">
      <c r="B91" s="2">
        <v>45397</v>
      </c>
      <c r="C91">
        <v>3.415</v>
      </c>
      <c r="D91">
        <v>3.4430000000000001</v>
      </c>
      <c r="E91">
        <v>3.44</v>
      </c>
      <c r="F91">
        <v>3.4350000000000001</v>
      </c>
      <c r="G91">
        <v>3.46</v>
      </c>
      <c r="H91">
        <v>3.4660000000000002</v>
      </c>
      <c r="I91">
        <v>3.46</v>
      </c>
      <c r="J91">
        <v>3.4369999999999998</v>
      </c>
      <c r="K91">
        <v>3.4950000000000001</v>
      </c>
      <c r="L91">
        <v>3.4940000000000002</v>
      </c>
      <c r="M91">
        <v>3.5550000000000002</v>
      </c>
      <c r="N91">
        <v>3.5569999999999999</v>
      </c>
      <c r="O91">
        <v>3.528</v>
      </c>
      <c r="P91">
        <v>3.48</v>
      </c>
      <c r="Q91">
        <v>3.39</v>
      </c>
      <c r="R91">
        <v>3.3650000000000002</v>
      </c>
      <c r="S91" s="2">
        <v>45397</v>
      </c>
      <c r="T91">
        <v>3.456</v>
      </c>
      <c r="U91">
        <v>3.4820000000000002</v>
      </c>
      <c r="V91">
        <v>3.5</v>
      </c>
      <c r="W91">
        <v>3.4660000000000002</v>
      </c>
      <c r="X91">
        <v>3.4990000000000001</v>
      </c>
      <c r="Y91">
        <v>3.5409999999999999</v>
      </c>
      <c r="Z91">
        <v>3.585</v>
      </c>
      <c r="AA91">
        <v>3.597</v>
      </c>
      <c r="AB91">
        <v>3.6120000000000001</v>
      </c>
      <c r="AC91">
        <v>3.62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 s="2">
        <v>45397</v>
      </c>
      <c r="AK91">
        <v>3.4449999999999998</v>
      </c>
      <c r="AL91">
        <v>3.42</v>
      </c>
      <c r="AM91">
        <v>3.383</v>
      </c>
      <c r="AN91">
        <v>3.3780000000000001</v>
      </c>
      <c r="AO91">
        <v>3.4409999999999998</v>
      </c>
      <c r="AP91">
        <v>3.4449999999999998</v>
      </c>
      <c r="AQ91">
        <v>3.4750000000000001</v>
      </c>
      <c r="AR91">
        <v>3.468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</row>
    <row r="92" spans="2:52">
      <c r="B92" s="2">
        <v>45394</v>
      </c>
      <c r="C92">
        <v>3.42</v>
      </c>
      <c r="D92">
        <v>3.45</v>
      </c>
      <c r="E92">
        <v>3.4279999999999999</v>
      </c>
      <c r="F92">
        <v>3.423</v>
      </c>
      <c r="G92">
        <v>3.448</v>
      </c>
      <c r="H92">
        <v>3.4249999999999998</v>
      </c>
      <c r="I92">
        <v>3.4239999999999999</v>
      </c>
      <c r="J92">
        <v>3.3980000000000001</v>
      </c>
      <c r="K92">
        <v>3.4470000000000001</v>
      </c>
      <c r="L92">
        <v>3.452</v>
      </c>
      <c r="M92">
        <v>3.5259999999999998</v>
      </c>
      <c r="N92">
        <v>3.5369999999999999</v>
      </c>
      <c r="O92">
        <v>3.516</v>
      </c>
      <c r="P92">
        <v>3.45</v>
      </c>
      <c r="Q92">
        <v>3.359</v>
      </c>
      <c r="R92">
        <v>3.3340000000000001</v>
      </c>
      <c r="S92" s="2">
        <v>45394</v>
      </c>
      <c r="T92">
        <v>3.46</v>
      </c>
      <c r="U92">
        <v>3.4860000000000002</v>
      </c>
      <c r="V92">
        <v>3.492</v>
      </c>
      <c r="W92">
        <v>3.4540000000000002</v>
      </c>
      <c r="X92">
        <v>3.4809999999999999</v>
      </c>
      <c r="Y92">
        <v>3.5030000000000001</v>
      </c>
      <c r="Z92">
        <v>3.5489999999999999</v>
      </c>
      <c r="AA92">
        <v>3.56</v>
      </c>
      <c r="AB92">
        <v>3.5659999999999998</v>
      </c>
      <c r="AC92">
        <v>3.58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 s="2">
        <v>45394</v>
      </c>
      <c r="AK92">
        <v>3.456</v>
      </c>
      <c r="AL92">
        <v>3.4220000000000002</v>
      </c>
      <c r="AM92">
        <v>3.3780000000000001</v>
      </c>
      <c r="AN92">
        <v>3.3660000000000001</v>
      </c>
      <c r="AO92">
        <v>3.4119999999999999</v>
      </c>
      <c r="AP92">
        <v>3.41</v>
      </c>
      <c r="AQ92">
        <v>3.44</v>
      </c>
      <c r="AR92">
        <v>3.4329999999999998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</row>
    <row r="93" spans="2:52">
      <c r="B93" s="2">
        <v>45393</v>
      </c>
      <c r="C93">
        <v>3.4249999999999998</v>
      </c>
      <c r="D93">
        <v>3.4630000000000001</v>
      </c>
      <c r="E93">
        <v>3.44</v>
      </c>
      <c r="F93">
        <v>3.4449999999999998</v>
      </c>
      <c r="G93">
        <v>3.4820000000000002</v>
      </c>
      <c r="H93">
        <v>3.4849999999999999</v>
      </c>
      <c r="I93">
        <v>3.4860000000000002</v>
      </c>
      <c r="J93">
        <v>3.46</v>
      </c>
      <c r="K93">
        <v>3.5169999999999999</v>
      </c>
      <c r="L93">
        <v>3.51</v>
      </c>
      <c r="M93">
        <v>3.581</v>
      </c>
      <c r="N93">
        <v>3.5870000000000002</v>
      </c>
      <c r="O93">
        <v>3.5619999999999998</v>
      </c>
      <c r="P93">
        <v>3.49</v>
      </c>
      <c r="Q93">
        <v>3.39</v>
      </c>
      <c r="R93">
        <v>3.3769999999999998</v>
      </c>
      <c r="S93" s="2">
        <v>45393</v>
      </c>
      <c r="T93">
        <v>3.4649999999999999</v>
      </c>
      <c r="U93">
        <v>3.496</v>
      </c>
      <c r="V93">
        <v>3.5009999999999999</v>
      </c>
      <c r="W93">
        <v>3.4780000000000002</v>
      </c>
      <c r="X93">
        <v>3.5310000000000001</v>
      </c>
      <c r="Y93">
        <v>3.5579999999999998</v>
      </c>
      <c r="Z93">
        <v>3.6120000000000001</v>
      </c>
      <c r="AA93">
        <v>3.6219999999999999</v>
      </c>
      <c r="AB93">
        <v>3.637</v>
      </c>
      <c r="AC93">
        <v>3.6389999999999998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s="2">
        <v>45393</v>
      </c>
      <c r="AK93">
        <v>3.4649999999999999</v>
      </c>
      <c r="AL93">
        <v>3.4319999999999999</v>
      </c>
      <c r="AM93">
        <v>3.3879999999999999</v>
      </c>
      <c r="AN93">
        <v>3.3809999999999998</v>
      </c>
      <c r="AO93">
        <v>3.47</v>
      </c>
      <c r="AP93">
        <v>3.4750000000000001</v>
      </c>
      <c r="AQ93">
        <v>3.504</v>
      </c>
      <c r="AR93">
        <v>3.4950000000000001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</row>
    <row r="94" spans="2:52">
      <c r="B94" s="2">
        <v>45391</v>
      </c>
      <c r="C94">
        <v>3.4209999999999998</v>
      </c>
      <c r="D94">
        <v>3.4409999999999998</v>
      </c>
      <c r="E94">
        <v>3.4159999999999999</v>
      </c>
      <c r="F94">
        <v>3.4060000000000001</v>
      </c>
      <c r="G94">
        <v>3.4209999999999998</v>
      </c>
      <c r="H94">
        <v>3.4249999999999998</v>
      </c>
      <c r="I94">
        <v>3.4039999999999999</v>
      </c>
      <c r="J94">
        <v>3.387</v>
      </c>
      <c r="K94">
        <v>3.4430000000000001</v>
      </c>
      <c r="L94">
        <v>3.4350000000000001</v>
      </c>
      <c r="M94">
        <v>3.504</v>
      </c>
      <c r="N94">
        <v>3.5049999999999999</v>
      </c>
      <c r="O94">
        <v>3.4940000000000002</v>
      </c>
      <c r="P94">
        <v>3.431</v>
      </c>
      <c r="Q94">
        <v>3.3380000000000001</v>
      </c>
      <c r="R94">
        <v>3.3250000000000002</v>
      </c>
      <c r="S94" s="2">
        <v>45391</v>
      </c>
      <c r="T94">
        <v>3.4609999999999999</v>
      </c>
      <c r="U94">
        <v>3.4769999999999999</v>
      </c>
      <c r="V94">
        <v>3.476</v>
      </c>
      <c r="W94">
        <v>3.4430000000000001</v>
      </c>
      <c r="X94">
        <v>3.468</v>
      </c>
      <c r="Y94">
        <v>3.4889999999999999</v>
      </c>
      <c r="Z94">
        <v>3.5339999999999998</v>
      </c>
      <c r="AA94">
        <v>3.5510000000000002</v>
      </c>
      <c r="AB94">
        <v>3.5630000000000002</v>
      </c>
      <c r="AC94">
        <v>3.5630000000000002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 s="2">
        <v>45391</v>
      </c>
      <c r="AK94">
        <v>3.4569999999999999</v>
      </c>
      <c r="AL94">
        <v>3.419</v>
      </c>
      <c r="AM94">
        <v>3.363</v>
      </c>
      <c r="AN94">
        <v>3.347</v>
      </c>
      <c r="AO94">
        <v>3.4039999999999999</v>
      </c>
      <c r="AP94">
        <v>3.39</v>
      </c>
      <c r="AQ94">
        <v>3.4289999999999998</v>
      </c>
      <c r="AR94">
        <v>3.4249999999999998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</row>
    <row r="95" spans="2:52">
      <c r="B95" s="2">
        <v>45390</v>
      </c>
      <c r="C95">
        <v>3.4209999999999998</v>
      </c>
      <c r="D95">
        <v>3.4409999999999998</v>
      </c>
      <c r="E95">
        <v>3.415</v>
      </c>
      <c r="F95">
        <v>3.403</v>
      </c>
      <c r="G95">
        <v>3.411</v>
      </c>
      <c r="H95">
        <v>3.423</v>
      </c>
      <c r="I95">
        <v>3.3940000000000001</v>
      </c>
      <c r="J95">
        <v>3.3769999999999998</v>
      </c>
      <c r="K95">
        <v>3.4289999999999998</v>
      </c>
      <c r="L95">
        <v>3.42</v>
      </c>
      <c r="M95">
        <v>3.4870000000000001</v>
      </c>
      <c r="N95">
        <v>3.4870000000000001</v>
      </c>
      <c r="O95">
        <v>3.4809999999999999</v>
      </c>
      <c r="P95">
        <v>3.4249999999999998</v>
      </c>
      <c r="Q95">
        <v>3.335</v>
      </c>
      <c r="R95">
        <v>3.3220000000000001</v>
      </c>
      <c r="S95" s="2">
        <v>45390</v>
      </c>
      <c r="T95">
        <v>3.4609999999999999</v>
      </c>
      <c r="U95">
        <v>3.4769999999999999</v>
      </c>
      <c r="V95">
        <v>3.4750000000000001</v>
      </c>
      <c r="W95">
        <v>3.4380000000000002</v>
      </c>
      <c r="X95">
        <v>3.4580000000000002</v>
      </c>
      <c r="Y95">
        <v>3.484</v>
      </c>
      <c r="Z95">
        <v>3.524</v>
      </c>
      <c r="AA95">
        <v>3.544</v>
      </c>
      <c r="AB95">
        <v>3.5510000000000002</v>
      </c>
      <c r="AC95">
        <v>3.5489999999999999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 s="2">
        <v>45390</v>
      </c>
      <c r="AK95">
        <v>3.4569999999999999</v>
      </c>
      <c r="AL95">
        <v>3.419</v>
      </c>
      <c r="AM95">
        <v>3.363</v>
      </c>
      <c r="AN95">
        <v>3.3439999999999999</v>
      </c>
      <c r="AO95">
        <v>3.3919999999999999</v>
      </c>
      <c r="AP95">
        <v>3.3759999999999999</v>
      </c>
      <c r="AQ95">
        <v>3.419</v>
      </c>
      <c r="AR95">
        <v>3.4159999999999999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</row>
    <row r="96" spans="2:52">
      <c r="B96" s="2">
        <v>45387</v>
      </c>
      <c r="C96">
        <v>3.4209999999999998</v>
      </c>
      <c r="D96">
        <v>3.4409999999999998</v>
      </c>
      <c r="E96">
        <v>3.41</v>
      </c>
      <c r="F96">
        <v>3.395</v>
      </c>
      <c r="G96">
        <v>3.3730000000000002</v>
      </c>
      <c r="H96">
        <v>3.3660000000000001</v>
      </c>
      <c r="I96">
        <v>3.3460000000000001</v>
      </c>
      <c r="J96">
        <v>3.33</v>
      </c>
      <c r="K96">
        <v>3.3809999999999998</v>
      </c>
      <c r="L96">
        <v>3.3719999999999999</v>
      </c>
      <c r="M96">
        <v>3.4380000000000002</v>
      </c>
      <c r="N96">
        <v>3.4350000000000001</v>
      </c>
      <c r="O96">
        <v>3.4430000000000001</v>
      </c>
      <c r="P96">
        <v>3.39</v>
      </c>
      <c r="Q96">
        <v>3.3010000000000002</v>
      </c>
      <c r="R96">
        <v>3.2890000000000001</v>
      </c>
      <c r="S96" s="2">
        <v>45387</v>
      </c>
      <c r="T96">
        <v>3.4609999999999999</v>
      </c>
      <c r="U96">
        <v>3.476</v>
      </c>
      <c r="V96">
        <v>3.47</v>
      </c>
      <c r="W96">
        <v>3.4279999999999999</v>
      </c>
      <c r="X96">
        <v>3.42</v>
      </c>
      <c r="Y96">
        <v>3.444</v>
      </c>
      <c r="Z96">
        <v>3.4790000000000001</v>
      </c>
      <c r="AA96">
        <v>3.4990000000000001</v>
      </c>
      <c r="AB96">
        <v>3.5030000000000001</v>
      </c>
      <c r="AC96">
        <v>3.5030000000000001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s="2">
        <v>45387</v>
      </c>
      <c r="AK96">
        <v>3.4550000000000001</v>
      </c>
      <c r="AL96">
        <v>3.4119999999999999</v>
      </c>
      <c r="AM96">
        <v>3.351</v>
      </c>
      <c r="AN96">
        <v>3.3260000000000001</v>
      </c>
      <c r="AO96">
        <v>3.3540000000000001</v>
      </c>
      <c r="AP96">
        <v>3.335</v>
      </c>
      <c r="AQ96">
        <v>3.3740000000000001</v>
      </c>
      <c r="AR96">
        <v>3.371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</row>
    <row r="97" spans="2:52">
      <c r="B97" s="2">
        <v>45386</v>
      </c>
      <c r="C97">
        <v>3.4260000000000002</v>
      </c>
      <c r="D97">
        <v>3.448</v>
      </c>
      <c r="E97">
        <v>3.4119999999999999</v>
      </c>
      <c r="F97">
        <v>3.3980000000000001</v>
      </c>
      <c r="G97">
        <v>3.375</v>
      </c>
      <c r="H97">
        <v>3.3679999999999999</v>
      </c>
      <c r="I97">
        <v>3.35</v>
      </c>
      <c r="J97">
        <v>3.335</v>
      </c>
      <c r="K97">
        <v>3.3919999999999999</v>
      </c>
      <c r="L97">
        <v>3.3839999999999999</v>
      </c>
      <c r="M97">
        <v>3.456</v>
      </c>
      <c r="N97">
        <v>3.4590000000000001</v>
      </c>
      <c r="O97">
        <v>3.4609999999999999</v>
      </c>
      <c r="P97">
        <v>3.4039999999999999</v>
      </c>
      <c r="Q97">
        <v>3.32</v>
      </c>
      <c r="R97">
        <v>3.3079999999999998</v>
      </c>
      <c r="S97" s="2">
        <v>45386</v>
      </c>
      <c r="T97">
        <v>3.4660000000000002</v>
      </c>
      <c r="U97">
        <v>3.4809999999999999</v>
      </c>
      <c r="V97">
        <v>3.4769999999999999</v>
      </c>
      <c r="W97">
        <v>3.4340000000000002</v>
      </c>
      <c r="X97">
        <v>3.4220000000000002</v>
      </c>
      <c r="Y97">
        <v>3.4529999999999998</v>
      </c>
      <c r="Z97">
        <v>3.484</v>
      </c>
      <c r="AA97">
        <v>3.5049999999999999</v>
      </c>
      <c r="AB97">
        <v>3.5139999999999998</v>
      </c>
      <c r="AC97">
        <v>3.5139999999999998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s="2">
        <v>45386</v>
      </c>
      <c r="AK97">
        <v>3.4569999999999999</v>
      </c>
      <c r="AL97">
        <v>3.4129999999999998</v>
      </c>
      <c r="AM97">
        <v>3.355</v>
      </c>
      <c r="AN97">
        <v>3.3330000000000002</v>
      </c>
      <c r="AO97">
        <v>3.363</v>
      </c>
      <c r="AP97">
        <v>3.35</v>
      </c>
      <c r="AQ97">
        <v>3.3879999999999999</v>
      </c>
      <c r="AR97">
        <v>3.3849999999999998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</row>
    <row r="98" spans="2:52">
      <c r="B98" s="2">
        <v>45385</v>
      </c>
      <c r="C98">
        <v>3.43</v>
      </c>
      <c r="D98">
        <v>3.4449999999999998</v>
      </c>
      <c r="E98">
        <v>3.4039999999999999</v>
      </c>
      <c r="F98">
        <v>3.395</v>
      </c>
      <c r="G98">
        <v>3.371</v>
      </c>
      <c r="H98">
        <v>3.36</v>
      </c>
      <c r="I98">
        <v>3.3450000000000002</v>
      </c>
      <c r="J98">
        <v>3.327</v>
      </c>
      <c r="K98">
        <v>3.383</v>
      </c>
      <c r="L98">
        <v>3.3719999999999999</v>
      </c>
      <c r="M98">
        <v>3.46</v>
      </c>
      <c r="N98">
        <v>3.45</v>
      </c>
      <c r="O98">
        <v>3.45</v>
      </c>
      <c r="P98">
        <v>3.3889999999999998</v>
      </c>
      <c r="Q98">
        <v>3.31</v>
      </c>
      <c r="R98">
        <v>3.2970000000000002</v>
      </c>
      <c r="S98" s="2">
        <v>45385</v>
      </c>
      <c r="T98">
        <v>3.47</v>
      </c>
      <c r="U98">
        <v>3.4809999999999999</v>
      </c>
      <c r="V98">
        <v>3.4750000000000001</v>
      </c>
      <c r="W98">
        <v>3.4359999999999999</v>
      </c>
      <c r="X98">
        <v>3.4249999999999998</v>
      </c>
      <c r="Y98">
        <v>3.4540000000000002</v>
      </c>
      <c r="Z98">
        <v>3.4790000000000001</v>
      </c>
      <c r="AA98">
        <v>3.4969999999999999</v>
      </c>
      <c r="AB98">
        <v>3.5070000000000001</v>
      </c>
      <c r="AC98">
        <v>3.5169999999999999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 s="2">
        <v>45385</v>
      </c>
      <c r="AK98">
        <v>3.4569999999999999</v>
      </c>
      <c r="AL98">
        <v>3.4129999999999998</v>
      </c>
      <c r="AM98">
        <v>3.355</v>
      </c>
      <c r="AN98">
        <v>3.3330000000000002</v>
      </c>
      <c r="AO98">
        <v>3.363</v>
      </c>
      <c r="AP98">
        <v>3.3519999999999999</v>
      </c>
      <c r="AQ98">
        <v>3.3839999999999999</v>
      </c>
      <c r="AR98">
        <v>3.379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</row>
    <row r="99" spans="2:52">
      <c r="B99" s="2">
        <v>45384</v>
      </c>
      <c r="C99">
        <v>3.43</v>
      </c>
      <c r="D99">
        <v>3.45</v>
      </c>
      <c r="E99">
        <v>3.4039999999999999</v>
      </c>
      <c r="F99">
        <v>3.395</v>
      </c>
      <c r="G99">
        <v>3.371</v>
      </c>
      <c r="H99">
        <v>3.36</v>
      </c>
      <c r="I99">
        <v>3.3450000000000002</v>
      </c>
      <c r="J99">
        <v>3.3250000000000002</v>
      </c>
      <c r="K99">
        <v>3.3759999999999999</v>
      </c>
      <c r="L99">
        <v>3.3620000000000001</v>
      </c>
      <c r="M99">
        <v>3.4420000000000002</v>
      </c>
      <c r="N99">
        <v>3.4249999999999998</v>
      </c>
      <c r="O99">
        <v>3.431</v>
      </c>
      <c r="P99">
        <v>3.375</v>
      </c>
      <c r="Q99">
        <v>3.3</v>
      </c>
      <c r="R99">
        <v>3.2869999999999999</v>
      </c>
      <c r="S99" s="2">
        <v>45384</v>
      </c>
      <c r="T99">
        <v>3.47</v>
      </c>
      <c r="U99">
        <v>3.4860000000000002</v>
      </c>
      <c r="V99">
        <v>3.4750000000000001</v>
      </c>
      <c r="W99">
        <v>3.4329999999999998</v>
      </c>
      <c r="X99">
        <v>3.427</v>
      </c>
      <c r="Y99">
        <v>3.4550000000000001</v>
      </c>
      <c r="Z99">
        <v>3.4790000000000001</v>
      </c>
      <c r="AA99">
        <v>3.4940000000000002</v>
      </c>
      <c r="AB99">
        <v>3.5</v>
      </c>
      <c r="AC99">
        <v>3.5070000000000001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s="2">
        <v>45384</v>
      </c>
      <c r="AK99">
        <v>3.4609999999999999</v>
      </c>
      <c r="AL99">
        <v>3.4319999999999999</v>
      </c>
      <c r="AM99">
        <v>3.36</v>
      </c>
      <c r="AN99">
        <v>3.3250000000000002</v>
      </c>
      <c r="AO99">
        <v>3.37</v>
      </c>
      <c r="AP99">
        <v>3.375</v>
      </c>
      <c r="AQ99">
        <v>3.3820000000000001</v>
      </c>
      <c r="AR99">
        <v>3.375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</row>
    <row r="100" spans="2:52">
      <c r="B100" s="2">
        <v>45383</v>
      </c>
      <c r="C100">
        <v>3.43</v>
      </c>
      <c r="D100">
        <v>3.4529999999999998</v>
      </c>
      <c r="E100">
        <v>3.403</v>
      </c>
      <c r="F100">
        <v>3.3860000000000001</v>
      </c>
      <c r="G100">
        <v>3.36</v>
      </c>
      <c r="H100">
        <v>3.3460000000000001</v>
      </c>
      <c r="I100">
        <v>3.3119999999999998</v>
      </c>
      <c r="J100">
        <v>3.2919999999999998</v>
      </c>
      <c r="K100">
        <v>3.3370000000000002</v>
      </c>
      <c r="L100">
        <v>3.32</v>
      </c>
      <c r="M100">
        <v>3.3980000000000001</v>
      </c>
      <c r="N100">
        <v>3.3759999999999999</v>
      </c>
      <c r="O100">
        <v>3.3959999999999999</v>
      </c>
      <c r="P100">
        <v>3.35</v>
      </c>
      <c r="Q100">
        <v>3.282</v>
      </c>
      <c r="R100">
        <v>3.27</v>
      </c>
      <c r="S100" s="2">
        <v>45383</v>
      </c>
      <c r="T100">
        <v>3.47</v>
      </c>
      <c r="U100">
        <v>3.4889999999999999</v>
      </c>
      <c r="V100">
        <v>3.476</v>
      </c>
      <c r="W100">
        <v>3.4340000000000002</v>
      </c>
      <c r="X100">
        <v>3.4119999999999999</v>
      </c>
      <c r="Y100">
        <v>3.44</v>
      </c>
      <c r="Z100">
        <v>3.4510000000000001</v>
      </c>
      <c r="AA100">
        <v>3.4660000000000002</v>
      </c>
      <c r="AB100">
        <v>3.468</v>
      </c>
      <c r="AC100">
        <v>3.4649999999999999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s="2">
        <v>45383</v>
      </c>
      <c r="AK100">
        <v>3.4609999999999999</v>
      </c>
      <c r="AL100">
        <v>3.42</v>
      </c>
      <c r="AM100">
        <v>3.35</v>
      </c>
      <c r="AN100">
        <v>3.323</v>
      </c>
      <c r="AO100">
        <v>3.35</v>
      </c>
      <c r="AP100">
        <v>3.3439999999999999</v>
      </c>
      <c r="AQ100">
        <v>3.3490000000000002</v>
      </c>
      <c r="AR100">
        <v>3.3439999999999999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</row>
    <row r="101" spans="2:52">
      <c r="B101" s="2">
        <v>45380</v>
      </c>
      <c r="C101">
        <v>3.4350000000000001</v>
      </c>
      <c r="D101">
        <v>3.4630000000000001</v>
      </c>
      <c r="E101">
        <v>3.41</v>
      </c>
      <c r="F101">
        <v>3.3959999999999999</v>
      </c>
      <c r="G101">
        <v>3.38</v>
      </c>
      <c r="H101">
        <v>3.36</v>
      </c>
      <c r="I101">
        <v>3.34</v>
      </c>
      <c r="J101">
        <v>3.319</v>
      </c>
      <c r="K101">
        <v>3.363</v>
      </c>
      <c r="L101">
        <v>3.3450000000000002</v>
      </c>
      <c r="M101">
        <v>3.423</v>
      </c>
      <c r="N101">
        <v>3.4020000000000001</v>
      </c>
      <c r="O101">
        <v>3.423</v>
      </c>
      <c r="P101">
        <v>3.3780000000000001</v>
      </c>
      <c r="Q101">
        <v>3.31</v>
      </c>
      <c r="R101">
        <v>3.2970000000000002</v>
      </c>
      <c r="S101" s="2">
        <v>45380</v>
      </c>
      <c r="T101">
        <v>3.476</v>
      </c>
      <c r="U101">
        <v>3.4940000000000002</v>
      </c>
      <c r="V101">
        <v>3.4830000000000001</v>
      </c>
      <c r="W101">
        <v>3.4489999999999998</v>
      </c>
      <c r="X101">
        <v>3.4319999999999999</v>
      </c>
      <c r="Y101">
        <v>3.4609999999999999</v>
      </c>
      <c r="Z101">
        <v>3.4820000000000002</v>
      </c>
      <c r="AA101">
        <v>3.496</v>
      </c>
      <c r="AB101">
        <v>3.4950000000000001</v>
      </c>
      <c r="AC101">
        <v>3.49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 s="2">
        <v>45380</v>
      </c>
      <c r="AK101">
        <v>3.4649999999999999</v>
      </c>
      <c r="AL101">
        <v>3.427</v>
      </c>
      <c r="AM101">
        <v>3.355</v>
      </c>
      <c r="AN101">
        <v>3.3380000000000001</v>
      </c>
      <c r="AO101">
        <v>3.3679999999999999</v>
      </c>
      <c r="AP101">
        <v>3.363</v>
      </c>
      <c r="AQ101">
        <v>3.3730000000000002</v>
      </c>
      <c r="AR101">
        <v>3.37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</row>
    <row r="102" spans="2:52">
      <c r="B102" s="2">
        <v>45379</v>
      </c>
      <c r="C102">
        <v>3.4249999999999998</v>
      </c>
      <c r="D102">
        <v>3.4550000000000001</v>
      </c>
      <c r="E102">
        <v>3.4009999999999998</v>
      </c>
      <c r="F102">
        <v>3.3780000000000001</v>
      </c>
      <c r="G102">
        <v>3.37</v>
      </c>
      <c r="H102">
        <v>3.34</v>
      </c>
      <c r="I102">
        <v>3.32</v>
      </c>
      <c r="J102">
        <v>3.3</v>
      </c>
      <c r="K102">
        <v>3.343</v>
      </c>
      <c r="L102">
        <v>3.3250000000000002</v>
      </c>
      <c r="M102">
        <v>3.403</v>
      </c>
      <c r="N102">
        <v>3.38</v>
      </c>
      <c r="O102">
        <v>3.41</v>
      </c>
      <c r="P102">
        <v>3.37</v>
      </c>
      <c r="Q102">
        <v>3.28</v>
      </c>
      <c r="R102">
        <v>3.2669999999999999</v>
      </c>
      <c r="S102" s="2">
        <v>45379</v>
      </c>
      <c r="T102">
        <v>3.468</v>
      </c>
      <c r="U102">
        <v>3.4860000000000002</v>
      </c>
      <c r="V102">
        <v>3.4790000000000001</v>
      </c>
      <c r="W102">
        <v>3.4449999999999998</v>
      </c>
      <c r="X102">
        <v>3.43</v>
      </c>
      <c r="Y102">
        <v>3.4529999999999998</v>
      </c>
      <c r="Z102">
        <v>3.4670000000000001</v>
      </c>
      <c r="AA102">
        <v>3.484</v>
      </c>
      <c r="AB102">
        <v>3.4740000000000002</v>
      </c>
      <c r="AC102">
        <v>3.47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 s="2">
        <v>45379</v>
      </c>
      <c r="AK102">
        <v>3.4630000000000001</v>
      </c>
      <c r="AL102">
        <v>3.4249999999999998</v>
      </c>
      <c r="AM102">
        <v>3.3530000000000002</v>
      </c>
      <c r="AN102">
        <v>3.3380000000000001</v>
      </c>
      <c r="AO102">
        <v>3.3650000000000002</v>
      </c>
      <c r="AP102">
        <v>3.3540000000000001</v>
      </c>
      <c r="AQ102">
        <v>3.359</v>
      </c>
      <c r="AR102">
        <v>3.3519999999999999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</row>
    <row r="103" spans="2:52">
      <c r="B103" s="2">
        <v>45378</v>
      </c>
      <c r="C103">
        <v>3.4249999999999998</v>
      </c>
      <c r="D103">
        <v>3.456</v>
      </c>
      <c r="E103">
        <v>3.3959999999999999</v>
      </c>
      <c r="F103">
        <v>3.3660000000000001</v>
      </c>
      <c r="G103">
        <v>3.36</v>
      </c>
      <c r="H103">
        <v>3.323</v>
      </c>
      <c r="I103">
        <v>3.3149999999999999</v>
      </c>
      <c r="J103">
        <v>3.286</v>
      </c>
      <c r="K103">
        <v>3.3370000000000002</v>
      </c>
      <c r="L103">
        <v>3.3140000000000001</v>
      </c>
      <c r="M103">
        <v>3.395</v>
      </c>
      <c r="N103">
        <v>3.375</v>
      </c>
      <c r="O103">
        <v>3.4049999999999998</v>
      </c>
      <c r="P103">
        <v>3.3650000000000002</v>
      </c>
      <c r="Q103">
        <v>3.262</v>
      </c>
      <c r="R103">
        <v>3.25</v>
      </c>
      <c r="S103" s="2">
        <v>45378</v>
      </c>
      <c r="T103">
        <v>3.468</v>
      </c>
      <c r="U103">
        <v>3.4870000000000001</v>
      </c>
      <c r="V103">
        <v>3.48</v>
      </c>
      <c r="W103">
        <v>3.4420000000000002</v>
      </c>
      <c r="X103">
        <v>3.4249999999999998</v>
      </c>
      <c r="Y103">
        <v>3.4430000000000001</v>
      </c>
      <c r="Z103">
        <v>3.4649999999999999</v>
      </c>
      <c r="AA103">
        <v>3.472</v>
      </c>
      <c r="AB103">
        <v>3.47</v>
      </c>
      <c r="AC103">
        <v>3.46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 s="2">
        <v>45378</v>
      </c>
      <c r="AK103">
        <v>3.4609999999999999</v>
      </c>
      <c r="AL103">
        <v>3.42</v>
      </c>
      <c r="AM103">
        <v>3.35</v>
      </c>
      <c r="AN103">
        <v>3.3479999999999999</v>
      </c>
      <c r="AO103">
        <v>3.3679999999999999</v>
      </c>
      <c r="AP103">
        <v>3.3519999999999999</v>
      </c>
      <c r="AQ103">
        <v>3.3530000000000002</v>
      </c>
      <c r="AR103">
        <v>3.3450000000000002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</row>
    <row r="104" spans="2:52">
      <c r="B104" s="2">
        <v>45377</v>
      </c>
      <c r="C104">
        <v>3.42</v>
      </c>
      <c r="D104">
        <v>3.45</v>
      </c>
      <c r="E104">
        <v>3.39</v>
      </c>
      <c r="F104">
        <v>3.35</v>
      </c>
      <c r="G104">
        <v>3.3570000000000002</v>
      </c>
      <c r="H104">
        <v>3.3250000000000002</v>
      </c>
      <c r="I104">
        <v>3.3250000000000002</v>
      </c>
      <c r="J104">
        <v>3.302</v>
      </c>
      <c r="K104">
        <v>3.363</v>
      </c>
      <c r="L104">
        <v>3.3450000000000002</v>
      </c>
      <c r="M104">
        <v>3.43</v>
      </c>
      <c r="N104">
        <v>3.4119999999999999</v>
      </c>
      <c r="O104">
        <v>3.44</v>
      </c>
      <c r="P104">
        <v>3.3980000000000001</v>
      </c>
      <c r="Q104">
        <v>3.302</v>
      </c>
      <c r="R104">
        <v>3.29</v>
      </c>
      <c r="S104" s="2">
        <v>45377</v>
      </c>
      <c r="T104">
        <v>3.4630000000000001</v>
      </c>
      <c r="U104">
        <v>3.4809999999999999</v>
      </c>
      <c r="V104">
        <v>3.4740000000000002</v>
      </c>
      <c r="W104">
        <v>3.43</v>
      </c>
      <c r="X104">
        <v>3.4279999999999999</v>
      </c>
      <c r="Y104">
        <v>3.4489999999999998</v>
      </c>
      <c r="Z104">
        <v>3.4780000000000002</v>
      </c>
      <c r="AA104">
        <v>3.49</v>
      </c>
      <c r="AB104">
        <v>3.496</v>
      </c>
      <c r="AC104">
        <v>3.4849999999999999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 s="2">
        <v>45377</v>
      </c>
      <c r="AK104">
        <v>3.4580000000000002</v>
      </c>
      <c r="AL104">
        <v>3.407</v>
      </c>
      <c r="AM104">
        <v>3.3410000000000002</v>
      </c>
      <c r="AN104">
        <v>3.343</v>
      </c>
      <c r="AO104">
        <v>3.3839999999999999</v>
      </c>
      <c r="AP104">
        <v>3.3650000000000002</v>
      </c>
      <c r="AQ104">
        <v>3.367</v>
      </c>
      <c r="AR104">
        <v>3.36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</row>
    <row r="105" spans="2:52">
      <c r="B105" s="2">
        <v>45376</v>
      </c>
      <c r="C105">
        <v>3.415</v>
      </c>
      <c r="D105">
        <v>3.4460000000000002</v>
      </c>
      <c r="E105">
        <v>3.3759999999999999</v>
      </c>
      <c r="F105">
        <v>3.34</v>
      </c>
      <c r="G105">
        <v>3.3519999999999999</v>
      </c>
      <c r="H105">
        <v>3.3130000000000002</v>
      </c>
      <c r="I105">
        <v>3.319</v>
      </c>
      <c r="J105">
        <v>3.2909999999999999</v>
      </c>
      <c r="K105">
        <v>3.35</v>
      </c>
      <c r="L105">
        <v>3.327</v>
      </c>
      <c r="M105">
        <v>3.4119999999999999</v>
      </c>
      <c r="N105">
        <v>3.38</v>
      </c>
      <c r="O105">
        <v>3.4089999999999998</v>
      </c>
      <c r="P105">
        <v>3.37</v>
      </c>
      <c r="Q105">
        <v>3.2770000000000001</v>
      </c>
      <c r="R105">
        <v>3.2650000000000001</v>
      </c>
      <c r="S105" s="2">
        <v>45376</v>
      </c>
      <c r="T105">
        <v>3.4580000000000002</v>
      </c>
      <c r="U105">
        <v>3.4790000000000001</v>
      </c>
      <c r="V105">
        <v>3.464</v>
      </c>
      <c r="W105">
        <v>3.4239999999999999</v>
      </c>
      <c r="X105">
        <v>3.4249999999999998</v>
      </c>
      <c r="Y105">
        <v>3.4369999999999998</v>
      </c>
      <c r="Z105">
        <v>3.472</v>
      </c>
      <c r="AA105">
        <v>3.4769999999999999</v>
      </c>
      <c r="AB105">
        <v>3.484</v>
      </c>
      <c r="AC105">
        <v>3.472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 s="2">
        <v>45376</v>
      </c>
      <c r="AK105">
        <v>3.4510000000000001</v>
      </c>
      <c r="AL105">
        <v>3.4039999999999999</v>
      </c>
      <c r="AM105">
        <v>3.3279999999999998</v>
      </c>
      <c r="AN105">
        <v>3.3359999999999999</v>
      </c>
      <c r="AO105">
        <v>3.3820000000000001</v>
      </c>
      <c r="AP105">
        <v>3.3540000000000001</v>
      </c>
      <c r="AQ105">
        <v>3.3570000000000002</v>
      </c>
      <c r="AR105">
        <v>3.35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</row>
    <row r="106" spans="2:52">
      <c r="B106" s="2">
        <v>45373</v>
      </c>
      <c r="C106">
        <v>3.415</v>
      </c>
      <c r="D106">
        <v>3.4460000000000002</v>
      </c>
      <c r="E106">
        <v>3.3660000000000001</v>
      </c>
      <c r="F106">
        <v>3.34</v>
      </c>
      <c r="G106">
        <v>3.35</v>
      </c>
      <c r="H106">
        <v>3.339</v>
      </c>
      <c r="I106">
        <v>3.3149999999999999</v>
      </c>
      <c r="J106">
        <v>3.2869999999999999</v>
      </c>
      <c r="K106">
        <v>3.3450000000000002</v>
      </c>
      <c r="L106">
        <v>3.323</v>
      </c>
      <c r="M106">
        <v>3.4079999999999999</v>
      </c>
      <c r="N106">
        <v>3.3639999999999999</v>
      </c>
      <c r="O106">
        <v>3.3929999999999998</v>
      </c>
      <c r="P106">
        <v>3.3490000000000002</v>
      </c>
      <c r="Q106">
        <v>3.2650000000000001</v>
      </c>
      <c r="R106">
        <v>3.2530000000000001</v>
      </c>
      <c r="S106" s="2">
        <v>45373</v>
      </c>
      <c r="T106">
        <v>3.4580000000000002</v>
      </c>
      <c r="U106">
        <v>3.4790000000000001</v>
      </c>
      <c r="V106">
        <v>3.4540000000000002</v>
      </c>
      <c r="W106">
        <v>3.4220000000000002</v>
      </c>
      <c r="X106">
        <v>3.423</v>
      </c>
      <c r="Y106">
        <v>3.4529999999999998</v>
      </c>
      <c r="Z106">
        <v>3.468</v>
      </c>
      <c r="AA106">
        <v>3.4750000000000001</v>
      </c>
      <c r="AB106">
        <v>3.4830000000000001</v>
      </c>
      <c r="AC106">
        <v>3.4710000000000001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 s="2">
        <v>45373</v>
      </c>
      <c r="AK106">
        <v>3.4510000000000001</v>
      </c>
      <c r="AL106">
        <v>3.4039999999999999</v>
      </c>
      <c r="AM106">
        <v>3.3279999999999998</v>
      </c>
      <c r="AN106">
        <v>3.3330000000000002</v>
      </c>
      <c r="AO106">
        <v>3.38</v>
      </c>
      <c r="AP106">
        <v>3.35</v>
      </c>
      <c r="AQ106">
        <v>3.355</v>
      </c>
      <c r="AR106">
        <v>3.347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</row>
    <row r="107" spans="2:52">
      <c r="B107" s="2">
        <v>45372</v>
      </c>
      <c r="C107">
        <v>3.4129999999999998</v>
      </c>
      <c r="D107">
        <v>3.4449999999999998</v>
      </c>
      <c r="E107">
        <v>3.3650000000000002</v>
      </c>
      <c r="F107">
        <v>3.3359999999999999</v>
      </c>
      <c r="G107">
        <v>3.3530000000000002</v>
      </c>
      <c r="H107">
        <v>3.3580000000000001</v>
      </c>
      <c r="I107">
        <v>3.335</v>
      </c>
      <c r="J107">
        <v>3.3050000000000002</v>
      </c>
      <c r="K107">
        <v>3.3679999999999999</v>
      </c>
      <c r="L107">
        <v>3.3450000000000002</v>
      </c>
      <c r="M107">
        <v>3.448</v>
      </c>
      <c r="N107">
        <v>3.4079999999999999</v>
      </c>
      <c r="O107">
        <v>3.4279999999999999</v>
      </c>
      <c r="P107">
        <v>3.3740000000000001</v>
      </c>
      <c r="Q107">
        <v>3.2869999999999999</v>
      </c>
      <c r="R107">
        <v>3.2749999999999999</v>
      </c>
      <c r="S107" s="2">
        <v>45372</v>
      </c>
      <c r="T107">
        <v>3.456</v>
      </c>
      <c r="U107">
        <v>3.4769999999999999</v>
      </c>
      <c r="V107">
        <v>3.452</v>
      </c>
      <c r="W107">
        <v>3.42</v>
      </c>
      <c r="X107">
        <v>3.4279999999999999</v>
      </c>
      <c r="Y107">
        <v>3.4689999999999999</v>
      </c>
      <c r="Z107">
        <v>3.49</v>
      </c>
      <c r="AA107">
        <v>3.4950000000000001</v>
      </c>
      <c r="AB107">
        <v>3.51</v>
      </c>
      <c r="AC107">
        <v>3.504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 s="2">
        <v>45372</v>
      </c>
      <c r="AK107">
        <v>3.45</v>
      </c>
      <c r="AL107">
        <v>3.4020000000000001</v>
      </c>
      <c r="AM107">
        <v>3.323</v>
      </c>
      <c r="AN107">
        <v>3.3330000000000002</v>
      </c>
      <c r="AO107">
        <v>3.39</v>
      </c>
      <c r="AP107">
        <v>3.36</v>
      </c>
      <c r="AQ107">
        <v>3.3730000000000002</v>
      </c>
      <c r="AR107">
        <v>3.3650000000000002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</row>
    <row r="108" spans="2:52">
      <c r="B108" s="2">
        <v>45371</v>
      </c>
      <c r="C108">
        <v>3.44</v>
      </c>
      <c r="D108">
        <v>3.4510000000000001</v>
      </c>
      <c r="E108">
        <v>3.3759999999999999</v>
      </c>
      <c r="F108">
        <v>3.3450000000000002</v>
      </c>
      <c r="G108">
        <v>3.4060000000000001</v>
      </c>
      <c r="H108">
        <v>3.4289999999999998</v>
      </c>
      <c r="I108">
        <v>3.399</v>
      </c>
      <c r="J108">
        <v>3.3650000000000002</v>
      </c>
      <c r="K108">
        <v>3.423</v>
      </c>
      <c r="L108">
        <v>3.39</v>
      </c>
      <c r="M108">
        <v>3.496</v>
      </c>
      <c r="N108">
        <v>3.44</v>
      </c>
      <c r="O108">
        <v>3.456</v>
      </c>
      <c r="P108">
        <v>3.4</v>
      </c>
      <c r="Q108">
        <v>3.3149999999999999</v>
      </c>
      <c r="R108">
        <v>3.3029999999999999</v>
      </c>
      <c r="S108" s="2">
        <v>45371</v>
      </c>
      <c r="T108">
        <v>3.4830000000000001</v>
      </c>
      <c r="U108">
        <v>3.484</v>
      </c>
      <c r="V108">
        <v>3.4670000000000001</v>
      </c>
      <c r="W108">
        <v>3.4289999999999998</v>
      </c>
      <c r="X108">
        <v>3.476</v>
      </c>
      <c r="Y108">
        <v>3.532</v>
      </c>
      <c r="Z108">
        <v>3.5539999999999998</v>
      </c>
      <c r="AA108">
        <v>3.5569999999999999</v>
      </c>
      <c r="AB108">
        <v>3.5649999999999999</v>
      </c>
      <c r="AC108">
        <v>3.5510000000000002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s="2">
        <v>45371</v>
      </c>
      <c r="AK108">
        <v>3.4529999999999998</v>
      </c>
      <c r="AL108">
        <v>3.4089999999999998</v>
      </c>
      <c r="AM108">
        <v>3.33</v>
      </c>
      <c r="AN108">
        <v>3.3479999999999999</v>
      </c>
      <c r="AO108">
        <v>3.4239999999999999</v>
      </c>
      <c r="AP108">
        <v>3.4119999999999999</v>
      </c>
      <c r="AQ108">
        <v>3.43</v>
      </c>
      <c r="AR108">
        <v>3.4260000000000002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</row>
    <row r="109" spans="2:52">
      <c r="B109" s="2">
        <v>45370</v>
      </c>
      <c r="C109">
        <v>3.4460000000000002</v>
      </c>
      <c r="D109">
        <v>3.4609999999999999</v>
      </c>
      <c r="E109">
        <v>3.37</v>
      </c>
      <c r="F109">
        <v>3.3450000000000002</v>
      </c>
      <c r="G109">
        <v>3.4340000000000002</v>
      </c>
      <c r="H109">
        <v>3.4420000000000002</v>
      </c>
      <c r="I109">
        <v>3.423</v>
      </c>
      <c r="J109">
        <v>3.39</v>
      </c>
      <c r="K109">
        <v>3.452</v>
      </c>
      <c r="L109">
        <v>3.4220000000000002</v>
      </c>
      <c r="M109">
        <v>3.5289999999999999</v>
      </c>
      <c r="N109">
        <v>3.4750000000000001</v>
      </c>
      <c r="O109">
        <v>3.4870000000000001</v>
      </c>
      <c r="P109">
        <v>3.4249999999999998</v>
      </c>
      <c r="Q109">
        <v>3.3450000000000002</v>
      </c>
      <c r="R109">
        <v>3.3340000000000001</v>
      </c>
      <c r="S109" s="2">
        <v>45370</v>
      </c>
      <c r="T109">
        <v>3.488</v>
      </c>
      <c r="U109">
        <v>3.492</v>
      </c>
      <c r="V109">
        <v>3.464</v>
      </c>
      <c r="W109">
        <v>3.43</v>
      </c>
      <c r="X109">
        <v>3.4980000000000002</v>
      </c>
      <c r="Y109">
        <v>3.5550000000000002</v>
      </c>
      <c r="Z109">
        <v>3.5779999999999998</v>
      </c>
      <c r="AA109">
        <v>3.5880000000000001</v>
      </c>
      <c r="AB109">
        <v>3.5979999999999999</v>
      </c>
      <c r="AC109">
        <v>3.5830000000000002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s="2">
        <v>45370</v>
      </c>
      <c r="AK109">
        <v>3.4550000000000001</v>
      </c>
      <c r="AL109">
        <v>3.4119999999999999</v>
      </c>
      <c r="AM109">
        <v>3.3359999999999999</v>
      </c>
      <c r="AN109">
        <v>3.355</v>
      </c>
      <c r="AO109">
        <v>3.4470000000000001</v>
      </c>
      <c r="AP109">
        <v>3.4489999999999998</v>
      </c>
      <c r="AQ109">
        <v>3.4729999999999999</v>
      </c>
      <c r="AR109">
        <v>3.46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</row>
    <row r="110" spans="2:52">
      <c r="B110" s="2">
        <v>45369</v>
      </c>
      <c r="C110">
        <v>3.4460000000000002</v>
      </c>
      <c r="D110">
        <v>3.4609999999999999</v>
      </c>
      <c r="E110">
        <v>3.37</v>
      </c>
      <c r="F110">
        <v>3.3450000000000002</v>
      </c>
      <c r="G110">
        <v>3.4159999999999999</v>
      </c>
      <c r="H110">
        <v>3.415</v>
      </c>
      <c r="I110">
        <v>3.387</v>
      </c>
      <c r="J110">
        <v>3.35</v>
      </c>
      <c r="K110">
        <v>3.4140000000000001</v>
      </c>
      <c r="L110">
        <v>3.3849999999999998</v>
      </c>
      <c r="M110">
        <v>3.4889999999999999</v>
      </c>
      <c r="N110">
        <v>3.4319999999999999</v>
      </c>
      <c r="O110">
        <v>3.4590000000000001</v>
      </c>
      <c r="P110">
        <v>3.419</v>
      </c>
      <c r="Q110">
        <v>3.3250000000000002</v>
      </c>
      <c r="R110">
        <v>3.3149999999999999</v>
      </c>
      <c r="S110" s="2">
        <v>45369</v>
      </c>
      <c r="T110">
        <v>3.49</v>
      </c>
      <c r="U110">
        <v>3.4940000000000002</v>
      </c>
      <c r="V110">
        <v>3.464</v>
      </c>
      <c r="W110">
        <v>3.43</v>
      </c>
      <c r="X110">
        <v>3.4809999999999999</v>
      </c>
      <c r="Y110">
        <v>3.528</v>
      </c>
      <c r="Z110">
        <v>3.5430000000000001</v>
      </c>
      <c r="AA110">
        <v>3.552</v>
      </c>
      <c r="AB110">
        <v>3.5609999999999999</v>
      </c>
      <c r="AC110">
        <v>3.5430000000000001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 s="2">
        <v>45369</v>
      </c>
      <c r="AK110">
        <v>3.4550000000000001</v>
      </c>
      <c r="AL110">
        <v>3.4140000000000001</v>
      </c>
      <c r="AM110">
        <v>3.335</v>
      </c>
      <c r="AN110">
        <v>3.351</v>
      </c>
      <c r="AO110">
        <v>3.43</v>
      </c>
      <c r="AP110">
        <v>3.4180000000000001</v>
      </c>
      <c r="AQ110">
        <v>3.4409999999999998</v>
      </c>
      <c r="AR110">
        <v>3.4220000000000002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</row>
    <row r="111" spans="2:52">
      <c r="B111" s="2">
        <v>45366</v>
      </c>
      <c r="C111">
        <v>3.4460000000000002</v>
      </c>
      <c r="D111">
        <v>3.4649999999999999</v>
      </c>
      <c r="E111">
        <v>3.36</v>
      </c>
      <c r="F111">
        <v>3.3380000000000001</v>
      </c>
      <c r="G111">
        <v>3.3980000000000001</v>
      </c>
      <c r="H111">
        <v>3.3730000000000002</v>
      </c>
      <c r="I111">
        <v>3.3519999999999999</v>
      </c>
      <c r="J111">
        <v>3.3050000000000002</v>
      </c>
      <c r="K111">
        <v>3.3690000000000002</v>
      </c>
      <c r="L111">
        <v>3.34</v>
      </c>
      <c r="M111">
        <v>3.4540000000000002</v>
      </c>
      <c r="N111">
        <v>3.41</v>
      </c>
      <c r="O111">
        <v>3.43</v>
      </c>
      <c r="P111">
        <v>3.3849999999999998</v>
      </c>
      <c r="Q111">
        <v>3.31</v>
      </c>
      <c r="R111">
        <v>3.3</v>
      </c>
      <c r="S111" s="2">
        <v>45366</v>
      </c>
      <c r="T111">
        <v>3.492</v>
      </c>
      <c r="U111">
        <v>3.496</v>
      </c>
      <c r="V111">
        <v>3.4590000000000001</v>
      </c>
      <c r="W111">
        <v>3.43</v>
      </c>
      <c r="X111">
        <v>3.4569999999999999</v>
      </c>
      <c r="Y111">
        <v>3.49</v>
      </c>
      <c r="Z111">
        <v>3.5089999999999999</v>
      </c>
      <c r="AA111">
        <v>3.508</v>
      </c>
      <c r="AB111">
        <v>3.5179999999999998</v>
      </c>
      <c r="AC111">
        <v>3.52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s="2">
        <v>45366</v>
      </c>
      <c r="AK111">
        <v>3.46</v>
      </c>
      <c r="AL111">
        <v>3.4220000000000002</v>
      </c>
      <c r="AM111">
        <v>3.3530000000000002</v>
      </c>
      <c r="AN111">
        <v>3.35</v>
      </c>
      <c r="AO111">
        <v>3.4020000000000001</v>
      </c>
      <c r="AP111">
        <v>3.3849999999999998</v>
      </c>
      <c r="AQ111">
        <v>3.41</v>
      </c>
      <c r="AR111">
        <v>3.39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</row>
    <row r="112" spans="2:52">
      <c r="B112" s="2">
        <v>45365</v>
      </c>
      <c r="C112">
        <v>3.4460000000000002</v>
      </c>
      <c r="D112">
        <v>3.4649999999999999</v>
      </c>
      <c r="E112">
        <v>3.3650000000000002</v>
      </c>
      <c r="F112">
        <v>3.335</v>
      </c>
      <c r="G112">
        <v>3.3809999999999998</v>
      </c>
      <c r="H112">
        <v>3.35</v>
      </c>
      <c r="I112">
        <v>3.3119999999999998</v>
      </c>
      <c r="J112">
        <v>3.2669999999999999</v>
      </c>
      <c r="K112">
        <v>3.331</v>
      </c>
      <c r="L112">
        <v>3.2959999999999998</v>
      </c>
      <c r="M112">
        <v>3.4039999999999999</v>
      </c>
      <c r="N112">
        <v>3.355</v>
      </c>
      <c r="O112">
        <v>3.38</v>
      </c>
      <c r="P112">
        <v>3.34</v>
      </c>
      <c r="Q112">
        <v>3.266</v>
      </c>
      <c r="R112">
        <v>3.24</v>
      </c>
      <c r="S112" s="2">
        <v>45365</v>
      </c>
      <c r="T112">
        <v>3.4950000000000001</v>
      </c>
      <c r="U112">
        <v>3.5</v>
      </c>
      <c r="V112">
        <v>3.4649999999999999</v>
      </c>
      <c r="W112">
        <v>3.4249999999999998</v>
      </c>
      <c r="X112">
        <v>3.4390000000000001</v>
      </c>
      <c r="Y112">
        <v>3.4649999999999999</v>
      </c>
      <c r="Z112">
        <v>3.472</v>
      </c>
      <c r="AA112">
        <v>3.472</v>
      </c>
      <c r="AB112">
        <v>3.48</v>
      </c>
      <c r="AC112">
        <v>3.476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s="2">
        <v>45365</v>
      </c>
      <c r="AK112">
        <v>3.4649999999999999</v>
      </c>
      <c r="AL112">
        <v>3.4249999999999998</v>
      </c>
      <c r="AM112">
        <v>3.3610000000000002</v>
      </c>
      <c r="AN112">
        <v>3.355</v>
      </c>
      <c r="AO112">
        <v>3.3820000000000001</v>
      </c>
      <c r="AP112">
        <v>3.3570000000000002</v>
      </c>
      <c r="AQ112">
        <v>3.3740000000000001</v>
      </c>
      <c r="AR112">
        <v>3.355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</row>
    <row r="113" spans="2:52">
      <c r="B113" s="2">
        <v>45364</v>
      </c>
      <c r="C113">
        <v>3.4449999999999998</v>
      </c>
      <c r="D113">
        <v>3.4630000000000001</v>
      </c>
      <c r="E113">
        <v>3.3679999999999999</v>
      </c>
      <c r="F113">
        <v>3.331</v>
      </c>
      <c r="G113">
        <v>3.367</v>
      </c>
      <c r="H113">
        <v>3.3330000000000002</v>
      </c>
      <c r="I113">
        <v>3.2839999999999998</v>
      </c>
      <c r="J113">
        <v>3.2450000000000001</v>
      </c>
      <c r="K113">
        <v>3.2959999999999998</v>
      </c>
      <c r="L113">
        <v>3.2669999999999999</v>
      </c>
      <c r="M113">
        <v>3.379</v>
      </c>
      <c r="N113">
        <v>3.327</v>
      </c>
      <c r="O113">
        <v>3.351</v>
      </c>
      <c r="P113">
        <v>3.3090000000000002</v>
      </c>
      <c r="Q113">
        <v>3.2309999999999999</v>
      </c>
      <c r="R113">
        <v>3.2040000000000002</v>
      </c>
      <c r="S113" s="2">
        <v>45364</v>
      </c>
      <c r="T113">
        <v>3.4990000000000001</v>
      </c>
      <c r="U113">
        <v>3.5030000000000001</v>
      </c>
      <c r="V113">
        <v>3.4689999999999999</v>
      </c>
      <c r="W113">
        <v>3.4239999999999999</v>
      </c>
      <c r="X113">
        <v>3.4249999999999998</v>
      </c>
      <c r="Y113">
        <v>3.448</v>
      </c>
      <c r="Z113">
        <v>3.4449999999999998</v>
      </c>
      <c r="AA113">
        <v>3.4489999999999998</v>
      </c>
      <c r="AB113">
        <v>3.4489999999999998</v>
      </c>
      <c r="AC113">
        <v>3.45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 s="2">
        <v>45364</v>
      </c>
      <c r="AK113">
        <v>3.4689999999999999</v>
      </c>
      <c r="AL113">
        <v>3.4289999999999998</v>
      </c>
      <c r="AM113">
        <v>3.3639999999999999</v>
      </c>
      <c r="AN113">
        <v>3.3650000000000002</v>
      </c>
      <c r="AO113">
        <v>3.375</v>
      </c>
      <c r="AP113">
        <v>3.3370000000000002</v>
      </c>
      <c r="AQ113">
        <v>3.3519999999999999</v>
      </c>
      <c r="AR113">
        <v>3.33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</row>
    <row r="114" spans="2:52">
      <c r="B114" s="2">
        <v>45363</v>
      </c>
      <c r="C114">
        <v>3.448</v>
      </c>
      <c r="D114">
        <v>3.4660000000000002</v>
      </c>
      <c r="E114">
        <v>3.4009999999999998</v>
      </c>
      <c r="F114">
        <v>3.3450000000000002</v>
      </c>
      <c r="G114">
        <v>3.3780000000000001</v>
      </c>
      <c r="H114">
        <v>3.347</v>
      </c>
      <c r="I114">
        <v>3.2970000000000002</v>
      </c>
      <c r="J114">
        <v>3.27</v>
      </c>
      <c r="K114">
        <v>3.32</v>
      </c>
      <c r="L114">
        <v>3.28</v>
      </c>
      <c r="M114">
        <v>3.3889999999999998</v>
      </c>
      <c r="N114">
        <v>3.3330000000000002</v>
      </c>
      <c r="O114">
        <v>3.3580000000000001</v>
      </c>
      <c r="P114">
        <v>3.3159999999999998</v>
      </c>
      <c r="Q114">
        <v>3.2450000000000001</v>
      </c>
      <c r="R114">
        <v>3.218</v>
      </c>
      <c r="S114" s="2">
        <v>45363</v>
      </c>
      <c r="T114">
        <v>3.5019999999999998</v>
      </c>
      <c r="U114">
        <v>3.5030000000000001</v>
      </c>
      <c r="V114">
        <v>3.5019999999999998</v>
      </c>
      <c r="W114">
        <v>3.4369999999999998</v>
      </c>
      <c r="X114">
        <v>3.4359999999999999</v>
      </c>
      <c r="Y114">
        <v>3.4620000000000002</v>
      </c>
      <c r="Z114">
        <v>3.4620000000000002</v>
      </c>
      <c r="AA114">
        <v>3.4740000000000002</v>
      </c>
      <c r="AB114">
        <v>3.472</v>
      </c>
      <c r="AC114">
        <v>3.4649999999999999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 s="2">
        <v>45363</v>
      </c>
      <c r="AK114">
        <v>3.47</v>
      </c>
      <c r="AL114">
        <v>3.4329999999999998</v>
      </c>
      <c r="AM114">
        <v>3.371</v>
      </c>
      <c r="AN114">
        <v>3.3719999999999999</v>
      </c>
      <c r="AO114">
        <v>3.3809999999999998</v>
      </c>
      <c r="AP114">
        <v>3.347</v>
      </c>
      <c r="AQ114">
        <v>3.3639999999999999</v>
      </c>
      <c r="AR114">
        <v>3.3439999999999999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</row>
    <row r="115" spans="2:52">
      <c r="B115" s="2">
        <v>45362</v>
      </c>
      <c r="C115">
        <v>3.448</v>
      </c>
      <c r="D115">
        <v>3.4609999999999999</v>
      </c>
      <c r="E115">
        <v>3.411</v>
      </c>
      <c r="F115">
        <v>3.35</v>
      </c>
      <c r="G115">
        <v>3.375</v>
      </c>
      <c r="H115">
        <v>3.3410000000000002</v>
      </c>
      <c r="I115">
        <v>3.29</v>
      </c>
      <c r="J115">
        <v>3.2749999999999999</v>
      </c>
      <c r="K115">
        <v>3.3260000000000001</v>
      </c>
      <c r="L115">
        <v>3.282</v>
      </c>
      <c r="M115">
        <v>3.4049999999999998</v>
      </c>
      <c r="N115">
        <v>3.347</v>
      </c>
      <c r="O115">
        <v>3.3740000000000001</v>
      </c>
      <c r="P115">
        <v>3.34</v>
      </c>
      <c r="Q115">
        <v>3.27</v>
      </c>
      <c r="R115">
        <v>3.2429999999999999</v>
      </c>
      <c r="S115" s="2">
        <v>45362</v>
      </c>
      <c r="T115">
        <v>3.5019999999999998</v>
      </c>
      <c r="U115">
        <v>3.4980000000000002</v>
      </c>
      <c r="V115">
        <v>3.512</v>
      </c>
      <c r="W115">
        <v>3.4420000000000002</v>
      </c>
      <c r="X115">
        <v>3.431</v>
      </c>
      <c r="Y115">
        <v>3.4580000000000002</v>
      </c>
      <c r="Z115">
        <v>3.456</v>
      </c>
      <c r="AA115">
        <v>3.4780000000000002</v>
      </c>
      <c r="AB115">
        <v>3.4780000000000002</v>
      </c>
      <c r="AC115">
        <v>3.4750000000000001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s="2">
        <v>45362</v>
      </c>
      <c r="AK115">
        <v>3.47</v>
      </c>
      <c r="AL115">
        <v>3.4329999999999998</v>
      </c>
      <c r="AM115">
        <v>3.3780000000000001</v>
      </c>
      <c r="AN115">
        <v>3.3769999999999998</v>
      </c>
      <c r="AO115">
        <v>3.375</v>
      </c>
      <c r="AP115">
        <v>3.3450000000000002</v>
      </c>
      <c r="AQ115">
        <v>3.3639999999999999</v>
      </c>
      <c r="AR115">
        <v>3.3460000000000001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</row>
    <row r="116" spans="2:52">
      <c r="B116" s="2">
        <v>45359</v>
      </c>
      <c r="C116">
        <v>3.448</v>
      </c>
      <c r="D116">
        <v>3.4449999999999998</v>
      </c>
      <c r="E116">
        <v>3.4710000000000001</v>
      </c>
      <c r="F116">
        <v>3.3959999999999999</v>
      </c>
      <c r="G116">
        <v>3.3450000000000002</v>
      </c>
      <c r="H116">
        <v>3.363</v>
      </c>
      <c r="I116">
        <v>3.28</v>
      </c>
      <c r="J116">
        <v>3.2650000000000001</v>
      </c>
      <c r="K116">
        <v>3.31</v>
      </c>
      <c r="L116">
        <v>3.2970000000000002</v>
      </c>
      <c r="M116">
        <v>3.3809999999999998</v>
      </c>
      <c r="N116">
        <v>3.3210000000000002</v>
      </c>
      <c r="O116">
        <v>3.3559999999999999</v>
      </c>
      <c r="P116">
        <v>3.33</v>
      </c>
      <c r="Q116">
        <v>3.2719999999999998</v>
      </c>
      <c r="R116">
        <v>3.238</v>
      </c>
      <c r="S116" s="2">
        <v>45359</v>
      </c>
      <c r="T116">
        <v>3.5019999999999998</v>
      </c>
      <c r="U116">
        <v>3.4980000000000002</v>
      </c>
      <c r="V116">
        <v>3.5270000000000001</v>
      </c>
      <c r="W116">
        <v>3.4540000000000002</v>
      </c>
      <c r="X116">
        <v>3.4249999999999998</v>
      </c>
      <c r="Y116">
        <v>3.4540000000000002</v>
      </c>
      <c r="Z116">
        <v>3.4470000000000001</v>
      </c>
      <c r="AA116">
        <v>3.468</v>
      </c>
      <c r="AB116">
        <v>3.4630000000000001</v>
      </c>
      <c r="AC116">
        <v>3.46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 s="2">
        <v>45359</v>
      </c>
      <c r="AK116">
        <v>3.47</v>
      </c>
      <c r="AL116">
        <v>3.4329999999999998</v>
      </c>
      <c r="AM116">
        <v>3.38</v>
      </c>
      <c r="AN116">
        <v>3.3769999999999998</v>
      </c>
      <c r="AO116">
        <v>3.3639999999999999</v>
      </c>
      <c r="AP116">
        <v>3.3340000000000001</v>
      </c>
      <c r="AQ116">
        <v>3.351</v>
      </c>
      <c r="AR116">
        <v>3.3330000000000002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</row>
    <row r="117" spans="2:52">
      <c r="B117" s="2">
        <v>45358</v>
      </c>
      <c r="C117">
        <v>3.448</v>
      </c>
      <c r="D117">
        <v>3.4449999999999998</v>
      </c>
      <c r="E117">
        <v>3.488</v>
      </c>
      <c r="F117">
        <v>3.4279999999999999</v>
      </c>
      <c r="G117">
        <v>3.3889999999999998</v>
      </c>
      <c r="H117">
        <v>3.4140000000000001</v>
      </c>
      <c r="I117">
        <v>3.335</v>
      </c>
      <c r="J117">
        <v>3.3170000000000002</v>
      </c>
      <c r="K117">
        <v>3.37</v>
      </c>
      <c r="L117">
        <v>3.36</v>
      </c>
      <c r="M117">
        <v>3.4470000000000001</v>
      </c>
      <c r="N117">
        <v>3.3969999999999998</v>
      </c>
      <c r="O117">
        <v>3.427</v>
      </c>
      <c r="P117">
        <v>3.4009999999999998</v>
      </c>
      <c r="Q117">
        <v>3.335</v>
      </c>
      <c r="R117">
        <v>3.3</v>
      </c>
      <c r="S117" s="2">
        <v>45358</v>
      </c>
      <c r="T117">
        <v>3.5019999999999998</v>
      </c>
      <c r="U117">
        <v>3.4980000000000002</v>
      </c>
      <c r="V117">
        <v>3.544</v>
      </c>
      <c r="W117">
        <v>3.48</v>
      </c>
      <c r="X117">
        <v>3.4750000000000001</v>
      </c>
      <c r="Y117">
        <v>3.5059999999999998</v>
      </c>
      <c r="Z117">
        <v>3.5009999999999999</v>
      </c>
      <c r="AA117">
        <v>3.52</v>
      </c>
      <c r="AB117">
        <v>3.5219999999999998</v>
      </c>
      <c r="AC117">
        <v>3.52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 s="2">
        <v>45358</v>
      </c>
      <c r="AK117">
        <v>3.4710000000000001</v>
      </c>
      <c r="AL117">
        <v>3.4380000000000002</v>
      </c>
      <c r="AM117">
        <v>3.3889999999999998</v>
      </c>
      <c r="AN117">
        <v>3.3940000000000001</v>
      </c>
      <c r="AO117">
        <v>3.4169999999999998</v>
      </c>
      <c r="AP117">
        <v>3.3839999999999999</v>
      </c>
      <c r="AQ117">
        <v>3.3969999999999998</v>
      </c>
      <c r="AR117">
        <v>3.383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</row>
    <row r="118" spans="2:52">
      <c r="B118" s="2">
        <v>45357</v>
      </c>
      <c r="C118">
        <v>3.448</v>
      </c>
      <c r="D118">
        <v>3.4449999999999998</v>
      </c>
      <c r="E118">
        <v>3.49</v>
      </c>
      <c r="F118">
        <v>3.4350000000000001</v>
      </c>
      <c r="G118">
        <v>3.4</v>
      </c>
      <c r="H118">
        <v>3.41</v>
      </c>
      <c r="I118">
        <v>3.3380000000000001</v>
      </c>
      <c r="J118">
        <v>3.32</v>
      </c>
      <c r="K118">
        <v>3.37</v>
      </c>
      <c r="L118">
        <v>3.355</v>
      </c>
      <c r="M118">
        <v>3.4319999999999999</v>
      </c>
      <c r="N118">
        <v>3.3769999999999998</v>
      </c>
      <c r="O118">
        <v>3.403</v>
      </c>
      <c r="P118">
        <v>3.375</v>
      </c>
      <c r="Q118">
        <v>3.31</v>
      </c>
      <c r="R118">
        <v>3.2749999999999999</v>
      </c>
      <c r="S118" s="2">
        <v>45357</v>
      </c>
      <c r="T118">
        <v>3.5019999999999998</v>
      </c>
      <c r="U118">
        <v>3.4980000000000002</v>
      </c>
      <c r="V118">
        <v>3.5449999999999999</v>
      </c>
      <c r="W118">
        <v>3.4870000000000001</v>
      </c>
      <c r="X118">
        <v>3.4849999999999999</v>
      </c>
      <c r="Y118">
        <v>3.5030000000000001</v>
      </c>
      <c r="Z118">
        <v>3.5030000000000001</v>
      </c>
      <c r="AA118">
        <v>3.5230000000000001</v>
      </c>
      <c r="AB118">
        <v>3.5230000000000001</v>
      </c>
      <c r="AC118">
        <v>3.5150000000000001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 s="2">
        <v>45357</v>
      </c>
      <c r="AK118">
        <v>3.4710000000000001</v>
      </c>
      <c r="AL118">
        <v>3.4390000000000001</v>
      </c>
      <c r="AM118">
        <v>3.39</v>
      </c>
      <c r="AN118">
        <v>3.395</v>
      </c>
      <c r="AO118">
        <v>3.4180000000000001</v>
      </c>
      <c r="AP118">
        <v>3.38</v>
      </c>
      <c r="AQ118">
        <v>3.3980000000000001</v>
      </c>
      <c r="AR118">
        <v>3.3849999999999998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</row>
    <row r="119" spans="2:52">
      <c r="B119" s="2">
        <v>45356</v>
      </c>
      <c r="C119">
        <v>3.4510000000000001</v>
      </c>
      <c r="D119">
        <v>3.4510000000000001</v>
      </c>
      <c r="E119">
        <v>3.5</v>
      </c>
      <c r="F119">
        <v>3.456</v>
      </c>
      <c r="G119">
        <v>3.4260000000000002</v>
      </c>
      <c r="H119">
        <v>3.4390000000000001</v>
      </c>
      <c r="I119">
        <v>3.3679999999999999</v>
      </c>
      <c r="J119">
        <v>3.3519999999999999</v>
      </c>
      <c r="K119">
        <v>3.4060000000000001</v>
      </c>
      <c r="L119">
        <v>3.39</v>
      </c>
      <c r="M119">
        <v>3.4580000000000002</v>
      </c>
      <c r="N119">
        <v>3.415</v>
      </c>
      <c r="O119">
        <v>3.427</v>
      </c>
      <c r="P119">
        <v>3.395</v>
      </c>
      <c r="Q119">
        <v>3.3210000000000002</v>
      </c>
      <c r="R119">
        <v>3.2869999999999999</v>
      </c>
      <c r="S119" s="2">
        <v>45356</v>
      </c>
      <c r="T119">
        <v>3.5049999999999999</v>
      </c>
      <c r="U119">
        <v>3.5009999999999999</v>
      </c>
      <c r="V119">
        <v>3.5569999999999999</v>
      </c>
      <c r="W119">
        <v>3.5070000000000001</v>
      </c>
      <c r="X119">
        <v>3.5110000000000001</v>
      </c>
      <c r="Y119">
        <v>3.5339999999999998</v>
      </c>
      <c r="Z119">
        <v>3.532</v>
      </c>
      <c r="AA119">
        <v>3.5550000000000002</v>
      </c>
      <c r="AB119">
        <v>3.5569999999999999</v>
      </c>
      <c r="AC119">
        <v>3.5550000000000002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 s="2">
        <v>45356</v>
      </c>
      <c r="AK119">
        <v>3.4750000000000001</v>
      </c>
      <c r="AL119">
        <v>3.444</v>
      </c>
      <c r="AM119">
        <v>3.4</v>
      </c>
      <c r="AN119">
        <v>3.411</v>
      </c>
      <c r="AO119">
        <v>3.4460000000000002</v>
      </c>
      <c r="AP119">
        <v>3.4169999999999998</v>
      </c>
      <c r="AQ119">
        <v>3.4289999999999998</v>
      </c>
      <c r="AR119">
        <v>3.4169999999999998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</row>
    <row r="120" spans="2:52">
      <c r="B120" s="2">
        <v>45355</v>
      </c>
      <c r="C120">
        <v>3.4510000000000001</v>
      </c>
      <c r="D120">
        <v>3.4529999999999998</v>
      </c>
      <c r="E120">
        <v>3.5009999999999999</v>
      </c>
      <c r="F120">
        <v>3.4630000000000001</v>
      </c>
      <c r="G120">
        <v>3.4359999999999999</v>
      </c>
      <c r="H120">
        <v>3.4390000000000001</v>
      </c>
      <c r="I120">
        <v>3.3730000000000002</v>
      </c>
      <c r="J120">
        <v>3.3570000000000002</v>
      </c>
      <c r="K120">
        <v>3.4180000000000001</v>
      </c>
      <c r="L120">
        <v>3.4009999999999998</v>
      </c>
      <c r="M120">
        <v>3.4729999999999999</v>
      </c>
      <c r="N120">
        <v>3.4350000000000001</v>
      </c>
      <c r="O120">
        <v>3.45</v>
      </c>
      <c r="P120">
        <v>3.427</v>
      </c>
      <c r="Q120">
        <v>3.3570000000000002</v>
      </c>
      <c r="R120">
        <v>3.323</v>
      </c>
      <c r="S120" s="2">
        <v>45355</v>
      </c>
      <c r="T120">
        <v>3.5019999999999998</v>
      </c>
      <c r="U120">
        <v>3.4980000000000002</v>
      </c>
      <c r="V120">
        <v>3.5550000000000002</v>
      </c>
      <c r="W120">
        <v>3.512</v>
      </c>
      <c r="X120">
        <v>3.5150000000000001</v>
      </c>
      <c r="Y120">
        <v>3.5350000000000001</v>
      </c>
      <c r="Z120">
        <v>3.5369999999999999</v>
      </c>
      <c r="AA120">
        <v>3.56</v>
      </c>
      <c r="AB120">
        <v>3.5670000000000002</v>
      </c>
      <c r="AC120">
        <v>3.569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 s="2">
        <v>45355</v>
      </c>
      <c r="AK120">
        <v>3.4750000000000001</v>
      </c>
      <c r="AL120">
        <v>3.444</v>
      </c>
      <c r="AM120">
        <v>3.4</v>
      </c>
      <c r="AN120">
        <v>3.4159999999999999</v>
      </c>
      <c r="AO120">
        <v>3.448</v>
      </c>
      <c r="AP120">
        <v>3.4169999999999998</v>
      </c>
      <c r="AQ120">
        <v>3.4380000000000002</v>
      </c>
      <c r="AR120">
        <v>3.4289999999999998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</row>
    <row r="121" spans="2:52">
      <c r="B121" s="2">
        <v>45351</v>
      </c>
      <c r="C121">
        <v>3.4550000000000001</v>
      </c>
      <c r="D121">
        <v>3.456</v>
      </c>
      <c r="E121">
        <v>3.508</v>
      </c>
      <c r="F121">
        <v>3.4729999999999999</v>
      </c>
      <c r="G121">
        <v>3.45</v>
      </c>
      <c r="H121">
        <v>3.4649999999999999</v>
      </c>
      <c r="I121">
        <v>3.3959999999999999</v>
      </c>
      <c r="J121">
        <v>3.3820000000000001</v>
      </c>
      <c r="K121">
        <v>3.4470000000000001</v>
      </c>
      <c r="L121">
        <v>3.43</v>
      </c>
      <c r="M121">
        <v>3.51</v>
      </c>
      <c r="N121">
        <v>3.48</v>
      </c>
      <c r="O121">
        <v>3.4809999999999999</v>
      </c>
      <c r="P121">
        <v>3.46</v>
      </c>
      <c r="Q121">
        <v>3.39</v>
      </c>
      <c r="R121">
        <v>3.355</v>
      </c>
      <c r="S121" s="2">
        <v>45351</v>
      </c>
      <c r="T121">
        <v>3.504</v>
      </c>
      <c r="U121">
        <v>3.5</v>
      </c>
      <c r="V121">
        <v>3.5619999999999998</v>
      </c>
      <c r="W121">
        <v>3.5150000000000001</v>
      </c>
      <c r="X121">
        <v>3.5289999999999999</v>
      </c>
      <c r="Y121">
        <v>3.56</v>
      </c>
      <c r="Z121">
        <v>3.5579999999999998</v>
      </c>
      <c r="AA121">
        <v>3.58</v>
      </c>
      <c r="AB121">
        <v>3.5920000000000001</v>
      </c>
      <c r="AC121">
        <v>3.6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 s="2">
        <v>45351</v>
      </c>
      <c r="AK121">
        <v>3.4750000000000001</v>
      </c>
      <c r="AL121">
        <v>3.452</v>
      </c>
      <c r="AM121">
        <v>3.4089999999999998</v>
      </c>
      <c r="AN121">
        <v>3.4249999999999998</v>
      </c>
      <c r="AO121">
        <v>3.4710000000000001</v>
      </c>
      <c r="AP121">
        <v>3.4420000000000002</v>
      </c>
      <c r="AQ121">
        <v>3.4660000000000002</v>
      </c>
      <c r="AR121">
        <v>3.4580000000000002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</row>
    <row r="122" spans="2:52">
      <c r="B122" s="2">
        <v>45350</v>
      </c>
      <c r="C122">
        <v>3.4529999999999998</v>
      </c>
      <c r="D122">
        <v>3.4529999999999998</v>
      </c>
      <c r="E122">
        <v>3.5179999999999998</v>
      </c>
      <c r="F122">
        <v>3.4830000000000001</v>
      </c>
      <c r="G122">
        <v>3.4569999999999999</v>
      </c>
      <c r="H122">
        <v>3.4550000000000001</v>
      </c>
      <c r="I122">
        <v>3.379</v>
      </c>
      <c r="J122">
        <v>3.3650000000000002</v>
      </c>
      <c r="K122">
        <v>3.4279999999999999</v>
      </c>
      <c r="L122">
        <v>3.41</v>
      </c>
      <c r="M122">
        <v>3.4870000000000001</v>
      </c>
      <c r="N122">
        <v>3.452</v>
      </c>
      <c r="O122">
        <v>3.4529999999999998</v>
      </c>
      <c r="P122">
        <v>3.4350000000000001</v>
      </c>
      <c r="Q122">
        <v>3.3650000000000002</v>
      </c>
      <c r="R122">
        <v>3.33</v>
      </c>
      <c r="S122" s="2">
        <v>45350</v>
      </c>
      <c r="T122">
        <v>3.5019999999999998</v>
      </c>
      <c r="U122">
        <v>3.496</v>
      </c>
      <c r="V122">
        <v>3.569</v>
      </c>
      <c r="W122">
        <v>3.52</v>
      </c>
      <c r="X122">
        <v>3.5270000000000001</v>
      </c>
      <c r="Y122">
        <v>3.5489999999999999</v>
      </c>
      <c r="Z122">
        <v>3.5409999999999999</v>
      </c>
      <c r="AA122">
        <v>3.5630000000000002</v>
      </c>
      <c r="AB122">
        <v>3.5739999999999998</v>
      </c>
      <c r="AC122">
        <v>3.5790000000000002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 s="2">
        <v>45350</v>
      </c>
      <c r="AK122">
        <v>3.4660000000000002</v>
      </c>
      <c r="AL122">
        <v>3.448</v>
      </c>
      <c r="AM122">
        <v>3.403</v>
      </c>
      <c r="AN122">
        <v>3.415</v>
      </c>
      <c r="AO122">
        <v>3.46</v>
      </c>
      <c r="AP122">
        <v>3.4279999999999999</v>
      </c>
      <c r="AQ122">
        <v>3.452</v>
      </c>
      <c r="AR122">
        <v>3.4460000000000002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</row>
    <row r="123" spans="2:52">
      <c r="B123" s="2">
        <v>45349</v>
      </c>
      <c r="C123">
        <v>3.45</v>
      </c>
      <c r="D123">
        <v>3.4529999999999998</v>
      </c>
      <c r="E123">
        <v>3.5179999999999998</v>
      </c>
      <c r="F123">
        <v>3.4860000000000002</v>
      </c>
      <c r="G123">
        <v>3.4649999999999999</v>
      </c>
      <c r="H123">
        <v>3.448</v>
      </c>
      <c r="I123">
        <v>3.3759999999999999</v>
      </c>
      <c r="J123">
        <v>3.3650000000000002</v>
      </c>
      <c r="K123">
        <v>3.423</v>
      </c>
      <c r="L123">
        <v>3.4</v>
      </c>
      <c r="M123">
        <v>3.4729999999999999</v>
      </c>
      <c r="N123">
        <v>3.43</v>
      </c>
      <c r="O123">
        <v>3.4220000000000002</v>
      </c>
      <c r="P123">
        <v>3.4</v>
      </c>
      <c r="Q123">
        <v>3.3220000000000001</v>
      </c>
      <c r="R123">
        <v>3.2879999999999998</v>
      </c>
      <c r="S123" s="2">
        <v>45349</v>
      </c>
      <c r="T123">
        <v>3.5</v>
      </c>
      <c r="U123">
        <v>3.496</v>
      </c>
      <c r="V123">
        <v>3.5649999999999999</v>
      </c>
      <c r="W123">
        <v>3.52</v>
      </c>
      <c r="X123">
        <v>3.5350000000000001</v>
      </c>
      <c r="Y123">
        <v>3.5449999999999999</v>
      </c>
      <c r="Z123">
        <v>3.5390000000000001</v>
      </c>
      <c r="AA123">
        <v>3.5630000000000002</v>
      </c>
      <c r="AB123">
        <v>3.57</v>
      </c>
      <c r="AC123">
        <v>3.5649999999999999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 s="2">
        <v>45349</v>
      </c>
      <c r="AK123">
        <v>3.4609999999999999</v>
      </c>
      <c r="AL123">
        <v>3.4430000000000001</v>
      </c>
      <c r="AM123">
        <v>3.3959999999999999</v>
      </c>
      <c r="AN123">
        <v>3.411</v>
      </c>
      <c r="AO123">
        <v>3.464</v>
      </c>
      <c r="AP123">
        <v>3.4319999999999999</v>
      </c>
      <c r="AQ123">
        <v>3.4510000000000001</v>
      </c>
      <c r="AR123">
        <v>3.44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</row>
    <row r="124" spans="2:52">
      <c r="B124" s="2">
        <v>45348</v>
      </c>
      <c r="C124">
        <v>3.45</v>
      </c>
      <c r="D124">
        <v>3.4529999999999998</v>
      </c>
      <c r="E124">
        <v>3.5150000000000001</v>
      </c>
      <c r="F124">
        <v>3.4830000000000001</v>
      </c>
      <c r="G124">
        <v>3.4649999999999999</v>
      </c>
      <c r="H124">
        <v>3.4249999999999998</v>
      </c>
      <c r="I124">
        <v>3.35</v>
      </c>
      <c r="J124">
        <v>3.339</v>
      </c>
      <c r="K124">
        <v>3.3959999999999999</v>
      </c>
      <c r="L124">
        <v>3.375</v>
      </c>
      <c r="M124">
        <v>3.4449999999999998</v>
      </c>
      <c r="N124">
        <v>3.4009999999999998</v>
      </c>
      <c r="O124">
        <v>3.3929999999999998</v>
      </c>
      <c r="P124">
        <v>3.38</v>
      </c>
      <c r="Q124">
        <v>3.3069999999999999</v>
      </c>
      <c r="R124">
        <v>3.2730000000000001</v>
      </c>
      <c r="S124" s="2">
        <v>45348</v>
      </c>
      <c r="T124">
        <v>3.5</v>
      </c>
      <c r="U124">
        <v>3.496</v>
      </c>
      <c r="V124">
        <v>3.5619999999999998</v>
      </c>
      <c r="W124">
        <v>3.5190000000000001</v>
      </c>
      <c r="X124">
        <v>3.53</v>
      </c>
      <c r="Y124">
        <v>3.5219999999999998</v>
      </c>
      <c r="Z124">
        <v>3.51</v>
      </c>
      <c r="AA124">
        <v>3.5369999999999999</v>
      </c>
      <c r="AB124">
        <v>3.544</v>
      </c>
      <c r="AC124">
        <v>3.54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 s="2">
        <v>45348</v>
      </c>
      <c r="AK124">
        <v>3.46</v>
      </c>
      <c r="AL124">
        <v>3.44</v>
      </c>
      <c r="AM124">
        <v>3.3940000000000001</v>
      </c>
      <c r="AN124">
        <v>3.407</v>
      </c>
      <c r="AO124">
        <v>3.4569999999999999</v>
      </c>
      <c r="AP124">
        <v>3.415</v>
      </c>
      <c r="AQ124">
        <v>3.4239999999999999</v>
      </c>
      <c r="AR124">
        <v>3.4129999999999998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</row>
    <row r="125" spans="2:52">
      <c r="B125" s="2">
        <v>45345</v>
      </c>
      <c r="C125">
        <v>3.4460000000000002</v>
      </c>
      <c r="D125">
        <v>3.4529999999999998</v>
      </c>
      <c r="E125">
        <v>3.48</v>
      </c>
      <c r="F125">
        <v>3.49</v>
      </c>
      <c r="G125">
        <v>3.488</v>
      </c>
      <c r="H125">
        <v>3.45</v>
      </c>
      <c r="I125">
        <v>3.39</v>
      </c>
      <c r="J125">
        <v>3.3780000000000001</v>
      </c>
      <c r="K125">
        <v>3.4489999999999998</v>
      </c>
      <c r="L125">
        <v>3.44</v>
      </c>
      <c r="M125">
        <v>3.5179999999999998</v>
      </c>
      <c r="N125">
        <v>3.48</v>
      </c>
      <c r="O125">
        <v>3.47</v>
      </c>
      <c r="P125">
        <v>3.4529999999999998</v>
      </c>
      <c r="Q125">
        <v>3.38</v>
      </c>
      <c r="R125">
        <v>3.3450000000000002</v>
      </c>
      <c r="S125" s="2">
        <v>45345</v>
      </c>
      <c r="T125">
        <v>3.4969999999999999</v>
      </c>
      <c r="U125">
        <v>3.4929999999999999</v>
      </c>
      <c r="V125">
        <v>3.5339999999999998</v>
      </c>
      <c r="W125">
        <v>3.5190000000000001</v>
      </c>
      <c r="X125">
        <v>3.5550000000000002</v>
      </c>
      <c r="Y125">
        <v>3.548</v>
      </c>
      <c r="Z125">
        <v>3.544</v>
      </c>
      <c r="AA125">
        <v>3.5760000000000001</v>
      </c>
      <c r="AB125">
        <v>3.5990000000000002</v>
      </c>
      <c r="AC125">
        <v>3.6080000000000001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 s="2">
        <v>45345</v>
      </c>
      <c r="AK125">
        <v>3.4449999999999998</v>
      </c>
      <c r="AL125">
        <v>3.415</v>
      </c>
      <c r="AM125">
        <v>3.371</v>
      </c>
      <c r="AN125">
        <v>3.395</v>
      </c>
      <c r="AO125">
        <v>3.4790000000000001</v>
      </c>
      <c r="AP125">
        <v>3.4449999999999998</v>
      </c>
      <c r="AQ125">
        <v>3.4609999999999999</v>
      </c>
      <c r="AR125">
        <v>3.4540000000000002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</row>
    <row r="126" spans="2:52">
      <c r="B126" s="2">
        <v>45344</v>
      </c>
      <c r="C126">
        <v>3.4460000000000002</v>
      </c>
      <c r="D126">
        <v>3.4529999999999998</v>
      </c>
      <c r="E126">
        <v>3.4710000000000001</v>
      </c>
      <c r="F126">
        <v>3.4830000000000001</v>
      </c>
      <c r="G126">
        <v>3.4750000000000001</v>
      </c>
      <c r="H126">
        <v>3.42</v>
      </c>
      <c r="I126">
        <v>3.355</v>
      </c>
      <c r="J126">
        <v>3.3450000000000002</v>
      </c>
      <c r="K126">
        <v>3.411</v>
      </c>
      <c r="L126">
        <v>3.391</v>
      </c>
      <c r="M126">
        <v>3.4689999999999999</v>
      </c>
      <c r="N126">
        <v>3.43</v>
      </c>
      <c r="O126">
        <v>3.431</v>
      </c>
      <c r="P126">
        <v>3.4239999999999999</v>
      </c>
      <c r="Q126">
        <v>3.367</v>
      </c>
      <c r="R126">
        <v>3.3330000000000002</v>
      </c>
      <c r="S126" s="2">
        <v>45344</v>
      </c>
      <c r="T126">
        <v>3.4969999999999999</v>
      </c>
      <c r="U126">
        <v>3.4910000000000001</v>
      </c>
      <c r="V126">
        <v>3.5270000000000001</v>
      </c>
      <c r="W126">
        <v>3.5139999999999998</v>
      </c>
      <c r="X126">
        <v>3.536</v>
      </c>
      <c r="Y126">
        <v>3.5209999999999999</v>
      </c>
      <c r="Z126">
        <v>3.504</v>
      </c>
      <c r="AA126">
        <v>3.5430000000000001</v>
      </c>
      <c r="AB126">
        <v>3.5609999999999999</v>
      </c>
      <c r="AC126">
        <v>3.5649999999999999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 s="2">
        <v>45344</v>
      </c>
      <c r="AK126">
        <v>3.4409999999999998</v>
      </c>
      <c r="AL126">
        <v>3.407</v>
      </c>
      <c r="AM126">
        <v>3.3650000000000002</v>
      </c>
      <c r="AN126">
        <v>3.39</v>
      </c>
      <c r="AO126">
        <v>3.4529999999999998</v>
      </c>
      <c r="AP126">
        <v>3.42</v>
      </c>
      <c r="AQ126">
        <v>3.4340000000000002</v>
      </c>
      <c r="AR126">
        <v>3.427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</row>
    <row r="127" spans="2:52">
      <c r="B127" s="2">
        <v>45343</v>
      </c>
      <c r="C127">
        <v>3.45</v>
      </c>
      <c r="D127">
        <v>3.456</v>
      </c>
      <c r="E127">
        <v>3.4710000000000001</v>
      </c>
      <c r="F127">
        <v>3.5</v>
      </c>
      <c r="G127">
        <v>3.5</v>
      </c>
      <c r="H127">
        <v>3.4609999999999999</v>
      </c>
      <c r="I127">
        <v>3.415</v>
      </c>
      <c r="J127">
        <v>3.4020000000000001</v>
      </c>
      <c r="K127">
        <v>3.4649999999999999</v>
      </c>
      <c r="L127">
        <v>3.44</v>
      </c>
      <c r="M127">
        <v>3.516</v>
      </c>
      <c r="N127">
        <v>3.4750000000000001</v>
      </c>
      <c r="O127">
        <v>3.4660000000000002</v>
      </c>
      <c r="P127">
        <v>3.45</v>
      </c>
      <c r="Q127">
        <v>3.39</v>
      </c>
      <c r="R127">
        <v>3.355</v>
      </c>
      <c r="S127" s="2">
        <v>45343</v>
      </c>
      <c r="T127">
        <v>3.5</v>
      </c>
      <c r="U127">
        <v>3.4950000000000001</v>
      </c>
      <c r="V127">
        <v>3.5270000000000001</v>
      </c>
      <c r="W127">
        <v>3.532</v>
      </c>
      <c r="X127">
        <v>3.57</v>
      </c>
      <c r="Y127">
        <v>3.5630000000000002</v>
      </c>
      <c r="Z127">
        <v>3.5640000000000001</v>
      </c>
      <c r="AA127">
        <v>3.6</v>
      </c>
      <c r="AB127">
        <v>3.6150000000000002</v>
      </c>
      <c r="AC127">
        <v>3.6139999999999999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 s="2">
        <v>45343</v>
      </c>
      <c r="AK127">
        <v>3.4409999999999998</v>
      </c>
      <c r="AL127">
        <v>3.407</v>
      </c>
      <c r="AM127">
        <v>3.3650000000000002</v>
      </c>
      <c r="AN127">
        <v>3.39</v>
      </c>
      <c r="AO127">
        <v>3.4950000000000001</v>
      </c>
      <c r="AP127">
        <v>3.46</v>
      </c>
      <c r="AQ127">
        <v>3.492</v>
      </c>
      <c r="AR127">
        <v>3.4870000000000001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</row>
    <row r="128" spans="2:52">
      <c r="B128" s="2">
        <v>45342</v>
      </c>
      <c r="C128">
        <v>3.448</v>
      </c>
      <c r="D128">
        <v>3.4550000000000001</v>
      </c>
      <c r="E128">
        <v>3.4649999999999999</v>
      </c>
      <c r="F128">
        <v>3.4980000000000002</v>
      </c>
      <c r="G128">
        <v>3.4929999999999999</v>
      </c>
      <c r="H128">
        <v>3.4660000000000002</v>
      </c>
      <c r="I128">
        <v>3.4249999999999998</v>
      </c>
      <c r="J128">
        <v>3.407</v>
      </c>
      <c r="K128">
        <v>3.4820000000000002</v>
      </c>
      <c r="L128">
        <v>3.46</v>
      </c>
      <c r="M128">
        <v>3.5350000000000001</v>
      </c>
      <c r="N128">
        <v>3.492</v>
      </c>
      <c r="O128">
        <v>3.4790000000000001</v>
      </c>
      <c r="P128">
        <v>3.46</v>
      </c>
      <c r="Q128">
        <v>3.3969999999999998</v>
      </c>
      <c r="R128">
        <v>3.363</v>
      </c>
      <c r="S128" s="2">
        <v>45342</v>
      </c>
      <c r="T128">
        <v>3.4969999999999999</v>
      </c>
      <c r="U128">
        <v>3.4860000000000002</v>
      </c>
      <c r="V128">
        <v>3.5219999999999998</v>
      </c>
      <c r="W128">
        <v>3.5350000000000001</v>
      </c>
      <c r="X128">
        <v>3.5710000000000002</v>
      </c>
      <c r="Y128">
        <v>3.5640000000000001</v>
      </c>
      <c r="Z128">
        <v>3.5739999999999998</v>
      </c>
      <c r="AA128">
        <v>3.605</v>
      </c>
      <c r="AB128">
        <v>3.63</v>
      </c>
      <c r="AC128">
        <v>3.6349999999999998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 s="2">
        <v>45342</v>
      </c>
      <c r="AK128">
        <v>3.4380000000000002</v>
      </c>
      <c r="AL128">
        <v>3.407</v>
      </c>
      <c r="AM128">
        <v>3.363</v>
      </c>
      <c r="AN128">
        <v>3.3959999999999999</v>
      </c>
      <c r="AO128">
        <v>3.5</v>
      </c>
      <c r="AP128">
        <v>3.46</v>
      </c>
      <c r="AQ128">
        <v>3.5030000000000001</v>
      </c>
      <c r="AR128">
        <v>3.5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</row>
    <row r="129" spans="2:52">
      <c r="B129" s="2">
        <v>45341</v>
      </c>
      <c r="C129">
        <v>3.4460000000000002</v>
      </c>
      <c r="D129">
        <v>3.4510000000000001</v>
      </c>
      <c r="E129">
        <v>3.464</v>
      </c>
      <c r="F129">
        <v>3.476</v>
      </c>
      <c r="G129">
        <v>3.476</v>
      </c>
      <c r="H129">
        <v>3.4529999999999998</v>
      </c>
      <c r="I129">
        <v>3.415</v>
      </c>
      <c r="J129">
        <v>3.3959999999999999</v>
      </c>
      <c r="K129">
        <v>3.464</v>
      </c>
      <c r="L129">
        <v>3.44</v>
      </c>
      <c r="M129">
        <v>3.5139999999999998</v>
      </c>
      <c r="N129">
        <v>3.4670000000000001</v>
      </c>
      <c r="O129">
        <v>3.452</v>
      </c>
      <c r="P129">
        <v>3.43</v>
      </c>
      <c r="Q129">
        <v>3.36</v>
      </c>
      <c r="R129">
        <v>3.3250000000000002</v>
      </c>
      <c r="S129" s="2">
        <v>45341</v>
      </c>
      <c r="T129">
        <v>3.4969999999999999</v>
      </c>
      <c r="U129">
        <v>3.4860000000000002</v>
      </c>
      <c r="V129">
        <v>3.5179999999999998</v>
      </c>
      <c r="W129">
        <v>3.524</v>
      </c>
      <c r="X129">
        <v>3.5550000000000002</v>
      </c>
      <c r="Y129">
        <v>3.5489999999999999</v>
      </c>
      <c r="Z129">
        <v>3.5609999999999999</v>
      </c>
      <c r="AA129">
        <v>3.5939999999999999</v>
      </c>
      <c r="AB129">
        <v>3.613</v>
      </c>
      <c r="AC129">
        <v>3.6150000000000002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 s="2">
        <v>45341</v>
      </c>
      <c r="AK129">
        <v>3.4380000000000002</v>
      </c>
      <c r="AL129">
        <v>3.407</v>
      </c>
      <c r="AM129">
        <v>3.36</v>
      </c>
      <c r="AN129">
        <v>3.3980000000000001</v>
      </c>
      <c r="AO129">
        <v>3.4830000000000001</v>
      </c>
      <c r="AP129">
        <v>3.444</v>
      </c>
      <c r="AQ129">
        <v>3.4830000000000001</v>
      </c>
      <c r="AR129">
        <v>3.476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</row>
    <row r="130" spans="2:52">
      <c r="B130" s="2">
        <v>45338</v>
      </c>
      <c r="C130">
        <v>3.4460000000000002</v>
      </c>
      <c r="D130">
        <v>3.4510000000000001</v>
      </c>
      <c r="E130">
        <v>3.4609999999999999</v>
      </c>
      <c r="F130">
        <v>3.4649999999999999</v>
      </c>
      <c r="G130">
        <v>3.46</v>
      </c>
      <c r="H130">
        <v>3.456</v>
      </c>
      <c r="I130">
        <v>3.4289999999999998</v>
      </c>
      <c r="J130">
        <v>3.4060000000000001</v>
      </c>
      <c r="K130">
        <v>3.468</v>
      </c>
      <c r="L130">
        <v>3.4449999999999998</v>
      </c>
      <c r="M130">
        <v>3.524</v>
      </c>
      <c r="N130">
        <v>3.48</v>
      </c>
      <c r="O130">
        <v>3.4550000000000001</v>
      </c>
      <c r="P130">
        <v>3.4249999999999998</v>
      </c>
      <c r="Q130">
        <v>3.3620000000000001</v>
      </c>
      <c r="R130">
        <v>3.3330000000000002</v>
      </c>
      <c r="S130" s="2">
        <v>45338</v>
      </c>
      <c r="T130">
        <v>3.4969999999999999</v>
      </c>
      <c r="U130">
        <v>3.4860000000000002</v>
      </c>
      <c r="V130">
        <v>3.5150000000000001</v>
      </c>
      <c r="W130">
        <v>3.5190000000000001</v>
      </c>
      <c r="X130">
        <v>3.56</v>
      </c>
      <c r="Y130">
        <v>3.556</v>
      </c>
      <c r="Z130">
        <v>3.5750000000000002</v>
      </c>
      <c r="AA130">
        <v>3.6070000000000002</v>
      </c>
      <c r="AB130">
        <v>3.62</v>
      </c>
      <c r="AC130">
        <v>3.625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s="2">
        <v>45338</v>
      </c>
      <c r="AK130">
        <v>3.4329999999999998</v>
      </c>
      <c r="AL130">
        <v>3.407</v>
      </c>
      <c r="AM130">
        <v>3.3580000000000001</v>
      </c>
      <c r="AN130">
        <v>3.3959999999999999</v>
      </c>
      <c r="AO130">
        <v>3.4889999999999999</v>
      </c>
      <c r="AP130">
        <v>3.4550000000000001</v>
      </c>
      <c r="AQ130">
        <v>3.496</v>
      </c>
      <c r="AR130">
        <v>3.4889999999999999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</row>
    <row r="131" spans="2:52">
      <c r="B131" s="2">
        <v>45337</v>
      </c>
      <c r="C131">
        <v>3.4449999999999998</v>
      </c>
      <c r="D131">
        <v>3.45</v>
      </c>
      <c r="E131">
        <v>3.46</v>
      </c>
      <c r="F131">
        <v>3.4550000000000001</v>
      </c>
      <c r="G131">
        <v>3.4449999999999998</v>
      </c>
      <c r="H131">
        <v>3.4649999999999999</v>
      </c>
      <c r="I131">
        <v>3.4350000000000001</v>
      </c>
      <c r="J131">
        <v>3.407</v>
      </c>
      <c r="K131">
        <v>3.4689999999999999</v>
      </c>
      <c r="L131">
        <v>3.4449999999999998</v>
      </c>
      <c r="M131">
        <v>3.5219999999999998</v>
      </c>
      <c r="N131">
        <v>3.48</v>
      </c>
      <c r="O131">
        <v>3.4489999999999998</v>
      </c>
      <c r="P131">
        <v>3.4119999999999999</v>
      </c>
      <c r="Q131">
        <v>3.35</v>
      </c>
      <c r="R131">
        <v>3.3239999999999998</v>
      </c>
      <c r="S131" s="2">
        <v>45337</v>
      </c>
      <c r="T131">
        <v>3.4940000000000002</v>
      </c>
      <c r="U131">
        <v>3.4830000000000001</v>
      </c>
      <c r="V131">
        <v>3.5139999999999998</v>
      </c>
      <c r="W131">
        <v>3.5129999999999999</v>
      </c>
      <c r="X131">
        <v>3.556</v>
      </c>
      <c r="Y131">
        <v>3.5609999999999999</v>
      </c>
      <c r="Z131">
        <v>3.5830000000000002</v>
      </c>
      <c r="AA131">
        <v>3.6080000000000001</v>
      </c>
      <c r="AB131">
        <v>3.621</v>
      </c>
      <c r="AC131">
        <v>3.6259999999999999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s="2">
        <v>45337</v>
      </c>
      <c r="AK131">
        <v>3.4260000000000002</v>
      </c>
      <c r="AL131">
        <v>3.4</v>
      </c>
      <c r="AM131">
        <v>3.351</v>
      </c>
      <c r="AN131">
        <v>3.39</v>
      </c>
      <c r="AO131">
        <v>3.488</v>
      </c>
      <c r="AP131">
        <v>3.4529999999999998</v>
      </c>
      <c r="AQ131">
        <v>3.5</v>
      </c>
      <c r="AR131">
        <v>3.49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</row>
    <row r="132" spans="2:52">
      <c r="B132" s="2">
        <v>45336</v>
      </c>
      <c r="C132">
        <v>3.45</v>
      </c>
      <c r="D132">
        <v>3.4580000000000002</v>
      </c>
      <c r="E132">
        <v>3.4609999999999999</v>
      </c>
      <c r="F132">
        <v>3.4529999999999998</v>
      </c>
      <c r="G132">
        <v>3.4460000000000002</v>
      </c>
      <c r="H132">
        <v>3.4710000000000001</v>
      </c>
      <c r="I132">
        <v>3.44</v>
      </c>
      <c r="J132">
        <v>3.4140000000000001</v>
      </c>
      <c r="K132">
        <v>3.476</v>
      </c>
      <c r="L132">
        <v>3.4550000000000001</v>
      </c>
      <c r="M132">
        <v>3.5350000000000001</v>
      </c>
      <c r="N132">
        <v>3.4950000000000001</v>
      </c>
      <c r="O132">
        <v>3.4569999999999999</v>
      </c>
      <c r="P132">
        <v>3.415</v>
      </c>
      <c r="Q132">
        <v>3.36</v>
      </c>
      <c r="R132">
        <v>3.335</v>
      </c>
      <c r="S132" s="2">
        <v>45336</v>
      </c>
      <c r="T132">
        <v>3.4969999999999999</v>
      </c>
      <c r="U132">
        <v>3.49</v>
      </c>
      <c r="V132">
        <v>3.5139999999999998</v>
      </c>
      <c r="W132">
        <v>3.5110000000000001</v>
      </c>
      <c r="X132">
        <v>3.5579999999999998</v>
      </c>
      <c r="Y132">
        <v>3.5790000000000002</v>
      </c>
      <c r="Z132">
        <v>3.5990000000000002</v>
      </c>
      <c r="AA132">
        <v>3.625</v>
      </c>
      <c r="AB132">
        <v>3.6379999999999999</v>
      </c>
      <c r="AC132">
        <v>3.6379999999999999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 s="2">
        <v>45336</v>
      </c>
      <c r="AK132">
        <v>3.43</v>
      </c>
      <c r="AL132">
        <v>3.4049999999999998</v>
      </c>
      <c r="AM132">
        <v>3.3559999999999999</v>
      </c>
      <c r="AN132">
        <v>3.3929999999999998</v>
      </c>
      <c r="AO132">
        <v>3.4929999999999999</v>
      </c>
      <c r="AP132">
        <v>3.4620000000000002</v>
      </c>
      <c r="AQ132">
        <v>3.5070000000000001</v>
      </c>
      <c r="AR132">
        <v>3.5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</row>
    <row r="133" spans="2:52">
      <c r="B133" s="2">
        <v>45335</v>
      </c>
      <c r="C133">
        <v>3.448</v>
      </c>
      <c r="D133">
        <v>3.456</v>
      </c>
      <c r="E133">
        <v>3.46</v>
      </c>
      <c r="F133">
        <v>3.4159999999999999</v>
      </c>
      <c r="G133">
        <v>3.4049999999999998</v>
      </c>
      <c r="H133">
        <v>3.4049999999999998</v>
      </c>
      <c r="I133">
        <v>3.37</v>
      </c>
      <c r="J133">
        <v>3.347</v>
      </c>
      <c r="K133">
        <v>3.41</v>
      </c>
      <c r="L133">
        <v>3.3849999999999998</v>
      </c>
      <c r="M133">
        <v>3.48</v>
      </c>
      <c r="N133">
        <v>3.4449999999999998</v>
      </c>
      <c r="O133">
        <v>3.4169999999999998</v>
      </c>
      <c r="P133">
        <v>3.3889999999999998</v>
      </c>
      <c r="Q133">
        <v>3.35</v>
      </c>
      <c r="R133">
        <v>3.3260000000000001</v>
      </c>
      <c r="S133" s="2">
        <v>45335</v>
      </c>
      <c r="T133">
        <v>3.4950000000000001</v>
      </c>
      <c r="U133">
        <v>3.4849999999999999</v>
      </c>
      <c r="V133">
        <v>3.5070000000000001</v>
      </c>
      <c r="W133">
        <v>3.4830000000000001</v>
      </c>
      <c r="X133">
        <v>3.51</v>
      </c>
      <c r="Y133">
        <v>3.512</v>
      </c>
      <c r="Z133">
        <v>3.5289999999999999</v>
      </c>
      <c r="AA133">
        <v>3.5609999999999999</v>
      </c>
      <c r="AB133">
        <v>3.5760000000000001</v>
      </c>
      <c r="AC133">
        <v>3.57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 s="2">
        <v>45335</v>
      </c>
      <c r="AK133">
        <v>3.4209999999999998</v>
      </c>
      <c r="AL133">
        <v>3.3940000000000001</v>
      </c>
      <c r="AM133">
        <v>3.34</v>
      </c>
      <c r="AN133">
        <v>3.3679999999999999</v>
      </c>
      <c r="AO133">
        <v>3.43</v>
      </c>
      <c r="AP133">
        <v>3.3959999999999999</v>
      </c>
      <c r="AQ133">
        <v>3.4390000000000001</v>
      </c>
      <c r="AR133">
        <v>3.43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</row>
    <row r="134" spans="2:52">
      <c r="B134" s="2">
        <v>45330</v>
      </c>
      <c r="C134">
        <v>3.4449999999999998</v>
      </c>
      <c r="D134">
        <v>3.4529999999999998</v>
      </c>
      <c r="E134">
        <v>3.4609999999999999</v>
      </c>
      <c r="F134">
        <v>3.4039999999999999</v>
      </c>
      <c r="G134">
        <v>3.3780000000000001</v>
      </c>
      <c r="H134">
        <v>3.375</v>
      </c>
      <c r="I134">
        <v>3.3290000000000002</v>
      </c>
      <c r="J134">
        <v>3.3039999999999998</v>
      </c>
      <c r="K134">
        <v>3.3679999999999999</v>
      </c>
      <c r="L134">
        <v>3.34</v>
      </c>
      <c r="M134">
        <v>3.4380000000000002</v>
      </c>
      <c r="N134">
        <v>3.4049999999999998</v>
      </c>
      <c r="O134">
        <v>3.3839999999999999</v>
      </c>
      <c r="P134">
        <v>3.3639999999999999</v>
      </c>
      <c r="Q134">
        <v>3.327</v>
      </c>
      <c r="R134">
        <v>3.3039999999999998</v>
      </c>
      <c r="S134" s="2">
        <v>45330</v>
      </c>
      <c r="T134">
        <v>3.492</v>
      </c>
      <c r="U134">
        <v>3.4809999999999999</v>
      </c>
      <c r="V134">
        <v>3.5049999999999999</v>
      </c>
      <c r="W134">
        <v>3.47</v>
      </c>
      <c r="X134">
        <v>3.48</v>
      </c>
      <c r="Y134">
        <v>3.4820000000000002</v>
      </c>
      <c r="Z134">
        <v>3.488</v>
      </c>
      <c r="AA134">
        <v>3.5179999999999998</v>
      </c>
      <c r="AB134">
        <v>3.5329999999999999</v>
      </c>
      <c r="AC134">
        <v>3.5259999999999998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 s="2">
        <v>45330</v>
      </c>
      <c r="AK134">
        <v>3.4159999999999999</v>
      </c>
      <c r="AL134">
        <v>3.3889999999999998</v>
      </c>
      <c r="AM134">
        <v>3.331</v>
      </c>
      <c r="AN134">
        <v>3.351</v>
      </c>
      <c r="AO134">
        <v>3.4</v>
      </c>
      <c r="AP134">
        <v>3.3639999999999999</v>
      </c>
      <c r="AQ134">
        <v>3.4</v>
      </c>
      <c r="AR134">
        <v>3.39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</row>
    <row r="135" spans="2:52">
      <c r="B135" s="2">
        <v>45329</v>
      </c>
      <c r="C135">
        <v>3.4409999999999998</v>
      </c>
      <c r="D135">
        <v>3.4460000000000002</v>
      </c>
      <c r="E135">
        <v>3.4550000000000001</v>
      </c>
      <c r="F135">
        <v>3.383</v>
      </c>
      <c r="G135">
        <v>3.3620000000000001</v>
      </c>
      <c r="H135">
        <v>3.3620000000000001</v>
      </c>
      <c r="I135">
        <v>3.3149999999999999</v>
      </c>
      <c r="J135">
        <v>3.29</v>
      </c>
      <c r="K135">
        <v>3.3479999999999999</v>
      </c>
      <c r="L135">
        <v>3.3170000000000002</v>
      </c>
      <c r="M135">
        <v>3.4159999999999999</v>
      </c>
      <c r="N135">
        <v>3.3820000000000001</v>
      </c>
      <c r="O135">
        <v>3.3650000000000002</v>
      </c>
      <c r="P135">
        <v>3.347</v>
      </c>
      <c r="Q135">
        <v>3.3069999999999999</v>
      </c>
      <c r="R135">
        <v>3.28</v>
      </c>
      <c r="S135" s="2">
        <v>45329</v>
      </c>
      <c r="T135">
        <v>3.4849999999999999</v>
      </c>
      <c r="U135">
        <v>3.4750000000000001</v>
      </c>
      <c r="V135">
        <v>3.5019999999999998</v>
      </c>
      <c r="W135">
        <v>3.456</v>
      </c>
      <c r="X135">
        <v>3.4670000000000001</v>
      </c>
      <c r="Y135">
        <v>3.4689999999999999</v>
      </c>
      <c r="Z135">
        <v>3.4729999999999999</v>
      </c>
      <c r="AA135">
        <v>3.504</v>
      </c>
      <c r="AB135">
        <v>3.5150000000000001</v>
      </c>
      <c r="AC135">
        <v>3.5150000000000001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 s="2">
        <v>45329</v>
      </c>
      <c r="AK135">
        <v>3.415</v>
      </c>
      <c r="AL135">
        <v>3.3849999999999998</v>
      </c>
      <c r="AM135">
        <v>3.3279999999999998</v>
      </c>
      <c r="AN135">
        <v>3.3460000000000001</v>
      </c>
      <c r="AO135">
        <v>3.39</v>
      </c>
      <c r="AP135">
        <v>3.355</v>
      </c>
      <c r="AQ135">
        <v>3.383</v>
      </c>
      <c r="AR135">
        <v>3.375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</row>
    <row r="136" spans="2:52">
      <c r="B136" s="2">
        <v>45328</v>
      </c>
      <c r="C136">
        <v>3.4409999999999998</v>
      </c>
      <c r="D136">
        <v>3.4460000000000002</v>
      </c>
      <c r="E136">
        <v>3.4569999999999999</v>
      </c>
      <c r="F136">
        <v>3.371</v>
      </c>
      <c r="G136">
        <v>3.3639999999999999</v>
      </c>
      <c r="H136">
        <v>3.367</v>
      </c>
      <c r="I136">
        <v>3.32</v>
      </c>
      <c r="J136">
        <v>3.2909999999999999</v>
      </c>
      <c r="K136">
        <v>3.3530000000000002</v>
      </c>
      <c r="L136">
        <v>3.327</v>
      </c>
      <c r="M136">
        <v>3.4209999999999998</v>
      </c>
      <c r="N136">
        <v>3.3839999999999999</v>
      </c>
      <c r="O136">
        <v>3.3650000000000002</v>
      </c>
      <c r="P136">
        <v>3.3439999999999999</v>
      </c>
      <c r="Q136">
        <v>3.3029999999999999</v>
      </c>
      <c r="R136">
        <v>3.2759999999999998</v>
      </c>
      <c r="S136" s="2">
        <v>45328</v>
      </c>
      <c r="T136">
        <v>3.4870000000000001</v>
      </c>
      <c r="U136">
        <v>3.4750000000000001</v>
      </c>
      <c r="V136">
        <v>3.5070000000000001</v>
      </c>
      <c r="W136">
        <v>3.4540000000000002</v>
      </c>
      <c r="X136">
        <v>3.464</v>
      </c>
      <c r="Y136">
        <v>3.4710000000000001</v>
      </c>
      <c r="Z136">
        <v>3.4740000000000002</v>
      </c>
      <c r="AA136">
        <v>3.5019999999999998</v>
      </c>
      <c r="AB136">
        <v>3.5179999999999998</v>
      </c>
      <c r="AC136">
        <v>3.536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 s="2">
        <v>45328</v>
      </c>
      <c r="AK136">
        <v>3.411</v>
      </c>
      <c r="AL136">
        <v>3.38</v>
      </c>
      <c r="AM136">
        <v>3.323</v>
      </c>
      <c r="AN136">
        <v>3.343</v>
      </c>
      <c r="AO136">
        <v>3.395</v>
      </c>
      <c r="AP136">
        <v>3.3610000000000002</v>
      </c>
      <c r="AQ136">
        <v>3.39</v>
      </c>
      <c r="AR136">
        <v>3.3809999999999998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</row>
    <row r="137" spans="2:52">
      <c r="B137" s="2">
        <v>45327</v>
      </c>
      <c r="C137">
        <v>3.4430000000000001</v>
      </c>
      <c r="D137">
        <v>3.45</v>
      </c>
      <c r="E137">
        <v>3.4580000000000002</v>
      </c>
      <c r="F137">
        <v>3.371</v>
      </c>
      <c r="G137">
        <v>3.3740000000000001</v>
      </c>
      <c r="H137">
        <v>3.3980000000000001</v>
      </c>
      <c r="I137">
        <v>3.331</v>
      </c>
      <c r="J137">
        <v>3.3069999999999999</v>
      </c>
      <c r="K137">
        <v>3.3610000000000002</v>
      </c>
      <c r="L137">
        <v>3.335</v>
      </c>
      <c r="M137">
        <v>3.423</v>
      </c>
      <c r="N137">
        <v>3.3820000000000001</v>
      </c>
      <c r="O137">
        <v>3.3530000000000002</v>
      </c>
      <c r="P137">
        <v>3.32</v>
      </c>
      <c r="Q137">
        <v>3.2749999999999999</v>
      </c>
      <c r="R137">
        <v>3.2480000000000002</v>
      </c>
      <c r="S137" s="2">
        <v>45327</v>
      </c>
      <c r="T137">
        <v>3.4889999999999999</v>
      </c>
      <c r="U137">
        <v>3.4780000000000002</v>
      </c>
      <c r="V137">
        <v>3.508</v>
      </c>
      <c r="W137">
        <v>3.4540000000000002</v>
      </c>
      <c r="X137">
        <v>3.4740000000000002</v>
      </c>
      <c r="Y137">
        <v>3.4929999999999999</v>
      </c>
      <c r="Z137">
        <v>3.4849999999999999</v>
      </c>
      <c r="AA137">
        <v>3.5169999999999999</v>
      </c>
      <c r="AB137">
        <v>3.5259999999999998</v>
      </c>
      <c r="AC137">
        <v>3.5470000000000002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 s="2">
        <v>45327</v>
      </c>
      <c r="AK137">
        <v>3.4129999999999998</v>
      </c>
      <c r="AL137">
        <v>3.3839999999999999</v>
      </c>
      <c r="AM137">
        <v>3.3260000000000001</v>
      </c>
      <c r="AN137">
        <v>3.3460000000000001</v>
      </c>
      <c r="AO137">
        <v>3.4009999999999998</v>
      </c>
      <c r="AP137">
        <v>3.3650000000000002</v>
      </c>
      <c r="AQ137">
        <v>3.4049999999999998</v>
      </c>
      <c r="AR137">
        <v>3.399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</row>
    <row r="138" spans="2:52">
      <c r="B138" s="2">
        <v>45324</v>
      </c>
      <c r="C138">
        <v>3.4329999999999998</v>
      </c>
      <c r="D138">
        <v>3.4329999999999998</v>
      </c>
      <c r="E138">
        <v>3.431</v>
      </c>
      <c r="F138">
        <v>3.343</v>
      </c>
      <c r="G138">
        <v>3.32</v>
      </c>
      <c r="H138">
        <v>3.3050000000000002</v>
      </c>
      <c r="I138">
        <v>3.2650000000000001</v>
      </c>
      <c r="J138">
        <v>3.2440000000000002</v>
      </c>
      <c r="K138">
        <v>3.2890000000000001</v>
      </c>
      <c r="L138">
        <v>3.2559999999999998</v>
      </c>
      <c r="M138">
        <v>3.3359999999999999</v>
      </c>
      <c r="N138">
        <v>3.29</v>
      </c>
      <c r="O138">
        <v>3.2719999999999998</v>
      </c>
      <c r="P138">
        <v>3.25</v>
      </c>
      <c r="Q138">
        <v>3.2120000000000002</v>
      </c>
      <c r="R138">
        <v>3.1850000000000001</v>
      </c>
      <c r="S138" s="2">
        <v>45324</v>
      </c>
      <c r="T138">
        <v>3.4790000000000001</v>
      </c>
      <c r="U138">
        <v>3.4609999999999999</v>
      </c>
      <c r="V138">
        <v>3.4809999999999999</v>
      </c>
      <c r="W138">
        <v>3.4279999999999999</v>
      </c>
      <c r="X138">
        <v>3.4159999999999999</v>
      </c>
      <c r="Y138">
        <v>3.4140000000000001</v>
      </c>
      <c r="Z138">
        <v>3.42</v>
      </c>
      <c r="AA138">
        <v>3.4540000000000002</v>
      </c>
      <c r="AB138">
        <v>3.4540000000000002</v>
      </c>
      <c r="AC138">
        <v>3.4660000000000002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 s="2">
        <v>45324</v>
      </c>
      <c r="AK138">
        <v>3.4</v>
      </c>
      <c r="AL138">
        <v>3.3620000000000001</v>
      </c>
      <c r="AM138">
        <v>3.3029999999999999</v>
      </c>
      <c r="AN138">
        <v>3.3159999999999998</v>
      </c>
      <c r="AO138">
        <v>3.3519999999999999</v>
      </c>
      <c r="AP138">
        <v>3.3050000000000002</v>
      </c>
      <c r="AQ138">
        <v>3.3439999999999999</v>
      </c>
      <c r="AR138">
        <v>3.335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</row>
    <row r="139" spans="2:52">
      <c r="B139" s="2">
        <v>45323</v>
      </c>
      <c r="C139">
        <v>3.4350000000000001</v>
      </c>
      <c r="D139">
        <v>3.4350000000000001</v>
      </c>
      <c r="E139">
        <v>3.4329999999999998</v>
      </c>
      <c r="F139">
        <v>3.3460000000000001</v>
      </c>
      <c r="G139">
        <v>3.33</v>
      </c>
      <c r="H139">
        <v>3.319</v>
      </c>
      <c r="I139">
        <v>3.29</v>
      </c>
      <c r="J139">
        <v>3.27</v>
      </c>
      <c r="K139">
        <v>3.3220000000000001</v>
      </c>
      <c r="L139">
        <v>3.2970000000000002</v>
      </c>
      <c r="M139">
        <v>3.3839999999999999</v>
      </c>
      <c r="N139">
        <v>3.3450000000000002</v>
      </c>
      <c r="O139">
        <v>3.3330000000000002</v>
      </c>
      <c r="P139">
        <v>3.3220000000000001</v>
      </c>
      <c r="Q139">
        <v>3.2850000000000001</v>
      </c>
      <c r="R139">
        <v>3.258</v>
      </c>
      <c r="S139" s="2">
        <v>45323</v>
      </c>
      <c r="T139">
        <v>3.48</v>
      </c>
      <c r="U139">
        <v>3.4630000000000001</v>
      </c>
      <c r="V139">
        <v>3.4830000000000001</v>
      </c>
      <c r="W139">
        <v>3.431</v>
      </c>
      <c r="X139">
        <v>3.4319999999999999</v>
      </c>
      <c r="Y139">
        <v>3.4319999999999999</v>
      </c>
      <c r="Z139">
        <v>3.4460000000000002</v>
      </c>
      <c r="AA139">
        <v>3.4849999999999999</v>
      </c>
      <c r="AB139">
        <v>3.488</v>
      </c>
      <c r="AC139">
        <v>3.5129999999999999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 s="2">
        <v>45323</v>
      </c>
      <c r="AK139">
        <v>3.4049999999999998</v>
      </c>
      <c r="AL139">
        <v>3.3639999999999999</v>
      </c>
      <c r="AM139">
        <v>3.3050000000000002</v>
      </c>
      <c r="AN139">
        <v>3.3180000000000001</v>
      </c>
      <c r="AO139">
        <v>3.3650000000000002</v>
      </c>
      <c r="AP139">
        <v>3.32</v>
      </c>
      <c r="AQ139">
        <v>3.359</v>
      </c>
      <c r="AR139">
        <v>3.355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</row>
    <row r="140" spans="2:52">
      <c r="B140" s="2">
        <v>45322</v>
      </c>
      <c r="C140">
        <v>3.4350000000000001</v>
      </c>
      <c r="D140">
        <v>3.4359999999999999</v>
      </c>
      <c r="E140">
        <v>3.4329999999999998</v>
      </c>
      <c r="F140">
        <v>3.3380000000000001</v>
      </c>
      <c r="G140">
        <v>3.3260000000000001</v>
      </c>
      <c r="H140">
        <v>3.31</v>
      </c>
      <c r="I140">
        <v>3.2850000000000001</v>
      </c>
      <c r="J140">
        <v>3.2589999999999999</v>
      </c>
      <c r="K140">
        <v>3.3180000000000001</v>
      </c>
      <c r="L140">
        <v>3.2949999999999999</v>
      </c>
      <c r="M140">
        <v>3.3849999999999998</v>
      </c>
      <c r="N140">
        <v>3.3450000000000002</v>
      </c>
      <c r="O140">
        <v>3.3370000000000002</v>
      </c>
      <c r="P140">
        <v>3.33</v>
      </c>
      <c r="Q140">
        <v>3.2970000000000002</v>
      </c>
      <c r="R140">
        <v>3.27</v>
      </c>
      <c r="S140" s="2">
        <v>45322</v>
      </c>
      <c r="T140">
        <v>3.48</v>
      </c>
      <c r="U140">
        <v>3.4649999999999999</v>
      </c>
      <c r="V140">
        <v>3.4830000000000001</v>
      </c>
      <c r="W140">
        <v>3.4289999999999998</v>
      </c>
      <c r="X140">
        <v>3.4279999999999999</v>
      </c>
      <c r="Y140">
        <v>3.4260000000000002</v>
      </c>
      <c r="Z140">
        <v>3.4470000000000001</v>
      </c>
      <c r="AA140">
        <v>3.484</v>
      </c>
      <c r="AB140">
        <v>3.488</v>
      </c>
      <c r="AC140">
        <v>3.532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 s="2">
        <v>45322</v>
      </c>
      <c r="AK140">
        <v>3.403</v>
      </c>
      <c r="AL140">
        <v>3.3639999999999999</v>
      </c>
      <c r="AM140">
        <v>3.3029999999999999</v>
      </c>
      <c r="AN140">
        <v>3.3149999999999999</v>
      </c>
      <c r="AO140">
        <v>3.35</v>
      </c>
      <c r="AP140">
        <v>3.31</v>
      </c>
      <c r="AQ140">
        <v>3.347</v>
      </c>
      <c r="AR140">
        <v>3.3450000000000002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</row>
    <row r="141" spans="2:52">
      <c r="B141" s="2">
        <v>45321</v>
      </c>
      <c r="C141">
        <v>3.43</v>
      </c>
      <c r="D141">
        <v>3.431</v>
      </c>
      <c r="E141">
        <v>3.4350000000000001</v>
      </c>
      <c r="F141">
        <v>3.34</v>
      </c>
      <c r="G141">
        <v>3.323</v>
      </c>
      <c r="H141">
        <v>3.3119999999999998</v>
      </c>
      <c r="I141">
        <v>3.294</v>
      </c>
      <c r="J141">
        <v>3.27</v>
      </c>
      <c r="K141">
        <v>3.335</v>
      </c>
      <c r="L141">
        <v>3.3119999999999998</v>
      </c>
      <c r="M141">
        <v>3.403</v>
      </c>
      <c r="N141">
        <v>3.3610000000000002</v>
      </c>
      <c r="O141">
        <v>3.35</v>
      </c>
      <c r="P141">
        <v>3.3380000000000001</v>
      </c>
      <c r="Q141">
        <v>3.2970000000000002</v>
      </c>
      <c r="R141">
        <v>3.27</v>
      </c>
      <c r="S141" s="2">
        <v>45321</v>
      </c>
      <c r="T141">
        <v>3.4750000000000001</v>
      </c>
      <c r="U141">
        <v>3.46</v>
      </c>
      <c r="V141">
        <v>3.4849999999999999</v>
      </c>
      <c r="W141">
        <v>3.4289999999999998</v>
      </c>
      <c r="X141">
        <v>3.4279999999999999</v>
      </c>
      <c r="Y141">
        <v>3.427</v>
      </c>
      <c r="Z141">
        <v>3.4580000000000002</v>
      </c>
      <c r="AA141">
        <v>3.4969999999999999</v>
      </c>
      <c r="AB141">
        <v>3.508</v>
      </c>
      <c r="AC141">
        <v>3.5379999999999998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 s="2">
        <v>45321</v>
      </c>
      <c r="AK141">
        <v>3.4</v>
      </c>
      <c r="AL141">
        <v>3.3620000000000001</v>
      </c>
      <c r="AM141">
        <v>3.3010000000000002</v>
      </c>
      <c r="AN141">
        <v>3.3149999999999999</v>
      </c>
      <c r="AO141">
        <v>3.3559999999999999</v>
      </c>
      <c r="AP141">
        <v>3.3180000000000001</v>
      </c>
      <c r="AQ141">
        <v>3.36</v>
      </c>
      <c r="AR141">
        <v>3.36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</row>
    <row r="142" spans="2:52">
      <c r="B142" s="2">
        <v>45320</v>
      </c>
      <c r="C142">
        <v>3.4359999999999999</v>
      </c>
      <c r="D142">
        <v>3.4329999999999998</v>
      </c>
      <c r="E142">
        <v>3.4359999999999999</v>
      </c>
      <c r="F142">
        <v>3.3460000000000001</v>
      </c>
      <c r="G142">
        <v>3.3410000000000002</v>
      </c>
      <c r="H142">
        <v>3.34</v>
      </c>
      <c r="I142">
        <v>3.3250000000000002</v>
      </c>
      <c r="J142">
        <v>3.3039999999999998</v>
      </c>
      <c r="K142">
        <v>3.38</v>
      </c>
      <c r="L142">
        <v>3.3639999999999999</v>
      </c>
      <c r="M142">
        <v>3.4689999999999999</v>
      </c>
      <c r="N142">
        <v>3.4409999999999998</v>
      </c>
      <c r="O142">
        <v>3.431</v>
      </c>
      <c r="P142">
        <v>3.42</v>
      </c>
      <c r="Q142">
        <v>3.3660000000000001</v>
      </c>
      <c r="R142">
        <v>3.339</v>
      </c>
      <c r="S142" s="2">
        <v>45320</v>
      </c>
      <c r="T142">
        <v>3.48</v>
      </c>
      <c r="U142">
        <v>3.4590000000000001</v>
      </c>
      <c r="V142">
        <v>3.4849999999999999</v>
      </c>
      <c r="W142">
        <v>3.4340000000000002</v>
      </c>
      <c r="X142">
        <v>3.4510000000000001</v>
      </c>
      <c r="Y142">
        <v>3.452</v>
      </c>
      <c r="Z142">
        <v>3.4889999999999999</v>
      </c>
      <c r="AA142">
        <v>3.5310000000000001</v>
      </c>
      <c r="AB142">
        <v>3.552</v>
      </c>
      <c r="AC142">
        <v>3.6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 s="2">
        <v>45320</v>
      </c>
      <c r="AK142">
        <v>3.4009999999999998</v>
      </c>
      <c r="AL142">
        <v>3.367</v>
      </c>
      <c r="AM142">
        <v>3.3029999999999999</v>
      </c>
      <c r="AN142">
        <v>3.3180000000000001</v>
      </c>
      <c r="AO142">
        <v>3.3849999999999998</v>
      </c>
      <c r="AP142">
        <v>3.3450000000000002</v>
      </c>
      <c r="AQ142">
        <v>3.391</v>
      </c>
      <c r="AR142">
        <v>3.399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</row>
    <row r="143" spans="2:52">
      <c r="B143" s="2">
        <v>45317</v>
      </c>
      <c r="C143">
        <v>3.4279999999999999</v>
      </c>
      <c r="D143">
        <v>3.4209999999999998</v>
      </c>
      <c r="E143">
        <v>3.4279999999999999</v>
      </c>
      <c r="F143">
        <v>3.335</v>
      </c>
      <c r="G143">
        <v>3.323</v>
      </c>
      <c r="H143">
        <v>3.2909999999999999</v>
      </c>
      <c r="I143">
        <v>3.2850000000000001</v>
      </c>
      <c r="J143">
        <v>3.26</v>
      </c>
      <c r="K143">
        <v>3.335</v>
      </c>
      <c r="L143">
        <v>3.31</v>
      </c>
      <c r="M143">
        <v>3.4140000000000001</v>
      </c>
      <c r="N143">
        <v>3.387</v>
      </c>
      <c r="O143">
        <v>3.3719999999999999</v>
      </c>
      <c r="P143">
        <v>3.355</v>
      </c>
      <c r="Q143">
        <v>3.3</v>
      </c>
      <c r="R143">
        <v>3.2730000000000001</v>
      </c>
      <c r="S143" s="2">
        <v>45317</v>
      </c>
      <c r="T143">
        <v>3.4689999999999999</v>
      </c>
      <c r="U143">
        <v>3.4510000000000001</v>
      </c>
      <c r="V143">
        <v>3.4780000000000002</v>
      </c>
      <c r="W143">
        <v>3.4140000000000001</v>
      </c>
      <c r="X143">
        <v>3.4279999999999999</v>
      </c>
      <c r="Y143">
        <v>3.4049999999999998</v>
      </c>
      <c r="Z143">
        <v>3.4460000000000002</v>
      </c>
      <c r="AA143">
        <v>3.484</v>
      </c>
      <c r="AB143">
        <v>3.5049999999999999</v>
      </c>
      <c r="AC143">
        <v>3.5449999999999999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 s="2">
        <v>45317</v>
      </c>
      <c r="AK143">
        <v>3.391</v>
      </c>
      <c r="AL143">
        <v>3.359</v>
      </c>
      <c r="AM143">
        <v>3.2959999999999998</v>
      </c>
      <c r="AN143">
        <v>3.2959999999999998</v>
      </c>
      <c r="AO143">
        <v>3.359</v>
      </c>
      <c r="AP143">
        <v>3.31</v>
      </c>
      <c r="AQ143">
        <v>3.351</v>
      </c>
      <c r="AR143">
        <v>3.355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</row>
    <row r="144" spans="2:52">
      <c r="B144" s="2">
        <v>45316</v>
      </c>
      <c r="C144">
        <v>3.4350000000000001</v>
      </c>
      <c r="D144">
        <v>3.4249999999999998</v>
      </c>
      <c r="E144">
        <v>3.4279999999999999</v>
      </c>
      <c r="F144">
        <v>3.331</v>
      </c>
      <c r="G144">
        <v>3.34</v>
      </c>
      <c r="H144">
        <v>3.34</v>
      </c>
      <c r="I144">
        <v>3.33</v>
      </c>
      <c r="J144">
        <v>3.3050000000000002</v>
      </c>
      <c r="K144">
        <v>3.375</v>
      </c>
      <c r="L144">
        <v>3.3450000000000002</v>
      </c>
      <c r="M144">
        <v>3.4470000000000001</v>
      </c>
      <c r="N144">
        <v>3.415</v>
      </c>
      <c r="O144">
        <v>3.391</v>
      </c>
      <c r="P144">
        <v>3.3650000000000002</v>
      </c>
      <c r="Q144">
        <v>3.3050000000000002</v>
      </c>
      <c r="R144">
        <v>3.278</v>
      </c>
      <c r="S144" s="2">
        <v>45316</v>
      </c>
      <c r="T144">
        <v>3.4750000000000001</v>
      </c>
      <c r="U144">
        <v>3.456</v>
      </c>
      <c r="V144">
        <v>3.4809999999999999</v>
      </c>
      <c r="W144">
        <v>3.4119999999999999</v>
      </c>
      <c r="X144">
        <v>3.4489999999999998</v>
      </c>
      <c r="Y144">
        <v>3.4510000000000001</v>
      </c>
      <c r="Z144">
        <v>3.4910000000000001</v>
      </c>
      <c r="AA144">
        <v>3.5289999999999999</v>
      </c>
      <c r="AB144">
        <v>3.5449999999999999</v>
      </c>
      <c r="AC144">
        <v>3.585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 s="2">
        <v>45316</v>
      </c>
      <c r="AK144">
        <v>3.39</v>
      </c>
      <c r="AL144">
        <v>3.363</v>
      </c>
      <c r="AM144">
        <v>3.3010000000000002</v>
      </c>
      <c r="AN144">
        <v>3.3</v>
      </c>
      <c r="AO144">
        <v>3.383</v>
      </c>
      <c r="AP144">
        <v>3.347</v>
      </c>
      <c r="AQ144">
        <v>3.3969999999999998</v>
      </c>
      <c r="AR144">
        <v>3.4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</row>
    <row r="145" spans="2:52">
      <c r="B145" s="2">
        <v>45315</v>
      </c>
      <c r="C145">
        <v>3.4350000000000001</v>
      </c>
      <c r="D145">
        <v>3.4220000000000002</v>
      </c>
      <c r="E145">
        <v>3.43</v>
      </c>
      <c r="F145">
        <v>3.3330000000000002</v>
      </c>
      <c r="G145">
        <v>3.34</v>
      </c>
      <c r="H145">
        <v>3.34</v>
      </c>
      <c r="I145">
        <v>3.32</v>
      </c>
      <c r="J145">
        <v>3.2930000000000001</v>
      </c>
      <c r="K145">
        <v>3.36</v>
      </c>
      <c r="L145">
        <v>3.3340000000000001</v>
      </c>
      <c r="M145">
        <v>3.4340000000000002</v>
      </c>
      <c r="N145">
        <v>3.3969999999999998</v>
      </c>
      <c r="O145">
        <v>3.3679999999999999</v>
      </c>
      <c r="P145">
        <v>3.335</v>
      </c>
      <c r="Q145">
        <v>3.2719999999999998</v>
      </c>
      <c r="R145">
        <v>3.2450000000000001</v>
      </c>
      <c r="S145" s="2">
        <v>45315</v>
      </c>
      <c r="T145">
        <v>3.4689999999999999</v>
      </c>
      <c r="U145">
        <v>3.4529999999999998</v>
      </c>
      <c r="V145">
        <v>3.4809999999999999</v>
      </c>
      <c r="W145">
        <v>3.4089999999999998</v>
      </c>
      <c r="X145">
        <v>3.4449999999999998</v>
      </c>
      <c r="Y145">
        <v>3.4430000000000001</v>
      </c>
      <c r="Z145">
        <v>3.4780000000000002</v>
      </c>
      <c r="AA145">
        <v>3.5129999999999999</v>
      </c>
      <c r="AB145">
        <v>3.532</v>
      </c>
      <c r="AC145">
        <v>3.5750000000000002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s="2">
        <v>45315</v>
      </c>
      <c r="AK145">
        <v>3.39</v>
      </c>
      <c r="AL145">
        <v>3.363</v>
      </c>
      <c r="AM145">
        <v>3.3010000000000002</v>
      </c>
      <c r="AN145">
        <v>3.298</v>
      </c>
      <c r="AO145">
        <v>3.3780000000000001</v>
      </c>
      <c r="AP145">
        <v>3.34</v>
      </c>
      <c r="AQ145">
        <v>3.39</v>
      </c>
      <c r="AR145">
        <v>3.3919999999999999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</row>
    <row r="146" spans="2:52">
      <c r="B146" s="2">
        <v>45314</v>
      </c>
      <c r="C146">
        <v>3.4380000000000002</v>
      </c>
      <c r="D146">
        <v>3.4220000000000002</v>
      </c>
      <c r="E146">
        <v>3.4289999999999998</v>
      </c>
      <c r="F146">
        <v>3.3330000000000002</v>
      </c>
      <c r="G146">
        <v>3.3380000000000001</v>
      </c>
      <c r="H146">
        <v>3.335</v>
      </c>
      <c r="I146">
        <v>3.32</v>
      </c>
      <c r="J146">
        <v>3.2879999999999998</v>
      </c>
      <c r="K146">
        <v>3.3530000000000002</v>
      </c>
      <c r="L146">
        <v>3.33</v>
      </c>
      <c r="M146">
        <v>3.42</v>
      </c>
      <c r="N146">
        <v>3.375</v>
      </c>
      <c r="O146">
        <v>3.35</v>
      </c>
      <c r="P146">
        <v>3.32</v>
      </c>
      <c r="Q146">
        <v>3.26</v>
      </c>
      <c r="R146">
        <v>3.2330000000000001</v>
      </c>
      <c r="S146" s="2">
        <v>45314</v>
      </c>
      <c r="T146">
        <v>3.4649999999999999</v>
      </c>
      <c r="U146">
        <v>3.448</v>
      </c>
      <c r="V146">
        <v>3.48</v>
      </c>
      <c r="W146">
        <v>3.4</v>
      </c>
      <c r="X146">
        <v>3.4350000000000001</v>
      </c>
      <c r="Y146">
        <v>3.4369999999999998</v>
      </c>
      <c r="Z146">
        <v>3.476</v>
      </c>
      <c r="AA146">
        <v>3.5089999999999999</v>
      </c>
      <c r="AB146">
        <v>3.5249999999999999</v>
      </c>
      <c r="AC146">
        <v>3.5659999999999998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 s="2">
        <v>45314</v>
      </c>
      <c r="AK146">
        <v>3.39</v>
      </c>
      <c r="AL146">
        <v>3.363</v>
      </c>
      <c r="AM146">
        <v>3.3</v>
      </c>
      <c r="AN146">
        <v>3.2839999999999998</v>
      </c>
      <c r="AO146">
        <v>3.371</v>
      </c>
      <c r="AP146">
        <v>3.34</v>
      </c>
      <c r="AQ146">
        <v>3.3839999999999999</v>
      </c>
      <c r="AR146">
        <v>3.3879999999999999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</row>
    <row r="147" spans="2:52">
      <c r="B147" s="2">
        <v>45313</v>
      </c>
      <c r="C147">
        <v>3.4350000000000001</v>
      </c>
      <c r="D147">
        <v>3.431</v>
      </c>
      <c r="E147">
        <v>3.4329999999999998</v>
      </c>
      <c r="F147">
        <v>3.3359999999999999</v>
      </c>
      <c r="G147">
        <v>3.3380000000000001</v>
      </c>
      <c r="H147">
        <v>3.3159999999999998</v>
      </c>
      <c r="I147">
        <v>3.31</v>
      </c>
      <c r="J147">
        <v>3.2770000000000001</v>
      </c>
      <c r="K147">
        <v>3.35</v>
      </c>
      <c r="L147">
        <v>3.3220000000000001</v>
      </c>
      <c r="M147">
        <v>3.4140000000000001</v>
      </c>
      <c r="N147">
        <v>3.375</v>
      </c>
      <c r="O147">
        <v>3.3460000000000001</v>
      </c>
      <c r="P147">
        <v>3.3119999999999998</v>
      </c>
      <c r="Q147">
        <v>3.25</v>
      </c>
      <c r="R147">
        <v>3.2229999999999999</v>
      </c>
      <c r="S147" s="2">
        <v>45313</v>
      </c>
      <c r="T147">
        <v>3.4620000000000002</v>
      </c>
      <c r="U147">
        <v>3.4540000000000002</v>
      </c>
      <c r="V147">
        <v>3.4849999999999999</v>
      </c>
      <c r="W147">
        <v>3.4020000000000001</v>
      </c>
      <c r="X147">
        <v>3.4329999999999998</v>
      </c>
      <c r="Y147">
        <v>3.4220000000000002</v>
      </c>
      <c r="Z147">
        <v>3.4660000000000002</v>
      </c>
      <c r="AA147">
        <v>3.4980000000000002</v>
      </c>
      <c r="AB147">
        <v>3.5219999999999998</v>
      </c>
      <c r="AC147">
        <v>3.5670000000000002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s="2">
        <v>45313</v>
      </c>
      <c r="AK147">
        <v>3.39</v>
      </c>
      <c r="AL147">
        <v>3.3650000000000002</v>
      </c>
      <c r="AM147">
        <v>3.3010000000000002</v>
      </c>
      <c r="AN147">
        <v>3.2850000000000001</v>
      </c>
      <c r="AO147">
        <v>3.3559999999999999</v>
      </c>
      <c r="AP147">
        <v>3.3279999999999998</v>
      </c>
      <c r="AQ147">
        <v>3.375</v>
      </c>
      <c r="AR147">
        <v>3.38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</row>
    <row r="148" spans="2:52">
      <c r="B148" s="2">
        <v>45310</v>
      </c>
      <c r="C148">
        <v>3.47</v>
      </c>
      <c r="D148">
        <v>3.44</v>
      </c>
      <c r="E148">
        <v>3.44</v>
      </c>
      <c r="F148">
        <v>3.3359999999999999</v>
      </c>
      <c r="G148">
        <v>3.35</v>
      </c>
      <c r="H148">
        <v>3.3460000000000001</v>
      </c>
      <c r="I148">
        <v>3.335</v>
      </c>
      <c r="J148">
        <v>3.3029999999999999</v>
      </c>
      <c r="K148">
        <v>3.3839999999999999</v>
      </c>
      <c r="L148">
        <v>3.355</v>
      </c>
      <c r="M148">
        <v>3.452</v>
      </c>
      <c r="N148">
        <v>3.415</v>
      </c>
      <c r="O148">
        <v>3.3730000000000002</v>
      </c>
      <c r="P148">
        <v>3.3250000000000002</v>
      </c>
      <c r="Q148">
        <v>3.2650000000000001</v>
      </c>
      <c r="R148">
        <v>3.238</v>
      </c>
      <c r="S148" s="2">
        <v>45310</v>
      </c>
      <c r="T148">
        <v>3.4929999999999999</v>
      </c>
      <c r="U148">
        <v>3.464</v>
      </c>
      <c r="V148">
        <v>3.4950000000000001</v>
      </c>
      <c r="W148">
        <v>3.4020000000000001</v>
      </c>
      <c r="X148">
        <v>3.448</v>
      </c>
      <c r="Y148">
        <v>3.4470000000000001</v>
      </c>
      <c r="Z148">
        <v>3.4910000000000001</v>
      </c>
      <c r="AA148">
        <v>3.524</v>
      </c>
      <c r="AB148">
        <v>3.556</v>
      </c>
      <c r="AC148">
        <v>3.5950000000000002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s="2">
        <v>45310</v>
      </c>
      <c r="AK148">
        <v>3.39</v>
      </c>
      <c r="AL148">
        <v>3.3690000000000002</v>
      </c>
      <c r="AM148">
        <v>3.31</v>
      </c>
      <c r="AN148">
        <v>3.29</v>
      </c>
      <c r="AO148">
        <v>3.375</v>
      </c>
      <c r="AP148">
        <v>3.3450000000000002</v>
      </c>
      <c r="AQ148">
        <v>3.395</v>
      </c>
      <c r="AR148">
        <v>3.4020000000000001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</row>
    <row r="149" spans="2:52">
      <c r="B149" s="2">
        <v>45309</v>
      </c>
      <c r="C149">
        <v>3.47</v>
      </c>
      <c r="D149">
        <v>3.4470000000000001</v>
      </c>
      <c r="E149">
        <v>3.4409999999999998</v>
      </c>
      <c r="F149">
        <v>3.3380000000000001</v>
      </c>
      <c r="G149">
        <v>3.3380000000000001</v>
      </c>
      <c r="H149">
        <v>3.327</v>
      </c>
      <c r="I149">
        <v>3.2959999999999998</v>
      </c>
      <c r="J149">
        <v>3.27</v>
      </c>
      <c r="K149">
        <v>3.3479999999999999</v>
      </c>
      <c r="L149">
        <v>3.3149999999999999</v>
      </c>
      <c r="M149">
        <v>3.4</v>
      </c>
      <c r="N149">
        <v>3.3719999999999999</v>
      </c>
      <c r="O149">
        <v>3.3330000000000002</v>
      </c>
      <c r="P149">
        <v>3.2869999999999999</v>
      </c>
      <c r="Q149">
        <v>3.2250000000000001</v>
      </c>
      <c r="R149">
        <v>3.198</v>
      </c>
      <c r="S149" s="2">
        <v>45309</v>
      </c>
      <c r="T149">
        <v>3.4940000000000002</v>
      </c>
      <c r="U149">
        <v>3.4710000000000001</v>
      </c>
      <c r="V149">
        <v>3.496</v>
      </c>
      <c r="W149">
        <v>3.4039999999999999</v>
      </c>
      <c r="X149">
        <v>3.4359999999999999</v>
      </c>
      <c r="Y149">
        <v>3.427</v>
      </c>
      <c r="Z149">
        <v>3.452</v>
      </c>
      <c r="AA149">
        <v>3.4910000000000001</v>
      </c>
      <c r="AB149">
        <v>3.52</v>
      </c>
      <c r="AC149">
        <v>3.556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s="2">
        <v>45309</v>
      </c>
      <c r="AK149">
        <v>3.39</v>
      </c>
      <c r="AL149">
        <v>3.3690000000000002</v>
      </c>
      <c r="AM149">
        <v>3.31</v>
      </c>
      <c r="AN149">
        <v>3.2810000000000001</v>
      </c>
      <c r="AO149">
        <v>3.3559999999999999</v>
      </c>
      <c r="AP149">
        <v>3.3260000000000001</v>
      </c>
      <c r="AQ149">
        <v>3.3740000000000001</v>
      </c>
      <c r="AR149">
        <v>3.3820000000000001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</row>
    <row r="150" spans="2:52">
      <c r="B150" s="2">
        <v>45308</v>
      </c>
      <c r="C150">
        <v>3.47</v>
      </c>
      <c r="D150">
        <v>3.4489999999999998</v>
      </c>
      <c r="E150">
        <v>3.4449999999999998</v>
      </c>
      <c r="F150">
        <v>3.3460000000000001</v>
      </c>
      <c r="G150">
        <v>3.3410000000000002</v>
      </c>
      <c r="H150">
        <v>3.3290000000000002</v>
      </c>
      <c r="I150">
        <v>3.2919999999999998</v>
      </c>
      <c r="J150">
        <v>3.27</v>
      </c>
      <c r="K150">
        <v>3.34</v>
      </c>
      <c r="L150">
        <v>3.3119999999999998</v>
      </c>
      <c r="M150">
        <v>3.395</v>
      </c>
      <c r="N150">
        <v>3.36</v>
      </c>
      <c r="O150">
        <v>3.327</v>
      </c>
      <c r="P150">
        <v>3.2839999999999998</v>
      </c>
      <c r="Q150">
        <v>3.2149999999999999</v>
      </c>
      <c r="R150">
        <v>3.1890000000000001</v>
      </c>
      <c r="S150" s="2">
        <v>45308</v>
      </c>
      <c r="T150">
        <v>3.4950000000000001</v>
      </c>
      <c r="U150">
        <v>3.4729999999999999</v>
      </c>
      <c r="V150">
        <v>3.5</v>
      </c>
      <c r="W150">
        <v>3.4089999999999998</v>
      </c>
      <c r="X150">
        <v>3.4409999999999998</v>
      </c>
      <c r="Y150">
        <v>3.4289999999999998</v>
      </c>
      <c r="Z150">
        <v>3.448</v>
      </c>
      <c r="AA150">
        <v>3.4910000000000001</v>
      </c>
      <c r="AB150">
        <v>3.512</v>
      </c>
      <c r="AC150">
        <v>3.55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 s="2">
        <v>45308</v>
      </c>
      <c r="AK150">
        <v>3.3929999999999998</v>
      </c>
      <c r="AL150">
        <v>3.37</v>
      </c>
      <c r="AM150">
        <v>3.3090000000000002</v>
      </c>
      <c r="AN150">
        <v>3.28</v>
      </c>
      <c r="AO150">
        <v>3.3610000000000002</v>
      </c>
      <c r="AP150">
        <v>3.3260000000000001</v>
      </c>
      <c r="AQ150">
        <v>3.3740000000000001</v>
      </c>
      <c r="AR150">
        <v>3.3820000000000001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</row>
    <row r="151" spans="2:52">
      <c r="B151" s="2">
        <v>45307</v>
      </c>
      <c r="C151">
        <v>3.4729999999999999</v>
      </c>
      <c r="D151">
        <v>3.4489999999999998</v>
      </c>
      <c r="E151">
        <v>3.4449999999999998</v>
      </c>
      <c r="F151">
        <v>3.343</v>
      </c>
      <c r="G151">
        <v>3.323</v>
      </c>
      <c r="H151">
        <v>3.3</v>
      </c>
      <c r="I151">
        <v>3.2519999999999998</v>
      </c>
      <c r="J151">
        <v>3.2309999999999999</v>
      </c>
      <c r="K151">
        <v>3.2970000000000002</v>
      </c>
      <c r="L151">
        <v>3.2650000000000001</v>
      </c>
      <c r="M151">
        <v>3.3460000000000001</v>
      </c>
      <c r="N151">
        <v>3.3149999999999999</v>
      </c>
      <c r="O151">
        <v>3.2930000000000001</v>
      </c>
      <c r="P151">
        <v>3.2610000000000001</v>
      </c>
      <c r="Q151">
        <v>3.2149999999999999</v>
      </c>
      <c r="R151">
        <v>3.1880000000000002</v>
      </c>
      <c r="S151" s="2">
        <v>45307</v>
      </c>
      <c r="T151">
        <v>3.4980000000000002</v>
      </c>
      <c r="U151">
        <v>3.4729999999999999</v>
      </c>
      <c r="V151">
        <v>3.4990000000000001</v>
      </c>
      <c r="W151">
        <v>3.4049999999999998</v>
      </c>
      <c r="X151">
        <v>3.4180000000000001</v>
      </c>
      <c r="Y151">
        <v>3.4009999999999998</v>
      </c>
      <c r="Z151">
        <v>3.4079999999999999</v>
      </c>
      <c r="AA151">
        <v>3.452</v>
      </c>
      <c r="AB151">
        <v>3.4689999999999999</v>
      </c>
      <c r="AC151">
        <v>3.496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 s="2">
        <v>45307</v>
      </c>
      <c r="AK151">
        <v>3.3929999999999998</v>
      </c>
      <c r="AL151">
        <v>3.37</v>
      </c>
      <c r="AM151">
        <v>3.3050000000000002</v>
      </c>
      <c r="AN151">
        <v>3.2730000000000001</v>
      </c>
      <c r="AO151">
        <v>3.3359999999999999</v>
      </c>
      <c r="AP151">
        <v>3.2970000000000002</v>
      </c>
      <c r="AQ151">
        <v>3.339</v>
      </c>
      <c r="AR151">
        <v>3.343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</row>
    <row r="152" spans="2:52">
      <c r="B152" s="2">
        <v>45306</v>
      </c>
      <c r="C152">
        <v>3.4729999999999999</v>
      </c>
      <c r="D152">
        <v>3.45</v>
      </c>
      <c r="E152">
        <v>3.4470000000000001</v>
      </c>
      <c r="F152">
        <v>3.35</v>
      </c>
      <c r="G152">
        <v>3.3180000000000001</v>
      </c>
      <c r="H152">
        <v>3.2650000000000001</v>
      </c>
      <c r="I152">
        <v>3.2160000000000002</v>
      </c>
      <c r="J152">
        <v>3.1949999999999998</v>
      </c>
      <c r="K152">
        <v>3.2610000000000001</v>
      </c>
      <c r="L152">
        <v>3.2269999999999999</v>
      </c>
      <c r="M152">
        <v>3.3239999999999998</v>
      </c>
      <c r="N152">
        <v>3.2949999999999999</v>
      </c>
      <c r="O152">
        <v>3.2759999999999998</v>
      </c>
      <c r="P152">
        <v>3.2429999999999999</v>
      </c>
      <c r="Q152">
        <v>3.1989999999999998</v>
      </c>
      <c r="R152">
        <v>3.1720000000000002</v>
      </c>
      <c r="S152" s="2">
        <v>45306</v>
      </c>
      <c r="T152">
        <v>3.4980000000000002</v>
      </c>
      <c r="U152">
        <v>3.476</v>
      </c>
      <c r="V152">
        <v>3.5</v>
      </c>
      <c r="W152">
        <v>3.4119999999999999</v>
      </c>
      <c r="X152">
        <v>3.41</v>
      </c>
      <c r="Y152">
        <v>3.3650000000000002</v>
      </c>
      <c r="Z152">
        <v>3.3730000000000002</v>
      </c>
      <c r="AA152">
        <v>3.4159999999999999</v>
      </c>
      <c r="AB152">
        <v>3.4329999999999998</v>
      </c>
      <c r="AC152">
        <v>3.4590000000000001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 s="2">
        <v>45306</v>
      </c>
      <c r="AK152">
        <v>3.3929999999999998</v>
      </c>
      <c r="AL152">
        <v>3.37</v>
      </c>
      <c r="AM152">
        <v>3.306</v>
      </c>
      <c r="AN152">
        <v>3.2749999999999999</v>
      </c>
      <c r="AO152">
        <v>3.3109999999999999</v>
      </c>
      <c r="AP152">
        <v>3.26</v>
      </c>
      <c r="AQ152">
        <v>3.306</v>
      </c>
      <c r="AR152">
        <v>3.2959999999999998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</row>
    <row r="153" spans="2:52">
      <c r="B153" s="2">
        <v>45303</v>
      </c>
      <c r="C153">
        <v>3.4750000000000001</v>
      </c>
      <c r="D153">
        <v>3.45</v>
      </c>
      <c r="E153">
        <v>3.4510000000000001</v>
      </c>
      <c r="F153">
        <v>3.3580000000000001</v>
      </c>
      <c r="G153">
        <v>3.3330000000000002</v>
      </c>
      <c r="H153">
        <v>3.278</v>
      </c>
      <c r="I153">
        <v>3.222</v>
      </c>
      <c r="J153">
        <v>3.1970000000000001</v>
      </c>
      <c r="K153">
        <v>3.2650000000000001</v>
      </c>
      <c r="L153">
        <v>3.2320000000000002</v>
      </c>
      <c r="M153">
        <v>3.331</v>
      </c>
      <c r="N153">
        <v>3.3050000000000002</v>
      </c>
      <c r="O153">
        <v>3.2890000000000001</v>
      </c>
      <c r="P153">
        <v>3.2570000000000001</v>
      </c>
      <c r="Q153">
        <v>3.2149999999999999</v>
      </c>
      <c r="R153">
        <v>3.1880000000000002</v>
      </c>
      <c r="S153" s="2">
        <v>45303</v>
      </c>
      <c r="T153">
        <v>3.496</v>
      </c>
      <c r="U153">
        <v>3.4809999999999999</v>
      </c>
      <c r="V153">
        <v>3.5030000000000001</v>
      </c>
      <c r="W153">
        <v>3.419</v>
      </c>
      <c r="X153">
        <v>3.4209999999999998</v>
      </c>
      <c r="Y153">
        <v>3.3759999999999999</v>
      </c>
      <c r="Z153">
        <v>3.3769999999999998</v>
      </c>
      <c r="AA153">
        <v>3.4169999999999998</v>
      </c>
      <c r="AB153">
        <v>3.4380000000000002</v>
      </c>
      <c r="AC153">
        <v>3.4609999999999999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s="2">
        <v>45303</v>
      </c>
      <c r="AK153">
        <v>3.4049999999999998</v>
      </c>
      <c r="AL153">
        <v>3.383</v>
      </c>
      <c r="AM153">
        <v>3.3140000000000001</v>
      </c>
      <c r="AN153">
        <v>3.2890000000000001</v>
      </c>
      <c r="AO153">
        <v>3.3159999999999998</v>
      </c>
      <c r="AP153">
        <v>3.26</v>
      </c>
      <c r="AQ153">
        <v>3.31</v>
      </c>
      <c r="AR153">
        <v>3.3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</row>
    <row r="154" spans="2:52">
      <c r="B154" s="2">
        <v>45302</v>
      </c>
      <c r="C154">
        <v>3.4910000000000001</v>
      </c>
      <c r="D154">
        <v>3.4580000000000002</v>
      </c>
      <c r="E154">
        <v>3.4630000000000001</v>
      </c>
      <c r="F154">
        <v>3.3759999999999999</v>
      </c>
      <c r="G154">
        <v>3.3679999999999999</v>
      </c>
      <c r="H154">
        <v>3.3069999999999999</v>
      </c>
      <c r="I154">
        <v>3.2450000000000001</v>
      </c>
      <c r="J154">
        <v>3.222</v>
      </c>
      <c r="K154">
        <v>3.29</v>
      </c>
      <c r="L154">
        <v>3.2530000000000001</v>
      </c>
      <c r="M154">
        <v>3.347</v>
      </c>
      <c r="N154">
        <v>3.3170000000000002</v>
      </c>
      <c r="O154">
        <v>3.29</v>
      </c>
      <c r="P154">
        <v>3.2450000000000001</v>
      </c>
      <c r="Q154">
        <v>3.202</v>
      </c>
      <c r="R154">
        <v>3.177</v>
      </c>
      <c r="S154" s="2">
        <v>45302</v>
      </c>
      <c r="T154">
        <v>3.52</v>
      </c>
      <c r="U154">
        <v>3.492</v>
      </c>
      <c r="V154">
        <v>3.5150000000000001</v>
      </c>
      <c r="W154">
        <v>3.4369999999999998</v>
      </c>
      <c r="X154">
        <v>3.456</v>
      </c>
      <c r="Y154">
        <v>3.403</v>
      </c>
      <c r="Z154">
        <v>3.4</v>
      </c>
      <c r="AA154">
        <v>3.4420000000000002</v>
      </c>
      <c r="AB154">
        <v>3.4630000000000001</v>
      </c>
      <c r="AC154">
        <v>3.4910000000000001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 s="2">
        <v>45302</v>
      </c>
      <c r="AK154">
        <v>3.415</v>
      </c>
      <c r="AL154">
        <v>3.3940000000000001</v>
      </c>
      <c r="AM154">
        <v>3.3250000000000002</v>
      </c>
      <c r="AN154">
        <v>3.3029999999999999</v>
      </c>
      <c r="AO154">
        <v>3.3450000000000002</v>
      </c>
      <c r="AP154">
        <v>3.29</v>
      </c>
      <c r="AQ154">
        <v>3.3380000000000001</v>
      </c>
      <c r="AR154">
        <v>3.3180000000000001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</row>
    <row r="155" spans="2:52">
      <c r="B155" s="2">
        <v>45301</v>
      </c>
      <c r="C155">
        <v>3.4910000000000001</v>
      </c>
      <c r="D155">
        <v>3.4609999999999999</v>
      </c>
      <c r="E155">
        <v>3.4660000000000002</v>
      </c>
      <c r="F155">
        <v>3.4060000000000001</v>
      </c>
      <c r="G155">
        <v>3.4</v>
      </c>
      <c r="H155">
        <v>3.3530000000000002</v>
      </c>
      <c r="I155">
        <v>3.2879999999999998</v>
      </c>
      <c r="J155">
        <v>3.2669999999999999</v>
      </c>
      <c r="K155">
        <v>3.3340000000000001</v>
      </c>
      <c r="L155">
        <v>3.2949999999999999</v>
      </c>
      <c r="M155">
        <v>3.3860000000000001</v>
      </c>
      <c r="N155">
        <v>3.347</v>
      </c>
      <c r="O155">
        <v>3.3119999999999998</v>
      </c>
      <c r="P155">
        <v>3.2570000000000001</v>
      </c>
      <c r="Q155">
        <v>3.2149999999999999</v>
      </c>
      <c r="R155">
        <v>3.19</v>
      </c>
      <c r="S155" s="2">
        <v>45301</v>
      </c>
      <c r="T155">
        <v>3.5209999999999999</v>
      </c>
      <c r="U155">
        <v>3.496</v>
      </c>
      <c r="V155">
        <v>3.5230000000000001</v>
      </c>
      <c r="W155">
        <v>3.4689999999999999</v>
      </c>
      <c r="X155">
        <v>3.488</v>
      </c>
      <c r="Y155">
        <v>3.4470000000000001</v>
      </c>
      <c r="Z155">
        <v>3.4430000000000001</v>
      </c>
      <c r="AA155">
        <v>3.4870000000000001</v>
      </c>
      <c r="AB155">
        <v>3.5070000000000001</v>
      </c>
      <c r="AC155">
        <v>3.5329999999999999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s="2">
        <v>45301</v>
      </c>
      <c r="AK155">
        <v>3.4209999999999998</v>
      </c>
      <c r="AL155">
        <v>3.4039999999999999</v>
      </c>
      <c r="AM155">
        <v>3.3420000000000001</v>
      </c>
      <c r="AN155">
        <v>3.331</v>
      </c>
      <c r="AO155">
        <v>3.38</v>
      </c>
      <c r="AP155">
        <v>3.33</v>
      </c>
      <c r="AQ155">
        <v>3.38</v>
      </c>
      <c r="AR155">
        <v>3.363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</row>
    <row r="156" spans="2:52">
      <c r="B156" s="2">
        <v>45300</v>
      </c>
      <c r="C156">
        <v>3.488</v>
      </c>
      <c r="D156">
        <v>3.4649999999999999</v>
      </c>
      <c r="E156">
        <v>3.4750000000000001</v>
      </c>
      <c r="F156">
        <v>3.411</v>
      </c>
      <c r="G156">
        <v>3.4079999999999999</v>
      </c>
      <c r="H156">
        <v>3.3610000000000002</v>
      </c>
      <c r="I156">
        <v>3.28</v>
      </c>
      <c r="J156">
        <v>3.2469999999999999</v>
      </c>
      <c r="K156">
        <v>3.3119999999999998</v>
      </c>
      <c r="L156">
        <v>3.2679999999999998</v>
      </c>
      <c r="M156">
        <v>3.3450000000000002</v>
      </c>
      <c r="N156">
        <v>3.3149999999999999</v>
      </c>
      <c r="O156">
        <v>3.282</v>
      </c>
      <c r="P156">
        <v>3.2269999999999999</v>
      </c>
      <c r="Q156">
        <v>3.18</v>
      </c>
      <c r="R156">
        <v>3.1549999999999998</v>
      </c>
      <c r="S156" s="2">
        <v>45300</v>
      </c>
      <c r="T156">
        <v>3.5209999999999999</v>
      </c>
      <c r="U156">
        <v>3.4969999999999999</v>
      </c>
      <c r="V156">
        <v>3.528</v>
      </c>
      <c r="W156">
        <v>3.4740000000000002</v>
      </c>
      <c r="X156">
        <v>3.4910000000000001</v>
      </c>
      <c r="Y156">
        <v>3.4529999999999998</v>
      </c>
      <c r="Z156">
        <v>3.4340000000000002</v>
      </c>
      <c r="AA156">
        <v>3.4670000000000001</v>
      </c>
      <c r="AB156">
        <v>3.484</v>
      </c>
      <c r="AC156">
        <v>3.512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 s="2">
        <v>45300</v>
      </c>
      <c r="AK156">
        <v>3.423</v>
      </c>
      <c r="AL156">
        <v>3.4020000000000001</v>
      </c>
      <c r="AM156">
        <v>3.3410000000000002</v>
      </c>
      <c r="AN156">
        <v>3.33</v>
      </c>
      <c r="AO156">
        <v>3.375</v>
      </c>
      <c r="AP156">
        <v>3.32</v>
      </c>
      <c r="AQ156">
        <v>3.3639999999999999</v>
      </c>
      <c r="AR156">
        <v>3.36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</row>
    <row r="157" spans="2:52">
      <c r="B157" s="2">
        <v>45299</v>
      </c>
      <c r="C157">
        <v>3.488</v>
      </c>
      <c r="D157">
        <v>3.4710000000000001</v>
      </c>
      <c r="E157">
        <v>3.4830000000000001</v>
      </c>
      <c r="F157">
        <v>3.43</v>
      </c>
      <c r="G157">
        <v>3.4359999999999999</v>
      </c>
      <c r="H157">
        <v>3.39</v>
      </c>
      <c r="I157">
        <v>3.3250000000000002</v>
      </c>
      <c r="J157">
        <v>3.29</v>
      </c>
      <c r="K157">
        <v>3.3519999999999999</v>
      </c>
      <c r="L157">
        <v>3.306</v>
      </c>
      <c r="M157">
        <v>3.3780000000000001</v>
      </c>
      <c r="N157">
        <v>3.355</v>
      </c>
      <c r="O157">
        <v>3.3119999999999998</v>
      </c>
      <c r="P157">
        <v>3.2450000000000001</v>
      </c>
      <c r="Q157">
        <v>3.19</v>
      </c>
      <c r="R157">
        <v>3.165</v>
      </c>
      <c r="S157" s="2">
        <v>45299</v>
      </c>
      <c r="T157">
        <v>3.5209999999999999</v>
      </c>
      <c r="U157">
        <v>3.5139999999999998</v>
      </c>
      <c r="V157">
        <v>3.5409999999999999</v>
      </c>
      <c r="W157">
        <v>3.4950000000000001</v>
      </c>
      <c r="X157">
        <v>3.528</v>
      </c>
      <c r="Y157">
        <v>3.4870000000000001</v>
      </c>
      <c r="Z157">
        <v>3.476</v>
      </c>
      <c r="AA157">
        <v>3.508</v>
      </c>
      <c r="AB157">
        <v>3.524</v>
      </c>
      <c r="AC157">
        <v>3.5449999999999999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 s="2">
        <v>45299</v>
      </c>
      <c r="AK157">
        <v>3.43</v>
      </c>
      <c r="AL157">
        <v>3.4140000000000001</v>
      </c>
      <c r="AM157">
        <v>3.3530000000000002</v>
      </c>
      <c r="AN157">
        <v>3.3439999999999999</v>
      </c>
      <c r="AO157">
        <v>3.411</v>
      </c>
      <c r="AP157">
        <v>3.355</v>
      </c>
      <c r="AQ157">
        <v>3.4039999999999999</v>
      </c>
      <c r="AR157">
        <v>3.4009999999999998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</row>
    <row r="158" spans="2:52">
      <c r="B158" s="2">
        <v>45296</v>
      </c>
      <c r="C158">
        <v>3.488</v>
      </c>
      <c r="D158">
        <v>3.4729999999999999</v>
      </c>
      <c r="E158">
        <v>3.4860000000000002</v>
      </c>
      <c r="F158">
        <v>3.4329999999999998</v>
      </c>
      <c r="G158">
        <v>3.4369999999999998</v>
      </c>
      <c r="H158">
        <v>3.3759999999999999</v>
      </c>
      <c r="I158">
        <v>3.3220000000000001</v>
      </c>
      <c r="J158">
        <v>3.28</v>
      </c>
      <c r="K158">
        <v>3.3450000000000002</v>
      </c>
      <c r="L158">
        <v>3.302</v>
      </c>
      <c r="M158">
        <v>3.37</v>
      </c>
      <c r="N158">
        <v>3.3370000000000002</v>
      </c>
      <c r="O158">
        <v>3.3010000000000002</v>
      </c>
      <c r="P158">
        <v>3.24</v>
      </c>
      <c r="Q158">
        <v>3.2</v>
      </c>
      <c r="R158">
        <v>3.1749999999999998</v>
      </c>
      <c r="S158" s="2">
        <v>45296</v>
      </c>
      <c r="T158">
        <v>3.5209999999999999</v>
      </c>
      <c r="U158">
        <v>3.5169999999999999</v>
      </c>
      <c r="V158">
        <v>3.5550000000000002</v>
      </c>
      <c r="W158">
        <v>3.4969999999999999</v>
      </c>
      <c r="X158">
        <v>3.5270000000000001</v>
      </c>
      <c r="Y158">
        <v>3.4780000000000002</v>
      </c>
      <c r="Z158">
        <v>3.4729999999999999</v>
      </c>
      <c r="AA158">
        <v>3.4980000000000002</v>
      </c>
      <c r="AB158">
        <v>3.5169999999999999</v>
      </c>
      <c r="AC158">
        <v>3.5409999999999999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 s="2">
        <v>45296</v>
      </c>
      <c r="AK158">
        <v>3.4460000000000002</v>
      </c>
      <c r="AL158">
        <v>3.4220000000000002</v>
      </c>
      <c r="AM158">
        <v>3.3690000000000002</v>
      </c>
      <c r="AN158">
        <v>3.347</v>
      </c>
      <c r="AO158">
        <v>3.4089999999999998</v>
      </c>
      <c r="AP158">
        <v>3.355</v>
      </c>
      <c r="AQ158">
        <v>3.4009999999999998</v>
      </c>
      <c r="AR158">
        <v>3.3959999999999999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</row>
    <row r="159" spans="2:52">
      <c r="B159" s="2">
        <v>45295</v>
      </c>
      <c r="C159">
        <v>3.4849999999999999</v>
      </c>
      <c r="D159">
        <v>3.4729999999999999</v>
      </c>
      <c r="E159">
        <v>3.4830000000000001</v>
      </c>
      <c r="F159">
        <v>3.44</v>
      </c>
      <c r="G159">
        <v>3.431</v>
      </c>
      <c r="H159">
        <v>3.3340000000000001</v>
      </c>
      <c r="I159">
        <v>3.2709999999999999</v>
      </c>
      <c r="J159">
        <v>3.2240000000000002</v>
      </c>
      <c r="K159">
        <v>3.2959999999999998</v>
      </c>
      <c r="L159">
        <v>3.2570000000000001</v>
      </c>
      <c r="M159">
        <v>3.3130000000000002</v>
      </c>
      <c r="N159">
        <v>3.2850000000000001</v>
      </c>
      <c r="O159">
        <v>3.2610000000000001</v>
      </c>
      <c r="P159">
        <v>3.2130000000000001</v>
      </c>
      <c r="Q159">
        <v>3.1850000000000001</v>
      </c>
      <c r="R159">
        <v>3.16</v>
      </c>
      <c r="S159" s="2">
        <v>45295</v>
      </c>
      <c r="T159">
        <v>3.5209999999999999</v>
      </c>
      <c r="U159">
        <v>3.524</v>
      </c>
      <c r="V159">
        <v>3.5649999999999999</v>
      </c>
      <c r="W159">
        <v>3.5089999999999999</v>
      </c>
      <c r="X159">
        <v>3.5030000000000001</v>
      </c>
      <c r="Y159">
        <v>3.4319999999999999</v>
      </c>
      <c r="Z159">
        <v>3.423</v>
      </c>
      <c r="AA159">
        <v>3.4420000000000002</v>
      </c>
      <c r="AB159">
        <v>3.4689999999999999</v>
      </c>
      <c r="AC159">
        <v>3.5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 s="2">
        <v>45295</v>
      </c>
      <c r="AK159">
        <v>3.45</v>
      </c>
      <c r="AL159">
        <v>3.43</v>
      </c>
      <c r="AM159">
        <v>3.38</v>
      </c>
      <c r="AN159">
        <v>3.3610000000000002</v>
      </c>
      <c r="AO159">
        <v>3.37</v>
      </c>
      <c r="AP159">
        <v>3.3039999999999998</v>
      </c>
      <c r="AQ159">
        <v>3.3610000000000002</v>
      </c>
      <c r="AR159">
        <v>3.3570000000000002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</row>
    <row r="160" spans="2:52">
      <c r="B160" s="2">
        <v>45294</v>
      </c>
      <c r="C160">
        <v>3.4849999999999999</v>
      </c>
      <c r="D160">
        <v>3.4849999999999999</v>
      </c>
      <c r="E160">
        <v>3.5</v>
      </c>
      <c r="F160">
        <v>3.4660000000000002</v>
      </c>
      <c r="G160">
        <v>3.4609999999999999</v>
      </c>
      <c r="H160">
        <v>3.3679999999999999</v>
      </c>
      <c r="I160">
        <v>3.3239999999999998</v>
      </c>
      <c r="J160">
        <v>3.2749999999999999</v>
      </c>
      <c r="K160">
        <v>3.35</v>
      </c>
      <c r="L160">
        <v>3.3079999999999998</v>
      </c>
      <c r="M160">
        <v>3.363</v>
      </c>
      <c r="N160">
        <v>3.335</v>
      </c>
      <c r="O160">
        <v>3.3050000000000002</v>
      </c>
      <c r="P160">
        <v>3.25</v>
      </c>
      <c r="Q160">
        <v>3.23</v>
      </c>
      <c r="R160">
        <v>3.2050000000000001</v>
      </c>
      <c r="S160" s="2">
        <v>45294</v>
      </c>
      <c r="T160">
        <v>3.5209999999999999</v>
      </c>
      <c r="U160">
        <v>3.5369999999999999</v>
      </c>
      <c r="V160">
        <v>3.5779999999999998</v>
      </c>
      <c r="W160">
        <v>3.5369999999999999</v>
      </c>
      <c r="X160">
        <v>3.5350000000000001</v>
      </c>
      <c r="Y160">
        <v>3.47</v>
      </c>
      <c r="Z160">
        <v>3.4750000000000001</v>
      </c>
      <c r="AA160">
        <v>3.4929999999999999</v>
      </c>
      <c r="AB160">
        <v>3.5219999999999998</v>
      </c>
      <c r="AC160">
        <v>3.5579999999999998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s="2">
        <v>45294</v>
      </c>
      <c r="AK160">
        <v>3.4649999999999999</v>
      </c>
      <c r="AL160">
        <v>3.4460000000000002</v>
      </c>
      <c r="AM160">
        <v>3.399</v>
      </c>
      <c r="AN160">
        <v>3.3849999999999998</v>
      </c>
      <c r="AO160">
        <v>3.4</v>
      </c>
      <c r="AP160">
        <v>3.35</v>
      </c>
      <c r="AQ160">
        <v>3.411</v>
      </c>
      <c r="AR160">
        <v>3.4079999999999999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</row>
    <row r="161" spans="2:52">
      <c r="B161" s="2">
        <v>45293</v>
      </c>
      <c r="C161">
        <v>3.4809999999999999</v>
      </c>
      <c r="D161">
        <v>3.476</v>
      </c>
      <c r="E161">
        <v>3.4910000000000001</v>
      </c>
      <c r="F161">
        <v>3.448</v>
      </c>
      <c r="G161">
        <v>3.4409999999999998</v>
      </c>
      <c r="H161">
        <v>3.33</v>
      </c>
      <c r="I161">
        <v>3.2749999999999999</v>
      </c>
      <c r="J161">
        <v>3.2450000000000001</v>
      </c>
      <c r="K161">
        <v>3.3050000000000002</v>
      </c>
      <c r="L161">
        <v>3.27</v>
      </c>
      <c r="M161">
        <v>3.3279999999999998</v>
      </c>
      <c r="N161">
        <v>3.3050000000000002</v>
      </c>
      <c r="O161">
        <v>3.2850000000000001</v>
      </c>
      <c r="P161">
        <v>3.24</v>
      </c>
      <c r="Q161">
        <v>3.222</v>
      </c>
      <c r="R161">
        <v>3.1970000000000001</v>
      </c>
      <c r="S161" s="2">
        <v>45293</v>
      </c>
      <c r="T161">
        <v>3.5190000000000001</v>
      </c>
      <c r="U161">
        <v>3.532</v>
      </c>
      <c r="V161">
        <v>3.573</v>
      </c>
      <c r="W161">
        <v>3.528</v>
      </c>
      <c r="X161">
        <v>3.5190000000000001</v>
      </c>
      <c r="Y161">
        <v>3.4369999999999998</v>
      </c>
      <c r="Z161">
        <v>3.4279999999999999</v>
      </c>
      <c r="AA161">
        <v>3.4649999999999999</v>
      </c>
      <c r="AB161">
        <v>3.48</v>
      </c>
      <c r="AC161">
        <v>3.5329999999999999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 s="2">
        <v>45293</v>
      </c>
      <c r="AK161">
        <v>3.4660000000000002</v>
      </c>
      <c r="AL161">
        <v>3.448</v>
      </c>
      <c r="AM161">
        <v>3.41</v>
      </c>
      <c r="AN161">
        <v>3.387</v>
      </c>
      <c r="AO161">
        <v>3.4159999999999999</v>
      </c>
      <c r="AP161">
        <v>3.35</v>
      </c>
      <c r="AQ161">
        <v>3.375</v>
      </c>
      <c r="AR161">
        <v>3.3759999999999999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</row>
    <row r="162" spans="2:52">
      <c r="B162" s="2">
        <v>45289</v>
      </c>
      <c r="C162">
        <v>3.4929999999999999</v>
      </c>
      <c r="D162">
        <v>3.468</v>
      </c>
      <c r="E162">
        <v>3.4780000000000002</v>
      </c>
      <c r="F162">
        <v>3.431</v>
      </c>
      <c r="G162">
        <v>3.3759999999999999</v>
      </c>
      <c r="H162">
        <v>3.242</v>
      </c>
      <c r="I162">
        <v>3.1749999999999998</v>
      </c>
      <c r="J162">
        <v>3.145</v>
      </c>
      <c r="K162">
        <v>3.1960000000000002</v>
      </c>
      <c r="L162">
        <v>3.1549999999999998</v>
      </c>
      <c r="M162">
        <v>3.2069999999999999</v>
      </c>
      <c r="N162">
        <v>3.1749999999999998</v>
      </c>
      <c r="O162">
        <v>3.1480000000000001</v>
      </c>
      <c r="P162">
        <v>3.0950000000000002</v>
      </c>
      <c r="Q162">
        <v>3.08</v>
      </c>
      <c r="R162">
        <v>3.0550000000000002</v>
      </c>
      <c r="S162" s="2">
        <v>45289</v>
      </c>
      <c r="T162">
        <v>3.5339999999999998</v>
      </c>
      <c r="U162">
        <v>3.5270000000000001</v>
      </c>
      <c r="V162">
        <v>3.5659999999999998</v>
      </c>
      <c r="W162">
        <v>3.512</v>
      </c>
      <c r="X162">
        <v>3.4580000000000002</v>
      </c>
      <c r="Y162">
        <v>3.3490000000000002</v>
      </c>
      <c r="Z162">
        <v>3.3279999999999998</v>
      </c>
      <c r="AA162">
        <v>3.3650000000000002</v>
      </c>
      <c r="AB162">
        <v>3.3719999999999999</v>
      </c>
      <c r="AC162">
        <v>3.4279999999999999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s="2">
        <v>45289</v>
      </c>
      <c r="AK162">
        <v>3.4609999999999999</v>
      </c>
      <c r="AL162">
        <v>3.4430000000000001</v>
      </c>
      <c r="AM162">
        <v>3.4169999999999998</v>
      </c>
      <c r="AN162">
        <v>3.387</v>
      </c>
      <c r="AO162">
        <v>3.3660000000000001</v>
      </c>
      <c r="AP162">
        <v>3.2650000000000001</v>
      </c>
      <c r="AQ162">
        <v>3.2919999999999998</v>
      </c>
      <c r="AR162">
        <v>3.28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</row>
    <row r="163" spans="2:52">
      <c r="B163" s="2">
        <v>45288</v>
      </c>
      <c r="C163">
        <v>3.4929999999999999</v>
      </c>
      <c r="D163">
        <v>3.468</v>
      </c>
      <c r="E163">
        <v>3.4780000000000002</v>
      </c>
      <c r="F163">
        <v>3.431</v>
      </c>
      <c r="G163">
        <v>3.3759999999999999</v>
      </c>
      <c r="H163">
        <v>3.242</v>
      </c>
      <c r="I163">
        <v>3.1749999999999998</v>
      </c>
      <c r="J163">
        <v>3.145</v>
      </c>
      <c r="K163">
        <v>3.1960000000000002</v>
      </c>
      <c r="L163">
        <v>3.1549999999999998</v>
      </c>
      <c r="M163">
        <v>3.2069999999999999</v>
      </c>
      <c r="N163">
        <v>3.1749999999999998</v>
      </c>
      <c r="O163">
        <v>3.1480000000000001</v>
      </c>
      <c r="P163">
        <v>3.0950000000000002</v>
      </c>
      <c r="Q163">
        <v>3.08</v>
      </c>
      <c r="R163">
        <v>3.0550000000000002</v>
      </c>
      <c r="S163" s="2">
        <v>45288</v>
      </c>
      <c r="T163">
        <v>3.5339999999999998</v>
      </c>
      <c r="U163">
        <v>3.5270000000000001</v>
      </c>
      <c r="V163">
        <v>3.5659999999999998</v>
      </c>
      <c r="W163">
        <v>3.512</v>
      </c>
      <c r="X163">
        <v>3.4580000000000002</v>
      </c>
      <c r="Y163">
        <v>3.3490000000000002</v>
      </c>
      <c r="Z163">
        <v>3.3279999999999998</v>
      </c>
      <c r="AA163">
        <v>3.3650000000000002</v>
      </c>
      <c r="AB163">
        <v>3.3719999999999999</v>
      </c>
      <c r="AC163">
        <v>3.4279999999999999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 s="2">
        <v>45288</v>
      </c>
      <c r="AK163">
        <v>3.4609999999999999</v>
      </c>
      <c r="AL163">
        <v>3.4430000000000001</v>
      </c>
      <c r="AM163">
        <v>3.4169999999999998</v>
      </c>
      <c r="AN163">
        <v>3.387</v>
      </c>
      <c r="AO163">
        <v>3.3660000000000001</v>
      </c>
      <c r="AP163">
        <v>3.2650000000000001</v>
      </c>
      <c r="AQ163">
        <v>3.2919999999999998</v>
      </c>
      <c r="AR163">
        <v>3.28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</row>
    <row r="164" spans="2:52">
      <c r="B164" s="2">
        <v>45287</v>
      </c>
      <c r="C164">
        <v>3.5030000000000001</v>
      </c>
      <c r="D164">
        <v>3.4780000000000002</v>
      </c>
      <c r="E164">
        <v>3.4929999999999999</v>
      </c>
      <c r="F164">
        <v>3.4550000000000001</v>
      </c>
      <c r="G164">
        <v>3.4119999999999999</v>
      </c>
      <c r="H164">
        <v>3.2959999999999998</v>
      </c>
      <c r="I164">
        <v>3.25</v>
      </c>
      <c r="J164">
        <v>3.2120000000000002</v>
      </c>
      <c r="K164">
        <v>3.26</v>
      </c>
      <c r="L164">
        <v>3.2149999999999999</v>
      </c>
      <c r="M164">
        <v>3.2930000000000001</v>
      </c>
      <c r="N164">
        <v>3.2549999999999999</v>
      </c>
      <c r="O164">
        <v>3.2250000000000001</v>
      </c>
      <c r="P164">
        <v>3.17</v>
      </c>
      <c r="Q164">
        <v>3.15</v>
      </c>
      <c r="R164">
        <v>3.12</v>
      </c>
      <c r="S164" s="2">
        <v>45287</v>
      </c>
      <c r="T164">
        <v>3.5539999999999998</v>
      </c>
      <c r="U164">
        <v>3.5409999999999999</v>
      </c>
      <c r="V164">
        <v>3.5830000000000002</v>
      </c>
      <c r="W164">
        <v>3.5449999999999999</v>
      </c>
      <c r="X164">
        <v>3.5019999999999998</v>
      </c>
      <c r="Y164">
        <v>3.4049999999999998</v>
      </c>
      <c r="Z164">
        <v>3.403</v>
      </c>
      <c r="AA164">
        <v>3.4319999999999999</v>
      </c>
      <c r="AB164">
        <v>3.4359999999999999</v>
      </c>
      <c r="AC164">
        <v>3.51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 s="2">
        <v>45287</v>
      </c>
      <c r="AK164">
        <v>3.4830000000000001</v>
      </c>
      <c r="AL164">
        <v>3.4660000000000002</v>
      </c>
      <c r="AM164">
        <v>3.4420000000000002</v>
      </c>
      <c r="AN164">
        <v>3.43</v>
      </c>
      <c r="AO164">
        <v>3.4159999999999999</v>
      </c>
      <c r="AP164">
        <v>3.33</v>
      </c>
      <c r="AQ164">
        <v>3.359</v>
      </c>
      <c r="AR164">
        <v>3.3450000000000002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</row>
    <row r="165" spans="2:52">
      <c r="B165" s="2">
        <v>45286</v>
      </c>
      <c r="C165">
        <v>3.4849999999999999</v>
      </c>
      <c r="D165">
        <v>3.488</v>
      </c>
      <c r="E165">
        <v>3.4929999999999999</v>
      </c>
      <c r="F165">
        <v>3.456</v>
      </c>
      <c r="G165">
        <v>3.42</v>
      </c>
      <c r="H165">
        <v>3.298</v>
      </c>
      <c r="I165">
        <v>3.2650000000000001</v>
      </c>
      <c r="J165">
        <v>3.2160000000000002</v>
      </c>
      <c r="K165">
        <v>3.2690000000000001</v>
      </c>
      <c r="L165">
        <v>3.222</v>
      </c>
      <c r="M165">
        <v>3.3029999999999999</v>
      </c>
      <c r="N165">
        <v>3.266</v>
      </c>
      <c r="O165">
        <v>3.254</v>
      </c>
      <c r="P165">
        <v>3.2189999999999999</v>
      </c>
      <c r="Q165">
        <v>3.19</v>
      </c>
      <c r="R165">
        <v>3.16</v>
      </c>
      <c r="S165" s="2">
        <v>45286</v>
      </c>
      <c r="T165">
        <v>3.544</v>
      </c>
      <c r="U165">
        <v>3.5489999999999999</v>
      </c>
      <c r="V165">
        <v>3.581</v>
      </c>
      <c r="W165">
        <v>3.5449999999999999</v>
      </c>
      <c r="X165">
        <v>3.508</v>
      </c>
      <c r="Y165">
        <v>3.4049999999999998</v>
      </c>
      <c r="Z165">
        <v>3.4159999999999999</v>
      </c>
      <c r="AA165">
        <v>3.4369999999999998</v>
      </c>
      <c r="AB165">
        <v>3.4409999999999998</v>
      </c>
      <c r="AC165">
        <v>3.5179999999999998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 s="2">
        <v>45286</v>
      </c>
      <c r="AK165">
        <v>3.4830000000000001</v>
      </c>
      <c r="AL165">
        <v>3.4660000000000002</v>
      </c>
      <c r="AM165">
        <v>3.4420000000000002</v>
      </c>
      <c r="AN165">
        <v>3.43</v>
      </c>
      <c r="AO165">
        <v>3.4180000000000001</v>
      </c>
      <c r="AP165">
        <v>3.33</v>
      </c>
      <c r="AQ165">
        <v>3.3570000000000002</v>
      </c>
      <c r="AR165">
        <v>3.3439999999999999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</row>
    <row r="166" spans="2:52">
      <c r="B166" s="2">
        <v>45282</v>
      </c>
      <c r="C166">
        <v>3.4809999999999999</v>
      </c>
      <c r="D166">
        <v>3.5059999999999998</v>
      </c>
      <c r="E166">
        <v>3.5009999999999999</v>
      </c>
      <c r="F166">
        <v>3.46</v>
      </c>
      <c r="G166">
        <v>3.4249999999999998</v>
      </c>
      <c r="H166">
        <v>3.3010000000000002</v>
      </c>
      <c r="I166">
        <v>3.2749999999999999</v>
      </c>
      <c r="J166">
        <v>3.2250000000000001</v>
      </c>
      <c r="K166">
        <v>3.2890000000000001</v>
      </c>
      <c r="L166">
        <v>3.2429999999999999</v>
      </c>
      <c r="M166">
        <v>3.3250000000000002</v>
      </c>
      <c r="N166">
        <v>3.2909999999999999</v>
      </c>
      <c r="O166">
        <v>3.28</v>
      </c>
      <c r="P166">
        <v>3.2410000000000001</v>
      </c>
      <c r="Q166">
        <v>3.2090000000000001</v>
      </c>
      <c r="R166">
        <v>3.1789999999999998</v>
      </c>
      <c r="S166" s="2">
        <v>45282</v>
      </c>
      <c r="T166">
        <v>3.5409999999999999</v>
      </c>
      <c r="U166">
        <v>3.5609999999999999</v>
      </c>
      <c r="V166">
        <v>3.5859999999999999</v>
      </c>
      <c r="W166">
        <v>3.548</v>
      </c>
      <c r="X166">
        <v>3.5129999999999999</v>
      </c>
      <c r="Y166">
        <v>3.4060000000000001</v>
      </c>
      <c r="Z166">
        <v>3.4239999999999999</v>
      </c>
      <c r="AA166">
        <v>3.4470000000000001</v>
      </c>
      <c r="AB166">
        <v>3.4580000000000002</v>
      </c>
      <c r="AC166">
        <v>3.52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s="2">
        <v>45282</v>
      </c>
      <c r="AK166">
        <v>3.4849999999999999</v>
      </c>
      <c r="AL166">
        <v>3.468</v>
      </c>
      <c r="AM166">
        <v>3.444</v>
      </c>
      <c r="AN166">
        <v>3.431</v>
      </c>
      <c r="AO166">
        <v>3.4209999999999998</v>
      </c>
      <c r="AP166">
        <v>3.335</v>
      </c>
      <c r="AQ166">
        <v>3.3660000000000001</v>
      </c>
      <c r="AR166">
        <v>3.3530000000000002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</row>
    <row r="167" spans="2:52">
      <c r="B167" s="2">
        <v>45281</v>
      </c>
      <c r="C167">
        <v>3.4750000000000001</v>
      </c>
      <c r="D167">
        <v>3.5249999999999999</v>
      </c>
      <c r="E167">
        <v>3.5049999999999999</v>
      </c>
      <c r="F167">
        <v>3.456</v>
      </c>
      <c r="G167">
        <v>3.4249999999999998</v>
      </c>
      <c r="H167">
        <v>3.32</v>
      </c>
      <c r="I167">
        <v>3.28</v>
      </c>
      <c r="J167">
        <v>3.2330000000000001</v>
      </c>
      <c r="K167">
        <v>3.2949999999999999</v>
      </c>
      <c r="L167">
        <v>3.2509999999999999</v>
      </c>
      <c r="M167">
        <v>3.327</v>
      </c>
      <c r="N167">
        <v>3.2919999999999998</v>
      </c>
      <c r="O167">
        <v>3.282</v>
      </c>
      <c r="P167">
        <v>3.25</v>
      </c>
      <c r="Q167">
        <v>3.2269999999999999</v>
      </c>
      <c r="R167">
        <v>3.1930000000000001</v>
      </c>
      <c r="S167" s="2">
        <v>45281</v>
      </c>
      <c r="T167">
        <v>3.5339999999999998</v>
      </c>
      <c r="U167">
        <v>3.5790000000000002</v>
      </c>
      <c r="V167">
        <v>3.5950000000000002</v>
      </c>
      <c r="W167">
        <v>3.5449999999999999</v>
      </c>
      <c r="X167">
        <v>3.5129999999999999</v>
      </c>
      <c r="Y167">
        <v>3.42</v>
      </c>
      <c r="Z167">
        <v>3.4289999999999998</v>
      </c>
      <c r="AA167">
        <v>3.4540000000000002</v>
      </c>
      <c r="AB167">
        <v>3.46</v>
      </c>
      <c r="AC167">
        <v>3.5150000000000001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 s="2">
        <v>45281</v>
      </c>
      <c r="AK167">
        <v>3.4849999999999999</v>
      </c>
      <c r="AL167">
        <v>3.468</v>
      </c>
      <c r="AM167">
        <v>3.444</v>
      </c>
      <c r="AN167">
        <v>3.431</v>
      </c>
      <c r="AO167">
        <v>3.4209999999999998</v>
      </c>
      <c r="AP167">
        <v>3.34</v>
      </c>
      <c r="AQ167">
        <v>3.367</v>
      </c>
      <c r="AR167">
        <v>3.3580000000000001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</row>
    <row r="168" spans="2:52">
      <c r="B168" s="2">
        <v>45280</v>
      </c>
      <c r="C168">
        <v>3.48</v>
      </c>
      <c r="D168">
        <v>3.52</v>
      </c>
      <c r="E168">
        <v>3.5049999999999999</v>
      </c>
      <c r="F168">
        <v>3.4510000000000001</v>
      </c>
      <c r="G168">
        <v>3.4129999999999998</v>
      </c>
      <c r="H168">
        <v>3.32</v>
      </c>
      <c r="I168">
        <v>3.28</v>
      </c>
      <c r="J168">
        <v>3.2229999999999999</v>
      </c>
      <c r="K168">
        <v>3.2949999999999999</v>
      </c>
      <c r="L168">
        <v>3.2450000000000001</v>
      </c>
      <c r="M168">
        <v>3.3140000000000001</v>
      </c>
      <c r="N168">
        <v>3.2770000000000001</v>
      </c>
      <c r="O168">
        <v>3.266</v>
      </c>
      <c r="P168">
        <v>3.2320000000000002</v>
      </c>
      <c r="Q168">
        <v>3.202</v>
      </c>
      <c r="R168">
        <v>3.1640000000000001</v>
      </c>
      <c r="S168" s="2">
        <v>45280</v>
      </c>
      <c r="T168">
        <v>3.536</v>
      </c>
      <c r="U168">
        <v>3.5739999999999998</v>
      </c>
      <c r="V168">
        <v>3.5950000000000002</v>
      </c>
      <c r="W168">
        <v>3.5350000000000001</v>
      </c>
      <c r="X168">
        <v>3.5009999999999999</v>
      </c>
      <c r="Y168">
        <v>3.42</v>
      </c>
      <c r="Z168">
        <v>3.4289999999999998</v>
      </c>
      <c r="AA168">
        <v>3.4489999999999998</v>
      </c>
      <c r="AB168">
        <v>3.4609999999999999</v>
      </c>
      <c r="AC168">
        <v>3.4980000000000002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 s="2">
        <v>45280</v>
      </c>
      <c r="AK168">
        <v>3.4849999999999999</v>
      </c>
      <c r="AL168">
        <v>3.468</v>
      </c>
      <c r="AM168">
        <v>3.444</v>
      </c>
      <c r="AN168">
        <v>3.431</v>
      </c>
      <c r="AO168">
        <v>3.4049999999999998</v>
      </c>
      <c r="AP168">
        <v>3.3450000000000002</v>
      </c>
      <c r="AQ168">
        <v>3.3650000000000002</v>
      </c>
      <c r="AR168">
        <v>3.351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</row>
    <row r="169" spans="2:52">
      <c r="B169" s="2">
        <v>45279</v>
      </c>
      <c r="C169">
        <v>3.48</v>
      </c>
      <c r="D169">
        <v>3.5209999999999999</v>
      </c>
      <c r="E169">
        <v>3.51</v>
      </c>
      <c r="F169">
        <v>3.472</v>
      </c>
      <c r="G169">
        <v>3.4380000000000002</v>
      </c>
      <c r="H169">
        <v>3.3690000000000002</v>
      </c>
      <c r="I169">
        <v>3.3290000000000002</v>
      </c>
      <c r="J169">
        <v>3.274</v>
      </c>
      <c r="K169">
        <v>3.3460000000000001</v>
      </c>
      <c r="L169">
        <v>3.2949999999999999</v>
      </c>
      <c r="M169">
        <v>3.351</v>
      </c>
      <c r="N169">
        <v>3.3050000000000002</v>
      </c>
      <c r="O169">
        <v>3.2839999999999998</v>
      </c>
      <c r="P169">
        <v>3.24</v>
      </c>
      <c r="Q169">
        <v>3.2250000000000001</v>
      </c>
      <c r="R169">
        <v>3.1850000000000001</v>
      </c>
      <c r="S169" s="2">
        <v>45279</v>
      </c>
      <c r="T169">
        <v>3.5419999999999998</v>
      </c>
      <c r="U169">
        <v>3.577</v>
      </c>
      <c r="V169">
        <v>3.601</v>
      </c>
      <c r="W169">
        <v>3.556</v>
      </c>
      <c r="X169">
        <v>3.5259999999999998</v>
      </c>
      <c r="Y169">
        <v>3.4660000000000002</v>
      </c>
      <c r="Z169">
        <v>3.4750000000000001</v>
      </c>
      <c r="AA169">
        <v>3.4940000000000002</v>
      </c>
      <c r="AB169">
        <v>3.512</v>
      </c>
      <c r="AC169">
        <v>3.53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 s="2">
        <v>45279</v>
      </c>
      <c r="AK169">
        <v>3.488</v>
      </c>
      <c r="AL169">
        <v>3.47</v>
      </c>
      <c r="AM169">
        <v>3.4470000000000001</v>
      </c>
      <c r="AN169">
        <v>3.4319999999999999</v>
      </c>
      <c r="AO169">
        <v>3.4049999999999998</v>
      </c>
      <c r="AP169">
        <v>3.3849999999999998</v>
      </c>
      <c r="AQ169">
        <v>3.407</v>
      </c>
      <c r="AR169">
        <v>3.3879999999999999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</row>
    <row r="170" spans="2:52">
      <c r="B170" s="2">
        <v>45278</v>
      </c>
      <c r="C170">
        <v>3.468</v>
      </c>
      <c r="D170">
        <v>3.52</v>
      </c>
      <c r="E170">
        <v>3.508</v>
      </c>
      <c r="F170">
        <v>3.4740000000000002</v>
      </c>
      <c r="G170">
        <v>3.43</v>
      </c>
      <c r="H170">
        <v>3.3650000000000002</v>
      </c>
      <c r="I170">
        <v>3.3250000000000002</v>
      </c>
      <c r="J170">
        <v>3.2789999999999999</v>
      </c>
      <c r="K170">
        <v>3.3570000000000002</v>
      </c>
      <c r="L170">
        <v>3.302</v>
      </c>
      <c r="M170">
        <v>3.37</v>
      </c>
      <c r="N170">
        <v>3.3380000000000001</v>
      </c>
      <c r="O170">
        <v>3.3079999999999998</v>
      </c>
      <c r="P170">
        <v>3.2589999999999999</v>
      </c>
      <c r="Q170">
        <v>3.2490000000000001</v>
      </c>
      <c r="R170">
        <v>3.2090000000000001</v>
      </c>
      <c r="S170" s="2">
        <v>45278</v>
      </c>
      <c r="T170">
        <v>3.532</v>
      </c>
      <c r="U170">
        <v>3.5760000000000001</v>
      </c>
      <c r="V170">
        <v>3.6</v>
      </c>
      <c r="W170">
        <v>3.5510000000000002</v>
      </c>
      <c r="X170">
        <v>3.5139999999999998</v>
      </c>
      <c r="Y170">
        <v>3.46</v>
      </c>
      <c r="Z170">
        <v>3.4710000000000001</v>
      </c>
      <c r="AA170">
        <v>3.4990000000000001</v>
      </c>
      <c r="AB170">
        <v>3.524</v>
      </c>
      <c r="AC170">
        <v>3.54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 s="2">
        <v>45278</v>
      </c>
      <c r="AK170">
        <v>3.48</v>
      </c>
      <c r="AL170">
        <v>3.46</v>
      </c>
      <c r="AM170">
        <v>3.4390000000000001</v>
      </c>
      <c r="AN170">
        <v>3.4239999999999999</v>
      </c>
      <c r="AO170">
        <v>3.395</v>
      </c>
      <c r="AP170">
        <v>3.375</v>
      </c>
      <c r="AQ170">
        <v>3.4020000000000001</v>
      </c>
      <c r="AR170">
        <v>3.3780000000000001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</row>
    <row r="171" spans="2:52">
      <c r="B171" s="2">
        <v>45275</v>
      </c>
      <c r="C171">
        <v>3.4649999999999999</v>
      </c>
      <c r="D171">
        <v>3.5230000000000001</v>
      </c>
      <c r="E171">
        <v>3.5129999999999999</v>
      </c>
      <c r="F171">
        <v>3.4750000000000001</v>
      </c>
      <c r="G171">
        <v>3.431</v>
      </c>
      <c r="H171">
        <v>3.3540000000000001</v>
      </c>
      <c r="I171">
        <v>3.3149999999999999</v>
      </c>
      <c r="J171">
        <v>3.2749999999999999</v>
      </c>
      <c r="K171">
        <v>3.355</v>
      </c>
      <c r="L171">
        <v>3.3010000000000002</v>
      </c>
      <c r="M171">
        <v>3.3780000000000001</v>
      </c>
      <c r="N171">
        <v>3.3479999999999999</v>
      </c>
      <c r="O171">
        <v>3.3239999999999998</v>
      </c>
      <c r="P171">
        <v>3.2850000000000001</v>
      </c>
      <c r="Q171">
        <v>3.2749999999999999</v>
      </c>
      <c r="R171">
        <v>3.2349999999999999</v>
      </c>
      <c r="S171" s="2">
        <v>45275</v>
      </c>
      <c r="T171">
        <v>3.5289999999999999</v>
      </c>
      <c r="U171">
        <v>3.5790000000000002</v>
      </c>
      <c r="V171">
        <v>3.605</v>
      </c>
      <c r="W171">
        <v>3.552</v>
      </c>
      <c r="X171">
        <v>3.5110000000000001</v>
      </c>
      <c r="Y171">
        <v>3.448</v>
      </c>
      <c r="Z171">
        <v>3.4609999999999999</v>
      </c>
      <c r="AA171">
        <v>3.4950000000000001</v>
      </c>
      <c r="AB171">
        <v>3.5230000000000001</v>
      </c>
      <c r="AC171">
        <v>3.5329999999999999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 s="2">
        <v>45275</v>
      </c>
      <c r="AK171">
        <v>3.488</v>
      </c>
      <c r="AL171">
        <v>3.468</v>
      </c>
      <c r="AM171">
        <v>3.4420000000000002</v>
      </c>
      <c r="AN171">
        <v>3.4220000000000002</v>
      </c>
      <c r="AO171">
        <v>3.3809999999999998</v>
      </c>
      <c r="AP171">
        <v>3.3650000000000002</v>
      </c>
      <c r="AQ171">
        <v>3.3919999999999999</v>
      </c>
      <c r="AR171">
        <v>3.3740000000000001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</row>
    <row r="172" spans="2:52">
      <c r="B172" s="2">
        <v>45274</v>
      </c>
      <c r="C172">
        <v>3.45</v>
      </c>
      <c r="D172">
        <v>3.5129999999999999</v>
      </c>
      <c r="E172">
        <v>3.5030000000000001</v>
      </c>
      <c r="F172">
        <v>3.4630000000000001</v>
      </c>
      <c r="G172">
        <v>3.403</v>
      </c>
      <c r="H172">
        <v>3.323</v>
      </c>
      <c r="I172">
        <v>3.27</v>
      </c>
      <c r="J172">
        <v>3.2370000000000001</v>
      </c>
      <c r="K172">
        <v>3.31</v>
      </c>
      <c r="L172">
        <v>3.26</v>
      </c>
      <c r="M172">
        <v>3.3340000000000001</v>
      </c>
      <c r="N172">
        <v>3.3010000000000002</v>
      </c>
      <c r="O172">
        <v>3.2690000000000001</v>
      </c>
      <c r="P172">
        <v>3.22</v>
      </c>
      <c r="Q172">
        <v>3.21</v>
      </c>
      <c r="R172">
        <v>3.17</v>
      </c>
      <c r="S172" s="2">
        <v>45274</v>
      </c>
      <c r="T172">
        <v>3.512</v>
      </c>
      <c r="U172">
        <v>3.5710000000000002</v>
      </c>
      <c r="V172">
        <v>3.601</v>
      </c>
      <c r="W172">
        <v>3.54</v>
      </c>
      <c r="X172">
        <v>3.4830000000000001</v>
      </c>
      <c r="Y172">
        <v>3.419</v>
      </c>
      <c r="Z172">
        <v>3.4209999999999998</v>
      </c>
      <c r="AA172">
        <v>3.4569999999999999</v>
      </c>
      <c r="AB172">
        <v>3.4769999999999999</v>
      </c>
      <c r="AC172">
        <v>3.5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s="2">
        <v>45274</v>
      </c>
      <c r="AK172">
        <v>3.4809999999999999</v>
      </c>
      <c r="AL172">
        <v>3.46</v>
      </c>
      <c r="AM172">
        <v>3.4350000000000001</v>
      </c>
      <c r="AN172">
        <v>3.4020000000000001</v>
      </c>
      <c r="AO172">
        <v>3.355</v>
      </c>
      <c r="AP172">
        <v>3.331</v>
      </c>
      <c r="AQ172">
        <v>3.3519999999999999</v>
      </c>
      <c r="AR172">
        <v>3.3359999999999999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</row>
    <row r="173" spans="2:52">
      <c r="B173" s="2">
        <v>45273</v>
      </c>
      <c r="C173">
        <v>3.5129999999999999</v>
      </c>
      <c r="D173">
        <v>3.5830000000000002</v>
      </c>
      <c r="E173">
        <v>3.5859999999999999</v>
      </c>
      <c r="F173">
        <v>3.5859999999999999</v>
      </c>
      <c r="G173">
        <v>3.5859999999999999</v>
      </c>
      <c r="H173">
        <v>3.5379999999999998</v>
      </c>
      <c r="I173">
        <v>3.5009999999999999</v>
      </c>
      <c r="J173">
        <v>3.46</v>
      </c>
      <c r="K173">
        <v>3.524</v>
      </c>
      <c r="L173">
        <v>3.4950000000000001</v>
      </c>
      <c r="M173">
        <v>3.5619999999999998</v>
      </c>
      <c r="N173">
        <v>3.5259999999999998</v>
      </c>
      <c r="O173">
        <v>3.4649999999999999</v>
      </c>
      <c r="P173">
        <v>3.395</v>
      </c>
      <c r="Q173">
        <v>3.379</v>
      </c>
      <c r="R173">
        <v>3.339</v>
      </c>
      <c r="S173" s="2">
        <v>45273</v>
      </c>
      <c r="T173">
        <v>3.5739999999999998</v>
      </c>
      <c r="U173">
        <v>3.6379999999999999</v>
      </c>
      <c r="V173">
        <v>3.6909999999999998</v>
      </c>
      <c r="W173">
        <v>3.6669999999999998</v>
      </c>
      <c r="X173">
        <v>3.6680000000000001</v>
      </c>
      <c r="Y173">
        <v>3.6339999999999999</v>
      </c>
      <c r="Z173">
        <v>3.649</v>
      </c>
      <c r="AA173">
        <v>3.681</v>
      </c>
      <c r="AB173">
        <v>3.6909999999999998</v>
      </c>
      <c r="AC173">
        <v>3.74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 s="2">
        <v>45273</v>
      </c>
      <c r="AK173">
        <v>3.5609999999999999</v>
      </c>
      <c r="AL173">
        <v>3.5649999999999999</v>
      </c>
      <c r="AM173">
        <v>3.5649999999999999</v>
      </c>
      <c r="AN173">
        <v>3.569</v>
      </c>
      <c r="AO173">
        <v>3.58</v>
      </c>
      <c r="AP173">
        <v>3.5649999999999999</v>
      </c>
      <c r="AQ173">
        <v>3.58</v>
      </c>
      <c r="AR173">
        <v>3.5590000000000002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</row>
    <row r="174" spans="2:52">
      <c r="B174" s="2">
        <v>45272</v>
      </c>
      <c r="C174">
        <v>3.5049999999999999</v>
      </c>
      <c r="D174">
        <v>3.58</v>
      </c>
      <c r="E174">
        <v>3.5760000000000001</v>
      </c>
      <c r="F174">
        <v>3.5779999999999998</v>
      </c>
      <c r="G174">
        <v>3.5750000000000002</v>
      </c>
      <c r="H174">
        <v>3.5249999999999999</v>
      </c>
      <c r="I174">
        <v>3.4809999999999999</v>
      </c>
      <c r="J174">
        <v>3.4470000000000001</v>
      </c>
      <c r="K174">
        <v>3.5110000000000001</v>
      </c>
      <c r="L174">
        <v>3.4849999999999999</v>
      </c>
      <c r="M174">
        <v>3.5579999999999998</v>
      </c>
      <c r="N174">
        <v>3.53</v>
      </c>
      <c r="O174">
        <v>3.492</v>
      </c>
      <c r="P174">
        <v>3.4420000000000002</v>
      </c>
      <c r="Q174">
        <v>3.4319999999999999</v>
      </c>
      <c r="R174">
        <v>3.3919999999999999</v>
      </c>
      <c r="S174" s="2">
        <v>45272</v>
      </c>
      <c r="T174">
        <v>3.5659999999999998</v>
      </c>
      <c r="U174">
        <v>3.6349999999999998</v>
      </c>
      <c r="V174">
        <v>3.6850000000000001</v>
      </c>
      <c r="W174">
        <v>3.6579999999999999</v>
      </c>
      <c r="X174">
        <v>3.6560000000000001</v>
      </c>
      <c r="Y174">
        <v>3.6160000000000001</v>
      </c>
      <c r="Z174">
        <v>3.6280000000000001</v>
      </c>
      <c r="AA174">
        <v>3.6659999999999999</v>
      </c>
      <c r="AB174">
        <v>3.6789999999999998</v>
      </c>
      <c r="AC174">
        <v>3.726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s="2">
        <v>45272</v>
      </c>
      <c r="AK174">
        <v>3.5579999999999998</v>
      </c>
      <c r="AL174">
        <v>3.5609999999999999</v>
      </c>
      <c r="AM174">
        <v>3.5649999999999999</v>
      </c>
      <c r="AN174">
        <v>3.57</v>
      </c>
      <c r="AO174">
        <v>3.5649999999999999</v>
      </c>
      <c r="AP174">
        <v>3.5470000000000002</v>
      </c>
      <c r="AQ174">
        <v>3.5609999999999999</v>
      </c>
      <c r="AR174">
        <v>3.5449999999999999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</row>
    <row r="175" spans="2:52">
      <c r="B175" s="2">
        <v>45271</v>
      </c>
      <c r="C175">
        <v>3.5249999999999999</v>
      </c>
      <c r="D175">
        <v>3.5760000000000001</v>
      </c>
      <c r="E175">
        <v>3.5750000000000002</v>
      </c>
      <c r="F175">
        <v>3.573</v>
      </c>
      <c r="G175">
        <v>3.593</v>
      </c>
      <c r="H175">
        <v>3.5550000000000002</v>
      </c>
      <c r="I175">
        <v>3.5150000000000001</v>
      </c>
      <c r="J175">
        <v>3.47</v>
      </c>
      <c r="K175">
        <v>3.54</v>
      </c>
      <c r="L175">
        <v>3.5150000000000001</v>
      </c>
      <c r="M175">
        <v>3.5880000000000001</v>
      </c>
      <c r="N175">
        <v>3.56</v>
      </c>
      <c r="O175">
        <v>3.5310000000000001</v>
      </c>
      <c r="P175">
        <v>3.4910000000000001</v>
      </c>
      <c r="Q175">
        <v>3.4769999999999999</v>
      </c>
      <c r="R175">
        <v>3.4369999999999998</v>
      </c>
      <c r="S175" s="2">
        <v>45271</v>
      </c>
      <c r="T175">
        <v>3.5840000000000001</v>
      </c>
      <c r="U175">
        <v>3.63</v>
      </c>
      <c r="V175">
        <v>3.6880000000000002</v>
      </c>
      <c r="W175">
        <v>3.6629999999999998</v>
      </c>
      <c r="X175">
        <v>3.6739999999999999</v>
      </c>
      <c r="Y175">
        <v>3.6429999999999998</v>
      </c>
      <c r="Z175">
        <v>3.6619999999999999</v>
      </c>
      <c r="AA175">
        <v>3.6880000000000002</v>
      </c>
      <c r="AB175">
        <v>3.7050000000000001</v>
      </c>
      <c r="AC175">
        <v>3.754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 s="2">
        <v>45271</v>
      </c>
      <c r="AK175">
        <v>3.5630000000000002</v>
      </c>
      <c r="AL175">
        <v>3.5659999999999998</v>
      </c>
      <c r="AM175">
        <v>3.57</v>
      </c>
      <c r="AN175">
        <v>3.5840000000000001</v>
      </c>
      <c r="AO175">
        <v>3.589</v>
      </c>
      <c r="AP175">
        <v>3.5760000000000001</v>
      </c>
      <c r="AQ175">
        <v>3.5859999999999999</v>
      </c>
      <c r="AR175">
        <v>3.5680000000000001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</row>
    <row r="176" spans="2:52">
      <c r="B176" s="2">
        <v>45268</v>
      </c>
      <c r="C176">
        <v>3.411</v>
      </c>
      <c r="D176">
        <v>3.58</v>
      </c>
      <c r="E176">
        <v>3.5720000000000001</v>
      </c>
      <c r="F176">
        <v>3.5579999999999998</v>
      </c>
      <c r="G176">
        <v>3.5609999999999999</v>
      </c>
      <c r="H176">
        <v>3.516</v>
      </c>
      <c r="I176">
        <v>3.47</v>
      </c>
      <c r="J176">
        <v>3.46</v>
      </c>
      <c r="K176">
        <v>3.4860000000000002</v>
      </c>
      <c r="L176">
        <v>3.46</v>
      </c>
      <c r="M176">
        <v>3.5270000000000001</v>
      </c>
      <c r="N176">
        <v>3.5339999999999998</v>
      </c>
      <c r="O176">
        <v>3.4870000000000001</v>
      </c>
      <c r="P176">
        <v>3.452</v>
      </c>
      <c r="Q176">
        <v>3.44</v>
      </c>
      <c r="R176">
        <v>3.4</v>
      </c>
      <c r="S176" s="2">
        <v>45268</v>
      </c>
      <c r="T176">
        <v>3.5139999999999998</v>
      </c>
      <c r="U176">
        <v>3.62</v>
      </c>
      <c r="V176">
        <v>3.6720000000000002</v>
      </c>
      <c r="W176">
        <v>3.6429999999999998</v>
      </c>
      <c r="X176">
        <v>3.6389999999999998</v>
      </c>
      <c r="Y176">
        <v>3.6030000000000002</v>
      </c>
      <c r="Z176">
        <v>3.6110000000000002</v>
      </c>
      <c r="AA176">
        <v>3.6459999999999999</v>
      </c>
      <c r="AB176">
        <v>3.6520000000000001</v>
      </c>
      <c r="AC176">
        <v>3.7109999999999999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 s="2">
        <v>45268</v>
      </c>
      <c r="AK176">
        <v>3.56</v>
      </c>
      <c r="AL176">
        <v>3.556</v>
      </c>
      <c r="AM176">
        <v>3.556</v>
      </c>
      <c r="AN176">
        <v>3.56</v>
      </c>
      <c r="AO176">
        <v>3.552</v>
      </c>
      <c r="AP176">
        <v>3.5310000000000001</v>
      </c>
      <c r="AQ176">
        <v>3.5409999999999999</v>
      </c>
      <c r="AR176">
        <v>3.5350000000000001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</row>
    <row r="177" spans="2:52">
      <c r="B177" s="2">
        <v>45267</v>
      </c>
      <c r="C177">
        <v>3.3959999999999999</v>
      </c>
      <c r="D177">
        <v>3.5859999999999999</v>
      </c>
      <c r="E177">
        <v>3.58</v>
      </c>
      <c r="F177">
        <v>3.5680000000000001</v>
      </c>
      <c r="G177">
        <v>3.58</v>
      </c>
      <c r="H177">
        <v>3.5449999999999999</v>
      </c>
      <c r="I177">
        <v>3.5030000000000001</v>
      </c>
      <c r="J177">
        <v>3.5049999999999999</v>
      </c>
      <c r="K177">
        <v>3.5409999999999999</v>
      </c>
      <c r="L177">
        <v>3.52</v>
      </c>
      <c r="M177">
        <v>3.577</v>
      </c>
      <c r="N177">
        <v>3.5750000000000002</v>
      </c>
      <c r="O177">
        <v>3.52</v>
      </c>
      <c r="P177">
        <v>3.4769999999999999</v>
      </c>
      <c r="Q177">
        <v>3.46</v>
      </c>
      <c r="R177">
        <v>3.42</v>
      </c>
      <c r="S177" s="2">
        <v>45267</v>
      </c>
      <c r="T177">
        <v>3.5019999999999998</v>
      </c>
      <c r="U177">
        <v>3.6230000000000002</v>
      </c>
      <c r="V177">
        <v>3.6779999999999999</v>
      </c>
      <c r="W177">
        <v>3.6520000000000001</v>
      </c>
      <c r="X177">
        <v>3.6579999999999999</v>
      </c>
      <c r="Y177">
        <v>3.6309999999999998</v>
      </c>
      <c r="Z177">
        <v>3.6440000000000001</v>
      </c>
      <c r="AA177">
        <v>3.6920000000000002</v>
      </c>
      <c r="AB177">
        <v>3.7069999999999999</v>
      </c>
      <c r="AC177">
        <v>3.7709999999999999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 s="2">
        <v>45267</v>
      </c>
      <c r="AK177">
        <v>3.5649999999999999</v>
      </c>
      <c r="AL177">
        <v>3.5609999999999999</v>
      </c>
      <c r="AM177">
        <v>3.5609999999999999</v>
      </c>
      <c r="AN177">
        <v>3.5710000000000002</v>
      </c>
      <c r="AO177">
        <v>3.58</v>
      </c>
      <c r="AP177">
        <v>3.5619999999999998</v>
      </c>
      <c r="AQ177">
        <v>3.58</v>
      </c>
      <c r="AR177">
        <v>3.58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</row>
    <row r="178" spans="2:52">
      <c r="B178" s="2">
        <v>45266</v>
      </c>
      <c r="C178">
        <v>3.3959999999999999</v>
      </c>
      <c r="D178">
        <v>3.593</v>
      </c>
      <c r="E178">
        <v>3.5880000000000001</v>
      </c>
      <c r="F178">
        <v>3.5609999999999999</v>
      </c>
      <c r="G178">
        <v>3.5579999999999998</v>
      </c>
      <c r="H178">
        <v>3.5219999999999998</v>
      </c>
      <c r="I178">
        <v>3.4529999999999998</v>
      </c>
      <c r="J178">
        <v>3.47</v>
      </c>
      <c r="K178">
        <v>3.4990000000000001</v>
      </c>
      <c r="L178">
        <v>3.4860000000000002</v>
      </c>
      <c r="M178">
        <v>3.5430000000000001</v>
      </c>
      <c r="N178">
        <v>3.54</v>
      </c>
      <c r="O178">
        <v>3.4870000000000001</v>
      </c>
      <c r="P178">
        <v>3.448</v>
      </c>
      <c r="Q178">
        <v>3.4359999999999999</v>
      </c>
      <c r="R178">
        <v>3.3959999999999999</v>
      </c>
      <c r="S178" s="2">
        <v>45266</v>
      </c>
      <c r="T178">
        <v>3.496</v>
      </c>
      <c r="U178">
        <v>3.6160000000000001</v>
      </c>
      <c r="V178">
        <v>3.6850000000000001</v>
      </c>
      <c r="W178">
        <v>3.637</v>
      </c>
      <c r="X178">
        <v>3.6360000000000001</v>
      </c>
      <c r="Y178">
        <v>3.61</v>
      </c>
      <c r="Z178">
        <v>3.6</v>
      </c>
      <c r="AA178">
        <v>3.657</v>
      </c>
      <c r="AB178">
        <v>3.665</v>
      </c>
      <c r="AC178">
        <v>3.75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 s="2">
        <v>45266</v>
      </c>
      <c r="AK178">
        <v>3.5649999999999999</v>
      </c>
      <c r="AL178">
        <v>3.5609999999999999</v>
      </c>
      <c r="AM178">
        <v>3.5550000000000002</v>
      </c>
      <c r="AN178">
        <v>3.5550000000000002</v>
      </c>
      <c r="AO178">
        <v>3.5449999999999999</v>
      </c>
      <c r="AP178">
        <v>3.5270000000000001</v>
      </c>
      <c r="AQ178">
        <v>3.5419999999999998</v>
      </c>
      <c r="AR178">
        <v>3.5459999999999998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</row>
    <row r="179" spans="2:52">
      <c r="B179" s="2">
        <v>45265</v>
      </c>
      <c r="C179">
        <v>3.3959999999999999</v>
      </c>
      <c r="D179">
        <v>3.5979999999999999</v>
      </c>
      <c r="E179">
        <v>3.5950000000000002</v>
      </c>
      <c r="F179">
        <v>3.5680000000000001</v>
      </c>
      <c r="G179">
        <v>3.5670000000000002</v>
      </c>
      <c r="H179">
        <v>3.524</v>
      </c>
      <c r="I179">
        <v>3.47</v>
      </c>
      <c r="J179">
        <v>3.4820000000000002</v>
      </c>
      <c r="K179">
        <v>3.5270000000000001</v>
      </c>
      <c r="L179">
        <v>3.5169999999999999</v>
      </c>
      <c r="M179">
        <v>3.5750000000000002</v>
      </c>
      <c r="N179">
        <v>3.5750000000000002</v>
      </c>
      <c r="O179">
        <v>3.5249999999999999</v>
      </c>
      <c r="P179">
        <v>3.4889999999999999</v>
      </c>
      <c r="Q179">
        <v>3.4729999999999999</v>
      </c>
      <c r="R179">
        <v>3.4329999999999998</v>
      </c>
      <c r="S179" s="2">
        <v>45265</v>
      </c>
      <c r="T179">
        <v>3.496</v>
      </c>
      <c r="U179">
        <v>3.621</v>
      </c>
      <c r="V179">
        <v>3.69</v>
      </c>
      <c r="W179">
        <v>3.6429999999999998</v>
      </c>
      <c r="X179">
        <v>3.645</v>
      </c>
      <c r="Y179">
        <v>3.6150000000000002</v>
      </c>
      <c r="Z179">
        <v>3.6150000000000002</v>
      </c>
      <c r="AA179">
        <v>3.6709999999999998</v>
      </c>
      <c r="AB179">
        <v>3.6930000000000001</v>
      </c>
      <c r="AC179">
        <v>3.798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s="2">
        <v>45265</v>
      </c>
      <c r="AK179">
        <v>3.5659999999999998</v>
      </c>
      <c r="AL179">
        <v>3.5630000000000002</v>
      </c>
      <c r="AM179">
        <v>3.5579999999999998</v>
      </c>
      <c r="AN179">
        <v>3.5609999999999999</v>
      </c>
      <c r="AO179">
        <v>3.5569999999999999</v>
      </c>
      <c r="AP179">
        <v>3.528</v>
      </c>
      <c r="AQ179">
        <v>3.55</v>
      </c>
      <c r="AR179">
        <v>3.5550000000000002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</row>
    <row r="180" spans="2:52">
      <c r="B180" s="2">
        <v>45264</v>
      </c>
      <c r="C180">
        <v>3.3980000000000001</v>
      </c>
      <c r="D180">
        <v>3.6059999999999999</v>
      </c>
      <c r="E180">
        <v>3.613</v>
      </c>
      <c r="F180">
        <v>3.585</v>
      </c>
      <c r="G180">
        <v>3.589</v>
      </c>
      <c r="H180">
        <v>3.5649999999999999</v>
      </c>
      <c r="I180">
        <v>3.516</v>
      </c>
      <c r="J180">
        <v>3.532</v>
      </c>
      <c r="K180">
        <v>3.573</v>
      </c>
      <c r="L180">
        <v>3.5619999999999998</v>
      </c>
      <c r="M180">
        <v>3.621</v>
      </c>
      <c r="N180">
        <v>3.625</v>
      </c>
      <c r="O180">
        <v>3.569</v>
      </c>
      <c r="P180">
        <v>3.5249999999999999</v>
      </c>
      <c r="Q180">
        <v>3.512</v>
      </c>
      <c r="R180">
        <v>3.472</v>
      </c>
      <c r="S180" s="2">
        <v>45264</v>
      </c>
      <c r="T180">
        <v>3.496</v>
      </c>
      <c r="U180">
        <v>3.6259999999999999</v>
      </c>
      <c r="V180">
        <v>3.7050000000000001</v>
      </c>
      <c r="W180">
        <v>3.653</v>
      </c>
      <c r="X180">
        <v>3.665</v>
      </c>
      <c r="Y180">
        <v>3.653</v>
      </c>
      <c r="Z180">
        <v>3.66</v>
      </c>
      <c r="AA180">
        <v>3.718</v>
      </c>
      <c r="AB180">
        <v>3.738</v>
      </c>
      <c r="AC180">
        <v>3.851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s="2">
        <v>45264</v>
      </c>
      <c r="AK180">
        <v>3.5659999999999998</v>
      </c>
      <c r="AL180">
        <v>3.5680000000000001</v>
      </c>
      <c r="AM180">
        <v>3.5680000000000001</v>
      </c>
      <c r="AN180">
        <v>3.5750000000000002</v>
      </c>
      <c r="AO180">
        <v>3.585</v>
      </c>
      <c r="AP180">
        <v>3.5619999999999998</v>
      </c>
      <c r="AQ180">
        <v>3.5950000000000002</v>
      </c>
      <c r="AR180">
        <v>3.605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</row>
    <row r="181" spans="2:52">
      <c r="B181" s="2">
        <v>45261</v>
      </c>
      <c r="C181">
        <v>3.403</v>
      </c>
      <c r="D181">
        <v>3.6080000000000001</v>
      </c>
      <c r="E181">
        <v>3.62</v>
      </c>
      <c r="F181">
        <v>3.61</v>
      </c>
      <c r="G181">
        <v>3.625</v>
      </c>
      <c r="H181">
        <v>3.601</v>
      </c>
      <c r="I181">
        <v>3.57</v>
      </c>
      <c r="J181">
        <v>3.585</v>
      </c>
      <c r="K181">
        <v>3.6309999999999998</v>
      </c>
      <c r="L181">
        <v>3.62</v>
      </c>
      <c r="M181">
        <v>3.6850000000000001</v>
      </c>
      <c r="N181">
        <v>3.7</v>
      </c>
      <c r="O181">
        <v>3.63</v>
      </c>
      <c r="P181">
        <v>3.577</v>
      </c>
      <c r="Q181">
        <v>3.56</v>
      </c>
      <c r="R181">
        <v>3.52</v>
      </c>
      <c r="S181" s="2">
        <v>45261</v>
      </c>
      <c r="T181">
        <v>3.504</v>
      </c>
      <c r="U181">
        <v>3.6309999999999998</v>
      </c>
      <c r="V181">
        <v>3.718</v>
      </c>
      <c r="W181">
        <v>3.6749999999999998</v>
      </c>
      <c r="X181">
        <v>3.6960000000000002</v>
      </c>
      <c r="Y181">
        <v>3.6909999999999998</v>
      </c>
      <c r="Z181">
        <v>3.714</v>
      </c>
      <c r="AA181">
        <v>3.7709999999999999</v>
      </c>
      <c r="AB181">
        <v>3.7970000000000002</v>
      </c>
      <c r="AC181">
        <v>3.91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s="2">
        <v>45261</v>
      </c>
      <c r="AK181">
        <v>3.5779999999999998</v>
      </c>
      <c r="AL181">
        <v>3.585</v>
      </c>
      <c r="AM181">
        <v>3.585</v>
      </c>
      <c r="AN181">
        <v>3.6059999999999999</v>
      </c>
      <c r="AO181">
        <v>3.6309999999999998</v>
      </c>
      <c r="AP181">
        <v>3.6070000000000002</v>
      </c>
      <c r="AQ181">
        <v>3.6480000000000001</v>
      </c>
      <c r="AR181">
        <v>3.657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</row>
    <row r="182" spans="2:52">
      <c r="B182" s="2">
        <v>45260</v>
      </c>
      <c r="C182">
        <v>3.4129999999999998</v>
      </c>
      <c r="D182">
        <v>3.6110000000000002</v>
      </c>
      <c r="E182">
        <v>3.629</v>
      </c>
      <c r="F182">
        <v>3.633</v>
      </c>
      <c r="G182">
        <v>3.6309999999999998</v>
      </c>
      <c r="H182">
        <v>3.6059999999999999</v>
      </c>
      <c r="I182">
        <v>3.5750000000000002</v>
      </c>
      <c r="J182">
        <v>3.5819999999999999</v>
      </c>
      <c r="K182">
        <v>3.6320000000000001</v>
      </c>
      <c r="L182">
        <v>3.62</v>
      </c>
      <c r="M182">
        <v>3.6850000000000001</v>
      </c>
      <c r="N182">
        <v>3.6970000000000001</v>
      </c>
      <c r="O182">
        <v>3.637</v>
      </c>
      <c r="P182">
        <v>3.5950000000000002</v>
      </c>
      <c r="Q182">
        <v>3.5670000000000002</v>
      </c>
      <c r="R182">
        <v>3.5270000000000001</v>
      </c>
      <c r="S182" s="2">
        <v>45260</v>
      </c>
      <c r="T182">
        <v>3.5139999999999998</v>
      </c>
      <c r="U182">
        <v>3.6349999999999998</v>
      </c>
      <c r="V182">
        <v>3.7269999999999999</v>
      </c>
      <c r="W182">
        <v>3.6970000000000001</v>
      </c>
      <c r="X182">
        <v>3.7029999999999998</v>
      </c>
      <c r="Y182">
        <v>3.6960000000000002</v>
      </c>
      <c r="Z182">
        <v>3.7189999999999999</v>
      </c>
      <c r="AA182">
        <v>3.7679999999999998</v>
      </c>
      <c r="AB182">
        <v>3.798</v>
      </c>
      <c r="AC182">
        <v>3.911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 s="2">
        <v>45260</v>
      </c>
      <c r="AK182">
        <v>3.581</v>
      </c>
      <c r="AL182">
        <v>3.59</v>
      </c>
      <c r="AM182">
        <v>3.59</v>
      </c>
      <c r="AN182">
        <v>3.62</v>
      </c>
      <c r="AO182">
        <v>3.645</v>
      </c>
      <c r="AP182">
        <v>3.62</v>
      </c>
      <c r="AQ182">
        <v>3.6469999999999998</v>
      </c>
      <c r="AR182">
        <v>3.6549999999999998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</row>
    <row r="183" spans="2:52">
      <c r="B183" s="2">
        <v>45259</v>
      </c>
      <c r="C183">
        <v>3.3959999999999999</v>
      </c>
      <c r="D183">
        <v>3.6080000000000001</v>
      </c>
      <c r="E183">
        <v>3.625</v>
      </c>
      <c r="F183">
        <v>3.6349999999999998</v>
      </c>
      <c r="G183">
        <v>3.6280000000000001</v>
      </c>
      <c r="H183">
        <v>3.581</v>
      </c>
      <c r="I183">
        <v>3.5459999999999998</v>
      </c>
      <c r="J183">
        <v>3.55</v>
      </c>
      <c r="K183">
        <v>3.5939999999999999</v>
      </c>
      <c r="L183">
        <v>3.5760000000000001</v>
      </c>
      <c r="M183">
        <v>3.6339999999999999</v>
      </c>
      <c r="N183">
        <v>3.64</v>
      </c>
      <c r="O183">
        <v>3.5859999999999999</v>
      </c>
      <c r="P183">
        <v>3.55</v>
      </c>
      <c r="Q183">
        <v>3.5150000000000001</v>
      </c>
      <c r="R183">
        <v>3.4750000000000001</v>
      </c>
      <c r="S183" s="2">
        <v>45259</v>
      </c>
      <c r="T183">
        <v>3.4969999999999999</v>
      </c>
      <c r="U183">
        <v>3.6309999999999998</v>
      </c>
      <c r="V183">
        <v>3.7229999999999999</v>
      </c>
      <c r="W183">
        <v>3.7</v>
      </c>
      <c r="X183">
        <v>3.694</v>
      </c>
      <c r="Y183">
        <v>3.6749999999999998</v>
      </c>
      <c r="Z183">
        <v>3.69</v>
      </c>
      <c r="AA183">
        <v>3.7360000000000002</v>
      </c>
      <c r="AB183">
        <v>3.76</v>
      </c>
      <c r="AC183">
        <v>3.86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 s="2">
        <v>45259</v>
      </c>
      <c r="AK183">
        <v>3.5779999999999998</v>
      </c>
      <c r="AL183">
        <v>3.5859999999999999</v>
      </c>
      <c r="AM183">
        <v>3.5859999999999999</v>
      </c>
      <c r="AN183">
        <v>3.62</v>
      </c>
      <c r="AO183">
        <v>3.625</v>
      </c>
      <c r="AP183">
        <v>3.6</v>
      </c>
      <c r="AQ183">
        <v>3.6179999999999999</v>
      </c>
      <c r="AR183">
        <v>3.625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</row>
    <row r="184" spans="2:52">
      <c r="B184" s="2">
        <v>45258</v>
      </c>
      <c r="C184">
        <v>3.41</v>
      </c>
      <c r="D184">
        <v>3.6259999999999999</v>
      </c>
      <c r="E184">
        <v>3.641</v>
      </c>
      <c r="F184">
        <v>3.6930000000000001</v>
      </c>
      <c r="G184">
        <v>3.6989999999999998</v>
      </c>
      <c r="H184">
        <v>3.6840000000000002</v>
      </c>
      <c r="I184">
        <v>3.65</v>
      </c>
      <c r="J184">
        <v>3.65</v>
      </c>
      <c r="K184">
        <v>3.6850000000000001</v>
      </c>
      <c r="L184">
        <v>3.6720000000000002</v>
      </c>
      <c r="M184">
        <v>3.7290000000000001</v>
      </c>
      <c r="N184">
        <v>3.7349999999999999</v>
      </c>
      <c r="O184">
        <v>3.681</v>
      </c>
      <c r="P184">
        <v>3.645</v>
      </c>
      <c r="Q184">
        <v>3.609</v>
      </c>
      <c r="R184">
        <v>3.569</v>
      </c>
      <c r="S184" s="2">
        <v>45258</v>
      </c>
      <c r="T184">
        <v>3.5070000000000001</v>
      </c>
      <c r="U184">
        <v>3.65</v>
      </c>
      <c r="V184">
        <v>3.74</v>
      </c>
      <c r="W184">
        <v>3.762</v>
      </c>
      <c r="X184">
        <v>3.77</v>
      </c>
      <c r="Y184">
        <v>3.774</v>
      </c>
      <c r="Z184">
        <v>3.7909999999999999</v>
      </c>
      <c r="AA184">
        <v>3.8359999999999999</v>
      </c>
      <c r="AB184">
        <v>3.851</v>
      </c>
      <c r="AC184">
        <v>3.96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 s="2">
        <v>45258</v>
      </c>
      <c r="AK184">
        <v>3.6080000000000001</v>
      </c>
      <c r="AL184">
        <v>3.621</v>
      </c>
      <c r="AM184">
        <v>3.6230000000000002</v>
      </c>
      <c r="AN184">
        <v>3.673</v>
      </c>
      <c r="AO184">
        <v>3.7109999999999999</v>
      </c>
      <c r="AP184">
        <v>3.6949999999999998</v>
      </c>
      <c r="AQ184">
        <v>3.714</v>
      </c>
      <c r="AR184">
        <v>3.7250000000000001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</row>
    <row r="185" spans="2:52">
      <c r="B185" s="2">
        <v>45257</v>
      </c>
      <c r="C185">
        <v>3.41</v>
      </c>
      <c r="D185">
        <v>3.6280000000000001</v>
      </c>
      <c r="E185">
        <v>3.6429999999999998</v>
      </c>
      <c r="F185">
        <v>3.7109999999999999</v>
      </c>
      <c r="G185">
        <v>3.7309999999999999</v>
      </c>
      <c r="H185">
        <v>3.7250000000000001</v>
      </c>
      <c r="I185">
        <v>3.69</v>
      </c>
      <c r="J185">
        <v>3.6869999999999998</v>
      </c>
      <c r="K185">
        <v>3.7240000000000002</v>
      </c>
      <c r="L185">
        <v>3.7149999999999999</v>
      </c>
      <c r="M185">
        <v>3.7629999999999999</v>
      </c>
      <c r="N185">
        <v>3.762</v>
      </c>
      <c r="O185">
        <v>3.7229999999999999</v>
      </c>
      <c r="P185">
        <v>3.702</v>
      </c>
      <c r="Q185">
        <v>3.6669999999999998</v>
      </c>
      <c r="R185">
        <v>3.6269999999999998</v>
      </c>
      <c r="S185" s="2">
        <v>45257</v>
      </c>
      <c r="T185">
        <v>3.5089999999999999</v>
      </c>
      <c r="U185">
        <v>3.653</v>
      </c>
      <c r="V185">
        <v>3.746</v>
      </c>
      <c r="W185">
        <v>3.7730000000000001</v>
      </c>
      <c r="X185">
        <v>3.794</v>
      </c>
      <c r="Y185">
        <v>3.8119999999999998</v>
      </c>
      <c r="Z185">
        <v>3.8290000000000002</v>
      </c>
      <c r="AA185">
        <v>3.8740000000000001</v>
      </c>
      <c r="AB185">
        <v>3.89</v>
      </c>
      <c r="AC185">
        <v>3.9849999999999999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 s="2">
        <v>45257</v>
      </c>
      <c r="AK185">
        <v>3.6110000000000002</v>
      </c>
      <c r="AL185">
        <v>3.6280000000000001</v>
      </c>
      <c r="AM185">
        <v>3.6349999999999998</v>
      </c>
      <c r="AN185">
        <v>3.6880000000000002</v>
      </c>
      <c r="AO185">
        <v>3.74</v>
      </c>
      <c r="AP185">
        <v>3.73</v>
      </c>
      <c r="AQ185">
        <v>3.7509999999999999</v>
      </c>
      <c r="AR185">
        <v>3.7629999999999999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</row>
    <row r="186" spans="2:52">
      <c r="B186" s="2">
        <v>45254</v>
      </c>
      <c r="C186">
        <v>3.41</v>
      </c>
      <c r="D186">
        <v>3.6309999999999998</v>
      </c>
      <c r="E186">
        <v>3.6429999999999998</v>
      </c>
      <c r="F186">
        <v>3.7109999999999999</v>
      </c>
      <c r="G186">
        <v>3.7280000000000002</v>
      </c>
      <c r="H186">
        <v>3.7160000000000002</v>
      </c>
      <c r="I186">
        <v>3.6779999999999999</v>
      </c>
      <c r="J186">
        <v>3.6739999999999999</v>
      </c>
      <c r="K186">
        <v>3.72</v>
      </c>
      <c r="L186">
        <v>3.72</v>
      </c>
      <c r="M186">
        <v>3.7669999999999999</v>
      </c>
      <c r="N186">
        <v>3.7749999999999999</v>
      </c>
      <c r="O186">
        <v>3.7330000000000001</v>
      </c>
      <c r="P186">
        <v>3.71</v>
      </c>
      <c r="Q186">
        <v>3.67</v>
      </c>
      <c r="R186">
        <v>3.63</v>
      </c>
      <c r="S186" s="2">
        <v>45254</v>
      </c>
      <c r="T186">
        <v>3.5089999999999999</v>
      </c>
      <c r="U186">
        <v>3.6560000000000001</v>
      </c>
      <c r="V186">
        <v>3.7480000000000002</v>
      </c>
      <c r="W186">
        <v>3.7730000000000001</v>
      </c>
      <c r="X186">
        <v>3.794</v>
      </c>
      <c r="Y186">
        <v>3.8050000000000002</v>
      </c>
      <c r="Z186">
        <v>3.8180000000000001</v>
      </c>
      <c r="AA186">
        <v>3.8610000000000002</v>
      </c>
      <c r="AB186">
        <v>3.8860000000000001</v>
      </c>
      <c r="AC186">
        <v>3.9849999999999999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 s="2">
        <v>45254</v>
      </c>
      <c r="AK186">
        <v>3.613</v>
      </c>
      <c r="AL186">
        <v>3.63</v>
      </c>
      <c r="AM186">
        <v>3.6360000000000001</v>
      </c>
      <c r="AN186">
        <v>3.69</v>
      </c>
      <c r="AO186">
        <v>3.7429999999999999</v>
      </c>
      <c r="AP186">
        <v>3.7250000000000001</v>
      </c>
      <c r="AQ186">
        <v>3.742</v>
      </c>
      <c r="AR186">
        <v>3.75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</row>
    <row r="187" spans="2:52">
      <c r="B187" s="2">
        <v>45253</v>
      </c>
      <c r="C187">
        <v>3.4049999999999998</v>
      </c>
      <c r="D187">
        <v>3.621</v>
      </c>
      <c r="E187">
        <v>3.6150000000000002</v>
      </c>
      <c r="F187">
        <v>3.6930000000000001</v>
      </c>
      <c r="G187">
        <v>3.7029999999999998</v>
      </c>
      <c r="H187">
        <v>3.6949999999999998</v>
      </c>
      <c r="I187">
        <v>3.6549999999999998</v>
      </c>
      <c r="J187">
        <v>3.6419999999999999</v>
      </c>
      <c r="K187">
        <v>3.6760000000000002</v>
      </c>
      <c r="L187">
        <v>3.6749999999999998</v>
      </c>
      <c r="M187">
        <v>3.7149999999999999</v>
      </c>
      <c r="N187">
        <v>3.71</v>
      </c>
      <c r="O187">
        <v>3.6680000000000001</v>
      </c>
      <c r="P187">
        <v>3.645</v>
      </c>
      <c r="Q187">
        <v>3.605</v>
      </c>
      <c r="R187">
        <v>3.5649999999999999</v>
      </c>
      <c r="S187" s="2">
        <v>45253</v>
      </c>
      <c r="T187">
        <v>3.5009999999999999</v>
      </c>
      <c r="U187">
        <v>3.6429999999999998</v>
      </c>
      <c r="V187">
        <v>3.7290000000000001</v>
      </c>
      <c r="W187">
        <v>3.7519999999999998</v>
      </c>
      <c r="X187">
        <v>3.7690000000000001</v>
      </c>
      <c r="Y187">
        <v>3.782</v>
      </c>
      <c r="Z187">
        <v>3.7949999999999999</v>
      </c>
      <c r="AA187">
        <v>3.83</v>
      </c>
      <c r="AB187">
        <v>3.843</v>
      </c>
      <c r="AC187">
        <v>3.9340000000000002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s="2">
        <v>45253</v>
      </c>
      <c r="AK187">
        <v>3.605</v>
      </c>
      <c r="AL187">
        <v>3.62</v>
      </c>
      <c r="AM187">
        <v>3.625</v>
      </c>
      <c r="AN187">
        <v>3.673</v>
      </c>
      <c r="AO187">
        <v>3.72</v>
      </c>
      <c r="AP187">
        <v>3.698</v>
      </c>
      <c r="AQ187">
        <v>3.7149999999999999</v>
      </c>
      <c r="AR187">
        <v>3.72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</row>
    <row r="188" spans="2:52">
      <c r="B188" s="2">
        <v>45252</v>
      </c>
      <c r="C188">
        <v>3.41</v>
      </c>
      <c r="D188">
        <v>3.6259999999999999</v>
      </c>
      <c r="E188">
        <v>3.6179999999999999</v>
      </c>
      <c r="F188">
        <v>3.7050000000000001</v>
      </c>
      <c r="G188">
        <v>3.7130000000000001</v>
      </c>
      <c r="H188">
        <v>3.714</v>
      </c>
      <c r="I188">
        <v>3.677</v>
      </c>
      <c r="J188">
        <v>3.665</v>
      </c>
      <c r="K188">
        <v>3.7050000000000001</v>
      </c>
      <c r="L188">
        <v>3.7050000000000001</v>
      </c>
      <c r="M188">
        <v>3.7490000000000001</v>
      </c>
      <c r="N188">
        <v>3.76</v>
      </c>
      <c r="O188">
        <v>3.7090000000000001</v>
      </c>
      <c r="P188">
        <v>3.6749999999999998</v>
      </c>
      <c r="Q188">
        <v>3.6349999999999998</v>
      </c>
      <c r="R188">
        <v>3.5950000000000002</v>
      </c>
      <c r="S188" s="2">
        <v>45252</v>
      </c>
      <c r="T188">
        <v>3.504</v>
      </c>
      <c r="U188">
        <v>3.6480000000000001</v>
      </c>
      <c r="V188">
        <v>3.7320000000000002</v>
      </c>
      <c r="W188">
        <v>3.758</v>
      </c>
      <c r="X188">
        <v>3.774</v>
      </c>
      <c r="Y188">
        <v>3.7989999999999999</v>
      </c>
      <c r="Z188">
        <v>3.8170000000000002</v>
      </c>
      <c r="AA188">
        <v>3.8519999999999999</v>
      </c>
      <c r="AB188">
        <v>3.8719999999999999</v>
      </c>
      <c r="AC188">
        <v>3.964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 s="2">
        <v>45252</v>
      </c>
      <c r="AK188">
        <v>3.605</v>
      </c>
      <c r="AL188">
        <v>3.62</v>
      </c>
      <c r="AM188">
        <v>3.625</v>
      </c>
      <c r="AN188">
        <v>3.67</v>
      </c>
      <c r="AO188">
        <v>3.72</v>
      </c>
      <c r="AP188">
        <v>3.71</v>
      </c>
      <c r="AQ188">
        <v>3.7349999999999999</v>
      </c>
      <c r="AR188">
        <v>3.7440000000000002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</row>
    <row r="189" spans="2:52">
      <c r="B189" s="2">
        <v>45251</v>
      </c>
      <c r="C189">
        <v>3.3980000000000001</v>
      </c>
      <c r="D189">
        <v>3.625</v>
      </c>
      <c r="E189">
        <v>3.601</v>
      </c>
      <c r="F189">
        <v>3.7109999999999999</v>
      </c>
      <c r="G189">
        <v>3.7130000000000001</v>
      </c>
      <c r="H189">
        <v>3.6850000000000001</v>
      </c>
      <c r="I189">
        <v>3.6560000000000001</v>
      </c>
      <c r="J189">
        <v>3.6389999999999998</v>
      </c>
      <c r="K189">
        <v>3.6749999999999998</v>
      </c>
      <c r="L189">
        <v>3.669</v>
      </c>
      <c r="M189">
        <v>3.7109999999999999</v>
      </c>
      <c r="N189">
        <v>3.71</v>
      </c>
      <c r="O189">
        <v>3.6579999999999999</v>
      </c>
      <c r="P189">
        <v>3.6280000000000001</v>
      </c>
      <c r="Q189">
        <v>3.5880000000000001</v>
      </c>
      <c r="R189">
        <v>3.548</v>
      </c>
      <c r="S189" s="2">
        <v>45251</v>
      </c>
      <c r="T189">
        <v>3.492</v>
      </c>
      <c r="U189">
        <v>3.6459999999999999</v>
      </c>
      <c r="V189">
        <v>3.7269999999999999</v>
      </c>
      <c r="W189">
        <v>3.762</v>
      </c>
      <c r="X189">
        <v>3.7690000000000001</v>
      </c>
      <c r="Y189">
        <v>3.77</v>
      </c>
      <c r="Z189">
        <v>3.794</v>
      </c>
      <c r="AA189">
        <v>3.8260000000000001</v>
      </c>
      <c r="AB189">
        <v>3.8420000000000001</v>
      </c>
      <c r="AC189">
        <v>3.9289999999999998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s="2">
        <v>45251</v>
      </c>
      <c r="AK189">
        <v>3.6030000000000002</v>
      </c>
      <c r="AL189">
        <v>3.6179999999999999</v>
      </c>
      <c r="AM189">
        <v>3.6230000000000002</v>
      </c>
      <c r="AN189">
        <v>3.6659999999999999</v>
      </c>
      <c r="AO189">
        <v>3.7050000000000001</v>
      </c>
      <c r="AP189">
        <v>3.6850000000000001</v>
      </c>
      <c r="AQ189">
        <v>3.71</v>
      </c>
      <c r="AR189">
        <v>3.718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</row>
    <row r="190" spans="2:52">
      <c r="B190" s="2">
        <v>45250</v>
      </c>
      <c r="C190">
        <v>3.4009999999999998</v>
      </c>
      <c r="D190">
        <v>3.6309999999999998</v>
      </c>
      <c r="E190">
        <v>3.6030000000000002</v>
      </c>
      <c r="F190">
        <v>3.72</v>
      </c>
      <c r="G190">
        <v>3.74</v>
      </c>
      <c r="H190">
        <v>3.7029999999999998</v>
      </c>
      <c r="I190">
        <v>3.6720000000000002</v>
      </c>
      <c r="J190">
        <v>3.6589999999999998</v>
      </c>
      <c r="K190">
        <v>3.6949999999999998</v>
      </c>
      <c r="L190">
        <v>3.6869999999999998</v>
      </c>
      <c r="M190">
        <v>3.7330000000000001</v>
      </c>
      <c r="N190">
        <v>3.7450000000000001</v>
      </c>
      <c r="O190">
        <v>3.69</v>
      </c>
      <c r="P190">
        <v>3.66</v>
      </c>
      <c r="Q190">
        <v>3.629</v>
      </c>
      <c r="R190">
        <v>3.589</v>
      </c>
      <c r="S190" s="2">
        <v>45250</v>
      </c>
      <c r="T190">
        <v>3.4940000000000002</v>
      </c>
      <c r="U190">
        <v>3.6549999999999998</v>
      </c>
      <c r="V190">
        <v>3.7290000000000001</v>
      </c>
      <c r="W190">
        <v>3.77</v>
      </c>
      <c r="X190">
        <v>3.7890000000000001</v>
      </c>
      <c r="Y190">
        <v>3.7890000000000001</v>
      </c>
      <c r="Z190">
        <v>3.8090000000000002</v>
      </c>
      <c r="AA190">
        <v>3.8460000000000001</v>
      </c>
      <c r="AB190">
        <v>3.8610000000000002</v>
      </c>
      <c r="AC190">
        <v>3.9430000000000001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 s="2">
        <v>45250</v>
      </c>
      <c r="AK190">
        <v>3.605</v>
      </c>
      <c r="AL190">
        <v>3.62</v>
      </c>
      <c r="AM190">
        <v>3.625</v>
      </c>
      <c r="AN190">
        <v>3.673</v>
      </c>
      <c r="AO190">
        <v>3.7120000000000002</v>
      </c>
      <c r="AP190">
        <v>3.6970000000000001</v>
      </c>
      <c r="AQ190">
        <v>3.7250000000000001</v>
      </c>
      <c r="AR190">
        <v>3.74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</row>
    <row r="191" spans="2:52">
      <c r="B191" s="2">
        <v>45247</v>
      </c>
      <c r="C191">
        <v>3.4049999999999998</v>
      </c>
      <c r="D191">
        <v>3.645</v>
      </c>
      <c r="E191">
        <v>3.6059999999999999</v>
      </c>
      <c r="F191">
        <v>3.7349999999999999</v>
      </c>
      <c r="G191">
        <v>3.7610000000000001</v>
      </c>
      <c r="H191">
        <v>3.726</v>
      </c>
      <c r="I191">
        <v>3.6970000000000001</v>
      </c>
      <c r="J191">
        <v>3.6850000000000001</v>
      </c>
      <c r="K191">
        <v>3.718</v>
      </c>
      <c r="L191">
        <v>3.72</v>
      </c>
      <c r="M191">
        <v>3.78</v>
      </c>
      <c r="N191">
        <v>3.8050000000000002</v>
      </c>
      <c r="O191">
        <v>3.742</v>
      </c>
      <c r="P191">
        <v>3.706</v>
      </c>
      <c r="Q191">
        <v>3.67</v>
      </c>
      <c r="R191">
        <v>3.63</v>
      </c>
      <c r="S191" s="2">
        <v>45247</v>
      </c>
      <c r="T191">
        <v>3.4990000000000001</v>
      </c>
      <c r="U191">
        <v>3.673</v>
      </c>
      <c r="V191">
        <v>3.734</v>
      </c>
      <c r="W191">
        <v>3.7850000000000001</v>
      </c>
      <c r="X191">
        <v>3.8079999999999998</v>
      </c>
      <c r="Y191">
        <v>3.8119999999999998</v>
      </c>
      <c r="Z191">
        <v>3.8340000000000001</v>
      </c>
      <c r="AA191">
        <v>3.871</v>
      </c>
      <c r="AB191">
        <v>3.8839999999999999</v>
      </c>
      <c r="AC191">
        <v>3.9740000000000002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s="2">
        <v>45247</v>
      </c>
      <c r="AK191">
        <v>3.6110000000000002</v>
      </c>
      <c r="AL191">
        <v>3.6259999999999999</v>
      </c>
      <c r="AM191">
        <v>3.6309999999999998</v>
      </c>
      <c r="AN191">
        <v>3.68</v>
      </c>
      <c r="AO191">
        <v>3.74</v>
      </c>
      <c r="AP191">
        <v>3.7240000000000002</v>
      </c>
      <c r="AQ191">
        <v>3.754</v>
      </c>
      <c r="AR191">
        <v>3.7650000000000001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</row>
    <row r="192" spans="2:52">
      <c r="B192" s="2">
        <v>45246</v>
      </c>
      <c r="C192">
        <v>3.3860000000000001</v>
      </c>
      <c r="D192">
        <v>3.613</v>
      </c>
      <c r="E192">
        <v>3.5550000000000002</v>
      </c>
      <c r="F192">
        <v>3.7549999999999999</v>
      </c>
      <c r="G192">
        <v>3.782</v>
      </c>
      <c r="H192">
        <v>3.746</v>
      </c>
      <c r="I192">
        <v>3.714</v>
      </c>
      <c r="J192">
        <v>3.6970000000000001</v>
      </c>
      <c r="K192">
        <v>3.72</v>
      </c>
      <c r="L192">
        <v>3.718</v>
      </c>
      <c r="M192">
        <v>3.7719999999999998</v>
      </c>
      <c r="N192">
        <v>3.79</v>
      </c>
      <c r="O192">
        <v>3.7160000000000002</v>
      </c>
      <c r="P192">
        <v>3.66</v>
      </c>
      <c r="Q192">
        <v>3.6230000000000002</v>
      </c>
      <c r="R192">
        <v>3.5830000000000002</v>
      </c>
      <c r="S192" s="2">
        <v>45246</v>
      </c>
      <c r="T192">
        <v>3.484</v>
      </c>
      <c r="U192">
        <v>3.6429999999999998</v>
      </c>
      <c r="V192">
        <v>3.6920000000000002</v>
      </c>
      <c r="W192">
        <v>3.802</v>
      </c>
      <c r="X192">
        <v>3.8290000000000002</v>
      </c>
      <c r="Y192">
        <v>3.8319999999999999</v>
      </c>
      <c r="Z192">
        <v>3.851</v>
      </c>
      <c r="AA192">
        <v>3.883</v>
      </c>
      <c r="AB192">
        <v>3.8860000000000001</v>
      </c>
      <c r="AC192">
        <v>3.976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s="2">
        <v>45246</v>
      </c>
      <c r="AK192">
        <v>3.5960000000000001</v>
      </c>
      <c r="AL192">
        <v>3.6030000000000002</v>
      </c>
      <c r="AM192">
        <v>3.609</v>
      </c>
      <c r="AN192">
        <v>3.6789999999999998</v>
      </c>
      <c r="AO192">
        <v>3.77</v>
      </c>
      <c r="AP192">
        <v>3.75</v>
      </c>
      <c r="AQ192">
        <v>3.7730000000000001</v>
      </c>
      <c r="AR192">
        <v>3.7770000000000001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</row>
    <row r="193" spans="2:52">
      <c r="B193" s="2">
        <v>45245</v>
      </c>
      <c r="C193">
        <v>3.3809999999999998</v>
      </c>
      <c r="D193">
        <v>3.613</v>
      </c>
      <c r="E193">
        <v>3.5550000000000002</v>
      </c>
      <c r="F193">
        <v>3.766</v>
      </c>
      <c r="G193">
        <v>3.8050000000000002</v>
      </c>
      <c r="H193">
        <v>3.7879999999999998</v>
      </c>
      <c r="I193">
        <v>3.7629999999999999</v>
      </c>
      <c r="J193">
        <v>3.7450000000000001</v>
      </c>
      <c r="K193">
        <v>3.7650000000000001</v>
      </c>
      <c r="L193">
        <v>3.7629999999999999</v>
      </c>
      <c r="M193">
        <v>3.8090000000000002</v>
      </c>
      <c r="N193">
        <v>3.8170000000000002</v>
      </c>
      <c r="O193">
        <v>3.7490000000000001</v>
      </c>
      <c r="P193">
        <v>3.6970000000000001</v>
      </c>
      <c r="Q193">
        <v>3.6520000000000001</v>
      </c>
      <c r="R193">
        <v>3.6120000000000001</v>
      </c>
      <c r="S193" s="2">
        <v>45245</v>
      </c>
      <c r="T193">
        <v>3.4809999999999999</v>
      </c>
      <c r="U193">
        <v>3.645</v>
      </c>
      <c r="V193">
        <v>3.6949999999999998</v>
      </c>
      <c r="W193">
        <v>3.8119999999999998</v>
      </c>
      <c r="X193">
        <v>3.8580000000000001</v>
      </c>
      <c r="Y193">
        <v>3.8740000000000001</v>
      </c>
      <c r="Z193">
        <v>3.9</v>
      </c>
      <c r="AA193">
        <v>3.931</v>
      </c>
      <c r="AB193">
        <v>3.9319999999999999</v>
      </c>
      <c r="AC193">
        <v>4.0110000000000001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s="2">
        <v>45245</v>
      </c>
      <c r="AK193">
        <v>3.601</v>
      </c>
      <c r="AL193">
        <v>3.6080000000000001</v>
      </c>
      <c r="AM193">
        <v>3.6160000000000001</v>
      </c>
      <c r="AN193">
        <v>3.6909999999999998</v>
      </c>
      <c r="AO193">
        <v>3.8149999999999999</v>
      </c>
      <c r="AP193">
        <v>3.79</v>
      </c>
      <c r="AQ193">
        <v>3.819</v>
      </c>
      <c r="AR193">
        <v>3.8220000000000001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</row>
    <row r="194" spans="2:52">
      <c r="B194" s="2">
        <v>45244</v>
      </c>
      <c r="C194">
        <v>3.395</v>
      </c>
      <c r="D194">
        <v>3.613</v>
      </c>
      <c r="E194">
        <v>3.5649999999999999</v>
      </c>
      <c r="F194">
        <v>3.7930000000000001</v>
      </c>
      <c r="G194">
        <v>3.8620000000000001</v>
      </c>
      <c r="H194">
        <v>3.8889999999999998</v>
      </c>
      <c r="I194">
        <v>3.8679999999999999</v>
      </c>
      <c r="J194">
        <v>3.8570000000000002</v>
      </c>
      <c r="K194">
        <v>3.9</v>
      </c>
      <c r="L194">
        <v>3.9020000000000001</v>
      </c>
      <c r="M194">
        <v>3.9620000000000002</v>
      </c>
      <c r="N194">
        <v>3.98</v>
      </c>
      <c r="O194">
        <v>3.9009999999999998</v>
      </c>
      <c r="P194">
        <v>3.8370000000000002</v>
      </c>
      <c r="Q194">
        <v>3.8</v>
      </c>
      <c r="R194">
        <v>3.76</v>
      </c>
      <c r="S194" s="2">
        <v>45244</v>
      </c>
      <c r="T194">
        <v>3.4889999999999999</v>
      </c>
      <c r="U194">
        <v>3.6459999999999999</v>
      </c>
      <c r="V194">
        <v>3.7040000000000002</v>
      </c>
      <c r="W194">
        <v>3.84</v>
      </c>
      <c r="X194">
        <v>3.9140000000000001</v>
      </c>
      <c r="Y194">
        <v>3.9689999999999999</v>
      </c>
      <c r="Z194">
        <v>4.0049999999999999</v>
      </c>
      <c r="AA194">
        <v>4.0430000000000001</v>
      </c>
      <c r="AB194">
        <v>4.0670000000000002</v>
      </c>
      <c r="AC194">
        <v>4.1580000000000004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 s="2">
        <v>45244</v>
      </c>
      <c r="AK194">
        <v>3.6080000000000001</v>
      </c>
      <c r="AL194">
        <v>3.6160000000000001</v>
      </c>
      <c r="AM194">
        <v>3.6259999999999999</v>
      </c>
      <c r="AN194">
        <v>3.7149999999999999</v>
      </c>
      <c r="AO194">
        <v>3.8759999999999999</v>
      </c>
      <c r="AP194">
        <v>3.875</v>
      </c>
      <c r="AQ194">
        <v>3.9239999999999999</v>
      </c>
      <c r="AR194">
        <v>3.9359999999999999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</row>
    <row r="195" spans="2:52">
      <c r="B195" s="2">
        <v>45243</v>
      </c>
      <c r="C195">
        <v>3.4</v>
      </c>
      <c r="D195">
        <v>3.6160000000000001</v>
      </c>
      <c r="E195">
        <v>3.5680000000000001</v>
      </c>
      <c r="F195">
        <v>3.8</v>
      </c>
      <c r="G195">
        <v>3.8740000000000001</v>
      </c>
      <c r="H195">
        <v>3.895</v>
      </c>
      <c r="I195">
        <v>3.875</v>
      </c>
      <c r="J195">
        <v>3.8719999999999999</v>
      </c>
      <c r="K195">
        <v>3.9209999999999998</v>
      </c>
      <c r="L195">
        <v>3.923</v>
      </c>
      <c r="M195">
        <v>3.9830000000000001</v>
      </c>
      <c r="N195">
        <v>4.0069999999999997</v>
      </c>
      <c r="O195">
        <v>3.911</v>
      </c>
      <c r="P195">
        <v>3.83</v>
      </c>
      <c r="Q195">
        <v>3.7850000000000001</v>
      </c>
      <c r="R195">
        <v>3.7450000000000001</v>
      </c>
      <c r="S195" s="2">
        <v>45243</v>
      </c>
      <c r="T195">
        <v>3.4940000000000002</v>
      </c>
      <c r="U195">
        <v>3.65</v>
      </c>
      <c r="V195">
        <v>3.7069999999999999</v>
      </c>
      <c r="W195">
        <v>3.8450000000000002</v>
      </c>
      <c r="X195">
        <v>3.923</v>
      </c>
      <c r="Y195">
        <v>3.9740000000000002</v>
      </c>
      <c r="Z195">
        <v>4.0119999999999996</v>
      </c>
      <c r="AA195">
        <v>4.0579999999999998</v>
      </c>
      <c r="AB195">
        <v>4.0869999999999997</v>
      </c>
      <c r="AC195">
        <v>4.18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s="2">
        <v>45243</v>
      </c>
      <c r="AK195">
        <v>3.6110000000000002</v>
      </c>
      <c r="AL195">
        <v>3.6219999999999999</v>
      </c>
      <c r="AM195">
        <v>3.633</v>
      </c>
      <c r="AN195">
        <v>3.72</v>
      </c>
      <c r="AO195">
        <v>3.879</v>
      </c>
      <c r="AP195">
        <v>3.875</v>
      </c>
      <c r="AQ195">
        <v>3.9329999999999998</v>
      </c>
      <c r="AR195">
        <v>3.9529999999999998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</row>
    <row r="196" spans="2:52">
      <c r="B196" s="2">
        <v>45240</v>
      </c>
      <c r="C196">
        <v>3.4009999999999998</v>
      </c>
      <c r="D196">
        <v>3.6150000000000002</v>
      </c>
      <c r="E196">
        <v>3.55</v>
      </c>
      <c r="F196">
        <v>3.7869999999999999</v>
      </c>
      <c r="G196">
        <v>3.851</v>
      </c>
      <c r="H196">
        <v>3.8740000000000001</v>
      </c>
      <c r="I196">
        <v>3.86</v>
      </c>
      <c r="J196">
        <v>3.8540000000000001</v>
      </c>
      <c r="K196">
        <v>3.8959999999999999</v>
      </c>
      <c r="L196">
        <v>3.8919999999999999</v>
      </c>
      <c r="M196">
        <v>3.9430000000000001</v>
      </c>
      <c r="N196">
        <v>3.96</v>
      </c>
      <c r="O196">
        <v>3.871</v>
      </c>
      <c r="P196">
        <v>3.7949999999999999</v>
      </c>
      <c r="Q196">
        <v>3.7370000000000001</v>
      </c>
      <c r="R196">
        <v>3.6970000000000001</v>
      </c>
      <c r="S196" s="2">
        <v>45240</v>
      </c>
      <c r="T196">
        <v>3.4969999999999999</v>
      </c>
      <c r="U196">
        <v>3.6480000000000001</v>
      </c>
      <c r="V196">
        <v>3.6920000000000002</v>
      </c>
      <c r="W196">
        <v>3.8290000000000002</v>
      </c>
      <c r="X196">
        <v>3.9</v>
      </c>
      <c r="Y196">
        <v>3.9529999999999998</v>
      </c>
      <c r="Z196">
        <v>3.9950000000000001</v>
      </c>
      <c r="AA196">
        <v>4.0410000000000004</v>
      </c>
      <c r="AB196">
        <v>4.0659999999999998</v>
      </c>
      <c r="AC196">
        <v>4.173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 s="2">
        <v>45240</v>
      </c>
      <c r="AK196">
        <v>3.6150000000000002</v>
      </c>
      <c r="AL196">
        <v>3.62</v>
      </c>
      <c r="AM196">
        <v>3.6280000000000001</v>
      </c>
      <c r="AN196">
        <v>3.7080000000000002</v>
      </c>
      <c r="AO196">
        <v>3.8610000000000002</v>
      </c>
      <c r="AP196">
        <v>3.8570000000000002</v>
      </c>
      <c r="AQ196">
        <v>3.9169999999999998</v>
      </c>
      <c r="AR196">
        <v>3.9350000000000001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</row>
    <row r="197" spans="2:52">
      <c r="B197" s="2">
        <v>45239</v>
      </c>
      <c r="C197">
        <v>3.3980000000000001</v>
      </c>
      <c r="D197">
        <v>3.601</v>
      </c>
      <c r="E197">
        <v>3.528</v>
      </c>
      <c r="F197">
        <v>3.7650000000000001</v>
      </c>
      <c r="G197">
        <v>3.83</v>
      </c>
      <c r="H197">
        <v>3.851</v>
      </c>
      <c r="I197">
        <v>3.84</v>
      </c>
      <c r="J197">
        <v>3.839</v>
      </c>
      <c r="K197">
        <v>3.88</v>
      </c>
      <c r="L197">
        <v>3.8730000000000002</v>
      </c>
      <c r="M197">
        <v>3.92</v>
      </c>
      <c r="N197">
        <v>3.9350000000000001</v>
      </c>
      <c r="O197">
        <v>3.851</v>
      </c>
      <c r="P197">
        <v>3.78</v>
      </c>
      <c r="Q197">
        <v>3.722</v>
      </c>
      <c r="R197">
        <v>3.677</v>
      </c>
      <c r="S197" s="2">
        <v>45239</v>
      </c>
      <c r="T197">
        <v>3.496</v>
      </c>
      <c r="U197">
        <v>3.6360000000000001</v>
      </c>
      <c r="V197">
        <v>3.6720000000000002</v>
      </c>
      <c r="W197">
        <v>3.8069999999999999</v>
      </c>
      <c r="X197">
        <v>3.879</v>
      </c>
      <c r="Y197">
        <v>3.9319999999999999</v>
      </c>
      <c r="Z197">
        <v>3.976</v>
      </c>
      <c r="AA197">
        <v>4.0259999999999998</v>
      </c>
      <c r="AB197">
        <v>4.0490000000000004</v>
      </c>
      <c r="AC197">
        <v>4.2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 s="2">
        <v>45239</v>
      </c>
      <c r="AK197">
        <v>3.6150000000000002</v>
      </c>
      <c r="AL197">
        <v>3.6179999999999999</v>
      </c>
      <c r="AM197">
        <v>3.625</v>
      </c>
      <c r="AN197">
        <v>3.698</v>
      </c>
      <c r="AO197">
        <v>3.84</v>
      </c>
      <c r="AP197">
        <v>3.8420000000000001</v>
      </c>
      <c r="AQ197">
        <v>3.9</v>
      </c>
      <c r="AR197">
        <v>3.9220000000000002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</row>
    <row r="198" spans="2:52">
      <c r="B198" s="2">
        <v>45238</v>
      </c>
      <c r="C198">
        <v>3.4009999999999998</v>
      </c>
      <c r="D198">
        <v>3.601</v>
      </c>
      <c r="E198">
        <v>3.516</v>
      </c>
      <c r="F198">
        <v>3.766</v>
      </c>
      <c r="G198">
        <v>3.8220000000000001</v>
      </c>
      <c r="H198">
        <v>3.867</v>
      </c>
      <c r="I198">
        <v>3.8570000000000002</v>
      </c>
      <c r="J198">
        <v>3.871</v>
      </c>
      <c r="K198">
        <v>3.9279999999999999</v>
      </c>
      <c r="L198">
        <v>3.93</v>
      </c>
      <c r="M198">
        <v>4.0030000000000001</v>
      </c>
      <c r="N198">
        <v>4.03</v>
      </c>
      <c r="O198">
        <v>3.9470000000000001</v>
      </c>
      <c r="P198">
        <v>3.88</v>
      </c>
      <c r="Q198">
        <v>3.8170000000000002</v>
      </c>
      <c r="R198">
        <v>3.7719999999999998</v>
      </c>
      <c r="S198" s="2">
        <v>45238</v>
      </c>
      <c r="T198">
        <v>3.5019999999999998</v>
      </c>
      <c r="U198">
        <v>3.6360000000000001</v>
      </c>
      <c r="V198">
        <v>3.6640000000000001</v>
      </c>
      <c r="W198">
        <v>3.8079999999999998</v>
      </c>
      <c r="X198">
        <v>3.8740000000000001</v>
      </c>
      <c r="Y198">
        <v>3.9510000000000001</v>
      </c>
      <c r="Z198">
        <v>3.9950000000000001</v>
      </c>
      <c r="AA198">
        <v>4.0590000000000002</v>
      </c>
      <c r="AB198">
        <v>4.0970000000000004</v>
      </c>
      <c r="AC198">
        <v>4.2889999999999997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s="2">
        <v>45238</v>
      </c>
      <c r="AK198">
        <v>3.62</v>
      </c>
      <c r="AL198">
        <v>3.6240000000000001</v>
      </c>
      <c r="AM198">
        <v>3.6320000000000001</v>
      </c>
      <c r="AN198">
        <v>3.7050000000000001</v>
      </c>
      <c r="AO198">
        <v>3.85</v>
      </c>
      <c r="AP198">
        <v>3.8650000000000002</v>
      </c>
      <c r="AQ198">
        <v>3.9289999999999998</v>
      </c>
      <c r="AR198">
        <v>3.9550000000000001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</row>
    <row r="199" spans="2:52">
      <c r="B199" s="2">
        <v>45237</v>
      </c>
      <c r="C199">
        <v>3.3959999999999999</v>
      </c>
      <c r="D199">
        <v>3.6</v>
      </c>
      <c r="E199">
        <v>3.488</v>
      </c>
      <c r="F199">
        <v>3.7480000000000002</v>
      </c>
      <c r="G199">
        <v>3.8149999999999999</v>
      </c>
      <c r="H199">
        <v>3.8690000000000002</v>
      </c>
      <c r="I199">
        <v>3.86</v>
      </c>
      <c r="J199">
        <v>3.883</v>
      </c>
      <c r="K199">
        <v>3.9470000000000001</v>
      </c>
      <c r="L199">
        <v>3.9510000000000001</v>
      </c>
      <c r="M199">
        <v>4.0259999999999998</v>
      </c>
      <c r="N199">
        <v>4.056</v>
      </c>
      <c r="O199">
        <v>3.9820000000000002</v>
      </c>
      <c r="P199">
        <v>3.9249999999999998</v>
      </c>
      <c r="Q199">
        <v>3.8719999999999999</v>
      </c>
      <c r="R199">
        <v>3.827</v>
      </c>
      <c r="S199" s="2">
        <v>45237</v>
      </c>
      <c r="T199">
        <v>3.4969999999999999</v>
      </c>
      <c r="U199">
        <v>3.6309999999999998</v>
      </c>
      <c r="V199">
        <v>3.65</v>
      </c>
      <c r="W199">
        <v>3.7919999999999998</v>
      </c>
      <c r="X199">
        <v>3.8690000000000002</v>
      </c>
      <c r="Y199">
        <v>3.952</v>
      </c>
      <c r="Z199">
        <v>3.9980000000000002</v>
      </c>
      <c r="AA199">
        <v>4.069</v>
      </c>
      <c r="AB199">
        <v>4.117</v>
      </c>
      <c r="AC199">
        <v>4.3129999999999997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 s="2">
        <v>45237</v>
      </c>
      <c r="AK199">
        <v>3.6190000000000002</v>
      </c>
      <c r="AL199">
        <v>3.6219999999999999</v>
      </c>
      <c r="AM199">
        <v>3.63</v>
      </c>
      <c r="AN199">
        <v>3.7010000000000001</v>
      </c>
      <c r="AO199">
        <v>3.8559999999999999</v>
      </c>
      <c r="AP199">
        <v>3.8690000000000002</v>
      </c>
      <c r="AQ199">
        <v>3.9359999999999999</v>
      </c>
      <c r="AR199">
        <v>3.9649999999999999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</row>
    <row r="200" spans="2:52">
      <c r="B200" s="2">
        <v>45236</v>
      </c>
      <c r="C200">
        <v>3.39</v>
      </c>
      <c r="D200">
        <v>3.59</v>
      </c>
      <c r="E200">
        <v>3.4329999999999998</v>
      </c>
      <c r="F200">
        <v>3.73</v>
      </c>
      <c r="G200">
        <v>3.7959999999999998</v>
      </c>
      <c r="H200">
        <v>3.86</v>
      </c>
      <c r="I200">
        <v>3.8570000000000002</v>
      </c>
      <c r="J200">
        <v>3.88</v>
      </c>
      <c r="K200">
        <v>3.9460000000000002</v>
      </c>
      <c r="L200">
        <v>3.952</v>
      </c>
      <c r="M200">
        <v>4.0259999999999998</v>
      </c>
      <c r="N200">
        <v>4.0570000000000004</v>
      </c>
      <c r="O200">
        <v>4.0010000000000003</v>
      </c>
      <c r="P200">
        <v>3.9630000000000001</v>
      </c>
      <c r="Q200">
        <v>3.91</v>
      </c>
      <c r="R200">
        <v>3.8650000000000002</v>
      </c>
      <c r="S200" s="2">
        <v>45236</v>
      </c>
      <c r="T200">
        <v>3.4910000000000001</v>
      </c>
      <c r="U200">
        <v>3.621</v>
      </c>
      <c r="V200">
        <v>3.6190000000000002</v>
      </c>
      <c r="W200">
        <v>3.778</v>
      </c>
      <c r="X200">
        <v>3.851</v>
      </c>
      <c r="Y200">
        <v>3.9430000000000001</v>
      </c>
      <c r="Z200">
        <v>3.9950000000000001</v>
      </c>
      <c r="AA200">
        <v>4.0679999999999996</v>
      </c>
      <c r="AB200">
        <v>4.1159999999999997</v>
      </c>
      <c r="AC200">
        <v>4.3090000000000002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 s="2">
        <v>45236</v>
      </c>
      <c r="AK200">
        <v>3.6179999999999999</v>
      </c>
      <c r="AL200">
        <v>3.62</v>
      </c>
      <c r="AM200">
        <v>3.63</v>
      </c>
      <c r="AN200">
        <v>3.7</v>
      </c>
      <c r="AO200">
        <v>3.8620000000000001</v>
      </c>
      <c r="AP200">
        <v>3.875</v>
      </c>
      <c r="AQ200">
        <v>3.9420000000000002</v>
      </c>
      <c r="AR200">
        <v>3.968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</row>
    <row r="201" spans="2:52">
      <c r="B201" s="2">
        <v>45233</v>
      </c>
      <c r="C201">
        <v>3.39</v>
      </c>
      <c r="D201">
        <v>3.585</v>
      </c>
      <c r="E201">
        <v>3.43</v>
      </c>
      <c r="F201">
        <v>3.73</v>
      </c>
      <c r="G201">
        <v>3.8149999999999999</v>
      </c>
      <c r="H201">
        <v>3.891</v>
      </c>
      <c r="I201">
        <v>3.92</v>
      </c>
      <c r="J201">
        <v>3.9449999999999998</v>
      </c>
      <c r="K201">
        <v>4.01</v>
      </c>
      <c r="L201">
        <v>4.0149999999999997</v>
      </c>
      <c r="M201">
        <v>4.08</v>
      </c>
      <c r="N201">
        <v>4.0999999999999996</v>
      </c>
      <c r="O201">
        <v>4.0389999999999997</v>
      </c>
      <c r="P201">
        <v>3.9929999999999999</v>
      </c>
      <c r="Q201">
        <v>3.9449999999999998</v>
      </c>
      <c r="R201">
        <v>3.9</v>
      </c>
      <c r="S201" s="2">
        <v>45233</v>
      </c>
      <c r="T201">
        <v>3.492</v>
      </c>
      <c r="U201">
        <v>3.621</v>
      </c>
      <c r="V201">
        <v>3.6150000000000002</v>
      </c>
      <c r="W201">
        <v>3.786</v>
      </c>
      <c r="X201">
        <v>3.8780000000000001</v>
      </c>
      <c r="Y201">
        <v>3.9809999999999999</v>
      </c>
      <c r="Z201">
        <v>4.0579999999999998</v>
      </c>
      <c r="AA201">
        <v>4.133</v>
      </c>
      <c r="AB201">
        <v>4.18</v>
      </c>
      <c r="AC201">
        <v>4.3689999999999998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 s="2">
        <v>45233</v>
      </c>
      <c r="AK201">
        <v>3.6160000000000001</v>
      </c>
      <c r="AL201">
        <v>3.625</v>
      </c>
      <c r="AM201">
        <v>3.64</v>
      </c>
      <c r="AN201">
        <v>3.7189999999999999</v>
      </c>
      <c r="AO201">
        <v>3.9049999999999998</v>
      </c>
      <c r="AP201">
        <v>3.9249999999999998</v>
      </c>
      <c r="AQ201">
        <v>4.0090000000000003</v>
      </c>
      <c r="AR201">
        <v>4.0330000000000004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</row>
    <row r="202" spans="2:52">
      <c r="B202" s="2">
        <v>45232</v>
      </c>
      <c r="C202">
        <v>3.3959999999999999</v>
      </c>
      <c r="D202">
        <v>3.5819999999999999</v>
      </c>
      <c r="E202">
        <v>3.4260000000000002</v>
      </c>
      <c r="F202">
        <v>3.7229999999999999</v>
      </c>
      <c r="G202">
        <v>3.81</v>
      </c>
      <c r="H202">
        <v>3.9060000000000001</v>
      </c>
      <c r="I202">
        <v>3.948</v>
      </c>
      <c r="J202">
        <v>3.98</v>
      </c>
      <c r="K202">
        <v>4.0590000000000002</v>
      </c>
      <c r="L202">
        <v>4.056</v>
      </c>
      <c r="M202">
        <v>4.13</v>
      </c>
      <c r="N202">
        <v>4.16</v>
      </c>
      <c r="O202">
        <v>4.0960000000000001</v>
      </c>
      <c r="P202">
        <v>4.05</v>
      </c>
      <c r="Q202">
        <v>4.0049999999999999</v>
      </c>
      <c r="R202">
        <v>3.96</v>
      </c>
      <c r="S202" s="2">
        <v>45232</v>
      </c>
      <c r="T202">
        <v>3.492</v>
      </c>
      <c r="U202">
        <v>3.6190000000000002</v>
      </c>
      <c r="V202">
        <v>3.6150000000000002</v>
      </c>
      <c r="W202">
        <v>3.782</v>
      </c>
      <c r="X202">
        <v>3.875</v>
      </c>
      <c r="Y202">
        <v>3.9990000000000001</v>
      </c>
      <c r="Z202">
        <v>4.0860000000000003</v>
      </c>
      <c r="AA202">
        <v>4.1680000000000001</v>
      </c>
      <c r="AB202">
        <v>4.2279999999999998</v>
      </c>
      <c r="AC202">
        <v>4.4089999999999998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 s="2">
        <v>45232</v>
      </c>
      <c r="AK202">
        <v>3.62</v>
      </c>
      <c r="AL202">
        <v>3.6309999999999998</v>
      </c>
      <c r="AM202">
        <v>3.6480000000000001</v>
      </c>
      <c r="AN202">
        <v>3.7290000000000001</v>
      </c>
      <c r="AO202">
        <v>3.91</v>
      </c>
      <c r="AP202">
        <v>3.9449999999999998</v>
      </c>
      <c r="AQ202">
        <v>4.032</v>
      </c>
      <c r="AR202">
        <v>4.0670000000000002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</row>
    <row r="203" spans="2:52">
      <c r="B203" s="2">
        <v>45231</v>
      </c>
      <c r="C203">
        <v>3.3959999999999999</v>
      </c>
      <c r="D203">
        <v>3.5859999999999999</v>
      </c>
      <c r="E203">
        <v>3.4409999999999998</v>
      </c>
      <c r="F203">
        <v>3.7160000000000002</v>
      </c>
      <c r="G203">
        <v>3.8170000000000002</v>
      </c>
      <c r="H203">
        <v>3.9630000000000001</v>
      </c>
      <c r="I203">
        <v>4.01</v>
      </c>
      <c r="J203">
        <v>4.0650000000000004</v>
      </c>
      <c r="K203">
        <v>4.1559999999999997</v>
      </c>
      <c r="L203">
        <v>4.165</v>
      </c>
      <c r="M203">
        <v>4.242</v>
      </c>
      <c r="N203">
        <v>4.2850000000000001</v>
      </c>
      <c r="O203">
        <v>4.1760000000000002</v>
      </c>
      <c r="P203">
        <v>4.0880000000000001</v>
      </c>
      <c r="Q203">
        <v>4.0199999999999996</v>
      </c>
      <c r="R203">
        <v>3.9750000000000001</v>
      </c>
      <c r="S203" s="2">
        <v>45231</v>
      </c>
      <c r="T203">
        <v>3.496</v>
      </c>
      <c r="U203">
        <v>3.6259999999999999</v>
      </c>
      <c r="V203">
        <v>3.6230000000000002</v>
      </c>
      <c r="W203">
        <v>3.782</v>
      </c>
      <c r="X203">
        <v>3.887</v>
      </c>
      <c r="Y203">
        <v>4.0510000000000002</v>
      </c>
      <c r="Z203">
        <v>4.1470000000000002</v>
      </c>
      <c r="AA203">
        <v>4.2530000000000001</v>
      </c>
      <c r="AB203">
        <v>4.3259999999999996</v>
      </c>
      <c r="AC203">
        <v>4.5110000000000001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s="2">
        <v>45231</v>
      </c>
      <c r="AK203">
        <v>3.6269999999999998</v>
      </c>
      <c r="AL203">
        <v>3.6389999999999998</v>
      </c>
      <c r="AM203">
        <v>3.6579999999999999</v>
      </c>
      <c r="AN203">
        <v>3.7349999999999999</v>
      </c>
      <c r="AO203">
        <v>3.9409999999999998</v>
      </c>
      <c r="AP203">
        <v>3.99</v>
      </c>
      <c r="AQ203">
        <v>4.0970000000000004</v>
      </c>
      <c r="AR203">
        <v>4.1520000000000001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</row>
    <row r="204" spans="2:52">
      <c r="B204" s="2">
        <v>45230</v>
      </c>
      <c r="C204">
        <v>3.4060000000000001</v>
      </c>
      <c r="D204">
        <v>3.605</v>
      </c>
      <c r="E204">
        <v>3.4609999999999999</v>
      </c>
      <c r="F204">
        <v>3.7309999999999999</v>
      </c>
      <c r="G204">
        <v>3.823</v>
      </c>
      <c r="H204">
        <v>3.9809999999999999</v>
      </c>
      <c r="I204">
        <v>4.03</v>
      </c>
      <c r="J204">
        <v>4.0839999999999996</v>
      </c>
      <c r="K204">
        <v>4.1870000000000003</v>
      </c>
      <c r="L204">
        <v>4.2030000000000003</v>
      </c>
      <c r="M204">
        <v>4.2880000000000003</v>
      </c>
      <c r="N204">
        <v>4.335</v>
      </c>
      <c r="O204">
        <v>4.226</v>
      </c>
      <c r="P204">
        <v>4.1399999999999997</v>
      </c>
      <c r="Q204">
        <v>4.07</v>
      </c>
      <c r="R204">
        <v>4.0250000000000004</v>
      </c>
      <c r="S204" s="2">
        <v>45230</v>
      </c>
      <c r="T204">
        <v>3.5059999999999998</v>
      </c>
      <c r="U204">
        <v>3.6440000000000001</v>
      </c>
      <c r="V204">
        <v>3.6459999999999999</v>
      </c>
      <c r="W204">
        <v>3.7970000000000002</v>
      </c>
      <c r="X204">
        <v>3.8929999999999998</v>
      </c>
      <c r="Y204">
        <v>4.069</v>
      </c>
      <c r="Z204">
        <v>4.1669999999999998</v>
      </c>
      <c r="AA204">
        <v>4.2720000000000002</v>
      </c>
      <c r="AB204">
        <v>4.3570000000000002</v>
      </c>
      <c r="AC204">
        <v>4.5629999999999997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s="2">
        <v>45230</v>
      </c>
      <c r="AK204">
        <v>3.633</v>
      </c>
      <c r="AL204">
        <v>3.6459999999999999</v>
      </c>
      <c r="AM204">
        <v>3.6659999999999999</v>
      </c>
      <c r="AN204">
        <v>3.7450000000000001</v>
      </c>
      <c r="AO204">
        <v>3.948</v>
      </c>
      <c r="AP204">
        <v>3.9950000000000001</v>
      </c>
      <c r="AQ204">
        <v>4.1230000000000002</v>
      </c>
      <c r="AR204">
        <v>4.1719999999999997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</row>
    <row r="205" spans="2:52">
      <c r="B205" s="2">
        <v>45229</v>
      </c>
      <c r="C205">
        <v>3.41</v>
      </c>
      <c r="D205">
        <v>3.605</v>
      </c>
      <c r="E205">
        <v>3.4710000000000001</v>
      </c>
      <c r="F205">
        <v>3.73</v>
      </c>
      <c r="G205">
        <v>3.8010000000000002</v>
      </c>
      <c r="H205">
        <v>3.976</v>
      </c>
      <c r="I205">
        <v>4.04</v>
      </c>
      <c r="J205">
        <v>4.085</v>
      </c>
      <c r="K205">
        <v>4.18</v>
      </c>
      <c r="L205">
        <v>4.1879999999999997</v>
      </c>
      <c r="M205">
        <v>4.266</v>
      </c>
      <c r="N205">
        <v>4.3049999999999997</v>
      </c>
      <c r="O205">
        <v>4.2060000000000004</v>
      </c>
      <c r="P205">
        <v>4.1319999999999997</v>
      </c>
      <c r="Q205">
        <v>4.093</v>
      </c>
      <c r="R205">
        <v>4.048</v>
      </c>
      <c r="S205" s="2">
        <v>45229</v>
      </c>
      <c r="T205">
        <v>3.5089999999999999</v>
      </c>
      <c r="U205">
        <v>3.6440000000000001</v>
      </c>
      <c r="V205">
        <v>3.6549999999999998</v>
      </c>
      <c r="W205">
        <v>3.7949999999999999</v>
      </c>
      <c r="X205">
        <v>3.8809999999999998</v>
      </c>
      <c r="Y205">
        <v>4.0659999999999998</v>
      </c>
      <c r="Z205">
        <v>4.1740000000000004</v>
      </c>
      <c r="AA205">
        <v>4.2699999999999996</v>
      </c>
      <c r="AB205">
        <v>4.3490000000000002</v>
      </c>
      <c r="AC205">
        <v>4.55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 s="2">
        <v>45229</v>
      </c>
      <c r="AK205">
        <v>3.6309999999999998</v>
      </c>
      <c r="AL205">
        <v>3.645</v>
      </c>
      <c r="AM205">
        <v>3.6659999999999999</v>
      </c>
      <c r="AN205">
        <v>3.7450000000000001</v>
      </c>
      <c r="AO205">
        <v>3.95</v>
      </c>
      <c r="AP205">
        <v>4</v>
      </c>
      <c r="AQ205">
        <v>4.1239999999999997</v>
      </c>
      <c r="AR205">
        <v>4.1660000000000004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</row>
    <row r="206" spans="2:52">
      <c r="B206" s="2">
        <v>45226</v>
      </c>
      <c r="C206">
        <v>3.4079999999999999</v>
      </c>
      <c r="D206">
        <v>3.5880000000000001</v>
      </c>
      <c r="E206">
        <v>3.4710000000000001</v>
      </c>
      <c r="F206">
        <v>3.73</v>
      </c>
      <c r="G206">
        <v>3.806</v>
      </c>
      <c r="H206">
        <v>3.9729999999999999</v>
      </c>
      <c r="I206">
        <v>4.0309999999999997</v>
      </c>
      <c r="J206">
        <v>4.077</v>
      </c>
      <c r="K206">
        <v>4.1689999999999996</v>
      </c>
      <c r="L206">
        <v>4.173</v>
      </c>
      <c r="M206">
        <v>4.2510000000000003</v>
      </c>
      <c r="N206">
        <v>4.29</v>
      </c>
      <c r="O206">
        <v>4.1749999999999998</v>
      </c>
      <c r="P206">
        <v>4.085</v>
      </c>
      <c r="Q206">
        <v>4.04</v>
      </c>
      <c r="R206">
        <v>3.9950000000000001</v>
      </c>
      <c r="S206" s="2">
        <v>45226</v>
      </c>
      <c r="T206">
        <v>3.5089999999999999</v>
      </c>
      <c r="U206">
        <v>3.6309999999999998</v>
      </c>
      <c r="V206">
        <v>3.6549999999999998</v>
      </c>
      <c r="W206">
        <v>3.7949999999999999</v>
      </c>
      <c r="X206">
        <v>3.8759999999999999</v>
      </c>
      <c r="Y206">
        <v>4.0609999999999999</v>
      </c>
      <c r="Z206">
        <v>4.1660000000000004</v>
      </c>
      <c r="AA206">
        <v>4.2610000000000001</v>
      </c>
      <c r="AB206">
        <v>4.3369999999999997</v>
      </c>
      <c r="AC206">
        <v>4.524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s="2">
        <v>45226</v>
      </c>
      <c r="AK206">
        <v>3.6309999999999998</v>
      </c>
      <c r="AL206">
        <v>3.645</v>
      </c>
      <c r="AM206">
        <v>3.6659999999999999</v>
      </c>
      <c r="AN206">
        <v>3.7450000000000001</v>
      </c>
      <c r="AO206">
        <v>3.9289999999999998</v>
      </c>
      <c r="AP206">
        <v>3.9889999999999999</v>
      </c>
      <c r="AQ206">
        <v>4.1150000000000002</v>
      </c>
      <c r="AR206">
        <v>4.1580000000000004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</row>
    <row r="207" spans="2:52">
      <c r="B207" s="2">
        <v>45225</v>
      </c>
      <c r="C207">
        <v>3.42</v>
      </c>
      <c r="D207">
        <v>3.6110000000000002</v>
      </c>
      <c r="E207">
        <v>3.4929999999999999</v>
      </c>
      <c r="F207">
        <v>3.7650000000000001</v>
      </c>
      <c r="G207">
        <v>3.8580000000000001</v>
      </c>
      <c r="H207">
        <v>3.996</v>
      </c>
      <c r="I207">
        <v>4.056</v>
      </c>
      <c r="J207">
        <v>4.1120000000000001</v>
      </c>
      <c r="K207">
        <v>4.218</v>
      </c>
      <c r="L207">
        <v>4.2450000000000001</v>
      </c>
      <c r="M207">
        <v>4.3419999999999996</v>
      </c>
      <c r="N207">
        <v>4.4000000000000004</v>
      </c>
      <c r="O207">
        <v>4.32</v>
      </c>
      <c r="P207">
        <v>4.2649999999999997</v>
      </c>
      <c r="Q207">
        <v>4.26</v>
      </c>
      <c r="R207">
        <v>4.2149999999999999</v>
      </c>
      <c r="S207" s="2">
        <v>45225</v>
      </c>
      <c r="T207">
        <v>3.5169999999999999</v>
      </c>
      <c r="U207">
        <v>3.6509999999999998</v>
      </c>
      <c r="V207">
        <v>3.6749999999999998</v>
      </c>
      <c r="W207">
        <v>3.8180000000000001</v>
      </c>
      <c r="X207">
        <v>3.9180000000000001</v>
      </c>
      <c r="Y207">
        <v>4.0860000000000003</v>
      </c>
      <c r="Z207">
        <v>4.1929999999999996</v>
      </c>
      <c r="AA207">
        <v>4.2960000000000003</v>
      </c>
      <c r="AB207">
        <v>4.3860000000000001</v>
      </c>
      <c r="AC207">
        <v>4.5949999999999998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 s="2">
        <v>45225</v>
      </c>
      <c r="AK207">
        <v>3.64</v>
      </c>
      <c r="AL207">
        <v>3.6549999999999998</v>
      </c>
      <c r="AM207">
        <v>3.6779999999999999</v>
      </c>
      <c r="AN207">
        <v>3.7570000000000001</v>
      </c>
      <c r="AO207">
        <v>3.9510000000000001</v>
      </c>
      <c r="AP207">
        <v>4.0149999999999997</v>
      </c>
      <c r="AQ207">
        <v>4.1449999999999996</v>
      </c>
      <c r="AR207">
        <v>4.1929999999999996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</row>
    <row r="208" spans="2:52">
      <c r="B208" s="2">
        <v>45224</v>
      </c>
      <c r="C208">
        <v>3.411</v>
      </c>
      <c r="D208">
        <v>3.601</v>
      </c>
      <c r="E208">
        <v>3.49</v>
      </c>
      <c r="F208">
        <v>3.74</v>
      </c>
      <c r="G208">
        <v>3.823</v>
      </c>
      <c r="H208">
        <v>3.956</v>
      </c>
      <c r="I208">
        <v>3.9950000000000001</v>
      </c>
      <c r="J208">
        <v>4.0449999999999999</v>
      </c>
      <c r="K208">
        <v>4.1379999999999999</v>
      </c>
      <c r="L208">
        <v>4.16</v>
      </c>
      <c r="M208">
        <v>4.242</v>
      </c>
      <c r="N208">
        <v>4.2869999999999999</v>
      </c>
      <c r="O208">
        <v>4.2359999999999998</v>
      </c>
      <c r="P208">
        <v>4.21</v>
      </c>
      <c r="Q208">
        <v>4.2050000000000001</v>
      </c>
      <c r="R208">
        <v>4.16</v>
      </c>
      <c r="S208" s="2">
        <v>45224</v>
      </c>
      <c r="T208">
        <v>3.5089999999999999</v>
      </c>
      <c r="U208">
        <v>3.6419999999999999</v>
      </c>
      <c r="V208">
        <v>3.665</v>
      </c>
      <c r="W208">
        <v>3.7970000000000002</v>
      </c>
      <c r="X208">
        <v>3.8759999999999999</v>
      </c>
      <c r="Y208">
        <v>4.0469999999999997</v>
      </c>
      <c r="Z208">
        <v>4.1319999999999997</v>
      </c>
      <c r="AA208">
        <v>4.2290000000000001</v>
      </c>
      <c r="AB208">
        <v>4.3079999999999998</v>
      </c>
      <c r="AC208">
        <v>4.5149999999999997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s="2">
        <v>45224</v>
      </c>
      <c r="AK208">
        <v>3.6309999999999998</v>
      </c>
      <c r="AL208">
        <v>3.645</v>
      </c>
      <c r="AM208">
        <v>3.6629999999999998</v>
      </c>
      <c r="AN208">
        <v>3.742</v>
      </c>
      <c r="AO208">
        <v>3.9060000000000001</v>
      </c>
      <c r="AP208">
        <v>3.9729999999999999</v>
      </c>
      <c r="AQ208">
        <v>4.0860000000000003</v>
      </c>
      <c r="AR208">
        <v>4.125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</row>
    <row r="209" spans="2:52">
      <c r="B209" s="2">
        <v>45223</v>
      </c>
      <c r="C209">
        <v>3.4159999999999999</v>
      </c>
      <c r="D209">
        <v>3.6059999999999999</v>
      </c>
      <c r="E209">
        <v>3.5129999999999999</v>
      </c>
      <c r="F209">
        <v>3.73</v>
      </c>
      <c r="G209">
        <v>3.7650000000000001</v>
      </c>
      <c r="H209">
        <v>3.9129999999999998</v>
      </c>
      <c r="I209">
        <v>3.9449999999999998</v>
      </c>
      <c r="J209">
        <v>3.9950000000000001</v>
      </c>
      <c r="K209">
        <v>4.1100000000000003</v>
      </c>
      <c r="L209">
        <v>4.1310000000000002</v>
      </c>
      <c r="M209">
        <v>4.2140000000000004</v>
      </c>
      <c r="N209">
        <v>4.26</v>
      </c>
      <c r="O209">
        <v>4.2320000000000002</v>
      </c>
      <c r="P209">
        <v>4.2300000000000004</v>
      </c>
      <c r="Q209">
        <v>4.2270000000000003</v>
      </c>
      <c r="R209">
        <v>4.1820000000000004</v>
      </c>
      <c r="S209" s="2">
        <v>45223</v>
      </c>
      <c r="T209">
        <v>3.5139999999999998</v>
      </c>
      <c r="U209">
        <v>3.649</v>
      </c>
      <c r="V209">
        <v>3.67</v>
      </c>
      <c r="W209">
        <v>3.7850000000000001</v>
      </c>
      <c r="X209">
        <v>3.8239999999999998</v>
      </c>
      <c r="Y209">
        <v>4.0010000000000003</v>
      </c>
      <c r="Z209">
        <v>4.0830000000000002</v>
      </c>
      <c r="AA209">
        <v>4.18</v>
      </c>
      <c r="AB209">
        <v>4.2770000000000001</v>
      </c>
      <c r="AC209">
        <v>4.476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s="2">
        <v>45223</v>
      </c>
      <c r="AK209">
        <v>3.6280000000000001</v>
      </c>
      <c r="AL209">
        <v>3.641</v>
      </c>
      <c r="AM209">
        <v>3.6549999999999998</v>
      </c>
      <c r="AN209">
        <v>3.7250000000000001</v>
      </c>
      <c r="AO209">
        <v>3.8650000000000002</v>
      </c>
      <c r="AP209">
        <v>3.9249999999999998</v>
      </c>
      <c r="AQ209">
        <v>4.04</v>
      </c>
      <c r="AR209">
        <v>4.0780000000000003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</row>
    <row r="210" spans="2:52">
      <c r="B210" s="2">
        <v>45222</v>
      </c>
      <c r="C210">
        <v>3.4260000000000002</v>
      </c>
      <c r="D210">
        <v>3.6230000000000002</v>
      </c>
      <c r="E210">
        <v>3.55</v>
      </c>
      <c r="F210">
        <v>3.7549999999999999</v>
      </c>
      <c r="G210">
        <v>3.7930000000000001</v>
      </c>
      <c r="H210">
        <v>3.9609999999999999</v>
      </c>
      <c r="I210">
        <v>3.9910000000000001</v>
      </c>
      <c r="J210">
        <v>4.0599999999999996</v>
      </c>
      <c r="K210">
        <v>4.2009999999999996</v>
      </c>
      <c r="L210">
        <v>4.2329999999999997</v>
      </c>
      <c r="M210">
        <v>4.3239999999999998</v>
      </c>
      <c r="N210">
        <v>4.375</v>
      </c>
      <c r="O210">
        <v>4.3419999999999996</v>
      </c>
      <c r="P210">
        <v>4.335</v>
      </c>
      <c r="Q210">
        <v>4.32</v>
      </c>
      <c r="R210">
        <v>4.2750000000000004</v>
      </c>
      <c r="S210" s="2">
        <v>45222</v>
      </c>
      <c r="T210">
        <v>3.524</v>
      </c>
      <c r="U210">
        <v>3.669</v>
      </c>
      <c r="V210">
        <v>3.7</v>
      </c>
      <c r="W210">
        <v>3.81</v>
      </c>
      <c r="X210">
        <v>3.8530000000000002</v>
      </c>
      <c r="Y210">
        <v>4.0449999999999999</v>
      </c>
      <c r="Z210">
        <v>4.1340000000000003</v>
      </c>
      <c r="AA210">
        <v>4.2460000000000004</v>
      </c>
      <c r="AB210">
        <v>4.367</v>
      </c>
      <c r="AC210">
        <v>4.5750000000000002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 s="2">
        <v>45222</v>
      </c>
      <c r="AK210">
        <v>3.64</v>
      </c>
      <c r="AL210">
        <v>3.6509999999999998</v>
      </c>
      <c r="AM210">
        <v>3.6680000000000001</v>
      </c>
      <c r="AN210">
        <v>3.7440000000000002</v>
      </c>
      <c r="AO210">
        <v>3.9049999999999998</v>
      </c>
      <c r="AP210">
        <v>3.9649999999999999</v>
      </c>
      <c r="AQ210">
        <v>4.0990000000000002</v>
      </c>
      <c r="AR210">
        <v>4.1429999999999998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</row>
    <row r="211" spans="2:52">
      <c r="B211" s="2">
        <v>45219</v>
      </c>
      <c r="C211">
        <v>3.4260000000000002</v>
      </c>
      <c r="D211">
        <v>3.621</v>
      </c>
      <c r="E211">
        <v>3.556</v>
      </c>
      <c r="F211">
        <v>3.7509999999999999</v>
      </c>
      <c r="G211">
        <v>3.7730000000000001</v>
      </c>
      <c r="H211">
        <v>3.93</v>
      </c>
      <c r="I211">
        <v>3.96</v>
      </c>
      <c r="J211">
        <v>4.0270000000000001</v>
      </c>
      <c r="K211">
        <v>4.149</v>
      </c>
      <c r="L211">
        <v>4.1760000000000002</v>
      </c>
      <c r="M211">
        <v>4.2679999999999998</v>
      </c>
      <c r="N211">
        <v>4.3170000000000002</v>
      </c>
      <c r="O211">
        <v>4.2779999999999996</v>
      </c>
      <c r="P211">
        <v>4.2649999999999997</v>
      </c>
      <c r="Q211">
        <v>4.2469999999999999</v>
      </c>
      <c r="R211">
        <v>4.202</v>
      </c>
      <c r="S211" s="2">
        <v>45219</v>
      </c>
      <c r="T211">
        <v>3.5209999999999999</v>
      </c>
      <c r="U211">
        <v>3.661</v>
      </c>
      <c r="V211">
        <v>3.7029999999999998</v>
      </c>
      <c r="W211">
        <v>3.802</v>
      </c>
      <c r="X211">
        <v>3.8260000000000001</v>
      </c>
      <c r="Y211">
        <v>4.0110000000000001</v>
      </c>
      <c r="Z211">
        <v>4.1050000000000004</v>
      </c>
      <c r="AA211">
        <v>4.2140000000000004</v>
      </c>
      <c r="AB211">
        <v>4.3150000000000004</v>
      </c>
      <c r="AC211">
        <v>4.5190000000000001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 s="2">
        <v>45219</v>
      </c>
      <c r="AK211">
        <v>3.6349999999999998</v>
      </c>
      <c r="AL211">
        <v>3.645</v>
      </c>
      <c r="AM211">
        <v>3.6579999999999999</v>
      </c>
      <c r="AN211">
        <v>3.73</v>
      </c>
      <c r="AO211">
        <v>3.8660000000000001</v>
      </c>
      <c r="AP211">
        <v>3.9260000000000002</v>
      </c>
      <c r="AQ211">
        <v>4.0709999999999997</v>
      </c>
      <c r="AR211">
        <v>4.1109999999999998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</row>
    <row r="212" spans="2:52">
      <c r="B212" s="2">
        <v>45218</v>
      </c>
      <c r="C212">
        <v>3.4279999999999999</v>
      </c>
      <c r="D212">
        <v>3.6230000000000002</v>
      </c>
      <c r="E212">
        <v>3.5609999999999999</v>
      </c>
      <c r="F212">
        <v>3.7610000000000001</v>
      </c>
      <c r="G212">
        <v>3.7930000000000001</v>
      </c>
      <c r="H212">
        <v>3.9660000000000002</v>
      </c>
      <c r="I212">
        <v>3.9950000000000001</v>
      </c>
      <c r="J212">
        <v>4.0650000000000004</v>
      </c>
      <c r="K212">
        <v>4.1840000000000002</v>
      </c>
      <c r="L212">
        <v>4.21</v>
      </c>
      <c r="M212">
        <v>4.3070000000000004</v>
      </c>
      <c r="N212">
        <v>4.3600000000000003</v>
      </c>
      <c r="O212">
        <v>4.3179999999999996</v>
      </c>
      <c r="P212">
        <v>4.3</v>
      </c>
      <c r="Q212">
        <v>4.2770000000000001</v>
      </c>
      <c r="R212">
        <v>4.2320000000000002</v>
      </c>
      <c r="S212" s="2">
        <v>45218</v>
      </c>
      <c r="T212">
        <v>3.5219999999999998</v>
      </c>
      <c r="U212">
        <v>3.6619999999999999</v>
      </c>
      <c r="V212">
        <v>3.7109999999999999</v>
      </c>
      <c r="W212">
        <v>3.8119999999999998</v>
      </c>
      <c r="X212">
        <v>3.8530000000000002</v>
      </c>
      <c r="Y212">
        <v>4.048</v>
      </c>
      <c r="Z212">
        <v>4.1379999999999999</v>
      </c>
      <c r="AA212">
        <v>4.2530000000000001</v>
      </c>
      <c r="AB212">
        <v>4.3499999999999996</v>
      </c>
      <c r="AC212">
        <v>4.5579999999999998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s="2">
        <v>45218</v>
      </c>
      <c r="AK212">
        <v>3.64</v>
      </c>
      <c r="AL212">
        <v>3.65</v>
      </c>
      <c r="AM212">
        <v>3.6659999999999999</v>
      </c>
      <c r="AN212">
        <v>3.7450000000000001</v>
      </c>
      <c r="AO212">
        <v>3.8959999999999999</v>
      </c>
      <c r="AP212">
        <v>3.964</v>
      </c>
      <c r="AQ212">
        <v>4.1040000000000001</v>
      </c>
      <c r="AR212">
        <v>4.1500000000000004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</row>
    <row r="213" spans="2:52">
      <c r="B213" s="2">
        <v>45217</v>
      </c>
      <c r="C213">
        <v>3.4209999999999998</v>
      </c>
      <c r="D213">
        <v>3.6160000000000001</v>
      </c>
      <c r="E213">
        <v>3.5579999999999998</v>
      </c>
      <c r="F213">
        <v>3.7530000000000001</v>
      </c>
      <c r="G213">
        <v>3.7709999999999999</v>
      </c>
      <c r="H213">
        <v>3.9540000000000002</v>
      </c>
      <c r="I213">
        <v>3.9740000000000002</v>
      </c>
      <c r="J213">
        <v>4.0270000000000001</v>
      </c>
      <c r="K213">
        <v>4.13</v>
      </c>
      <c r="L213">
        <v>4.1500000000000004</v>
      </c>
      <c r="M213">
        <v>4.24</v>
      </c>
      <c r="N213">
        <v>4.2850000000000001</v>
      </c>
      <c r="O213">
        <v>4.2450000000000001</v>
      </c>
      <c r="P213">
        <v>4.2300000000000004</v>
      </c>
      <c r="Q213">
        <v>4.21</v>
      </c>
      <c r="R213">
        <v>4.1639999999999997</v>
      </c>
      <c r="S213" s="2">
        <v>45217</v>
      </c>
      <c r="T213">
        <v>3.5190000000000001</v>
      </c>
      <c r="U213">
        <v>3.6560000000000001</v>
      </c>
      <c r="V213">
        <v>3.7080000000000002</v>
      </c>
      <c r="W213">
        <v>3.8</v>
      </c>
      <c r="X213">
        <v>3.8279999999999998</v>
      </c>
      <c r="Y213">
        <v>4.0330000000000004</v>
      </c>
      <c r="Z213">
        <v>4.1150000000000002</v>
      </c>
      <c r="AA213">
        <v>4.2140000000000004</v>
      </c>
      <c r="AB213">
        <v>4.2969999999999997</v>
      </c>
      <c r="AC213">
        <v>4.5010000000000003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s="2">
        <v>45217</v>
      </c>
      <c r="AK213">
        <v>3.629</v>
      </c>
      <c r="AL213">
        <v>3.64</v>
      </c>
      <c r="AM213">
        <v>3.657</v>
      </c>
      <c r="AN213">
        <v>3.7349999999999999</v>
      </c>
      <c r="AO213">
        <v>3.875</v>
      </c>
      <c r="AP213">
        <v>3.9449999999999998</v>
      </c>
      <c r="AQ213">
        <v>4.0629999999999997</v>
      </c>
      <c r="AR213">
        <v>4.1109999999999998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</row>
    <row r="214" spans="2:52">
      <c r="B214" s="2">
        <v>45216</v>
      </c>
      <c r="C214">
        <v>3.41</v>
      </c>
      <c r="D214">
        <v>3.6080000000000001</v>
      </c>
      <c r="E214">
        <v>3.548</v>
      </c>
      <c r="F214">
        <v>3.7410000000000001</v>
      </c>
      <c r="G214">
        <v>3.7610000000000001</v>
      </c>
      <c r="H214">
        <v>3.9329999999999998</v>
      </c>
      <c r="I214">
        <v>3.9470000000000001</v>
      </c>
      <c r="J214">
        <v>3.9940000000000002</v>
      </c>
      <c r="K214">
        <v>4.08</v>
      </c>
      <c r="L214">
        <v>4.0949999999999998</v>
      </c>
      <c r="M214">
        <v>4.181</v>
      </c>
      <c r="N214">
        <v>4.2249999999999996</v>
      </c>
      <c r="O214">
        <v>4.194</v>
      </c>
      <c r="P214">
        <v>4.1849999999999996</v>
      </c>
      <c r="Q214">
        <v>4.1669999999999998</v>
      </c>
      <c r="R214">
        <v>4.1210000000000004</v>
      </c>
      <c r="S214" s="2">
        <v>45216</v>
      </c>
      <c r="T214">
        <v>3.5089999999999999</v>
      </c>
      <c r="U214">
        <v>3.6459999999999999</v>
      </c>
      <c r="V214">
        <v>3.7</v>
      </c>
      <c r="W214">
        <v>3.7879999999999998</v>
      </c>
      <c r="X214">
        <v>3.8109999999999999</v>
      </c>
      <c r="Y214">
        <v>4.0129999999999999</v>
      </c>
      <c r="Z214">
        <v>4.0890000000000004</v>
      </c>
      <c r="AA214">
        <v>4.181</v>
      </c>
      <c r="AB214">
        <v>4.2460000000000004</v>
      </c>
      <c r="AC214">
        <v>4.45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s="2">
        <v>45216</v>
      </c>
      <c r="AK214">
        <v>3.6230000000000002</v>
      </c>
      <c r="AL214">
        <v>3.6349999999999998</v>
      </c>
      <c r="AM214">
        <v>3.6509999999999998</v>
      </c>
      <c r="AN214">
        <v>3.7229999999999999</v>
      </c>
      <c r="AO214">
        <v>3.8450000000000002</v>
      </c>
      <c r="AP214">
        <v>3.9239999999999999</v>
      </c>
      <c r="AQ214">
        <v>4.0359999999999996</v>
      </c>
      <c r="AR214">
        <v>4.0750000000000002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</row>
    <row r="215" spans="2:52">
      <c r="B215" s="2">
        <v>45215</v>
      </c>
      <c r="C215">
        <v>3.4060000000000001</v>
      </c>
      <c r="D215">
        <v>3.633</v>
      </c>
      <c r="E215">
        <v>3.556</v>
      </c>
      <c r="F215">
        <v>3.7330000000000001</v>
      </c>
      <c r="G215">
        <v>3.766</v>
      </c>
      <c r="H215">
        <v>3.9209999999999998</v>
      </c>
      <c r="I215">
        <v>3.9350000000000001</v>
      </c>
      <c r="J215">
        <v>3.9750000000000001</v>
      </c>
      <c r="K215">
        <v>4.0510000000000002</v>
      </c>
      <c r="L215">
        <v>4.0650000000000004</v>
      </c>
      <c r="M215">
        <v>4.1529999999999996</v>
      </c>
      <c r="N215">
        <v>4.1970000000000001</v>
      </c>
      <c r="O215">
        <v>4.1660000000000004</v>
      </c>
      <c r="P215">
        <v>4.16</v>
      </c>
      <c r="Q215">
        <v>4.1440000000000001</v>
      </c>
      <c r="R215">
        <v>4.0979999999999999</v>
      </c>
      <c r="S215" s="2">
        <v>45215</v>
      </c>
      <c r="T215">
        <v>3.5089999999999999</v>
      </c>
      <c r="U215">
        <v>3.661</v>
      </c>
      <c r="V215">
        <v>3.706</v>
      </c>
      <c r="W215">
        <v>3.782</v>
      </c>
      <c r="X215">
        <v>3.8090000000000002</v>
      </c>
      <c r="Y215">
        <v>3.9990000000000001</v>
      </c>
      <c r="Z215">
        <v>4.077</v>
      </c>
      <c r="AA215">
        <v>4.1619999999999999</v>
      </c>
      <c r="AB215">
        <v>4.218</v>
      </c>
      <c r="AC215">
        <v>4.42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 s="2">
        <v>45215</v>
      </c>
      <c r="AK215">
        <v>3.6190000000000002</v>
      </c>
      <c r="AL215">
        <v>3.6280000000000001</v>
      </c>
      <c r="AM215">
        <v>3.64</v>
      </c>
      <c r="AN215">
        <v>3.7160000000000002</v>
      </c>
      <c r="AO215">
        <v>3.835</v>
      </c>
      <c r="AP215">
        <v>3.91</v>
      </c>
      <c r="AQ215">
        <v>4.0220000000000002</v>
      </c>
      <c r="AR215">
        <v>4.056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</row>
    <row r="216" spans="2:52">
      <c r="B216" s="2">
        <v>45212</v>
      </c>
      <c r="C216">
        <v>3.41</v>
      </c>
      <c r="D216">
        <v>3.661</v>
      </c>
      <c r="E216">
        <v>3.5630000000000002</v>
      </c>
      <c r="F216">
        <v>3.738</v>
      </c>
      <c r="G216">
        <v>3.774</v>
      </c>
      <c r="H216">
        <v>3.9039999999999999</v>
      </c>
      <c r="I216">
        <v>3.9119999999999999</v>
      </c>
      <c r="J216">
        <v>3.952</v>
      </c>
      <c r="K216">
        <v>4.0229999999999997</v>
      </c>
      <c r="L216">
        <v>4.0369999999999999</v>
      </c>
      <c r="M216">
        <v>4.125</v>
      </c>
      <c r="N216">
        <v>4.165</v>
      </c>
      <c r="O216">
        <v>4.1289999999999996</v>
      </c>
      <c r="P216">
        <v>4.117</v>
      </c>
      <c r="Q216">
        <v>4.0949999999999998</v>
      </c>
      <c r="R216">
        <v>4.0490000000000004</v>
      </c>
      <c r="S216" s="2">
        <v>45212</v>
      </c>
      <c r="T216">
        <v>3.512</v>
      </c>
      <c r="U216">
        <v>3.681</v>
      </c>
      <c r="V216">
        <v>3.7080000000000002</v>
      </c>
      <c r="W216">
        <v>3.782</v>
      </c>
      <c r="X216">
        <v>3.8069999999999999</v>
      </c>
      <c r="Y216">
        <v>3.9820000000000002</v>
      </c>
      <c r="Z216">
        <v>4.0549999999999997</v>
      </c>
      <c r="AA216">
        <v>4.1390000000000002</v>
      </c>
      <c r="AB216">
        <v>4.1890000000000001</v>
      </c>
      <c r="AC216">
        <v>4.383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s="2">
        <v>45212</v>
      </c>
      <c r="AK216">
        <v>3.62</v>
      </c>
      <c r="AL216">
        <v>3.6280000000000001</v>
      </c>
      <c r="AM216">
        <v>3.64</v>
      </c>
      <c r="AN216">
        <v>3.7160000000000002</v>
      </c>
      <c r="AO216">
        <v>3.82</v>
      </c>
      <c r="AP216">
        <v>3.895</v>
      </c>
      <c r="AQ216">
        <v>4</v>
      </c>
      <c r="AR216">
        <v>4.0339999999999998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</row>
    <row r="217" spans="2:52">
      <c r="B217" s="2">
        <v>45211</v>
      </c>
      <c r="C217">
        <v>3.4159999999999999</v>
      </c>
      <c r="D217">
        <v>3.6779999999999999</v>
      </c>
      <c r="E217">
        <v>3.5779999999999998</v>
      </c>
      <c r="F217">
        <v>3.7210000000000001</v>
      </c>
      <c r="G217">
        <v>3.75</v>
      </c>
      <c r="H217">
        <v>3.8809999999999998</v>
      </c>
      <c r="I217">
        <v>3.8940000000000001</v>
      </c>
      <c r="J217">
        <v>3.927</v>
      </c>
      <c r="K217">
        <v>3.988</v>
      </c>
      <c r="L217">
        <v>3.99</v>
      </c>
      <c r="M217">
        <v>4.0620000000000003</v>
      </c>
      <c r="N217">
        <v>4.0919999999999996</v>
      </c>
      <c r="O217">
        <v>4.056</v>
      </c>
      <c r="P217">
        <v>4.0419999999999998</v>
      </c>
      <c r="Q217">
        <v>4.0199999999999996</v>
      </c>
      <c r="R217">
        <v>3.9950000000000001</v>
      </c>
      <c r="S217" s="2">
        <v>45211</v>
      </c>
      <c r="T217">
        <v>3.516</v>
      </c>
      <c r="U217">
        <v>3.6869999999999998</v>
      </c>
      <c r="V217">
        <v>3.7149999999999999</v>
      </c>
      <c r="W217">
        <v>3.7650000000000001</v>
      </c>
      <c r="X217">
        <v>3.7829999999999999</v>
      </c>
      <c r="Y217">
        <v>3.9590000000000001</v>
      </c>
      <c r="Z217">
        <v>4.0369999999999999</v>
      </c>
      <c r="AA217">
        <v>4.1139999999999999</v>
      </c>
      <c r="AB217">
        <v>4.1539999999999999</v>
      </c>
      <c r="AC217">
        <v>4.33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s="2">
        <v>45211</v>
      </c>
      <c r="AK217">
        <v>3.629</v>
      </c>
      <c r="AL217">
        <v>3.6349999999999998</v>
      </c>
      <c r="AM217">
        <v>3.641</v>
      </c>
      <c r="AN217">
        <v>3.7109999999999999</v>
      </c>
      <c r="AO217">
        <v>3.7949999999999999</v>
      </c>
      <c r="AP217">
        <v>3.879</v>
      </c>
      <c r="AQ217">
        <v>3.9750000000000001</v>
      </c>
      <c r="AR217">
        <v>4.0090000000000003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</row>
    <row r="218" spans="2:52">
      <c r="B218" s="2">
        <v>45210</v>
      </c>
      <c r="C218">
        <v>3.4159999999999999</v>
      </c>
      <c r="D218">
        <v>3.6779999999999999</v>
      </c>
      <c r="E218">
        <v>3.5779999999999998</v>
      </c>
      <c r="F218">
        <v>3.71</v>
      </c>
      <c r="G218">
        <v>3.774</v>
      </c>
      <c r="H218">
        <v>3.9049999999999998</v>
      </c>
      <c r="I218">
        <v>3.92</v>
      </c>
      <c r="J218">
        <v>3.9470000000000001</v>
      </c>
      <c r="K218">
        <v>4.0149999999999997</v>
      </c>
      <c r="L218">
        <v>4.0250000000000004</v>
      </c>
      <c r="M218">
        <v>4.0940000000000003</v>
      </c>
      <c r="N218">
        <v>4.1369999999999996</v>
      </c>
      <c r="O218">
        <v>4.1079999999999997</v>
      </c>
      <c r="P218">
        <v>4.0999999999999996</v>
      </c>
      <c r="Q218">
        <v>4.085</v>
      </c>
      <c r="R218">
        <v>4.0599999999999996</v>
      </c>
      <c r="S218" s="2">
        <v>45210</v>
      </c>
      <c r="T218">
        <v>3.516</v>
      </c>
      <c r="U218">
        <v>3.6869999999999998</v>
      </c>
      <c r="V218">
        <v>3.7109999999999999</v>
      </c>
      <c r="W218">
        <v>3.7549999999999999</v>
      </c>
      <c r="X218">
        <v>3.802</v>
      </c>
      <c r="Y218">
        <v>3.9830000000000001</v>
      </c>
      <c r="Z218">
        <v>4.0599999999999996</v>
      </c>
      <c r="AA218">
        <v>4.1340000000000003</v>
      </c>
      <c r="AB218">
        <v>4.181</v>
      </c>
      <c r="AC218">
        <v>4.3559999999999999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s="2">
        <v>45210</v>
      </c>
      <c r="AK218">
        <v>3.6309999999999998</v>
      </c>
      <c r="AL218">
        <v>3.633</v>
      </c>
      <c r="AM218">
        <v>3.6379999999999999</v>
      </c>
      <c r="AN218">
        <v>3.72</v>
      </c>
      <c r="AO218">
        <v>3.81</v>
      </c>
      <c r="AP218">
        <v>3.9009999999999998</v>
      </c>
      <c r="AQ218">
        <v>3.99</v>
      </c>
      <c r="AR218">
        <v>4.03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</row>
    <row r="219" spans="2:52">
      <c r="B219" s="2">
        <v>45209</v>
      </c>
      <c r="C219">
        <v>3.43</v>
      </c>
      <c r="D219">
        <v>3.6880000000000002</v>
      </c>
      <c r="E219">
        <v>3.61</v>
      </c>
      <c r="F219">
        <v>3.73</v>
      </c>
      <c r="G219">
        <v>3.8079999999999998</v>
      </c>
      <c r="H219">
        <v>3.9489999999999998</v>
      </c>
      <c r="I219">
        <v>3.9830000000000001</v>
      </c>
      <c r="J219">
        <v>4</v>
      </c>
      <c r="K219">
        <v>4.0759999999999996</v>
      </c>
      <c r="L219">
        <v>4.0890000000000004</v>
      </c>
      <c r="M219">
        <v>4.1779999999999999</v>
      </c>
      <c r="N219">
        <v>4.2249999999999996</v>
      </c>
      <c r="O219">
        <v>4.1849999999999996</v>
      </c>
      <c r="P219">
        <v>4.165</v>
      </c>
      <c r="Q219">
        <v>4.133</v>
      </c>
      <c r="R219">
        <v>4.1079999999999997</v>
      </c>
      <c r="S219" s="2">
        <v>45209</v>
      </c>
      <c r="T219">
        <v>3.5289999999999999</v>
      </c>
      <c r="U219">
        <v>3.702</v>
      </c>
      <c r="V219">
        <v>3.7309999999999999</v>
      </c>
      <c r="W219">
        <v>3.778</v>
      </c>
      <c r="X219">
        <v>3.8359999999999999</v>
      </c>
      <c r="Y219">
        <v>4.03</v>
      </c>
      <c r="Z219">
        <v>4.1230000000000002</v>
      </c>
      <c r="AA219">
        <v>4.1879999999999997</v>
      </c>
      <c r="AB219">
        <v>4.242</v>
      </c>
      <c r="AC219">
        <v>4.4329999999999998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s="2">
        <v>45209</v>
      </c>
      <c r="AK219">
        <v>3.6429999999999998</v>
      </c>
      <c r="AL219">
        <v>3.645</v>
      </c>
      <c r="AM219">
        <v>3.653</v>
      </c>
      <c r="AN219">
        <v>3.7509999999999999</v>
      </c>
      <c r="AO219">
        <v>3.8530000000000002</v>
      </c>
      <c r="AP219">
        <v>3.9550000000000001</v>
      </c>
      <c r="AQ219">
        <v>4.0490000000000004</v>
      </c>
      <c r="AR219">
        <v>4.085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</row>
    <row r="220" spans="2:52">
      <c r="B220" s="2">
        <v>45205</v>
      </c>
      <c r="C220">
        <v>3.4350000000000001</v>
      </c>
      <c r="D220">
        <v>3.6930000000000001</v>
      </c>
      <c r="E220">
        <v>3.625</v>
      </c>
      <c r="F220">
        <v>3.74</v>
      </c>
      <c r="G220">
        <v>3.82</v>
      </c>
      <c r="H220">
        <v>3.9670000000000001</v>
      </c>
      <c r="I220">
        <v>3.9940000000000002</v>
      </c>
      <c r="J220">
        <v>4.01</v>
      </c>
      <c r="K220">
        <v>4.0890000000000004</v>
      </c>
      <c r="L220">
        <v>4.0999999999999996</v>
      </c>
      <c r="M220">
        <v>4.194</v>
      </c>
      <c r="N220">
        <v>4.2439999999999998</v>
      </c>
      <c r="O220">
        <v>4.1989999999999998</v>
      </c>
      <c r="P220">
        <v>4.1740000000000004</v>
      </c>
      <c r="Q220">
        <v>4.1360000000000001</v>
      </c>
      <c r="R220">
        <v>4.1109999999999998</v>
      </c>
      <c r="S220" s="2">
        <v>45205</v>
      </c>
      <c r="T220">
        <v>3.5369999999999999</v>
      </c>
      <c r="U220">
        <v>3.71</v>
      </c>
      <c r="V220">
        <v>3.7450000000000001</v>
      </c>
      <c r="W220">
        <v>3.79</v>
      </c>
      <c r="X220">
        <v>3.8519999999999999</v>
      </c>
      <c r="Y220">
        <v>4.048</v>
      </c>
      <c r="Z220">
        <v>4.1369999999999996</v>
      </c>
      <c r="AA220">
        <v>4.1989999999999998</v>
      </c>
      <c r="AB220">
        <v>4.2549999999999999</v>
      </c>
      <c r="AC220">
        <v>4.423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 s="2">
        <v>45205</v>
      </c>
      <c r="AK220">
        <v>3.645</v>
      </c>
      <c r="AL220">
        <v>3.653</v>
      </c>
      <c r="AM220">
        <v>3.66</v>
      </c>
      <c r="AN220">
        <v>3.76</v>
      </c>
      <c r="AO220">
        <v>3.8780000000000001</v>
      </c>
      <c r="AP220">
        <v>3.9750000000000001</v>
      </c>
      <c r="AQ220">
        <v>4.0650000000000004</v>
      </c>
      <c r="AR220">
        <v>4.0949999999999998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</row>
    <row r="221" spans="2:52">
      <c r="B221" s="2">
        <v>45204</v>
      </c>
      <c r="C221">
        <v>3.4430000000000001</v>
      </c>
      <c r="D221">
        <v>3.7010000000000001</v>
      </c>
      <c r="E221">
        <v>3.633</v>
      </c>
      <c r="F221">
        <v>3.746</v>
      </c>
      <c r="G221">
        <v>3.8780000000000001</v>
      </c>
      <c r="H221">
        <v>4.0389999999999997</v>
      </c>
      <c r="I221">
        <v>4.0759999999999996</v>
      </c>
      <c r="J221">
        <v>4.085</v>
      </c>
      <c r="K221">
        <v>4.17</v>
      </c>
      <c r="L221">
        <v>4.1879999999999997</v>
      </c>
      <c r="M221">
        <v>4.2839999999999998</v>
      </c>
      <c r="N221">
        <v>4.335</v>
      </c>
      <c r="O221">
        <v>4.2809999999999997</v>
      </c>
      <c r="P221">
        <v>4.2480000000000002</v>
      </c>
      <c r="Q221">
        <v>4.22</v>
      </c>
      <c r="R221">
        <v>4.1950000000000003</v>
      </c>
      <c r="S221" s="2">
        <v>45204</v>
      </c>
      <c r="T221">
        <v>3.5489999999999999</v>
      </c>
      <c r="U221">
        <v>3.718</v>
      </c>
      <c r="V221">
        <v>3.75</v>
      </c>
      <c r="W221">
        <v>3.7970000000000002</v>
      </c>
      <c r="X221">
        <v>3.915</v>
      </c>
      <c r="Y221">
        <v>4.12</v>
      </c>
      <c r="Z221">
        <v>4.2160000000000002</v>
      </c>
      <c r="AA221">
        <v>4.274</v>
      </c>
      <c r="AB221">
        <v>4.3360000000000003</v>
      </c>
      <c r="AC221">
        <v>4.5060000000000002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 s="2">
        <v>45204</v>
      </c>
      <c r="AK221">
        <v>3.6560000000000001</v>
      </c>
      <c r="AL221">
        <v>3.67</v>
      </c>
      <c r="AM221">
        <v>3.6760000000000002</v>
      </c>
      <c r="AN221">
        <v>3.786</v>
      </c>
      <c r="AO221">
        <v>3.9460000000000002</v>
      </c>
      <c r="AP221">
        <v>4.048</v>
      </c>
      <c r="AQ221">
        <v>4.141</v>
      </c>
      <c r="AR221">
        <v>4.17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</row>
    <row r="222" spans="2:52">
      <c r="B222" s="2">
        <v>45203</v>
      </c>
      <c r="C222">
        <v>3.4609999999999999</v>
      </c>
      <c r="D222">
        <v>3.7229999999999999</v>
      </c>
      <c r="E222">
        <v>3.6480000000000001</v>
      </c>
      <c r="F222">
        <v>3.766</v>
      </c>
      <c r="G222">
        <v>3.9380000000000002</v>
      </c>
      <c r="H222">
        <v>4.0940000000000003</v>
      </c>
      <c r="I222">
        <v>4.1349999999999998</v>
      </c>
      <c r="J222">
        <v>4.1399999999999997</v>
      </c>
      <c r="K222">
        <v>4.2149999999999999</v>
      </c>
      <c r="L222">
        <v>4.2329999999999997</v>
      </c>
      <c r="M222">
        <v>4.3319999999999999</v>
      </c>
      <c r="N222">
        <v>4.3849999999999998</v>
      </c>
      <c r="O222">
        <v>4.3209999999999997</v>
      </c>
      <c r="P222">
        <v>4.2750000000000004</v>
      </c>
      <c r="Q222">
        <v>4.2489999999999997</v>
      </c>
      <c r="R222">
        <v>4.2240000000000002</v>
      </c>
      <c r="S222" s="2">
        <v>45203</v>
      </c>
      <c r="T222">
        <v>3.5670000000000002</v>
      </c>
      <c r="U222">
        <v>3.74</v>
      </c>
      <c r="V222">
        <v>3.7650000000000001</v>
      </c>
      <c r="W222">
        <v>3.8170000000000002</v>
      </c>
      <c r="X222">
        <v>3.9740000000000002</v>
      </c>
      <c r="Y222">
        <v>4.173</v>
      </c>
      <c r="Z222">
        <v>4.2720000000000002</v>
      </c>
      <c r="AA222">
        <v>4.3280000000000003</v>
      </c>
      <c r="AB222">
        <v>4.3810000000000002</v>
      </c>
      <c r="AC222">
        <v>4.5659999999999998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 s="2">
        <v>45203</v>
      </c>
      <c r="AK222">
        <v>3.67</v>
      </c>
      <c r="AL222">
        <v>3.69</v>
      </c>
      <c r="AM222">
        <v>3.7</v>
      </c>
      <c r="AN222">
        <v>3.8079999999999998</v>
      </c>
      <c r="AO222">
        <v>4.0049999999999999</v>
      </c>
      <c r="AP222">
        <v>4.0999999999999996</v>
      </c>
      <c r="AQ222">
        <v>4.1970000000000001</v>
      </c>
      <c r="AR222">
        <v>4.2249999999999996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</row>
    <row r="223" spans="2:52">
      <c r="B223" s="2">
        <v>45196</v>
      </c>
      <c r="C223">
        <v>3.4180000000000001</v>
      </c>
      <c r="D223">
        <v>3.6749999999999998</v>
      </c>
      <c r="E223">
        <v>3.5649999999999999</v>
      </c>
      <c r="F223">
        <v>3.6829999999999998</v>
      </c>
      <c r="G223">
        <v>3.798</v>
      </c>
      <c r="H223">
        <v>3.859</v>
      </c>
      <c r="I223">
        <v>3.88</v>
      </c>
      <c r="J223">
        <v>3.875</v>
      </c>
      <c r="K223">
        <v>3.9260000000000002</v>
      </c>
      <c r="L223">
        <v>3.9249999999999998</v>
      </c>
      <c r="M223">
        <v>3.9950000000000001</v>
      </c>
      <c r="N223">
        <v>4.0119999999999996</v>
      </c>
      <c r="O223">
        <v>3.964</v>
      </c>
      <c r="P223">
        <v>3.931</v>
      </c>
      <c r="Q223">
        <v>3.8820000000000001</v>
      </c>
      <c r="R223">
        <v>3.8570000000000002</v>
      </c>
      <c r="S223" s="2">
        <v>45196</v>
      </c>
      <c r="T223">
        <v>3.5209999999999999</v>
      </c>
      <c r="U223">
        <v>3.6829999999999998</v>
      </c>
      <c r="V223">
        <v>3.6890000000000001</v>
      </c>
      <c r="W223">
        <v>3.7330000000000001</v>
      </c>
      <c r="X223">
        <v>3.8340000000000001</v>
      </c>
      <c r="Y223">
        <v>3.9409999999999998</v>
      </c>
      <c r="Z223">
        <v>4.0149999999999997</v>
      </c>
      <c r="AA223">
        <v>4.0629999999999997</v>
      </c>
      <c r="AB223">
        <v>4.0919999999999996</v>
      </c>
      <c r="AC223">
        <v>4.26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 s="2">
        <v>45196</v>
      </c>
      <c r="AK223">
        <v>3.625</v>
      </c>
      <c r="AL223">
        <v>3.6379999999999999</v>
      </c>
      <c r="AM223">
        <v>3.645</v>
      </c>
      <c r="AN223">
        <v>3.6749999999999998</v>
      </c>
      <c r="AO223">
        <v>3.8079999999999998</v>
      </c>
      <c r="AP223">
        <v>3.87</v>
      </c>
      <c r="AQ223">
        <v>3.94</v>
      </c>
      <c r="AR223">
        <v>3.96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</row>
    <row r="224" spans="2:52">
      <c r="B224" s="2">
        <v>45195</v>
      </c>
      <c r="C224">
        <v>3.4209999999999998</v>
      </c>
      <c r="D224">
        <v>3.681</v>
      </c>
      <c r="E224">
        <v>3.58</v>
      </c>
      <c r="F224">
        <v>3.6659999999999999</v>
      </c>
      <c r="G224">
        <v>3.8180000000000001</v>
      </c>
      <c r="H224">
        <v>3.879</v>
      </c>
      <c r="I224">
        <v>3.895</v>
      </c>
      <c r="J224">
        <v>3.8969999999999998</v>
      </c>
      <c r="K224">
        <v>3.9550000000000001</v>
      </c>
      <c r="L224">
        <v>3.9550000000000001</v>
      </c>
      <c r="M224">
        <v>4.0330000000000004</v>
      </c>
      <c r="N224">
        <v>4.0549999999999997</v>
      </c>
      <c r="O224">
        <v>4.0049999999999999</v>
      </c>
      <c r="P224">
        <v>3.9630000000000001</v>
      </c>
      <c r="Q224">
        <v>3.915</v>
      </c>
      <c r="R224">
        <v>3.89</v>
      </c>
      <c r="S224" s="2">
        <v>45195</v>
      </c>
      <c r="T224">
        <v>3.524</v>
      </c>
      <c r="U224">
        <v>3.6920000000000002</v>
      </c>
      <c r="V224">
        <v>3.702</v>
      </c>
      <c r="W224">
        <v>3.7229999999999999</v>
      </c>
      <c r="X224">
        <v>3.85</v>
      </c>
      <c r="Y224">
        <v>3.9609999999999999</v>
      </c>
      <c r="Z224">
        <v>4.0330000000000004</v>
      </c>
      <c r="AA224">
        <v>4.0860000000000003</v>
      </c>
      <c r="AB224">
        <v>4.1219999999999999</v>
      </c>
      <c r="AC224">
        <v>4.2679999999999998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 s="2">
        <v>45195</v>
      </c>
      <c r="AK224">
        <v>3.6280000000000001</v>
      </c>
      <c r="AL224">
        <v>3.645</v>
      </c>
      <c r="AM224">
        <v>3.65</v>
      </c>
      <c r="AN224">
        <v>3.681</v>
      </c>
      <c r="AO224">
        <v>3.8260000000000001</v>
      </c>
      <c r="AP224">
        <v>3.895</v>
      </c>
      <c r="AQ224">
        <v>3.9609999999999999</v>
      </c>
      <c r="AR224">
        <v>3.984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</row>
    <row r="225" spans="2:52">
      <c r="B225" s="2">
        <v>45194</v>
      </c>
      <c r="C225">
        <v>3.4279999999999999</v>
      </c>
      <c r="D225">
        <v>3.6680000000000001</v>
      </c>
      <c r="E225">
        <v>3.5779999999999998</v>
      </c>
      <c r="F225">
        <v>3.6560000000000001</v>
      </c>
      <c r="G225">
        <v>3.8149999999999999</v>
      </c>
      <c r="H225">
        <v>3.8679999999999999</v>
      </c>
      <c r="I225">
        <v>3.883</v>
      </c>
      <c r="J225">
        <v>3.8809999999999998</v>
      </c>
      <c r="K225">
        <v>3.9380000000000002</v>
      </c>
      <c r="L225">
        <v>3.93</v>
      </c>
      <c r="M225">
        <v>4.0019999999999998</v>
      </c>
      <c r="N225">
        <v>4.0149999999999997</v>
      </c>
      <c r="O225">
        <v>3.9620000000000002</v>
      </c>
      <c r="P225">
        <v>3.9159999999999999</v>
      </c>
      <c r="Q225">
        <v>3.87</v>
      </c>
      <c r="R225">
        <v>3.8450000000000002</v>
      </c>
      <c r="S225" s="2">
        <v>45194</v>
      </c>
      <c r="T225">
        <v>3.5310000000000001</v>
      </c>
      <c r="U225">
        <v>3.6819999999999999</v>
      </c>
      <c r="V225">
        <v>3.6989999999999998</v>
      </c>
      <c r="W225">
        <v>3.7170000000000001</v>
      </c>
      <c r="X225">
        <v>3.847</v>
      </c>
      <c r="Y225">
        <v>3.95</v>
      </c>
      <c r="Z225">
        <v>4.0220000000000002</v>
      </c>
      <c r="AA225">
        <v>4.07</v>
      </c>
      <c r="AB225">
        <v>4.1040000000000001</v>
      </c>
      <c r="AC225">
        <v>4.2430000000000003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 s="2">
        <v>45194</v>
      </c>
      <c r="AK225">
        <v>3.6280000000000001</v>
      </c>
      <c r="AL225">
        <v>3.645</v>
      </c>
      <c r="AM225">
        <v>3.65</v>
      </c>
      <c r="AN225">
        <v>3.6779999999999999</v>
      </c>
      <c r="AO225">
        <v>3.82</v>
      </c>
      <c r="AP225">
        <v>3.8849999999999998</v>
      </c>
      <c r="AQ225">
        <v>3.95</v>
      </c>
      <c r="AR225">
        <v>3.9670000000000001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</row>
    <row r="226" spans="2:52">
      <c r="B226" s="2">
        <v>45191</v>
      </c>
      <c r="C226">
        <v>3.4279999999999999</v>
      </c>
      <c r="D226">
        <v>3.6659999999999999</v>
      </c>
      <c r="E226">
        <v>3.5750000000000002</v>
      </c>
      <c r="F226">
        <v>3.6459999999999999</v>
      </c>
      <c r="G226">
        <v>3.8149999999999999</v>
      </c>
      <c r="H226">
        <v>3.86</v>
      </c>
      <c r="I226">
        <v>3.875</v>
      </c>
      <c r="J226">
        <v>3.8660000000000001</v>
      </c>
      <c r="K226">
        <v>3.9279999999999999</v>
      </c>
      <c r="L226">
        <v>3.9119999999999999</v>
      </c>
      <c r="M226">
        <v>3.9849999999999999</v>
      </c>
      <c r="N226">
        <v>3.9950000000000001</v>
      </c>
      <c r="O226">
        <v>3.9340000000000002</v>
      </c>
      <c r="P226">
        <v>3.88</v>
      </c>
      <c r="Q226">
        <v>3.83</v>
      </c>
      <c r="R226">
        <v>3.8050000000000002</v>
      </c>
      <c r="S226" s="2">
        <v>45191</v>
      </c>
      <c r="T226">
        <v>3.5310000000000001</v>
      </c>
      <c r="U226">
        <v>3.677</v>
      </c>
      <c r="V226">
        <v>3.6949999999999998</v>
      </c>
      <c r="W226">
        <v>3.71</v>
      </c>
      <c r="X226">
        <v>3.8450000000000002</v>
      </c>
      <c r="Y226">
        <v>3.9449999999999998</v>
      </c>
      <c r="Z226">
        <v>4.0170000000000003</v>
      </c>
      <c r="AA226">
        <v>4.0549999999999997</v>
      </c>
      <c r="AB226">
        <v>4.0960000000000001</v>
      </c>
      <c r="AC226">
        <v>4.2249999999999996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 s="2">
        <v>45191</v>
      </c>
      <c r="AK226">
        <v>3.6280000000000001</v>
      </c>
      <c r="AL226">
        <v>3.645</v>
      </c>
      <c r="AM226">
        <v>3.653</v>
      </c>
      <c r="AN226">
        <v>3.6779999999999999</v>
      </c>
      <c r="AO226">
        <v>3.82</v>
      </c>
      <c r="AP226">
        <v>3.883</v>
      </c>
      <c r="AQ226">
        <v>3.9449999999999998</v>
      </c>
      <c r="AR226">
        <v>3.95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</row>
    <row r="227" spans="2:52">
      <c r="B227" s="2">
        <v>45190</v>
      </c>
      <c r="C227">
        <v>3.4350000000000001</v>
      </c>
      <c r="D227">
        <v>3.69</v>
      </c>
      <c r="E227">
        <v>3.5979999999999999</v>
      </c>
      <c r="F227">
        <v>3.68</v>
      </c>
      <c r="G227">
        <v>3.8780000000000001</v>
      </c>
      <c r="H227">
        <v>3.9249999999999998</v>
      </c>
      <c r="I227">
        <v>3.9350000000000001</v>
      </c>
      <c r="J227">
        <v>3.9249999999999998</v>
      </c>
      <c r="K227">
        <v>3.9849999999999999</v>
      </c>
      <c r="L227">
        <v>3.96</v>
      </c>
      <c r="M227">
        <v>4.0270000000000001</v>
      </c>
      <c r="N227">
        <v>4.03</v>
      </c>
      <c r="O227">
        <v>3.9620000000000002</v>
      </c>
      <c r="P227">
        <v>3.9</v>
      </c>
      <c r="Q227">
        <v>3.8490000000000002</v>
      </c>
      <c r="R227">
        <v>3.8239999999999998</v>
      </c>
      <c r="S227" s="2">
        <v>45190</v>
      </c>
      <c r="T227">
        <v>3.5409999999999999</v>
      </c>
      <c r="U227">
        <v>3.6920000000000002</v>
      </c>
      <c r="V227">
        <v>3.7120000000000002</v>
      </c>
      <c r="W227">
        <v>3.738</v>
      </c>
      <c r="X227">
        <v>3.899</v>
      </c>
      <c r="Y227">
        <v>4.0049999999999999</v>
      </c>
      <c r="Z227">
        <v>4.0739999999999998</v>
      </c>
      <c r="AA227">
        <v>4.1139999999999999</v>
      </c>
      <c r="AB227">
        <v>4.1520000000000001</v>
      </c>
      <c r="AC227">
        <v>4.2850000000000001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 s="2">
        <v>45190</v>
      </c>
      <c r="AK227">
        <v>3.6360000000000001</v>
      </c>
      <c r="AL227">
        <v>3.653</v>
      </c>
      <c r="AM227">
        <v>3.665</v>
      </c>
      <c r="AN227">
        <v>3.6859999999999999</v>
      </c>
      <c r="AO227">
        <v>3.8580000000000001</v>
      </c>
      <c r="AP227">
        <v>3.9350000000000001</v>
      </c>
      <c r="AQ227">
        <v>3.9990000000000001</v>
      </c>
      <c r="AR227">
        <v>4.008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</row>
    <row r="228" spans="2:52">
      <c r="B228" s="2">
        <v>45189</v>
      </c>
      <c r="C228">
        <v>3.4209999999999998</v>
      </c>
      <c r="D228">
        <v>3.6749999999999998</v>
      </c>
      <c r="E228">
        <v>3.58</v>
      </c>
      <c r="F228">
        <v>3.6549999999999998</v>
      </c>
      <c r="G228">
        <v>3.855</v>
      </c>
      <c r="H228">
        <v>3.8929999999999998</v>
      </c>
      <c r="I228">
        <v>3.9</v>
      </c>
      <c r="J228">
        <v>3.88</v>
      </c>
      <c r="K228">
        <v>3.93</v>
      </c>
      <c r="L228">
        <v>3.9039999999999999</v>
      </c>
      <c r="M228">
        <v>3.9609999999999999</v>
      </c>
      <c r="N228">
        <v>3.952</v>
      </c>
      <c r="O228">
        <v>3.899</v>
      </c>
      <c r="P228">
        <v>3.85</v>
      </c>
      <c r="Q228">
        <v>3.8050000000000002</v>
      </c>
      <c r="R228">
        <v>3.78</v>
      </c>
      <c r="S228" s="2">
        <v>45189</v>
      </c>
      <c r="T228">
        <v>3.5270000000000001</v>
      </c>
      <c r="U228">
        <v>3.677</v>
      </c>
      <c r="V228">
        <v>3.694</v>
      </c>
      <c r="W228">
        <v>3.7170000000000001</v>
      </c>
      <c r="X228">
        <v>3.875</v>
      </c>
      <c r="Y228">
        <v>3.972</v>
      </c>
      <c r="Z228">
        <v>4.0369999999999999</v>
      </c>
      <c r="AA228">
        <v>4.0670000000000002</v>
      </c>
      <c r="AB228">
        <v>4.0970000000000004</v>
      </c>
      <c r="AC228">
        <v>4.2039999999999997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s="2">
        <v>45189</v>
      </c>
      <c r="AK228">
        <v>3.621</v>
      </c>
      <c r="AL228">
        <v>3.6379999999999999</v>
      </c>
      <c r="AM228">
        <v>3.6459999999999999</v>
      </c>
      <c r="AN228">
        <v>3.6659999999999999</v>
      </c>
      <c r="AO228">
        <v>3.8380000000000001</v>
      </c>
      <c r="AP228">
        <v>3.9</v>
      </c>
      <c r="AQ228">
        <v>3.96</v>
      </c>
      <c r="AR228">
        <v>3.96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</row>
    <row r="229" spans="2:52">
      <c r="B229" s="2">
        <v>45188</v>
      </c>
      <c r="C229">
        <v>3.4209999999999998</v>
      </c>
      <c r="D229">
        <v>3.6749999999999998</v>
      </c>
      <c r="E229">
        <v>3.58</v>
      </c>
      <c r="F229">
        <v>3.65</v>
      </c>
      <c r="G229">
        <v>3.8610000000000002</v>
      </c>
      <c r="H229">
        <v>3.899</v>
      </c>
      <c r="I229">
        <v>3.9049999999999998</v>
      </c>
      <c r="J229">
        <v>3.8849999999999998</v>
      </c>
      <c r="K229">
        <v>3.9350000000000001</v>
      </c>
      <c r="L229">
        <v>3.91</v>
      </c>
      <c r="M229">
        <v>3.964</v>
      </c>
      <c r="N229">
        <v>3.952</v>
      </c>
      <c r="O229">
        <v>3.899</v>
      </c>
      <c r="P229">
        <v>3.85</v>
      </c>
      <c r="Q229">
        <v>3.8149999999999999</v>
      </c>
      <c r="R229">
        <v>3.79</v>
      </c>
      <c r="S229" s="2">
        <v>45188</v>
      </c>
      <c r="T229">
        <v>3.5270000000000001</v>
      </c>
      <c r="U229">
        <v>3.6749999999999998</v>
      </c>
      <c r="V229">
        <v>3.694</v>
      </c>
      <c r="W229">
        <v>3.7149999999999999</v>
      </c>
      <c r="X229">
        <v>3.8839999999999999</v>
      </c>
      <c r="Y229">
        <v>3.9780000000000002</v>
      </c>
      <c r="Z229">
        <v>4.0419999999999998</v>
      </c>
      <c r="AA229">
        <v>4.0720000000000001</v>
      </c>
      <c r="AB229">
        <v>4.1020000000000003</v>
      </c>
      <c r="AC229">
        <v>4.21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 s="2">
        <v>45188</v>
      </c>
      <c r="AK229">
        <v>3.621</v>
      </c>
      <c r="AL229">
        <v>3.6379999999999999</v>
      </c>
      <c r="AM229">
        <v>3.6459999999999999</v>
      </c>
      <c r="AN229">
        <v>3.6659999999999999</v>
      </c>
      <c r="AO229">
        <v>3.8450000000000002</v>
      </c>
      <c r="AP229">
        <v>3.9049999999999998</v>
      </c>
      <c r="AQ229">
        <v>3.9279999999999999</v>
      </c>
      <c r="AR229">
        <v>3.9649999999999999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</row>
    <row r="230" spans="2:52">
      <c r="B230" s="2">
        <v>45187</v>
      </c>
      <c r="C230">
        <v>3.423</v>
      </c>
      <c r="D230">
        <v>3.681</v>
      </c>
      <c r="E230">
        <v>3.58</v>
      </c>
      <c r="F230">
        <v>3.6459999999999999</v>
      </c>
      <c r="G230">
        <v>3.8769999999999998</v>
      </c>
      <c r="H230">
        <v>3.9079999999999999</v>
      </c>
      <c r="I230">
        <v>3.9129999999999998</v>
      </c>
      <c r="J230">
        <v>3.8940000000000001</v>
      </c>
      <c r="K230">
        <v>3.948</v>
      </c>
      <c r="L230">
        <v>3.93</v>
      </c>
      <c r="M230">
        <v>3.9849999999999999</v>
      </c>
      <c r="N230">
        <v>3.9750000000000001</v>
      </c>
      <c r="O230">
        <v>3.9140000000000001</v>
      </c>
      <c r="P230">
        <v>3.855</v>
      </c>
      <c r="Q230">
        <v>3.8149999999999999</v>
      </c>
      <c r="R230">
        <v>3.79</v>
      </c>
      <c r="S230" s="2">
        <v>45187</v>
      </c>
      <c r="T230">
        <v>3.5289999999999999</v>
      </c>
      <c r="U230">
        <v>3.677</v>
      </c>
      <c r="V230">
        <v>3.6890000000000001</v>
      </c>
      <c r="W230">
        <v>3.7120000000000002</v>
      </c>
      <c r="X230">
        <v>3.899</v>
      </c>
      <c r="Y230">
        <v>3.9870000000000001</v>
      </c>
      <c r="Z230">
        <v>4.0510000000000002</v>
      </c>
      <c r="AA230">
        <v>4.0810000000000004</v>
      </c>
      <c r="AB230">
        <v>4.1139999999999999</v>
      </c>
      <c r="AC230">
        <v>4.22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 s="2">
        <v>45187</v>
      </c>
      <c r="AK230">
        <v>3.6230000000000002</v>
      </c>
      <c r="AL230">
        <v>3.6360000000000001</v>
      </c>
      <c r="AM230">
        <v>3.6480000000000001</v>
      </c>
      <c r="AN230">
        <v>3.67</v>
      </c>
      <c r="AO230">
        <v>3.86</v>
      </c>
      <c r="AP230">
        <v>3.9140000000000001</v>
      </c>
      <c r="AQ230">
        <v>3.9329999999999998</v>
      </c>
      <c r="AR230">
        <v>3.9550000000000001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</row>
    <row r="231" spans="2:52">
      <c r="B231" s="2">
        <v>45184</v>
      </c>
      <c r="C231">
        <v>3.41</v>
      </c>
      <c r="D231">
        <v>3.6680000000000001</v>
      </c>
      <c r="E231">
        <v>3.5859999999999999</v>
      </c>
      <c r="F231">
        <v>3.645</v>
      </c>
      <c r="G231">
        <v>3.851</v>
      </c>
      <c r="H231">
        <v>3.8650000000000002</v>
      </c>
      <c r="I231">
        <v>3.8719999999999999</v>
      </c>
      <c r="J231">
        <v>3.847</v>
      </c>
      <c r="K231">
        <v>3.8980000000000001</v>
      </c>
      <c r="L231">
        <v>3.879</v>
      </c>
      <c r="M231">
        <v>3.9369999999999998</v>
      </c>
      <c r="N231">
        <v>3.927</v>
      </c>
      <c r="O231">
        <v>3.87</v>
      </c>
      <c r="P231">
        <v>3.8149999999999999</v>
      </c>
      <c r="Q231">
        <v>3.7749999999999999</v>
      </c>
      <c r="R231">
        <v>3.75</v>
      </c>
      <c r="S231" s="2">
        <v>45184</v>
      </c>
      <c r="T231">
        <v>3.512</v>
      </c>
      <c r="U231">
        <v>3.66</v>
      </c>
      <c r="V231">
        <v>3.677</v>
      </c>
      <c r="W231">
        <v>3.7040000000000002</v>
      </c>
      <c r="X231">
        <v>3.8690000000000002</v>
      </c>
      <c r="Y231">
        <v>3.9449999999999998</v>
      </c>
      <c r="Z231">
        <v>4.01</v>
      </c>
      <c r="AA231">
        <v>4.0369999999999999</v>
      </c>
      <c r="AB231">
        <v>4.0640000000000001</v>
      </c>
      <c r="AC231">
        <v>4.1550000000000002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s="2">
        <v>45184</v>
      </c>
      <c r="AK231">
        <v>3.613</v>
      </c>
      <c r="AL231">
        <v>3.621</v>
      </c>
      <c r="AM231">
        <v>3.6309999999999998</v>
      </c>
      <c r="AN231">
        <v>3.65</v>
      </c>
      <c r="AO231">
        <v>3.83</v>
      </c>
      <c r="AP231">
        <v>3.875</v>
      </c>
      <c r="AQ231">
        <v>3.891</v>
      </c>
      <c r="AR231">
        <v>3.9119999999999999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</row>
    <row r="232" spans="2:52">
      <c r="B232" s="2">
        <v>45183</v>
      </c>
      <c r="C232">
        <v>3.41</v>
      </c>
      <c r="D232">
        <v>3.65</v>
      </c>
      <c r="E232">
        <v>3.5830000000000002</v>
      </c>
      <c r="F232">
        <v>3.64</v>
      </c>
      <c r="G232">
        <v>3.85</v>
      </c>
      <c r="H232">
        <v>3.855</v>
      </c>
      <c r="I232">
        <v>3.8620000000000001</v>
      </c>
      <c r="J232">
        <v>3.835</v>
      </c>
      <c r="K232">
        <v>3.883</v>
      </c>
      <c r="L232">
        <v>3.859</v>
      </c>
      <c r="M232">
        <v>3.9249999999999998</v>
      </c>
      <c r="N232">
        <v>3.9169999999999998</v>
      </c>
      <c r="O232">
        <v>3.8559999999999999</v>
      </c>
      <c r="P232">
        <v>3.794</v>
      </c>
      <c r="Q232">
        <v>3.7469999999999999</v>
      </c>
      <c r="R232">
        <v>3.722</v>
      </c>
      <c r="S232" s="2">
        <v>45183</v>
      </c>
      <c r="T232">
        <v>3.5070000000000001</v>
      </c>
      <c r="U232">
        <v>3.6459999999999999</v>
      </c>
      <c r="V232">
        <v>3.6739999999999999</v>
      </c>
      <c r="W232">
        <v>3.698</v>
      </c>
      <c r="X232">
        <v>3.8650000000000002</v>
      </c>
      <c r="Y232">
        <v>3.9340000000000002</v>
      </c>
      <c r="Z232">
        <v>3.9950000000000001</v>
      </c>
      <c r="AA232">
        <v>4.0209999999999999</v>
      </c>
      <c r="AB232">
        <v>4.0490000000000004</v>
      </c>
      <c r="AC232">
        <v>4.109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s="2">
        <v>45183</v>
      </c>
      <c r="AK232">
        <v>3.613</v>
      </c>
      <c r="AL232">
        <v>3.621</v>
      </c>
      <c r="AM232">
        <v>3.6309999999999998</v>
      </c>
      <c r="AN232">
        <v>3.65</v>
      </c>
      <c r="AO232">
        <v>3.8260000000000001</v>
      </c>
      <c r="AP232">
        <v>3.863</v>
      </c>
      <c r="AQ232">
        <v>3.875</v>
      </c>
      <c r="AR232">
        <v>3.895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</row>
    <row r="233" spans="2:52">
      <c r="B233" s="2">
        <v>45182</v>
      </c>
      <c r="C233">
        <v>3.4180000000000001</v>
      </c>
      <c r="D233">
        <v>3.6440000000000001</v>
      </c>
      <c r="E233">
        <v>3.5830000000000002</v>
      </c>
      <c r="F233">
        <v>3.6429999999999998</v>
      </c>
      <c r="G233">
        <v>3.8559999999999999</v>
      </c>
      <c r="H233">
        <v>3.8660000000000001</v>
      </c>
      <c r="I233">
        <v>3.8730000000000002</v>
      </c>
      <c r="J233">
        <v>3.85</v>
      </c>
      <c r="K233">
        <v>3.9020000000000001</v>
      </c>
      <c r="L233">
        <v>3.875</v>
      </c>
      <c r="M233">
        <v>3.9489999999999998</v>
      </c>
      <c r="N233">
        <v>3.9470000000000001</v>
      </c>
      <c r="O233">
        <v>3.88</v>
      </c>
      <c r="P233">
        <v>3.8109999999999999</v>
      </c>
      <c r="Q233">
        <v>3.78</v>
      </c>
      <c r="R233">
        <v>3.7549999999999999</v>
      </c>
      <c r="S233" s="2">
        <v>45182</v>
      </c>
      <c r="T233">
        <v>3.5059999999999998</v>
      </c>
      <c r="U233">
        <v>3.6320000000000001</v>
      </c>
      <c r="V233">
        <v>3.68</v>
      </c>
      <c r="W233">
        <v>3.7050000000000001</v>
      </c>
      <c r="X233">
        <v>3.8719999999999999</v>
      </c>
      <c r="Y233">
        <v>3.9449999999999998</v>
      </c>
      <c r="Z233">
        <v>4.0060000000000002</v>
      </c>
      <c r="AA233">
        <v>4.0359999999999996</v>
      </c>
      <c r="AB233">
        <v>4.0670000000000002</v>
      </c>
      <c r="AC233">
        <v>4.1230000000000002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 s="2">
        <v>45182</v>
      </c>
      <c r="AK233">
        <v>3.6110000000000002</v>
      </c>
      <c r="AL233">
        <v>3.62</v>
      </c>
      <c r="AM233">
        <v>3.6309999999999998</v>
      </c>
      <c r="AN233">
        <v>3.6509999999999998</v>
      </c>
      <c r="AO233">
        <v>3.84</v>
      </c>
      <c r="AP233">
        <v>3.88</v>
      </c>
      <c r="AQ233">
        <v>3.89</v>
      </c>
      <c r="AR233">
        <v>3.911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</row>
    <row r="234" spans="2:52">
      <c r="B234" s="2">
        <v>45181</v>
      </c>
      <c r="C234">
        <v>3.43</v>
      </c>
      <c r="D234">
        <v>3.6360000000000001</v>
      </c>
      <c r="E234">
        <v>3.58</v>
      </c>
      <c r="F234">
        <v>3.6429999999999998</v>
      </c>
      <c r="G234">
        <v>3.8660000000000001</v>
      </c>
      <c r="H234">
        <v>3.8780000000000001</v>
      </c>
      <c r="I234">
        <v>3.89</v>
      </c>
      <c r="J234">
        <v>3.8620000000000001</v>
      </c>
      <c r="K234">
        <v>3.9209999999999998</v>
      </c>
      <c r="L234">
        <v>3.887</v>
      </c>
      <c r="M234">
        <v>3.9660000000000002</v>
      </c>
      <c r="N234">
        <v>3.97</v>
      </c>
      <c r="O234">
        <v>3.9129999999999998</v>
      </c>
      <c r="P234">
        <v>3.851</v>
      </c>
      <c r="Q234">
        <v>3.8250000000000002</v>
      </c>
      <c r="R234">
        <v>3.8</v>
      </c>
      <c r="S234" s="2">
        <v>45181</v>
      </c>
      <c r="T234">
        <v>3.5059999999999998</v>
      </c>
      <c r="U234">
        <v>3.6179999999999999</v>
      </c>
      <c r="V234">
        <v>3.677</v>
      </c>
      <c r="W234">
        <v>3.7050000000000001</v>
      </c>
      <c r="X234">
        <v>3.883</v>
      </c>
      <c r="Y234">
        <v>3.9569999999999999</v>
      </c>
      <c r="Z234">
        <v>4.0199999999999996</v>
      </c>
      <c r="AA234">
        <v>4.0469999999999997</v>
      </c>
      <c r="AB234">
        <v>4.0819999999999999</v>
      </c>
      <c r="AC234">
        <v>4.1289999999999996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 s="2">
        <v>45181</v>
      </c>
      <c r="AK234">
        <v>3.613</v>
      </c>
      <c r="AL234">
        <v>3.62</v>
      </c>
      <c r="AM234">
        <v>3.6349999999999998</v>
      </c>
      <c r="AN234">
        <v>3.6509999999999998</v>
      </c>
      <c r="AO234">
        <v>3.843</v>
      </c>
      <c r="AP234">
        <v>3.89</v>
      </c>
      <c r="AQ234">
        <v>3.9049999999999998</v>
      </c>
      <c r="AR234">
        <v>3.931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</row>
    <row r="235" spans="2:52">
      <c r="B235" s="2">
        <v>45180</v>
      </c>
      <c r="C235">
        <v>3.4359999999999999</v>
      </c>
      <c r="D235">
        <v>3.6280000000000001</v>
      </c>
      <c r="E235">
        <v>3.5750000000000002</v>
      </c>
      <c r="F235">
        <v>3.6360000000000001</v>
      </c>
      <c r="G235">
        <v>3.8769999999999998</v>
      </c>
      <c r="H235">
        <v>3.8740000000000001</v>
      </c>
      <c r="I235">
        <v>3.887</v>
      </c>
      <c r="J235">
        <v>3.86</v>
      </c>
      <c r="K235">
        <v>3.9159999999999999</v>
      </c>
      <c r="L235">
        <v>3.88</v>
      </c>
      <c r="M235">
        <v>3.9550000000000001</v>
      </c>
      <c r="N235">
        <v>3.9550000000000001</v>
      </c>
      <c r="O235">
        <v>3.9009999999999998</v>
      </c>
      <c r="P235">
        <v>3.8439999999999999</v>
      </c>
      <c r="Q235">
        <v>3.8170000000000002</v>
      </c>
      <c r="R235">
        <v>3.7919999999999998</v>
      </c>
      <c r="S235" s="2">
        <v>45180</v>
      </c>
      <c r="T235">
        <v>3.5070000000000001</v>
      </c>
      <c r="U235">
        <v>3.6150000000000002</v>
      </c>
      <c r="V235">
        <v>3.6739999999999999</v>
      </c>
      <c r="W235">
        <v>3.698</v>
      </c>
      <c r="X235">
        <v>3.8849999999999998</v>
      </c>
      <c r="Y235">
        <v>3.9540000000000002</v>
      </c>
      <c r="Z235">
        <v>4.0179999999999998</v>
      </c>
      <c r="AA235">
        <v>4.0460000000000003</v>
      </c>
      <c r="AB235">
        <v>4.077</v>
      </c>
      <c r="AC235">
        <v>4.1219999999999999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 s="2">
        <v>45180</v>
      </c>
      <c r="AK235">
        <v>3.6080000000000001</v>
      </c>
      <c r="AL235">
        <v>3.6150000000000002</v>
      </c>
      <c r="AM235">
        <v>3.6280000000000001</v>
      </c>
      <c r="AN235">
        <v>3.6459999999999999</v>
      </c>
      <c r="AO235">
        <v>3.8439999999999999</v>
      </c>
      <c r="AP235">
        <v>3.89</v>
      </c>
      <c r="AQ235">
        <v>3.9039999999999999</v>
      </c>
      <c r="AR235">
        <v>3.93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</row>
    <row r="236" spans="2:52">
      <c r="B236" s="2">
        <v>45177</v>
      </c>
      <c r="C236">
        <v>3.4630000000000001</v>
      </c>
      <c r="D236">
        <v>3.5049999999999999</v>
      </c>
      <c r="E236">
        <v>3.5880000000000001</v>
      </c>
      <c r="F236">
        <v>3.58</v>
      </c>
      <c r="G236">
        <v>3.7629999999999999</v>
      </c>
      <c r="H236">
        <v>3.823</v>
      </c>
      <c r="I236">
        <v>3.8210000000000002</v>
      </c>
      <c r="J236">
        <v>3.79</v>
      </c>
      <c r="K236">
        <v>3.8340000000000001</v>
      </c>
      <c r="L236">
        <v>3.83</v>
      </c>
      <c r="M236">
        <v>3.88</v>
      </c>
      <c r="N236">
        <v>3.8860000000000001</v>
      </c>
      <c r="O236">
        <v>3.8540000000000001</v>
      </c>
      <c r="P236">
        <v>3.8159999999999998</v>
      </c>
      <c r="Q236">
        <v>3.7549999999999999</v>
      </c>
      <c r="R236">
        <v>3.72</v>
      </c>
      <c r="S236" s="2">
        <v>45177</v>
      </c>
      <c r="T236">
        <v>3.5089999999999999</v>
      </c>
      <c r="U236">
        <v>3.54</v>
      </c>
      <c r="V236">
        <v>3.6339999999999999</v>
      </c>
      <c r="W236">
        <v>3.6629999999999998</v>
      </c>
      <c r="X236">
        <v>3.8149999999999999</v>
      </c>
      <c r="Y236">
        <v>3.8969999999999998</v>
      </c>
      <c r="Z236">
        <v>3.952</v>
      </c>
      <c r="AA236">
        <v>3.9780000000000002</v>
      </c>
      <c r="AB236">
        <v>4.0039999999999996</v>
      </c>
      <c r="AC236">
        <v>4.05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s="2">
        <v>45177</v>
      </c>
      <c r="AK236">
        <v>3.59</v>
      </c>
      <c r="AL236">
        <v>3.5960000000000001</v>
      </c>
      <c r="AM236">
        <v>3.6059999999999999</v>
      </c>
      <c r="AN236">
        <v>3.625</v>
      </c>
      <c r="AO236">
        <v>3.7989999999999999</v>
      </c>
      <c r="AP236">
        <v>3.83</v>
      </c>
      <c r="AQ236">
        <v>3.8380000000000001</v>
      </c>
      <c r="AR236">
        <v>3.855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</row>
    <row r="237" spans="2:52">
      <c r="B237" s="2">
        <v>45176</v>
      </c>
      <c r="C237">
        <v>3.49</v>
      </c>
      <c r="D237">
        <v>3.4950000000000001</v>
      </c>
      <c r="E237">
        <v>3.6179999999999999</v>
      </c>
      <c r="F237">
        <v>3.5830000000000002</v>
      </c>
      <c r="G237">
        <v>3.786</v>
      </c>
      <c r="H237">
        <v>3.859</v>
      </c>
      <c r="I237">
        <v>3.8650000000000002</v>
      </c>
      <c r="J237">
        <v>3.84</v>
      </c>
      <c r="K237">
        <v>3.8839999999999999</v>
      </c>
      <c r="L237">
        <v>3.8849999999999998</v>
      </c>
      <c r="M237">
        <v>3.95</v>
      </c>
      <c r="N237">
        <v>3.9649999999999999</v>
      </c>
      <c r="O237">
        <v>3.915</v>
      </c>
      <c r="P237">
        <v>3.86</v>
      </c>
      <c r="Q237">
        <v>3.8109999999999999</v>
      </c>
      <c r="R237">
        <v>3.7759999999999998</v>
      </c>
      <c r="S237" s="2">
        <v>45176</v>
      </c>
      <c r="T237">
        <v>3.516</v>
      </c>
      <c r="U237">
        <v>3.55</v>
      </c>
      <c r="V237">
        <v>3.6440000000000001</v>
      </c>
      <c r="W237">
        <v>3.6720000000000002</v>
      </c>
      <c r="X237">
        <v>3.843</v>
      </c>
      <c r="Y237">
        <v>3.9329999999999998</v>
      </c>
      <c r="Z237">
        <v>3.9929999999999999</v>
      </c>
      <c r="AA237">
        <v>4.0259999999999998</v>
      </c>
      <c r="AB237">
        <v>4.0540000000000003</v>
      </c>
      <c r="AC237">
        <v>4.1050000000000004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s="2">
        <v>45176</v>
      </c>
      <c r="AK237">
        <v>3.5960000000000001</v>
      </c>
      <c r="AL237">
        <v>3.6059999999999999</v>
      </c>
      <c r="AM237">
        <v>3.6179999999999999</v>
      </c>
      <c r="AN237">
        <v>3.6349999999999998</v>
      </c>
      <c r="AO237">
        <v>3.8439999999999999</v>
      </c>
      <c r="AP237">
        <v>3.867</v>
      </c>
      <c r="AQ237">
        <v>3.8809999999999998</v>
      </c>
      <c r="AR237">
        <v>3.903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</row>
    <row r="238" spans="2:52">
      <c r="B238" s="2">
        <v>45175</v>
      </c>
      <c r="C238">
        <v>3.49</v>
      </c>
      <c r="D238">
        <v>3.45</v>
      </c>
      <c r="E238">
        <v>3.6179999999999999</v>
      </c>
      <c r="F238">
        <v>3.5449999999999999</v>
      </c>
      <c r="G238">
        <v>3.7519999999999998</v>
      </c>
      <c r="H238">
        <v>3.8</v>
      </c>
      <c r="I238">
        <v>3.7970000000000002</v>
      </c>
      <c r="J238">
        <v>3.7749999999999999</v>
      </c>
      <c r="K238">
        <v>3.8220000000000001</v>
      </c>
      <c r="L238">
        <v>3.8250000000000002</v>
      </c>
      <c r="M238">
        <v>3.89</v>
      </c>
      <c r="N238">
        <v>3.9049999999999998</v>
      </c>
      <c r="O238">
        <v>3.8679999999999999</v>
      </c>
      <c r="P238">
        <v>3.8260000000000001</v>
      </c>
      <c r="Q238">
        <v>3.7770000000000001</v>
      </c>
      <c r="R238">
        <v>3.742</v>
      </c>
      <c r="S238" s="2">
        <v>45175</v>
      </c>
      <c r="T238">
        <v>3.5089999999999999</v>
      </c>
      <c r="U238">
        <v>3.528</v>
      </c>
      <c r="V238">
        <v>3.63</v>
      </c>
      <c r="W238">
        <v>3.64</v>
      </c>
      <c r="X238">
        <v>3.8050000000000002</v>
      </c>
      <c r="Y238">
        <v>3.875</v>
      </c>
      <c r="Z238">
        <v>3.927</v>
      </c>
      <c r="AA238">
        <v>3.9609999999999999</v>
      </c>
      <c r="AB238">
        <v>3.992</v>
      </c>
      <c r="AC238">
        <v>4.0449999999999999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 s="2">
        <v>45175</v>
      </c>
      <c r="AK238">
        <v>3.58</v>
      </c>
      <c r="AL238">
        <v>3.59</v>
      </c>
      <c r="AM238">
        <v>3.5979999999999999</v>
      </c>
      <c r="AN238">
        <v>3.6110000000000002</v>
      </c>
      <c r="AO238">
        <v>3.7949999999999999</v>
      </c>
      <c r="AP238">
        <v>3.8090000000000002</v>
      </c>
      <c r="AQ238">
        <v>3.8170000000000002</v>
      </c>
      <c r="AR238">
        <v>3.8370000000000002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</row>
    <row r="239" spans="2:52">
      <c r="B239" s="2">
        <v>45174</v>
      </c>
      <c r="C239">
        <v>3.4929999999999999</v>
      </c>
      <c r="D239">
        <v>3.4129999999999998</v>
      </c>
      <c r="E239">
        <v>3.6349999999999998</v>
      </c>
      <c r="F239">
        <v>3.5110000000000001</v>
      </c>
      <c r="G239">
        <v>3.7440000000000002</v>
      </c>
      <c r="H239">
        <v>3.8</v>
      </c>
      <c r="I239">
        <v>3.7829999999999999</v>
      </c>
      <c r="J239">
        <v>3.7650000000000001</v>
      </c>
      <c r="K239">
        <v>3.8119999999999998</v>
      </c>
      <c r="L239">
        <v>3.8149999999999999</v>
      </c>
      <c r="M239">
        <v>3.8780000000000001</v>
      </c>
      <c r="N239">
        <v>3.887</v>
      </c>
      <c r="O239">
        <v>3.8479999999999999</v>
      </c>
      <c r="P239">
        <v>3.8050000000000002</v>
      </c>
      <c r="Q239">
        <v>3.742</v>
      </c>
      <c r="R239">
        <v>3.7069999999999999</v>
      </c>
      <c r="S239" s="2">
        <v>45174</v>
      </c>
      <c r="T239">
        <v>3.5089999999999999</v>
      </c>
      <c r="U239">
        <v>3.5219999999999998</v>
      </c>
      <c r="V239">
        <v>3.6339999999999999</v>
      </c>
      <c r="W239">
        <v>3.6230000000000002</v>
      </c>
      <c r="X239">
        <v>3.8039999999999998</v>
      </c>
      <c r="Y239">
        <v>3.87</v>
      </c>
      <c r="Z239">
        <v>3.9140000000000001</v>
      </c>
      <c r="AA239">
        <v>3.9510000000000001</v>
      </c>
      <c r="AB239">
        <v>3.9820000000000002</v>
      </c>
      <c r="AC239">
        <v>4.0350000000000001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 s="2">
        <v>45174</v>
      </c>
      <c r="AK239">
        <v>3.58</v>
      </c>
      <c r="AL239">
        <v>3.59</v>
      </c>
      <c r="AM239">
        <v>3.5979999999999999</v>
      </c>
      <c r="AN239">
        <v>3.6080000000000001</v>
      </c>
      <c r="AO239">
        <v>3.7879999999999998</v>
      </c>
      <c r="AP239">
        <v>3.7970000000000002</v>
      </c>
      <c r="AQ239">
        <v>3.81</v>
      </c>
      <c r="AR239">
        <v>3.83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</row>
    <row r="240" spans="2:52">
      <c r="B240" s="2">
        <v>45173</v>
      </c>
      <c r="C240">
        <v>3.4860000000000002</v>
      </c>
      <c r="D240">
        <v>3.4060000000000001</v>
      </c>
      <c r="E240">
        <v>3.6150000000000002</v>
      </c>
      <c r="F240">
        <v>3.5129999999999999</v>
      </c>
      <c r="G240">
        <v>3.7330000000000001</v>
      </c>
      <c r="H240">
        <v>3.7530000000000001</v>
      </c>
      <c r="I240">
        <v>3.7429999999999999</v>
      </c>
      <c r="J240">
        <v>3.7320000000000002</v>
      </c>
      <c r="K240">
        <v>3.774</v>
      </c>
      <c r="L240">
        <v>3.7749999999999999</v>
      </c>
      <c r="M240">
        <v>3.8420000000000001</v>
      </c>
      <c r="N240">
        <v>3.855</v>
      </c>
      <c r="O240">
        <v>3.8109999999999999</v>
      </c>
      <c r="P240">
        <v>3.762</v>
      </c>
      <c r="Q240">
        <v>3.7170000000000001</v>
      </c>
      <c r="R240">
        <v>3.6819999999999999</v>
      </c>
      <c r="S240" s="2">
        <v>45173</v>
      </c>
      <c r="T240">
        <v>3.5019999999999998</v>
      </c>
      <c r="U240">
        <v>3.5150000000000001</v>
      </c>
      <c r="V240">
        <v>3.6150000000000002</v>
      </c>
      <c r="W240">
        <v>3.6179999999999999</v>
      </c>
      <c r="X240">
        <v>3.7879999999999998</v>
      </c>
      <c r="Y240">
        <v>3.8290000000000002</v>
      </c>
      <c r="Z240">
        <v>3.8780000000000001</v>
      </c>
      <c r="AA240">
        <v>3.919</v>
      </c>
      <c r="AB240">
        <v>3.9430000000000001</v>
      </c>
      <c r="AC240">
        <v>4.0010000000000003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 s="2">
        <v>45173</v>
      </c>
      <c r="AK240">
        <v>3.573</v>
      </c>
      <c r="AL240">
        <v>3.585</v>
      </c>
      <c r="AM240">
        <v>3.593</v>
      </c>
      <c r="AN240">
        <v>3.605</v>
      </c>
      <c r="AO240">
        <v>3.7650000000000001</v>
      </c>
      <c r="AP240">
        <v>3.7650000000000001</v>
      </c>
      <c r="AQ240">
        <v>3.7789999999999999</v>
      </c>
      <c r="AR240">
        <v>3.8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</row>
    <row r="241" spans="2:52">
      <c r="B241" s="2">
        <v>45170</v>
      </c>
      <c r="C241">
        <v>3.4729999999999999</v>
      </c>
      <c r="D241">
        <v>3.383</v>
      </c>
      <c r="E241">
        <v>3.581</v>
      </c>
      <c r="F241">
        <v>3.4929999999999999</v>
      </c>
      <c r="G241">
        <v>3.6960000000000002</v>
      </c>
      <c r="H241">
        <v>3.7080000000000002</v>
      </c>
      <c r="I241">
        <v>3.6949999999999998</v>
      </c>
      <c r="J241">
        <v>3.6869999999999998</v>
      </c>
      <c r="K241">
        <v>3.722</v>
      </c>
      <c r="L241">
        <v>3.7149999999999999</v>
      </c>
      <c r="M241">
        <v>3.778</v>
      </c>
      <c r="N241">
        <v>3.78</v>
      </c>
      <c r="O241">
        <v>3.754</v>
      </c>
      <c r="P241">
        <v>3.72</v>
      </c>
      <c r="Q241">
        <v>3.6859999999999999</v>
      </c>
      <c r="R241">
        <v>3.6509999999999998</v>
      </c>
      <c r="S241" s="2">
        <v>45170</v>
      </c>
      <c r="T241">
        <v>3.4889999999999999</v>
      </c>
      <c r="U241">
        <v>3.492</v>
      </c>
      <c r="V241">
        <v>3.59</v>
      </c>
      <c r="W241">
        <v>3.593</v>
      </c>
      <c r="X241">
        <v>3.7509999999999999</v>
      </c>
      <c r="Y241">
        <v>3.786</v>
      </c>
      <c r="Z241">
        <v>3.83</v>
      </c>
      <c r="AA241">
        <v>3.8719999999999999</v>
      </c>
      <c r="AB241">
        <v>3.891</v>
      </c>
      <c r="AC241">
        <v>3.94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 s="2">
        <v>45170</v>
      </c>
      <c r="AK241">
        <v>3.5579999999999998</v>
      </c>
      <c r="AL241">
        <v>3.5680000000000001</v>
      </c>
      <c r="AM241">
        <v>3.5750000000000002</v>
      </c>
      <c r="AN241">
        <v>3.5830000000000002</v>
      </c>
      <c r="AO241">
        <v>3.7250000000000001</v>
      </c>
      <c r="AP241">
        <v>3.7240000000000002</v>
      </c>
      <c r="AQ241">
        <v>3.734</v>
      </c>
      <c r="AR241">
        <v>3.7549999999999999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</row>
    <row r="242" spans="2:52">
      <c r="B242" s="2">
        <v>45169</v>
      </c>
      <c r="C242">
        <v>3.4729999999999999</v>
      </c>
      <c r="D242">
        <v>3.383</v>
      </c>
      <c r="E242">
        <v>3.5760000000000001</v>
      </c>
      <c r="F242">
        <v>3.508</v>
      </c>
      <c r="G242">
        <v>3.7050000000000001</v>
      </c>
      <c r="H242">
        <v>3.72</v>
      </c>
      <c r="I242">
        <v>3.7130000000000001</v>
      </c>
      <c r="J242">
        <v>3.7170000000000001</v>
      </c>
      <c r="K242">
        <v>3.7629999999999999</v>
      </c>
      <c r="L242">
        <v>3.7549999999999999</v>
      </c>
      <c r="M242">
        <v>3.82</v>
      </c>
      <c r="N242">
        <v>3.8250000000000002</v>
      </c>
      <c r="O242">
        <v>3.8010000000000002</v>
      </c>
      <c r="P242">
        <v>3.77</v>
      </c>
      <c r="Q242">
        <v>3.7349999999999999</v>
      </c>
      <c r="R242">
        <v>3.7</v>
      </c>
      <c r="S242" s="2">
        <v>45169</v>
      </c>
      <c r="T242">
        <v>3.4889999999999999</v>
      </c>
      <c r="U242">
        <v>3.492</v>
      </c>
      <c r="V242">
        <v>3.5920000000000001</v>
      </c>
      <c r="W242">
        <v>3.6070000000000002</v>
      </c>
      <c r="X242">
        <v>3.7610000000000001</v>
      </c>
      <c r="Y242">
        <v>3.8</v>
      </c>
      <c r="Z242">
        <v>3.8490000000000002</v>
      </c>
      <c r="AA242">
        <v>3.9020000000000001</v>
      </c>
      <c r="AB242">
        <v>3.9319999999999999</v>
      </c>
      <c r="AC242">
        <v>3.99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 s="2">
        <v>45169</v>
      </c>
      <c r="AK242">
        <v>3.5579999999999998</v>
      </c>
      <c r="AL242">
        <v>3.5680000000000001</v>
      </c>
      <c r="AM242">
        <v>3.5750000000000002</v>
      </c>
      <c r="AN242">
        <v>3.585</v>
      </c>
      <c r="AO242">
        <v>3.7349999999999999</v>
      </c>
      <c r="AP242">
        <v>3.74</v>
      </c>
      <c r="AQ242">
        <v>3.754</v>
      </c>
      <c r="AR242">
        <v>3.7850000000000001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</row>
    <row r="243" spans="2:52">
      <c r="B243" s="2">
        <v>45168</v>
      </c>
      <c r="C243">
        <v>3.476</v>
      </c>
      <c r="D243">
        <v>3.383</v>
      </c>
      <c r="E243">
        <v>3.5760000000000001</v>
      </c>
      <c r="F243">
        <v>3.5110000000000001</v>
      </c>
      <c r="G243">
        <v>3.73</v>
      </c>
      <c r="H243">
        <v>3.74</v>
      </c>
      <c r="I243">
        <v>3.738</v>
      </c>
      <c r="J243">
        <v>3.74</v>
      </c>
      <c r="K243">
        <v>3.7890000000000001</v>
      </c>
      <c r="L243">
        <v>3.7850000000000001</v>
      </c>
      <c r="M243">
        <v>3.851</v>
      </c>
      <c r="N243">
        <v>3.8570000000000002</v>
      </c>
      <c r="O243">
        <v>3.8420000000000001</v>
      </c>
      <c r="P243">
        <v>3.8149999999999999</v>
      </c>
      <c r="Q243">
        <v>3.7839999999999998</v>
      </c>
      <c r="R243">
        <v>3.7490000000000001</v>
      </c>
      <c r="S243" s="2">
        <v>45168</v>
      </c>
      <c r="T243">
        <v>3.4910000000000001</v>
      </c>
      <c r="U243">
        <v>3.4950000000000001</v>
      </c>
      <c r="V243">
        <v>3.5939999999999999</v>
      </c>
      <c r="W243">
        <v>3.613</v>
      </c>
      <c r="X243">
        <v>3.78</v>
      </c>
      <c r="Y243">
        <v>3.82</v>
      </c>
      <c r="Z243">
        <v>3.8730000000000002</v>
      </c>
      <c r="AA243">
        <v>3.9260000000000002</v>
      </c>
      <c r="AB243">
        <v>3.9580000000000002</v>
      </c>
      <c r="AC243">
        <v>4.0179999999999998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 s="2">
        <v>45168</v>
      </c>
      <c r="AK243">
        <v>3.5630000000000002</v>
      </c>
      <c r="AL243">
        <v>3.5750000000000002</v>
      </c>
      <c r="AM243">
        <v>3.581</v>
      </c>
      <c r="AN243">
        <v>3.593</v>
      </c>
      <c r="AO243">
        <v>3.7480000000000002</v>
      </c>
      <c r="AP243">
        <v>3.76</v>
      </c>
      <c r="AQ243">
        <v>3.778</v>
      </c>
      <c r="AR243">
        <v>3.8109999999999999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</row>
    <row r="244" spans="2:52">
      <c r="B244" s="2">
        <v>45167</v>
      </c>
      <c r="C244">
        <v>3.476</v>
      </c>
      <c r="D244">
        <v>3.383</v>
      </c>
      <c r="E244">
        <v>3.5760000000000001</v>
      </c>
      <c r="F244">
        <v>3.516</v>
      </c>
      <c r="G244">
        <v>3.7330000000000001</v>
      </c>
      <c r="H244">
        <v>3.7509999999999999</v>
      </c>
      <c r="I244">
        <v>3.7490000000000001</v>
      </c>
      <c r="J244">
        <v>3.74</v>
      </c>
      <c r="K244">
        <v>3.7869999999999999</v>
      </c>
      <c r="L244">
        <v>3.78</v>
      </c>
      <c r="M244">
        <v>3.8439999999999999</v>
      </c>
      <c r="N244">
        <v>3.8450000000000002</v>
      </c>
      <c r="O244">
        <v>3.8359999999999999</v>
      </c>
      <c r="P244">
        <v>3.8149999999999999</v>
      </c>
      <c r="Q244">
        <v>3.78</v>
      </c>
      <c r="R244">
        <v>3.7450000000000001</v>
      </c>
      <c r="S244" s="2">
        <v>45167</v>
      </c>
      <c r="T244">
        <v>3.4910000000000001</v>
      </c>
      <c r="U244">
        <v>3.4950000000000001</v>
      </c>
      <c r="V244">
        <v>3.5920000000000001</v>
      </c>
      <c r="W244">
        <v>3.617</v>
      </c>
      <c r="X244">
        <v>3.7850000000000001</v>
      </c>
      <c r="Y244">
        <v>3.831</v>
      </c>
      <c r="Z244">
        <v>3.883</v>
      </c>
      <c r="AA244">
        <v>3.9279999999999999</v>
      </c>
      <c r="AB244">
        <v>3.956</v>
      </c>
      <c r="AC244">
        <v>4.01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s="2">
        <v>45167</v>
      </c>
      <c r="AK244">
        <v>3.5609999999999999</v>
      </c>
      <c r="AL244">
        <v>3.5750000000000002</v>
      </c>
      <c r="AM244">
        <v>3.5830000000000002</v>
      </c>
      <c r="AN244">
        <v>3.5950000000000002</v>
      </c>
      <c r="AO244">
        <v>3.7549999999999999</v>
      </c>
      <c r="AP244">
        <v>3.7669999999999999</v>
      </c>
      <c r="AQ244">
        <v>3.7869999999999999</v>
      </c>
      <c r="AR244">
        <v>3.82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</row>
    <row r="245" spans="2:52">
      <c r="B245" s="2">
        <v>45166</v>
      </c>
      <c r="C245">
        <v>3.476</v>
      </c>
      <c r="D245">
        <v>3.3879999999999999</v>
      </c>
      <c r="E245">
        <v>3.5760000000000001</v>
      </c>
      <c r="F245">
        <v>3.5329999999999999</v>
      </c>
      <c r="G245">
        <v>3.7450000000000001</v>
      </c>
      <c r="H245">
        <v>3.7650000000000001</v>
      </c>
      <c r="I245">
        <v>3.7669999999999999</v>
      </c>
      <c r="J245">
        <v>3.76</v>
      </c>
      <c r="K245">
        <v>3.8079999999999998</v>
      </c>
      <c r="L245">
        <v>3.7949999999999999</v>
      </c>
      <c r="M245">
        <v>3.8650000000000002</v>
      </c>
      <c r="N245">
        <v>3.8719999999999999</v>
      </c>
      <c r="O245">
        <v>3.86</v>
      </c>
      <c r="P245">
        <v>3.835</v>
      </c>
      <c r="Q245">
        <v>3.8</v>
      </c>
      <c r="R245">
        <v>3.7650000000000001</v>
      </c>
      <c r="S245" s="2">
        <v>45166</v>
      </c>
      <c r="T245">
        <v>3.4910000000000001</v>
      </c>
      <c r="U245">
        <v>3.4950000000000001</v>
      </c>
      <c r="V245">
        <v>3.5920000000000001</v>
      </c>
      <c r="W245">
        <v>3.6269999999999998</v>
      </c>
      <c r="X245">
        <v>3.7930000000000001</v>
      </c>
      <c r="Y245">
        <v>3.843</v>
      </c>
      <c r="Z245">
        <v>3.899</v>
      </c>
      <c r="AA245">
        <v>3.9470000000000001</v>
      </c>
      <c r="AB245">
        <v>3.9769999999999999</v>
      </c>
      <c r="AC245">
        <v>4.0229999999999997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 s="2">
        <v>45166</v>
      </c>
      <c r="AK245">
        <v>3.5609999999999999</v>
      </c>
      <c r="AL245">
        <v>3.5750000000000002</v>
      </c>
      <c r="AM245">
        <v>3.5830000000000002</v>
      </c>
      <c r="AN245">
        <v>3.5950000000000002</v>
      </c>
      <c r="AO245">
        <v>3.7559999999999998</v>
      </c>
      <c r="AP245">
        <v>3.78</v>
      </c>
      <c r="AQ245">
        <v>3.802</v>
      </c>
      <c r="AR245">
        <v>3.8380000000000001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</row>
    <row r="246" spans="2:52">
      <c r="B246" s="2">
        <v>45163</v>
      </c>
      <c r="C246">
        <v>3.48</v>
      </c>
      <c r="D246">
        <v>3.391</v>
      </c>
      <c r="E246">
        <v>3.58</v>
      </c>
      <c r="F246">
        <v>3.5430000000000001</v>
      </c>
      <c r="G246">
        <v>3.76</v>
      </c>
      <c r="H246">
        <v>3.7829999999999999</v>
      </c>
      <c r="I246">
        <v>3.7879999999999998</v>
      </c>
      <c r="J246">
        <v>3.79</v>
      </c>
      <c r="K246">
        <v>3.8530000000000002</v>
      </c>
      <c r="L246">
        <v>3.8420000000000001</v>
      </c>
      <c r="M246">
        <v>3.919</v>
      </c>
      <c r="N246">
        <v>3.9329999999999998</v>
      </c>
      <c r="O246">
        <v>3.9129999999999998</v>
      </c>
      <c r="P246">
        <v>3.88</v>
      </c>
      <c r="Q246">
        <v>3.8370000000000002</v>
      </c>
      <c r="R246">
        <v>3.802</v>
      </c>
      <c r="S246" s="2">
        <v>45163</v>
      </c>
      <c r="T246">
        <v>3.4940000000000002</v>
      </c>
      <c r="U246">
        <v>3.4980000000000002</v>
      </c>
      <c r="V246">
        <v>3.5950000000000002</v>
      </c>
      <c r="W246">
        <v>3.633</v>
      </c>
      <c r="X246">
        <v>3.8090000000000002</v>
      </c>
      <c r="Y246">
        <v>3.8620000000000001</v>
      </c>
      <c r="Z246">
        <v>3.9220000000000002</v>
      </c>
      <c r="AA246">
        <v>3.9790000000000001</v>
      </c>
      <c r="AB246">
        <v>4.0220000000000002</v>
      </c>
      <c r="AC246">
        <v>4.0709999999999997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s="2">
        <v>45163</v>
      </c>
      <c r="AK246">
        <v>3.5649999999999999</v>
      </c>
      <c r="AL246">
        <v>3.5779999999999998</v>
      </c>
      <c r="AM246">
        <v>3.5859999999999999</v>
      </c>
      <c r="AN246">
        <v>3.5979999999999999</v>
      </c>
      <c r="AO246">
        <v>3.7709999999999999</v>
      </c>
      <c r="AP246">
        <v>3.7989999999999999</v>
      </c>
      <c r="AQ246">
        <v>3.827</v>
      </c>
      <c r="AR246">
        <v>3.8719999999999999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</row>
    <row r="247" spans="2:52">
      <c r="B247" s="2">
        <v>45162</v>
      </c>
      <c r="C247">
        <v>3.4830000000000001</v>
      </c>
      <c r="D247">
        <v>3.4060000000000001</v>
      </c>
      <c r="E247">
        <v>3.5710000000000002</v>
      </c>
      <c r="F247">
        <v>3.5310000000000001</v>
      </c>
      <c r="G247">
        <v>3.7349999999999999</v>
      </c>
      <c r="H247">
        <v>3.7549999999999999</v>
      </c>
      <c r="I247">
        <v>3.7610000000000001</v>
      </c>
      <c r="J247">
        <v>3.754</v>
      </c>
      <c r="K247">
        <v>3.8130000000000002</v>
      </c>
      <c r="L247">
        <v>3.8</v>
      </c>
      <c r="M247">
        <v>3.87</v>
      </c>
      <c r="N247">
        <v>3.8769999999999998</v>
      </c>
      <c r="O247">
        <v>3.8650000000000002</v>
      </c>
      <c r="P247">
        <v>3.84</v>
      </c>
      <c r="Q247">
        <v>3.794</v>
      </c>
      <c r="R247">
        <v>3.7589999999999999</v>
      </c>
      <c r="S247" s="2">
        <v>45162</v>
      </c>
      <c r="T247">
        <v>3.4969999999999999</v>
      </c>
      <c r="U247">
        <v>3.5019999999999998</v>
      </c>
      <c r="V247">
        <v>3.5870000000000002</v>
      </c>
      <c r="W247">
        <v>3.6219999999999999</v>
      </c>
      <c r="X247">
        <v>3.782</v>
      </c>
      <c r="Y247">
        <v>3.8340000000000001</v>
      </c>
      <c r="Z247">
        <v>3.895</v>
      </c>
      <c r="AA247">
        <v>3.9470000000000001</v>
      </c>
      <c r="AB247">
        <v>3.9820000000000002</v>
      </c>
      <c r="AC247">
        <v>4.0209999999999999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s="2">
        <v>45162</v>
      </c>
      <c r="AK247">
        <v>3.5630000000000002</v>
      </c>
      <c r="AL247">
        <v>3.5750000000000002</v>
      </c>
      <c r="AM247">
        <v>3.581</v>
      </c>
      <c r="AN247">
        <v>3.589</v>
      </c>
      <c r="AO247">
        <v>3.746</v>
      </c>
      <c r="AP247">
        <v>3.7709999999999999</v>
      </c>
      <c r="AQ247">
        <v>3.7989999999999999</v>
      </c>
      <c r="AR247">
        <v>3.8439999999999999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</row>
    <row r="248" spans="2:52">
      <c r="B248" s="2">
        <v>45161</v>
      </c>
      <c r="C248">
        <v>3.49</v>
      </c>
      <c r="D248">
        <v>3.4329999999999998</v>
      </c>
      <c r="E248">
        <v>3.5649999999999999</v>
      </c>
      <c r="F248">
        <v>3.5230000000000001</v>
      </c>
      <c r="G248">
        <v>3.7389999999999999</v>
      </c>
      <c r="H248">
        <v>3.7650000000000001</v>
      </c>
      <c r="I248">
        <v>3.7749999999999999</v>
      </c>
      <c r="J248">
        <v>3.77</v>
      </c>
      <c r="K248">
        <v>3.8239999999999998</v>
      </c>
      <c r="L248">
        <v>3.8210000000000002</v>
      </c>
      <c r="M248">
        <v>3.9039999999999999</v>
      </c>
      <c r="N248">
        <v>3.92</v>
      </c>
      <c r="O248">
        <v>3.9039999999999999</v>
      </c>
      <c r="P248">
        <v>3.875</v>
      </c>
      <c r="Q248">
        <v>3.8149999999999999</v>
      </c>
      <c r="R248">
        <v>3.78</v>
      </c>
      <c r="S248" s="2">
        <v>45161</v>
      </c>
      <c r="T248">
        <v>3.504</v>
      </c>
      <c r="U248">
        <v>3.52</v>
      </c>
      <c r="V248">
        <v>3.5840000000000001</v>
      </c>
      <c r="W248">
        <v>3.617</v>
      </c>
      <c r="X248">
        <v>3.786</v>
      </c>
      <c r="Y248">
        <v>3.8420000000000001</v>
      </c>
      <c r="Z248">
        <v>3.907</v>
      </c>
      <c r="AA248">
        <v>3.96</v>
      </c>
      <c r="AB248">
        <v>3.9929999999999999</v>
      </c>
      <c r="AC248">
        <v>4.0430000000000001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 s="2">
        <v>45161</v>
      </c>
      <c r="AK248">
        <v>3.5680000000000001</v>
      </c>
      <c r="AL248">
        <v>3.58</v>
      </c>
      <c r="AM248">
        <v>3.5859999999999999</v>
      </c>
      <c r="AN248">
        <v>3.5950000000000002</v>
      </c>
      <c r="AO248">
        <v>3.754</v>
      </c>
      <c r="AP248">
        <v>3.78</v>
      </c>
      <c r="AQ248">
        <v>3.81</v>
      </c>
      <c r="AR248">
        <v>3.855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</row>
    <row r="249" spans="2:52">
      <c r="B249" s="2">
        <v>45160</v>
      </c>
      <c r="C249">
        <v>3.5</v>
      </c>
      <c r="D249">
        <v>3.4430000000000001</v>
      </c>
      <c r="E249">
        <v>3.5750000000000002</v>
      </c>
      <c r="F249">
        <v>3.5179999999999998</v>
      </c>
      <c r="G249">
        <v>3.7509999999999999</v>
      </c>
      <c r="H249">
        <v>3.7839999999999998</v>
      </c>
      <c r="I249">
        <v>3.7959999999999998</v>
      </c>
      <c r="J249">
        <v>3.798</v>
      </c>
      <c r="K249">
        <v>3.859</v>
      </c>
      <c r="L249">
        <v>3.8650000000000002</v>
      </c>
      <c r="M249">
        <v>3.9580000000000002</v>
      </c>
      <c r="N249">
        <v>3.984</v>
      </c>
      <c r="O249">
        <v>3.956</v>
      </c>
      <c r="P249">
        <v>3.9169999999999998</v>
      </c>
      <c r="Q249">
        <v>3.855</v>
      </c>
      <c r="R249">
        <v>3.82</v>
      </c>
      <c r="S249" s="2">
        <v>45160</v>
      </c>
      <c r="T249">
        <v>3.5139999999999998</v>
      </c>
      <c r="U249">
        <v>3.53</v>
      </c>
      <c r="V249">
        <v>3.5939999999999999</v>
      </c>
      <c r="W249">
        <v>3.62</v>
      </c>
      <c r="X249">
        <v>3.802</v>
      </c>
      <c r="Y249">
        <v>3.863</v>
      </c>
      <c r="Z249">
        <v>3.931</v>
      </c>
      <c r="AA249">
        <v>3.988</v>
      </c>
      <c r="AB249">
        <v>4.0279999999999996</v>
      </c>
      <c r="AC249">
        <v>4.09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s="2">
        <v>45160</v>
      </c>
      <c r="AK249">
        <v>3.5750000000000002</v>
      </c>
      <c r="AL249">
        <v>3.5859999999999999</v>
      </c>
      <c r="AM249">
        <v>3.5950000000000002</v>
      </c>
      <c r="AN249">
        <v>3.6059999999999999</v>
      </c>
      <c r="AO249">
        <v>3.7749999999999999</v>
      </c>
      <c r="AP249">
        <v>3.802</v>
      </c>
      <c r="AQ249">
        <v>3.835</v>
      </c>
      <c r="AR249">
        <v>3.8809999999999998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</row>
    <row r="250" spans="2:52">
      <c r="B250" s="2">
        <v>45159</v>
      </c>
      <c r="C250">
        <v>3.4980000000000002</v>
      </c>
      <c r="D250">
        <v>3.44</v>
      </c>
      <c r="E250">
        <v>3.57</v>
      </c>
      <c r="F250">
        <v>3.51</v>
      </c>
      <c r="G250">
        <v>3.7450000000000001</v>
      </c>
      <c r="H250">
        <v>3.7749999999999999</v>
      </c>
      <c r="I250">
        <v>3.79</v>
      </c>
      <c r="J250">
        <v>3.79</v>
      </c>
      <c r="K250">
        <v>3.851</v>
      </c>
      <c r="L250">
        <v>3.8570000000000002</v>
      </c>
      <c r="M250">
        <v>3.9460000000000002</v>
      </c>
      <c r="N250">
        <v>3.9670000000000001</v>
      </c>
      <c r="O250">
        <v>3.9239999999999999</v>
      </c>
      <c r="P250">
        <v>3.867</v>
      </c>
      <c r="Q250">
        <v>3.8039999999999998</v>
      </c>
      <c r="R250">
        <v>3.7690000000000001</v>
      </c>
      <c r="S250" s="2">
        <v>45159</v>
      </c>
      <c r="T250">
        <v>3.512</v>
      </c>
      <c r="U250">
        <v>3.5270000000000001</v>
      </c>
      <c r="V250">
        <v>3.589</v>
      </c>
      <c r="W250">
        <v>3.6150000000000002</v>
      </c>
      <c r="X250">
        <v>3.7919999999999998</v>
      </c>
      <c r="Y250">
        <v>3.8519999999999999</v>
      </c>
      <c r="Z250">
        <v>3.9249999999999998</v>
      </c>
      <c r="AA250">
        <v>3.9809999999999999</v>
      </c>
      <c r="AB250">
        <v>4.0179999999999998</v>
      </c>
      <c r="AC250">
        <v>4.0750000000000002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 s="2">
        <v>45159</v>
      </c>
      <c r="AK250">
        <v>3.573</v>
      </c>
      <c r="AL250">
        <v>3.5830000000000002</v>
      </c>
      <c r="AM250">
        <v>3.5910000000000002</v>
      </c>
      <c r="AN250">
        <v>3.6030000000000002</v>
      </c>
      <c r="AO250">
        <v>3.7639999999999998</v>
      </c>
      <c r="AP250">
        <v>3.7850000000000001</v>
      </c>
      <c r="AQ250">
        <v>3.8260000000000001</v>
      </c>
      <c r="AR250">
        <v>3.875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</row>
    <row r="251" spans="2:52">
      <c r="B251" s="2">
        <v>45156</v>
      </c>
      <c r="C251">
        <v>3.4849999999999999</v>
      </c>
      <c r="D251">
        <v>3.423</v>
      </c>
      <c r="E251">
        <v>3.5430000000000001</v>
      </c>
      <c r="F251">
        <v>3.4860000000000002</v>
      </c>
      <c r="G251">
        <v>3.7</v>
      </c>
      <c r="H251">
        <v>3.7250000000000001</v>
      </c>
      <c r="I251">
        <v>3.7349999999999999</v>
      </c>
      <c r="J251">
        <v>3.726</v>
      </c>
      <c r="K251">
        <v>3.79</v>
      </c>
      <c r="L251">
        <v>3.7959999999999998</v>
      </c>
      <c r="M251">
        <v>3.8839999999999999</v>
      </c>
      <c r="N251">
        <v>3.9049999999999998</v>
      </c>
      <c r="O251">
        <v>3.8740000000000001</v>
      </c>
      <c r="P251">
        <v>3.8260000000000001</v>
      </c>
      <c r="Q251">
        <v>3.7749999999999999</v>
      </c>
      <c r="R251">
        <v>3.74</v>
      </c>
      <c r="S251" s="2">
        <v>45156</v>
      </c>
      <c r="T251">
        <v>3.5019999999999998</v>
      </c>
      <c r="U251">
        <v>3.5129999999999999</v>
      </c>
      <c r="V251">
        <v>3.5649999999999999</v>
      </c>
      <c r="W251">
        <v>3.5920000000000001</v>
      </c>
      <c r="X251">
        <v>3.7490000000000001</v>
      </c>
      <c r="Y251">
        <v>3.8029999999999999</v>
      </c>
      <c r="Z251">
        <v>3.867</v>
      </c>
      <c r="AA251">
        <v>3.9159999999999999</v>
      </c>
      <c r="AB251">
        <v>3.956</v>
      </c>
      <c r="AC251">
        <v>4.016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s="2">
        <v>45156</v>
      </c>
      <c r="AK251">
        <v>3.56</v>
      </c>
      <c r="AL251">
        <v>3.5680000000000001</v>
      </c>
      <c r="AM251">
        <v>3.5720000000000001</v>
      </c>
      <c r="AN251">
        <v>3.5760000000000001</v>
      </c>
      <c r="AO251">
        <v>3.7250000000000001</v>
      </c>
      <c r="AP251">
        <v>3.74</v>
      </c>
      <c r="AQ251">
        <v>3.7690000000000001</v>
      </c>
      <c r="AR251">
        <v>3.81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</row>
    <row r="252" spans="2:52">
      <c r="B252" s="2">
        <v>45155</v>
      </c>
      <c r="C252">
        <v>3.4950000000000001</v>
      </c>
      <c r="D252">
        <v>3.4329999999999998</v>
      </c>
      <c r="E252">
        <v>3.55</v>
      </c>
      <c r="F252">
        <v>3.4929999999999999</v>
      </c>
      <c r="G252">
        <v>3.73</v>
      </c>
      <c r="H252">
        <v>3.7749999999999999</v>
      </c>
      <c r="I252">
        <v>3.79</v>
      </c>
      <c r="J252">
        <v>3.782</v>
      </c>
      <c r="K252">
        <v>3.85</v>
      </c>
      <c r="L252">
        <v>3.8610000000000002</v>
      </c>
      <c r="M252">
        <v>3.9430000000000001</v>
      </c>
      <c r="N252">
        <v>3.9630000000000001</v>
      </c>
      <c r="O252">
        <v>3.9319999999999999</v>
      </c>
      <c r="P252">
        <v>3.8849999999999998</v>
      </c>
      <c r="Q252">
        <v>3.835</v>
      </c>
      <c r="R252">
        <v>3.8</v>
      </c>
      <c r="S252" s="2">
        <v>45155</v>
      </c>
      <c r="T252">
        <v>3.516</v>
      </c>
      <c r="U252">
        <v>3.5270000000000001</v>
      </c>
      <c r="V252">
        <v>3.5739999999999998</v>
      </c>
      <c r="W252">
        <v>3.6019999999999999</v>
      </c>
      <c r="X252">
        <v>3.782</v>
      </c>
      <c r="Y252">
        <v>3.851</v>
      </c>
      <c r="Z252">
        <v>3.9209999999999998</v>
      </c>
      <c r="AA252">
        <v>3.9729999999999999</v>
      </c>
      <c r="AB252">
        <v>4.016</v>
      </c>
      <c r="AC252">
        <v>4.0810000000000004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 s="2">
        <v>45155</v>
      </c>
      <c r="AK252">
        <v>3.57</v>
      </c>
      <c r="AL252">
        <v>3.58</v>
      </c>
      <c r="AM252">
        <v>3.5880000000000001</v>
      </c>
      <c r="AN252">
        <v>3.5960000000000001</v>
      </c>
      <c r="AO252">
        <v>3.7639999999999998</v>
      </c>
      <c r="AP252">
        <v>3.7839999999999998</v>
      </c>
      <c r="AQ252">
        <v>3.823</v>
      </c>
      <c r="AR252">
        <v>3.87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</row>
    <row r="253" spans="2:52">
      <c r="B253" s="2">
        <v>45154</v>
      </c>
      <c r="C253">
        <v>3.4780000000000002</v>
      </c>
      <c r="D253">
        <v>3.4159999999999999</v>
      </c>
      <c r="E253">
        <v>3.5329999999999999</v>
      </c>
      <c r="F253">
        <v>3.4609999999999999</v>
      </c>
      <c r="G253">
        <v>3.6850000000000001</v>
      </c>
      <c r="H253">
        <v>3.7189999999999999</v>
      </c>
      <c r="I253">
        <v>3.7160000000000002</v>
      </c>
      <c r="J253">
        <v>3.7010000000000001</v>
      </c>
      <c r="K253">
        <v>3.7570000000000001</v>
      </c>
      <c r="L253">
        <v>3.7570000000000001</v>
      </c>
      <c r="M253">
        <v>3.8420000000000001</v>
      </c>
      <c r="N253">
        <v>3.8610000000000002</v>
      </c>
      <c r="O253">
        <v>3.839</v>
      </c>
      <c r="P253">
        <v>3.8</v>
      </c>
      <c r="Q253">
        <v>3.77</v>
      </c>
      <c r="R253">
        <v>3.7349999999999999</v>
      </c>
      <c r="S253" s="2">
        <v>45154</v>
      </c>
      <c r="T253">
        <v>3.5019999999999998</v>
      </c>
      <c r="U253">
        <v>3.5129999999999999</v>
      </c>
      <c r="V253">
        <v>3.56</v>
      </c>
      <c r="W253">
        <v>3.573</v>
      </c>
      <c r="X253">
        <v>3.7370000000000001</v>
      </c>
      <c r="Y253">
        <v>3.794</v>
      </c>
      <c r="Z253">
        <v>3.847</v>
      </c>
      <c r="AA253">
        <v>3.8919999999999999</v>
      </c>
      <c r="AB253">
        <v>3.923</v>
      </c>
      <c r="AC253">
        <v>3.9849999999999999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 s="2">
        <v>45154</v>
      </c>
      <c r="AK253">
        <v>3.5550000000000002</v>
      </c>
      <c r="AL253">
        <v>3.5609999999999999</v>
      </c>
      <c r="AM253">
        <v>3.5630000000000002</v>
      </c>
      <c r="AN253">
        <v>3.5680000000000001</v>
      </c>
      <c r="AO253">
        <v>3.72</v>
      </c>
      <c r="AP253">
        <v>3.7280000000000002</v>
      </c>
      <c r="AQ253">
        <v>3.7530000000000001</v>
      </c>
      <c r="AR253">
        <v>3.79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</row>
    <row r="254" spans="2:52">
      <c r="B254" s="2">
        <v>45152</v>
      </c>
      <c r="C254">
        <v>3.4849999999999999</v>
      </c>
      <c r="D254">
        <v>3.4260000000000002</v>
      </c>
      <c r="E254">
        <v>3.5379999999999998</v>
      </c>
      <c r="F254">
        <v>3.4710000000000001</v>
      </c>
      <c r="G254">
        <v>3.7050000000000001</v>
      </c>
      <c r="H254">
        <v>3.7530000000000001</v>
      </c>
      <c r="I254">
        <v>3.76</v>
      </c>
      <c r="J254">
        <v>3.7490000000000001</v>
      </c>
      <c r="K254">
        <v>3.7989999999999999</v>
      </c>
      <c r="L254">
        <v>3.8</v>
      </c>
      <c r="M254">
        <v>3.8820000000000001</v>
      </c>
      <c r="N254">
        <v>3.9</v>
      </c>
      <c r="O254">
        <v>3.8730000000000002</v>
      </c>
      <c r="P254">
        <v>3.827</v>
      </c>
      <c r="Q254">
        <v>3.7850000000000001</v>
      </c>
      <c r="R254">
        <v>3.75</v>
      </c>
      <c r="S254" s="2">
        <v>45152</v>
      </c>
      <c r="T254">
        <v>3.5110000000000001</v>
      </c>
      <c r="U254">
        <v>3.5270000000000001</v>
      </c>
      <c r="V254">
        <v>3.569</v>
      </c>
      <c r="W254">
        <v>3.5870000000000002</v>
      </c>
      <c r="X254">
        <v>3.76</v>
      </c>
      <c r="Y254">
        <v>3.8340000000000001</v>
      </c>
      <c r="Z254">
        <v>3.891</v>
      </c>
      <c r="AA254">
        <v>3.9390000000000001</v>
      </c>
      <c r="AB254">
        <v>3.9649999999999999</v>
      </c>
      <c r="AC254">
        <v>4.0270000000000001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 s="2">
        <v>45152</v>
      </c>
      <c r="AK254">
        <v>3.5609999999999999</v>
      </c>
      <c r="AL254">
        <v>3.573</v>
      </c>
      <c r="AM254">
        <v>3.5830000000000002</v>
      </c>
      <c r="AN254">
        <v>3.5979999999999999</v>
      </c>
      <c r="AO254">
        <v>3.7639999999999998</v>
      </c>
      <c r="AP254">
        <v>3.77</v>
      </c>
      <c r="AQ254">
        <v>3.7949999999999999</v>
      </c>
      <c r="AR254">
        <v>3.8340000000000001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</row>
    <row r="255" spans="2:52">
      <c r="B255" s="2">
        <v>45149</v>
      </c>
      <c r="C255">
        <v>3.49</v>
      </c>
      <c r="D255">
        <v>3.4449999999999998</v>
      </c>
      <c r="E255">
        <v>3.5459999999999998</v>
      </c>
      <c r="F255">
        <v>3.468</v>
      </c>
      <c r="G255">
        <v>3.6859999999999999</v>
      </c>
      <c r="H255">
        <v>3.7149999999999999</v>
      </c>
      <c r="I255">
        <v>3.7149999999999999</v>
      </c>
      <c r="J255">
        <v>3.6949999999999998</v>
      </c>
      <c r="K255">
        <v>3.7389999999999999</v>
      </c>
      <c r="L255">
        <v>3.73</v>
      </c>
      <c r="M255">
        <v>3.8119999999999998</v>
      </c>
      <c r="N255">
        <v>3.82</v>
      </c>
      <c r="O255">
        <v>3.8</v>
      </c>
      <c r="P255">
        <v>3.762</v>
      </c>
      <c r="Q255">
        <v>3.73</v>
      </c>
      <c r="R255">
        <v>3.6949999999999998</v>
      </c>
      <c r="S255" s="2">
        <v>45149</v>
      </c>
      <c r="T255">
        <v>3.512</v>
      </c>
      <c r="U255">
        <v>3.5369999999999999</v>
      </c>
      <c r="V255">
        <v>3.5739999999999998</v>
      </c>
      <c r="W255">
        <v>3.5819999999999999</v>
      </c>
      <c r="X255">
        <v>3.742</v>
      </c>
      <c r="Y255">
        <v>3.798</v>
      </c>
      <c r="Z255">
        <v>3.847</v>
      </c>
      <c r="AA255">
        <v>3.8849999999999998</v>
      </c>
      <c r="AB255">
        <v>3.9049999999999998</v>
      </c>
      <c r="AC255">
        <v>3.9529999999999998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 s="2">
        <v>45149</v>
      </c>
      <c r="AK255">
        <v>3.552</v>
      </c>
      <c r="AL255">
        <v>3.5630000000000002</v>
      </c>
      <c r="AM255">
        <v>3.573</v>
      </c>
      <c r="AN255">
        <v>3.5880000000000001</v>
      </c>
      <c r="AO255">
        <v>3.7330000000000001</v>
      </c>
      <c r="AP255">
        <v>3.7349999999999999</v>
      </c>
      <c r="AQ255">
        <v>3.7519999999999998</v>
      </c>
      <c r="AR255">
        <v>3.78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</row>
    <row r="256" spans="2:52">
      <c r="B256" s="2">
        <v>45148</v>
      </c>
      <c r="C256">
        <v>3.49</v>
      </c>
      <c r="D256">
        <v>3.4449999999999998</v>
      </c>
      <c r="E256">
        <v>3.5459999999999998</v>
      </c>
      <c r="F256">
        <v>3.468</v>
      </c>
      <c r="G256">
        <v>3.6829999999999998</v>
      </c>
      <c r="H256">
        <v>3.714</v>
      </c>
      <c r="I256">
        <v>3.706</v>
      </c>
      <c r="J256">
        <v>3.677</v>
      </c>
      <c r="K256">
        <v>3.7149999999999999</v>
      </c>
      <c r="L256">
        <v>3.7050000000000001</v>
      </c>
      <c r="M256">
        <v>3.78</v>
      </c>
      <c r="N256">
        <v>3.78</v>
      </c>
      <c r="O256">
        <v>3.7570000000000001</v>
      </c>
      <c r="P256">
        <v>3.7170000000000001</v>
      </c>
      <c r="Q256">
        <v>3.6850000000000001</v>
      </c>
      <c r="R256">
        <v>3.66</v>
      </c>
      <c r="S256" s="2">
        <v>45148</v>
      </c>
      <c r="T256">
        <v>3.5110000000000001</v>
      </c>
      <c r="U256">
        <v>3.5350000000000001</v>
      </c>
      <c r="V256">
        <v>3.5720000000000001</v>
      </c>
      <c r="W256">
        <v>3.58</v>
      </c>
      <c r="X256">
        <v>3.7389999999999999</v>
      </c>
      <c r="Y256">
        <v>3.7930000000000001</v>
      </c>
      <c r="Z256">
        <v>3.8370000000000002</v>
      </c>
      <c r="AA256">
        <v>3.8690000000000002</v>
      </c>
      <c r="AB256">
        <v>3.883</v>
      </c>
      <c r="AC256">
        <v>3.931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 s="2">
        <v>45148</v>
      </c>
      <c r="AK256">
        <v>3.55</v>
      </c>
      <c r="AL256">
        <v>3.56</v>
      </c>
      <c r="AM256">
        <v>3.569</v>
      </c>
      <c r="AN256">
        <v>3.5840000000000001</v>
      </c>
      <c r="AO256">
        <v>3.722</v>
      </c>
      <c r="AP256">
        <v>3.7229999999999999</v>
      </c>
      <c r="AQ256">
        <v>3.7389999999999999</v>
      </c>
      <c r="AR256">
        <v>3.7650000000000001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</row>
  </sheetData>
  <phoneticPr fontId="1" type="noConversion"/>
  <pageMargins left="0.7" right="0.7" top="0.75" bottom="0.75" header="0.3" footer="0.3"/>
  <pageSetup paperSize="9" orientation="portrait" horizontalDpi="0" verticalDpi="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482"/>
  <sheetViews>
    <sheetView workbookViewId="0">
      <pane xSplit="2" ySplit="1" topLeftCell="C58" activePane="bottomRight" state="frozen"/>
      <selection activeCell="B4" sqref="B4"/>
      <selection pane="topRight" activeCell="B4" sqref="B4"/>
      <selection pane="bottomLeft" activeCell="B4" sqref="B4"/>
      <selection pane="bottomRight" activeCell="B4" sqref="B4"/>
    </sheetView>
  </sheetViews>
  <sheetFormatPr defaultColWidth="9" defaultRowHeight="15"/>
  <cols>
    <col min="2" max="2" width="19.7109375" customWidth="1"/>
    <col min="3" max="3" width="13" bestFit="1" customWidth="1"/>
    <col min="4" max="4" width="1.140625" customWidth="1"/>
    <col min="5" max="5" width="20" customWidth="1"/>
    <col min="6" max="6" width="12.5703125" bestFit="1" customWidth="1"/>
    <col min="7" max="7" width="1.42578125" customWidth="1"/>
    <col min="8" max="8" width="16.42578125" customWidth="1"/>
    <col min="9" max="9" width="15.140625" bestFit="1" customWidth="1"/>
    <col min="10" max="10" width="1.7109375" customWidth="1"/>
    <col min="11" max="11" width="14.42578125" customWidth="1"/>
    <col min="12" max="12" width="17.28515625" bestFit="1" customWidth="1"/>
    <col min="13" max="13" width="1.42578125" customWidth="1"/>
    <col min="14" max="14" width="17.28515625" customWidth="1"/>
    <col min="17" max="17" width="17.140625" customWidth="1"/>
  </cols>
  <sheetData>
    <row r="1" spans="1:21" s="5" customFormat="1" ht="15.75" thickBot="1">
      <c r="B1" s="5" t="s">
        <v>29</v>
      </c>
      <c r="E1" s="5" t="s">
        <v>30</v>
      </c>
      <c r="H1" s="5" t="s">
        <v>31</v>
      </c>
      <c r="K1" s="5" t="s">
        <v>32</v>
      </c>
      <c r="N1" s="5" t="s">
        <v>33</v>
      </c>
      <c r="Q1" s="5" t="s">
        <v>34</v>
      </c>
      <c r="T1" s="5" t="s">
        <v>35</v>
      </c>
    </row>
    <row r="2" spans="1:21" s="8" customFormat="1">
      <c r="A2" s="6" t="s">
        <v>36</v>
      </c>
      <c r="B2" s="7" t="s">
        <v>37</v>
      </c>
      <c r="C2" s="7" t="s">
        <v>27</v>
      </c>
      <c r="E2" s="7" t="s">
        <v>37</v>
      </c>
      <c r="F2" s="7" t="s">
        <v>38</v>
      </c>
      <c r="H2" s="7" t="s">
        <v>37</v>
      </c>
      <c r="I2" s="7" t="s">
        <v>39</v>
      </c>
      <c r="K2" s="7" t="s">
        <v>37</v>
      </c>
      <c r="L2" s="7" t="s">
        <v>40</v>
      </c>
      <c r="N2" s="7" t="s">
        <v>41</v>
      </c>
      <c r="O2" s="7" t="s">
        <v>42</v>
      </c>
      <c r="Q2" s="7" t="s">
        <v>43</v>
      </c>
      <c r="R2" s="7" t="s">
        <v>44</v>
      </c>
      <c r="T2" s="7" t="s">
        <v>45</v>
      </c>
      <c r="U2" s="7" t="s">
        <v>46</v>
      </c>
    </row>
    <row r="3" spans="1:21">
      <c r="A3" s="9"/>
      <c r="B3" s="10" t="s">
        <v>47</v>
      </c>
      <c r="C3" s="10" t="s">
        <v>48</v>
      </c>
      <c r="E3" s="10" t="s">
        <v>47</v>
      </c>
      <c r="F3" s="10" t="s">
        <v>49</v>
      </c>
      <c r="H3" s="10" t="s">
        <v>47</v>
      </c>
      <c r="I3" s="10" t="s">
        <v>50</v>
      </c>
      <c r="K3" s="10" t="s">
        <v>51</v>
      </c>
      <c r="L3" s="10" t="s">
        <v>52</v>
      </c>
      <c r="N3" s="10" t="s">
        <v>51</v>
      </c>
      <c r="O3" s="10" t="s">
        <v>53</v>
      </c>
      <c r="Q3" s="10" t="s">
        <v>51</v>
      </c>
      <c r="R3" s="10" t="s">
        <v>54</v>
      </c>
      <c r="T3" s="10" t="s">
        <v>47</v>
      </c>
      <c r="U3" s="10" t="s">
        <v>55</v>
      </c>
    </row>
    <row r="4" spans="1:21">
      <c r="A4" s="9"/>
      <c r="B4" s="10" t="s">
        <v>56</v>
      </c>
      <c r="C4" s="10" t="s">
        <v>57</v>
      </c>
      <c r="E4" s="10" t="s">
        <v>56</v>
      </c>
      <c r="F4" s="10" t="s">
        <v>58</v>
      </c>
      <c r="H4" s="10" t="s">
        <v>56</v>
      </c>
      <c r="I4" s="10" t="s">
        <v>59</v>
      </c>
      <c r="K4" s="10" t="s">
        <v>60</v>
      </c>
      <c r="L4" s="10" t="s">
        <v>61</v>
      </c>
      <c r="N4" s="10" t="s">
        <v>60</v>
      </c>
      <c r="O4" s="10" t="s">
        <v>62</v>
      </c>
      <c r="Q4" s="10" t="s">
        <v>60</v>
      </c>
      <c r="R4" s="10" t="s">
        <v>63</v>
      </c>
      <c r="T4" s="10" t="s">
        <v>56</v>
      </c>
      <c r="U4" s="10" t="s">
        <v>64</v>
      </c>
    </row>
    <row r="5" spans="1:21" s="13" customFormat="1" ht="15.75" thickBot="1">
      <c r="A5" s="11"/>
      <c r="B5" s="12" t="s">
        <v>65</v>
      </c>
      <c r="C5" s="12" t="s">
        <v>66</v>
      </c>
      <c r="E5" s="12" t="s">
        <v>65</v>
      </c>
      <c r="F5" s="12" t="s">
        <v>67</v>
      </c>
      <c r="H5" s="12" t="s">
        <v>65</v>
      </c>
      <c r="I5" s="12" t="s">
        <v>68</v>
      </c>
      <c r="N5" s="12" t="s">
        <v>69</v>
      </c>
      <c r="O5" s="12" t="s">
        <v>70</v>
      </c>
    </row>
    <row r="6" spans="1:21" s="8" customFormat="1">
      <c r="A6" s="6" t="s">
        <v>71</v>
      </c>
      <c r="B6" s="7" t="s">
        <v>72</v>
      </c>
      <c r="C6" s="7" t="s">
        <v>73</v>
      </c>
      <c r="E6" s="7" t="s">
        <v>72</v>
      </c>
      <c r="F6" s="7" t="s">
        <v>74</v>
      </c>
      <c r="H6" s="7" t="s">
        <v>72</v>
      </c>
      <c r="I6" s="7" t="s">
        <v>75</v>
      </c>
      <c r="K6" s="7" t="s">
        <v>76</v>
      </c>
      <c r="L6" s="7" t="s">
        <v>77</v>
      </c>
      <c r="N6" s="7" t="s">
        <v>78</v>
      </c>
      <c r="O6" s="7" t="s">
        <v>79</v>
      </c>
      <c r="Q6" s="7" t="s">
        <v>80</v>
      </c>
      <c r="R6" s="7" t="s">
        <v>81</v>
      </c>
      <c r="T6" s="7" t="s">
        <v>78</v>
      </c>
      <c r="U6" s="7" t="s">
        <v>82</v>
      </c>
    </row>
    <row r="7" spans="1:21" s="13" customFormat="1" ht="15.75" thickBot="1">
      <c r="A7" s="11"/>
      <c r="B7" s="12" t="s">
        <v>83</v>
      </c>
      <c r="C7" s="12" t="s">
        <v>84</v>
      </c>
      <c r="E7" s="12" t="s">
        <v>83</v>
      </c>
      <c r="F7" s="12" t="s">
        <v>85</v>
      </c>
      <c r="H7" s="12" t="s">
        <v>83</v>
      </c>
      <c r="I7" s="12" t="s">
        <v>86</v>
      </c>
      <c r="K7" s="12" t="s">
        <v>87</v>
      </c>
      <c r="L7" s="12" t="s">
        <v>88</v>
      </c>
      <c r="N7" s="12" t="s">
        <v>87</v>
      </c>
      <c r="O7" s="12" t="s">
        <v>89</v>
      </c>
      <c r="Q7" s="12" t="s">
        <v>87</v>
      </c>
      <c r="R7" s="12" t="s">
        <v>90</v>
      </c>
      <c r="T7" s="12" t="s">
        <v>91</v>
      </c>
      <c r="U7" s="12" t="s">
        <v>92</v>
      </c>
    </row>
    <row r="8" spans="1:21" s="8" customFormat="1">
      <c r="A8" s="6" t="s">
        <v>132</v>
      </c>
      <c r="B8" s="7" t="s">
        <v>133</v>
      </c>
      <c r="C8" s="7" t="s">
        <v>134</v>
      </c>
      <c r="E8" s="7" t="s">
        <v>133</v>
      </c>
      <c r="F8" s="7" t="s">
        <v>135</v>
      </c>
      <c r="H8" s="7" t="s">
        <v>136</v>
      </c>
      <c r="I8" s="7" t="s">
        <v>137</v>
      </c>
      <c r="K8" s="7" t="s">
        <v>136</v>
      </c>
      <c r="L8" s="7" t="s">
        <v>138</v>
      </c>
      <c r="N8" s="7" t="s">
        <v>133</v>
      </c>
      <c r="O8" s="7" t="s">
        <v>139</v>
      </c>
      <c r="Q8" s="7" t="s">
        <v>140</v>
      </c>
      <c r="R8" s="7" t="s">
        <v>141</v>
      </c>
      <c r="T8" s="7" t="s">
        <v>136</v>
      </c>
      <c r="U8" s="7" t="s">
        <v>142</v>
      </c>
    </row>
    <row r="9" spans="1:21">
      <c r="A9" s="9"/>
      <c r="B9" s="10" t="s">
        <v>143</v>
      </c>
      <c r="C9" s="10" t="s">
        <v>144</v>
      </c>
      <c r="E9" s="10" t="s">
        <v>143</v>
      </c>
      <c r="F9" s="10" t="s">
        <v>145</v>
      </c>
      <c r="H9" s="10" t="s">
        <v>146</v>
      </c>
      <c r="I9" s="10" t="s">
        <v>147</v>
      </c>
      <c r="K9" s="10" t="s">
        <v>146</v>
      </c>
      <c r="L9" s="10" t="s">
        <v>148</v>
      </c>
      <c r="N9" s="10" t="s">
        <v>143</v>
      </c>
      <c r="O9" s="10" t="s">
        <v>149</v>
      </c>
      <c r="Q9" s="10" t="s">
        <v>150</v>
      </c>
      <c r="R9" s="10" t="s">
        <v>151</v>
      </c>
      <c r="T9" s="10" t="s">
        <v>146</v>
      </c>
      <c r="U9" s="10" t="s">
        <v>152</v>
      </c>
    </row>
    <row r="10" spans="1:21">
      <c r="A10" s="9"/>
      <c r="B10" s="10" t="s">
        <v>153</v>
      </c>
      <c r="C10" s="10" t="s">
        <v>154</v>
      </c>
      <c r="E10" s="10" t="s">
        <v>153</v>
      </c>
      <c r="F10" s="10" t="s">
        <v>155</v>
      </c>
      <c r="H10" s="10" t="s">
        <v>156</v>
      </c>
      <c r="I10" s="10" t="s">
        <v>157</v>
      </c>
      <c r="K10" s="10" t="s">
        <v>158</v>
      </c>
      <c r="L10" s="10" t="s">
        <v>159</v>
      </c>
      <c r="N10" s="10" t="s">
        <v>153</v>
      </c>
      <c r="O10" s="10" t="s">
        <v>160</v>
      </c>
      <c r="Q10" s="10" t="s">
        <v>161</v>
      </c>
      <c r="R10" s="10" t="s">
        <v>162</v>
      </c>
      <c r="T10" s="10" t="s">
        <v>156</v>
      </c>
      <c r="U10" s="10" t="s">
        <v>163</v>
      </c>
    </row>
    <row r="11" spans="1:21">
      <c r="A11" s="9"/>
      <c r="B11" s="10" t="s">
        <v>164</v>
      </c>
      <c r="C11" s="10" t="s">
        <v>165</v>
      </c>
      <c r="E11" s="10" t="s">
        <v>164</v>
      </c>
      <c r="F11" s="10" t="s">
        <v>166</v>
      </c>
      <c r="H11" s="10" t="s">
        <v>167</v>
      </c>
      <c r="I11" s="10" t="s">
        <v>168</v>
      </c>
      <c r="K11" s="10" t="s">
        <v>167</v>
      </c>
      <c r="L11" s="10" t="s">
        <v>169</v>
      </c>
      <c r="N11" s="10" t="s">
        <v>164</v>
      </c>
      <c r="O11" s="10" t="s">
        <v>170</v>
      </c>
      <c r="Q11" s="10" t="s">
        <v>171</v>
      </c>
      <c r="R11" s="10" t="s">
        <v>172</v>
      </c>
    </row>
    <row r="12" spans="1:21" s="13" customFormat="1" ht="15.75" thickBot="1">
      <c r="A12" s="11"/>
      <c r="B12" s="12" t="s">
        <v>173</v>
      </c>
      <c r="C12" s="12" t="s">
        <v>174</v>
      </c>
      <c r="E12" s="12" t="s">
        <v>173</v>
      </c>
      <c r="F12" s="12" t="s">
        <v>175</v>
      </c>
      <c r="H12" s="12" t="s">
        <v>176</v>
      </c>
      <c r="I12" s="12" t="s">
        <v>177</v>
      </c>
      <c r="K12" s="12" t="s">
        <v>173</v>
      </c>
      <c r="L12" s="12" t="s">
        <v>178</v>
      </c>
      <c r="N12" s="12" t="s">
        <v>173</v>
      </c>
      <c r="O12" s="12" t="s">
        <v>179</v>
      </c>
      <c r="Q12" s="12" t="s">
        <v>180</v>
      </c>
      <c r="R12" s="12" t="s">
        <v>181</v>
      </c>
      <c r="T12" s="12" t="s">
        <v>176</v>
      </c>
      <c r="U12" s="12" t="s">
        <v>182</v>
      </c>
    </row>
    <row r="13" spans="1:21" s="8" customFormat="1">
      <c r="A13" s="6" t="s">
        <v>183</v>
      </c>
      <c r="B13" s="7" t="s">
        <v>184</v>
      </c>
      <c r="C13" s="7" t="s">
        <v>28</v>
      </c>
      <c r="E13" s="7" t="s">
        <v>184</v>
      </c>
      <c r="F13" s="7" t="s">
        <v>185</v>
      </c>
      <c r="H13" s="7" t="s">
        <v>186</v>
      </c>
      <c r="I13" s="7" t="s">
        <v>187</v>
      </c>
      <c r="K13" s="7" t="s">
        <v>184</v>
      </c>
      <c r="L13" s="7" t="s">
        <v>188</v>
      </c>
      <c r="N13" s="7" t="s">
        <v>184</v>
      </c>
      <c r="O13" s="7" t="s">
        <v>189</v>
      </c>
      <c r="Q13" s="7" t="s">
        <v>190</v>
      </c>
      <c r="R13" s="7" t="s">
        <v>191</v>
      </c>
      <c r="T13" s="7" t="s">
        <v>184</v>
      </c>
      <c r="U13" s="7" t="s">
        <v>192</v>
      </c>
    </row>
    <row r="14" spans="1:21" s="13" customFormat="1" ht="15.75" thickBot="1">
      <c r="A14" s="11"/>
      <c r="B14" s="12" t="s">
        <v>193</v>
      </c>
      <c r="C14" s="12" t="s">
        <v>194</v>
      </c>
      <c r="E14" s="12" t="s">
        <v>193</v>
      </c>
      <c r="F14" s="12" t="s">
        <v>195</v>
      </c>
      <c r="H14" s="12" t="s">
        <v>193</v>
      </c>
      <c r="I14" s="12" t="s">
        <v>196</v>
      </c>
    </row>
    <row r="15" spans="1:21" s="98" customFormat="1" ht="15.75" thickBot="1">
      <c r="A15" s="9" t="s">
        <v>880</v>
      </c>
      <c r="B15" s="97" t="s">
        <v>880</v>
      </c>
      <c r="C15" s="97" t="s">
        <v>881</v>
      </c>
      <c r="E15" s="97" t="s">
        <v>880</v>
      </c>
      <c r="F15" t="s">
        <v>882</v>
      </c>
      <c r="H15" s="97" t="s">
        <v>880</v>
      </c>
      <c r="I15" t="s">
        <v>883</v>
      </c>
      <c r="K15" s="97" t="s">
        <v>880</v>
      </c>
      <c r="L15" t="s">
        <v>884</v>
      </c>
      <c r="N15" s="97" t="s">
        <v>880</v>
      </c>
      <c r="O15" t="s">
        <v>885</v>
      </c>
      <c r="Q15" s="97" t="s">
        <v>880</v>
      </c>
      <c r="R15" t="s">
        <v>886</v>
      </c>
      <c r="T15" s="97" t="s">
        <v>880</v>
      </c>
      <c r="U15" t="s">
        <v>887</v>
      </c>
    </row>
    <row r="16" spans="1:21" s="8" customFormat="1">
      <c r="A16" s="6" t="s">
        <v>197</v>
      </c>
      <c r="B16" s="7" t="s">
        <v>198</v>
      </c>
      <c r="C16" s="7" t="s">
        <v>199</v>
      </c>
      <c r="E16" s="7" t="s">
        <v>198</v>
      </c>
      <c r="F16" s="7" t="s">
        <v>200</v>
      </c>
      <c r="H16" s="7" t="s">
        <v>201</v>
      </c>
      <c r="I16" s="7" t="s">
        <v>202</v>
      </c>
      <c r="K16" s="7" t="s">
        <v>203</v>
      </c>
      <c r="L16" s="7" t="s">
        <v>204</v>
      </c>
      <c r="N16" s="7" t="s">
        <v>198</v>
      </c>
      <c r="O16" s="7" t="s">
        <v>205</v>
      </c>
      <c r="Q16" s="7" t="s">
        <v>206</v>
      </c>
      <c r="R16" s="7" t="s">
        <v>207</v>
      </c>
      <c r="T16" s="7" t="s">
        <v>208</v>
      </c>
      <c r="U16" s="7" t="s">
        <v>209</v>
      </c>
    </row>
    <row r="17" spans="1:21">
      <c r="A17" s="9"/>
      <c r="B17" s="10" t="s">
        <v>210</v>
      </c>
      <c r="C17" s="10" t="s">
        <v>211</v>
      </c>
      <c r="E17" s="10" t="s">
        <v>210</v>
      </c>
      <c r="F17" s="10" t="s">
        <v>212</v>
      </c>
      <c r="H17" s="10" t="s">
        <v>210</v>
      </c>
      <c r="I17" s="10" t="s">
        <v>213</v>
      </c>
    </row>
    <row r="18" spans="1:21">
      <c r="A18" s="9"/>
      <c r="B18" s="10" t="s">
        <v>214</v>
      </c>
      <c r="C18" s="10" t="s">
        <v>215</v>
      </c>
      <c r="E18" s="10" t="s">
        <v>214</v>
      </c>
      <c r="F18" s="10" t="s">
        <v>216</v>
      </c>
      <c r="H18" s="10" t="s">
        <v>217</v>
      </c>
      <c r="I18" s="10" t="s">
        <v>218</v>
      </c>
      <c r="K18" s="10" t="s">
        <v>219</v>
      </c>
      <c r="L18" s="10" t="s">
        <v>220</v>
      </c>
      <c r="N18" s="10" t="s">
        <v>214</v>
      </c>
      <c r="O18" s="10" t="s">
        <v>221</v>
      </c>
      <c r="Q18" s="10" t="s">
        <v>222</v>
      </c>
      <c r="R18" s="10" t="s">
        <v>223</v>
      </c>
      <c r="T18" s="10" t="s">
        <v>224</v>
      </c>
      <c r="U18" s="10" t="s">
        <v>225</v>
      </c>
    </row>
    <row r="19" spans="1:21">
      <c r="A19" s="9"/>
      <c r="B19" s="10" t="s">
        <v>226</v>
      </c>
      <c r="C19" s="10" t="s">
        <v>227</v>
      </c>
      <c r="E19" s="10" t="s">
        <v>226</v>
      </c>
      <c r="F19" s="10" t="s">
        <v>228</v>
      </c>
      <c r="H19" s="10" t="s">
        <v>226</v>
      </c>
      <c r="I19" s="10" t="s">
        <v>229</v>
      </c>
    </row>
    <row r="20" spans="1:21">
      <c r="A20" s="9"/>
      <c r="B20" s="10" t="s">
        <v>230</v>
      </c>
      <c r="C20" s="10" t="s">
        <v>231</v>
      </c>
      <c r="E20" s="10" t="s">
        <v>230</v>
      </c>
      <c r="F20" s="10" t="s">
        <v>232</v>
      </c>
      <c r="H20" s="10" t="s">
        <v>233</v>
      </c>
      <c r="I20" s="10" t="s">
        <v>234</v>
      </c>
      <c r="K20" s="10" t="s">
        <v>235</v>
      </c>
      <c r="L20" s="10" t="s">
        <v>236</v>
      </c>
      <c r="N20" s="10" t="s">
        <v>230</v>
      </c>
      <c r="O20" s="10" t="s">
        <v>237</v>
      </c>
      <c r="Q20" s="10" t="s">
        <v>238</v>
      </c>
      <c r="R20" s="10" t="s">
        <v>239</v>
      </c>
      <c r="T20" s="10" t="s">
        <v>240</v>
      </c>
      <c r="U20" s="10" t="s">
        <v>241</v>
      </c>
    </row>
    <row r="21" spans="1:21">
      <c r="A21" s="9"/>
      <c r="B21" s="10" t="s">
        <v>242</v>
      </c>
      <c r="C21" s="10" t="s">
        <v>243</v>
      </c>
      <c r="E21" s="10" t="s">
        <v>242</v>
      </c>
      <c r="F21" s="10" t="s">
        <v>244</v>
      </c>
      <c r="H21" s="10" t="s">
        <v>245</v>
      </c>
      <c r="I21" s="10" t="s">
        <v>246</v>
      </c>
      <c r="K21" s="10" t="s">
        <v>247</v>
      </c>
      <c r="L21" s="10" t="s">
        <v>248</v>
      </c>
      <c r="N21" s="10" t="s">
        <v>242</v>
      </c>
      <c r="O21" s="10" t="s">
        <v>249</v>
      </c>
      <c r="Q21" s="10" t="s">
        <v>250</v>
      </c>
      <c r="R21" s="10" t="s">
        <v>251</v>
      </c>
    </row>
    <row r="22" spans="1:21">
      <c r="A22" s="9"/>
      <c r="B22" s="10" t="s">
        <v>252</v>
      </c>
      <c r="C22" s="10" t="s">
        <v>253</v>
      </c>
      <c r="E22" s="10" t="s">
        <v>252</v>
      </c>
      <c r="F22" s="10" t="s">
        <v>254</v>
      </c>
      <c r="H22" s="10" t="s">
        <v>255</v>
      </c>
      <c r="I22" s="10" t="s">
        <v>256</v>
      </c>
      <c r="K22" s="10" t="s">
        <v>257</v>
      </c>
      <c r="L22" s="10" t="s">
        <v>258</v>
      </c>
      <c r="N22" s="10" t="s">
        <v>252</v>
      </c>
      <c r="O22" s="10" t="s">
        <v>259</v>
      </c>
      <c r="Q22" s="10" t="s">
        <v>260</v>
      </c>
      <c r="R22" s="10" t="s">
        <v>261</v>
      </c>
      <c r="T22" s="10" t="s">
        <v>262</v>
      </c>
      <c r="U22" s="10" t="s">
        <v>263</v>
      </c>
    </row>
    <row r="23" spans="1:21">
      <c r="A23" s="9"/>
      <c r="B23" s="10" t="s">
        <v>264</v>
      </c>
      <c r="C23" s="10" t="s">
        <v>265</v>
      </c>
      <c r="E23" s="10" t="s">
        <v>264</v>
      </c>
      <c r="F23" s="10" t="s">
        <v>266</v>
      </c>
      <c r="H23" s="10" t="s">
        <v>267</v>
      </c>
      <c r="I23" s="10" t="s">
        <v>268</v>
      </c>
      <c r="K23" s="10" t="s">
        <v>269</v>
      </c>
      <c r="L23" s="10" t="s">
        <v>270</v>
      </c>
      <c r="N23" s="10" t="s">
        <v>264</v>
      </c>
      <c r="O23" s="10" t="s">
        <v>271</v>
      </c>
      <c r="Q23" s="10" t="s">
        <v>272</v>
      </c>
      <c r="R23" s="10" t="s">
        <v>273</v>
      </c>
    </row>
    <row r="24" spans="1:21">
      <c r="A24" s="9"/>
      <c r="B24" s="10" t="s">
        <v>274</v>
      </c>
      <c r="C24" s="10" t="s">
        <v>275</v>
      </c>
      <c r="E24" s="10" t="s">
        <v>274</v>
      </c>
      <c r="F24" s="10" t="s">
        <v>276</v>
      </c>
      <c r="H24" s="10" t="s">
        <v>277</v>
      </c>
      <c r="I24" s="10" t="s">
        <v>278</v>
      </c>
      <c r="K24" s="10" t="s">
        <v>279</v>
      </c>
      <c r="L24" s="10" t="s">
        <v>280</v>
      </c>
      <c r="N24" s="10" t="s">
        <v>274</v>
      </c>
      <c r="O24" s="10" t="s">
        <v>281</v>
      </c>
      <c r="Q24" s="10" t="s">
        <v>282</v>
      </c>
      <c r="R24" s="10" t="s">
        <v>283</v>
      </c>
      <c r="T24" s="10" t="s">
        <v>284</v>
      </c>
      <c r="U24" s="10" t="s">
        <v>285</v>
      </c>
    </row>
    <row r="25" spans="1:21">
      <c r="A25" s="9"/>
      <c r="B25" s="10" t="s">
        <v>286</v>
      </c>
      <c r="C25" s="10" t="s">
        <v>287</v>
      </c>
      <c r="E25" s="10" t="s">
        <v>286</v>
      </c>
      <c r="F25" s="10" t="s">
        <v>288</v>
      </c>
      <c r="K25" s="10" t="s">
        <v>289</v>
      </c>
      <c r="L25" s="10" t="s">
        <v>290</v>
      </c>
      <c r="N25" s="10" t="s">
        <v>286</v>
      </c>
      <c r="O25" s="10" t="s">
        <v>291</v>
      </c>
      <c r="Q25" s="10" t="s">
        <v>292</v>
      </c>
      <c r="R25" s="10" t="s">
        <v>293</v>
      </c>
    </row>
    <row r="26" spans="1:21">
      <c r="A26" s="9"/>
      <c r="B26" s="10" t="s">
        <v>294</v>
      </c>
      <c r="C26" s="10" t="s">
        <v>295</v>
      </c>
      <c r="E26" s="10" t="s">
        <v>294</v>
      </c>
      <c r="F26" s="10" t="s">
        <v>296</v>
      </c>
      <c r="K26" s="10" t="s">
        <v>297</v>
      </c>
      <c r="L26" s="10" t="s">
        <v>298</v>
      </c>
      <c r="N26" s="10" t="s">
        <v>294</v>
      </c>
      <c r="O26" s="10" t="s">
        <v>299</v>
      </c>
      <c r="Q26" s="10" t="s">
        <v>300</v>
      </c>
      <c r="R26" s="10" t="s">
        <v>301</v>
      </c>
    </row>
    <row r="27" spans="1:21" s="16" customFormat="1">
      <c r="A27" s="14"/>
      <c r="B27" s="15" t="s">
        <v>302</v>
      </c>
      <c r="C27" s="15" t="s">
        <v>303</v>
      </c>
      <c r="E27" s="15" t="s">
        <v>302</v>
      </c>
      <c r="F27" s="15" t="s">
        <v>304</v>
      </c>
      <c r="K27" s="15" t="s">
        <v>305</v>
      </c>
      <c r="L27" s="15" t="s">
        <v>306</v>
      </c>
    </row>
    <row r="28" spans="1:21" s="16" customFormat="1">
      <c r="A28" s="14"/>
      <c r="B28" s="15" t="s">
        <v>307</v>
      </c>
      <c r="C28" s="15" t="s">
        <v>308</v>
      </c>
      <c r="E28" s="15" t="s">
        <v>307</v>
      </c>
      <c r="F28" s="15" t="s">
        <v>309</v>
      </c>
      <c r="H28" s="15" t="s">
        <v>310</v>
      </c>
      <c r="I28" s="15" t="s">
        <v>311</v>
      </c>
      <c r="K28" s="15" t="s">
        <v>312</v>
      </c>
      <c r="L28" s="15" t="s">
        <v>313</v>
      </c>
      <c r="N28" s="15" t="s">
        <v>307</v>
      </c>
      <c r="O28" s="15" t="s">
        <v>314</v>
      </c>
      <c r="Q28" s="15" t="s">
        <v>315</v>
      </c>
      <c r="R28" s="15" t="s">
        <v>316</v>
      </c>
      <c r="T28" s="15" t="s">
        <v>317</v>
      </c>
      <c r="U28" s="15" t="s">
        <v>318</v>
      </c>
    </row>
    <row r="29" spans="1:21" s="16" customFormat="1">
      <c r="A29" s="14"/>
      <c r="B29" s="15" t="s">
        <v>319</v>
      </c>
      <c r="C29" s="15" t="s">
        <v>320</v>
      </c>
      <c r="E29" s="15" t="s">
        <v>319</v>
      </c>
      <c r="F29" s="15" t="s">
        <v>321</v>
      </c>
      <c r="H29" s="15" t="s">
        <v>322</v>
      </c>
      <c r="I29" s="15" t="s">
        <v>323</v>
      </c>
      <c r="K29" s="15" t="s">
        <v>324</v>
      </c>
      <c r="L29" s="15" t="s">
        <v>325</v>
      </c>
      <c r="N29" s="15" t="s">
        <v>319</v>
      </c>
      <c r="O29" s="15" t="s">
        <v>326</v>
      </c>
      <c r="Q29" s="15" t="s">
        <v>327</v>
      </c>
      <c r="R29" s="15" t="s">
        <v>328</v>
      </c>
      <c r="T29" s="15" t="s">
        <v>329</v>
      </c>
      <c r="U29" s="15" t="s">
        <v>330</v>
      </c>
    </row>
    <row r="30" spans="1:21" s="16" customFormat="1">
      <c r="A30" s="14"/>
      <c r="B30" s="15" t="s">
        <v>331</v>
      </c>
      <c r="C30" s="15" t="s">
        <v>332</v>
      </c>
      <c r="E30" s="15" t="s">
        <v>331</v>
      </c>
      <c r="F30" s="15" t="s">
        <v>333</v>
      </c>
      <c r="H30" s="15" t="s">
        <v>334</v>
      </c>
      <c r="I30" s="15" t="s">
        <v>335</v>
      </c>
      <c r="K30" s="15" t="s">
        <v>336</v>
      </c>
      <c r="L30" s="15" t="s">
        <v>337</v>
      </c>
      <c r="N30" s="15" t="s">
        <v>331</v>
      </c>
      <c r="O30" s="15" t="s">
        <v>338</v>
      </c>
      <c r="Q30" s="15" t="s">
        <v>339</v>
      </c>
      <c r="R30" s="15" t="s">
        <v>340</v>
      </c>
      <c r="T30" s="15" t="s">
        <v>341</v>
      </c>
      <c r="U30" s="15" t="s">
        <v>342</v>
      </c>
    </row>
    <row r="31" spans="1:21" s="16" customFormat="1">
      <c r="A31" s="14"/>
      <c r="B31" s="15" t="s">
        <v>343</v>
      </c>
      <c r="C31" s="15" t="s">
        <v>344</v>
      </c>
      <c r="E31" s="15" t="s">
        <v>343</v>
      </c>
      <c r="F31" s="15" t="s">
        <v>345</v>
      </c>
      <c r="H31" s="15" t="s">
        <v>346</v>
      </c>
      <c r="I31" s="15" t="s">
        <v>347</v>
      </c>
      <c r="K31" s="15" t="s">
        <v>348</v>
      </c>
      <c r="L31" s="15" t="s">
        <v>349</v>
      </c>
      <c r="N31" s="15" t="s">
        <v>343</v>
      </c>
      <c r="O31" s="15" t="s">
        <v>350</v>
      </c>
      <c r="Q31" s="15" t="s">
        <v>351</v>
      </c>
      <c r="R31" s="15" t="s">
        <v>352</v>
      </c>
      <c r="T31" s="15" t="s">
        <v>353</v>
      </c>
      <c r="U31" s="15" t="s">
        <v>354</v>
      </c>
    </row>
    <row r="32" spans="1:21" s="16" customFormat="1">
      <c r="A32" s="14"/>
      <c r="B32" s="15" t="s">
        <v>355</v>
      </c>
      <c r="C32" s="15" t="s">
        <v>356</v>
      </c>
      <c r="E32" s="15" t="s">
        <v>355</v>
      </c>
      <c r="F32" s="15" t="s">
        <v>357</v>
      </c>
      <c r="H32" s="15" t="s">
        <v>358</v>
      </c>
      <c r="I32" s="15" t="s">
        <v>359</v>
      </c>
      <c r="K32" s="15" t="s">
        <v>360</v>
      </c>
      <c r="L32" s="15" t="s">
        <v>361</v>
      </c>
      <c r="N32" s="15" t="s">
        <v>355</v>
      </c>
      <c r="O32" s="15" t="s">
        <v>362</v>
      </c>
      <c r="Q32" s="15" t="s">
        <v>363</v>
      </c>
      <c r="R32" s="15" t="s">
        <v>364</v>
      </c>
      <c r="T32" s="15" t="s">
        <v>365</v>
      </c>
      <c r="U32" s="15" t="s">
        <v>366</v>
      </c>
    </row>
    <row r="33" spans="1:21" s="16" customFormat="1">
      <c r="A33" s="14"/>
      <c r="B33" s="15" t="s">
        <v>367</v>
      </c>
      <c r="C33" s="15" t="s">
        <v>368</v>
      </c>
      <c r="E33" s="15" t="s">
        <v>367</v>
      </c>
      <c r="F33" s="15" t="s">
        <v>369</v>
      </c>
      <c r="H33" s="15" t="s">
        <v>370</v>
      </c>
      <c r="I33" s="15" t="s">
        <v>371</v>
      </c>
      <c r="K33" s="15" t="s">
        <v>372</v>
      </c>
      <c r="L33" s="15" t="s">
        <v>373</v>
      </c>
      <c r="N33" s="15" t="s">
        <v>367</v>
      </c>
      <c r="O33" s="15" t="s">
        <v>374</v>
      </c>
      <c r="Q33" s="15" t="s">
        <v>375</v>
      </c>
      <c r="R33" s="15" t="s">
        <v>376</v>
      </c>
      <c r="T33" s="15" t="s">
        <v>377</v>
      </c>
      <c r="U33" s="15" t="s">
        <v>378</v>
      </c>
    </row>
    <row r="34" spans="1:21" s="16" customFormat="1">
      <c r="A34" s="14"/>
      <c r="B34" s="15" t="s">
        <v>379</v>
      </c>
      <c r="C34" s="15" t="s">
        <v>380</v>
      </c>
      <c r="E34" s="15" t="s">
        <v>379</v>
      </c>
      <c r="F34" s="15" t="s">
        <v>381</v>
      </c>
      <c r="K34" s="15" t="s">
        <v>382</v>
      </c>
      <c r="L34" s="15" t="s">
        <v>383</v>
      </c>
      <c r="N34" s="15" t="s">
        <v>379</v>
      </c>
      <c r="O34" s="15" t="s">
        <v>384</v>
      </c>
      <c r="Q34" s="15" t="s">
        <v>385</v>
      </c>
      <c r="R34" s="15" t="s">
        <v>386</v>
      </c>
    </row>
    <row r="35" spans="1:21" s="16" customFormat="1">
      <c r="A35" s="14"/>
      <c r="B35" s="15" t="s">
        <v>387</v>
      </c>
      <c r="C35" s="15" t="s">
        <v>388</v>
      </c>
      <c r="E35" s="15" t="s">
        <v>387</v>
      </c>
      <c r="F35" s="15" t="s">
        <v>389</v>
      </c>
      <c r="K35" s="15" t="s">
        <v>390</v>
      </c>
      <c r="L35" s="15" t="s">
        <v>391</v>
      </c>
      <c r="N35" s="15" t="s">
        <v>392</v>
      </c>
      <c r="O35" s="15" t="s">
        <v>393</v>
      </c>
      <c r="Q35" s="15" t="s">
        <v>394</v>
      </c>
      <c r="R35" s="15" t="s">
        <v>395</v>
      </c>
      <c r="T35" s="15" t="s">
        <v>396</v>
      </c>
      <c r="U35" s="15" t="s">
        <v>397</v>
      </c>
    </row>
    <row r="36" spans="1:21" s="16" customFormat="1">
      <c r="A36" s="14"/>
      <c r="B36" s="15" t="s">
        <v>398</v>
      </c>
      <c r="C36" s="15" t="s">
        <v>399</v>
      </c>
      <c r="E36" s="15" t="s">
        <v>398</v>
      </c>
      <c r="F36" s="15" t="s">
        <v>400</v>
      </c>
      <c r="K36" s="15" t="s">
        <v>401</v>
      </c>
      <c r="L36" s="15" t="s">
        <v>402</v>
      </c>
      <c r="N36" s="15" t="s">
        <v>398</v>
      </c>
      <c r="O36" s="15" t="s">
        <v>403</v>
      </c>
      <c r="Q36" s="15" t="s">
        <v>404</v>
      </c>
      <c r="R36" s="15" t="s">
        <v>405</v>
      </c>
    </row>
    <row r="37" spans="1:21">
      <c r="A37" s="9"/>
      <c r="B37" s="10" t="s">
        <v>406</v>
      </c>
      <c r="C37" s="10" t="s">
        <v>407</v>
      </c>
      <c r="E37" s="10" t="s">
        <v>406</v>
      </c>
      <c r="F37" s="10" t="s">
        <v>408</v>
      </c>
      <c r="K37" s="10" t="s">
        <v>406</v>
      </c>
      <c r="L37" s="10" t="s">
        <v>409</v>
      </c>
    </row>
    <row r="38" spans="1:21">
      <c r="A38" s="9"/>
      <c r="B38" s="10" t="s">
        <v>410</v>
      </c>
      <c r="C38" s="10" t="s">
        <v>411</v>
      </c>
      <c r="E38" s="10" t="s">
        <v>410</v>
      </c>
      <c r="F38" s="10" t="s">
        <v>412</v>
      </c>
      <c r="H38" s="10" t="s">
        <v>413</v>
      </c>
      <c r="I38" s="10" t="s">
        <v>414</v>
      </c>
      <c r="K38" s="10" t="s">
        <v>410</v>
      </c>
      <c r="L38" s="10" t="s">
        <v>415</v>
      </c>
      <c r="N38" s="10" t="s">
        <v>416</v>
      </c>
      <c r="O38" s="10" t="s">
        <v>417</v>
      </c>
      <c r="Q38" s="10" t="s">
        <v>416</v>
      </c>
      <c r="R38" s="10" t="s">
        <v>418</v>
      </c>
    </row>
    <row r="39" spans="1:21">
      <c r="A39" s="9"/>
      <c r="B39" s="10" t="s">
        <v>419</v>
      </c>
      <c r="C39" s="10" t="s">
        <v>420</v>
      </c>
      <c r="E39" s="10" t="s">
        <v>419</v>
      </c>
      <c r="F39" s="10" t="s">
        <v>421</v>
      </c>
      <c r="H39" s="10" t="s">
        <v>422</v>
      </c>
      <c r="I39" s="10" t="s">
        <v>423</v>
      </c>
      <c r="K39" s="10" t="s">
        <v>419</v>
      </c>
      <c r="L39" s="10" t="s">
        <v>424</v>
      </c>
      <c r="N39" s="10" t="s">
        <v>425</v>
      </c>
      <c r="O39" s="10" t="s">
        <v>426</v>
      </c>
      <c r="Q39" s="10" t="s">
        <v>425</v>
      </c>
      <c r="R39" s="10" t="s">
        <v>427</v>
      </c>
    </row>
    <row r="40" spans="1:21">
      <c r="A40" s="9"/>
      <c r="B40" s="10" t="s">
        <v>428</v>
      </c>
      <c r="C40" s="10" t="s">
        <v>429</v>
      </c>
      <c r="E40" s="10" t="s">
        <v>428</v>
      </c>
      <c r="F40" s="10" t="s">
        <v>430</v>
      </c>
      <c r="H40" s="10" t="s">
        <v>431</v>
      </c>
      <c r="I40" s="10" t="s">
        <v>432</v>
      </c>
      <c r="K40" s="10" t="s">
        <v>428</v>
      </c>
      <c r="L40" s="10" t="s">
        <v>433</v>
      </c>
      <c r="N40" s="10" t="s">
        <v>434</v>
      </c>
      <c r="O40" s="10" t="s">
        <v>435</v>
      </c>
      <c r="Q40" s="10" t="s">
        <v>434</v>
      </c>
      <c r="R40" s="10" t="s">
        <v>436</v>
      </c>
    </row>
    <row r="41" spans="1:21">
      <c r="A41" s="9"/>
      <c r="B41" s="10" t="s">
        <v>437</v>
      </c>
      <c r="C41" s="10" t="s">
        <v>438</v>
      </c>
      <c r="E41" s="10" t="s">
        <v>437</v>
      </c>
      <c r="F41" s="10" t="s">
        <v>439</v>
      </c>
      <c r="H41" s="10" t="s">
        <v>440</v>
      </c>
      <c r="I41" s="10" t="s">
        <v>441</v>
      </c>
      <c r="K41" s="10" t="s">
        <v>437</v>
      </c>
      <c r="L41" s="10" t="s">
        <v>442</v>
      </c>
      <c r="N41" s="10" t="s">
        <v>443</v>
      </c>
      <c r="O41" s="10" t="s">
        <v>444</v>
      </c>
      <c r="Q41" s="10" t="s">
        <v>443</v>
      </c>
      <c r="R41" s="10" t="s">
        <v>445</v>
      </c>
    </row>
    <row r="42" spans="1:21">
      <c r="A42" s="9"/>
      <c r="B42" s="10" t="s">
        <v>446</v>
      </c>
      <c r="C42" s="10" t="s">
        <v>447</v>
      </c>
      <c r="E42" s="10" t="s">
        <v>446</v>
      </c>
      <c r="F42" s="10" t="s">
        <v>448</v>
      </c>
      <c r="H42" s="10" t="s">
        <v>449</v>
      </c>
      <c r="I42" s="10" t="s">
        <v>450</v>
      </c>
      <c r="K42" s="10" t="s">
        <v>446</v>
      </c>
      <c r="L42" s="10" t="s">
        <v>451</v>
      </c>
      <c r="N42" s="10" t="s">
        <v>452</v>
      </c>
      <c r="O42" s="10" t="s">
        <v>453</v>
      </c>
      <c r="Q42" s="10" t="s">
        <v>452</v>
      </c>
      <c r="R42" s="10" t="s">
        <v>454</v>
      </c>
    </row>
    <row r="43" spans="1:21">
      <c r="A43" s="9"/>
      <c r="B43" s="10" t="s">
        <v>455</v>
      </c>
      <c r="C43" s="10" t="s">
        <v>456</v>
      </c>
      <c r="E43" s="10" t="s">
        <v>455</v>
      </c>
      <c r="F43" s="10" t="s">
        <v>457</v>
      </c>
      <c r="H43" s="10" t="s">
        <v>458</v>
      </c>
      <c r="I43" s="10" t="s">
        <v>459</v>
      </c>
      <c r="K43" s="10" t="s">
        <v>455</v>
      </c>
      <c r="L43" s="10" t="s">
        <v>460</v>
      </c>
      <c r="N43" s="10" t="s">
        <v>461</v>
      </c>
      <c r="O43" s="10" t="s">
        <v>462</v>
      </c>
      <c r="Q43" s="10" t="s">
        <v>461</v>
      </c>
      <c r="R43" s="10" t="s">
        <v>463</v>
      </c>
    </row>
    <row r="44" spans="1:21">
      <c r="A44" s="9"/>
      <c r="B44" s="10" t="s">
        <v>464</v>
      </c>
      <c r="C44" s="10" t="s">
        <v>465</v>
      </c>
      <c r="E44" s="10" t="s">
        <v>464</v>
      </c>
      <c r="F44" s="10" t="s">
        <v>466</v>
      </c>
      <c r="H44" s="10" t="s">
        <v>467</v>
      </c>
      <c r="I44" s="10" t="s">
        <v>468</v>
      </c>
      <c r="K44" s="10" t="s">
        <v>464</v>
      </c>
      <c r="L44" s="10" t="s">
        <v>469</v>
      </c>
      <c r="N44" s="10" t="s">
        <v>470</v>
      </c>
      <c r="O44" s="10" t="s">
        <v>471</v>
      </c>
      <c r="Q44" s="10" t="s">
        <v>470</v>
      </c>
      <c r="R44" s="10" t="s">
        <v>472</v>
      </c>
    </row>
    <row r="45" spans="1:21">
      <c r="A45" s="9"/>
      <c r="B45" s="10" t="s">
        <v>473</v>
      </c>
      <c r="C45" s="10" t="s">
        <v>474</v>
      </c>
      <c r="E45" s="10" t="s">
        <v>473</v>
      </c>
      <c r="F45" s="10" t="s">
        <v>475</v>
      </c>
      <c r="H45" s="10" t="s">
        <v>476</v>
      </c>
      <c r="I45" s="10" t="s">
        <v>477</v>
      </c>
      <c r="K45" s="10" t="s">
        <v>473</v>
      </c>
      <c r="L45" s="10" t="s">
        <v>478</v>
      </c>
      <c r="N45" s="10" t="s">
        <v>479</v>
      </c>
      <c r="O45" s="10" t="s">
        <v>480</v>
      </c>
      <c r="Q45" s="10" t="s">
        <v>479</v>
      </c>
      <c r="R45" s="10" t="s">
        <v>481</v>
      </c>
    </row>
    <row r="46" spans="1:21" s="13" customFormat="1" ht="15.75" thickBot="1">
      <c r="A46" s="11"/>
      <c r="B46" s="12" t="s">
        <v>482</v>
      </c>
      <c r="C46" s="12" t="s">
        <v>483</v>
      </c>
      <c r="E46" s="12" t="s">
        <v>482</v>
      </c>
      <c r="F46" s="12" t="s">
        <v>484</v>
      </c>
      <c r="H46" s="12" t="s">
        <v>485</v>
      </c>
      <c r="I46" s="12" t="s">
        <v>486</v>
      </c>
      <c r="K46" s="12" t="s">
        <v>482</v>
      </c>
      <c r="L46" s="12" t="s">
        <v>487</v>
      </c>
      <c r="N46" s="12" t="s">
        <v>488</v>
      </c>
      <c r="O46" s="12" t="s">
        <v>489</v>
      </c>
      <c r="Q46" s="12" t="s">
        <v>488</v>
      </c>
      <c r="R46" s="12" t="s">
        <v>490</v>
      </c>
    </row>
    <row r="47" spans="1:21" s="8" customFormat="1">
      <c r="A47" s="6" t="s">
        <v>491</v>
      </c>
      <c r="B47" s="7" t="s">
        <v>492</v>
      </c>
      <c r="C47" s="7" t="s">
        <v>493</v>
      </c>
      <c r="E47" s="7" t="s">
        <v>492</v>
      </c>
      <c r="F47" s="7" t="s">
        <v>494</v>
      </c>
      <c r="H47" s="7" t="s">
        <v>495</v>
      </c>
      <c r="I47" s="7" t="s">
        <v>496</v>
      </c>
      <c r="Q47" s="7" t="s">
        <v>497</v>
      </c>
      <c r="R47" s="7" t="s">
        <v>498</v>
      </c>
      <c r="T47" s="7" t="s">
        <v>499</v>
      </c>
      <c r="U47" s="7" t="s">
        <v>500</v>
      </c>
    </row>
    <row r="48" spans="1:21">
      <c r="A48" s="9"/>
      <c r="B48" s="10" t="s">
        <v>501</v>
      </c>
      <c r="C48" s="10" t="s">
        <v>502</v>
      </c>
      <c r="E48" s="10" t="s">
        <v>501</v>
      </c>
      <c r="F48" s="10" t="s">
        <v>503</v>
      </c>
      <c r="H48" s="10" t="s">
        <v>504</v>
      </c>
      <c r="I48" s="10" t="s">
        <v>505</v>
      </c>
      <c r="Q48" s="10" t="s">
        <v>506</v>
      </c>
      <c r="R48" s="10" t="s">
        <v>507</v>
      </c>
      <c r="T48" s="10" t="s">
        <v>508</v>
      </c>
      <c r="U48" s="10" t="s">
        <v>509</v>
      </c>
    </row>
    <row r="49" spans="1:21">
      <c r="A49" s="9"/>
      <c r="B49" s="10" t="s">
        <v>510</v>
      </c>
      <c r="C49" s="10" t="s">
        <v>511</v>
      </c>
      <c r="E49" s="10" t="s">
        <v>510</v>
      </c>
      <c r="F49" s="10" t="s">
        <v>512</v>
      </c>
      <c r="H49" s="10" t="s">
        <v>513</v>
      </c>
      <c r="I49" s="10" t="s">
        <v>514</v>
      </c>
      <c r="Q49" s="10" t="s">
        <v>515</v>
      </c>
      <c r="R49" s="10" t="s">
        <v>516</v>
      </c>
      <c r="T49" s="10" t="s">
        <v>517</v>
      </c>
      <c r="U49" s="10" t="s">
        <v>518</v>
      </c>
    </row>
    <row r="50" spans="1:21">
      <c r="A50" s="9"/>
      <c r="B50" s="10" t="s">
        <v>519</v>
      </c>
      <c r="C50" s="10" t="s">
        <v>520</v>
      </c>
      <c r="E50" s="10" t="s">
        <v>519</v>
      </c>
      <c r="F50" s="10" t="s">
        <v>521</v>
      </c>
      <c r="H50" s="10" t="s">
        <v>522</v>
      </c>
      <c r="I50" s="10" t="s">
        <v>523</v>
      </c>
      <c r="Q50" s="10" t="s">
        <v>524</v>
      </c>
      <c r="R50" s="10" t="s">
        <v>525</v>
      </c>
      <c r="T50" s="10" t="s">
        <v>526</v>
      </c>
      <c r="U50" s="10" t="s">
        <v>527</v>
      </c>
    </row>
    <row r="51" spans="1:21">
      <c r="A51" s="9"/>
      <c r="B51" s="10" t="s">
        <v>528</v>
      </c>
      <c r="C51" s="10" t="s">
        <v>529</v>
      </c>
      <c r="E51" s="10" t="s">
        <v>528</v>
      </c>
      <c r="F51" s="10" t="s">
        <v>530</v>
      </c>
      <c r="N51" s="10" t="s">
        <v>531</v>
      </c>
      <c r="O51" s="10" t="s">
        <v>532</v>
      </c>
    </row>
    <row r="52" spans="1:21">
      <c r="A52" s="9"/>
      <c r="B52" s="10" t="s">
        <v>533</v>
      </c>
      <c r="C52" s="10" t="s">
        <v>534</v>
      </c>
      <c r="E52" s="10" t="s">
        <v>533</v>
      </c>
      <c r="F52" s="10" t="s">
        <v>535</v>
      </c>
      <c r="N52" s="10" t="s">
        <v>536</v>
      </c>
      <c r="O52" s="10" t="s">
        <v>537</v>
      </c>
    </row>
    <row r="53" spans="1:21">
      <c r="A53" s="9"/>
      <c r="B53" s="10" t="s">
        <v>538</v>
      </c>
      <c r="C53" s="10" t="s">
        <v>539</v>
      </c>
      <c r="E53" s="10" t="s">
        <v>538</v>
      </c>
      <c r="F53" s="10" t="s">
        <v>540</v>
      </c>
      <c r="N53" s="10" t="s">
        <v>541</v>
      </c>
      <c r="O53" s="10" t="s">
        <v>542</v>
      </c>
    </row>
    <row r="54" spans="1:21">
      <c r="A54" s="9"/>
      <c r="B54" s="10" t="s">
        <v>543</v>
      </c>
      <c r="C54" s="10" t="s">
        <v>544</v>
      </c>
      <c r="E54" s="10" t="s">
        <v>543</v>
      </c>
      <c r="F54" s="10" t="s">
        <v>545</v>
      </c>
      <c r="N54" s="10" t="s">
        <v>546</v>
      </c>
      <c r="O54" s="10" t="s">
        <v>547</v>
      </c>
    </row>
    <row r="55" spans="1:21">
      <c r="A55" s="9"/>
      <c r="B55" s="10" t="s">
        <v>548</v>
      </c>
      <c r="C55" s="10" t="s">
        <v>549</v>
      </c>
      <c r="E55" s="10" t="s">
        <v>548</v>
      </c>
      <c r="F55" s="10" t="s">
        <v>550</v>
      </c>
      <c r="N55" s="10" t="s">
        <v>551</v>
      </c>
      <c r="O55" s="10" t="s">
        <v>552</v>
      </c>
    </row>
    <row r="56" spans="1:21">
      <c r="A56" s="9"/>
      <c r="B56" s="10" t="s">
        <v>553</v>
      </c>
      <c r="C56" s="10" t="s">
        <v>554</v>
      </c>
      <c r="E56" s="10" t="s">
        <v>553</v>
      </c>
      <c r="F56" s="10" t="s">
        <v>555</v>
      </c>
      <c r="N56" s="10" t="s">
        <v>556</v>
      </c>
      <c r="O56" s="10" t="s">
        <v>557</v>
      </c>
    </row>
    <row r="57" spans="1:21">
      <c r="A57" s="9"/>
      <c r="B57" s="10" t="s">
        <v>558</v>
      </c>
      <c r="C57" s="10" t="s">
        <v>559</v>
      </c>
      <c r="E57" s="10" t="s">
        <v>558</v>
      </c>
      <c r="F57" s="10" t="s">
        <v>560</v>
      </c>
      <c r="N57" s="10" t="s">
        <v>561</v>
      </c>
      <c r="O57" s="10" t="s">
        <v>562</v>
      </c>
    </row>
    <row r="58" spans="1:21" s="16" customFormat="1">
      <c r="A58" s="14"/>
      <c r="B58" s="15" t="s">
        <v>563</v>
      </c>
      <c r="C58" s="15" t="s">
        <v>564</v>
      </c>
      <c r="E58" s="15" t="s">
        <v>563</v>
      </c>
      <c r="F58" s="15" t="s">
        <v>565</v>
      </c>
      <c r="H58" s="15" t="s">
        <v>566</v>
      </c>
      <c r="I58" s="15" t="s">
        <v>567</v>
      </c>
      <c r="K58" s="15" t="s">
        <v>563</v>
      </c>
      <c r="L58" s="15" t="s">
        <v>568</v>
      </c>
      <c r="N58" s="15" t="s">
        <v>569</v>
      </c>
      <c r="O58" s="15" t="s">
        <v>570</v>
      </c>
      <c r="Q58" s="15" t="s">
        <v>571</v>
      </c>
      <c r="R58" s="15" t="s">
        <v>572</v>
      </c>
      <c r="T58" s="15" t="s">
        <v>573</v>
      </c>
      <c r="U58" s="15" t="s">
        <v>574</v>
      </c>
    </row>
    <row r="59" spans="1:21" s="16" customFormat="1">
      <c r="A59" s="14"/>
      <c r="B59" s="15" t="s">
        <v>575</v>
      </c>
      <c r="C59" s="15" t="s">
        <v>576</v>
      </c>
      <c r="E59" s="15" t="s">
        <v>575</v>
      </c>
      <c r="F59" s="15" t="s">
        <v>577</v>
      </c>
      <c r="H59" s="15" t="s">
        <v>578</v>
      </c>
      <c r="I59" s="15" t="s">
        <v>579</v>
      </c>
      <c r="K59" s="15" t="s">
        <v>575</v>
      </c>
      <c r="L59" s="15" t="s">
        <v>580</v>
      </c>
      <c r="N59" s="15" t="s">
        <v>581</v>
      </c>
      <c r="O59" s="15" t="s">
        <v>582</v>
      </c>
      <c r="Q59" s="15" t="s">
        <v>583</v>
      </c>
      <c r="R59" s="15" t="s">
        <v>584</v>
      </c>
      <c r="T59" s="15" t="s">
        <v>585</v>
      </c>
      <c r="U59" s="15" t="s">
        <v>586</v>
      </c>
    </row>
    <row r="60" spans="1:21" s="16" customFormat="1">
      <c r="A60" s="14"/>
      <c r="B60" s="15" t="s">
        <v>587</v>
      </c>
      <c r="C60" s="15" t="s">
        <v>588</v>
      </c>
      <c r="E60" s="15" t="s">
        <v>587</v>
      </c>
      <c r="F60" s="15" t="s">
        <v>589</v>
      </c>
      <c r="H60" s="15" t="s">
        <v>590</v>
      </c>
      <c r="I60" s="15" t="s">
        <v>591</v>
      </c>
      <c r="K60" s="15" t="s">
        <v>587</v>
      </c>
      <c r="L60" s="15" t="s">
        <v>592</v>
      </c>
      <c r="N60" s="15" t="s">
        <v>593</v>
      </c>
      <c r="O60" s="15" t="s">
        <v>594</v>
      </c>
      <c r="Q60" s="15" t="s">
        <v>595</v>
      </c>
      <c r="R60" s="15" t="s">
        <v>596</v>
      </c>
      <c r="T60" s="15" t="s">
        <v>597</v>
      </c>
      <c r="U60" s="15" t="s">
        <v>598</v>
      </c>
    </row>
    <row r="61" spans="1:21" s="16" customFormat="1">
      <c r="A61" s="14"/>
      <c r="B61" s="15" t="s">
        <v>599</v>
      </c>
      <c r="C61" s="15" t="s">
        <v>600</v>
      </c>
      <c r="E61" s="15" t="s">
        <v>599</v>
      </c>
      <c r="F61" s="15" t="s">
        <v>601</v>
      </c>
      <c r="H61" s="15" t="s">
        <v>602</v>
      </c>
      <c r="I61" s="15" t="s">
        <v>603</v>
      </c>
      <c r="K61" s="15" t="s">
        <v>599</v>
      </c>
      <c r="L61" s="15" t="s">
        <v>604</v>
      </c>
      <c r="N61" s="15" t="s">
        <v>605</v>
      </c>
      <c r="O61" s="15" t="s">
        <v>606</v>
      </c>
      <c r="Q61" s="15" t="s">
        <v>607</v>
      </c>
      <c r="R61" s="15" t="s">
        <v>608</v>
      </c>
      <c r="T61" s="15" t="s">
        <v>609</v>
      </c>
      <c r="U61" s="15" t="s">
        <v>610</v>
      </c>
    </row>
    <row r="62" spans="1:21" s="16" customFormat="1">
      <c r="A62" s="14"/>
      <c r="B62" s="15" t="s">
        <v>611</v>
      </c>
      <c r="C62" s="15" t="s">
        <v>612</v>
      </c>
      <c r="E62" s="15" t="s">
        <v>611</v>
      </c>
      <c r="F62" s="15" t="s">
        <v>613</v>
      </c>
      <c r="H62" s="15" t="s">
        <v>614</v>
      </c>
      <c r="I62" s="15" t="s">
        <v>615</v>
      </c>
      <c r="K62" s="15" t="s">
        <v>611</v>
      </c>
      <c r="L62" s="15" t="s">
        <v>616</v>
      </c>
      <c r="N62" s="15" t="s">
        <v>617</v>
      </c>
      <c r="O62" s="15" t="s">
        <v>618</v>
      </c>
      <c r="Q62" s="15" t="s">
        <v>619</v>
      </c>
      <c r="R62" s="15" t="s">
        <v>620</v>
      </c>
      <c r="T62" s="15" t="s">
        <v>621</v>
      </c>
      <c r="U62" s="15" t="s">
        <v>622</v>
      </c>
    </row>
    <row r="63" spans="1:21" s="16" customFormat="1">
      <c r="A63" s="14"/>
      <c r="B63" s="15" t="s">
        <v>623</v>
      </c>
      <c r="C63" s="15" t="s">
        <v>624</v>
      </c>
      <c r="E63" s="15" t="s">
        <v>623</v>
      </c>
      <c r="F63" s="15" t="s">
        <v>625</v>
      </c>
      <c r="H63" s="15" t="s">
        <v>626</v>
      </c>
      <c r="I63" s="15" t="s">
        <v>627</v>
      </c>
      <c r="K63" s="15" t="s">
        <v>623</v>
      </c>
      <c r="L63" s="15" t="s">
        <v>628</v>
      </c>
      <c r="N63" s="15" t="s">
        <v>629</v>
      </c>
      <c r="O63" s="15" t="s">
        <v>630</v>
      </c>
      <c r="Q63" s="15" t="s">
        <v>631</v>
      </c>
      <c r="R63" s="15" t="s">
        <v>632</v>
      </c>
      <c r="T63" s="15" t="s">
        <v>633</v>
      </c>
      <c r="U63" s="15" t="s">
        <v>634</v>
      </c>
    </row>
    <row r="64" spans="1:21" s="16" customFormat="1">
      <c r="A64" s="14"/>
      <c r="B64" s="15" t="s">
        <v>635</v>
      </c>
      <c r="C64" s="15" t="s">
        <v>636</v>
      </c>
      <c r="E64" s="15" t="s">
        <v>635</v>
      </c>
      <c r="F64" s="15" t="s">
        <v>637</v>
      </c>
      <c r="H64" s="15" t="s">
        <v>638</v>
      </c>
      <c r="I64" s="15" t="s">
        <v>639</v>
      </c>
      <c r="K64" s="15" t="s">
        <v>635</v>
      </c>
      <c r="L64" s="15" t="s">
        <v>640</v>
      </c>
      <c r="N64" s="15" t="s">
        <v>641</v>
      </c>
      <c r="O64" s="15" t="s">
        <v>642</v>
      </c>
      <c r="Q64" s="15" t="s">
        <v>643</v>
      </c>
      <c r="R64" s="15" t="s">
        <v>644</v>
      </c>
      <c r="T64" s="15" t="s">
        <v>645</v>
      </c>
      <c r="U64" s="15" t="s">
        <v>646</v>
      </c>
    </row>
    <row r="65" spans="1:21" s="16" customFormat="1">
      <c r="A65" s="14"/>
      <c r="B65" s="15" t="s">
        <v>647</v>
      </c>
      <c r="C65" s="15" t="s">
        <v>648</v>
      </c>
      <c r="E65" s="15" t="s">
        <v>647</v>
      </c>
      <c r="F65" s="15" t="s">
        <v>649</v>
      </c>
      <c r="H65" s="15" t="s">
        <v>650</v>
      </c>
      <c r="I65" s="15" t="s">
        <v>651</v>
      </c>
      <c r="K65" s="15" t="s">
        <v>647</v>
      </c>
      <c r="L65" s="15" t="s">
        <v>652</v>
      </c>
      <c r="N65" s="15" t="s">
        <v>653</v>
      </c>
      <c r="O65" s="15" t="s">
        <v>654</v>
      </c>
      <c r="Q65" s="15" t="s">
        <v>655</v>
      </c>
      <c r="R65" s="15" t="s">
        <v>656</v>
      </c>
      <c r="T65" s="15" t="s">
        <v>657</v>
      </c>
      <c r="U65" s="15" t="s">
        <v>658</v>
      </c>
    </row>
    <row r="66" spans="1:21" s="16" customFormat="1">
      <c r="A66" s="14"/>
      <c r="B66" s="15" t="s">
        <v>659</v>
      </c>
      <c r="C66" s="15" t="s">
        <v>660</v>
      </c>
      <c r="E66" s="15" t="s">
        <v>659</v>
      </c>
      <c r="F66" s="15" t="s">
        <v>661</v>
      </c>
      <c r="H66" s="15" t="s">
        <v>662</v>
      </c>
      <c r="I66" s="15" t="s">
        <v>663</v>
      </c>
      <c r="K66" s="15" t="s">
        <v>659</v>
      </c>
      <c r="L66" s="15" t="s">
        <v>664</v>
      </c>
      <c r="N66" s="15" t="s">
        <v>665</v>
      </c>
      <c r="O66" s="15" t="s">
        <v>666</v>
      </c>
      <c r="Q66" s="15" t="s">
        <v>667</v>
      </c>
      <c r="R66" s="15" t="s">
        <v>668</v>
      </c>
      <c r="T66" s="15" t="s">
        <v>669</v>
      </c>
      <c r="U66" s="15" t="s">
        <v>670</v>
      </c>
    </row>
    <row r="67" spans="1:21" s="16" customFormat="1">
      <c r="A67" s="14"/>
      <c r="B67" s="15" t="s">
        <v>671</v>
      </c>
      <c r="C67" s="15" t="s">
        <v>672</v>
      </c>
      <c r="E67" s="15" t="s">
        <v>671</v>
      </c>
      <c r="F67" s="15" t="s">
        <v>673</v>
      </c>
      <c r="H67" s="15" t="s">
        <v>674</v>
      </c>
      <c r="I67" s="15" t="s">
        <v>675</v>
      </c>
      <c r="K67" s="15" t="s">
        <v>671</v>
      </c>
      <c r="L67" s="15" t="s">
        <v>676</v>
      </c>
      <c r="N67" s="15" t="s">
        <v>677</v>
      </c>
      <c r="O67" s="15" t="s">
        <v>678</v>
      </c>
      <c r="Q67" s="15" t="s">
        <v>679</v>
      </c>
      <c r="R67" s="15" t="s">
        <v>680</v>
      </c>
      <c r="T67" s="15" t="s">
        <v>681</v>
      </c>
      <c r="U67" s="15" t="s">
        <v>682</v>
      </c>
    </row>
    <row r="68" spans="1:21" s="16" customFormat="1">
      <c r="A68" s="14"/>
      <c r="B68" s="15" t="s">
        <v>683</v>
      </c>
      <c r="C68" s="15" t="s">
        <v>684</v>
      </c>
      <c r="E68" s="15" t="s">
        <v>683</v>
      </c>
      <c r="F68" s="15" t="s">
        <v>685</v>
      </c>
      <c r="H68" s="15" t="s">
        <v>686</v>
      </c>
      <c r="I68" s="15" t="s">
        <v>687</v>
      </c>
      <c r="K68" s="15" t="s">
        <v>683</v>
      </c>
      <c r="L68" s="15" t="s">
        <v>688</v>
      </c>
    </row>
    <row r="69" spans="1:21" s="16" customFormat="1">
      <c r="A69" s="14"/>
      <c r="B69" s="15" t="s">
        <v>689</v>
      </c>
      <c r="C69" s="15" t="s">
        <v>690</v>
      </c>
      <c r="E69" s="15" t="s">
        <v>689</v>
      </c>
      <c r="F69" s="15" t="s">
        <v>691</v>
      </c>
      <c r="H69" s="15" t="s">
        <v>692</v>
      </c>
      <c r="I69" s="15" t="s">
        <v>693</v>
      </c>
      <c r="K69" s="15" t="s">
        <v>689</v>
      </c>
      <c r="L69" s="15" t="s">
        <v>694</v>
      </c>
    </row>
    <row r="70" spans="1:21" s="16" customFormat="1">
      <c r="A70" s="14"/>
      <c r="B70" s="15" t="s">
        <v>695</v>
      </c>
      <c r="C70" s="15" t="s">
        <v>696</v>
      </c>
      <c r="E70" s="15" t="s">
        <v>695</v>
      </c>
      <c r="F70" s="15" t="s">
        <v>697</v>
      </c>
      <c r="H70" s="15" t="s">
        <v>698</v>
      </c>
      <c r="I70" s="15" t="s">
        <v>699</v>
      </c>
      <c r="K70" s="15" t="s">
        <v>695</v>
      </c>
      <c r="L70" s="15" t="s">
        <v>700</v>
      </c>
    </row>
    <row r="71" spans="1:21" s="16" customFormat="1">
      <c r="A71" s="14"/>
      <c r="B71" s="15" t="s">
        <v>701</v>
      </c>
      <c r="C71" s="15" t="s">
        <v>702</v>
      </c>
      <c r="E71" s="15" t="s">
        <v>701</v>
      </c>
      <c r="F71" s="15" t="s">
        <v>703</v>
      </c>
      <c r="K71" s="15" t="s">
        <v>704</v>
      </c>
      <c r="L71" s="15" t="s">
        <v>705</v>
      </c>
    </row>
    <row r="72" spans="1:21">
      <c r="A72" s="9"/>
      <c r="B72" s="10" t="s">
        <v>706</v>
      </c>
      <c r="C72" s="10" t="s">
        <v>707</v>
      </c>
      <c r="E72" s="10" t="s">
        <v>706</v>
      </c>
      <c r="F72" s="10" t="s">
        <v>708</v>
      </c>
      <c r="H72" s="10" t="s">
        <v>709</v>
      </c>
      <c r="I72" s="10" t="s">
        <v>710</v>
      </c>
      <c r="K72" s="10" t="s">
        <v>706</v>
      </c>
      <c r="L72" s="10" t="s">
        <v>711</v>
      </c>
      <c r="N72" s="10" t="s">
        <v>712</v>
      </c>
      <c r="O72" s="10" t="s">
        <v>713</v>
      </c>
      <c r="Q72" s="10" t="s">
        <v>712</v>
      </c>
      <c r="R72" s="10" t="s">
        <v>714</v>
      </c>
      <c r="T72" s="10" t="s">
        <v>715</v>
      </c>
      <c r="U72" s="10" t="s">
        <v>716</v>
      </c>
    </row>
    <row r="73" spans="1:21">
      <c r="A73" s="9"/>
      <c r="B73" s="10" t="s">
        <v>717</v>
      </c>
      <c r="C73" s="10" t="s">
        <v>718</v>
      </c>
      <c r="E73" s="10" t="s">
        <v>717</v>
      </c>
      <c r="F73" s="10" t="s">
        <v>719</v>
      </c>
      <c r="H73" s="10" t="s">
        <v>720</v>
      </c>
      <c r="I73" s="10" t="s">
        <v>721</v>
      </c>
      <c r="K73" s="10" t="s">
        <v>717</v>
      </c>
      <c r="L73" s="10" t="s">
        <v>722</v>
      </c>
      <c r="N73" s="10" t="s">
        <v>723</v>
      </c>
      <c r="O73" s="10" t="s">
        <v>724</v>
      </c>
      <c r="Q73" s="10" t="s">
        <v>723</v>
      </c>
      <c r="R73" s="10" t="s">
        <v>725</v>
      </c>
    </row>
    <row r="74" spans="1:21">
      <c r="A74" s="9"/>
      <c r="B74" s="10" t="s">
        <v>726</v>
      </c>
      <c r="C74" s="10" t="s">
        <v>727</v>
      </c>
      <c r="E74" s="10" t="s">
        <v>726</v>
      </c>
      <c r="F74" s="10" t="s">
        <v>728</v>
      </c>
      <c r="H74" s="10" t="s">
        <v>729</v>
      </c>
      <c r="I74" s="10" t="s">
        <v>730</v>
      </c>
      <c r="K74" s="10" t="s">
        <v>726</v>
      </c>
      <c r="L74" s="10" t="s">
        <v>731</v>
      </c>
      <c r="N74" s="10" t="s">
        <v>732</v>
      </c>
      <c r="O74" s="10" t="s">
        <v>733</v>
      </c>
      <c r="Q74" s="10" t="s">
        <v>732</v>
      </c>
      <c r="R74" s="10" t="s">
        <v>734</v>
      </c>
      <c r="T74" s="10" t="s">
        <v>735</v>
      </c>
      <c r="U74" s="10" t="s">
        <v>736</v>
      </c>
    </row>
    <row r="75" spans="1:21">
      <c r="A75" s="9"/>
      <c r="B75" s="10" t="s">
        <v>737</v>
      </c>
      <c r="C75" s="10" t="s">
        <v>738</v>
      </c>
      <c r="E75" s="10" t="s">
        <v>737</v>
      </c>
      <c r="F75" s="10" t="s">
        <v>739</v>
      </c>
      <c r="H75" s="10" t="s">
        <v>740</v>
      </c>
      <c r="I75" s="10" t="s">
        <v>741</v>
      </c>
      <c r="K75" s="10" t="s">
        <v>737</v>
      </c>
      <c r="L75" s="10" t="s">
        <v>742</v>
      </c>
      <c r="N75" s="10" t="s">
        <v>743</v>
      </c>
      <c r="O75" s="10" t="s">
        <v>744</v>
      </c>
      <c r="Q75" s="10" t="s">
        <v>743</v>
      </c>
      <c r="R75" s="10" t="s">
        <v>745</v>
      </c>
    </row>
    <row r="76" spans="1:21">
      <c r="A76" s="9"/>
      <c r="B76" s="10" t="s">
        <v>746</v>
      </c>
      <c r="C76" s="10" t="s">
        <v>747</v>
      </c>
      <c r="E76" s="10" t="s">
        <v>746</v>
      </c>
      <c r="F76" s="10" t="s">
        <v>748</v>
      </c>
      <c r="H76" s="10" t="s">
        <v>749</v>
      </c>
      <c r="I76" s="10" t="s">
        <v>750</v>
      </c>
      <c r="K76" s="10" t="s">
        <v>746</v>
      </c>
      <c r="L76" s="10" t="s">
        <v>751</v>
      </c>
      <c r="N76" s="10" t="s">
        <v>752</v>
      </c>
      <c r="O76" s="10" t="s">
        <v>753</v>
      </c>
      <c r="Q76" s="10" t="s">
        <v>752</v>
      </c>
      <c r="R76" s="10" t="s">
        <v>754</v>
      </c>
      <c r="T76" s="10" t="s">
        <v>755</v>
      </c>
      <c r="U76" s="10" t="s">
        <v>756</v>
      </c>
    </row>
    <row r="77" spans="1:21">
      <c r="A77" s="9"/>
      <c r="B77" s="10" t="s">
        <v>757</v>
      </c>
      <c r="C77" s="10" t="s">
        <v>758</v>
      </c>
      <c r="E77" s="10" t="s">
        <v>757</v>
      </c>
      <c r="F77" s="10" t="s">
        <v>759</v>
      </c>
      <c r="H77" s="10" t="s">
        <v>760</v>
      </c>
      <c r="I77" s="10" t="s">
        <v>761</v>
      </c>
      <c r="K77" s="10" t="s">
        <v>757</v>
      </c>
      <c r="L77" s="10" t="s">
        <v>762</v>
      </c>
      <c r="N77" s="10" t="s">
        <v>763</v>
      </c>
      <c r="O77" s="10" t="s">
        <v>764</v>
      </c>
      <c r="Q77" s="10" t="s">
        <v>763</v>
      </c>
      <c r="R77" s="10" t="s">
        <v>765</v>
      </c>
      <c r="T77" s="10" t="s">
        <v>766</v>
      </c>
      <c r="U77" s="10" t="s">
        <v>767</v>
      </c>
    </row>
    <row r="78" spans="1:21">
      <c r="A78" s="9"/>
      <c r="B78" s="10" t="s">
        <v>768</v>
      </c>
      <c r="C78" s="10" t="s">
        <v>769</v>
      </c>
      <c r="E78" s="10" t="s">
        <v>768</v>
      </c>
      <c r="F78" s="10" t="s">
        <v>770</v>
      </c>
      <c r="H78" s="10" t="s">
        <v>771</v>
      </c>
      <c r="I78" s="10" t="s">
        <v>772</v>
      </c>
      <c r="K78" s="10" t="s">
        <v>768</v>
      </c>
      <c r="L78" s="10" t="s">
        <v>773</v>
      </c>
      <c r="N78" s="10" t="s">
        <v>774</v>
      </c>
      <c r="O78" s="10" t="s">
        <v>775</v>
      </c>
      <c r="Q78" s="10" t="s">
        <v>774</v>
      </c>
      <c r="R78" s="10" t="s">
        <v>776</v>
      </c>
      <c r="T78" s="10" t="s">
        <v>777</v>
      </c>
      <c r="U78" s="10" t="s">
        <v>778</v>
      </c>
    </row>
    <row r="79" spans="1:21">
      <c r="A79" s="9"/>
      <c r="B79" s="10" t="s">
        <v>779</v>
      </c>
      <c r="C79" s="10" t="s">
        <v>780</v>
      </c>
      <c r="E79" s="10" t="s">
        <v>779</v>
      </c>
      <c r="F79" s="10" t="s">
        <v>781</v>
      </c>
      <c r="H79" s="10" t="s">
        <v>782</v>
      </c>
      <c r="I79" s="10" t="s">
        <v>783</v>
      </c>
      <c r="K79" s="10" t="s">
        <v>779</v>
      </c>
      <c r="L79" s="10" t="s">
        <v>784</v>
      </c>
      <c r="N79" s="10" t="s">
        <v>785</v>
      </c>
      <c r="O79" s="10" t="s">
        <v>786</v>
      </c>
      <c r="Q79" s="10" t="s">
        <v>785</v>
      </c>
      <c r="R79" s="10" t="s">
        <v>787</v>
      </c>
    </row>
    <row r="80" spans="1:21">
      <c r="A80" s="9"/>
      <c r="B80" s="10" t="s">
        <v>788</v>
      </c>
      <c r="C80" s="10" t="s">
        <v>789</v>
      </c>
      <c r="E80" s="10" t="s">
        <v>788</v>
      </c>
      <c r="F80" s="10" t="s">
        <v>790</v>
      </c>
      <c r="H80" s="10" t="s">
        <v>791</v>
      </c>
      <c r="I80" s="10" t="s">
        <v>792</v>
      </c>
      <c r="K80" s="10" t="s">
        <v>788</v>
      </c>
      <c r="L80" s="10" t="s">
        <v>793</v>
      </c>
      <c r="N80" s="10" t="s">
        <v>794</v>
      </c>
      <c r="O80" s="10" t="s">
        <v>795</v>
      </c>
      <c r="Q80" s="10" t="s">
        <v>794</v>
      </c>
      <c r="R80" s="10" t="s">
        <v>796</v>
      </c>
    </row>
    <row r="81" spans="1:21" s="13" customFormat="1" ht="15.75" thickBot="1">
      <c r="A81" s="11"/>
      <c r="B81" s="12" t="s">
        <v>797</v>
      </c>
      <c r="C81" s="12" t="s">
        <v>798</v>
      </c>
      <c r="E81" s="12" t="s">
        <v>797</v>
      </c>
      <c r="F81" s="12" t="s">
        <v>799</v>
      </c>
      <c r="H81" s="12" t="s">
        <v>800</v>
      </c>
      <c r="I81" s="12" t="s">
        <v>801</v>
      </c>
      <c r="K81" s="12" t="s">
        <v>797</v>
      </c>
      <c r="L81" s="12" t="s">
        <v>802</v>
      </c>
      <c r="N81" s="12" t="s">
        <v>803</v>
      </c>
      <c r="O81" s="12" t="s">
        <v>804</v>
      </c>
      <c r="Q81" s="12" t="s">
        <v>803</v>
      </c>
      <c r="R81" s="12" t="s">
        <v>805</v>
      </c>
    </row>
    <row r="82" spans="1:21" s="19" customFormat="1" ht="15.75" thickBot="1">
      <c r="A82" s="17" t="s">
        <v>816</v>
      </c>
      <c r="B82" s="18" t="s">
        <v>806</v>
      </c>
      <c r="C82" s="18" t="s">
        <v>807</v>
      </c>
      <c r="E82" s="18" t="s">
        <v>806</v>
      </c>
      <c r="F82" s="18" t="s">
        <v>808</v>
      </c>
      <c r="H82" s="18" t="s">
        <v>806</v>
      </c>
      <c r="I82" s="18" t="s">
        <v>809</v>
      </c>
      <c r="K82" s="18" t="s">
        <v>806</v>
      </c>
      <c r="L82" s="18" t="s">
        <v>810</v>
      </c>
      <c r="N82" s="18" t="s">
        <v>806</v>
      </c>
      <c r="O82" s="18" t="s">
        <v>811</v>
      </c>
      <c r="Q82" s="18" t="s">
        <v>812</v>
      </c>
      <c r="R82" s="18" t="s">
        <v>813</v>
      </c>
      <c r="T82" s="18" t="s">
        <v>814</v>
      </c>
      <c r="U82" s="18" t="s">
        <v>815</v>
      </c>
    </row>
    <row r="83" spans="1:21">
      <c r="A83" t="s">
        <v>71</v>
      </c>
      <c r="B83" s="10" t="s">
        <v>93</v>
      </c>
      <c r="C83" s="10" t="s">
        <v>94</v>
      </c>
      <c r="E83" s="10" t="s">
        <v>93</v>
      </c>
      <c r="F83" s="10" t="s">
        <v>95</v>
      </c>
      <c r="H83" s="10" t="s">
        <v>96</v>
      </c>
      <c r="I83" s="10" t="s">
        <v>97</v>
      </c>
      <c r="K83" s="10" t="s">
        <v>98</v>
      </c>
      <c r="L83" s="10" t="s">
        <v>99</v>
      </c>
      <c r="N83" s="10" t="s">
        <v>100</v>
      </c>
      <c r="O83" s="10" t="s">
        <v>101</v>
      </c>
      <c r="Q83" s="10" t="s">
        <v>102</v>
      </c>
      <c r="R83" s="10" t="s">
        <v>103</v>
      </c>
      <c r="T83" s="10" t="s">
        <v>104</v>
      </c>
      <c r="U83" s="10" t="s">
        <v>105</v>
      </c>
    </row>
    <row r="84" spans="1:21">
      <c r="B84" s="10" t="s">
        <v>106</v>
      </c>
      <c r="C84" s="10" t="s">
        <v>107</v>
      </c>
      <c r="E84" s="10" t="s">
        <v>106</v>
      </c>
      <c r="F84" s="10" t="s">
        <v>108</v>
      </c>
      <c r="H84" s="10" t="s">
        <v>109</v>
      </c>
      <c r="I84" s="10" t="s">
        <v>110</v>
      </c>
      <c r="K84" s="10" t="s">
        <v>111</v>
      </c>
      <c r="L84" s="10" t="s">
        <v>112</v>
      </c>
      <c r="N84" s="10" t="s">
        <v>113</v>
      </c>
      <c r="O84" s="10" t="s">
        <v>114</v>
      </c>
      <c r="Q84" s="10" t="s">
        <v>115</v>
      </c>
      <c r="R84" s="10" t="s">
        <v>116</v>
      </c>
      <c r="T84" s="10" t="s">
        <v>117</v>
      </c>
      <c r="U84" s="10" t="s">
        <v>118</v>
      </c>
    </row>
    <row r="85" spans="1:21">
      <c r="B85" s="10" t="s">
        <v>119</v>
      </c>
      <c r="C85" s="10" t="s">
        <v>120</v>
      </c>
      <c r="E85" s="10" t="s">
        <v>119</v>
      </c>
      <c r="F85" s="10" t="s">
        <v>121</v>
      </c>
      <c r="H85" s="10" t="s">
        <v>122</v>
      </c>
      <c r="I85" s="10" t="s">
        <v>123</v>
      </c>
      <c r="K85" s="10" t="s">
        <v>124</v>
      </c>
      <c r="L85" s="10" t="s">
        <v>125</v>
      </c>
      <c r="N85" s="10" t="s">
        <v>126</v>
      </c>
      <c r="O85" s="10" t="s">
        <v>127</v>
      </c>
      <c r="Q85" s="10" t="s">
        <v>128</v>
      </c>
      <c r="R85" s="10" t="s">
        <v>129</v>
      </c>
      <c r="T85" s="10" t="s">
        <v>130</v>
      </c>
      <c r="U85" s="10" t="s">
        <v>131</v>
      </c>
    </row>
    <row r="166" spans="4:4">
      <c r="D166" s="10"/>
    </row>
    <row r="167" spans="4:4">
      <c r="D167" s="10"/>
    </row>
    <row r="168" spans="4:4">
      <c r="D168" s="10"/>
    </row>
    <row r="169" spans="4:4">
      <c r="D169" s="10"/>
    </row>
    <row r="170" spans="4:4">
      <c r="D170" s="10"/>
    </row>
    <row r="171" spans="4:4">
      <c r="D171" s="10"/>
    </row>
    <row r="172" spans="4:4">
      <c r="D172" s="10"/>
    </row>
    <row r="173" spans="4:4">
      <c r="D173" s="10"/>
    </row>
    <row r="174" spans="4:4">
      <c r="D174" s="10"/>
    </row>
    <row r="175" spans="4:4">
      <c r="D175" s="10"/>
    </row>
    <row r="176" spans="4:4">
      <c r="D176" s="10"/>
    </row>
    <row r="177" spans="4:4">
      <c r="D177" s="10"/>
    </row>
    <row r="178" spans="4:4">
      <c r="D178" s="10"/>
    </row>
    <row r="179" spans="4:4">
      <c r="D179" s="10"/>
    </row>
    <row r="180" spans="4:4">
      <c r="D180" s="10"/>
    </row>
    <row r="181" spans="4:4">
      <c r="D181" s="10"/>
    </row>
    <row r="182" spans="4:4">
      <c r="D182" s="10"/>
    </row>
    <row r="183" spans="4:4">
      <c r="D183" s="10"/>
    </row>
    <row r="184" spans="4:4">
      <c r="D184" s="10"/>
    </row>
    <row r="185" spans="4:4">
      <c r="D185" s="10"/>
    </row>
    <row r="186" spans="4:4">
      <c r="D186" s="10"/>
    </row>
    <row r="187" spans="4:4">
      <c r="D187" s="10"/>
    </row>
    <row r="188" spans="4:4">
      <c r="D188" s="10"/>
    </row>
    <row r="189" spans="4:4">
      <c r="D189" s="10"/>
    </row>
    <row r="190" spans="4:4">
      <c r="D190" s="10"/>
    </row>
    <row r="191" spans="4:4">
      <c r="D191" s="10"/>
    </row>
    <row r="192" spans="4:4">
      <c r="D192" s="10"/>
    </row>
    <row r="193" spans="4:4">
      <c r="D193" s="10"/>
    </row>
    <row r="194" spans="4:4">
      <c r="D194" s="10"/>
    </row>
    <row r="195" spans="4:4">
      <c r="D195" s="10"/>
    </row>
    <row r="196" spans="4:4">
      <c r="D196" s="10"/>
    </row>
    <row r="197" spans="4:4">
      <c r="D197" s="10"/>
    </row>
    <row r="198" spans="4:4">
      <c r="D198" s="10"/>
    </row>
    <row r="199" spans="4:4">
      <c r="D199" s="10"/>
    </row>
    <row r="200" spans="4:4">
      <c r="D200" s="10"/>
    </row>
    <row r="201" spans="4:4">
      <c r="D201" s="10"/>
    </row>
    <row r="202" spans="4:4">
      <c r="D202" s="10"/>
    </row>
    <row r="203" spans="4:4">
      <c r="D203" s="10"/>
    </row>
    <row r="204" spans="4:4">
      <c r="D204" s="10"/>
    </row>
    <row r="205" spans="4:4">
      <c r="D205" s="10"/>
    </row>
    <row r="206" spans="4:4">
      <c r="D206" s="10"/>
    </row>
    <row r="207" spans="4:4">
      <c r="D207" s="10"/>
    </row>
    <row r="208" spans="4:4">
      <c r="D208" s="10"/>
    </row>
    <row r="209" spans="4:4">
      <c r="D209" s="10"/>
    </row>
    <row r="210" spans="4:4">
      <c r="D210" s="10"/>
    </row>
    <row r="211" spans="4:4">
      <c r="D211" s="10"/>
    </row>
    <row r="212" spans="4:4">
      <c r="D212" s="10"/>
    </row>
    <row r="213" spans="4:4">
      <c r="D213" s="10"/>
    </row>
    <row r="214" spans="4:4">
      <c r="D214" s="10"/>
    </row>
    <row r="215" spans="4:4">
      <c r="D215" s="10"/>
    </row>
    <row r="216" spans="4:4">
      <c r="D216" s="10"/>
    </row>
    <row r="217" spans="4:4">
      <c r="D217" s="10"/>
    </row>
    <row r="218" spans="4:4">
      <c r="D218" s="10"/>
    </row>
    <row r="219" spans="4:4">
      <c r="D219" s="10"/>
    </row>
    <row r="220" spans="4:4">
      <c r="D220" s="10"/>
    </row>
    <row r="221" spans="4:4">
      <c r="D221" s="10"/>
    </row>
    <row r="222" spans="4:4">
      <c r="D222" s="10"/>
    </row>
    <row r="223" spans="4:4">
      <c r="D223" s="10"/>
    </row>
    <row r="224" spans="4:4">
      <c r="D224" s="10"/>
    </row>
    <row r="225" spans="4:4">
      <c r="D225" s="10"/>
    </row>
    <row r="226" spans="4:4">
      <c r="D226" s="10"/>
    </row>
    <row r="227" spans="4:4">
      <c r="D227" s="10"/>
    </row>
    <row r="228" spans="4:4">
      <c r="D228" s="10"/>
    </row>
    <row r="229" spans="4:4">
      <c r="D229" s="10"/>
    </row>
    <row r="230" spans="4:4">
      <c r="D230" s="10"/>
    </row>
    <row r="231" spans="4:4">
      <c r="D231" s="10"/>
    </row>
    <row r="232" spans="4:4">
      <c r="D232" s="10"/>
    </row>
    <row r="233" spans="4:4">
      <c r="D233" s="10"/>
    </row>
    <row r="234" spans="4:4">
      <c r="D234" s="10"/>
    </row>
    <row r="235" spans="4:4">
      <c r="D235" s="10"/>
    </row>
    <row r="236" spans="4:4">
      <c r="D236" s="10"/>
    </row>
    <row r="237" spans="4:4">
      <c r="D237" s="10"/>
    </row>
    <row r="238" spans="4:4">
      <c r="D238" s="10"/>
    </row>
    <row r="239" spans="4:4">
      <c r="D239" s="10"/>
    </row>
    <row r="240" spans="4:4">
      <c r="D240" s="10"/>
    </row>
    <row r="241" spans="4:4">
      <c r="D241" s="10"/>
    </row>
    <row r="242" spans="4:4">
      <c r="D242" s="10"/>
    </row>
    <row r="243" spans="4:4">
      <c r="D243" s="10"/>
    </row>
    <row r="244" spans="4:4">
      <c r="D244" s="10"/>
    </row>
    <row r="245" spans="4:4">
      <c r="D245" s="10"/>
    </row>
    <row r="246" spans="4:4">
      <c r="D246" s="10"/>
    </row>
    <row r="247" spans="4:4">
      <c r="D247" s="10"/>
    </row>
    <row r="248" spans="4:4">
      <c r="D248" s="10"/>
    </row>
    <row r="249" spans="4:4">
      <c r="D249" s="10"/>
    </row>
    <row r="250" spans="4:4">
      <c r="D250" s="10"/>
    </row>
    <row r="251" spans="4:4">
      <c r="D251" s="10"/>
    </row>
    <row r="252" spans="4:4">
      <c r="D252" s="10"/>
    </row>
    <row r="253" spans="4:4">
      <c r="D253" s="10"/>
    </row>
    <row r="254" spans="4:4">
      <c r="D254" s="10"/>
    </row>
    <row r="255" spans="4:4">
      <c r="D255" s="10"/>
    </row>
    <row r="256" spans="4:4">
      <c r="D256" s="10"/>
    </row>
    <row r="257" spans="4:4">
      <c r="D257" s="10"/>
    </row>
    <row r="258" spans="4:4">
      <c r="D258" s="10"/>
    </row>
    <row r="259" spans="4:4">
      <c r="D259" s="10"/>
    </row>
    <row r="260" spans="4:4">
      <c r="D260" s="10"/>
    </row>
    <row r="261" spans="4:4">
      <c r="D261" s="10"/>
    </row>
    <row r="262" spans="4:4">
      <c r="D262" s="10"/>
    </row>
    <row r="263" spans="4:4">
      <c r="D263" s="10"/>
    </row>
    <row r="264" spans="4:4">
      <c r="D264" s="10"/>
    </row>
    <row r="265" spans="4:4">
      <c r="D265" s="10"/>
    </row>
    <row r="266" spans="4:4">
      <c r="D266" s="10"/>
    </row>
    <row r="267" spans="4:4">
      <c r="D267" s="10"/>
    </row>
    <row r="268" spans="4:4">
      <c r="D268" s="10"/>
    </row>
    <row r="269" spans="4:4">
      <c r="D269" s="10"/>
    </row>
    <row r="270" spans="4:4">
      <c r="D270" s="10"/>
    </row>
    <row r="271" spans="4:4">
      <c r="D271" s="10"/>
    </row>
    <row r="272" spans="4:4">
      <c r="D272" s="10"/>
    </row>
    <row r="273" spans="4:4">
      <c r="D273" s="10"/>
    </row>
    <row r="274" spans="4:4">
      <c r="D274" s="10"/>
    </row>
    <row r="275" spans="4:4">
      <c r="D275" s="10"/>
    </row>
    <row r="276" spans="4:4">
      <c r="D276" s="10"/>
    </row>
    <row r="277" spans="4:4">
      <c r="D277" s="10"/>
    </row>
    <row r="278" spans="4:4">
      <c r="D278" s="10"/>
    </row>
    <row r="279" spans="4:4">
      <c r="D279" s="10"/>
    </row>
    <row r="280" spans="4:4">
      <c r="D280" s="10"/>
    </row>
    <row r="281" spans="4:4">
      <c r="D281" s="10"/>
    </row>
    <row r="282" spans="4:4">
      <c r="D282" s="10"/>
    </row>
    <row r="283" spans="4:4">
      <c r="D283" s="10"/>
    </row>
    <row r="284" spans="4:4">
      <c r="D284" s="10"/>
    </row>
    <row r="285" spans="4:4">
      <c r="D285" s="10"/>
    </row>
    <row r="286" spans="4:4">
      <c r="D286" s="10"/>
    </row>
    <row r="287" spans="4:4">
      <c r="D287" s="10"/>
    </row>
    <row r="288" spans="4:4">
      <c r="D288" s="10"/>
    </row>
    <row r="289" spans="4:4">
      <c r="D289" s="10"/>
    </row>
    <row r="290" spans="4:4">
      <c r="D290" s="10"/>
    </row>
    <row r="291" spans="4:4">
      <c r="D291" s="10"/>
    </row>
    <row r="292" spans="4:4">
      <c r="D292" s="10"/>
    </row>
    <row r="293" spans="4:4">
      <c r="D293" s="10"/>
    </row>
    <row r="294" spans="4:4">
      <c r="D294" s="10"/>
    </row>
    <row r="295" spans="4:4">
      <c r="D295" s="10"/>
    </row>
    <row r="296" spans="4:4">
      <c r="D296" s="10"/>
    </row>
    <row r="297" spans="4:4">
      <c r="D297" s="10"/>
    </row>
    <row r="298" spans="4:4">
      <c r="D298" s="10"/>
    </row>
    <row r="299" spans="4:4">
      <c r="D299" s="10"/>
    </row>
    <row r="300" spans="4:4">
      <c r="D300" s="10"/>
    </row>
    <row r="301" spans="4:4">
      <c r="D301" s="10"/>
    </row>
    <row r="302" spans="4:4">
      <c r="D302" s="10"/>
    </row>
    <row r="303" spans="4:4">
      <c r="D303" s="10"/>
    </row>
    <row r="304" spans="4:4">
      <c r="D304" s="10"/>
    </row>
    <row r="305" spans="4:4">
      <c r="D305" s="10"/>
    </row>
    <row r="306" spans="4:4">
      <c r="D306" s="10"/>
    </row>
    <row r="307" spans="4:4">
      <c r="D307" s="10"/>
    </row>
    <row r="308" spans="4:4">
      <c r="D308" s="10"/>
    </row>
    <row r="309" spans="4:4">
      <c r="D309" s="10"/>
    </row>
    <row r="310" spans="4:4">
      <c r="D310" s="10"/>
    </row>
    <row r="311" spans="4:4">
      <c r="D311" s="10"/>
    </row>
    <row r="312" spans="4:4">
      <c r="D312" s="10"/>
    </row>
    <row r="313" spans="4:4">
      <c r="D313" s="10"/>
    </row>
    <row r="314" spans="4:4">
      <c r="D314" s="10"/>
    </row>
    <row r="315" spans="4:4">
      <c r="D315" s="10"/>
    </row>
    <row r="316" spans="4:4">
      <c r="D316" s="10"/>
    </row>
    <row r="317" spans="4:4">
      <c r="D317" s="10"/>
    </row>
    <row r="318" spans="4:4">
      <c r="D318" s="10"/>
    </row>
    <row r="319" spans="4:4">
      <c r="D319" s="10"/>
    </row>
    <row r="320" spans="4:4">
      <c r="D320" s="10"/>
    </row>
    <row r="321" spans="4:4">
      <c r="D321" s="10"/>
    </row>
    <row r="322" spans="4:4">
      <c r="D322" s="10"/>
    </row>
    <row r="323" spans="4:4">
      <c r="D323" s="10"/>
    </row>
    <row r="324" spans="4:4">
      <c r="D324" s="10"/>
    </row>
    <row r="325" spans="4:4">
      <c r="D325" s="10"/>
    </row>
    <row r="326" spans="4:4">
      <c r="D326" s="10"/>
    </row>
    <row r="327" spans="4:4">
      <c r="D327" s="10"/>
    </row>
    <row r="328" spans="4:4">
      <c r="D328" s="10"/>
    </row>
    <row r="329" spans="4:4">
      <c r="D329" s="10"/>
    </row>
    <row r="330" spans="4:4">
      <c r="D330" s="10"/>
    </row>
    <row r="331" spans="4:4">
      <c r="D331" s="10"/>
    </row>
    <row r="332" spans="4:4">
      <c r="D332" s="10"/>
    </row>
    <row r="333" spans="4:4">
      <c r="D333" s="10"/>
    </row>
    <row r="334" spans="4:4">
      <c r="D334" s="10"/>
    </row>
    <row r="335" spans="4:4">
      <c r="D335" s="10"/>
    </row>
    <row r="336" spans="4:4">
      <c r="D336" s="10"/>
    </row>
    <row r="337" spans="4:4">
      <c r="D337" s="10"/>
    </row>
    <row r="338" spans="4:4">
      <c r="D338" s="10"/>
    </row>
    <row r="339" spans="4:4">
      <c r="D339" s="10"/>
    </row>
    <row r="340" spans="4:4">
      <c r="D340" s="10"/>
    </row>
    <row r="341" spans="4:4">
      <c r="D341" s="10"/>
    </row>
    <row r="342" spans="4:4">
      <c r="D342" s="10"/>
    </row>
    <row r="343" spans="4:4">
      <c r="D343" s="10"/>
    </row>
    <row r="344" spans="4:4">
      <c r="D344" s="10"/>
    </row>
    <row r="345" spans="4:4">
      <c r="D345" s="10"/>
    </row>
    <row r="346" spans="4:4">
      <c r="D346" s="10"/>
    </row>
    <row r="347" spans="4:4">
      <c r="D347" s="10"/>
    </row>
    <row r="348" spans="4:4">
      <c r="D348" s="10"/>
    </row>
    <row r="349" spans="4:4">
      <c r="D349" s="10"/>
    </row>
    <row r="350" spans="4:4">
      <c r="D350" s="10"/>
    </row>
    <row r="351" spans="4:4">
      <c r="D351" s="10"/>
    </row>
    <row r="352" spans="4:4">
      <c r="D352" s="10"/>
    </row>
    <row r="353" spans="4:4">
      <c r="D353" s="10"/>
    </row>
    <row r="354" spans="4:4">
      <c r="D354" s="10"/>
    </row>
    <row r="355" spans="4:4">
      <c r="D355" s="10"/>
    </row>
    <row r="356" spans="4:4">
      <c r="D356" s="10"/>
    </row>
    <row r="357" spans="4:4">
      <c r="D357" s="10"/>
    </row>
    <row r="358" spans="4:4">
      <c r="D358" s="10"/>
    </row>
    <row r="359" spans="4:4">
      <c r="D359" s="10"/>
    </row>
    <row r="360" spans="4:4">
      <c r="D360" s="10"/>
    </row>
    <row r="361" spans="4:4">
      <c r="D361" s="10"/>
    </row>
    <row r="362" spans="4:4">
      <c r="D362" s="10"/>
    </row>
    <row r="363" spans="4:4">
      <c r="D363" s="10"/>
    </row>
    <row r="364" spans="4:4">
      <c r="D364" s="10"/>
    </row>
    <row r="365" spans="4:4">
      <c r="D365" s="10"/>
    </row>
    <row r="366" spans="4:4">
      <c r="D366" s="10"/>
    </row>
    <row r="367" spans="4:4">
      <c r="D367" s="10"/>
    </row>
    <row r="368" spans="4:4">
      <c r="D368" s="10"/>
    </row>
    <row r="369" spans="4:4">
      <c r="D369" s="10"/>
    </row>
    <row r="370" spans="4:4">
      <c r="D370" s="10"/>
    </row>
    <row r="371" spans="4:4">
      <c r="D371" s="10"/>
    </row>
    <row r="372" spans="4:4">
      <c r="D372" s="10"/>
    </row>
    <row r="373" spans="4:4">
      <c r="D373" s="10"/>
    </row>
    <row r="374" spans="4:4">
      <c r="D374" s="10"/>
    </row>
    <row r="375" spans="4:4">
      <c r="D375" s="10"/>
    </row>
    <row r="376" spans="4:4">
      <c r="D376" s="10"/>
    </row>
    <row r="377" spans="4:4">
      <c r="D377" s="10"/>
    </row>
    <row r="378" spans="4:4">
      <c r="D378" s="10"/>
    </row>
    <row r="379" spans="4:4">
      <c r="D379" s="10"/>
    </row>
    <row r="380" spans="4:4">
      <c r="D380" s="10"/>
    </row>
    <row r="381" spans="4:4">
      <c r="D381" s="10"/>
    </row>
    <row r="382" spans="4:4">
      <c r="D382" s="10"/>
    </row>
    <row r="383" spans="4:4">
      <c r="D383" s="10"/>
    </row>
    <row r="384" spans="4:4">
      <c r="D384" s="10"/>
    </row>
    <row r="385" spans="4:4">
      <c r="D385" s="10"/>
    </row>
    <row r="386" spans="4:4">
      <c r="D386" s="10"/>
    </row>
    <row r="387" spans="4:4">
      <c r="D387" s="10"/>
    </row>
    <row r="388" spans="4:4">
      <c r="D388" s="10"/>
    </row>
    <row r="389" spans="4:4">
      <c r="D389" s="10"/>
    </row>
    <row r="390" spans="4:4">
      <c r="D390" s="10"/>
    </row>
    <row r="391" spans="4:4">
      <c r="D391" s="10"/>
    </row>
    <row r="392" spans="4:4">
      <c r="D392" s="10"/>
    </row>
    <row r="393" spans="4:4">
      <c r="D393" s="10"/>
    </row>
    <row r="394" spans="4:4">
      <c r="D394" s="10"/>
    </row>
    <row r="395" spans="4:4">
      <c r="D395" s="10"/>
    </row>
    <row r="396" spans="4:4">
      <c r="D396" s="10"/>
    </row>
    <row r="397" spans="4:4">
      <c r="D397" s="10"/>
    </row>
    <row r="398" spans="4:4">
      <c r="D398" s="10"/>
    </row>
    <row r="399" spans="4:4">
      <c r="D399" s="10"/>
    </row>
    <row r="400" spans="4:4">
      <c r="D400" s="10"/>
    </row>
    <row r="401" spans="4:4">
      <c r="D401" s="10"/>
    </row>
    <row r="402" spans="4:4">
      <c r="D402" s="10"/>
    </row>
    <row r="403" spans="4:4">
      <c r="D403" s="10"/>
    </row>
    <row r="404" spans="4:4">
      <c r="D404" s="10"/>
    </row>
    <row r="405" spans="4:4">
      <c r="D405" s="10"/>
    </row>
    <row r="406" spans="4:4">
      <c r="D406" s="10"/>
    </row>
    <row r="407" spans="4:4">
      <c r="D407" s="10"/>
    </row>
    <row r="408" spans="4:4">
      <c r="D408" s="10"/>
    </row>
    <row r="409" spans="4:4">
      <c r="D409" s="10"/>
    </row>
    <row r="410" spans="4:4">
      <c r="D410" s="10"/>
    </row>
    <row r="411" spans="4:4">
      <c r="D411" s="10"/>
    </row>
    <row r="412" spans="4:4">
      <c r="D412" s="10"/>
    </row>
    <row r="413" spans="4:4">
      <c r="D413" s="10"/>
    </row>
    <row r="414" spans="4:4">
      <c r="D414" s="10"/>
    </row>
    <row r="415" spans="4:4">
      <c r="D415" s="10"/>
    </row>
    <row r="416" spans="4:4">
      <c r="D416" s="10"/>
    </row>
    <row r="417" spans="4:4">
      <c r="D417" s="10"/>
    </row>
    <row r="418" spans="4:4">
      <c r="D418" s="10"/>
    </row>
    <row r="419" spans="4:4">
      <c r="D419" s="10"/>
    </row>
    <row r="420" spans="4:4">
      <c r="D420" s="10"/>
    </row>
    <row r="421" spans="4:4">
      <c r="D421" s="10"/>
    </row>
    <row r="422" spans="4:4">
      <c r="D422" s="10"/>
    </row>
    <row r="423" spans="4:4">
      <c r="D423" s="10"/>
    </row>
    <row r="424" spans="4:4">
      <c r="D424" s="10"/>
    </row>
    <row r="425" spans="4:4">
      <c r="D425" s="10"/>
    </row>
    <row r="426" spans="4:4">
      <c r="D426" s="10"/>
    </row>
    <row r="427" spans="4:4">
      <c r="D427" s="10"/>
    </row>
    <row r="428" spans="4:4">
      <c r="D428" s="10"/>
    </row>
    <row r="429" spans="4:4">
      <c r="D429" s="10"/>
    </row>
    <row r="430" spans="4:4">
      <c r="D430" s="10"/>
    </row>
    <row r="431" spans="4:4">
      <c r="D431" s="10"/>
    </row>
    <row r="432" spans="4:4">
      <c r="D432" s="10"/>
    </row>
    <row r="433" spans="4:4">
      <c r="D433" s="10"/>
    </row>
    <row r="434" spans="4:4">
      <c r="D434" s="10"/>
    </row>
    <row r="435" spans="4:4">
      <c r="D435" s="10"/>
    </row>
    <row r="436" spans="4:4">
      <c r="D436" s="10"/>
    </row>
    <row r="437" spans="4:4">
      <c r="D437" s="10"/>
    </row>
    <row r="438" spans="4:4">
      <c r="D438" s="10"/>
    </row>
    <row r="439" spans="4:4">
      <c r="D439" s="10"/>
    </row>
    <row r="440" spans="4:4">
      <c r="D440" s="10"/>
    </row>
    <row r="441" spans="4:4">
      <c r="D441" s="10"/>
    </row>
    <row r="442" spans="4:4">
      <c r="D442" s="10"/>
    </row>
    <row r="443" spans="4:4">
      <c r="D443" s="10"/>
    </row>
    <row r="444" spans="4:4">
      <c r="D444" s="10"/>
    </row>
    <row r="445" spans="4:4">
      <c r="D445" s="10"/>
    </row>
    <row r="446" spans="4:4">
      <c r="D446" s="10"/>
    </row>
    <row r="447" spans="4:4">
      <c r="D447" s="10"/>
    </row>
    <row r="448" spans="4:4">
      <c r="D448" s="10"/>
    </row>
    <row r="449" spans="4:4">
      <c r="D449" s="10"/>
    </row>
    <row r="450" spans="4:4">
      <c r="D450" s="10"/>
    </row>
    <row r="451" spans="4:4">
      <c r="D451" s="10"/>
    </row>
    <row r="452" spans="4:4">
      <c r="D452" s="10"/>
    </row>
    <row r="453" spans="4:4">
      <c r="D453" s="10"/>
    </row>
    <row r="454" spans="4:4">
      <c r="D454" s="10"/>
    </row>
    <row r="455" spans="4:4">
      <c r="D455" s="10"/>
    </row>
    <row r="456" spans="4:4">
      <c r="D456" s="10"/>
    </row>
    <row r="457" spans="4:4">
      <c r="D457" s="10"/>
    </row>
    <row r="458" spans="4:4">
      <c r="D458" s="10"/>
    </row>
    <row r="459" spans="4:4">
      <c r="D459" s="10"/>
    </row>
    <row r="460" spans="4:4">
      <c r="D460" s="10"/>
    </row>
    <row r="461" spans="4:4">
      <c r="D461" s="10"/>
    </row>
    <row r="462" spans="4:4">
      <c r="D462" s="10"/>
    </row>
    <row r="463" spans="4:4">
      <c r="D463" s="10"/>
    </row>
    <row r="464" spans="4:4">
      <c r="D464" s="10"/>
    </row>
    <row r="465" spans="4:4">
      <c r="D465" s="10"/>
    </row>
    <row r="466" spans="4:4">
      <c r="D466" s="10"/>
    </row>
    <row r="467" spans="4:4">
      <c r="D467" s="10"/>
    </row>
    <row r="468" spans="4:4">
      <c r="D468" s="10"/>
    </row>
    <row r="469" spans="4:4">
      <c r="D469" s="10"/>
    </row>
    <row r="470" spans="4:4">
      <c r="D470" s="10"/>
    </row>
    <row r="471" spans="4:4">
      <c r="D471" s="10"/>
    </row>
    <row r="472" spans="4:4">
      <c r="D472" s="10"/>
    </row>
    <row r="473" spans="4:4">
      <c r="D473" s="10"/>
    </row>
    <row r="474" spans="4:4">
      <c r="D474" s="10"/>
    </row>
    <row r="475" spans="4:4">
      <c r="D475" s="10"/>
    </row>
    <row r="476" spans="4:4">
      <c r="D476" s="10"/>
    </row>
    <row r="477" spans="4:4">
      <c r="D477" s="10"/>
    </row>
    <row r="478" spans="4:4">
      <c r="D478" s="10"/>
    </row>
    <row r="479" spans="4:4">
      <c r="D479" s="10"/>
    </row>
    <row r="480" spans="4:4">
      <c r="D480" s="10"/>
    </row>
    <row r="481" spans="4:4">
      <c r="D481" s="10"/>
    </row>
    <row r="482" spans="4:4">
      <c r="D482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Hist</vt:lpstr>
      <vt:lpstr>Matrix</vt:lpstr>
      <vt:lpstr>지표물</vt:lpstr>
      <vt:lpstr>hist_data</vt:lpstr>
      <vt:lpstr>지표물_data</vt:lpstr>
      <vt:lpstr>matrix_data</vt:lpstr>
      <vt:lpstr>IR_code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Snow Jung</cp:lastModifiedBy>
  <dcterms:created xsi:type="dcterms:W3CDTF">2022-07-04T01:18:43Z</dcterms:created>
  <dcterms:modified xsi:type="dcterms:W3CDTF">2024-08-19T07:28:37Z</dcterms:modified>
</cp:coreProperties>
</file>