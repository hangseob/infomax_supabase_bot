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5440" windowHeight="15720" firstSheet="1" activeTab="1"/>
  </bookViews>
  <sheets>
    <sheet name="code" sheetId="1" state="hidden" r:id="rId1"/>
    <sheet name="CD|CP Matrix" sheetId="2" r:id="rId2"/>
    <sheet name="CD|CP 일별추이" sheetId="3" r:id="rId3"/>
    <sheet name="CD|CP 발행사" sheetId="4" r:id="rId4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K49" i="1" l="1"/>
  <c r="I43" i="1"/>
  <c r="E57" i="1"/>
  <c r="E52" i="1"/>
  <c r="E56" i="1"/>
  <c r="E55" i="1"/>
  <c r="E54" i="1"/>
  <c r="E53" i="1"/>
  <c r="D62" i="1"/>
  <c r="D61" i="1"/>
  <c r="D60" i="1"/>
  <c r="D59" i="1"/>
  <c r="D58" i="1"/>
  <c r="D57" i="1"/>
  <c r="D56" i="1"/>
  <c r="D55" i="1"/>
  <c r="D54" i="1"/>
  <c r="D53" i="1"/>
  <c r="D52" i="1"/>
  <c r="I46" i="1" s="1"/>
  <c r="I9" i="1"/>
  <c r="F20" i="1"/>
  <c r="F19" i="1"/>
  <c r="F18" i="1"/>
  <c r="F17" i="1"/>
  <c r="F16" i="1"/>
  <c r="F15" i="1"/>
  <c r="F14" i="1"/>
  <c r="F13" i="1"/>
  <c r="E12" i="1"/>
  <c r="E4" i="3"/>
  <c r="C4" i="3" s="1"/>
  <c r="B5" i="3"/>
  <c r="K1547" i="1" l="1"/>
  <c r="K1543" i="1"/>
  <c r="K1539" i="1"/>
  <c r="K1535" i="1"/>
  <c r="K1531" i="1"/>
  <c r="K1527" i="1"/>
  <c r="K1523" i="1"/>
  <c r="K1519" i="1"/>
  <c r="K1515" i="1"/>
  <c r="K1511" i="1"/>
  <c r="K1507" i="1"/>
  <c r="K1503" i="1"/>
  <c r="K1499" i="1"/>
  <c r="K1495" i="1"/>
  <c r="K1491" i="1"/>
  <c r="K1487" i="1"/>
  <c r="K1483" i="1"/>
  <c r="K1545" i="1"/>
  <c r="K1533" i="1"/>
  <c r="K1525" i="1"/>
  <c r="K1517" i="1"/>
  <c r="K1509" i="1"/>
  <c r="K1501" i="1"/>
  <c r="K1493" i="1"/>
  <c r="K1485" i="1"/>
  <c r="K1544" i="1"/>
  <c r="K1536" i="1"/>
  <c r="K1528" i="1"/>
  <c r="K1520" i="1"/>
  <c r="K1512" i="1"/>
  <c r="K1504" i="1"/>
  <c r="K1496" i="1"/>
  <c r="K1488" i="1"/>
  <c r="K1550" i="1"/>
  <c r="K1546" i="1"/>
  <c r="K1542" i="1"/>
  <c r="K1538" i="1"/>
  <c r="K1534" i="1"/>
  <c r="K1530" i="1"/>
  <c r="K1526" i="1"/>
  <c r="K1522" i="1"/>
  <c r="K1518" i="1"/>
  <c r="K1514" i="1"/>
  <c r="K1510" i="1"/>
  <c r="K1506" i="1"/>
  <c r="K1502" i="1"/>
  <c r="K1498" i="1"/>
  <c r="K1494" i="1"/>
  <c r="K1490" i="1"/>
  <c r="K1486" i="1"/>
  <c r="K1549" i="1"/>
  <c r="K1541" i="1"/>
  <c r="K1537" i="1"/>
  <c r="K1529" i="1"/>
  <c r="K1521" i="1"/>
  <c r="K1513" i="1"/>
  <c r="K1505" i="1"/>
  <c r="K1497" i="1"/>
  <c r="K1489" i="1"/>
  <c r="K1548" i="1"/>
  <c r="K1540" i="1"/>
  <c r="K1532" i="1"/>
  <c r="K1524" i="1"/>
  <c r="K1516" i="1"/>
  <c r="K1508" i="1"/>
  <c r="K1500" i="1"/>
  <c r="K1492" i="1"/>
  <c r="K1484" i="1"/>
  <c r="K71" i="1"/>
  <c r="K1481" i="1"/>
  <c r="K1477" i="1"/>
  <c r="K1473" i="1"/>
  <c r="K1469" i="1"/>
  <c r="K1465" i="1"/>
  <c r="K1461" i="1"/>
  <c r="K1457" i="1"/>
  <c r="K1453" i="1"/>
  <c r="K1449" i="1"/>
  <c r="K1445" i="1"/>
  <c r="K1441" i="1"/>
  <c r="K1437" i="1"/>
  <c r="K1433" i="1"/>
  <c r="K1429" i="1"/>
  <c r="K1425" i="1"/>
  <c r="K1421" i="1"/>
  <c r="K1417" i="1"/>
  <c r="K1413" i="1"/>
  <c r="K1409" i="1"/>
  <c r="K1405" i="1"/>
  <c r="K1401" i="1"/>
  <c r="K1397" i="1"/>
  <c r="K1393" i="1"/>
  <c r="K1389" i="1"/>
  <c r="K1385" i="1"/>
  <c r="K1381" i="1"/>
  <c r="K1377" i="1"/>
  <c r="K1373" i="1"/>
  <c r="K1369" i="1"/>
  <c r="K1365" i="1"/>
  <c r="K1361" i="1"/>
  <c r="K1357" i="1"/>
  <c r="K1353" i="1"/>
  <c r="K1349" i="1"/>
  <c r="K1345" i="1"/>
  <c r="K1341" i="1"/>
  <c r="K1337" i="1"/>
  <c r="K1333" i="1"/>
  <c r="K1329" i="1"/>
  <c r="K1325" i="1"/>
  <c r="K1321" i="1"/>
  <c r="K1317" i="1"/>
  <c r="K1313" i="1"/>
  <c r="K1309" i="1"/>
  <c r="K1305" i="1"/>
  <c r="K1301" i="1"/>
  <c r="K1297" i="1"/>
  <c r="K1293" i="1"/>
  <c r="K1289" i="1"/>
  <c r="K1285" i="1"/>
  <c r="K1281" i="1"/>
  <c r="K1277" i="1"/>
  <c r="K1273" i="1"/>
  <c r="K1269" i="1"/>
  <c r="K1265" i="1"/>
  <c r="K1261" i="1"/>
  <c r="K1257" i="1"/>
  <c r="K1253" i="1"/>
  <c r="K1249" i="1"/>
  <c r="K1245" i="1"/>
  <c r="K1241" i="1"/>
  <c r="K1237" i="1"/>
  <c r="K1233" i="1"/>
  <c r="K1229" i="1"/>
  <c r="K1225" i="1"/>
  <c r="K1221" i="1"/>
  <c r="K1217" i="1"/>
  <c r="K1213" i="1"/>
  <c r="K1209" i="1"/>
  <c r="K1205" i="1"/>
  <c r="K1201" i="1"/>
  <c r="K1197" i="1"/>
  <c r="K1193" i="1"/>
  <c r="K1189" i="1"/>
  <c r="K1185" i="1"/>
  <c r="K1181" i="1"/>
  <c r="K1177" i="1"/>
  <c r="K1173" i="1"/>
  <c r="K1169" i="1"/>
  <c r="K1165" i="1"/>
  <c r="K1161" i="1"/>
  <c r="K1157" i="1"/>
  <c r="K1153" i="1"/>
  <c r="K1149" i="1"/>
  <c r="K1145" i="1"/>
  <c r="K1479" i="1"/>
  <c r="K1474" i="1"/>
  <c r="K1468" i="1"/>
  <c r="K1463" i="1"/>
  <c r="K1458" i="1"/>
  <c r="K1452" i="1"/>
  <c r="K1447" i="1"/>
  <c r="K1442" i="1"/>
  <c r="K1436" i="1"/>
  <c r="K1431" i="1"/>
  <c r="K1426" i="1"/>
  <c r="K1420" i="1"/>
  <c r="K1415" i="1"/>
  <c r="K1410" i="1"/>
  <c r="K1404" i="1"/>
  <c r="K1399" i="1"/>
  <c r="K1394" i="1"/>
  <c r="K1388" i="1"/>
  <c r="K1383" i="1"/>
  <c r="K1378" i="1"/>
  <c r="K1372" i="1"/>
  <c r="K1367" i="1"/>
  <c r="K1362" i="1"/>
  <c r="K1356" i="1"/>
  <c r="K1351" i="1"/>
  <c r="K1346" i="1"/>
  <c r="K1340" i="1"/>
  <c r="K1335" i="1"/>
  <c r="K1330" i="1"/>
  <c r="K1324" i="1"/>
  <c r="K1319" i="1"/>
  <c r="K1314" i="1"/>
  <c r="K1308" i="1"/>
  <c r="K1303" i="1"/>
  <c r="K1298" i="1"/>
  <c r="K1292" i="1"/>
  <c r="K1287" i="1"/>
  <c r="K1282" i="1"/>
  <c r="K1276" i="1"/>
  <c r="K1271" i="1"/>
  <c r="K1266" i="1"/>
  <c r="K1260" i="1"/>
  <c r="K1255" i="1"/>
  <c r="K1250" i="1"/>
  <c r="K1244" i="1"/>
  <c r="K1239" i="1"/>
  <c r="K1234" i="1"/>
  <c r="K1228" i="1"/>
  <c r="K1223" i="1"/>
  <c r="K1218" i="1"/>
  <c r="K1212" i="1"/>
  <c r="K1207" i="1"/>
  <c r="K1202" i="1"/>
  <c r="K1196" i="1"/>
  <c r="K1191" i="1"/>
  <c r="K1186" i="1"/>
  <c r="K1180" i="1"/>
  <c r="K1175" i="1"/>
  <c r="K1170" i="1"/>
  <c r="K1164" i="1"/>
  <c r="K1159" i="1"/>
  <c r="K1154" i="1"/>
  <c r="K1148" i="1"/>
  <c r="K1143" i="1"/>
  <c r="K1139" i="1"/>
  <c r="K1135" i="1"/>
  <c r="K1131" i="1"/>
  <c r="K1127" i="1"/>
  <c r="K1123" i="1"/>
  <c r="K1119" i="1"/>
  <c r="K1115" i="1"/>
  <c r="K1111" i="1"/>
  <c r="K1107" i="1"/>
  <c r="K1103" i="1"/>
  <c r="K1099" i="1"/>
  <c r="K1095" i="1"/>
  <c r="K1091" i="1"/>
  <c r="K1087" i="1"/>
  <c r="K1083" i="1"/>
  <c r="K1079" i="1"/>
  <c r="K1075" i="1"/>
  <c r="K1071" i="1"/>
  <c r="K1067" i="1"/>
  <c r="K1063" i="1"/>
  <c r="K1059" i="1"/>
  <c r="K1480" i="1"/>
  <c r="K1472" i="1"/>
  <c r="K1466" i="1"/>
  <c r="K1459" i="1"/>
  <c r="K1451" i="1"/>
  <c r="K1444" i="1"/>
  <c r="K1438" i="1"/>
  <c r="K1430" i="1"/>
  <c r="K1423" i="1"/>
  <c r="K1416" i="1"/>
  <c r="K1408" i="1"/>
  <c r="K1402" i="1"/>
  <c r="K1395" i="1"/>
  <c r="K1387" i="1"/>
  <c r="K1380" i="1"/>
  <c r="K1374" i="1"/>
  <c r="K1366" i="1"/>
  <c r="K1478" i="1"/>
  <c r="K1471" i="1"/>
  <c r="K1464" i="1"/>
  <c r="K1456" i="1"/>
  <c r="K1450" i="1"/>
  <c r="K1443" i="1"/>
  <c r="K1435" i="1"/>
  <c r="K1428" i="1"/>
  <c r="K1422" i="1"/>
  <c r="K1414" i="1"/>
  <c r="K1407" i="1"/>
  <c r="K1400" i="1"/>
  <c r="K1392" i="1"/>
  <c r="K1386" i="1"/>
  <c r="K1379" i="1"/>
  <c r="K1371" i="1"/>
  <c r="K1364" i="1"/>
  <c r="K1358" i="1"/>
  <c r="K1350" i="1"/>
  <c r="K1343" i="1"/>
  <c r="K1336" i="1"/>
  <c r="K1328" i="1"/>
  <c r="K1322" i="1"/>
  <c r="K1315" i="1"/>
  <c r="K1307" i="1"/>
  <c r="K1300" i="1"/>
  <c r="K1294" i="1"/>
  <c r="K1286" i="1"/>
  <c r="K1279" i="1"/>
  <c r="K1272" i="1"/>
  <c r="K1264" i="1"/>
  <c r="K1258" i="1"/>
  <c r="K1251" i="1"/>
  <c r="K1243" i="1"/>
  <c r="K1236" i="1"/>
  <c r="K1230" i="1"/>
  <c r="K1222" i="1"/>
  <c r="K1215" i="1"/>
  <c r="K1208" i="1"/>
  <c r="K1200" i="1"/>
  <c r="K1194" i="1"/>
  <c r="K1187" i="1"/>
  <c r="K1179" i="1"/>
  <c r="K1172" i="1"/>
  <c r="K1166" i="1"/>
  <c r="K1158" i="1"/>
  <c r="K1151" i="1"/>
  <c r="K1144" i="1"/>
  <c r="K1138" i="1"/>
  <c r="K1133" i="1"/>
  <c r="K1128" i="1"/>
  <c r="K1122" i="1"/>
  <c r="K1117" i="1"/>
  <c r="K1112" i="1"/>
  <c r="K1106" i="1"/>
  <c r="K1101" i="1"/>
  <c r="K1096" i="1"/>
  <c r="K1090" i="1"/>
  <c r="K1085" i="1"/>
  <c r="K1080" i="1"/>
  <c r="K1074" i="1"/>
  <c r="K1069" i="1"/>
  <c r="K1064" i="1"/>
  <c r="K1058" i="1"/>
  <c r="K1054" i="1"/>
  <c r="K1050" i="1"/>
  <c r="K1046" i="1"/>
  <c r="K1042" i="1"/>
  <c r="K1038" i="1"/>
  <c r="K1034" i="1"/>
  <c r="K1030" i="1"/>
  <c r="K1026" i="1"/>
  <c r="K1022" i="1"/>
  <c r="K1018" i="1"/>
  <c r="K1014" i="1"/>
  <c r="K1010" i="1"/>
  <c r="K1006" i="1"/>
  <c r="K1002" i="1"/>
  <c r="K998" i="1"/>
  <c r="K994" i="1"/>
  <c r="K990" i="1"/>
  <c r="K986" i="1"/>
  <c r="K982" i="1"/>
  <c r="K978" i="1"/>
  <c r="K974" i="1"/>
  <c r="K970" i="1"/>
  <c r="K966" i="1"/>
  <c r="K962" i="1"/>
  <c r="K958" i="1"/>
  <c r="K954" i="1"/>
  <c r="K950" i="1"/>
  <c r="K946" i="1"/>
  <c r="K942" i="1"/>
  <c r="K938" i="1"/>
  <c r="K934" i="1"/>
  <c r="K930" i="1"/>
  <c r="K926" i="1"/>
  <c r="K922" i="1"/>
  <c r="K918" i="1"/>
  <c r="K914" i="1"/>
  <c r="K910" i="1"/>
  <c r="K906" i="1"/>
  <c r="K902" i="1"/>
  <c r="K898" i="1"/>
  <c r="K894" i="1"/>
  <c r="K890" i="1"/>
  <c r="K886" i="1"/>
  <c r="K882" i="1"/>
  <c r="K878" i="1"/>
  <c r="K874" i="1"/>
  <c r="K870" i="1"/>
  <c r="K866" i="1"/>
  <c r="K862" i="1"/>
  <c r="K858" i="1"/>
  <c r="K854" i="1"/>
  <c r="K850" i="1"/>
  <c r="K846" i="1"/>
  <c r="K842" i="1"/>
  <c r="K838" i="1"/>
  <c r="K834" i="1"/>
  <c r="K830" i="1"/>
  <c r="K826" i="1"/>
  <c r="K822" i="1"/>
  <c r="K818" i="1"/>
  <c r="K814" i="1"/>
  <c r="K810" i="1"/>
  <c r="K806" i="1"/>
  <c r="K802" i="1"/>
  <c r="K798" i="1"/>
  <c r="K794" i="1"/>
  <c r="K790" i="1"/>
  <c r="K786" i="1"/>
  <c r="K782" i="1"/>
  <c r="K778" i="1"/>
  <c r="K774" i="1"/>
  <c r="K770" i="1"/>
  <c r="K766" i="1"/>
  <c r="K762" i="1"/>
  <c r="K758" i="1"/>
  <c r="K754" i="1"/>
  <c r="K750" i="1"/>
  <c r="K746" i="1"/>
  <c r="K742" i="1"/>
  <c r="K738" i="1"/>
  <c r="K734" i="1"/>
  <c r="K730" i="1"/>
  <c r="K726" i="1"/>
  <c r="K722" i="1"/>
  <c r="K718" i="1"/>
  <c r="K714" i="1"/>
  <c r="K710" i="1"/>
  <c r="K706" i="1"/>
  <c r="K702" i="1"/>
  <c r="K698" i="1"/>
  <c r="K694" i="1"/>
  <c r="K690" i="1"/>
  <c r="K686" i="1"/>
  <c r="K682" i="1"/>
  <c r="K678" i="1"/>
  <c r="K674" i="1"/>
  <c r="K670" i="1"/>
  <c r="K666" i="1"/>
  <c r="K662" i="1"/>
  <c r="K658" i="1"/>
  <c r="K654" i="1"/>
  <c r="K650" i="1"/>
  <c r="K646" i="1"/>
  <c r="K642" i="1"/>
  <c r="K638" i="1"/>
  <c r="K634" i="1"/>
  <c r="K1470" i="1"/>
  <c r="K1455" i="1"/>
  <c r="K1440" i="1"/>
  <c r="K1427" i="1"/>
  <c r="K1412" i="1"/>
  <c r="K1398" i="1"/>
  <c r="K1384" i="1"/>
  <c r="K1482" i="1"/>
  <c r="K1467" i="1"/>
  <c r="K1454" i="1"/>
  <c r="K1439" i="1"/>
  <c r="K1424" i="1"/>
  <c r="K1411" i="1"/>
  <c r="K1396" i="1"/>
  <c r="K1382" i="1"/>
  <c r="K1368" i="1"/>
  <c r="K1355" i="1"/>
  <c r="K1347" i="1"/>
  <c r="K1338" i="1"/>
  <c r="K1327" i="1"/>
  <c r="K1318" i="1"/>
  <c r="K1310" i="1"/>
  <c r="K1299" i="1"/>
  <c r="K1290" i="1"/>
  <c r="K1280" i="1"/>
  <c r="K1270" i="1"/>
  <c r="K1262" i="1"/>
  <c r="K1252" i="1"/>
  <c r="K1242" i="1"/>
  <c r="K1232" i="1"/>
  <c r="K1224" i="1"/>
  <c r="K1214" i="1"/>
  <c r="K1204" i="1"/>
  <c r="K1195" i="1"/>
  <c r="K1184" i="1"/>
  <c r="K1176" i="1"/>
  <c r="K1167" i="1"/>
  <c r="K1156" i="1"/>
  <c r="K1476" i="1"/>
  <c r="K1462" i="1"/>
  <c r="K1448" i="1"/>
  <c r="K1434" i="1"/>
  <c r="K1419" i="1"/>
  <c r="K1406" i="1"/>
  <c r="K1391" i="1"/>
  <c r="K1376" i="1"/>
  <c r="K1363" i="1"/>
  <c r="K1354" i="1"/>
  <c r="K1344" i="1"/>
  <c r="K1334" i="1"/>
  <c r="K1326" i="1"/>
  <c r="K1316" i="1"/>
  <c r="K1306" i="1"/>
  <c r="K1296" i="1"/>
  <c r="K1288" i="1"/>
  <c r="K1278" i="1"/>
  <c r="K1268" i="1"/>
  <c r="K1259" i="1"/>
  <c r="K1248" i="1"/>
  <c r="K1240" i="1"/>
  <c r="K1231" i="1"/>
  <c r="K1220" i="1"/>
  <c r="K1211" i="1"/>
  <c r="K1203" i="1"/>
  <c r="K1192" i="1"/>
  <c r="K1183" i="1"/>
  <c r="K1174" i="1"/>
  <c r="K1163" i="1"/>
  <c r="K1155" i="1"/>
  <c r="K1146" i="1"/>
  <c r="K1137" i="1"/>
  <c r="K1130" i="1"/>
  <c r="K1124" i="1"/>
  <c r="K1116" i="1"/>
  <c r="K1109" i="1"/>
  <c r="K1102" i="1"/>
  <c r="K1094" i="1"/>
  <c r="K1088" i="1"/>
  <c r="K1081" i="1"/>
  <c r="K1073" i="1"/>
  <c r="K1066" i="1"/>
  <c r="K1060" i="1"/>
  <c r="K1053" i="1"/>
  <c r="K1048" i="1"/>
  <c r="K1043" i="1"/>
  <c r="K1037" i="1"/>
  <c r="K1475" i="1"/>
  <c r="K1460" i="1"/>
  <c r="K1446" i="1"/>
  <c r="K1432" i="1"/>
  <c r="K1418" i="1"/>
  <c r="K1403" i="1"/>
  <c r="K1390" i="1"/>
  <c r="K1375" i="1"/>
  <c r="K1360" i="1"/>
  <c r="K1352" i="1"/>
  <c r="K1342" i="1"/>
  <c r="K1332" i="1"/>
  <c r="K1323" i="1"/>
  <c r="K1312" i="1"/>
  <c r="K1304" i="1"/>
  <c r="K1295" i="1"/>
  <c r="K1284" i="1"/>
  <c r="K1275" i="1"/>
  <c r="K1267" i="1"/>
  <c r="K1256" i="1"/>
  <c r="K1247" i="1"/>
  <c r="K1238" i="1"/>
  <c r="K1227" i="1"/>
  <c r="K1219" i="1"/>
  <c r="K1210" i="1"/>
  <c r="K1199" i="1"/>
  <c r="K1190" i="1"/>
  <c r="K1182" i="1"/>
  <c r="K1171" i="1"/>
  <c r="K1162" i="1"/>
  <c r="K1152" i="1"/>
  <c r="K1142" i="1"/>
  <c r="K1136" i="1"/>
  <c r="K1129" i="1"/>
  <c r="K1121" i="1"/>
  <c r="K1114" i="1"/>
  <c r="K1108" i="1"/>
  <c r="K1100" i="1"/>
  <c r="K1093" i="1"/>
  <c r="K1086" i="1"/>
  <c r="K1078" i="1"/>
  <c r="K1072" i="1"/>
  <c r="K1065" i="1"/>
  <c r="K1057" i="1"/>
  <c r="K1052" i="1"/>
  <c r="K1047" i="1"/>
  <c r="K1041" i="1"/>
  <c r="K1036" i="1"/>
  <c r="K1031" i="1"/>
  <c r="K1025" i="1"/>
  <c r="K1020" i="1"/>
  <c r="K1015" i="1"/>
  <c r="K1009" i="1"/>
  <c r="K1004" i="1"/>
  <c r="K999" i="1"/>
  <c r="K993" i="1"/>
  <c r="K988" i="1"/>
  <c r="K983" i="1"/>
  <c r="K977" i="1"/>
  <c r="K972" i="1"/>
  <c r="K967" i="1"/>
  <c r="K961" i="1"/>
  <c r="K956" i="1"/>
  <c r="K951" i="1"/>
  <c r="K945" i="1"/>
  <c r="K940" i="1"/>
  <c r="K935" i="1"/>
  <c r="K929" i="1"/>
  <c r="K924" i="1"/>
  <c r="K919" i="1"/>
  <c r="K913" i="1"/>
  <c r="K908" i="1"/>
  <c r="K903" i="1"/>
  <c r="K897" i="1"/>
  <c r="K892" i="1"/>
  <c r="K887" i="1"/>
  <c r="K881" i="1"/>
  <c r="K876" i="1"/>
  <c r="K871" i="1"/>
  <c r="K865" i="1"/>
  <c r="K860" i="1"/>
  <c r="K855" i="1"/>
  <c r="K849" i="1"/>
  <c r="K844" i="1"/>
  <c r="K839" i="1"/>
  <c r="K833" i="1"/>
  <c r="K828" i="1"/>
  <c r="K823" i="1"/>
  <c r="K817" i="1"/>
  <c r="K812" i="1"/>
  <c r="K807" i="1"/>
  <c r="K801" i="1"/>
  <c r="K796" i="1"/>
  <c r="K791" i="1"/>
  <c r="K785" i="1"/>
  <c r="K780" i="1"/>
  <c r="K775" i="1"/>
  <c r="K769" i="1"/>
  <c r="K764" i="1"/>
  <c r="K759" i="1"/>
  <c r="K753" i="1"/>
  <c r="K748" i="1"/>
  <c r="K743" i="1"/>
  <c r="K737" i="1"/>
  <c r="K732" i="1"/>
  <c r="K727" i="1"/>
  <c r="K721" i="1"/>
  <c r="K716" i="1"/>
  <c r="K711" i="1"/>
  <c r="K705" i="1"/>
  <c r="K700" i="1"/>
  <c r="K695" i="1"/>
  <c r="K689" i="1"/>
  <c r="K684" i="1"/>
  <c r="K679" i="1"/>
  <c r="K673" i="1"/>
  <c r="K668" i="1"/>
  <c r="K663" i="1"/>
  <c r="K657" i="1"/>
  <c r="K652" i="1"/>
  <c r="K647" i="1"/>
  <c r="K641" i="1"/>
  <c r="K636" i="1"/>
  <c r="K631" i="1"/>
  <c r="K627" i="1"/>
  <c r="K623" i="1"/>
  <c r="K619" i="1"/>
  <c r="K615" i="1"/>
  <c r="K611" i="1"/>
  <c r="K607" i="1"/>
  <c r="K603" i="1"/>
  <c r="K599" i="1"/>
  <c r="K595" i="1"/>
  <c r="K591" i="1"/>
  <c r="K587" i="1"/>
  <c r="K583" i="1"/>
  <c r="K579" i="1"/>
  <c r="K575" i="1"/>
  <c r="K571" i="1"/>
  <c r="K567" i="1"/>
  <c r="K563" i="1"/>
  <c r="K559" i="1"/>
  <c r="K555" i="1"/>
  <c r="K551" i="1"/>
  <c r="K547" i="1"/>
  <c r="K543" i="1"/>
  <c r="K539" i="1"/>
  <c r="K535" i="1"/>
  <c r="K531" i="1"/>
  <c r="K527" i="1"/>
  <c r="K523" i="1"/>
  <c r="K519" i="1"/>
  <c r="K515" i="1"/>
  <c r="K511" i="1"/>
  <c r="K507" i="1"/>
  <c r="K503" i="1"/>
  <c r="K499" i="1"/>
  <c r="K495" i="1"/>
  <c r="K491" i="1"/>
  <c r="K487" i="1"/>
  <c r="K483" i="1"/>
  <c r="K479" i="1"/>
  <c r="K475" i="1"/>
  <c r="K471" i="1"/>
  <c r="K467" i="1"/>
  <c r="K463" i="1"/>
  <c r="K459" i="1"/>
  <c r="K455" i="1"/>
  <c r="K451" i="1"/>
  <c r="K447" i="1"/>
  <c r="K443" i="1"/>
  <c r="K439" i="1"/>
  <c r="K435" i="1"/>
  <c r="K431" i="1"/>
  <c r="K427" i="1"/>
  <c r="K423" i="1"/>
  <c r="K419" i="1"/>
  <c r="K415" i="1"/>
  <c r="K411" i="1"/>
  <c r="K407" i="1"/>
  <c r="K403" i="1"/>
  <c r="K399" i="1"/>
  <c r="K395" i="1"/>
  <c r="K391" i="1"/>
  <c r="K387" i="1"/>
  <c r="K383" i="1"/>
  <c r="K379" i="1"/>
  <c r="K375" i="1"/>
  <c r="K371" i="1"/>
  <c r="K367" i="1"/>
  <c r="K363" i="1"/>
  <c r="K359" i="1"/>
  <c r="K355" i="1"/>
  <c r="K351" i="1"/>
  <c r="K347" i="1"/>
  <c r="K343" i="1"/>
  <c r="K339" i="1"/>
  <c r="K335" i="1"/>
  <c r="K331" i="1"/>
  <c r="K327" i="1"/>
  <c r="K323" i="1"/>
  <c r="K319" i="1"/>
  <c r="K315" i="1"/>
  <c r="K311" i="1"/>
  <c r="K307" i="1"/>
  <c r="K303" i="1"/>
  <c r="K299" i="1"/>
  <c r="K295" i="1"/>
  <c r="K291" i="1"/>
  <c r="K287" i="1"/>
  <c r="K283" i="1"/>
  <c r="K279" i="1"/>
  <c r="K275" i="1"/>
  <c r="K271" i="1"/>
  <c r="K267" i="1"/>
  <c r="K263" i="1"/>
  <c r="K259" i="1"/>
  <c r="K255" i="1"/>
  <c r="K251" i="1"/>
  <c r="K247" i="1"/>
  <c r="K243" i="1"/>
  <c r="K239" i="1"/>
  <c r="K235" i="1"/>
  <c r="K231" i="1"/>
  <c r="K227" i="1"/>
  <c r="K223" i="1"/>
  <c r="K219" i="1"/>
  <c r="K215" i="1"/>
  <c r="K211" i="1"/>
  <c r="K207" i="1"/>
  <c r="K203" i="1"/>
  <c r="K199" i="1"/>
  <c r="K195" i="1"/>
  <c r="K191" i="1"/>
  <c r="K187" i="1"/>
  <c r="K183" i="1"/>
  <c r="K179" i="1"/>
  <c r="K175" i="1"/>
  <c r="K171" i="1"/>
  <c r="K167" i="1"/>
  <c r="K163" i="1"/>
  <c r="K159" i="1"/>
  <c r="K155" i="1"/>
  <c r="K151" i="1"/>
  <c r="K147" i="1"/>
  <c r="K143" i="1"/>
  <c r="K139" i="1"/>
  <c r="K135" i="1"/>
  <c r="K131" i="1"/>
  <c r="K127" i="1"/>
  <c r="K123" i="1"/>
  <c r="K119" i="1"/>
  <c r="K115" i="1"/>
  <c r="K111" i="1"/>
  <c r="K107" i="1"/>
  <c r="K103" i="1"/>
  <c r="K99" i="1"/>
  <c r="K95" i="1"/>
  <c r="K91" i="1"/>
  <c r="K87" i="1"/>
  <c r="K83" i="1"/>
  <c r="K79" i="1"/>
  <c r="K75" i="1"/>
  <c r="K1359" i="1"/>
  <c r="K1348" i="1"/>
  <c r="K1339" i="1"/>
  <c r="K1331" i="1"/>
  <c r="K1320" i="1"/>
  <c r="K1311" i="1"/>
  <c r="K1302" i="1"/>
  <c r="K1291" i="1"/>
  <c r="K1283" i="1"/>
  <c r="K1274" i="1"/>
  <c r="K1263" i="1"/>
  <c r="K1254" i="1"/>
  <c r="K1246" i="1"/>
  <c r="K1235" i="1"/>
  <c r="K1226" i="1"/>
  <c r="K1216" i="1"/>
  <c r="K1206" i="1"/>
  <c r="K1198" i="1"/>
  <c r="K1188" i="1"/>
  <c r="K1178" i="1"/>
  <c r="K1168" i="1"/>
  <c r="K1160" i="1"/>
  <c r="K1150" i="1"/>
  <c r="K1141" i="1"/>
  <c r="K1134" i="1"/>
  <c r="K1126" i="1"/>
  <c r="K1120" i="1"/>
  <c r="K1113" i="1"/>
  <c r="K1105" i="1"/>
  <c r="K1098" i="1"/>
  <c r="K1092" i="1"/>
  <c r="K1084" i="1"/>
  <c r="K1077" i="1"/>
  <c r="K1070" i="1"/>
  <c r="K1062" i="1"/>
  <c r="K1056" i="1"/>
  <c r="K1051" i="1"/>
  <c r="K1045" i="1"/>
  <c r="K1040" i="1"/>
  <c r="K1035" i="1"/>
  <c r="K1029" i="1"/>
  <c r="K1024" i="1"/>
  <c r="K1019" i="1"/>
  <c r="K1013" i="1"/>
  <c r="K1008" i="1"/>
  <c r="K1003" i="1"/>
  <c r="K997" i="1"/>
  <c r="K992" i="1"/>
  <c r="K987" i="1"/>
  <c r="K981" i="1"/>
  <c r="K976" i="1"/>
  <c r="K971" i="1"/>
  <c r="K965" i="1"/>
  <c r="K960" i="1"/>
  <c r="K955" i="1"/>
  <c r="K949" i="1"/>
  <c r="K944" i="1"/>
  <c r="K939" i="1"/>
  <c r="K933" i="1"/>
  <c r="K928" i="1"/>
  <c r="K923" i="1"/>
  <c r="K917" i="1"/>
  <c r="K912" i="1"/>
  <c r="K907" i="1"/>
  <c r="K901" i="1"/>
  <c r="K896" i="1"/>
  <c r="K891" i="1"/>
  <c r="K885" i="1"/>
  <c r="K880" i="1"/>
  <c r="K875" i="1"/>
  <c r="K869" i="1"/>
  <c r="K864" i="1"/>
  <c r="K859" i="1"/>
  <c r="K853" i="1"/>
  <c r="K848" i="1"/>
  <c r="K843" i="1"/>
  <c r="K837" i="1"/>
  <c r="K832" i="1"/>
  <c r="K104" i="1"/>
  <c r="K109" i="1"/>
  <c r="K632" i="1"/>
  <c r="K317" i="1"/>
  <c r="K189" i="1"/>
  <c r="K136" i="1"/>
  <c r="K93" i="1"/>
  <c r="K1132" i="1"/>
  <c r="K1104" i="1"/>
  <c r="K1076" i="1"/>
  <c r="K1049" i="1"/>
  <c r="K1032" i="1"/>
  <c r="K1021" i="1"/>
  <c r="K1011" i="1"/>
  <c r="K1000" i="1"/>
  <c r="K989" i="1"/>
  <c r="K979" i="1"/>
  <c r="K968" i="1"/>
  <c r="K957" i="1"/>
  <c r="K947" i="1"/>
  <c r="K936" i="1"/>
  <c r="K925" i="1"/>
  <c r="K915" i="1"/>
  <c r="K904" i="1"/>
  <c r="K893" i="1"/>
  <c r="K883" i="1"/>
  <c r="K872" i="1"/>
  <c r="K861" i="1"/>
  <c r="K851" i="1"/>
  <c r="K840" i="1"/>
  <c r="K829" i="1"/>
  <c r="K821" i="1"/>
  <c r="K815" i="1"/>
  <c r="K808" i="1"/>
  <c r="K800" i="1"/>
  <c r="K793" i="1"/>
  <c r="K787" i="1"/>
  <c r="K779" i="1"/>
  <c r="K772" i="1"/>
  <c r="K765" i="1"/>
  <c r="K757" i="1"/>
  <c r="K751" i="1"/>
  <c r="K744" i="1"/>
  <c r="K736" i="1"/>
  <c r="K729" i="1"/>
  <c r="K723" i="1"/>
  <c r="K715" i="1"/>
  <c r="K708" i="1"/>
  <c r="K701" i="1"/>
  <c r="K693" i="1"/>
  <c r="K687" i="1"/>
  <c r="K680" i="1"/>
  <c r="K672" i="1"/>
  <c r="K665" i="1"/>
  <c r="K659" i="1"/>
  <c r="K651" i="1"/>
  <c r="K644" i="1"/>
  <c r="K637" i="1"/>
  <c r="K630" i="1"/>
  <c r="K625" i="1"/>
  <c r="K620" i="1"/>
  <c r="K614" i="1"/>
  <c r="K609" i="1"/>
  <c r="K604" i="1"/>
  <c r="K598" i="1"/>
  <c r="K593" i="1"/>
  <c r="K588" i="1"/>
  <c r="K582" i="1"/>
  <c r="K577" i="1"/>
  <c r="K572" i="1"/>
  <c r="K566" i="1"/>
  <c r="K561" i="1"/>
  <c r="K556" i="1"/>
  <c r="K550" i="1"/>
  <c r="K545" i="1"/>
  <c r="K540" i="1"/>
  <c r="K534" i="1"/>
  <c r="K529" i="1"/>
  <c r="K524" i="1"/>
  <c r="K518" i="1"/>
  <c r="K513" i="1"/>
  <c r="K508" i="1"/>
  <c r="K502" i="1"/>
  <c r="K497" i="1"/>
  <c r="K492" i="1"/>
  <c r="K486" i="1"/>
  <c r="K481" i="1"/>
  <c r="K476" i="1"/>
  <c r="K470" i="1"/>
  <c r="K465" i="1"/>
  <c r="K460" i="1"/>
  <c r="K454" i="1"/>
  <c r="K449" i="1"/>
  <c r="K444" i="1"/>
  <c r="K438" i="1"/>
  <c r="K433" i="1"/>
  <c r="K428" i="1"/>
  <c r="K422" i="1"/>
  <c r="K417" i="1"/>
  <c r="K412" i="1"/>
  <c r="K406" i="1"/>
  <c r="K401" i="1"/>
  <c r="K396" i="1"/>
  <c r="K390" i="1"/>
  <c r="K385" i="1"/>
  <c r="K380" i="1"/>
  <c r="K374" i="1"/>
  <c r="K369" i="1"/>
  <c r="K364" i="1"/>
  <c r="K358" i="1"/>
  <c r="K353" i="1"/>
  <c r="K348" i="1"/>
  <c r="K342" i="1"/>
  <c r="K337" i="1"/>
  <c r="K332" i="1"/>
  <c r="K326" i="1"/>
  <c r="K321" i="1"/>
  <c r="K316" i="1"/>
  <c r="K310" i="1"/>
  <c r="K305" i="1"/>
  <c r="K300" i="1"/>
  <c r="K294" i="1"/>
  <c r="K289" i="1"/>
  <c r="K284" i="1"/>
  <c r="K278" i="1"/>
  <c r="K273" i="1"/>
  <c r="K268" i="1"/>
  <c r="K262" i="1"/>
  <c r="K257" i="1"/>
  <c r="K252" i="1"/>
  <c r="K246" i="1"/>
  <c r="K241" i="1"/>
  <c r="K236" i="1"/>
  <c r="K230" i="1"/>
  <c r="K225" i="1"/>
  <c r="K220" i="1"/>
  <c r="K214" i="1"/>
  <c r="K209" i="1"/>
  <c r="K204" i="1"/>
  <c r="K198" i="1"/>
  <c r="K193" i="1"/>
  <c r="K188" i="1"/>
  <c r="K182" i="1"/>
  <c r="K177" i="1"/>
  <c r="K172" i="1"/>
  <c r="K166" i="1"/>
  <c r="K161" i="1"/>
  <c r="K156" i="1"/>
  <c r="K150" i="1"/>
  <c r="K145" i="1"/>
  <c r="K140" i="1"/>
  <c r="K134" i="1"/>
  <c r="K129" i="1"/>
  <c r="K124" i="1"/>
  <c r="K118" i="1"/>
  <c r="K113" i="1"/>
  <c r="K108" i="1"/>
  <c r="K102" i="1"/>
  <c r="K97" i="1"/>
  <c r="K92" i="1"/>
  <c r="K86" i="1"/>
  <c r="K81" i="1"/>
  <c r="K76" i="1"/>
  <c r="K1370" i="1"/>
  <c r="K1125" i="1"/>
  <c r="K1097" i="1"/>
  <c r="K1068" i="1"/>
  <c r="K1044" i="1"/>
  <c r="K1028" i="1"/>
  <c r="K1017" i="1"/>
  <c r="K1007" i="1"/>
  <c r="K996" i="1"/>
  <c r="K985" i="1"/>
  <c r="K975" i="1"/>
  <c r="K964" i="1"/>
  <c r="K953" i="1"/>
  <c r="K943" i="1"/>
  <c r="K932" i="1"/>
  <c r="K921" i="1"/>
  <c r="K911" i="1"/>
  <c r="K900" i="1"/>
  <c r="K889" i="1"/>
  <c r="K879" i="1"/>
  <c r="K868" i="1"/>
  <c r="K857" i="1"/>
  <c r="K847" i="1"/>
  <c r="K836" i="1"/>
  <c r="K827" i="1"/>
  <c r="K820" i="1"/>
  <c r="K813" i="1"/>
  <c r="K805" i="1"/>
  <c r="K799" i="1"/>
  <c r="K792" i="1"/>
  <c r="K784" i="1"/>
  <c r="K777" i="1"/>
  <c r="K771" i="1"/>
  <c r="K763" i="1"/>
  <c r="K756" i="1"/>
  <c r="K749" i="1"/>
  <c r="K741" i="1"/>
  <c r="K735" i="1"/>
  <c r="K728" i="1"/>
  <c r="K720" i="1"/>
  <c r="K713" i="1"/>
  <c r="K707" i="1"/>
  <c r="K699" i="1"/>
  <c r="K692" i="1"/>
  <c r="K685" i="1"/>
  <c r="K677" i="1"/>
  <c r="K671" i="1"/>
  <c r="K664" i="1"/>
  <c r="K656" i="1"/>
  <c r="K649" i="1"/>
  <c r="K643" i="1"/>
  <c r="K635" i="1"/>
  <c r="K629" i="1"/>
  <c r="K624" i="1"/>
  <c r="K618" i="1"/>
  <c r="K613" i="1"/>
  <c r="K608" i="1"/>
  <c r="K602" i="1"/>
  <c r="K597" i="1"/>
  <c r="K592" i="1"/>
  <c r="K586" i="1"/>
  <c r="K581" i="1"/>
  <c r="K576" i="1"/>
  <c r="K570" i="1"/>
  <c r="K565" i="1"/>
  <c r="K560" i="1"/>
  <c r="K554" i="1"/>
  <c r="K549" i="1"/>
  <c r="K544" i="1"/>
  <c r="K538" i="1"/>
  <c r="K533" i="1"/>
  <c r="K528" i="1"/>
  <c r="K522" i="1"/>
  <c r="K517" i="1"/>
  <c r="K512" i="1"/>
  <c r="K506" i="1"/>
  <c r="K501" i="1"/>
  <c r="K496" i="1"/>
  <c r="K490" i="1"/>
  <c r="K485" i="1"/>
  <c r="K480" i="1"/>
  <c r="K474" i="1"/>
  <c r="K469" i="1"/>
  <c r="K464" i="1"/>
  <c r="K458" i="1"/>
  <c r="K453" i="1"/>
  <c r="K448" i="1"/>
  <c r="K442" i="1"/>
  <c r="K437" i="1"/>
  <c r="K432" i="1"/>
  <c r="K426" i="1"/>
  <c r="K421" i="1"/>
  <c r="K416" i="1"/>
  <c r="K410" i="1"/>
  <c r="K405" i="1"/>
  <c r="K400" i="1"/>
  <c r="K394" i="1"/>
  <c r="K389" i="1"/>
  <c r="K384" i="1"/>
  <c r="K378" i="1"/>
  <c r="K373" i="1"/>
  <c r="K368" i="1"/>
  <c r="K362" i="1"/>
  <c r="K357" i="1"/>
  <c r="K352" i="1"/>
  <c r="K346" i="1"/>
  <c r="K341" i="1"/>
  <c r="K336" i="1"/>
  <c r="K330" i="1"/>
  <c r="K325" i="1"/>
  <c r="K320" i="1"/>
  <c r="K314" i="1"/>
  <c r="K309" i="1"/>
  <c r="K304" i="1"/>
  <c r="K298" i="1"/>
  <c r="K293" i="1"/>
  <c r="K288" i="1"/>
  <c r="K282" i="1"/>
  <c r="K277" i="1"/>
  <c r="K272" i="1"/>
  <c r="K266" i="1"/>
  <c r="K261" i="1"/>
  <c r="K256" i="1"/>
  <c r="K250" i="1"/>
  <c r="K245" i="1"/>
  <c r="K240" i="1"/>
  <c r="K234" i="1"/>
  <c r="K229" i="1"/>
  <c r="K224" i="1"/>
  <c r="K218" i="1"/>
  <c r="K213" i="1"/>
  <c r="K208" i="1"/>
  <c r="K202" i="1"/>
  <c r="K197" i="1"/>
  <c r="K192" i="1"/>
  <c r="K186" i="1"/>
  <c r="K181" i="1"/>
  <c r="K176" i="1"/>
  <c r="K170" i="1"/>
  <c r="K165" i="1"/>
  <c r="K160" i="1"/>
  <c r="K154" i="1"/>
  <c r="K149" i="1"/>
  <c r="K144" i="1"/>
  <c r="K138" i="1"/>
  <c r="K133" i="1"/>
  <c r="K128" i="1"/>
  <c r="K122" i="1"/>
  <c r="K117" i="1"/>
  <c r="K112" i="1"/>
  <c r="K106" i="1"/>
  <c r="K101" i="1"/>
  <c r="K96" i="1"/>
  <c r="K90" i="1"/>
  <c r="K85" i="1"/>
  <c r="K80" i="1"/>
  <c r="K1147" i="1"/>
  <c r="K1118" i="1"/>
  <c r="K1089" i="1"/>
  <c r="K1061" i="1"/>
  <c r="K1039" i="1"/>
  <c r="K1027" i="1"/>
  <c r="K1016" i="1"/>
  <c r="K1005" i="1"/>
  <c r="K995" i="1"/>
  <c r="K984" i="1"/>
  <c r="K973" i="1"/>
  <c r="K963" i="1"/>
  <c r="K952" i="1"/>
  <c r="K941" i="1"/>
  <c r="K931" i="1"/>
  <c r="K920" i="1"/>
  <c r="K909" i="1"/>
  <c r="K899" i="1"/>
  <c r="K888" i="1"/>
  <c r="K877" i="1"/>
  <c r="K867" i="1"/>
  <c r="K856" i="1"/>
  <c r="K845" i="1"/>
  <c r="K835" i="1"/>
  <c r="K825" i="1"/>
  <c r="K819" i="1"/>
  <c r="K811" i="1"/>
  <c r="K804" i="1"/>
  <c r="K797" i="1"/>
  <c r="K789" i="1"/>
  <c r="K783" i="1"/>
  <c r="K776" i="1"/>
  <c r="K768" i="1"/>
  <c r="K761" i="1"/>
  <c r="K755" i="1"/>
  <c r="K747" i="1"/>
  <c r="K740" i="1"/>
  <c r="K733" i="1"/>
  <c r="K725" i="1"/>
  <c r="K719" i="1"/>
  <c r="K712" i="1"/>
  <c r="K704" i="1"/>
  <c r="K697" i="1"/>
  <c r="K691" i="1"/>
  <c r="K683" i="1"/>
  <c r="K676" i="1"/>
  <c r="K669" i="1"/>
  <c r="K661" i="1"/>
  <c r="K655" i="1"/>
  <c r="K648" i="1"/>
  <c r="K640" i="1"/>
  <c r="K633" i="1"/>
  <c r="K628" i="1"/>
  <c r="K622" i="1"/>
  <c r="K617" i="1"/>
  <c r="K612" i="1"/>
  <c r="K606" i="1"/>
  <c r="K601" i="1"/>
  <c r="K596" i="1"/>
  <c r="K590" i="1"/>
  <c r="K585" i="1"/>
  <c r="K580" i="1"/>
  <c r="K574" i="1"/>
  <c r="K569" i="1"/>
  <c r="K564" i="1"/>
  <c r="K558" i="1"/>
  <c r="K553" i="1"/>
  <c r="K548" i="1"/>
  <c r="K542" i="1"/>
  <c r="K537" i="1"/>
  <c r="K532" i="1"/>
  <c r="K526" i="1"/>
  <c r="K521" i="1"/>
  <c r="K516" i="1"/>
  <c r="K510" i="1"/>
  <c r="K505" i="1"/>
  <c r="K500" i="1"/>
  <c r="K494" i="1"/>
  <c r="K489" i="1"/>
  <c r="K484" i="1"/>
  <c r="K478" i="1"/>
  <c r="K473" i="1"/>
  <c r="K468" i="1"/>
  <c r="K462" i="1"/>
  <c r="K457" i="1"/>
  <c r="K452" i="1"/>
  <c r="K446" i="1"/>
  <c r="K441" i="1"/>
  <c r="K436" i="1"/>
  <c r="K430" i="1"/>
  <c r="K425" i="1"/>
  <c r="K420" i="1"/>
  <c r="K414" i="1"/>
  <c r="K409" i="1"/>
  <c r="K404" i="1"/>
  <c r="K398" i="1"/>
  <c r="K393" i="1"/>
  <c r="K388" i="1"/>
  <c r="K382" i="1"/>
  <c r="K377" i="1"/>
  <c r="K372" i="1"/>
  <c r="K366" i="1"/>
  <c r="K361" i="1"/>
  <c r="K356" i="1"/>
  <c r="K350" i="1"/>
  <c r="K345" i="1"/>
  <c r="K340" i="1"/>
  <c r="K334" i="1"/>
  <c r="K329" i="1"/>
  <c r="K324" i="1"/>
  <c r="K318" i="1"/>
  <c r="K313" i="1"/>
  <c r="K308" i="1"/>
  <c r="K302" i="1"/>
  <c r="K297" i="1"/>
  <c r="K292" i="1"/>
  <c r="K286" i="1"/>
  <c r="K281" i="1"/>
  <c r="K276" i="1"/>
  <c r="K270" i="1"/>
  <c r="K265" i="1"/>
  <c r="K260" i="1"/>
  <c r="K254" i="1"/>
  <c r="K249" i="1"/>
  <c r="K244" i="1"/>
  <c r="K238" i="1"/>
  <c r="K233" i="1"/>
  <c r="K228" i="1"/>
  <c r="K222" i="1"/>
  <c r="K217" i="1"/>
  <c r="K212" i="1"/>
  <c r="K206" i="1"/>
  <c r="K201" i="1"/>
  <c r="K196" i="1"/>
  <c r="K190" i="1"/>
  <c r="K185" i="1"/>
  <c r="K180" i="1"/>
  <c r="K174" i="1"/>
  <c r="K169" i="1"/>
  <c r="K164" i="1"/>
  <c r="K158" i="1"/>
  <c r="K153" i="1"/>
  <c r="K148" i="1"/>
  <c r="K142" i="1"/>
  <c r="K137" i="1"/>
  <c r="K132" i="1"/>
  <c r="K126" i="1"/>
  <c r="K121" i="1"/>
  <c r="K116" i="1"/>
  <c r="K110" i="1"/>
  <c r="K105" i="1"/>
  <c r="K100" i="1"/>
  <c r="K94" i="1"/>
  <c r="K89" i="1"/>
  <c r="K84" i="1"/>
  <c r="K78" i="1"/>
  <c r="K1140" i="1"/>
  <c r="K1110" i="1"/>
  <c r="K1082" i="1"/>
  <c r="K1055" i="1"/>
  <c r="K1033" i="1"/>
  <c r="K1023" i="1"/>
  <c r="K1012" i="1"/>
  <c r="K1001" i="1"/>
  <c r="K991" i="1"/>
  <c r="K980" i="1"/>
  <c r="K969" i="1"/>
  <c r="K959" i="1"/>
  <c r="K948" i="1"/>
  <c r="K937" i="1"/>
  <c r="K927" i="1"/>
  <c r="K916" i="1"/>
  <c r="K905" i="1"/>
  <c r="K895" i="1"/>
  <c r="K884" i="1"/>
  <c r="K873" i="1"/>
  <c r="K863" i="1"/>
  <c r="K852" i="1"/>
  <c r="K841" i="1"/>
  <c r="K831" i="1"/>
  <c r="K824" i="1"/>
  <c r="K816" i="1"/>
  <c r="K809" i="1"/>
  <c r="K803" i="1"/>
  <c r="K795" i="1"/>
  <c r="K788" i="1"/>
  <c r="K781" i="1"/>
  <c r="K773" i="1"/>
  <c r="K767" i="1"/>
  <c r="K760" i="1"/>
  <c r="K752" i="1"/>
  <c r="K745" i="1"/>
  <c r="K739" i="1"/>
  <c r="K731" i="1"/>
  <c r="K724" i="1"/>
  <c r="K717" i="1"/>
  <c r="K709" i="1"/>
  <c r="K703" i="1"/>
  <c r="K696" i="1"/>
  <c r="K688" i="1"/>
  <c r="K681" i="1"/>
  <c r="K675" i="1"/>
  <c r="K667" i="1"/>
  <c r="K660" i="1"/>
  <c r="K653" i="1"/>
  <c r="K645" i="1"/>
  <c r="K639" i="1"/>
  <c r="K626" i="1"/>
  <c r="K621" i="1"/>
  <c r="K616" i="1"/>
  <c r="K610" i="1"/>
  <c r="K605" i="1"/>
  <c r="K600" i="1"/>
  <c r="K594" i="1"/>
  <c r="K589" i="1"/>
  <c r="K584" i="1"/>
  <c r="K578" i="1"/>
  <c r="K573" i="1"/>
  <c r="K568" i="1"/>
  <c r="K562" i="1"/>
  <c r="K557" i="1"/>
  <c r="K552" i="1"/>
  <c r="K546" i="1"/>
  <c r="K541" i="1"/>
  <c r="K536" i="1"/>
  <c r="K530" i="1"/>
  <c r="K525" i="1"/>
  <c r="K520" i="1"/>
  <c r="K514" i="1"/>
  <c r="K509" i="1"/>
  <c r="K504" i="1"/>
  <c r="K498" i="1"/>
  <c r="K493" i="1"/>
  <c r="K488" i="1"/>
  <c r="K482" i="1"/>
  <c r="K477" i="1"/>
  <c r="K472" i="1"/>
  <c r="K466" i="1"/>
  <c r="K461" i="1"/>
  <c r="K456" i="1"/>
  <c r="K450" i="1"/>
  <c r="K445" i="1"/>
  <c r="K440" i="1"/>
  <c r="K434" i="1"/>
  <c r="K429" i="1"/>
  <c r="K424" i="1"/>
  <c r="K418" i="1"/>
  <c r="K413" i="1"/>
  <c r="K408" i="1"/>
  <c r="K402" i="1"/>
  <c r="K397" i="1"/>
  <c r="K392" i="1"/>
  <c r="K386" i="1"/>
  <c r="K381" i="1"/>
  <c r="K376" i="1"/>
  <c r="K370" i="1"/>
  <c r="K365" i="1"/>
  <c r="K360" i="1"/>
  <c r="K354" i="1"/>
  <c r="K349" i="1"/>
  <c r="K344" i="1"/>
  <c r="K338" i="1"/>
  <c r="K333" i="1"/>
  <c r="K328" i="1"/>
  <c r="K322" i="1"/>
  <c r="K312" i="1"/>
  <c r="K306" i="1"/>
  <c r="K301" i="1"/>
  <c r="K296" i="1"/>
  <c r="K290" i="1"/>
  <c r="K285" i="1"/>
  <c r="K280" i="1"/>
  <c r="K274" i="1"/>
  <c r="K269" i="1"/>
  <c r="K264" i="1"/>
  <c r="K258" i="1"/>
  <c r="K253" i="1"/>
  <c r="K248" i="1"/>
  <c r="K242" i="1"/>
  <c r="K237" i="1"/>
  <c r="K232" i="1"/>
  <c r="K226" i="1"/>
  <c r="K221" i="1"/>
  <c r="K216" i="1"/>
  <c r="K210" i="1"/>
  <c r="K205" i="1"/>
  <c r="K200" i="1"/>
  <c r="K194" i="1"/>
  <c r="K184" i="1"/>
  <c r="K178" i="1"/>
  <c r="K173" i="1"/>
  <c r="K168" i="1"/>
  <c r="K162" i="1"/>
  <c r="K157" i="1"/>
  <c r="K152" i="1"/>
  <c r="K146" i="1"/>
  <c r="K141" i="1"/>
  <c r="K130" i="1"/>
  <c r="K125" i="1"/>
  <c r="K120" i="1"/>
  <c r="K114" i="1"/>
  <c r="K98" i="1"/>
  <c r="K88" i="1"/>
  <c r="K82" i="1"/>
  <c r="K77" i="1"/>
  <c r="G45" i="1"/>
  <c r="G44" i="1"/>
  <c r="K52" i="1"/>
  <c r="K56" i="1"/>
  <c r="K60" i="1"/>
  <c r="K64" i="1"/>
  <c r="K68" i="1"/>
  <c r="K72" i="1"/>
  <c r="K53" i="1"/>
  <c r="K57" i="1"/>
  <c r="K61" i="1"/>
  <c r="K65" i="1"/>
  <c r="K69" i="1"/>
  <c r="K73" i="1"/>
  <c r="K58" i="1"/>
  <c r="K66" i="1"/>
  <c r="K70" i="1"/>
  <c r="K74" i="1"/>
  <c r="K54" i="1"/>
  <c r="K62" i="1"/>
  <c r="K51" i="1"/>
  <c r="K55" i="1"/>
  <c r="K59" i="1"/>
  <c r="K63" i="1"/>
  <c r="K67" i="1"/>
  <c r="J12" i="1"/>
  <c r="J11" i="1"/>
  <c r="J10" i="1"/>
  <c r="J9" i="1"/>
  <c r="J8" i="1"/>
  <c r="J7" i="1"/>
  <c r="J6" i="1"/>
  <c r="J5" i="1"/>
  <c r="J4" i="1"/>
  <c r="J3" i="1"/>
  <c r="J2" i="1"/>
  <c r="B4" i="2"/>
  <c r="I8" i="1"/>
  <c r="I7" i="1"/>
  <c r="I6" i="1"/>
  <c r="I5" i="1"/>
  <c r="I4" i="1"/>
  <c r="I3" i="1"/>
  <c r="I2" i="1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B50" i="2" a="1"/>
  <c r="B50" i="2" s="1"/>
  <c r="B44" i="2" a="1"/>
  <c r="B44" i="2" s="1"/>
  <c r="B38" i="2" a="1"/>
  <c r="B38" i="2" s="1"/>
  <c r="B32" i="2" a="1"/>
  <c r="B32" i="2" s="1"/>
  <c r="B26" i="2" a="1"/>
  <c r="B26" i="2" s="1"/>
  <c r="B20" i="2" a="1"/>
  <c r="B20" i="2" s="1"/>
  <c r="B14" i="2" a="1"/>
  <c r="B14" i="2" s="1"/>
  <c r="B8" i="2" a="1"/>
  <c r="B8" i="2" s="1"/>
  <c r="L76" i="1"/>
  <c r="I45" i="1" l="1"/>
  <c r="T4" i="2"/>
  <c r="L1531" i="1"/>
  <c r="L1517" i="1"/>
  <c r="L1538" i="1"/>
  <c r="L1537" i="1"/>
  <c r="L1543" i="1"/>
  <c r="L1545" i="1"/>
  <c r="L1550" i="1"/>
  <c r="L1486" i="1"/>
  <c r="L1500" i="1"/>
  <c r="L1491" i="1"/>
  <c r="L1504" i="1"/>
  <c r="L1498" i="1"/>
  <c r="L1524" i="1"/>
  <c r="L1503" i="1"/>
  <c r="L1528" i="1"/>
  <c r="L1510" i="1"/>
  <c r="L1548" i="1"/>
  <c r="L71" i="1"/>
  <c r="L1421" i="1"/>
  <c r="L1357" i="1"/>
  <c r="L1293" i="1"/>
  <c r="L1229" i="1"/>
  <c r="L1165" i="1"/>
  <c r="L1426" i="1"/>
  <c r="L1340" i="1"/>
  <c r="L1255" i="1"/>
  <c r="L1170" i="1"/>
  <c r="L1099" i="1"/>
  <c r="L1444" i="1"/>
  <c r="L1450" i="1"/>
  <c r="L1336" i="1"/>
  <c r="L1222" i="1"/>
  <c r="L1117" i="1"/>
  <c r="L1038" i="1"/>
  <c r="L974" i="1"/>
  <c r="L910" i="1"/>
  <c r="L846" i="1"/>
  <c r="L782" i="1"/>
  <c r="L718" i="1"/>
  <c r="L654" i="1"/>
  <c r="L1454" i="1"/>
  <c r="L1270" i="1"/>
  <c r="L1434" i="1"/>
  <c r="L1259" i="1"/>
  <c r="L1116" i="1"/>
  <c r="L1432" i="1"/>
  <c r="L1256" i="1"/>
  <c r="L1114" i="1"/>
  <c r="L1015" i="1"/>
  <c r="L1465" i="1"/>
  <c r="L1401" i="1"/>
  <c r="L1337" i="1"/>
  <c r="L1273" i="1"/>
  <c r="L1209" i="1"/>
  <c r="L1145" i="1"/>
  <c r="L1399" i="1"/>
  <c r="L1314" i="1"/>
  <c r="L1228" i="1"/>
  <c r="L1143" i="1"/>
  <c r="L1079" i="1"/>
  <c r="L1408" i="1"/>
  <c r="L1414" i="1"/>
  <c r="L1300" i="1"/>
  <c r="L1187" i="1"/>
  <c r="L1090" i="1"/>
  <c r="L1018" i="1"/>
  <c r="L954" i="1"/>
  <c r="L890" i="1"/>
  <c r="L826" i="1"/>
  <c r="L762" i="1"/>
  <c r="L698" i="1"/>
  <c r="L634" i="1"/>
  <c r="L1461" i="1"/>
  <c r="L1397" i="1"/>
  <c r="L1333" i="1"/>
  <c r="L908" i="1"/>
  <c r="L823" i="1"/>
  <c r="L737" i="1"/>
  <c r="L652" i="1"/>
  <c r="L583" i="1"/>
  <c r="L519" i="1"/>
  <c r="L455" i="1"/>
  <c r="L391" i="1"/>
  <c r="L327" i="1"/>
  <c r="L263" i="1"/>
  <c r="L199" i="1"/>
  <c r="L135" i="1"/>
  <c r="L1359" i="1"/>
  <c r="L1206" i="1"/>
  <c r="L1077" i="1"/>
  <c r="L987" i="1"/>
  <c r="L901" i="1"/>
  <c r="L632" i="1"/>
  <c r="L957" i="1"/>
  <c r="L800" i="1"/>
  <c r="L687" i="1"/>
  <c r="L588" i="1"/>
  <c r="L1439" i="1"/>
  <c r="L1262" i="1"/>
  <c r="L1419" i="1"/>
  <c r="L1248" i="1"/>
  <c r="L1109" i="1"/>
  <c r="L1418" i="1"/>
  <c r="L1247" i="1"/>
  <c r="L1108" i="1"/>
  <c r="L1009" i="1"/>
  <c r="L924" i="1"/>
  <c r="L839" i="1"/>
  <c r="L753" i="1"/>
  <c r="L668" i="1"/>
  <c r="L595" i="1"/>
  <c r="L531" i="1"/>
  <c r="L467" i="1"/>
  <c r="L403" i="1"/>
  <c r="L339" i="1"/>
  <c r="L275" i="1"/>
  <c r="L211" i="1"/>
  <c r="L147" i="1"/>
  <c r="L83" i="1"/>
  <c r="L1235" i="1"/>
  <c r="L1098" i="1"/>
  <c r="L1003" i="1"/>
  <c r="L917" i="1"/>
  <c r="L832" i="1"/>
  <c r="L989" i="1"/>
  <c r="L821" i="1"/>
  <c r="L708" i="1"/>
  <c r="L1515" i="1"/>
  <c r="L1485" i="1"/>
  <c r="L1522" i="1"/>
  <c r="L1505" i="1"/>
  <c r="L1527" i="1"/>
  <c r="L1509" i="1"/>
  <c r="L1534" i="1"/>
  <c r="L1529" i="1"/>
  <c r="L1539" i="1"/>
  <c r="L1533" i="1"/>
  <c r="L1546" i="1"/>
  <c r="L1549" i="1"/>
  <c r="L1492" i="1"/>
  <c r="L1487" i="1"/>
  <c r="L1496" i="1"/>
  <c r="L1494" i="1"/>
  <c r="L1516" i="1"/>
  <c r="L1469" i="1"/>
  <c r="L1405" i="1"/>
  <c r="L1341" i="1"/>
  <c r="L1277" i="1"/>
  <c r="L1213" i="1"/>
  <c r="L1149" i="1"/>
  <c r="L1404" i="1"/>
  <c r="L1319" i="1"/>
  <c r="L1234" i="1"/>
  <c r="L1148" i="1"/>
  <c r="L1083" i="1"/>
  <c r="L1416" i="1"/>
  <c r="L1422" i="1"/>
  <c r="L1307" i="1"/>
  <c r="L1194" i="1"/>
  <c r="L1096" i="1"/>
  <c r="L1022" i="1"/>
  <c r="L958" i="1"/>
  <c r="L894" i="1"/>
  <c r="L830" i="1"/>
  <c r="L766" i="1"/>
  <c r="L702" i="1"/>
  <c r="L638" i="1"/>
  <c r="L1396" i="1"/>
  <c r="L1232" i="1"/>
  <c r="L1376" i="1"/>
  <c r="L1220" i="1"/>
  <c r="L1088" i="1"/>
  <c r="L1375" i="1"/>
  <c r="L1219" i="1"/>
  <c r="L1086" i="1"/>
  <c r="L993" i="1"/>
  <c r="L1449" i="1"/>
  <c r="L1385" i="1"/>
  <c r="L1321" i="1"/>
  <c r="L1257" i="1"/>
  <c r="L1193" i="1"/>
  <c r="L1463" i="1"/>
  <c r="L1378" i="1"/>
  <c r="L1292" i="1"/>
  <c r="L1207" i="1"/>
  <c r="L1127" i="1"/>
  <c r="L1063" i="1"/>
  <c r="L1380" i="1"/>
  <c r="L1386" i="1"/>
  <c r="L1272" i="1"/>
  <c r="L1158" i="1"/>
  <c r="L1069" i="1"/>
  <c r="L1002" i="1"/>
  <c r="L938" i="1"/>
  <c r="L874" i="1"/>
  <c r="L810" i="1"/>
  <c r="L746" i="1"/>
  <c r="L682" i="1"/>
  <c r="L1440" i="1"/>
  <c r="L1445" i="1"/>
  <c r="L1381" i="1"/>
  <c r="L1317" i="1"/>
  <c r="L887" i="1"/>
  <c r="L1499" i="1"/>
  <c r="L1520" i="1"/>
  <c r="L1506" i="1"/>
  <c r="L1540" i="1"/>
  <c r="L1511" i="1"/>
  <c r="L1544" i="1"/>
  <c r="L1518" i="1"/>
  <c r="L1497" i="1"/>
  <c r="L1523" i="1"/>
  <c r="L1501" i="1"/>
  <c r="L1530" i="1"/>
  <c r="L1521" i="1"/>
  <c r="L1535" i="1"/>
  <c r="L1525" i="1"/>
  <c r="L1542" i="1"/>
  <c r="L1541" i="1"/>
  <c r="L1484" i="1"/>
  <c r="L1453" i="1"/>
  <c r="L1389" i="1"/>
  <c r="L1325" i="1"/>
  <c r="L1261" i="1"/>
  <c r="L1197" i="1"/>
  <c r="L1468" i="1"/>
  <c r="L1383" i="1"/>
  <c r="L1298" i="1"/>
  <c r="L1212" i="1"/>
  <c r="L1131" i="1"/>
  <c r="L1067" i="1"/>
  <c r="L1387" i="1"/>
  <c r="L1392" i="1"/>
  <c r="L1279" i="1"/>
  <c r="L1166" i="1"/>
  <c r="L1074" i="1"/>
  <c r="L1006" i="1"/>
  <c r="L942" i="1"/>
  <c r="L878" i="1"/>
  <c r="L814" i="1"/>
  <c r="L750" i="1"/>
  <c r="L686" i="1"/>
  <c r="L1455" i="1"/>
  <c r="L1347" i="1"/>
  <c r="L1195" i="1"/>
  <c r="L1334" i="1"/>
  <c r="L1183" i="1"/>
  <c r="L1060" i="1"/>
  <c r="L1332" i="1"/>
  <c r="L1182" i="1"/>
  <c r="L1057" i="1"/>
  <c r="L972" i="1"/>
  <c r="L1433" i="1"/>
  <c r="L1369" i="1"/>
  <c r="L1305" i="1"/>
  <c r="L1241" i="1"/>
  <c r="L1177" i="1"/>
  <c r="L1442" i="1"/>
  <c r="L1356" i="1"/>
  <c r="L1271" i="1"/>
  <c r="L1186" i="1"/>
  <c r="L1111" i="1"/>
  <c r="L1466" i="1"/>
  <c r="L1471" i="1"/>
  <c r="L1358" i="1"/>
  <c r="L1243" i="1"/>
  <c r="L1133" i="1"/>
  <c r="L1050" i="1"/>
  <c r="L986" i="1"/>
  <c r="L922" i="1"/>
  <c r="L858" i="1"/>
  <c r="L794" i="1"/>
  <c r="L730" i="1"/>
  <c r="L666" i="1"/>
  <c r="L1384" i="1"/>
  <c r="L1429" i="1"/>
  <c r="L1365" i="1"/>
  <c r="L1547" i="1"/>
  <c r="L1483" i="1"/>
  <c r="L1488" i="1"/>
  <c r="L1490" i="1"/>
  <c r="L1508" i="1"/>
  <c r="L1495" i="1"/>
  <c r="L1512" i="1"/>
  <c r="L1502" i="1"/>
  <c r="L1532" i="1"/>
  <c r="L1507" i="1"/>
  <c r="L1536" i="1"/>
  <c r="L1514" i="1"/>
  <c r="L1489" i="1"/>
  <c r="L1519" i="1"/>
  <c r="L1493" i="1"/>
  <c r="L1526" i="1"/>
  <c r="L1513" i="1"/>
  <c r="L1437" i="1"/>
  <c r="L1373" i="1"/>
  <c r="L1309" i="1"/>
  <c r="L1245" i="1"/>
  <c r="L1181" i="1"/>
  <c r="L1447" i="1"/>
  <c r="L1362" i="1"/>
  <c r="L1276" i="1"/>
  <c r="L1191" i="1"/>
  <c r="L1115" i="1"/>
  <c r="L1472" i="1"/>
  <c r="L1478" i="1"/>
  <c r="L1364" i="1"/>
  <c r="L1251" i="1"/>
  <c r="L1138" i="1"/>
  <c r="L1054" i="1"/>
  <c r="L990" i="1"/>
  <c r="L926" i="1"/>
  <c r="L862" i="1"/>
  <c r="L798" i="1"/>
  <c r="L734" i="1"/>
  <c r="L670" i="1"/>
  <c r="L1398" i="1"/>
  <c r="L1310" i="1"/>
  <c r="L1156" i="1"/>
  <c r="L1296" i="1"/>
  <c r="L1146" i="1"/>
  <c r="L1037" i="1"/>
  <c r="L1295" i="1"/>
  <c r="L1142" i="1"/>
  <c r="L1036" i="1"/>
  <c r="L1481" i="1"/>
  <c r="L1417" i="1"/>
  <c r="L1353" i="1"/>
  <c r="L1289" i="1"/>
  <c r="L1225" i="1"/>
  <c r="L1161" i="1"/>
  <c r="L1420" i="1"/>
  <c r="L1335" i="1"/>
  <c r="L1250" i="1"/>
  <c r="L1164" i="1"/>
  <c r="L1095" i="1"/>
  <c r="L1438" i="1"/>
  <c r="L1443" i="1"/>
  <c r="L1328" i="1"/>
  <c r="L1215" i="1"/>
  <c r="L1112" i="1"/>
  <c r="L1034" i="1"/>
  <c r="L970" i="1"/>
  <c r="L906" i="1"/>
  <c r="L842" i="1"/>
  <c r="L778" i="1"/>
  <c r="L714" i="1"/>
  <c r="L650" i="1"/>
  <c r="L1477" i="1"/>
  <c r="L1413" i="1"/>
  <c r="L1349" i="1"/>
  <c r="L929" i="1"/>
  <c r="L844" i="1"/>
  <c r="L759" i="1"/>
  <c r="L673" i="1"/>
  <c r="L599" i="1"/>
  <c r="L535" i="1"/>
  <c r="L471" i="1"/>
  <c r="L407" i="1"/>
  <c r="L343" i="1"/>
  <c r="L279" i="1"/>
  <c r="L215" i="1"/>
  <c r="L151" i="1"/>
  <c r="L87" i="1"/>
  <c r="L1246" i="1"/>
  <c r="L1105" i="1"/>
  <c r="L1008" i="1"/>
  <c r="L923" i="1"/>
  <c r="L837" i="1"/>
  <c r="L1000" i="1"/>
  <c r="L829" i="1"/>
  <c r="L715" i="1"/>
  <c r="L609" i="1"/>
  <c r="L524" i="1"/>
  <c r="L1299" i="1"/>
  <c r="L1476" i="1"/>
  <c r="L1288" i="1"/>
  <c r="L1137" i="1"/>
  <c r="L1475" i="1"/>
  <c r="L1284" i="1"/>
  <c r="L1136" i="1"/>
  <c r="L1031" i="1"/>
  <c r="L945" i="1"/>
  <c r="L860" i="1"/>
  <c r="L775" i="1"/>
  <c r="L689" i="1"/>
  <c r="L611" i="1"/>
  <c r="L547" i="1"/>
  <c r="L483" i="1"/>
  <c r="L419" i="1"/>
  <c r="L355" i="1"/>
  <c r="L291" i="1"/>
  <c r="L227" i="1"/>
  <c r="L163" i="1"/>
  <c r="L951" i="1"/>
  <c r="L716" i="1"/>
  <c r="L567" i="1"/>
  <c r="L439" i="1"/>
  <c r="L311" i="1"/>
  <c r="L183" i="1"/>
  <c r="L1320" i="1"/>
  <c r="L1051" i="1"/>
  <c r="L880" i="1"/>
  <c r="L915" i="1"/>
  <c r="L659" i="1"/>
  <c r="L1382" i="1"/>
  <c r="L1363" i="1"/>
  <c r="L1081" i="1"/>
  <c r="L1210" i="1"/>
  <c r="L988" i="1"/>
  <c r="L817" i="1"/>
  <c r="L647" i="1"/>
  <c r="L515" i="1"/>
  <c r="L387" i="1"/>
  <c r="L259" i="1"/>
  <c r="L131" i="1"/>
  <c r="L1311" i="1"/>
  <c r="L1126" i="1"/>
  <c r="L981" i="1"/>
  <c r="L875" i="1"/>
  <c r="L1032" i="1"/>
  <c r="L793" i="1"/>
  <c r="L651" i="1"/>
  <c r="L561" i="1"/>
  <c r="L476" i="1"/>
  <c r="L1253" i="1"/>
  <c r="L1189" i="1"/>
  <c r="L1458" i="1"/>
  <c r="L1372" i="1"/>
  <c r="L1287" i="1"/>
  <c r="L1202" i="1"/>
  <c r="L1123" i="1"/>
  <c r="L1059" i="1"/>
  <c r="L1374" i="1"/>
  <c r="L1379" i="1"/>
  <c r="L1264" i="1"/>
  <c r="L1151" i="1"/>
  <c r="L1064" i="1"/>
  <c r="L998" i="1"/>
  <c r="L934" i="1"/>
  <c r="L870" i="1"/>
  <c r="L806" i="1"/>
  <c r="L742" i="1"/>
  <c r="L678" i="1"/>
  <c r="L1482" i="1"/>
  <c r="L1290" i="1"/>
  <c r="L1462" i="1"/>
  <c r="L1278" i="1"/>
  <c r="L1130" i="1"/>
  <c r="L1460" i="1"/>
  <c r="L1275" i="1"/>
  <c r="L1129" i="1"/>
  <c r="L1025" i="1"/>
  <c r="L940" i="1"/>
  <c r="L855" i="1"/>
  <c r="L1441" i="1"/>
  <c r="L1377" i="1"/>
  <c r="L1313" i="1"/>
  <c r="L1249" i="1"/>
  <c r="L1185" i="1"/>
  <c r="L1452" i="1"/>
  <c r="L1367" i="1"/>
  <c r="L1282" i="1"/>
  <c r="L1196" i="1"/>
  <c r="L1119" i="1"/>
  <c r="L1480" i="1"/>
  <c r="L1366" i="1"/>
  <c r="L1371" i="1"/>
  <c r="L1258" i="1"/>
  <c r="L1144" i="1"/>
  <c r="L1058" i="1"/>
  <c r="L994" i="1"/>
  <c r="L930" i="1"/>
  <c r="L866" i="1"/>
  <c r="L802" i="1"/>
  <c r="L738" i="1"/>
  <c r="L674" i="1"/>
  <c r="L1412" i="1"/>
  <c r="L1318" i="1"/>
  <c r="L1167" i="1"/>
  <c r="L1306" i="1"/>
  <c r="L1155" i="1"/>
  <c r="L1043" i="1"/>
  <c r="L1304" i="1"/>
  <c r="L1152" i="1"/>
  <c r="L502" i="1"/>
  <c r="L417" i="1"/>
  <c r="L332" i="1"/>
  <c r="L246" i="1"/>
  <c r="L161" i="1"/>
  <c r="L1068" i="1"/>
  <c r="L879" i="1"/>
  <c r="L749" i="1"/>
  <c r="L635" i="1"/>
  <c r="L549" i="1"/>
  <c r="L464" i="1"/>
  <c r="L378" i="1"/>
  <c r="L293" i="1"/>
  <c r="L208" i="1"/>
  <c r="L122" i="1"/>
  <c r="L1005" i="1"/>
  <c r="L835" i="1"/>
  <c r="L454" i="1"/>
  <c r="L369" i="1"/>
  <c r="L284" i="1"/>
  <c r="L198" i="1"/>
  <c r="L113" i="1"/>
  <c r="L996" i="1"/>
  <c r="L827" i="1"/>
  <c r="L713" i="1"/>
  <c r="L608" i="1"/>
  <c r="L522" i="1"/>
  <c r="L437" i="1"/>
  <c r="L352" i="1"/>
  <c r="L266" i="1"/>
  <c r="L181" i="1"/>
  <c r="L96" i="1"/>
  <c r="L952" i="1"/>
  <c r="L797" i="1"/>
  <c r="L683" i="1"/>
  <c r="L585" i="1"/>
  <c r="L500" i="1"/>
  <c r="L414" i="1"/>
  <c r="L329" i="1"/>
  <c r="L244" i="1"/>
  <c r="L158" i="1"/>
  <c r="L1140" i="1"/>
  <c r="L905" i="1"/>
  <c r="L767" i="1"/>
  <c r="L653" i="1"/>
  <c r="L557" i="1"/>
  <c r="L472" i="1"/>
  <c r="L812" i="1"/>
  <c r="L727" i="1"/>
  <c r="L641" i="1"/>
  <c r="L575" i="1"/>
  <c r="L865" i="1"/>
  <c r="L695" i="1"/>
  <c r="L551" i="1"/>
  <c r="L423" i="1"/>
  <c r="L295" i="1"/>
  <c r="L167" i="1"/>
  <c r="L1283" i="1"/>
  <c r="L1029" i="1"/>
  <c r="L859" i="1"/>
  <c r="L872" i="1"/>
  <c r="L630" i="1"/>
  <c r="L1338" i="1"/>
  <c r="L1326" i="1"/>
  <c r="L1053" i="1"/>
  <c r="L1171" i="1"/>
  <c r="L967" i="1"/>
  <c r="L796" i="1"/>
  <c r="L627" i="1"/>
  <c r="L499" i="1"/>
  <c r="L371" i="1"/>
  <c r="L243" i="1"/>
  <c r="L115" i="1"/>
  <c r="L1274" i="1"/>
  <c r="L1070" i="1"/>
  <c r="L960" i="1"/>
  <c r="L853" i="1"/>
  <c r="L947" i="1"/>
  <c r="L765" i="1"/>
  <c r="L625" i="1"/>
  <c r="L540" i="1"/>
  <c r="L1301" i="1"/>
  <c r="L1237" i="1"/>
  <c r="L1173" i="1"/>
  <c r="L1436" i="1"/>
  <c r="L1351" i="1"/>
  <c r="L1266" i="1"/>
  <c r="L1180" i="1"/>
  <c r="L1107" i="1"/>
  <c r="L1459" i="1"/>
  <c r="L1464" i="1"/>
  <c r="L1350" i="1"/>
  <c r="L1236" i="1"/>
  <c r="L1128" i="1"/>
  <c r="L1046" i="1"/>
  <c r="L982" i="1"/>
  <c r="L918" i="1"/>
  <c r="L854" i="1"/>
  <c r="L790" i="1"/>
  <c r="L726" i="1"/>
  <c r="L662" i="1"/>
  <c r="L1424" i="1"/>
  <c r="L1252" i="1"/>
  <c r="L1406" i="1"/>
  <c r="L1240" i="1"/>
  <c r="L1102" i="1"/>
  <c r="L1403" i="1"/>
  <c r="L1238" i="1"/>
  <c r="L1100" i="1"/>
  <c r="L1004" i="1"/>
  <c r="L919" i="1"/>
  <c r="L833" i="1"/>
  <c r="L1425" i="1"/>
  <c r="L1361" i="1"/>
  <c r="L1297" i="1"/>
  <c r="L1233" i="1"/>
  <c r="L1169" i="1"/>
  <c r="L1431" i="1"/>
  <c r="L1346" i="1"/>
  <c r="L1260" i="1"/>
  <c r="L1175" i="1"/>
  <c r="L1103" i="1"/>
  <c r="L1451" i="1"/>
  <c r="L1456" i="1"/>
  <c r="L1343" i="1"/>
  <c r="L1230" i="1"/>
  <c r="L1122" i="1"/>
  <c r="L1042" i="1"/>
  <c r="L978" i="1"/>
  <c r="L914" i="1"/>
  <c r="L850" i="1"/>
  <c r="L786" i="1"/>
  <c r="L722" i="1"/>
  <c r="L658" i="1"/>
  <c r="L1467" i="1"/>
  <c r="L1280" i="1"/>
  <c r="L1448" i="1"/>
  <c r="L1268" i="1"/>
  <c r="L1124" i="1"/>
  <c r="L1446" i="1"/>
  <c r="L1267" i="1"/>
  <c r="L1121" i="1"/>
  <c r="L481" i="1"/>
  <c r="L396" i="1"/>
  <c r="L310" i="1"/>
  <c r="L225" i="1"/>
  <c r="L140" i="1"/>
  <c r="L1007" i="1"/>
  <c r="L836" i="1"/>
  <c r="L720" i="1"/>
  <c r="L613" i="1"/>
  <c r="L528" i="1"/>
  <c r="L442" i="1"/>
  <c r="L357" i="1"/>
  <c r="L272" i="1"/>
  <c r="L186" i="1"/>
  <c r="L101" i="1"/>
  <c r="L963" i="1"/>
  <c r="L804" i="1"/>
  <c r="L433" i="1"/>
  <c r="L348" i="1"/>
  <c r="L262" i="1"/>
  <c r="L177" i="1"/>
  <c r="L92" i="1"/>
  <c r="L953" i="1"/>
  <c r="L799" i="1"/>
  <c r="L685" i="1"/>
  <c r="L586" i="1"/>
  <c r="L501" i="1"/>
  <c r="L416" i="1"/>
  <c r="L330" i="1"/>
  <c r="L245" i="1"/>
  <c r="L160" i="1"/>
  <c r="L1147" i="1"/>
  <c r="L909" i="1"/>
  <c r="L768" i="1"/>
  <c r="L801" i="1"/>
  <c r="L631" i="1"/>
  <c r="L503" i="1"/>
  <c r="L375" i="1"/>
  <c r="L247" i="1"/>
  <c r="L119" i="1"/>
  <c r="L1168" i="1"/>
  <c r="L965" i="1"/>
  <c r="L93" i="1"/>
  <c r="L772" i="1"/>
  <c r="L566" i="1"/>
  <c r="L1224" i="1"/>
  <c r="L1211" i="1"/>
  <c r="L1360" i="1"/>
  <c r="L1078" i="1"/>
  <c r="L903" i="1"/>
  <c r="L732" i="1"/>
  <c r="L579" i="1"/>
  <c r="L451" i="1"/>
  <c r="L323" i="1"/>
  <c r="L195" i="1"/>
  <c r="L99" i="1"/>
  <c r="L1198" i="1"/>
  <c r="L1045" i="1"/>
  <c r="L939" i="1"/>
  <c r="L317" i="1"/>
  <c r="L904" i="1"/>
  <c r="L736" i="1"/>
  <c r="L604" i="1"/>
  <c r="L518" i="1"/>
  <c r="L1285" i="1"/>
  <c r="L1221" i="1"/>
  <c r="L1157" i="1"/>
  <c r="L1415" i="1"/>
  <c r="L1330" i="1"/>
  <c r="L1244" i="1"/>
  <c r="L1159" i="1"/>
  <c r="L1091" i="1"/>
  <c r="L1430" i="1"/>
  <c r="L1435" i="1"/>
  <c r="L1322" i="1"/>
  <c r="L1208" i="1"/>
  <c r="L1106" i="1"/>
  <c r="L1030" i="1"/>
  <c r="L966" i="1"/>
  <c r="L902" i="1"/>
  <c r="L838" i="1"/>
  <c r="L774" i="1"/>
  <c r="L710" i="1"/>
  <c r="L646" i="1"/>
  <c r="L1368" i="1"/>
  <c r="L1214" i="1"/>
  <c r="L1354" i="1"/>
  <c r="L1203" i="1"/>
  <c r="L1073" i="1"/>
  <c r="L1352" i="1"/>
  <c r="L1199" i="1"/>
  <c r="L1072" i="1"/>
  <c r="L983" i="1"/>
  <c r="L897" i="1"/>
  <c r="L1473" i="1"/>
  <c r="L1409" i="1"/>
  <c r="L1345" i="1"/>
  <c r="L1281" i="1"/>
  <c r="L1217" i="1"/>
  <c r="L1153" i="1"/>
  <c r="L1410" i="1"/>
  <c r="L1324" i="1"/>
  <c r="L1239" i="1"/>
  <c r="L1154" i="1"/>
  <c r="L1087" i="1"/>
  <c r="L1423" i="1"/>
  <c r="L1428" i="1"/>
  <c r="L1315" i="1"/>
  <c r="L1200" i="1"/>
  <c r="L1101" i="1"/>
  <c r="L1026" i="1"/>
  <c r="L962" i="1"/>
  <c r="L898" i="1"/>
  <c r="L834" i="1"/>
  <c r="L770" i="1"/>
  <c r="L706" i="1"/>
  <c r="L642" i="1"/>
  <c r="L1411" i="1"/>
  <c r="L1242" i="1"/>
  <c r="L1391" i="1"/>
  <c r="L1231" i="1"/>
  <c r="L1094" i="1"/>
  <c r="L1390" i="1"/>
  <c r="L1227" i="1"/>
  <c r="L1093" i="1"/>
  <c r="L460" i="1"/>
  <c r="L374" i="1"/>
  <c r="L289" i="1"/>
  <c r="L204" i="1"/>
  <c r="L118" i="1"/>
  <c r="L964" i="1"/>
  <c r="L805" i="1"/>
  <c r="L692" i="1"/>
  <c r="L592" i="1"/>
  <c r="L506" i="1"/>
  <c r="L421" i="1"/>
  <c r="L336" i="1"/>
  <c r="L250" i="1"/>
  <c r="L165" i="1"/>
  <c r="L80" i="1"/>
  <c r="L920" i="1"/>
  <c r="L776" i="1"/>
  <c r="L412" i="1"/>
  <c r="L326" i="1"/>
  <c r="L241" i="1"/>
  <c r="L156" i="1"/>
  <c r="L1370" i="1"/>
  <c r="L911" i="1"/>
  <c r="L771" i="1"/>
  <c r="L656" i="1"/>
  <c r="L565" i="1"/>
  <c r="L480" i="1"/>
  <c r="L394" i="1"/>
  <c r="L309" i="1"/>
  <c r="L224" i="1"/>
  <c r="L138" i="1"/>
  <c r="L1039" i="1"/>
  <c r="L867" i="1"/>
  <c r="L740" i="1"/>
  <c r="L628" i="1"/>
  <c r="L542" i="1"/>
  <c r="L780" i="1"/>
  <c r="L615" i="1"/>
  <c r="L487" i="1"/>
  <c r="L359" i="1"/>
  <c r="L231" i="1"/>
  <c r="L103" i="1"/>
  <c r="L1134" i="1"/>
  <c r="L944" i="1"/>
  <c r="L1049" i="1"/>
  <c r="L744" i="1"/>
  <c r="L545" i="1"/>
  <c r="L1184" i="1"/>
  <c r="L1174" i="1"/>
  <c r="L1323" i="1"/>
  <c r="L1052" i="1"/>
  <c r="L881" i="1"/>
  <c r="L711" i="1"/>
  <c r="L563" i="1"/>
  <c r="L435" i="1"/>
  <c r="L307" i="1"/>
  <c r="L179" i="1"/>
  <c r="L1348" i="1"/>
  <c r="L1160" i="1"/>
  <c r="L1024" i="1"/>
  <c r="L896" i="1"/>
  <c r="L1132" i="1"/>
  <c r="L861" i="1"/>
  <c r="L680" i="1"/>
  <c r="L582" i="1"/>
  <c r="L497" i="1"/>
  <c r="L1269" i="1"/>
  <c r="L1205" i="1"/>
  <c r="L1479" i="1"/>
  <c r="L1394" i="1"/>
  <c r="L1308" i="1"/>
  <c r="L1223" i="1"/>
  <c r="L1139" i="1"/>
  <c r="L1075" i="1"/>
  <c r="L1402" i="1"/>
  <c r="L1407" i="1"/>
  <c r="L1294" i="1"/>
  <c r="L1179" i="1"/>
  <c r="L1085" i="1"/>
  <c r="L1014" i="1"/>
  <c r="L950" i="1"/>
  <c r="L886" i="1"/>
  <c r="L822" i="1"/>
  <c r="L758" i="1"/>
  <c r="L694" i="1"/>
  <c r="L1427" i="1"/>
  <c r="L1327" i="1"/>
  <c r="L1176" i="1"/>
  <c r="L1316" i="1"/>
  <c r="L1163" i="1"/>
  <c r="L1048" i="1"/>
  <c r="L1312" i="1"/>
  <c r="L1162" i="1"/>
  <c r="L1047" i="1"/>
  <c r="L961" i="1"/>
  <c r="L876" i="1"/>
  <c r="L1457" i="1"/>
  <c r="L1393" i="1"/>
  <c r="L1329" i="1"/>
  <c r="L1265" i="1"/>
  <c r="L1201" i="1"/>
  <c r="L1474" i="1"/>
  <c r="L1388" i="1"/>
  <c r="L1303" i="1"/>
  <c r="L1218" i="1"/>
  <c r="L1135" i="1"/>
  <c r="L1071" i="1"/>
  <c r="L1395" i="1"/>
  <c r="L1400" i="1"/>
  <c r="L1286" i="1"/>
  <c r="L1172" i="1"/>
  <c r="L1080" i="1"/>
  <c r="L1010" i="1"/>
  <c r="L946" i="1"/>
  <c r="L882" i="1"/>
  <c r="L818" i="1"/>
  <c r="L754" i="1"/>
  <c r="L690" i="1"/>
  <c r="L1470" i="1"/>
  <c r="L1355" i="1"/>
  <c r="L1204" i="1"/>
  <c r="L1344" i="1"/>
  <c r="L1192" i="1"/>
  <c r="L1066" i="1"/>
  <c r="L1342" i="1"/>
  <c r="L1190" i="1"/>
  <c r="L1065" i="1"/>
  <c r="L438" i="1"/>
  <c r="L353" i="1"/>
  <c r="L268" i="1"/>
  <c r="L182" i="1"/>
  <c r="L97" i="1"/>
  <c r="L921" i="1"/>
  <c r="L777" i="1"/>
  <c r="L664" i="1"/>
  <c r="L570" i="1"/>
  <c r="L485" i="1"/>
  <c r="L400" i="1"/>
  <c r="L314" i="1"/>
  <c r="L229" i="1"/>
  <c r="L144" i="1"/>
  <c r="L1061" i="1"/>
  <c r="L877" i="1"/>
  <c r="L747" i="1"/>
  <c r="L390" i="1"/>
  <c r="L305" i="1"/>
  <c r="L220" i="1"/>
  <c r="L134" i="1"/>
  <c r="L1044" i="1"/>
  <c r="L868" i="1"/>
  <c r="L741" i="1"/>
  <c r="L629" i="1"/>
  <c r="L544" i="1"/>
  <c r="L458" i="1"/>
  <c r="L373" i="1"/>
  <c r="L288" i="1"/>
  <c r="L202" i="1"/>
  <c r="L117" i="1"/>
  <c r="L995" i="1"/>
  <c r="L825" i="1"/>
  <c r="L712" i="1"/>
  <c r="L655" i="1"/>
  <c r="L478" i="1"/>
  <c r="L372" i="1"/>
  <c r="L265" i="1"/>
  <c r="L137" i="1"/>
  <c r="L991" i="1"/>
  <c r="L795" i="1"/>
  <c r="L621" i="1"/>
  <c r="L514" i="1"/>
  <c r="L408" i="1"/>
  <c r="L705" i="1"/>
  <c r="L607" i="1"/>
  <c r="L527" i="1"/>
  <c r="L463" i="1"/>
  <c r="L399" i="1"/>
  <c r="L335" i="1"/>
  <c r="L271" i="1"/>
  <c r="L207" i="1"/>
  <c r="L143" i="1"/>
  <c r="L79" i="1"/>
  <c r="L1226" i="1"/>
  <c r="L1092" i="1"/>
  <c r="L997" i="1"/>
  <c r="L999" i="1"/>
  <c r="L913" i="1"/>
  <c r="L828" i="1"/>
  <c r="L743" i="1"/>
  <c r="L657" i="1"/>
  <c r="L587" i="1"/>
  <c r="L523" i="1"/>
  <c r="L459" i="1"/>
  <c r="L395" i="1"/>
  <c r="L331" i="1"/>
  <c r="L267" i="1"/>
  <c r="L203" i="1"/>
  <c r="L139" i="1"/>
  <c r="L75" i="1"/>
  <c r="L1216" i="1"/>
  <c r="L1084" i="1"/>
  <c r="L992" i="1"/>
  <c r="L907" i="1"/>
  <c r="L109" i="1"/>
  <c r="L968" i="1"/>
  <c r="L808" i="1"/>
  <c r="L693" i="1"/>
  <c r="L593" i="1"/>
  <c r="L508" i="1"/>
  <c r="L422" i="1"/>
  <c r="L337" i="1"/>
  <c r="L252" i="1"/>
  <c r="L166" i="1"/>
  <c r="L81" i="1"/>
  <c r="L932" i="1"/>
  <c r="L784" i="1"/>
  <c r="L671" i="1"/>
  <c r="L633" i="1"/>
  <c r="L548" i="1"/>
  <c r="L462" i="1"/>
  <c r="L377" i="1"/>
  <c r="L292" i="1"/>
  <c r="L206" i="1"/>
  <c r="L121" i="1"/>
  <c r="L1001" i="1"/>
  <c r="L831" i="1"/>
  <c r="L717" i="1"/>
  <c r="L605" i="1"/>
  <c r="L520" i="1"/>
  <c r="L434" i="1"/>
  <c r="L349" i="1"/>
  <c r="L258" i="1"/>
  <c r="L168" i="1"/>
  <c r="L52" i="1"/>
  <c r="L386" i="1"/>
  <c r="L296" i="1"/>
  <c r="L210" i="1"/>
  <c r="L114" i="1"/>
  <c r="L65" i="1"/>
  <c r="L364" i="1"/>
  <c r="L560" i="1"/>
  <c r="L389" i="1"/>
  <c r="L218" i="1"/>
  <c r="L1027" i="1"/>
  <c r="L733" i="1"/>
  <c r="L558" i="1"/>
  <c r="L388" i="1"/>
  <c r="L217" i="1"/>
  <c r="L1023" i="1"/>
  <c r="L760" i="1"/>
  <c r="L645" i="1"/>
  <c r="L552" i="1"/>
  <c r="L445" i="1"/>
  <c r="L338" i="1"/>
  <c r="L157" i="1"/>
  <c r="L69" i="1"/>
  <c r="L426" i="1"/>
  <c r="L192" i="1"/>
  <c r="L973" i="1"/>
  <c r="L725" i="1"/>
  <c r="L532" i="1"/>
  <c r="L382" i="1"/>
  <c r="L190" i="1"/>
  <c r="L1082" i="1"/>
  <c r="L667" i="1"/>
  <c r="L376" i="1"/>
  <c r="L221" i="1"/>
  <c r="L933" i="1"/>
  <c r="L848" i="1"/>
  <c r="L1021" i="1"/>
  <c r="L851" i="1"/>
  <c r="L729" i="1"/>
  <c r="L620" i="1"/>
  <c r="L534" i="1"/>
  <c r="L449" i="1"/>
  <c r="L342" i="1"/>
  <c r="L257" i="1"/>
  <c r="L172" i="1"/>
  <c r="L86" i="1"/>
  <c r="L943" i="1"/>
  <c r="L792" i="1"/>
  <c r="L624" i="1"/>
  <c r="L453" i="1"/>
  <c r="L282" i="1"/>
  <c r="L112" i="1"/>
  <c r="L819" i="1"/>
  <c r="L601" i="1"/>
  <c r="L409" i="1"/>
  <c r="L238" i="1"/>
  <c r="L1110" i="1"/>
  <c r="L466" i="1"/>
  <c r="L226" i="1"/>
  <c r="L969" i="1"/>
  <c r="L610" i="1"/>
  <c r="L354" i="1"/>
  <c r="L57" i="1"/>
  <c r="L618" i="1"/>
  <c r="L533" i="1"/>
  <c r="L448" i="1"/>
  <c r="L320" i="1"/>
  <c r="L170" i="1"/>
  <c r="L888" i="1"/>
  <c r="L640" i="1"/>
  <c r="L468" i="1"/>
  <c r="L276" i="1"/>
  <c r="L1012" i="1"/>
  <c r="L606" i="1"/>
  <c r="L457" i="1"/>
  <c r="L350" i="1"/>
  <c r="L222" i="1"/>
  <c r="L116" i="1"/>
  <c r="L948" i="1"/>
  <c r="L739" i="1"/>
  <c r="L600" i="1"/>
  <c r="L493" i="1"/>
  <c r="L791" i="1"/>
  <c r="L684" i="1"/>
  <c r="L591" i="1"/>
  <c r="L511" i="1"/>
  <c r="L447" i="1"/>
  <c r="L383" i="1"/>
  <c r="L319" i="1"/>
  <c r="L255" i="1"/>
  <c r="L191" i="1"/>
  <c r="L127" i="1"/>
  <c r="L1339" i="1"/>
  <c r="L1188" i="1"/>
  <c r="L1062" i="1"/>
  <c r="L976" i="1"/>
  <c r="L977" i="1"/>
  <c r="L892" i="1"/>
  <c r="L807" i="1"/>
  <c r="L721" i="1"/>
  <c r="L636" i="1"/>
  <c r="L571" i="1"/>
  <c r="L507" i="1"/>
  <c r="L443" i="1"/>
  <c r="L379" i="1"/>
  <c r="L315" i="1"/>
  <c r="L251" i="1"/>
  <c r="L187" i="1"/>
  <c r="L123" i="1"/>
  <c r="L1331" i="1"/>
  <c r="L1178" i="1"/>
  <c r="L1056" i="1"/>
  <c r="L971" i="1"/>
  <c r="L885" i="1"/>
  <c r="L136" i="1"/>
  <c r="L925" i="1"/>
  <c r="L779" i="1"/>
  <c r="L665" i="1"/>
  <c r="L572" i="1"/>
  <c r="L486" i="1"/>
  <c r="L401" i="1"/>
  <c r="L316" i="1"/>
  <c r="L230" i="1"/>
  <c r="L145" i="1"/>
  <c r="L1097" i="1"/>
  <c r="L889" i="1"/>
  <c r="L756" i="1"/>
  <c r="L719" i="1"/>
  <c r="L612" i="1"/>
  <c r="L526" i="1"/>
  <c r="L441" i="1"/>
  <c r="L356" i="1"/>
  <c r="L270" i="1"/>
  <c r="L185" i="1"/>
  <c r="L100" i="1"/>
  <c r="L959" i="1"/>
  <c r="L803" i="1"/>
  <c r="L688" i="1"/>
  <c r="L584" i="1"/>
  <c r="L498" i="1"/>
  <c r="L413" i="1"/>
  <c r="L328" i="1"/>
  <c r="L237" i="1"/>
  <c r="L146" i="1"/>
  <c r="L68" i="1"/>
  <c r="L365" i="1"/>
  <c r="L274" i="1"/>
  <c r="L184" i="1"/>
  <c r="L77" i="1"/>
  <c r="L66" i="1"/>
  <c r="L735" i="1"/>
  <c r="L517" i="1"/>
  <c r="L346" i="1"/>
  <c r="L176" i="1"/>
  <c r="L941" i="1"/>
  <c r="L676" i="1"/>
  <c r="L516" i="1"/>
  <c r="L345" i="1"/>
  <c r="L174" i="1"/>
  <c r="L937" i="1"/>
  <c r="L731" i="1"/>
  <c r="L616" i="1"/>
  <c r="L530" i="1"/>
  <c r="L424" i="1"/>
  <c r="L290" i="1"/>
  <c r="L98" i="1"/>
  <c r="L70" i="1"/>
  <c r="L341" i="1"/>
  <c r="L149" i="1"/>
  <c r="L931" i="1"/>
  <c r="L669" i="1"/>
  <c r="L489" i="1"/>
  <c r="L340" i="1"/>
  <c r="L169" i="1"/>
  <c r="L927" i="1"/>
  <c r="L589" i="1"/>
  <c r="L333" i="1"/>
  <c r="L173" i="1"/>
  <c r="L912" i="1"/>
  <c r="L104" i="1"/>
  <c r="L979" i="1"/>
  <c r="L815" i="1"/>
  <c r="L701" i="1"/>
  <c r="L598" i="1"/>
  <c r="L513" i="1"/>
  <c r="L428" i="1"/>
  <c r="L321" i="1"/>
  <c r="L236" i="1"/>
  <c r="L150" i="1"/>
  <c r="L1125" i="1"/>
  <c r="L900" i="1"/>
  <c r="L763" i="1"/>
  <c r="L581" i="1"/>
  <c r="L410" i="1"/>
  <c r="L240" i="1"/>
  <c r="L1118" i="1"/>
  <c r="L761" i="1"/>
  <c r="L537" i="1"/>
  <c r="L366" i="1"/>
  <c r="L196" i="1"/>
  <c r="L564" i="1"/>
  <c r="L436" i="1"/>
  <c r="L308" i="1"/>
  <c r="L201" i="1"/>
  <c r="L94" i="1"/>
  <c r="L863" i="1"/>
  <c r="L709" i="1"/>
  <c r="L578" i="1"/>
  <c r="L450" i="1"/>
  <c r="L769" i="1"/>
  <c r="L663" i="1"/>
  <c r="L559" i="1"/>
  <c r="L495" i="1"/>
  <c r="L431" i="1"/>
  <c r="L367" i="1"/>
  <c r="L303" i="1"/>
  <c r="L239" i="1"/>
  <c r="L175" i="1"/>
  <c r="L111" i="1"/>
  <c r="L1302" i="1"/>
  <c r="L1150" i="1"/>
  <c r="L1040" i="1"/>
  <c r="L1041" i="1"/>
  <c r="L956" i="1"/>
  <c r="L871" i="1"/>
  <c r="L785" i="1"/>
  <c r="L700" i="1"/>
  <c r="L619" i="1"/>
  <c r="L555" i="1"/>
  <c r="L491" i="1"/>
  <c r="L427" i="1"/>
  <c r="L363" i="1"/>
  <c r="L299" i="1"/>
  <c r="L235" i="1"/>
  <c r="L171" i="1"/>
  <c r="L107" i="1"/>
  <c r="L1291" i="1"/>
  <c r="L1141" i="1"/>
  <c r="L1035" i="1"/>
  <c r="L949" i="1"/>
  <c r="L864" i="1"/>
  <c r="L1076" i="1"/>
  <c r="L883" i="1"/>
  <c r="L751" i="1"/>
  <c r="L637" i="1"/>
  <c r="L550" i="1"/>
  <c r="L465" i="1"/>
  <c r="L380" i="1"/>
  <c r="L294" i="1"/>
  <c r="L209" i="1"/>
  <c r="L124" i="1"/>
  <c r="L1017" i="1"/>
  <c r="L847" i="1"/>
  <c r="L728" i="1"/>
  <c r="L691" i="1"/>
  <c r="L590" i="1"/>
  <c r="L505" i="1"/>
  <c r="L420" i="1"/>
  <c r="L334" i="1"/>
  <c r="L249" i="1"/>
  <c r="L164" i="1"/>
  <c r="L78" i="1"/>
  <c r="L916" i="1"/>
  <c r="L773" i="1"/>
  <c r="L660" i="1"/>
  <c r="L562" i="1"/>
  <c r="L477" i="1"/>
  <c r="L392" i="1"/>
  <c r="L301" i="1"/>
  <c r="L216" i="1"/>
  <c r="L120" i="1"/>
  <c r="L58" i="1"/>
  <c r="L344" i="1"/>
  <c r="L253" i="1"/>
  <c r="L162" i="1"/>
  <c r="L56" i="1"/>
  <c r="L62" i="1"/>
  <c r="L649" i="1"/>
  <c r="L474" i="1"/>
  <c r="L304" i="1"/>
  <c r="L133" i="1"/>
  <c r="L856" i="1"/>
  <c r="L622" i="1"/>
  <c r="L473" i="1"/>
  <c r="L302" i="1"/>
  <c r="L132" i="1"/>
  <c r="L895" i="1"/>
  <c r="L703" i="1"/>
  <c r="L594" i="1"/>
  <c r="L509" i="1"/>
  <c r="L402" i="1"/>
  <c r="L248" i="1"/>
  <c r="L60" i="1"/>
  <c r="L51" i="1"/>
  <c r="L298" i="1"/>
  <c r="L106" i="1"/>
  <c r="L845" i="1"/>
  <c r="L617" i="1"/>
  <c r="L446" i="1"/>
  <c r="L297" i="1"/>
  <c r="L126" i="1"/>
  <c r="L809" i="1"/>
  <c r="L482" i="1"/>
  <c r="L285" i="1"/>
  <c r="L125" i="1"/>
  <c r="L891" i="1"/>
  <c r="L189" i="1"/>
  <c r="L936" i="1"/>
  <c r="L787" i="1"/>
  <c r="L672" i="1"/>
  <c r="L577" i="1"/>
  <c r="L492" i="1"/>
  <c r="L406" i="1"/>
  <c r="L300" i="1"/>
  <c r="L214" i="1"/>
  <c r="L129" i="1"/>
  <c r="L1028" i="1"/>
  <c r="L857" i="1"/>
  <c r="L707" i="1"/>
  <c r="L521" i="1"/>
  <c r="L393" i="1"/>
  <c r="L286" i="1"/>
  <c r="L180" i="1"/>
  <c r="L1033" i="1"/>
  <c r="L824" i="1"/>
  <c r="L681" i="1"/>
  <c r="L536" i="1"/>
  <c r="L429" i="1"/>
  <c r="L748" i="1"/>
  <c r="L623" i="1"/>
  <c r="L543" i="1"/>
  <c r="L479" i="1"/>
  <c r="L415" i="1"/>
  <c r="L351" i="1"/>
  <c r="L287" i="1"/>
  <c r="L223" i="1"/>
  <c r="L159" i="1"/>
  <c r="L95" i="1"/>
  <c r="L1263" i="1"/>
  <c r="L1120" i="1"/>
  <c r="L1019" i="1"/>
  <c r="L1020" i="1"/>
  <c r="L935" i="1"/>
  <c r="L849" i="1"/>
  <c r="L764" i="1"/>
  <c r="L679" i="1"/>
  <c r="L603" i="1"/>
  <c r="L539" i="1"/>
  <c r="L475" i="1"/>
  <c r="L411" i="1"/>
  <c r="L347" i="1"/>
  <c r="L283" i="1"/>
  <c r="L219" i="1"/>
  <c r="L155" i="1"/>
  <c r="L91" i="1"/>
  <c r="L1254" i="1"/>
  <c r="L1113" i="1"/>
  <c r="L1013" i="1"/>
  <c r="L928" i="1"/>
  <c r="L843" i="1"/>
  <c r="L1011" i="1"/>
  <c r="L840" i="1"/>
  <c r="L723" i="1"/>
  <c r="L614" i="1"/>
  <c r="L529" i="1"/>
  <c r="L444" i="1"/>
  <c r="L358" i="1"/>
  <c r="L273" i="1"/>
  <c r="L188" i="1"/>
  <c r="L102" i="1"/>
  <c r="L975" i="1"/>
  <c r="L813" i="1"/>
  <c r="L699" i="1"/>
  <c r="L661" i="1"/>
  <c r="L569" i="1"/>
  <c r="L484" i="1"/>
  <c r="L398" i="1"/>
  <c r="L313" i="1"/>
  <c r="L228" i="1"/>
  <c r="L142" i="1"/>
  <c r="L1055" i="1"/>
  <c r="L873" i="1"/>
  <c r="L745" i="1"/>
  <c r="L626" i="1"/>
  <c r="L541" i="1"/>
  <c r="L456" i="1"/>
  <c r="L370" i="1"/>
  <c r="L280" i="1"/>
  <c r="L194" i="1"/>
  <c r="L82" i="1"/>
  <c r="L59" i="1"/>
  <c r="L322" i="1"/>
  <c r="L232" i="1"/>
  <c r="L141" i="1"/>
  <c r="L72" i="1"/>
  <c r="L63" i="1"/>
  <c r="L602" i="1"/>
  <c r="L432" i="1"/>
  <c r="L261" i="1"/>
  <c r="L90" i="1"/>
  <c r="L789" i="1"/>
  <c r="L580" i="1"/>
  <c r="L430" i="1"/>
  <c r="L260" i="1"/>
  <c r="L89" i="1"/>
  <c r="L816" i="1"/>
  <c r="L675" i="1"/>
  <c r="L573" i="1"/>
  <c r="L488" i="1"/>
  <c r="L360" i="1"/>
  <c r="L205" i="1"/>
  <c r="L53" i="1"/>
  <c r="L67" i="1"/>
  <c r="L234" i="1"/>
  <c r="L1089" i="1"/>
  <c r="L783" i="1"/>
  <c r="L574" i="1"/>
  <c r="L404" i="1"/>
  <c r="L233" i="1"/>
  <c r="L84" i="1"/>
  <c r="L724" i="1"/>
  <c r="L440" i="1"/>
  <c r="L242" i="1"/>
  <c r="L955" i="1"/>
  <c r="L869" i="1"/>
  <c r="L1104" i="1"/>
  <c r="L893" i="1"/>
  <c r="L757" i="1"/>
  <c r="L644" i="1"/>
  <c r="L556" i="1"/>
  <c r="L470" i="1"/>
  <c r="L385" i="1"/>
  <c r="L278" i="1"/>
  <c r="L193" i="1"/>
  <c r="L108" i="1"/>
  <c r="L985" i="1"/>
  <c r="L820" i="1"/>
  <c r="L677" i="1"/>
  <c r="L496" i="1"/>
  <c r="L325" i="1"/>
  <c r="L154" i="1"/>
  <c r="L899" i="1"/>
  <c r="L648" i="1"/>
  <c r="L452" i="1"/>
  <c r="L281" i="1"/>
  <c r="L538" i="1"/>
  <c r="L704" i="1"/>
  <c r="L110" i="1"/>
  <c r="L381" i="1"/>
  <c r="L130" i="1"/>
  <c r="L696" i="1"/>
  <c r="L306" i="1"/>
  <c r="L61" i="1"/>
  <c r="L554" i="1"/>
  <c r="L405" i="1"/>
  <c r="L256" i="1"/>
  <c r="L1016" i="1"/>
  <c r="L596" i="1"/>
  <c r="L361" i="1"/>
  <c r="L105" i="1"/>
  <c r="L568" i="1"/>
  <c r="L200" i="1"/>
  <c r="L55" i="1"/>
  <c r="L525" i="1"/>
  <c r="L88" i="1"/>
  <c r="L64" i="1"/>
  <c r="L368" i="1"/>
  <c r="L494" i="1"/>
  <c r="L980" i="1"/>
  <c r="L312" i="1"/>
  <c r="L254" i="1"/>
  <c r="L546" i="1"/>
  <c r="L264" i="1"/>
  <c r="L643" i="1"/>
  <c r="L512" i="1"/>
  <c r="L384" i="1"/>
  <c r="L213" i="1"/>
  <c r="L811" i="1"/>
  <c r="L553" i="1"/>
  <c r="L318" i="1"/>
  <c r="L884" i="1"/>
  <c r="L54" i="1"/>
  <c r="L197" i="1"/>
  <c r="L324" i="1"/>
  <c r="L852" i="1"/>
  <c r="L269" i="1"/>
  <c r="L841" i="1"/>
  <c r="L504" i="1"/>
  <c r="L152" i="1"/>
  <c r="L597" i="1"/>
  <c r="L490" i="1"/>
  <c r="L362" i="1"/>
  <c r="L128" i="1"/>
  <c r="L755" i="1"/>
  <c r="L510" i="1"/>
  <c r="L212" i="1"/>
  <c r="L781" i="1"/>
  <c r="L461" i="1"/>
  <c r="L984" i="1"/>
  <c r="L153" i="1"/>
  <c r="L788" i="1"/>
  <c r="L178" i="1"/>
  <c r="L752" i="1"/>
  <c r="L418" i="1"/>
  <c r="L74" i="1"/>
  <c r="L576" i="1"/>
  <c r="L469" i="1"/>
  <c r="L277" i="1"/>
  <c r="L85" i="1"/>
  <c r="L697" i="1"/>
  <c r="L425" i="1"/>
  <c r="L148" i="1"/>
  <c r="L639" i="1"/>
  <c r="L397" i="1"/>
  <c r="L73" i="1"/>
  <c r="G51" i="1" l="1"/>
  <c r="G52" i="1" s="1"/>
  <c r="J46" i="2"/>
  <c r="J14" i="2"/>
  <c r="M33" i="2"/>
  <c r="H39" i="2"/>
  <c r="I18" i="2"/>
  <c r="K26" i="2"/>
  <c r="F26" i="2"/>
  <c r="N43" i="2"/>
  <c r="N11" i="2"/>
  <c r="I31" i="2"/>
  <c r="L36" i="2"/>
  <c r="I8" i="2"/>
  <c r="G24" i="2"/>
  <c r="F53" i="2"/>
  <c r="J38" i="2"/>
  <c r="I15" i="2"/>
  <c r="M25" i="2"/>
  <c r="H31" i="2"/>
  <c r="K50" i="2"/>
  <c r="K18" i="2"/>
  <c r="F9" i="2"/>
  <c r="N35" i="2"/>
  <c r="I55" i="2"/>
  <c r="I23" i="2"/>
  <c r="L28" i="2"/>
  <c r="G48" i="2"/>
  <c r="G16" i="2"/>
  <c r="F36" i="2"/>
  <c r="J22" i="2"/>
  <c r="H47" i="2"/>
  <c r="K34" i="2"/>
  <c r="N51" i="2"/>
  <c r="I39" i="2"/>
  <c r="L12" i="2"/>
  <c r="F23" i="2"/>
  <c r="J29" i="2"/>
  <c r="M48" i="2"/>
  <c r="H54" i="2"/>
  <c r="H22" i="2"/>
  <c r="K41" i="2"/>
  <c r="K9" i="2"/>
  <c r="E45" i="2"/>
  <c r="N24" i="2"/>
  <c r="I44" i="2"/>
  <c r="L49" i="2"/>
  <c r="L17" i="2"/>
  <c r="G37" i="2"/>
  <c r="M8" i="2"/>
  <c r="E27" i="2"/>
  <c r="D33" i="2"/>
  <c r="E21" i="2"/>
  <c r="D12" i="2"/>
  <c r="D42" i="2"/>
  <c r="E14" i="2"/>
  <c r="J44" i="2"/>
  <c r="J12" i="2"/>
  <c r="M31" i="2"/>
  <c r="H37" i="2"/>
  <c r="I10" i="2"/>
  <c r="K24" i="2"/>
  <c r="F10" i="2"/>
  <c r="N41" i="2"/>
  <c r="N9" i="2"/>
  <c r="I29" i="2"/>
  <c r="L34" i="2"/>
  <c r="G54" i="2"/>
  <c r="G22" i="2"/>
  <c r="F37" i="2"/>
  <c r="J35" i="2"/>
  <c r="M54" i="2"/>
  <c r="M22" i="2"/>
  <c r="H28" i="2"/>
  <c r="K47" i="2"/>
  <c r="K15" i="2"/>
  <c r="F32" i="2"/>
  <c r="N30" i="2"/>
  <c r="I50" i="2"/>
  <c r="L55" i="2"/>
  <c r="L23" i="2"/>
  <c r="G43" i="2"/>
  <c r="G11" i="2"/>
  <c r="E51" i="2"/>
  <c r="E13" i="2"/>
  <c r="D13" i="2"/>
  <c r="D36" i="2"/>
  <c r="E16" i="2"/>
  <c r="J26" i="2"/>
  <c r="M45" i="2"/>
  <c r="H51" i="2"/>
  <c r="H19" i="2"/>
  <c r="K38" i="2"/>
  <c r="M14" i="2"/>
  <c r="N55" i="2"/>
  <c r="N23" i="2"/>
  <c r="I43" i="2"/>
  <c r="L48" i="2"/>
  <c r="L16" i="2"/>
  <c r="G36" i="2"/>
  <c r="F55" i="2"/>
  <c r="J49" i="2"/>
  <c r="J17" i="2"/>
  <c r="M36" i="2"/>
  <c r="H42" i="2"/>
  <c r="H10" i="2"/>
  <c r="K29" i="2"/>
  <c r="F50" i="2"/>
  <c r="N44" i="2"/>
  <c r="N12" i="2"/>
  <c r="I32" i="2"/>
  <c r="L37" i="2"/>
  <c r="I12" i="2"/>
  <c r="G25" i="2"/>
  <c r="F14" i="2"/>
  <c r="D31" i="2"/>
  <c r="E12" i="2"/>
  <c r="E46" i="2"/>
  <c r="D49" i="2"/>
  <c r="E25" i="2"/>
  <c r="J40" i="2"/>
  <c r="J8" i="2"/>
  <c r="M27" i="2"/>
  <c r="H33" i="2"/>
  <c r="K52" i="2"/>
  <c r="K20" i="2"/>
  <c r="F25" i="2"/>
  <c r="N37" i="2"/>
  <c r="M13" i="2"/>
  <c r="I25" i="2"/>
  <c r="L30" i="2"/>
  <c r="G50" i="2"/>
  <c r="G18" i="2"/>
  <c r="F52" i="2"/>
  <c r="J31" i="2"/>
  <c r="M50" i="2"/>
  <c r="I9" i="2"/>
  <c r="H24" i="2"/>
  <c r="K43" i="2"/>
  <c r="K11" i="2"/>
  <c r="E53" i="2"/>
  <c r="N26" i="2"/>
  <c r="I46" i="2"/>
  <c r="L51" i="2"/>
  <c r="L19" i="2"/>
  <c r="G39" i="2"/>
  <c r="M16" i="2"/>
  <c r="E35" i="2"/>
  <c r="D43" i="2"/>
  <c r="E31" i="2"/>
  <c r="D20" i="2"/>
  <c r="D50" i="2"/>
  <c r="D24" i="2"/>
  <c r="M10" i="1"/>
  <c r="N4" i="2" a="1"/>
  <c r="D15" i="2"/>
  <c r="E40" i="2"/>
  <c r="E30" i="2"/>
  <c r="D55" i="2"/>
  <c r="E29" i="2"/>
  <c r="M7" i="1"/>
  <c r="M8" i="1"/>
  <c r="M6" i="1"/>
  <c r="J47" i="2"/>
  <c r="K27" i="2"/>
  <c r="N10" i="2"/>
  <c r="G23" i="2"/>
  <c r="E34" i="2"/>
  <c r="D48" i="2"/>
  <c r="M11" i="1"/>
  <c r="M49" i="2"/>
  <c r="H23" i="2"/>
  <c r="K10" i="2"/>
  <c r="N27" i="2"/>
  <c r="L52" i="2"/>
  <c r="G40" i="2"/>
  <c r="J53" i="2"/>
  <c r="J21" i="2"/>
  <c r="M40" i="2"/>
  <c r="H46" i="2"/>
  <c r="H14" i="2"/>
  <c r="K33" i="2"/>
  <c r="F35" i="2"/>
  <c r="N48" i="2"/>
  <c r="N16" i="2"/>
  <c r="I36" i="2"/>
  <c r="L41" i="2"/>
  <c r="L9" i="2"/>
  <c r="G29" i="2"/>
  <c r="F46" i="2"/>
  <c r="D47" i="2"/>
  <c r="E28" i="2"/>
  <c r="D29" i="2"/>
  <c r="E17" i="2"/>
  <c r="D10" i="2"/>
  <c r="D32" i="2"/>
  <c r="J36" i="2"/>
  <c r="M55" i="2"/>
  <c r="M23" i="2"/>
  <c r="H29" i="2"/>
  <c r="K48" i="2"/>
  <c r="K16" i="2"/>
  <c r="F40" i="2"/>
  <c r="N33" i="2"/>
  <c r="I53" i="2"/>
  <c r="M19" i="2"/>
  <c r="L26" i="2"/>
  <c r="G46" i="2"/>
  <c r="G14" i="2"/>
  <c r="F20" i="2"/>
  <c r="J27" i="2"/>
  <c r="M46" i="2"/>
  <c r="H52" i="2"/>
  <c r="H20" i="2"/>
  <c r="K39" i="2"/>
  <c r="M18" i="2"/>
  <c r="N54" i="2"/>
  <c r="N22" i="2"/>
  <c r="I42" i="2"/>
  <c r="L47" i="2"/>
  <c r="L15" i="2"/>
  <c r="G35" i="2"/>
  <c r="F47" i="2"/>
  <c r="E19" i="2"/>
  <c r="D19" i="2"/>
  <c r="E9" i="2"/>
  <c r="D8" i="2"/>
  <c r="J50" i="2"/>
  <c r="J18" i="2"/>
  <c r="M37" i="2"/>
  <c r="H43" i="2"/>
  <c r="H11" i="2"/>
  <c r="K30" i="2"/>
  <c r="F11" i="2"/>
  <c r="N47" i="2"/>
  <c r="N15" i="2"/>
  <c r="I35" i="2"/>
  <c r="L40" i="2"/>
  <c r="L8" i="2"/>
  <c r="G28" i="2"/>
  <c r="F38" i="2"/>
  <c r="J41" i="2"/>
  <c r="J9" i="2"/>
  <c r="M28" i="2"/>
  <c r="H34" i="2"/>
  <c r="K53" i="2"/>
  <c r="K21" i="2"/>
  <c r="F33" i="2"/>
  <c r="N36" i="2"/>
  <c r="M9" i="2"/>
  <c r="I24" i="2"/>
  <c r="L29" i="2"/>
  <c r="G49" i="2"/>
  <c r="G17" i="2"/>
  <c r="F44" i="2"/>
  <c r="E36" i="2"/>
  <c r="D30" i="2"/>
  <c r="E10" i="2"/>
  <c r="E42" i="2"/>
  <c r="D35" i="2"/>
  <c r="J32" i="2"/>
  <c r="M51" i="2"/>
  <c r="I13" i="2"/>
  <c r="H25" i="2"/>
  <c r="K44" i="2"/>
  <c r="K12" i="2"/>
  <c r="F8" i="2"/>
  <c r="N29" i="2"/>
  <c r="I49" i="2"/>
  <c r="L54" i="2"/>
  <c r="L22" i="2"/>
  <c r="G42" i="2"/>
  <c r="G10" i="2"/>
  <c r="J55" i="2"/>
  <c r="J23" i="2"/>
  <c r="M42" i="2"/>
  <c r="H48" i="2"/>
  <c r="H16" i="2"/>
  <c r="K35" i="2"/>
  <c r="F51" i="2"/>
  <c r="N50" i="2"/>
  <c r="N18" i="2"/>
  <c r="I38" i="2"/>
  <c r="L43" i="2"/>
  <c r="L11" i="2"/>
  <c r="G31" i="2"/>
  <c r="F15" i="2"/>
  <c r="E38" i="2"/>
  <c r="D41" i="2"/>
  <c r="D34" i="2"/>
  <c r="E37" i="2"/>
  <c r="D16" i="2"/>
  <c r="D40" i="2"/>
  <c r="F39" i="2"/>
  <c r="H40" i="2"/>
  <c r="N42" i="2"/>
  <c r="L35" i="2"/>
  <c r="F45" i="2"/>
  <c r="D37" i="2"/>
  <c r="D18" i="2"/>
  <c r="J54" i="2"/>
  <c r="M41" i="2"/>
  <c r="H15" i="2"/>
  <c r="F43" i="2"/>
  <c r="N19" i="2"/>
  <c r="L44" i="2"/>
  <c r="G32" i="2"/>
  <c r="J45" i="2"/>
  <c r="J13" i="2"/>
  <c r="M32" i="2"/>
  <c r="H38" i="2"/>
  <c r="I14" i="2"/>
  <c r="K25" i="2"/>
  <c r="F18" i="2"/>
  <c r="N40" i="2"/>
  <c r="N8" i="2"/>
  <c r="I28" i="2"/>
  <c r="L33" i="2"/>
  <c r="G53" i="2"/>
  <c r="G21" i="2"/>
  <c r="F29" i="2"/>
  <c r="E52" i="2"/>
  <c r="D46" i="2"/>
  <c r="E26" i="2"/>
  <c r="D27" i="2"/>
  <c r="D9" i="2"/>
  <c r="M4" i="1"/>
  <c r="J28" i="2"/>
  <c r="M47" i="2"/>
  <c r="H53" i="2"/>
  <c r="H21" i="2"/>
  <c r="K40" i="2"/>
  <c r="K8" i="2"/>
  <c r="E41" i="2"/>
  <c r="N25" i="2"/>
  <c r="I45" i="2"/>
  <c r="L50" i="2"/>
  <c r="L18" i="2"/>
  <c r="G38" i="2"/>
  <c r="M12" i="2"/>
  <c r="J51" i="2"/>
  <c r="J19" i="2"/>
  <c r="M38" i="2"/>
  <c r="H44" i="2"/>
  <c r="H12" i="2"/>
  <c r="K31" i="2"/>
  <c r="F19" i="2"/>
  <c r="N46" i="2"/>
  <c r="N14" i="2"/>
  <c r="I34" i="2"/>
  <c r="L39" i="2"/>
  <c r="I20" i="2"/>
  <c r="G27" i="2"/>
  <c r="F30" i="2"/>
  <c r="D39" i="2"/>
  <c r="E20" i="2"/>
  <c r="D11" i="2"/>
  <c r="D17" i="2"/>
  <c r="J42" i="2"/>
  <c r="J10" i="2"/>
  <c r="M29" i="2"/>
  <c r="H35" i="2"/>
  <c r="K54" i="2"/>
  <c r="K22" i="2"/>
  <c r="F41" i="2"/>
  <c r="N39" i="2"/>
  <c r="M21" i="2"/>
  <c r="I27" i="2"/>
  <c r="L32" i="2"/>
  <c r="G52" i="2"/>
  <c r="G20" i="2"/>
  <c r="F21" i="2"/>
  <c r="J33" i="2"/>
  <c r="M52" i="2"/>
  <c r="M17" i="2"/>
  <c r="H26" i="2"/>
  <c r="K45" i="2"/>
  <c r="K13" i="2"/>
  <c r="F16" i="2"/>
  <c r="N28" i="2"/>
  <c r="I48" i="2"/>
  <c r="L53" i="2"/>
  <c r="L21" i="2"/>
  <c r="G41" i="2"/>
  <c r="G9" i="2"/>
  <c r="E43" i="2"/>
  <c r="D53" i="2"/>
  <c r="E47" i="2"/>
  <c r="D28" i="2"/>
  <c r="E8" i="2"/>
  <c r="H49" i="1"/>
  <c r="J24" i="2"/>
  <c r="M43" i="2"/>
  <c r="H49" i="2"/>
  <c r="H17" i="2"/>
  <c r="K36" i="2"/>
  <c r="G8" i="2"/>
  <c r="N53" i="2"/>
  <c r="N21" i="2"/>
  <c r="I41" i="2"/>
  <c r="L46" i="2"/>
  <c r="L14" i="2"/>
  <c r="G34" i="2"/>
  <c r="J15" i="2"/>
  <c r="M34" i="2"/>
  <c r="F34" i="2"/>
  <c r="I30" i="2"/>
  <c r="D23" i="2"/>
  <c r="D45" i="2"/>
  <c r="M2" i="1"/>
  <c r="J30" i="2"/>
  <c r="H55" i="2"/>
  <c r="K42" i="2"/>
  <c r="E49" i="2"/>
  <c r="I47" i="2"/>
  <c r="L20" i="2"/>
  <c r="I21" i="2"/>
  <c r="J37" i="2"/>
  <c r="M11" i="2"/>
  <c r="M24" i="2"/>
  <c r="H30" i="2"/>
  <c r="K49" i="2"/>
  <c r="K17" i="2"/>
  <c r="F48" i="2"/>
  <c r="N32" i="2"/>
  <c r="I52" i="2"/>
  <c r="M15" i="2"/>
  <c r="L25" i="2"/>
  <c r="G45" i="2"/>
  <c r="G13" i="2"/>
  <c r="F12" i="2"/>
  <c r="E23" i="2"/>
  <c r="D14" i="2"/>
  <c r="D44" i="2"/>
  <c r="E24" i="2"/>
  <c r="E50" i="2"/>
  <c r="J52" i="2"/>
  <c r="J20" i="2"/>
  <c r="M39" i="2"/>
  <c r="H45" i="2"/>
  <c r="H13" i="2"/>
  <c r="K32" i="2"/>
  <c r="F27" i="2"/>
  <c r="N49" i="2"/>
  <c r="N17" i="2"/>
  <c r="I37" i="2"/>
  <c r="L42" i="2"/>
  <c r="L10" i="2"/>
  <c r="G30" i="2"/>
  <c r="F54" i="2"/>
  <c r="J43" i="2"/>
  <c r="J11" i="2"/>
  <c r="M30" i="2"/>
  <c r="H36" i="2"/>
  <c r="K55" i="2"/>
  <c r="K23" i="2"/>
  <c r="F49" i="2"/>
  <c r="N38" i="2"/>
  <c r="I17" i="2"/>
  <c r="I26" i="2"/>
  <c r="L31" i="2"/>
  <c r="G51" i="2"/>
  <c r="G19" i="2"/>
  <c r="F13" i="2"/>
  <c r="E44" i="2"/>
  <c r="D38" i="2"/>
  <c r="E18" i="2"/>
  <c r="E54" i="2"/>
  <c r="J34" i="2"/>
  <c r="M53" i="2"/>
  <c r="M20" i="2"/>
  <c r="H27" i="2"/>
  <c r="K46" i="2"/>
  <c r="K14" i="2"/>
  <c r="F24" i="2"/>
  <c r="N31" i="2"/>
  <c r="I51" i="2"/>
  <c r="I11" i="2"/>
  <c r="L24" i="2"/>
  <c r="G44" i="2"/>
  <c r="G12" i="2"/>
  <c r="E55" i="2"/>
  <c r="J25" i="2"/>
  <c r="M44" i="2"/>
  <c r="H50" i="2"/>
  <c r="H18" i="2"/>
  <c r="K37" i="2"/>
  <c r="M10" i="2"/>
  <c r="N52" i="2"/>
  <c r="N20" i="2"/>
  <c r="I40" i="2"/>
  <c r="L45" i="2"/>
  <c r="L13" i="2"/>
  <c r="G33" i="2"/>
  <c r="F31" i="2"/>
  <c r="E11" i="2"/>
  <c r="E48" i="2"/>
  <c r="D51" i="2"/>
  <c r="E39" i="2"/>
  <c r="D26" i="2"/>
  <c r="J48" i="2"/>
  <c r="J16" i="2"/>
  <c r="M35" i="2"/>
  <c r="H41" i="2"/>
  <c r="H9" i="2"/>
  <c r="K28" i="2"/>
  <c r="F42" i="2"/>
  <c r="N45" i="2"/>
  <c r="N13" i="2"/>
  <c r="I33" i="2"/>
  <c r="L38" i="2"/>
  <c r="I16" i="2"/>
  <c r="G26" i="2"/>
  <c r="F22" i="2"/>
  <c r="J39" i="2"/>
  <c r="I19" i="2"/>
  <c r="M26" i="2"/>
  <c r="H32" i="2"/>
  <c r="K51" i="2"/>
  <c r="K19" i="2"/>
  <c r="F17" i="2"/>
  <c r="N34" i="2"/>
  <c r="I54" i="2"/>
  <c r="I22" i="2"/>
  <c r="L27" i="2"/>
  <c r="G47" i="2"/>
  <c r="G15" i="2"/>
  <c r="F28" i="2"/>
  <c r="E33" i="2"/>
  <c r="D22" i="2"/>
  <c r="D52" i="2"/>
  <c r="E32" i="2"/>
  <c r="E22" i="2"/>
  <c r="M3" i="1"/>
  <c r="D21" i="2"/>
  <c r="D25" i="2"/>
  <c r="M12" i="1"/>
  <c r="E15" i="2"/>
  <c r="H8" i="2"/>
  <c r="G55" i="2"/>
  <c r="D54" i="2"/>
  <c r="M5" i="1"/>
  <c r="M9" i="1"/>
  <c r="G53" i="1" l="1"/>
  <c r="N4" i="2"/>
  <c r="L6" i="1"/>
  <c r="N6" i="1" s="1"/>
  <c r="L4" i="1"/>
  <c r="N4" i="1" s="1"/>
  <c r="L5" i="1"/>
  <c r="N5" i="1" s="1"/>
  <c r="L8" i="1"/>
  <c r="N8" i="1" s="1"/>
  <c r="L3" i="1"/>
  <c r="N3" i="1" s="1"/>
  <c r="L10" i="1"/>
  <c r="N10" i="1" s="1"/>
  <c r="L2" i="1"/>
  <c r="N2" i="1" s="1"/>
  <c r="L9" i="1"/>
  <c r="N9" i="1" s="1"/>
  <c r="L11" i="1"/>
  <c r="N11" i="1" s="1"/>
  <c r="L12" i="1"/>
  <c r="N12" i="1" s="1"/>
  <c r="L7" i="1"/>
  <c r="N7" i="1" s="1"/>
  <c r="G54" i="1" l="1"/>
  <c r="G55" i="1" l="1"/>
  <c r="G56" i="1" l="1"/>
  <c r="G57" i="1" l="1"/>
  <c r="G58" i="1" l="1"/>
  <c r="G59" i="1" l="1"/>
  <c r="G60" i="1" s="1"/>
  <c r="G61" i="1" l="1"/>
  <c r="G62" i="1" s="1"/>
  <c r="G63" i="1" s="1"/>
  <c r="G64" i="1" l="1"/>
  <c r="G65" i="1" s="1"/>
  <c r="G66" i="1" l="1"/>
  <c r="G67" i="1" s="1"/>
  <c r="G68" i="1" s="1"/>
  <c r="G69" i="1" l="1"/>
  <c r="G70" i="1" l="1"/>
  <c r="G71" i="1" l="1"/>
  <c r="G72" i="1" l="1"/>
  <c r="G73" i="1" l="1"/>
  <c r="G74" i="1" s="1"/>
  <c r="G75" i="1" l="1"/>
  <c r="G76" i="1" s="1"/>
  <c r="G77" i="1" s="1"/>
  <c r="G78" i="1" s="1"/>
  <c r="G79" i="1" s="1"/>
  <c r="G80" i="1" s="1"/>
  <c r="G81" i="1" l="1"/>
  <c r="G82" i="1" l="1"/>
  <c r="G83" i="1" s="1"/>
  <c r="G84" i="1" l="1"/>
  <c r="G85" i="1" l="1"/>
  <c r="G86" i="1" s="1"/>
  <c r="G87" i="1" l="1"/>
  <c r="G88" i="1" l="1"/>
  <c r="G89" i="1" s="1"/>
  <c r="G90" i="1" s="1"/>
  <c r="G91" i="1" s="1"/>
  <c r="G92" i="1" s="1"/>
  <c r="G93" i="1" l="1"/>
  <c r="G94" i="1" l="1"/>
  <c r="G95" i="1" l="1"/>
  <c r="G96" i="1" l="1"/>
  <c r="G97" i="1" l="1"/>
  <c r="G98" i="1" s="1"/>
  <c r="G99" i="1" s="1"/>
  <c r="G100" i="1" s="1"/>
  <c r="G101" i="1" s="1"/>
  <c r="G102" i="1" l="1"/>
  <c r="G103" i="1" s="1"/>
  <c r="G104" i="1" s="1"/>
  <c r="G105" i="1" s="1"/>
  <c r="G106" i="1" s="1"/>
  <c r="G107" i="1" l="1"/>
  <c r="G108" i="1" s="1"/>
  <c r="G109" i="1" l="1"/>
  <c r="G110" i="1" s="1"/>
  <c r="G111" i="1" l="1"/>
  <c r="G112" i="1" l="1"/>
  <c r="G113" i="1" l="1"/>
  <c r="G114" i="1" l="1"/>
  <c r="G115" i="1" l="1"/>
  <c r="G116" i="1" l="1"/>
  <c r="G117" i="1" l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l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l="1"/>
  <c r="G143" i="1" s="1"/>
  <c r="G144" i="1" s="1"/>
  <c r="G145" i="1" s="1"/>
  <c r="G146" i="1" l="1"/>
  <c r="G147" i="1" l="1"/>
  <c r="G148" i="1" l="1"/>
  <c r="G149" i="1" l="1"/>
  <c r="G150" i="1" l="1"/>
  <c r="G151" i="1" l="1"/>
  <c r="G152" i="1" l="1"/>
  <c r="G153" i="1" l="1"/>
  <c r="G154" i="1" l="1"/>
  <c r="G155" i="1" l="1"/>
  <c r="G156" i="1" l="1"/>
  <c r="G157" i="1" l="1"/>
  <c r="G158" i="1" l="1"/>
  <c r="G159" i="1" l="1"/>
  <c r="G160" i="1" l="1"/>
  <c r="G161" i="1" l="1"/>
  <c r="G162" i="1" l="1"/>
  <c r="G163" i="1" l="1"/>
  <c r="G164" i="1" l="1"/>
  <c r="G165" i="1" l="1"/>
  <c r="G166" i="1" l="1"/>
  <c r="G167" i="1" l="1"/>
  <c r="G168" i="1" l="1"/>
  <c r="G169" i="1" l="1"/>
  <c r="G170" i="1" l="1"/>
  <c r="G171" i="1" l="1"/>
  <c r="G172" i="1" l="1"/>
  <c r="G173" i="1" l="1"/>
  <c r="G174" i="1" l="1"/>
  <c r="G175" i="1" l="1"/>
  <c r="G176" i="1" l="1"/>
  <c r="G177" i="1" l="1"/>
  <c r="G178" i="1" s="1"/>
  <c r="G179" i="1" s="1"/>
  <c r="G180" i="1" s="1"/>
  <c r="G181" i="1" l="1"/>
  <c r="G182" i="1" l="1"/>
  <c r="G183" i="1" l="1"/>
  <c r="G184" i="1" l="1"/>
  <c r="G185" i="1" l="1"/>
  <c r="G186" i="1" l="1"/>
  <c r="G187" i="1" l="1"/>
  <c r="G188" i="1" l="1"/>
  <c r="G189" i="1" l="1"/>
  <c r="G190" i="1" l="1"/>
  <c r="G191" i="1" l="1"/>
  <c r="G192" i="1" l="1"/>
  <c r="G193" i="1" l="1"/>
  <c r="G194" i="1" l="1"/>
  <c r="G195" i="1" l="1"/>
  <c r="G196" i="1" l="1"/>
  <c r="G197" i="1" l="1"/>
  <c r="G198" i="1" l="1"/>
  <c r="G199" i="1" l="1"/>
  <c r="G200" i="1" l="1"/>
  <c r="G201" i="1" l="1"/>
  <c r="G202" i="1" l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l="1"/>
  <c r="G219" i="1" s="1"/>
  <c r="G220" i="1" l="1"/>
  <c r="G221" i="1" l="1"/>
  <c r="G222" i="1" l="1"/>
  <c r="G223" i="1" l="1"/>
  <c r="G224" i="1" l="1"/>
  <c r="G225" i="1" l="1"/>
  <c r="B9" i="4"/>
  <c r="B18" i="4"/>
  <c r="B11" i="4"/>
  <c r="B21" i="4"/>
  <c r="B10" i="4"/>
  <c r="B17" i="4"/>
  <c r="B7" i="4"/>
  <c r="B12" i="4"/>
  <c r="B16" i="4"/>
  <c r="B20" i="4"/>
  <c r="B15" i="4"/>
  <c r="B19" i="4"/>
  <c r="B13" i="4"/>
  <c r="B14" i="4"/>
  <c r="B8" i="4"/>
  <c r="C10" i="4"/>
  <c r="I7" i="4"/>
  <c r="C19" i="4"/>
  <c r="C7" i="4"/>
  <c r="C14" i="4"/>
  <c r="C20" i="4"/>
  <c r="C13" i="4"/>
  <c r="C8" i="4"/>
  <c r="C9" i="4"/>
  <c r="C15" i="4"/>
  <c r="C11" i="4"/>
  <c r="C18" i="4"/>
  <c r="C21" i="4"/>
  <c r="C16" i="4"/>
  <c r="C17" i="4"/>
  <c r="C12" i="4"/>
  <c r="G226" i="1" l="1"/>
  <c r="E20" i="4"/>
  <c r="D20" i="4"/>
  <c r="F20" i="4"/>
  <c r="F18" i="4"/>
  <c r="E18" i="4"/>
  <c r="D18" i="4"/>
  <c r="E8" i="4"/>
  <c r="F8" i="4"/>
  <c r="D8" i="4"/>
  <c r="D13" i="4"/>
  <c r="F13" i="4"/>
  <c r="E13" i="4"/>
  <c r="E19" i="4"/>
  <c r="D19" i="4"/>
  <c r="F19" i="4"/>
  <c r="F17" i="4"/>
  <c r="E17" i="4"/>
  <c r="D17" i="4"/>
  <c r="E11" i="4"/>
  <c r="F11" i="4"/>
  <c r="D11" i="4"/>
  <c r="E14" i="4"/>
  <c r="D14" i="4"/>
  <c r="F14" i="4"/>
  <c r="E15" i="4"/>
  <c r="D15" i="4"/>
  <c r="F15" i="4"/>
  <c r="F16" i="4"/>
  <c r="E16" i="4"/>
  <c r="D16" i="4"/>
  <c r="D7" i="4"/>
  <c r="E7" i="4"/>
  <c r="F7" i="4"/>
  <c r="F10" i="4"/>
  <c r="D10" i="4"/>
  <c r="E10" i="4"/>
  <c r="E12" i="4"/>
  <c r="D12" i="4"/>
  <c r="F12" i="4"/>
  <c r="E21" i="4"/>
  <c r="D21" i="4"/>
  <c r="F21" i="4"/>
  <c r="E9" i="4"/>
  <c r="F9" i="4"/>
  <c r="D9" i="4"/>
  <c r="L8" i="4"/>
  <c r="J13" i="4"/>
  <c r="Q17" i="4"/>
  <c r="N11" i="4"/>
  <c r="N14" i="4"/>
  <c r="G8" i="4"/>
  <c r="G13" i="4"/>
  <c r="O17" i="4"/>
  <c r="J11" i="4"/>
  <c r="M8" i="4"/>
  <c r="N19" i="4"/>
  <c r="J17" i="4"/>
  <c r="O11" i="4"/>
  <c r="P13" i="4"/>
  <c r="I19" i="4"/>
  <c r="L15" i="4"/>
  <c r="Q16" i="4"/>
  <c r="O7" i="4"/>
  <c r="G10" i="4"/>
  <c r="H12" i="4"/>
  <c r="P8" i="4"/>
  <c r="G19" i="4"/>
  <c r="M17" i="4"/>
  <c r="M11" i="4"/>
  <c r="Q8" i="4"/>
  <c r="M13" i="4"/>
  <c r="N17" i="4"/>
  <c r="I11" i="4"/>
  <c r="M19" i="4"/>
  <c r="G11" i="4"/>
  <c r="M14" i="4"/>
  <c r="O8" i="4"/>
  <c r="O13" i="4"/>
  <c r="H19" i="4"/>
  <c r="H17" i="4"/>
  <c r="I14" i="4"/>
  <c r="K21" i="4"/>
  <c r="K13" i="4"/>
  <c r="J14" i="4"/>
  <c r="P19" i="4"/>
  <c r="N8" i="4"/>
  <c r="J19" i="4"/>
  <c r="I17" i="4"/>
  <c r="P11" i="4"/>
  <c r="G14" i="4"/>
  <c r="H10" i="4"/>
  <c r="Q12" i="4"/>
  <c r="L21" i="4"/>
  <c r="L9" i="4"/>
  <c r="L18" i="4"/>
  <c r="H15" i="4"/>
  <c r="M16" i="4"/>
  <c r="P7" i="4"/>
  <c r="G21" i="4"/>
  <c r="N20" i="4"/>
  <c r="Q10" i="4"/>
  <c r="O14" i="4"/>
  <c r="P15" i="4"/>
  <c r="L16" i="4"/>
  <c r="H7" i="4"/>
  <c r="K10" i="4"/>
  <c r="L12" i="4"/>
  <c r="P21" i="4"/>
  <c r="N9" i="4"/>
  <c r="P20" i="4"/>
  <c r="J20" i="4"/>
  <c r="J12" i="4"/>
  <c r="H18" i="4"/>
  <c r="I21" i="4"/>
  <c r="O18" i="4"/>
  <c r="O16" i="4"/>
  <c r="O15" i="4"/>
  <c r="M10" i="4"/>
  <c r="N21" i="4"/>
  <c r="P9" i="4"/>
  <c r="Q21" i="4"/>
  <c r="L19" i="4"/>
  <c r="I10" i="4"/>
  <c r="Q20" i="4"/>
  <c r="Q18" i="4"/>
  <c r="I15" i="4"/>
  <c r="N10" i="4"/>
  <c r="J7" i="4"/>
  <c r="O19" i="4"/>
  <c r="L11" i="4"/>
  <c r="H8" i="4"/>
  <c r="I13" i="4"/>
  <c r="L17" i="4"/>
  <c r="L14" i="4"/>
  <c r="J8" i="4"/>
  <c r="N15" i="4"/>
  <c r="J21" i="4"/>
  <c r="K9" i="4"/>
  <c r="K18" i="4"/>
  <c r="N12" i="4"/>
  <c r="M21" i="4"/>
  <c r="H9" i="4"/>
  <c r="M20" i="4"/>
  <c r="K15" i="4"/>
  <c r="K16" i="4"/>
  <c r="N7" i="4"/>
  <c r="P10" i="4"/>
  <c r="H16" i="4"/>
  <c r="G7" i="4"/>
  <c r="O21" i="4"/>
  <c r="L20" i="4"/>
  <c r="I9" i="4"/>
  <c r="I20" i="4"/>
  <c r="J18" i="4"/>
  <c r="K20" i="4"/>
  <c r="J9" i="4"/>
  <c r="H20" i="4"/>
  <c r="J10" i="4"/>
  <c r="P14" i="4"/>
  <c r="M7" i="4"/>
  <c r="O12" i="4"/>
  <c r="I12" i="4"/>
  <c r="M18" i="4"/>
  <c r="L13" i="4"/>
  <c r="Q19" i="4"/>
  <c r="H11" i="4"/>
  <c r="G17" i="4"/>
  <c r="Q11" i="4"/>
  <c r="N16" i="4"/>
  <c r="O20" i="4"/>
  <c r="L7" i="4"/>
  <c r="Q15" i="4"/>
  <c r="L10" i="4"/>
  <c r="O9" i="4"/>
  <c r="K8" i="4"/>
  <c r="K19" i="4"/>
  <c r="H13" i="4"/>
  <c r="P17" i="4"/>
  <c r="Q13" i="4"/>
  <c r="K17" i="4"/>
  <c r="K11" i="4"/>
  <c r="K14" i="4"/>
  <c r="I8" i="4"/>
  <c r="M15" i="4"/>
  <c r="P16" i="4"/>
  <c r="K7" i="4"/>
  <c r="J15" i="4"/>
  <c r="M12" i="4"/>
  <c r="G9" i="4"/>
  <c r="J16" i="4"/>
  <c r="O10" i="4"/>
  <c r="K12" i="4"/>
  <c r="P18" i="4"/>
  <c r="N13" i="4"/>
  <c r="H14" i="4"/>
  <c r="G12" i="4"/>
  <c r="Q14" i="4"/>
  <c r="Q7" i="4"/>
  <c r="H21" i="4"/>
  <c r="Q9" i="4"/>
  <c r="G15" i="4"/>
  <c r="I16" i="4"/>
  <c r="G16" i="4"/>
  <c r="P12" i="4"/>
  <c r="G20" i="4"/>
  <c r="G18" i="4"/>
  <c r="M9" i="4"/>
  <c r="N18" i="4"/>
  <c r="I18" i="4"/>
  <c r="G227" i="1" l="1"/>
  <c r="G228" i="1" l="1"/>
  <c r="G229" i="1" l="1"/>
  <c r="G230" i="1" l="1"/>
  <c r="G231" i="1" l="1"/>
  <c r="G232" i="1" l="1"/>
  <c r="G233" i="1" l="1"/>
  <c r="G234" i="1" l="1"/>
  <c r="G235" i="1" l="1"/>
  <c r="G236" i="1" l="1"/>
  <c r="G288" i="1"/>
  <c r="G289" i="1" s="1"/>
  <c r="G290" i="1" s="1"/>
  <c r="G291" i="1" s="1"/>
  <c r="G292" i="1" s="1"/>
  <c r="G293" i="1" s="1"/>
  <c r="G294" i="1" s="1"/>
  <c r="G237" i="1" l="1"/>
  <c r="G295" i="1"/>
  <c r="G296" i="1" s="1"/>
  <c r="G297" i="1" s="1"/>
  <c r="G238" i="1" l="1"/>
  <c r="G298" i="1"/>
  <c r="G299" i="1" s="1"/>
  <c r="G300" i="1" s="1"/>
  <c r="G239" i="1" l="1"/>
  <c r="G301" i="1"/>
  <c r="G302" i="1" s="1"/>
  <c r="G303" i="1" s="1"/>
  <c r="G304" i="1" s="1"/>
  <c r="G240" i="1" l="1"/>
  <c r="G305" i="1"/>
  <c r="G306" i="1" s="1"/>
  <c r="G307" i="1" s="1"/>
  <c r="G241" i="1" l="1"/>
  <c r="G308" i="1"/>
  <c r="G309" i="1" s="1"/>
  <c r="G310" i="1" s="1"/>
  <c r="G311" i="1" s="1"/>
  <c r="G242" i="1" l="1"/>
  <c r="G312" i="1"/>
  <c r="G313" i="1" s="1"/>
  <c r="G243" i="1" l="1"/>
  <c r="G314" i="1"/>
  <c r="G315" i="1" s="1"/>
  <c r="G316" i="1" s="1"/>
  <c r="G317" i="1" s="1"/>
  <c r="G318" i="1" s="1"/>
  <c r="G244" i="1" l="1"/>
  <c r="G319" i="1"/>
  <c r="G320" i="1" s="1"/>
  <c r="G245" i="1" l="1"/>
  <c r="G321" i="1"/>
  <c r="G322" i="1" s="1"/>
  <c r="G323" i="1" s="1"/>
  <c r="G324" i="1" s="1"/>
  <c r="G325" i="1" s="1"/>
  <c r="G326" i="1" s="1"/>
  <c r="G327" i="1" s="1"/>
  <c r="G246" i="1" l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328" i="1"/>
  <c r="G329" i="1" s="1"/>
  <c r="G330" i="1" s="1"/>
  <c r="G331" i="1" l="1"/>
  <c r="G332" i="1" s="1"/>
  <c r="G333" i="1" l="1"/>
  <c r="G334" i="1" s="1"/>
  <c r="G335" i="1" l="1"/>
  <c r="G336" i="1" l="1"/>
  <c r="G337" i="1" s="1"/>
  <c r="G338" i="1" s="1"/>
  <c r="G339" i="1" l="1"/>
  <c r="G340" i="1" s="1"/>
  <c r="G341" i="1" s="1"/>
  <c r="G342" i="1" l="1"/>
  <c r="G343" i="1" s="1"/>
  <c r="G344" i="1" s="1"/>
  <c r="G345" i="1" s="1"/>
  <c r="G346" i="1" s="1"/>
  <c r="G347" i="1" s="1"/>
  <c r="G348" i="1" l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l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B174" i="4" l="1"/>
  <c r="B54" i="4"/>
  <c r="B106" i="4"/>
  <c r="B116" i="4"/>
  <c r="B150" i="4"/>
  <c r="B117" i="4"/>
  <c r="B99" i="4"/>
  <c r="B154" i="4"/>
  <c r="B138" i="4"/>
  <c r="B109" i="4"/>
  <c r="B66" i="4"/>
  <c r="B105" i="4"/>
  <c r="B125" i="4"/>
  <c r="B24" i="4"/>
  <c r="B42" i="4"/>
  <c r="B123" i="4"/>
  <c r="B165" i="4"/>
  <c r="B104" i="4"/>
  <c r="B96" i="4"/>
  <c r="B26" i="4"/>
  <c r="B168" i="4"/>
  <c r="B155" i="4"/>
  <c r="B74" i="4"/>
  <c r="B129" i="4"/>
  <c r="B118" i="4"/>
  <c r="B62" i="4"/>
  <c r="B98" i="4"/>
  <c r="B170" i="4"/>
  <c r="B50" i="4"/>
  <c r="B175" i="4"/>
  <c r="B89" i="4"/>
  <c r="B65" i="4"/>
  <c r="B35" i="4"/>
  <c r="B114" i="4"/>
  <c r="B28" i="4"/>
  <c r="B166" i="4"/>
  <c r="B161" i="4"/>
  <c r="B37" i="4"/>
  <c r="B122" i="4"/>
  <c r="B49" i="4"/>
  <c r="B77" i="4"/>
  <c r="B83" i="4"/>
  <c r="B82" i="4"/>
  <c r="B94" i="4"/>
  <c r="B57" i="4"/>
  <c r="B69" i="4"/>
  <c r="B178" i="4"/>
  <c r="B103" i="4"/>
  <c r="B56" i="4"/>
  <c r="B33" i="4"/>
  <c r="B163" i="4"/>
  <c r="B30" i="4"/>
  <c r="B41" i="4"/>
  <c r="B110" i="4"/>
  <c r="B88" i="4"/>
  <c r="B48" i="4"/>
  <c r="B144" i="4"/>
  <c r="B80" i="4"/>
  <c r="B32" i="4"/>
  <c r="B76" i="4"/>
  <c r="B135" i="4"/>
  <c r="B179" i="4"/>
  <c r="B126" i="4"/>
  <c r="B61" i="4"/>
  <c r="B27" i="4"/>
  <c r="B157" i="4"/>
  <c r="B141" i="4"/>
  <c r="B121" i="4"/>
  <c r="B140" i="4"/>
  <c r="B79" i="4"/>
  <c r="B86" i="4"/>
  <c r="B167" i="4"/>
  <c r="B101" i="4"/>
  <c r="B95" i="4"/>
  <c r="B90" i="4"/>
  <c r="B139" i="4"/>
  <c r="B81" i="4"/>
  <c r="B31" i="4"/>
  <c r="B46" i="4"/>
  <c r="B100" i="4"/>
  <c r="B159" i="4"/>
  <c r="B22" i="4"/>
  <c r="B127" i="4"/>
  <c r="B143" i="4"/>
  <c r="B160" i="4"/>
  <c r="B47" i="4"/>
  <c r="B132" i="4"/>
  <c r="B151" i="4"/>
  <c r="B152" i="4"/>
  <c r="B55" i="4"/>
  <c r="B148" i="4"/>
  <c r="B171" i="4"/>
  <c r="B133" i="4"/>
  <c r="B70" i="4"/>
  <c r="B40" i="4"/>
  <c r="B176" i="4"/>
  <c r="B164" i="4"/>
  <c r="B58" i="4"/>
  <c r="B97" i="4"/>
  <c r="B102" i="4"/>
  <c r="B92" i="4"/>
  <c r="B177" i="4"/>
  <c r="B120" i="4"/>
  <c r="B173" i="4"/>
  <c r="B75" i="4"/>
  <c r="B124" i="4"/>
  <c r="B68" i="4"/>
  <c r="B147" i="4"/>
  <c r="B149" i="4"/>
  <c r="B85" i="4"/>
  <c r="B131" i="4"/>
  <c r="B38" i="4"/>
  <c r="B84" i="4"/>
  <c r="B156" i="4"/>
  <c r="B29" i="4"/>
  <c r="B51" i="4"/>
  <c r="B111" i="4"/>
  <c r="B36" i="4"/>
  <c r="B87" i="4"/>
  <c r="B145" i="4"/>
  <c r="B44" i="4"/>
  <c r="B119" i="4"/>
  <c r="B142" i="4"/>
  <c r="B71" i="4"/>
  <c r="B59" i="4"/>
  <c r="B134" i="4"/>
  <c r="B72" i="4"/>
  <c r="B153" i="4"/>
  <c r="B180" i="4"/>
  <c r="B34" i="4"/>
  <c r="B93" i="4"/>
  <c r="B108" i="4"/>
  <c r="B64" i="4"/>
  <c r="B45" i="4"/>
  <c r="B60" i="4"/>
  <c r="B67" i="4"/>
  <c r="B52" i="4"/>
  <c r="B162" i="4"/>
  <c r="B158" i="4"/>
  <c r="B113" i="4"/>
  <c r="B107" i="4"/>
  <c r="B182" i="4"/>
  <c r="B137" i="4"/>
  <c r="B23" i="4"/>
  <c r="B63" i="4"/>
  <c r="B25" i="4"/>
  <c r="B53" i="4"/>
  <c r="B112" i="4"/>
  <c r="B172" i="4"/>
  <c r="B39" i="4"/>
  <c r="B115" i="4"/>
  <c r="B169" i="4"/>
  <c r="B130" i="4"/>
  <c r="B146" i="4"/>
  <c r="B128" i="4"/>
  <c r="B136" i="4"/>
  <c r="B78" i="4"/>
  <c r="B91" i="4"/>
  <c r="B181" i="4"/>
  <c r="B73" i="4"/>
  <c r="B43" i="4"/>
  <c r="B183" i="4"/>
  <c r="B185" i="4"/>
  <c r="B184" i="4"/>
  <c r="B186" i="4"/>
  <c r="B187" i="4"/>
  <c r="B188" i="4"/>
  <c r="B189" i="4"/>
  <c r="B193" i="4"/>
  <c r="B229" i="4"/>
  <c r="D229" i="4" s="1"/>
  <c r="G1484" i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B257" i="4"/>
  <c r="B199" i="4"/>
  <c r="B272" i="4"/>
  <c r="B262" i="4"/>
  <c r="B248" i="4"/>
  <c r="B223" i="4"/>
  <c r="B268" i="4"/>
  <c r="B207" i="4"/>
  <c r="B209" i="4"/>
  <c r="B299" i="4"/>
  <c r="B215" i="4"/>
  <c r="B224" i="4"/>
  <c r="B292" i="4"/>
  <c r="B264" i="4"/>
  <c r="B296" i="4"/>
  <c r="B245" i="4"/>
  <c r="B247" i="4"/>
  <c r="B270" i="4"/>
  <c r="B246" i="4"/>
  <c r="B222" i="4"/>
  <c r="B233" i="4"/>
  <c r="B212" i="4"/>
  <c r="B194" i="4"/>
  <c r="B258" i="4"/>
  <c r="B232" i="4"/>
  <c r="B216" i="4"/>
  <c r="B267" i="4"/>
  <c r="B275" i="4"/>
  <c r="B300" i="4"/>
  <c r="B260" i="4"/>
  <c r="B231" i="4"/>
  <c r="B226" i="4"/>
  <c r="B301" i="4"/>
  <c r="B279" i="4"/>
  <c r="B295" i="4"/>
  <c r="B291" i="4"/>
  <c r="B274" i="4"/>
  <c r="B202" i="4"/>
  <c r="B239" i="4"/>
  <c r="B218" i="4"/>
  <c r="B303" i="4"/>
  <c r="B261" i="4"/>
  <c r="B191" i="4"/>
  <c r="B273" i="4"/>
  <c r="B198" i="4"/>
  <c r="B251" i="4"/>
  <c r="B285" i="4"/>
  <c r="B206" i="4"/>
  <c r="B228" i="4"/>
  <c r="B287" i="4"/>
  <c r="B253" i="4"/>
  <c r="B290" i="4"/>
  <c r="B244" i="4"/>
  <c r="B249" i="4"/>
  <c r="B243" i="4"/>
  <c r="B283" i="4"/>
  <c r="B192" i="4"/>
  <c r="B282" i="4"/>
  <c r="B217" i="4"/>
  <c r="B271" i="4"/>
  <c r="B289" i="4"/>
  <c r="B241" i="4"/>
  <c r="B263" i="4"/>
  <c r="B200" i="4"/>
  <c r="B203" i="4"/>
  <c r="B259" i="4"/>
  <c r="B280" i="4"/>
  <c r="B197" i="4"/>
  <c r="B281" i="4"/>
  <c r="B211" i="4"/>
  <c r="B195" i="4"/>
  <c r="B278" i="4"/>
  <c r="B242" i="4"/>
  <c r="B221" i="4"/>
  <c r="B219" i="4"/>
  <c r="B238" i="4"/>
  <c r="B234" i="4"/>
  <c r="B304" i="4"/>
  <c r="B240" i="4"/>
  <c r="B237" i="4"/>
  <c r="B302" i="4"/>
  <c r="B294" i="4"/>
  <c r="B190" i="4"/>
  <c r="B284" i="4"/>
  <c r="B213" i="4"/>
  <c r="B236" i="4"/>
  <c r="B210" i="4"/>
  <c r="B205" i="4"/>
  <c r="B208" i="4"/>
  <c r="B286" i="4"/>
  <c r="B305" i="4"/>
  <c r="B196" i="4"/>
  <c r="B256" i="4"/>
  <c r="B297" i="4"/>
  <c r="B204" i="4"/>
  <c r="B288" i="4"/>
  <c r="B225" i="4"/>
  <c r="B306" i="4"/>
  <c r="B201" i="4"/>
  <c r="B255" i="4"/>
  <c r="B254" i="4"/>
  <c r="B220" i="4"/>
  <c r="B227" i="4"/>
  <c r="B277" i="4"/>
  <c r="B250" i="4"/>
  <c r="B230" i="4"/>
  <c r="B265" i="4"/>
  <c r="B214" i="4"/>
  <c r="B235" i="4"/>
  <c r="B269" i="4"/>
  <c r="B266" i="4"/>
  <c r="B298" i="4"/>
  <c r="B293" i="4"/>
  <c r="B276" i="4"/>
  <c r="B252" i="4"/>
  <c r="H174" i="4"/>
  <c r="M174" i="4"/>
  <c r="O174" i="4"/>
  <c r="L174" i="4"/>
  <c r="Q174" i="4"/>
  <c r="G174" i="4"/>
  <c r="P174" i="4"/>
  <c r="J174" i="4"/>
  <c r="K174" i="4"/>
  <c r="I174" i="4"/>
  <c r="N174" i="4"/>
  <c r="C174" i="4"/>
  <c r="G150" i="4"/>
  <c r="L150" i="4"/>
  <c r="Q150" i="4"/>
  <c r="K150" i="4"/>
  <c r="P150" i="4"/>
  <c r="J150" i="4"/>
  <c r="O150" i="4"/>
  <c r="I150" i="4"/>
  <c r="N150" i="4"/>
  <c r="H150" i="4"/>
  <c r="M150" i="4"/>
  <c r="C150" i="4"/>
  <c r="I138" i="4"/>
  <c r="N138" i="4"/>
  <c r="P138" i="4"/>
  <c r="Q138" i="4"/>
  <c r="K138" i="4"/>
  <c r="O138" i="4"/>
  <c r="H138" i="4"/>
  <c r="L138" i="4"/>
  <c r="G138" i="4"/>
  <c r="M138" i="4"/>
  <c r="J138" i="4"/>
  <c r="C138" i="4"/>
  <c r="I125" i="4"/>
  <c r="M125" i="4"/>
  <c r="J125" i="4"/>
  <c r="Q125" i="4"/>
  <c r="G125" i="4"/>
  <c r="P125" i="4"/>
  <c r="L125" i="4"/>
  <c r="H125" i="4"/>
  <c r="K125" i="4"/>
  <c r="N125" i="4"/>
  <c r="O125" i="4"/>
  <c r="C125" i="4"/>
  <c r="J165" i="4"/>
  <c r="O165" i="4"/>
  <c r="I165" i="4"/>
  <c r="N165" i="4"/>
  <c r="H165" i="4"/>
  <c r="M165" i="4"/>
  <c r="G165" i="4"/>
  <c r="L165" i="4"/>
  <c r="Q165" i="4"/>
  <c r="K165" i="4"/>
  <c r="P165" i="4"/>
  <c r="C165" i="4"/>
  <c r="L168" i="4"/>
  <c r="G168" i="4"/>
  <c r="I168" i="4"/>
  <c r="M168" i="4"/>
  <c r="K168" i="4"/>
  <c r="P168" i="4"/>
  <c r="J168" i="4"/>
  <c r="O168" i="4"/>
  <c r="Q168" i="4"/>
  <c r="N168" i="4"/>
  <c r="H168" i="4"/>
  <c r="C168" i="4"/>
  <c r="Q118" i="4"/>
  <c r="J118" i="4"/>
  <c r="O118" i="4"/>
  <c r="G118" i="4"/>
  <c r="M118" i="4"/>
  <c r="I118" i="4"/>
  <c r="K118" i="4"/>
  <c r="N118" i="4"/>
  <c r="L118" i="4"/>
  <c r="H118" i="4"/>
  <c r="P118" i="4"/>
  <c r="C118" i="4"/>
  <c r="I50" i="4"/>
  <c r="J50" i="4"/>
  <c r="N50" i="4"/>
  <c r="Q50" i="4"/>
  <c r="H50" i="4"/>
  <c r="M50" i="4"/>
  <c r="L50" i="4"/>
  <c r="O50" i="4"/>
  <c r="G50" i="4"/>
  <c r="P50" i="4"/>
  <c r="K50" i="4"/>
  <c r="C50" i="4"/>
  <c r="I35" i="4"/>
  <c r="G35" i="4"/>
  <c r="L35" i="4"/>
  <c r="Q35" i="4"/>
  <c r="O35" i="4"/>
  <c r="M35" i="4"/>
  <c r="P35" i="4"/>
  <c r="N35" i="4"/>
  <c r="K35" i="4"/>
  <c r="J35" i="4"/>
  <c r="H35" i="4"/>
  <c r="C35" i="4"/>
  <c r="N161" i="4"/>
  <c r="O161" i="4"/>
  <c r="I161" i="4"/>
  <c r="J161" i="4"/>
  <c r="H161" i="4"/>
  <c r="M161" i="4"/>
  <c r="G161" i="4"/>
  <c r="L161" i="4"/>
  <c r="Q161" i="4"/>
  <c r="K161" i="4"/>
  <c r="P161" i="4"/>
  <c r="C161" i="4"/>
  <c r="H77" i="4"/>
  <c r="M77" i="4"/>
  <c r="K77" i="4"/>
  <c r="I77" i="4"/>
  <c r="Q77" i="4"/>
  <c r="O77" i="4"/>
  <c r="G77" i="4"/>
  <c r="P77" i="4"/>
  <c r="L77" i="4"/>
  <c r="J77" i="4"/>
  <c r="N77" i="4"/>
  <c r="C77" i="4"/>
  <c r="Q57" i="4"/>
  <c r="M57" i="4"/>
  <c r="P57" i="4"/>
  <c r="G57" i="4"/>
  <c r="O57" i="4"/>
  <c r="I57" i="4"/>
  <c r="K57" i="4"/>
  <c r="L57" i="4"/>
  <c r="J57" i="4"/>
  <c r="N57" i="4"/>
  <c r="H57" i="4"/>
  <c r="C57" i="4"/>
  <c r="J56" i="4"/>
  <c r="H56" i="4"/>
  <c r="O56" i="4"/>
  <c r="Q56" i="4"/>
  <c r="G56" i="4"/>
  <c r="M56" i="4"/>
  <c r="I56" i="4"/>
  <c r="N56" i="4"/>
  <c r="L56" i="4"/>
  <c r="K56" i="4"/>
  <c r="P56" i="4"/>
  <c r="C56" i="4"/>
  <c r="N41" i="4"/>
  <c r="O41" i="4"/>
  <c r="H41" i="4"/>
  <c r="Q41" i="4"/>
  <c r="J41" i="4"/>
  <c r="G41" i="4"/>
  <c r="K41" i="4"/>
  <c r="I41" i="4"/>
  <c r="M41" i="4"/>
  <c r="L41" i="4"/>
  <c r="P41" i="4"/>
  <c r="C41" i="4"/>
  <c r="N144" i="4"/>
  <c r="H144" i="4"/>
  <c r="P144" i="4"/>
  <c r="Q144" i="4"/>
  <c r="G144" i="4"/>
  <c r="J144" i="4"/>
  <c r="O144" i="4"/>
  <c r="K144" i="4"/>
  <c r="I144" i="4"/>
  <c r="L144" i="4"/>
  <c r="M144" i="4"/>
  <c r="C144" i="4"/>
  <c r="Q135" i="4"/>
  <c r="M135" i="4"/>
  <c r="K135" i="4"/>
  <c r="I135" i="4"/>
  <c r="O135" i="4"/>
  <c r="L135" i="4"/>
  <c r="H135" i="4"/>
  <c r="N135" i="4"/>
  <c r="G135" i="4"/>
  <c r="P135" i="4"/>
  <c r="J135" i="4"/>
  <c r="C135" i="4"/>
  <c r="K27" i="4"/>
  <c r="M27" i="4"/>
  <c r="I27" i="4"/>
  <c r="O27" i="4"/>
  <c r="L27" i="4"/>
  <c r="P27" i="4"/>
  <c r="N27" i="4"/>
  <c r="J27" i="4"/>
  <c r="H27" i="4"/>
  <c r="Q27" i="4"/>
  <c r="G27" i="4"/>
  <c r="C27" i="4"/>
  <c r="L140" i="4"/>
  <c r="M140" i="4"/>
  <c r="I140" i="4"/>
  <c r="G140" i="4"/>
  <c r="N140" i="4"/>
  <c r="K140" i="4"/>
  <c r="P140" i="4"/>
  <c r="H140" i="4"/>
  <c r="Q140" i="4"/>
  <c r="J140" i="4"/>
  <c r="O140" i="4"/>
  <c r="C140" i="4"/>
  <c r="G101" i="4"/>
  <c r="J101" i="4"/>
  <c r="L101" i="4"/>
  <c r="O101" i="4"/>
  <c r="N101" i="4"/>
  <c r="P101" i="4"/>
  <c r="Q101" i="4"/>
  <c r="K101" i="4"/>
  <c r="I101" i="4"/>
  <c r="H101" i="4"/>
  <c r="M101" i="4"/>
  <c r="C101" i="4"/>
  <c r="O81" i="4"/>
  <c r="L81" i="4"/>
  <c r="M81" i="4"/>
  <c r="Q81" i="4"/>
  <c r="N81" i="4"/>
  <c r="H81" i="4"/>
  <c r="K81" i="4"/>
  <c r="I81" i="4"/>
  <c r="P81" i="4"/>
  <c r="J81" i="4"/>
  <c r="G81" i="4"/>
  <c r="C81" i="4"/>
  <c r="P159" i="4"/>
  <c r="J159" i="4"/>
  <c r="O159" i="4"/>
  <c r="I159" i="4"/>
  <c r="N159" i="4"/>
  <c r="H159" i="4"/>
  <c r="M159" i="4"/>
  <c r="G159" i="4"/>
  <c r="L159" i="4"/>
  <c r="Q159" i="4"/>
  <c r="K159" i="4"/>
  <c r="C159" i="4"/>
  <c r="I160" i="4"/>
  <c r="N160" i="4"/>
  <c r="H160" i="4"/>
  <c r="M160" i="4"/>
  <c r="G160" i="4"/>
  <c r="L160" i="4"/>
  <c r="Q160" i="4"/>
  <c r="K160" i="4"/>
  <c r="P160" i="4"/>
  <c r="J160" i="4"/>
  <c r="O160" i="4"/>
  <c r="C160" i="4"/>
  <c r="M152" i="4"/>
  <c r="K152" i="4"/>
  <c r="P152" i="4"/>
  <c r="J152" i="4"/>
  <c r="O152" i="4"/>
  <c r="Q152" i="4"/>
  <c r="N152" i="4"/>
  <c r="H152" i="4"/>
  <c r="I152" i="4"/>
  <c r="G152" i="4"/>
  <c r="L152" i="4"/>
  <c r="C152" i="4"/>
  <c r="G133" i="4"/>
  <c r="L133" i="4"/>
  <c r="N133" i="4"/>
  <c r="J133" i="4"/>
  <c r="O133" i="4"/>
  <c r="Q133" i="4"/>
  <c r="K133" i="4"/>
  <c r="I133" i="4"/>
  <c r="H133" i="4"/>
  <c r="P133" i="4"/>
  <c r="M133" i="4"/>
  <c r="C133" i="4"/>
  <c r="J164" i="4"/>
  <c r="O164" i="4"/>
  <c r="M164" i="4"/>
  <c r="N164" i="4"/>
  <c r="H164" i="4"/>
  <c r="Q164" i="4"/>
  <c r="G164" i="4"/>
  <c r="L164" i="4"/>
  <c r="I164" i="4"/>
  <c r="K164" i="4"/>
  <c r="P164" i="4"/>
  <c r="C164" i="4"/>
  <c r="G92" i="4"/>
  <c r="I92" i="4"/>
  <c r="P92" i="4"/>
  <c r="N92" i="4"/>
  <c r="L92" i="4"/>
  <c r="M92" i="4"/>
  <c r="H92" i="4"/>
  <c r="Q92" i="4"/>
  <c r="J92" i="4"/>
  <c r="K92" i="4"/>
  <c r="O92" i="4"/>
  <c r="C92" i="4"/>
  <c r="Q75" i="4"/>
  <c r="I75" i="4"/>
  <c r="J75" i="4"/>
  <c r="M75" i="4"/>
  <c r="K75" i="4"/>
  <c r="P75" i="4"/>
  <c r="N75" i="4"/>
  <c r="H75" i="4"/>
  <c r="G75" i="4"/>
  <c r="L75" i="4"/>
  <c r="O75" i="4"/>
  <c r="C75" i="4"/>
  <c r="G149" i="4"/>
  <c r="L149" i="4"/>
  <c r="Q149" i="4"/>
  <c r="K149" i="4"/>
  <c r="P149" i="4"/>
  <c r="J149" i="4"/>
  <c r="O149" i="4"/>
  <c r="I149" i="4"/>
  <c r="N149" i="4"/>
  <c r="H149" i="4"/>
  <c r="M149" i="4"/>
  <c r="C149" i="4"/>
  <c r="O84" i="4"/>
  <c r="K84" i="4"/>
  <c r="G84" i="4"/>
  <c r="Q84" i="4"/>
  <c r="P84" i="4"/>
  <c r="L84" i="4"/>
  <c r="H84" i="4"/>
  <c r="I84" i="4"/>
  <c r="M84" i="4"/>
  <c r="N84" i="4"/>
  <c r="J84" i="4"/>
  <c r="C84" i="4"/>
  <c r="N111" i="4"/>
  <c r="G111" i="4"/>
  <c r="J111" i="4"/>
  <c r="H111" i="4"/>
  <c r="K111" i="4"/>
  <c r="O111" i="4"/>
  <c r="M111" i="4"/>
  <c r="I111" i="4"/>
  <c r="P111" i="4"/>
  <c r="Q111" i="4"/>
  <c r="L111" i="4"/>
  <c r="C111" i="4"/>
  <c r="O44" i="4"/>
  <c r="H44" i="4"/>
  <c r="Q44" i="4"/>
  <c r="K44" i="4"/>
  <c r="N44" i="4"/>
  <c r="G44" i="4"/>
  <c r="M44" i="4"/>
  <c r="L44" i="4"/>
  <c r="I44" i="4"/>
  <c r="P44" i="4"/>
  <c r="J44" i="4"/>
  <c r="C44" i="4"/>
  <c r="M59" i="4"/>
  <c r="J59" i="4"/>
  <c r="G59" i="4"/>
  <c r="H59" i="4"/>
  <c r="I59" i="4"/>
  <c r="O59" i="4"/>
  <c r="L59" i="4"/>
  <c r="K59" i="4"/>
  <c r="Q59" i="4"/>
  <c r="N59" i="4"/>
  <c r="P59" i="4"/>
  <c r="C59" i="4"/>
  <c r="J180" i="4"/>
  <c r="N180" i="4"/>
  <c r="G180" i="4"/>
  <c r="P180" i="4"/>
  <c r="O180" i="4"/>
  <c r="H180" i="4"/>
  <c r="L180" i="4"/>
  <c r="I180" i="4"/>
  <c r="C180" i="4"/>
  <c r="K180" i="4"/>
  <c r="M180" i="4"/>
  <c r="Q180" i="4"/>
  <c r="P64" i="4"/>
  <c r="J64" i="4"/>
  <c r="L64" i="4"/>
  <c r="H64" i="4"/>
  <c r="Q64" i="4"/>
  <c r="M64" i="4"/>
  <c r="O64" i="4"/>
  <c r="K64" i="4"/>
  <c r="N64" i="4"/>
  <c r="I64" i="4"/>
  <c r="G64" i="4"/>
  <c r="C64" i="4"/>
  <c r="N52" i="4"/>
  <c r="H52" i="4"/>
  <c r="L52" i="4"/>
  <c r="G52" i="4"/>
  <c r="P52" i="4"/>
  <c r="I52" i="4"/>
  <c r="J52" i="4"/>
  <c r="M52" i="4"/>
  <c r="Q52" i="4"/>
  <c r="K52" i="4"/>
  <c r="O52" i="4"/>
  <c r="C52" i="4"/>
  <c r="Q107" i="4"/>
  <c r="I107" i="4"/>
  <c r="K107" i="4"/>
  <c r="M107" i="4"/>
  <c r="H107" i="4"/>
  <c r="J107" i="4"/>
  <c r="N107" i="4"/>
  <c r="P107" i="4"/>
  <c r="L107" i="4"/>
  <c r="G107" i="4"/>
  <c r="O107" i="4"/>
  <c r="C107" i="4"/>
  <c r="G63" i="4"/>
  <c r="I63" i="4"/>
  <c r="Q63" i="4"/>
  <c r="P63" i="4"/>
  <c r="O63" i="4"/>
  <c r="H63" i="4"/>
  <c r="L63" i="4"/>
  <c r="M63" i="4"/>
  <c r="N63" i="4"/>
  <c r="K63" i="4"/>
  <c r="J63" i="4"/>
  <c r="C63" i="4"/>
  <c r="J172" i="4"/>
  <c r="O172" i="4"/>
  <c r="I172" i="4"/>
  <c r="N172" i="4"/>
  <c r="H172" i="4"/>
  <c r="M172" i="4"/>
  <c r="G172" i="4"/>
  <c r="L172" i="4"/>
  <c r="Q172" i="4"/>
  <c r="K172" i="4"/>
  <c r="P172" i="4"/>
  <c r="C172" i="4"/>
  <c r="Q130" i="4"/>
  <c r="N130" i="4"/>
  <c r="H130" i="4"/>
  <c r="L130" i="4"/>
  <c r="J130" i="4"/>
  <c r="M130" i="4"/>
  <c r="K130" i="4"/>
  <c r="O130" i="4"/>
  <c r="G130" i="4"/>
  <c r="P130" i="4"/>
  <c r="I130" i="4"/>
  <c r="C130" i="4"/>
  <c r="H78" i="4"/>
  <c r="N78" i="4"/>
  <c r="M78" i="4"/>
  <c r="G78" i="4"/>
  <c r="Q78" i="4"/>
  <c r="O78" i="4"/>
  <c r="P78" i="4"/>
  <c r="K78" i="4"/>
  <c r="L78" i="4"/>
  <c r="J78" i="4"/>
  <c r="I78" i="4"/>
  <c r="C78" i="4"/>
  <c r="O43" i="4"/>
  <c r="M43" i="4"/>
  <c r="K43" i="4"/>
  <c r="G43" i="4"/>
  <c r="I43" i="4"/>
  <c r="J43" i="4"/>
  <c r="N43" i="4"/>
  <c r="H43" i="4"/>
  <c r="P43" i="4"/>
  <c r="Q43" i="4"/>
  <c r="L43" i="4"/>
  <c r="C43" i="4"/>
  <c r="L186" i="4"/>
  <c r="C186" i="4"/>
  <c r="Q186" i="4"/>
  <c r="G186" i="4"/>
  <c r="O186" i="4"/>
  <c r="K186" i="4"/>
  <c r="N186" i="4"/>
  <c r="H186" i="4"/>
  <c r="J186" i="4"/>
  <c r="P186" i="4"/>
  <c r="I186" i="4"/>
  <c r="M186" i="4"/>
  <c r="C193" i="4"/>
  <c r="J193" i="4"/>
  <c r="M193" i="4"/>
  <c r="N193" i="4"/>
  <c r="I193" i="4"/>
  <c r="Q193" i="4"/>
  <c r="G193" i="4"/>
  <c r="K193" i="4"/>
  <c r="O193" i="4"/>
  <c r="H193" i="4"/>
  <c r="L193" i="4"/>
  <c r="P193" i="4"/>
  <c r="K54" i="4"/>
  <c r="Q54" i="4"/>
  <c r="M54" i="4"/>
  <c r="P54" i="4"/>
  <c r="N54" i="4"/>
  <c r="L54" i="4"/>
  <c r="J54" i="4"/>
  <c r="H54" i="4"/>
  <c r="O54" i="4"/>
  <c r="I54" i="4"/>
  <c r="G54" i="4"/>
  <c r="C54" i="4"/>
  <c r="L117" i="4"/>
  <c r="P117" i="4"/>
  <c r="N117" i="4"/>
  <c r="J117" i="4"/>
  <c r="G117" i="4"/>
  <c r="Q117" i="4"/>
  <c r="O117" i="4"/>
  <c r="H117" i="4"/>
  <c r="K117" i="4"/>
  <c r="I117" i="4"/>
  <c r="M117" i="4"/>
  <c r="C117" i="4"/>
  <c r="O109" i="4"/>
  <c r="I109" i="4"/>
  <c r="J109" i="4"/>
  <c r="L109" i="4"/>
  <c r="K109" i="4"/>
  <c r="N109" i="4"/>
  <c r="M109" i="4"/>
  <c r="G109" i="4"/>
  <c r="H109" i="4"/>
  <c r="Q109" i="4"/>
  <c r="P109" i="4"/>
  <c r="C109" i="4"/>
  <c r="I24" i="4"/>
  <c r="J24" i="4"/>
  <c r="N24" i="4"/>
  <c r="L24" i="4"/>
  <c r="P24" i="4"/>
  <c r="H24" i="4"/>
  <c r="G24" i="4"/>
  <c r="K24" i="4"/>
  <c r="O24" i="4"/>
  <c r="Q24" i="4"/>
  <c r="M24" i="4"/>
  <c r="C24" i="4"/>
  <c r="Q104" i="4"/>
  <c r="O104" i="4"/>
  <c r="I104" i="4"/>
  <c r="K104" i="4"/>
  <c r="N104" i="4"/>
  <c r="M104" i="4"/>
  <c r="P104" i="4"/>
  <c r="J104" i="4"/>
  <c r="H104" i="4"/>
  <c r="G104" i="4"/>
  <c r="L104" i="4"/>
  <c r="C104" i="4"/>
  <c r="P155" i="4"/>
  <c r="M155" i="4"/>
  <c r="G155" i="4"/>
  <c r="H155" i="4"/>
  <c r="Q155" i="4"/>
  <c r="K155" i="4"/>
  <c r="L155" i="4"/>
  <c r="J155" i="4"/>
  <c r="O155" i="4"/>
  <c r="I155" i="4"/>
  <c r="N155" i="4"/>
  <c r="C155" i="4"/>
  <c r="P62" i="4"/>
  <c r="I62" i="4"/>
  <c r="G62" i="4"/>
  <c r="N62" i="4"/>
  <c r="L62" i="4"/>
  <c r="O62" i="4"/>
  <c r="H62" i="4"/>
  <c r="Q62" i="4"/>
  <c r="J62" i="4"/>
  <c r="K62" i="4"/>
  <c r="M62" i="4"/>
  <c r="C62" i="4"/>
  <c r="L175" i="4"/>
  <c r="Q175" i="4"/>
  <c r="K175" i="4"/>
  <c r="P175" i="4"/>
  <c r="J175" i="4"/>
  <c r="O175" i="4"/>
  <c r="I175" i="4"/>
  <c r="N175" i="4"/>
  <c r="H175" i="4"/>
  <c r="M175" i="4"/>
  <c r="G175" i="4"/>
  <c r="C175" i="4"/>
  <c r="G114" i="4"/>
  <c r="Q114" i="4"/>
  <c r="L114" i="4"/>
  <c r="H114" i="4"/>
  <c r="K114" i="4"/>
  <c r="I114" i="4"/>
  <c r="J114" i="4"/>
  <c r="M114" i="4"/>
  <c r="P114" i="4"/>
  <c r="N114" i="4"/>
  <c r="O114" i="4"/>
  <c r="C114" i="4"/>
  <c r="H37" i="4"/>
  <c r="G37" i="4"/>
  <c r="N37" i="4"/>
  <c r="M37" i="4"/>
  <c r="O37" i="4"/>
  <c r="L37" i="4"/>
  <c r="P37" i="4"/>
  <c r="J37" i="4"/>
  <c r="I37" i="4"/>
  <c r="Q37" i="4"/>
  <c r="K37" i="4"/>
  <c r="C37" i="4"/>
  <c r="I83" i="4"/>
  <c r="M83" i="4"/>
  <c r="Q83" i="4"/>
  <c r="G83" i="4"/>
  <c r="H83" i="4"/>
  <c r="K83" i="4"/>
  <c r="J83" i="4"/>
  <c r="N83" i="4"/>
  <c r="O83" i="4"/>
  <c r="P83" i="4"/>
  <c r="L83" i="4"/>
  <c r="C83" i="4"/>
  <c r="M69" i="4"/>
  <c r="Q69" i="4"/>
  <c r="J69" i="4"/>
  <c r="O69" i="4"/>
  <c r="K69" i="4"/>
  <c r="H69" i="4"/>
  <c r="G69" i="4"/>
  <c r="P69" i="4"/>
  <c r="I69" i="4"/>
  <c r="N69" i="4"/>
  <c r="L69" i="4"/>
  <c r="C69" i="4"/>
  <c r="N33" i="4"/>
  <c r="J33" i="4"/>
  <c r="K33" i="4"/>
  <c r="M33" i="4"/>
  <c r="G33" i="4"/>
  <c r="P33" i="4"/>
  <c r="O33" i="4"/>
  <c r="Q33" i="4"/>
  <c r="H33" i="4"/>
  <c r="L33" i="4"/>
  <c r="I33" i="4"/>
  <c r="C33" i="4"/>
  <c r="O110" i="4"/>
  <c r="P110" i="4"/>
  <c r="K110" i="4"/>
  <c r="M110" i="4"/>
  <c r="G110" i="4"/>
  <c r="L110" i="4"/>
  <c r="J110" i="4"/>
  <c r="I110" i="4"/>
  <c r="H110" i="4"/>
  <c r="Q110" i="4"/>
  <c r="N110" i="4"/>
  <c r="C110" i="4"/>
  <c r="I80" i="4"/>
  <c r="L80" i="4"/>
  <c r="J80" i="4"/>
  <c r="H80" i="4"/>
  <c r="N80" i="4"/>
  <c r="Q80" i="4"/>
  <c r="K80" i="4"/>
  <c r="O80" i="4"/>
  <c r="M80" i="4"/>
  <c r="G80" i="4"/>
  <c r="P80" i="4"/>
  <c r="C80" i="4"/>
  <c r="I179" i="4"/>
  <c r="N179" i="4"/>
  <c r="H179" i="4"/>
  <c r="M179" i="4"/>
  <c r="G179" i="4"/>
  <c r="L179" i="4"/>
  <c r="Q179" i="4"/>
  <c r="K179" i="4"/>
  <c r="P179" i="4"/>
  <c r="J179" i="4"/>
  <c r="O179" i="4"/>
  <c r="C179" i="4"/>
  <c r="N157" i="4"/>
  <c r="H157" i="4"/>
  <c r="M157" i="4"/>
  <c r="G157" i="4"/>
  <c r="L157" i="4"/>
  <c r="Q157" i="4"/>
  <c r="K157" i="4"/>
  <c r="P157" i="4"/>
  <c r="J157" i="4"/>
  <c r="O157" i="4"/>
  <c r="I157" i="4"/>
  <c r="C157" i="4"/>
  <c r="G79" i="4"/>
  <c r="I79" i="4"/>
  <c r="K79" i="4"/>
  <c r="Q79" i="4"/>
  <c r="O79" i="4"/>
  <c r="H79" i="4"/>
  <c r="J79" i="4"/>
  <c r="N79" i="4"/>
  <c r="P79" i="4"/>
  <c r="M79" i="4"/>
  <c r="L79" i="4"/>
  <c r="C79" i="4"/>
  <c r="P95" i="4"/>
  <c r="I95" i="4"/>
  <c r="K95" i="4"/>
  <c r="O95" i="4"/>
  <c r="N95" i="4"/>
  <c r="L95" i="4"/>
  <c r="G95" i="4"/>
  <c r="H95" i="4"/>
  <c r="M95" i="4"/>
  <c r="Q95" i="4"/>
  <c r="J95" i="4"/>
  <c r="C95" i="4"/>
  <c r="J31" i="4"/>
  <c r="N31" i="4"/>
  <c r="L31" i="4"/>
  <c r="P31" i="4"/>
  <c r="Q31" i="4"/>
  <c r="H31" i="4"/>
  <c r="O31" i="4"/>
  <c r="K31" i="4"/>
  <c r="I31" i="4"/>
  <c r="M31" i="4"/>
  <c r="G31" i="4"/>
  <c r="C31" i="4"/>
  <c r="O22" i="4"/>
  <c r="K22" i="4"/>
  <c r="N22" i="4"/>
  <c r="P22" i="4"/>
  <c r="J22" i="4"/>
  <c r="G22" i="4"/>
  <c r="I22" i="4"/>
  <c r="Q22" i="4"/>
  <c r="H22" i="4"/>
  <c r="L22" i="4"/>
  <c r="M22" i="4"/>
  <c r="C22" i="4"/>
  <c r="L47" i="4"/>
  <c r="I47" i="4"/>
  <c r="J47" i="4"/>
  <c r="G47" i="4"/>
  <c r="P47" i="4"/>
  <c r="H47" i="4"/>
  <c r="Q47" i="4"/>
  <c r="O47" i="4"/>
  <c r="N47" i="4"/>
  <c r="M47" i="4"/>
  <c r="K47" i="4"/>
  <c r="C47" i="4"/>
  <c r="K55" i="4"/>
  <c r="H55" i="4"/>
  <c r="I55" i="4"/>
  <c r="J55" i="4"/>
  <c r="G55" i="4"/>
  <c r="P55" i="4"/>
  <c r="L55" i="4"/>
  <c r="N55" i="4"/>
  <c r="M55" i="4"/>
  <c r="O55" i="4"/>
  <c r="Q55" i="4"/>
  <c r="C55" i="4"/>
  <c r="G70" i="4"/>
  <c r="P70" i="4"/>
  <c r="I70" i="4"/>
  <c r="L70" i="4"/>
  <c r="N70" i="4"/>
  <c r="H70" i="4"/>
  <c r="Q70" i="4"/>
  <c r="O70" i="4"/>
  <c r="M70" i="4"/>
  <c r="K70" i="4"/>
  <c r="J70" i="4"/>
  <c r="C70" i="4"/>
  <c r="H58" i="4"/>
  <c r="M58" i="4"/>
  <c r="I58" i="4"/>
  <c r="P58" i="4"/>
  <c r="L58" i="4"/>
  <c r="J58" i="4"/>
  <c r="N58" i="4"/>
  <c r="G58" i="4"/>
  <c r="O58" i="4"/>
  <c r="Q58" i="4"/>
  <c r="K58" i="4"/>
  <c r="C58" i="4"/>
  <c r="I177" i="4"/>
  <c r="O177" i="4"/>
  <c r="N177" i="4"/>
  <c r="J177" i="4"/>
  <c r="H177" i="4"/>
  <c r="M177" i="4"/>
  <c r="G177" i="4"/>
  <c r="L177" i="4"/>
  <c r="Q177" i="4"/>
  <c r="K177" i="4"/>
  <c r="P177" i="4"/>
  <c r="C177" i="4"/>
  <c r="I124" i="4"/>
  <c r="J124" i="4"/>
  <c r="M124" i="4"/>
  <c r="K124" i="4"/>
  <c r="G124" i="4"/>
  <c r="P124" i="4"/>
  <c r="N124" i="4"/>
  <c r="L124" i="4"/>
  <c r="O124" i="4"/>
  <c r="H124" i="4"/>
  <c r="Q124" i="4"/>
  <c r="C124" i="4"/>
  <c r="J85" i="4"/>
  <c r="Q85" i="4"/>
  <c r="H85" i="4"/>
  <c r="K85" i="4"/>
  <c r="L85" i="4"/>
  <c r="N85" i="4"/>
  <c r="M85" i="4"/>
  <c r="G85" i="4"/>
  <c r="P85" i="4"/>
  <c r="O85" i="4"/>
  <c r="I85" i="4"/>
  <c r="C85" i="4"/>
  <c r="Q156" i="4"/>
  <c r="K156" i="4"/>
  <c r="P156" i="4"/>
  <c r="J156" i="4"/>
  <c r="O156" i="4"/>
  <c r="I156" i="4"/>
  <c r="N156" i="4"/>
  <c r="H156" i="4"/>
  <c r="M156" i="4"/>
  <c r="G156" i="4"/>
  <c r="L156" i="4"/>
  <c r="C156" i="4"/>
  <c r="H36" i="4"/>
  <c r="K36" i="4"/>
  <c r="I36" i="4"/>
  <c r="N36" i="4"/>
  <c r="P36" i="4"/>
  <c r="O36" i="4"/>
  <c r="G36" i="4"/>
  <c r="L36" i="4"/>
  <c r="Q36" i="4"/>
  <c r="J36" i="4"/>
  <c r="M36" i="4"/>
  <c r="C36" i="4"/>
  <c r="N119" i="4"/>
  <c r="J119" i="4"/>
  <c r="Q119" i="4"/>
  <c r="P119" i="4"/>
  <c r="M119" i="4"/>
  <c r="I119" i="4"/>
  <c r="G119" i="4"/>
  <c r="K119" i="4"/>
  <c r="O119" i="4"/>
  <c r="H119" i="4"/>
  <c r="L119" i="4"/>
  <c r="C119" i="4"/>
  <c r="J134" i="4"/>
  <c r="H134" i="4"/>
  <c r="O134" i="4"/>
  <c r="M134" i="4"/>
  <c r="Q134" i="4"/>
  <c r="L134" i="4"/>
  <c r="G134" i="4"/>
  <c r="I134" i="4"/>
  <c r="P134" i="4"/>
  <c r="N134" i="4"/>
  <c r="K134" i="4"/>
  <c r="C134" i="4"/>
  <c r="N34" i="4"/>
  <c r="M34" i="4"/>
  <c r="G34" i="4"/>
  <c r="O34" i="4"/>
  <c r="L34" i="4"/>
  <c r="K34" i="4"/>
  <c r="J34" i="4"/>
  <c r="H34" i="4"/>
  <c r="I34" i="4"/>
  <c r="Q34" i="4"/>
  <c r="P34" i="4"/>
  <c r="C34" i="4"/>
  <c r="G45" i="4"/>
  <c r="N45" i="4"/>
  <c r="P45" i="4"/>
  <c r="L45" i="4"/>
  <c r="O45" i="4"/>
  <c r="J45" i="4"/>
  <c r="Q45" i="4"/>
  <c r="I45" i="4"/>
  <c r="H45" i="4"/>
  <c r="K45" i="4"/>
  <c r="M45" i="4"/>
  <c r="C45" i="4"/>
  <c r="H162" i="4"/>
  <c r="M162" i="4"/>
  <c r="G162" i="4"/>
  <c r="L162" i="4"/>
  <c r="Q162" i="4"/>
  <c r="K162" i="4"/>
  <c r="P162" i="4"/>
  <c r="J162" i="4"/>
  <c r="O162" i="4"/>
  <c r="I162" i="4"/>
  <c r="N162" i="4"/>
  <c r="C162" i="4"/>
  <c r="L182" i="4"/>
  <c r="J182" i="4"/>
  <c r="Q182" i="4"/>
  <c r="O182" i="4"/>
  <c r="H182" i="4"/>
  <c r="K182" i="4"/>
  <c r="I182" i="4"/>
  <c r="M182" i="4"/>
  <c r="G182" i="4"/>
  <c r="P182" i="4"/>
  <c r="N182" i="4"/>
  <c r="C182" i="4"/>
  <c r="O25" i="4"/>
  <c r="J25" i="4"/>
  <c r="M25" i="4"/>
  <c r="I25" i="4"/>
  <c r="K25" i="4"/>
  <c r="H25" i="4"/>
  <c r="P25" i="4"/>
  <c r="Q25" i="4"/>
  <c r="G25" i="4"/>
  <c r="L25" i="4"/>
  <c r="N25" i="4"/>
  <c r="C25" i="4"/>
  <c r="I39" i="4"/>
  <c r="N39" i="4"/>
  <c r="L39" i="4"/>
  <c r="P39" i="4"/>
  <c r="M39" i="4"/>
  <c r="K39" i="4"/>
  <c r="J39" i="4"/>
  <c r="Q39" i="4"/>
  <c r="G39" i="4"/>
  <c r="H39" i="4"/>
  <c r="O39" i="4"/>
  <c r="C39" i="4"/>
  <c r="M146" i="4"/>
  <c r="Q146" i="4"/>
  <c r="O146" i="4"/>
  <c r="K146" i="4"/>
  <c r="I146" i="4"/>
  <c r="H146" i="4"/>
  <c r="G146" i="4"/>
  <c r="P146" i="4"/>
  <c r="N146" i="4"/>
  <c r="L146" i="4"/>
  <c r="J146" i="4"/>
  <c r="C146" i="4"/>
  <c r="O91" i="4"/>
  <c r="N91" i="4"/>
  <c r="H91" i="4"/>
  <c r="Q91" i="4"/>
  <c r="P91" i="4"/>
  <c r="J91" i="4"/>
  <c r="M91" i="4"/>
  <c r="K91" i="4"/>
  <c r="G91" i="4"/>
  <c r="L91" i="4"/>
  <c r="I91" i="4"/>
  <c r="C91" i="4"/>
  <c r="K183" i="4"/>
  <c r="I183" i="4"/>
  <c r="M183" i="4"/>
  <c r="C183" i="4"/>
  <c r="O183" i="4"/>
  <c r="H183" i="4"/>
  <c r="N183" i="4"/>
  <c r="G183" i="4"/>
  <c r="P183" i="4"/>
  <c r="J183" i="4"/>
  <c r="Q183" i="4"/>
  <c r="L183" i="4"/>
  <c r="I187" i="4"/>
  <c r="P187" i="4"/>
  <c r="K187" i="4"/>
  <c r="N187" i="4"/>
  <c r="H187" i="4"/>
  <c r="Q187" i="4"/>
  <c r="J187" i="4"/>
  <c r="M187" i="4"/>
  <c r="C187" i="4"/>
  <c r="O187" i="4"/>
  <c r="L187" i="4"/>
  <c r="G187" i="4"/>
  <c r="G106" i="4"/>
  <c r="O106" i="4"/>
  <c r="N106" i="4"/>
  <c r="K106" i="4"/>
  <c r="P106" i="4"/>
  <c r="I106" i="4"/>
  <c r="J106" i="4"/>
  <c r="H106" i="4"/>
  <c r="L106" i="4"/>
  <c r="M106" i="4"/>
  <c r="Q106" i="4"/>
  <c r="C106" i="4"/>
  <c r="P99" i="4"/>
  <c r="Q99" i="4"/>
  <c r="I99" i="4"/>
  <c r="J99" i="4"/>
  <c r="O99" i="4"/>
  <c r="M99" i="4"/>
  <c r="H99" i="4"/>
  <c r="N99" i="4"/>
  <c r="G99" i="4"/>
  <c r="L99" i="4"/>
  <c r="K99" i="4"/>
  <c r="C99" i="4"/>
  <c r="M66" i="4"/>
  <c r="K66" i="4"/>
  <c r="I66" i="4"/>
  <c r="G66" i="4"/>
  <c r="P66" i="4"/>
  <c r="O66" i="4"/>
  <c r="L66" i="4"/>
  <c r="J66" i="4"/>
  <c r="N66" i="4"/>
  <c r="H66" i="4"/>
  <c r="Q66" i="4"/>
  <c r="C66" i="4"/>
  <c r="K42" i="4"/>
  <c r="J42" i="4"/>
  <c r="L42" i="4"/>
  <c r="Q42" i="4"/>
  <c r="G42" i="4"/>
  <c r="P42" i="4"/>
  <c r="I42" i="4"/>
  <c r="H42" i="4"/>
  <c r="O42" i="4"/>
  <c r="N42" i="4"/>
  <c r="M42" i="4"/>
  <c r="C42" i="4"/>
  <c r="O96" i="4"/>
  <c r="M96" i="4"/>
  <c r="N96" i="4"/>
  <c r="Q96" i="4"/>
  <c r="J96" i="4"/>
  <c r="K96" i="4"/>
  <c r="H96" i="4"/>
  <c r="G96" i="4"/>
  <c r="I96" i="4"/>
  <c r="P96" i="4"/>
  <c r="L96" i="4"/>
  <c r="C96" i="4"/>
  <c r="P74" i="4"/>
  <c r="J74" i="4"/>
  <c r="G74" i="4"/>
  <c r="H74" i="4"/>
  <c r="K74" i="4"/>
  <c r="I74" i="4"/>
  <c r="L74" i="4"/>
  <c r="M74" i="4"/>
  <c r="Q74" i="4"/>
  <c r="O74" i="4"/>
  <c r="N74" i="4"/>
  <c r="C74" i="4"/>
  <c r="H98" i="4"/>
  <c r="P98" i="4"/>
  <c r="L98" i="4"/>
  <c r="Q98" i="4"/>
  <c r="I98" i="4"/>
  <c r="G98" i="4"/>
  <c r="O98" i="4"/>
  <c r="J98" i="4"/>
  <c r="K98" i="4"/>
  <c r="N98" i="4"/>
  <c r="M98" i="4"/>
  <c r="C98" i="4"/>
  <c r="J89" i="4"/>
  <c r="M89" i="4"/>
  <c r="O89" i="4"/>
  <c r="H89" i="4"/>
  <c r="Q89" i="4"/>
  <c r="I89" i="4"/>
  <c r="G89" i="4"/>
  <c r="K89" i="4"/>
  <c r="N89" i="4"/>
  <c r="L89" i="4"/>
  <c r="P89" i="4"/>
  <c r="C89" i="4"/>
  <c r="K28" i="4"/>
  <c r="H28" i="4"/>
  <c r="L28" i="4"/>
  <c r="Q28" i="4"/>
  <c r="J28" i="4"/>
  <c r="G28" i="4"/>
  <c r="P28" i="4"/>
  <c r="I28" i="4"/>
  <c r="O28" i="4"/>
  <c r="M28" i="4"/>
  <c r="N28" i="4"/>
  <c r="C28" i="4"/>
  <c r="O122" i="4"/>
  <c r="P122" i="4"/>
  <c r="N122" i="4"/>
  <c r="Q122" i="4"/>
  <c r="K122" i="4"/>
  <c r="J122" i="4"/>
  <c r="I122" i="4"/>
  <c r="L122" i="4"/>
  <c r="G122" i="4"/>
  <c r="M122" i="4"/>
  <c r="H122" i="4"/>
  <c r="C122" i="4"/>
  <c r="L82" i="4"/>
  <c r="I82" i="4"/>
  <c r="J82" i="4"/>
  <c r="Q82" i="4"/>
  <c r="P82" i="4"/>
  <c r="M82" i="4"/>
  <c r="O82" i="4"/>
  <c r="N82" i="4"/>
  <c r="K82" i="4"/>
  <c r="H82" i="4"/>
  <c r="G82" i="4"/>
  <c r="C82" i="4"/>
  <c r="O178" i="4"/>
  <c r="I178" i="4"/>
  <c r="N178" i="4"/>
  <c r="H178" i="4"/>
  <c r="M178" i="4"/>
  <c r="G178" i="4"/>
  <c r="L178" i="4"/>
  <c r="Q178" i="4"/>
  <c r="K178" i="4"/>
  <c r="P178" i="4"/>
  <c r="J178" i="4"/>
  <c r="C178" i="4"/>
  <c r="I163" i="4"/>
  <c r="N163" i="4"/>
  <c r="H163" i="4"/>
  <c r="M163" i="4"/>
  <c r="G163" i="4"/>
  <c r="L163" i="4"/>
  <c r="Q163" i="4"/>
  <c r="K163" i="4"/>
  <c r="P163" i="4"/>
  <c r="J163" i="4"/>
  <c r="O163" i="4"/>
  <c r="C163" i="4"/>
  <c r="L88" i="4"/>
  <c r="Q88" i="4"/>
  <c r="N88" i="4"/>
  <c r="O88" i="4"/>
  <c r="I88" i="4"/>
  <c r="M88" i="4"/>
  <c r="H88" i="4"/>
  <c r="J88" i="4"/>
  <c r="G88" i="4"/>
  <c r="K88" i="4"/>
  <c r="P88" i="4"/>
  <c r="C88" i="4"/>
  <c r="J32" i="4"/>
  <c r="P32" i="4"/>
  <c r="M32" i="4"/>
  <c r="N32" i="4"/>
  <c r="L32" i="4"/>
  <c r="Q32" i="4"/>
  <c r="I32" i="4"/>
  <c r="O32" i="4"/>
  <c r="H32" i="4"/>
  <c r="G32" i="4"/>
  <c r="K32" i="4"/>
  <c r="C32" i="4"/>
  <c r="J126" i="4"/>
  <c r="I126" i="4"/>
  <c r="G126" i="4"/>
  <c r="N126" i="4"/>
  <c r="K126" i="4"/>
  <c r="M126" i="4"/>
  <c r="P126" i="4"/>
  <c r="H126" i="4"/>
  <c r="Q126" i="4"/>
  <c r="O126" i="4"/>
  <c r="L126" i="4"/>
  <c r="C126" i="4"/>
  <c r="P141" i="4"/>
  <c r="N141" i="4"/>
  <c r="K141" i="4"/>
  <c r="Q141" i="4"/>
  <c r="O141" i="4"/>
  <c r="H141" i="4"/>
  <c r="G141" i="4"/>
  <c r="L141" i="4"/>
  <c r="J141" i="4"/>
  <c r="I141" i="4"/>
  <c r="M141" i="4"/>
  <c r="C141" i="4"/>
  <c r="I86" i="4"/>
  <c r="O86" i="4"/>
  <c r="N86" i="4"/>
  <c r="M86" i="4"/>
  <c r="P86" i="4"/>
  <c r="L86" i="4"/>
  <c r="J86" i="4"/>
  <c r="H86" i="4"/>
  <c r="Q86" i="4"/>
  <c r="K86" i="4"/>
  <c r="G86" i="4"/>
  <c r="C86" i="4"/>
  <c r="L90" i="4"/>
  <c r="Q90" i="4"/>
  <c r="G90" i="4"/>
  <c r="J90" i="4"/>
  <c r="O90" i="4"/>
  <c r="I90" i="4"/>
  <c r="H90" i="4"/>
  <c r="K90" i="4"/>
  <c r="P90" i="4"/>
  <c r="N90" i="4"/>
  <c r="M90" i="4"/>
  <c r="C90" i="4"/>
  <c r="P46" i="4"/>
  <c r="O46" i="4"/>
  <c r="J46" i="4"/>
  <c r="H46" i="4"/>
  <c r="N46" i="4"/>
  <c r="K46" i="4"/>
  <c r="M46" i="4"/>
  <c r="L46" i="4"/>
  <c r="G46" i="4"/>
  <c r="I46" i="4"/>
  <c r="Q46" i="4"/>
  <c r="C46" i="4"/>
  <c r="I127" i="4"/>
  <c r="N127" i="4"/>
  <c r="L127" i="4"/>
  <c r="J127" i="4"/>
  <c r="H127" i="4"/>
  <c r="G127" i="4"/>
  <c r="Q127" i="4"/>
  <c r="M127" i="4"/>
  <c r="P127" i="4"/>
  <c r="K127" i="4"/>
  <c r="O127" i="4"/>
  <c r="C127" i="4"/>
  <c r="I132" i="4"/>
  <c r="O132" i="4"/>
  <c r="H132" i="4"/>
  <c r="M132" i="4"/>
  <c r="K132" i="4"/>
  <c r="G132" i="4"/>
  <c r="P132" i="4"/>
  <c r="N132" i="4"/>
  <c r="Q132" i="4"/>
  <c r="L132" i="4"/>
  <c r="J132" i="4"/>
  <c r="C132" i="4"/>
  <c r="J148" i="4"/>
  <c r="O148" i="4"/>
  <c r="M148" i="4"/>
  <c r="N148" i="4"/>
  <c r="H148" i="4"/>
  <c r="Q148" i="4"/>
  <c r="G148" i="4"/>
  <c r="L148" i="4"/>
  <c r="I148" i="4"/>
  <c r="K148" i="4"/>
  <c r="P148" i="4"/>
  <c r="C148" i="4"/>
  <c r="P40" i="4"/>
  <c r="J40" i="4"/>
  <c r="K40" i="4"/>
  <c r="G40" i="4"/>
  <c r="M40" i="4"/>
  <c r="O40" i="4"/>
  <c r="Q40" i="4"/>
  <c r="H40" i="4"/>
  <c r="L40" i="4"/>
  <c r="I40" i="4"/>
  <c r="N40" i="4"/>
  <c r="C40" i="4"/>
  <c r="J97" i="4"/>
  <c r="L97" i="4"/>
  <c r="Q97" i="4"/>
  <c r="H97" i="4"/>
  <c r="K97" i="4"/>
  <c r="N97" i="4"/>
  <c r="M97" i="4"/>
  <c r="G97" i="4"/>
  <c r="P97" i="4"/>
  <c r="O97" i="4"/>
  <c r="I97" i="4"/>
  <c r="C97" i="4"/>
  <c r="K120" i="4"/>
  <c r="L120" i="4"/>
  <c r="J120" i="4"/>
  <c r="H120" i="4"/>
  <c r="I120" i="4"/>
  <c r="Q120" i="4"/>
  <c r="P120" i="4"/>
  <c r="O120" i="4"/>
  <c r="M120" i="4"/>
  <c r="N120" i="4"/>
  <c r="G120" i="4"/>
  <c r="C120" i="4"/>
  <c r="I68" i="4"/>
  <c r="M68" i="4"/>
  <c r="O68" i="4"/>
  <c r="N68" i="4"/>
  <c r="L68" i="4"/>
  <c r="K68" i="4"/>
  <c r="J68" i="4"/>
  <c r="Q68" i="4"/>
  <c r="G68" i="4"/>
  <c r="H68" i="4"/>
  <c r="P68" i="4"/>
  <c r="C68" i="4"/>
  <c r="L131" i="4"/>
  <c r="I131" i="4"/>
  <c r="Q131" i="4"/>
  <c r="J131" i="4"/>
  <c r="H131" i="4"/>
  <c r="G131" i="4"/>
  <c r="N131" i="4"/>
  <c r="M131" i="4"/>
  <c r="K131" i="4"/>
  <c r="P131" i="4"/>
  <c r="O131" i="4"/>
  <c r="C131" i="4"/>
  <c r="Q29" i="4"/>
  <c r="P29" i="4"/>
  <c r="O29" i="4"/>
  <c r="J29" i="4"/>
  <c r="K29" i="4"/>
  <c r="M29" i="4"/>
  <c r="N29" i="4"/>
  <c r="L29" i="4"/>
  <c r="I29" i="4"/>
  <c r="G29" i="4"/>
  <c r="H29" i="4"/>
  <c r="C29" i="4"/>
  <c r="O87" i="4"/>
  <c r="N87" i="4"/>
  <c r="P87" i="4"/>
  <c r="L87" i="4"/>
  <c r="M87" i="4"/>
  <c r="H87" i="4"/>
  <c r="Q87" i="4"/>
  <c r="K87" i="4"/>
  <c r="G87" i="4"/>
  <c r="J87" i="4"/>
  <c r="I87" i="4"/>
  <c r="C87" i="4"/>
  <c r="Q142" i="4"/>
  <c r="L142" i="4"/>
  <c r="K142" i="4"/>
  <c r="G142" i="4"/>
  <c r="J142" i="4"/>
  <c r="H142" i="4"/>
  <c r="I142" i="4"/>
  <c r="M142" i="4"/>
  <c r="N142" i="4"/>
  <c r="P142" i="4"/>
  <c r="O142" i="4"/>
  <c r="C142" i="4"/>
  <c r="L72" i="4"/>
  <c r="M72" i="4"/>
  <c r="O72" i="4"/>
  <c r="J72" i="4"/>
  <c r="H72" i="4"/>
  <c r="K72" i="4"/>
  <c r="Q72" i="4"/>
  <c r="I72" i="4"/>
  <c r="P72" i="4"/>
  <c r="N72" i="4"/>
  <c r="G72" i="4"/>
  <c r="C72" i="4"/>
  <c r="P93" i="4"/>
  <c r="L93" i="4"/>
  <c r="N93" i="4"/>
  <c r="Q93" i="4"/>
  <c r="O93" i="4"/>
  <c r="J93" i="4"/>
  <c r="K93" i="4"/>
  <c r="I93" i="4"/>
  <c r="H93" i="4"/>
  <c r="G93" i="4"/>
  <c r="M93" i="4"/>
  <c r="C93" i="4"/>
  <c r="M60" i="4"/>
  <c r="I60" i="4"/>
  <c r="K60" i="4"/>
  <c r="P60" i="4"/>
  <c r="L60" i="4"/>
  <c r="N60" i="4"/>
  <c r="G60" i="4"/>
  <c r="H60" i="4"/>
  <c r="Q60" i="4"/>
  <c r="J60" i="4"/>
  <c r="O60" i="4"/>
  <c r="C60" i="4"/>
  <c r="H158" i="4"/>
  <c r="M158" i="4"/>
  <c r="O158" i="4"/>
  <c r="L158" i="4"/>
  <c r="Q158" i="4"/>
  <c r="G158" i="4"/>
  <c r="P158" i="4"/>
  <c r="J158" i="4"/>
  <c r="K158" i="4"/>
  <c r="I158" i="4"/>
  <c r="N158" i="4"/>
  <c r="C158" i="4"/>
  <c r="K137" i="4"/>
  <c r="O137" i="4"/>
  <c r="M137" i="4"/>
  <c r="I137" i="4"/>
  <c r="Q137" i="4"/>
  <c r="P137" i="4"/>
  <c r="N137" i="4"/>
  <c r="G137" i="4"/>
  <c r="J137" i="4"/>
  <c r="H137" i="4"/>
  <c r="L137" i="4"/>
  <c r="C137" i="4"/>
  <c r="G53" i="4"/>
  <c r="P53" i="4"/>
  <c r="O53" i="4"/>
  <c r="L53" i="4"/>
  <c r="N53" i="4"/>
  <c r="J53" i="4"/>
  <c r="H53" i="4"/>
  <c r="Q53" i="4"/>
  <c r="I53" i="4"/>
  <c r="M53" i="4"/>
  <c r="K53" i="4"/>
  <c r="C53" i="4"/>
  <c r="N115" i="4"/>
  <c r="H115" i="4"/>
  <c r="M115" i="4"/>
  <c r="Q115" i="4"/>
  <c r="O115" i="4"/>
  <c r="L115" i="4"/>
  <c r="K115" i="4"/>
  <c r="G115" i="4"/>
  <c r="I115" i="4"/>
  <c r="J115" i="4"/>
  <c r="P115" i="4"/>
  <c r="C115" i="4"/>
  <c r="Q128" i="4"/>
  <c r="G128" i="4"/>
  <c r="N128" i="4"/>
  <c r="M128" i="4"/>
  <c r="K128" i="4"/>
  <c r="H128" i="4"/>
  <c r="I128" i="4"/>
  <c r="J128" i="4"/>
  <c r="P128" i="4"/>
  <c r="L128" i="4"/>
  <c r="O128" i="4"/>
  <c r="C128" i="4"/>
  <c r="I181" i="4"/>
  <c r="M181" i="4"/>
  <c r="Q181" i="4"/>
  <c r="K181" i="4"/>
  <c r="O181" i="4"/>
  <c r="N181" i="4"/>
  <c r="G181" i="4"/>
  <c r="P181" i="4"/>
  <c r="J181" i="4"/>
  <c r="H181" i="4"/>
  <c r="L181" i="4"/>
  <c r="C181" i="4"/>
  <c r="N185" i="4"/>
  <c r="J185" i="4"/>
  <c r="Q185" i="4"/>
  <c r="O185" i="4"/>
  <c r="H185" i="4"/>
  <c r="L185" i="4"/>
  <c r="P185" i="4"/>
  <c r="C185" i="4"/>
  <c r="K185" i="4"/>
  <c r="G185" i="4"/>
  <c r="M185" i="4"/>
  <c r="I185" i="4"/>
  <c r="J188" i="4"/>
  <c r="M188" i="4"/>
  <c r="H188" i="4"/>
  <c r="P188" i="4"/>
  <c r="O188" i="4"/>
  <c r="N188" i="4"/>
  <c r="G188" i="4"/>
  <c r="K188" i="4"/>
  <c r="L188" i="4"/>
  <c r="C188" i="4"/>
  <c r="I188" i="4"/>
  <c r="Q188" i="4"/>
  <c r="L116" i="4"/>
  <c r="N116" i="4"/>
  <c r="K116" i="4"/>
  <c r="O116" i="4"/>
  <c r="H116" i="4"/>
  <c r="I116" i="4"/>
  <c r="P116" i="4"/>
  <c r="G116" i="4"/>
  <c r="J116" i="4"/>
  <c r="M116" i="4"/>
  <c r="Q116" i="4"/>
  <c r="C116" i="4"/>
  <c r="G154" i="4"/>
  <c r="I154" i="4"/>
  <c r="N154" i="4"/>
  <c r="H154" i="4"/>
  <c r="M154" i="4"/>
  <c r="K154" i="4"/>
  <c r="L154" i="4"/>
  <c r="Q154" i="4"/>
  <c r="O154" i="4"/>
  <c r="P154" i="4"/>
  <c r="J154" i="4"/>
  <c r="C154" i="4"/>
  <c r="Q105" i="4"/>
  <c r="O105" i="4"/>
  <c r="M105" i="4"/>
  <c r="K105" i="4"/>
  <c r="I105" i="4"/>
  <c r="H105" i="4"/>
  <c r="G105" i="4"/>
  <c r="P105" i="4"/>
  <c r="L105" i="4"/>
  <c r="J105" i="4"/>
  <c r="N105" i="4"/>
  <c r="C105" i="4"/>
  <c r="J123" i="4"/>
  <c r="Q123" i="4"/>
  <c r="M123" i="4"/>
  <c r="K123" i="4"/>
  <c r="I123" i="4"/>
  <c r="H123" i="4"/>
  <c r="O123" i="4"/>
  <c r="L123" i="4"/>
  <c r="N123" i="4"/>
  <c r="P123" i="4"/>
  <c r="G123" i="4"/>
  <c r="C123" i="4"/>
  <c r="L26" i="4"/>
  <c r="I26" i="4"/>
  <c r="G26" i="4"/>
  <c r="K26" i="4"/>
  <c r="P26" i="4"/>
  <c r="H26" i="4"/>
  <c r="Q26" i="4"/>
  <c r="J26" i="4"/>
  <c r="M26" i="4"/>
  <c r="O26" i="4"/>
  <c r="N26" i="4"/>
  <c r="C26" i="4"/>
  <c r="L129" i="4"/>
  <c r="M129" i="4"/>
  <c r="I129" i="4"/>
  <c r="K129" i="4"/>
  <c r="Q129" i="4"/>
  <c r="J129" i="4"/>
  <c r="G129" i="4"/>
  <c r="P129" i="4"/>
  <c r="H129" i="4"/>
  <c r="N129" i="4"/>
  <c r="O129" i="4"/>
  <c r="C129" i="4"/>
  <c r="O170" i="4"/>
  <c r="P170" i="4"/>
  <c r="J170" i="4"/>
  <c r="G170" i="4"/>
  <c r="I170" i="4"/>
  <c r="N170" i="4"/>
  <c r="H170" i="4"/>
  <c r="M170" i="4"/>
  <c r="K170" i="4"/>
  <c r="L170" i="4"/>
  <c r="Q170" i="4"/>
  <c r="C170" i="4"/>
  <c r="M65" i="4"/>
  <c r="O65" i="4"/>
  <c r="G65" i="4"/>
  <c r="K65" i="4"/>
  <c r="I65" i="4"/>
  <c r="H65" i="4"/>
  <c r="L65" i="4"/>
  <c r="P65" i="4"/>
  <c r="Q65" i="4"/>
  <c r="N65" i="4"/>
  <c r="J65" i="4"/>
  <c r="C65" i="4"/>
  <c r="G166" i="4"/>
  <c r="L166" i="4"/>
  <c r="Q166" i="4"/>
  <c r="K166" i="4"/>
  <c r="P166" i="4"/>
  <c r="J166" i="4"/>
  <c r="O166" i="4"/>
  <c r="I166" i="4"/>
  <c r="N166" i="4"/>
  <c r="H166" i="4"/>
  <c r="M166" i="4"/>
  <c r="C166" i="4"/>
  <c r="L49" i="4"/>
  <c r="M49" i="4"/>
  <c r="G49" i="4"/>
  <c r="K49" i="4"/>
  <c r="H49" i="4"/>
  <c r="I49" i="4"/>
  <c r="Q49" i="4"/>
  <c r="P49" i="4"/>
  <c r="J49" i="4"/>
  <c r="N49" i="4"/>
  <c r="O49" i="4"/>
  <c r="C49" i="4"/>
  <c r="P94" i="4"/>
  <c r="I94" i="4"/>
  <c r="G94" i="4"/>
  <c r="M94" i="4"/>
  <c r="L94" i="4"/>
  <c r="K94" i="4"/>
  <c r="N94" i="4"/>
  <c r="J94" i="4"/>
  <c r="Q94" i="4"/>
  <c r="H94" i="4"/>
  <c r="O94" i="4"/>
  <c r="C94" i="4"/>
  <c r="H103" i="4"/>
  <c r="Q103" i="4"/>
  <c r="J103" i="4"/>
  <c r="L103" i="4"/>
  <c r="K103" i="4"/>
  <c r="N103" i="4"/>
  <c r="O103" i="4"/>
  <c r="M103" i="4"/>
  <c r="I103" i="4"/>
  <c r="G103" i="4"/>
  <c r="P103" i="4"/>
  <c r="C103" i="4"/>
  <c r="L30" i="4"/>
  <c r="Q30" i="4"/>
  <c r="N30" i="4"/>
  <c r="O30" i="4"/>
  <c r="H30" i="4"/>
  <c r="K30" i="4"/>
  <c r="P30" i="4"/>
  <c r="G30" i="4"/>
  <c r="I30" i="4"/>
  <c r="J30" i="4"/>
  <c r="M30" i="4"/>
  <c r="C30" i="4"/>
  <c r="P48" i="4"/>
  <c r="I48" i="4"/>
  <c r="J48" i="4"/>
  <c r="G48" i="4"/>
  <c r="L48" i="4"/>
  <c r="K48" i="4"/>
  <c r="N48" i="4"/>
  <c r="M48" i="4"/>
  <c r="Q48" i="4"/>
  <c r="O48" i="4"/>
  <c r="H48" i="4"/>
  <c r="C48" i="4"/>
  <c r="P76" i="4"/>
  <c r="Q76" i="4"/>
  <c r="J76" i="4"/>
  <c r="M76" i="4"/>
  <c r="I76" i="4"/>
  <c r="L76" i="4"/>
  <c r="O76" i="4"/>
  <c r="N76" i="4"/>
  <c r="G76" i="4"/>
  <c r="K76" i="4"/>
  <c r="H76" i="4"/>
  <c r="C76" i="4"/>
  <c r="J61" i="4"/>
  <c r="Q61" i="4"/>
  <c r="N61" i="4"/>
  <c r="O61" i="4"/>
  <c r="I61" i="4"/>
  <c r="G61" i="4"/>
  <c r="K61" i="4"/>
  <c r="M61" i="4"/>
  <c r="H61" i="4"/>
  <c r="L61" i="4"/>
  <c r="P61" i="4"/>
  <c r="C61" i="4"/>
  <c r="K121" i="4"/>
  <c r="L121" i="4"/>
  <c r="M121" i="4"/>
  <c r="O121" i="4"/>
  <c r="Q121" i="4"/>
  <c r="I121" i="4"/>
  <c r="P121" i="4"/>
  <c r="H121" i="4"/>
  <c r="G121" i="4"/>
  <c r="J121" i="4"/>
  <c r="N121" i="4"/>
  <c r="C121" i="4"/>
  <c r="P167" i="4"/>
  <c r="Q167" i="4"/>
  <c r="K167" i="4"/>
  <c r="H167" i="4"/>
  <c r="J167" i="4"/>
  <c r="O167" i="4"/>
  <c r="I167" i="4"/>
  <c r="N167" i="4"/>
  <c r="L167" i="4"/>
  <c r="M167" i="4"/>
  <c r="G167" i="4"/>
  <c r="C167" i="4"/>
  <c r="M139" i="4"/>
  <c r="H139" i="4"/>
  <c r="L139" i="4"/>
  <c r="P139" i="4"/>
  <c r="G139" i="4"/>
  <c r="N139" i="4"/>
  <c r="K139" i="4"/>
  <c r="J139" i="4"/>
  <c r="I139" i="4"/>
  <c r="Q139" i="4"/>
  <c r="O139" i="4"/>
  <c r="C139" i="4"/>
  <c r="M100" i="4"/>
  <c r="K100" i="4"/>
  <c r="P100" i="4"/>
  <c r="G100" i="4"/>
  <c r="I100" i="4"/>
  <c r="N100" i="4"/>
  <c r="O100" i="4"/>
  <c r="H100" i="4"/>
  <c r="J100" i="4"/>
  <c r="Q100" i="4"/>
  <c r="L100" i="4"/>
  <c r="C100" i="4"/>
  <c r="O143" i="4"/>
  <c r="H143" i="4"/>
  <c r="Q143" i="4"/>
  <c r="J143" i="4"/>
  <c r="G143" i="4"/>
  <c r="K143" i="4"/>
  <c r="M143" i="4"/>
  <c r="I143" i="4"/>
  <c r="N143" i="4"/>
  <c r="L143" i="4"/>
  <c r="P143" i="4"/>
  <c r="C143" i="4"/>
  <c r="I151" i="4"/>
  <c r="N151" i="4"/>
  <c r="L151" i="4"/>
  <c r="M151" i="4"/>
  <c r="G151" i="4"/>
  <c r="P151" i="4"/>
  <c r="Q151" i="4"/>
  <c r="K151" i="4"/>
  <c r="H151" i="4"/>
  <c r="J151" i="4"/>
  <c r="O151" i="4"/>
  <c r="C151" i="4"/>
  <c r="L171" i="4"/>
  <c r="J171" i="4"/>
  <c r="O171" i="4"/>
  <c r="I171" i="4"/>
  <c r="N171" i="4"/>
  <c r="P171" i="4"/>
  <c r="M171" i="4"/>
  <c r="G171" i="4"/>
  <c r="H171" i="4"/>
  <c r="Q171" i="4"/>
  <c r="K171" i="4"/>
  <c r="C171" i="4"/>
  <c r="I176" i="4"/>
  <c r="N176" i="4"/>
  <c r="H176" i="4"/>
  <c r="M176" i="4"/>
  <c r="G176" i="4"/>
  <c r="L176" i="4"/>
  <c r="Q176" i="4"/>
  <c r="K176" i="4"/>
  <c r="P176" i="4"/>
  <c r="J176" i="4"/>
  <c r="O176" i="4"/>
  <c r="C176" i="4"/>
  <c r="P102" i="4"/>
  <c r="L102" i="4"/>
  <c r="N102" i="4"/>
  <c r="J102" i="4"/>
  <c r="H102" i="4"/>
  <c r="Q102" i="4"/>
  <c r="K102" i="4"/>
  <c r="M102" i="4"/>
  <c r="G102" i="4"/>
  <c r="O102" i="4"/>
  <c r="I102" i="4"/>
  <c r="C102" i="4"/>
  <c r="G173" i="4"/>
  <c r="L173" i="4"/>
  <c r="Q173" i="4"/>
  <c r="K173" i="4"/>
  <c r="P173" i="4"/>
  <c r="J173" i="4"/>
  <c r="O173" i="4"/>
  <c r="I173" i="4"/>
  <c r="N173" i="4"/>
  <c r="H173" i="4"/>
  <c r="M173" i="4"/>
  <c r="C173" i="4"/>
  <c r="L147" i="4"/>
  <c r="P147" i="4"/>
  <c r="O147" i="4"/>
  <c r="G147" i="4"/>
  <c r="I147" i="4"/>
  <c r="Q147" i="4"/>
  <c r="N147" i="4"/>
  <c r="H147" i="4"/>
  <c r="J147" i="4"/>
  <c r="K147" i="4"/>
  <c r="M147" i="4"/>
  <c r="C147" i="4"/>
  <c r="G38" i="4"/>
  <c r="J38" i="4"/>
  <c r="Q38" i="4"/>
  <c r="O38" i="4"/>
  <c r="I38" i="4"/>
  <c r="K38" i="4"/>
  <c r="N38" i="4"/>
  <c r="H38" i="4"/>
  <c r="P38" i="4"/>
  <c r="L38" i="4"/>
  <c r="M38" i="4"/>
  <c r="C38" i="4"/>
  <c r="H51" i="4"/>
  <c r="P51" i="4"/>
  <c r="L51" i="4"/>
  <c r="I51" i="4"/>
  <c r="Q51" i="4"/>
  <c r="J51" i="4"/>
  <c r="M51" i="4"/>
  <c r="G51" i="4"/>
  <c r="N51" i="4"/>
  <c r="K51" i="4"/>
  <c r="O51" i="4"/>
  <c r="C51" i="4"/>
  <c r="Q145" i="4"/>
  <c r="O145" i="4"/>
  <c r="M145" i="4"/>
  <c r="K145" i="4"/>
  <c r="J145" i="4"/>
  <c r="I145" i="4"/>
  <c r="P145" i="4"/>
  <c r="N145" i="4"/>
  <c r="H145" i="4"/>
  <c r="G145" i="4"/>
  <c r="L145" i="4"/>
  <c r="C145" i="4"/>
  <c r="J71" i="4"/>
  <c r="I71" i="4"/>
  <c r="P71" i="4"/>
  <c r="N71" i="4"/>
  <c r="L71" i="4"/>
  <c r="H71" i="4"/>
  <c r="K71" i="4"/>
  <c r="Q71" i="4"/>
  <c r="M71" i="4"/>
  <c r="O71" i="4"/>
  <c r="G71" i="4"/>
  <c r="C71" i="4"/>
  <c r="N153" i="4"/>
  <c r="H153" i="4"/>
  <c r="M153" i="4"/>
  <c r="G153" i="4"/>
  <c r="L153" i="4"/>
  <c r="Q153" i="4"/>
  <c r="K153" i="4"/>
  <c r="P153" i="4"/>
  <c r="J153" i="4"/>
  <c r="O153" i="4"/>
  <c r="I153" i="4"/>
  <c r="C153" i="4"/>
  <c r="H108" i="4"/>
  <c r="Q108" i="4"/>
  <c r="O108" i="4"/>
  <c r="M108" i="4"/>
  <c r="K108" i="4"/>
  <c r="N108" i="4"/>
  <c r="G108" i="4"/>
  <c r="P108" i="4"/>
  <c r="L108" i="4"/>
  <c r="J108" i="4"/>
  <c r="I108" i="4"/>
  <c r="C108" i="4"/>
  <c r="O67" i="4"/>
  <c r="G67" i="4"/>
  <c r="K67" i="4"/>
  <c r="J67" i="4"/>
  <c r="P67" i="4"/>
  <c r="I67" i="4"/>
  <c r="L67" i="4"/>
  <c r="H67" i="4"/>
  <c r="Q67" i="4"/>
  <c r="N67" i="4"/>
  <c r="M67" i="4"/>
  <c r="C67" i="4"/>
  <c r="G113" i="4"/>
  <c r="J113" i="4"/>
  <c r="N113" i="4"/>
  <c r="O113" i="4"/>
  <c r="M113" i="4"/>
  <c r="I113" i="4"/>
  <c r="H113" i="4"/>
  <c r="K113" i="4"/>
  <c r="L113" i="4"/>
  <c r="Q113" i="4"/>
  <c r="P113" i="4"/>
  <c r="C113" i="4"/>
  <c r="Q23" i="4"/>
  <c r="K23" i="4"/>
  <c r="M23" i="4"/>
  <c r="G23" i="4"/>
  <c r="H23" i="4"/>
  <c r="L23" i="4"/>
  <c r="N23" i="4"/>
  <c r="P23" i="4"/>
  <c r="O23" i="4"/>
  <c r="I23" i="4"/>
  <c r="J23" i="4"/>
  <c r="C23" i="4"/>
  <c r="G112" i="4"/>
  <c r="M112" i="4"/>
  <c r="O112" i="4"/>
  <c r="Q112" i="4"/>
  <c r="P112" i="4"/>
  <c r="N112" i="4"/>
  <c r="L112" i="4"/>
  <c r="I112" i="4"/>
  <c r="J112" i="4"/>
  <c r="H112" i="4"/>
  <c r="K112" i="4"/>
  <c r="C112" i="4"/>
  <c r="N169" i="4"/>
  <c r="H169" i="4"/>
  <c r="M169" i="4"/>
  <c r="G169" i="4"/>
  <c r="L169" i="4"/>
  <c r="Q169" i="4"/>
  <c r="K169" i="4"/>
  <c r="P169" i="4"/>
  <c r="J169" i="4"/>
  <c r="O169" i="4"/>
  <c r="I169" i="4"/>
  <c r="C169" i="4"/>
  <c r="O136" i="4"/>
  <c r="J136" i="4"/>
  <c r="Q136" i="4"/>
  <c r="L136" i="4"/>
  <c r="H136" i="4"/>
  <c r="N136" i="4"/>
  <c r="K136" i="4"/>
  <c r="P136" i="4"/>
  <c r="G136" i="4"/>
  <c r="I136" i="4"/>
  <c r="M136" i="4"/>
  <c r="C136" i="4"/>
  <c r="J73" i="4"/>
  <c r="H73" i="4"/>
  <c r="Q73" i="4"/>
  <c r="O73" i="4"/>
  <c r="M73" i="4"/>
  <c r="K73" i="4"/>
  <c r="L73" i="4"/>
  <c r="P73" i="4"/>
  <c r="I73" i="4"/>
  <c r="N73" i="4"/>
  <c r="G73" i="4"/>
  <c r="C73" i="4"/>
  <c r="Q184" i="4"/>
  <c r="I184" i="4"/>
  <c r="K184" i="4"/>
  <c r="N184" i="4"/>
  <c r="G184" i="4"/>
  <c r="P184" i="4"/>
  <c r="J184" i="4"/>
  <c r="H184" i="4"/>
  <c r="L184" i="4"/>
  <c r="C184" i="4"/>
  <c r="O184" i="4"/>
  <c r="M184" i="4"/>
  <c r="M189" i="4"/>
  <c r="L189" i="4"/>
  <c r="P189" i="4"/>
  <c r="J189" i="4"/>
  <c r="I189" i="4"/>
  <c r="Q189" i="4"/>
  <c r="O189" i="4"/>
  <c r="H189" i="4"/>
  <c r="N189" i="4"/>
  <c r="G189" i="4"/>
  <c r="K189" i="4"/>
  <c r="C189" i="4"/>
  <c r="G229" i="4"/>
  <c r="N229" i="4"/>
  <c r="J229" i="4"/>
  <c r="I229" i="4"/>
  <c r="Q229" i="4"/>
  <c r="M229" i="4"/>
  <c r="K229" i="4"/>
  <c r="C229" i="4"/>
  <c r="L229" i="4"/>
  <c r="H229" i="4"/>
  <c r="O229" i="4"/>
  <c r="P229" i="4"/>
  <c r="F229" i="4" l="1"/>
  <c r="E229" i="4"/>
  <c r="F189" i="4"/>
  <c r="E189" i="4"/>
  <c r="D189" i="4"/>
  <c r="F184" i="4"/>
  <c r="D184" i="4"/>
  <c r="E184" i="4"/>
  <c r="D73" i="4"/>
  <c r="E73" i="4"/>
  <c r="F73" i="4"/>
  <c r="E136" i="4"/>
  <c r="D136" i="4"/>
  <c r="F136" i="4"/>
  <c r="F169" i="4"/>
  <c r="D169" i="4"/>
  <c r="E169" i="4"/>
  <c r="D112" i="4"/>
  <c r="F112" i="4"/>
  <c r="E112" i="4"/>
  <c r="D23" i="4"/>
  <c r="F23" i="4"/>
  <c r="E23" i="4"/>
  <c r="F113" i="4"/>
  <c r="E113" i="4"/>
  <c r="D113" i="4"/>
  <c r="F67" i="4"/>
  <c r="E67" i="4"/>
  <c r="D67" i="4"/>
  <c r="F108" i="4"/>
  <c r="E108" i="4"/>
  <c r="D108" i="4"/>
  <c r="E153" i="4"/>
  <c r="D153" i="4"/>
  <c r="F153" i="4"/>
  <c r="E71" i="4"/>
  <c r="F71" i="4"/>
  <c r="D71" i="4"/>
  <c r="D145" i="4"/>
  <c r="F145" i="4"/>
  <c r="E145" i="4"/>
  <c r="F51" i="4"/>
  <c r="E51" i="4"/>
  <c r="D51" i="4"/>
  <c r="D38" i="4"/>
  <c r="F38" i="4"/>
  <c r="E38" i="4"/>
  <c r="F147" i="4"/>
  <c r="E147" i="4"/>
  <c r="D147" i="4"/>
  <c r="E173" i="4"/>
  <c r="D173" i="4"/>
  <c r="F173" i="4"/>
  <c r="E102" i="4"/>
  <c r="D102" i="4"/>
  <c r="F102" i="4"/>
  <c r="D176" i="4"/>
  <c r="E176" i="4"/>
  <c r="F176" i="4"/>
  <c r="D171" i="4"/>
  <c r="F171" i="4"/>
  <c r="E171" i="4"/>
  <c r="E151" i="4"/>
  <c r="D151" i="4"/>
  <c r="F151" i="4"/>
  <c r="F143" i="4"/>
  <c r="E143" i="4"/>
  <c r="D143" i="4"/>
  <c r="E100" i="4"/>
  <c r="F100" i="4"/>
  <c r="D100" i="4"/>
  <c r="D139" i="4"/>
  <c r="F139" i="4"/>
  <c r="E139" i="4"/>
  <c r="E167" i="4"/>
  <c r="D167" i="4"/>
  <c r="F167" i="4"/>
  <c r="E121" i="4"/>
  <c r="D121" i="4"/>
  <c r="F121" i="4"/>
  <c r="D61" i="4"/>
  <c r="F61" i="4"/>
  <c r="E61" i="4"/>
  <c r="F76" i="4"/>
  <c r="D76" i="4"/>
  <c r="E76" i="4"/>
  <c r="F48" i="4"/>
  <c r="E48" i="4"/>
  <c r="D48" i="4"/>
  <c r="F30" i="4"/>
  <c r="E30" i="4"/>
  <c r="D30" i="4"/>
  <c r="D103" i="4"/>
  <c r="F103" i="4"/>
  <c r="E103" i="4"/>
  <c r="F94" i="4"/>
  <c r="D94" i="4"/>
  <c r="E94" i="4"/>
  <c r="F49" i="4"/>
  <c r="E49" i="4"/>
  <c r="D49" i="4"/>
  <c r="E166" i="4"/>
  <c r="F166" i="4"/>
  <c r="D166" i="4"/>
  <c r="D65" i="4"/>
  <c r="F65" i="4"/>
  <c r="E65" i="4"/>
  <c r="E170" i="4"/>
  <c r="F170" i="4"/>
  <c r="D170" i="4"/>
  <c r="E129" i="4"/>
  <c r="D129" i="4"/>
  <c r="F129" i="4"/>
  <c r="F26" i="4"/>
  <c r="E26" i="4"/>
  <c r="D26" i="4"/>
  <c r="E123" i="4"/>
  <c r="D123" i="4"/>
  <c r="F123" i="4"/>
  <c r="D105" i="4"/>
  <c r="F105" i="4"/>
  <c r="E105" i="4"/>
  <c r="E154" i="4"/>
  <c r="D154" i="4"/>
  <c r="F154" i="4"/>
  <c r="E116" i="4"/>
  <c r="F116" i="4"/>
  <c r="D116" i="4"/>
  <c r="E188" i="4"/>
  <c r="F188" i="4"/>
  <c r="D188" i="4"/>
  <c r="F185" i="4"/>
  <c r="D185" i="4"/>
  <c r="E185" i="4"/>
  <c r="D181" i="4"/>
  <c r="F181" i="4"/>
  <c r="E181" i="4"/>
  <c r="D128" i="4"/>
  <c r="F128" i="4"/>
  <c r="E128" i="4"/>
  <c r="F115" i="4"/>
  <c r="E115" i="4"/>
  <c r="D115" i="4"/>
  <c r="D53" i="4"/>
  <c r="F53" i="4"/>
  <c r="E53" i="4"/>
  <c r="F137" i="4"/>
  <c r="E137" i="4"/>
  <c r="D137" i="4"/>
  <c r="D158" i="4"/>
  <c r="F158" i="4"/>
  <c r="E158" i="4"/>
  <c r="F60" i="4"/>
  <c r="E60" i="4"/>
  <c r="D60" i="4"/>
  <c r="D93" i="4"/>
  <c r="E93" i="4"/>
  <c r="F93" i="4"/>
  <c r="F72" i="4"/>
  <c r="E72" i="4"/>
  <c r="D72" i="4"/>
  <c r="E142" i="4"/>
  <c r="D142" i="4"/>
  <c r="F142" i="4"/>
  <c r="D87" i="4"/>
  <c r="E87" i="4"/>
  <c r="F87" i="4"/>
  <c r="D29" i="4"/>
  <c r="F29" i="4"/>
  <c r="E29" i="4"/>
  <c r="D131" i="4"/>
  <c r="F131" i="4"/>
  <c r="E131" i="4"/>
  <c r="E68" i="4"/>
  <c r="D68" i="4"/>
  <c r="F68" i="4"/>
  <c r="D120" i="4"/>
  <c r="F120" i="4"/>
  <c r="E120" i="4"/>
  <c r="E97" i="4"/>
  <c r="F97" i="4"/>
  <c r="D97" i="4"/>
  <c r="E40" i="4"/>
  <c r="D40" i="4"/>
  <c r="F40" i="4"/>
  <c r="F148" i="4"/>
  <c r="E148" i="4"/>
  <c r="D148" i="4"/>
  <c r="D132" i="4"/>
  <c r="F132" i="4"/>
  <c r="E132" i="4"/>
  <c r="D127" i="4"/>
  <c r="F127" i="4"/>
  <c r="E127" i="4"/>
  <c r="D46" i="4"/>
  <c r="F46" i="4"/>
  <c r="E46" i="4"/>
  <c r="E90" i="4"/>
  <c r="F90" i="4"/>
  <c r="D90" i="4"/>
  <c r="E86" i="4"/>
  <c r="F86" i="4"/>
  <c r="D86" i="4"/>
  <c r="F141" i="4"/>
  <c r="E141" i="4"/>
  <c r="D141" i="4"/>
  <c r="D126" i="4"/>
  <c r="E126" i="4"/>
  <c r="F126" i="4"/>
  <c r="F32" i="4"/>
  <c r="E32" i="4"/>
  <c r="D32" i="4"/>
  <c r="F88" i="4"/>
  <c r="D88" i="4"/>
  <c r="E88" i="4"/>
  <c r="D163" i="4"/>
  <c r="F163" i="4"/>
  <c r="E163" i="4"/>
  <c r="D178" i="4"/>
  <c r="F178" i="4"/>
  <c r="E178" i="4"/>
  <c r="F82" i="4"/>
  <c r="D82" i="4"/>
  <c r="E82" i="4"/>
  <c r="D122" i="4"/>
  <c r="F122" i="4"/>
  <c r="E122" i="4"/>
  <c r="F28" i="4"/>
  <c r="E28" i="4"/>
  <c r="D28" i="4"/>
  <c r="E89" i="4"/>
  <c r="F89" i="4"/>
  <c r="D89" i="4"/>
  <c r="D98" i="4"/>
  <c r="E98" i="4"/>
  <c r="F98" i="4"/>
  <c r="F74" i="4"/>
  <c r="D74" i="4"/>
  <c r="E74" i="4"/>
  <c r="D96" i="4"/>
  <c r="E96" i="4"/>
  <c r="F96" i="4"/>
  <c r="F42" i="4"/>
  <c r="E42" i="4"/>
  <c r="D42" i="4"/>
  <c r="D66" i="4"/>
  <c r="F66" i="4"/>
  <c r="E66" i="4"/>
  <c r="D99" i="4"/>
  <c r="E99" i="4"/>
  <c r="F99" i="4"/>
  <c r="F106" i="4"/>
  <c r="E106" i="4"/>
  <c r="D106" i="4"/>
  <c r="F187" i="4"/>
  <c r="D187" i="4"/>
  <c r="E187" i="4"/>
  <c r="E183" i="4"/>
  <c r="D183" i="4"/>
  <c r="F183" i="4"/>
  <c r="F91" i="4"/>
  <c r="D91" i="4"/>
  <c r="E91" i="4"/>
  <c r="E146" i="4"/>
  <c r="D146" i="4"/>
  <c r="F146" i="4"/>
  <c r="D39" i="4"/>
  <c r="E39" i="4"/>
  <c r="F39" i="4"/>
  <c r="F25" i="4"/>
  <c r="E25" i="4"/>
  <c r="D25" i="4"/>
  <c r="D182" i="4"/>
  <c r="E182" i="4"/>
  <c r="F182" i="4"/>
  <c r="E162" i="4"/>
  <c r="D162" i="4"/>
  <c r="F162" i="4"/>
  <c r="F45" i="4"/>
  <c r="E45" i="4"/>
  <c r="D45" i="4"/>
  <c r="D34" i="4"/>
  <c r="F34" i="4"/>
  <c r="E34" i="4"/>
  <c r="F134" i="4"/>
  <c r="E134" i="4"/>
  <c r="D134" i="4"/>
  <c r="E119" i="4"/>
  <c r="D119" i="4"/>
  <c r="F119" i="4"/>
  <c r="F36" i="4"/>
  <c r="E36" i="4"/>
  <c r="D36" i="4"/>
  <c r="F156" i="4"/>
  <c r="D156" i="4"/>
  <c r="E156" i="4"/>
  <c r="F85" i="4"/>
  <c r="D85" i="4"/>
  <c r="E85" i="4"/>
  <c r="E124" i="4"/>
  <c r="D124" i="4"/>
  <c r="F124" i="4"/>
  <c r="F177" i="4"/>
  <c r="E177" i="4"/>
  <c r="D177" i="4"/>
  <c r="E58" i="4"/>
  <c r="D58" i="4"/>
  <c r="F58" i="4"/>
  <c r="E70" i="4"/>
  <c r="F70" i="4"/>
  <c r="D70" i="4"/>
  <c r="E55" i="4"/>
  <c r="D55" i="4"/>
  <c r="F55" i="4"/>
  <c r="F47" i="4"/>
  <c r="E47" i="4"/>
  <c r="D47" i="4"/>
  <c r="F22" i="4"/>
  <c r="E22" i="4"/>
  <c r="D22" i="4"/>
  <c r="D31" i="4"/>
  <c r="F31" i="4"/>
  <c r="E31" i="4"/>
  <c r="E95" i="4"/>
  <c r="F95" i="4"/>
  <c r="D95" i="4"/>
  <c r="F79" i="4"/>
  <c r="D79" i="4"/>
  <c r="E79" i="4"/>
  <c r="E157" i="4"/>
  <c r="F157" i="4"/>
  <c r="D157" i="4"/>
  <c r="F179" i="4"/>
  <c r="E179" i="4"/>
  <c r="D179" i="4"/>
  <c r="E80" i="4"/>
  <c r="F80" i="4"/>
  <c r="D80" i="4"/>
  <c r="D110" i="4"/>
  <c r="F110" i="4"/>
  <c r="E110" i="4"/>
  <c r="D33" i="4"/>
  <c r="F33" i="4"/>
  <c r="E33" i="4"/>
  <c r="F69" i="4"/>
  <c r="E69" i="4"/>
  <c r="D69" i="4"/>
  <c r="F83" i="4"/>
  <c r="D83" i="4"/>
  <c r="E83" i="4"/>
  <c r="F37" i="4"/>
  <c r="E37" i="4"/>
  <c r="D37" i="4"/>
  <c r="E114" i="4"/>
  <c r="D114" i="4"/>
  <c r="F114" i="4"/>
  <c r="D175" i="4"/>
  <c r="F175" i="4"/>
  <c r="E175" i="4"/>
  <c r="F62" i="4"/>
  <c r="E62" i="4"/>
  <c r="D62" i="4"/>
  <c r="F155" i="4"/>
  <c r="E155" i="4"/>
  <c r="D155" i="4"/>
  <c r="D104" i="4"/>
  <c r="F104" i="4"/>
  <c r="E104" i="4"/>
  <c r="F24" i="4"/>
  <c r="E24" i="4"/>
  <c r="D24" i="4"/>
  <c r="D109" i="4"/>
  <c r="F109" i="4"/>
  <c r="E109" i="4"/>
  <c r="D117" i="4"/>
  <c r="F117" i="4"/>
  <c r="E117" i="4"/>
  <c r="D54" i="4"/>
  <c r="F54" i="4"/>
  <c r="E54" i="4"/>
  <c r="F193" i="4"/>
  <c r="E193" i="4"/>
  <c r="D193" i="4"/>
  <c r="F186" i="4"/>
  <c r="E186" i="4"/>
  <c r="D186" i="4"/>
  <c r="F43" i="4"/>
  <c r="E43" i="4"/>
  <c r="D43" i="4"/>
  <c r="F78" i="4"/>
  <c r="D78" i="4"/>
  <c r="E78" i="4"/>
  <c r="D130" i="4"/>
  <c r="F130" i="4"/>
  <c r="E130" i="4"/>
  <c r="E172" i="4"/>
  <c r="D172" i="4"/>
  <c r="F172" i="4"/>
  <c r="F63" i="4"/>
  <c r="E63" i="4"/>
  <c r="D63" i="4"/>
  <c r="F107" i="4"/>
  <c r="E107" i="4"/>
  <c r="D107" i="4"/>
  <c r="E52" i="4"/>
  <c r="D52" i="4"/>
  <c r="F52" i="4"/>
  <c r="E64" i="4"/>
  <c r="F64" i="4"/>
  <c r="D64" i="4"/>
  <c r="D180" i="4"/>
  <c r="F180" i="4"/>
  <c r="E180" i="4"/>
  <c r="F59" i="4"/>
  <c r="E59" i="4"/>
  <c r="D59" i="4"/>
  <c r="F44" i="4"/>
  <c r="E44" i="4"/>
  <c r="D44" i="4"/>
  <c r="F111" i="4"/>
  <c r="E111" i="4"/>
  <c r="D111" i="4"/>
  <c r="D84" i="4"/>
  <c r="E84" i="4"/>
  <c r="F84" i="4"/>
  <c r="D149" i="4"/>
  <c r="F149" i="4"/>
  <c r="E149" i="4"/>
  <c r="F75" i="4"/>
  <c r="D75" i="4"/>
  <c r="E75" i="4"/>
  <c r="D92" i="4"/>
  <c r="F92" i="4"/>
  <c r="E92" i="4"/>
  <c r="D164" i="4"/>
  <c r="F164" i="4"/>
  <c r="E164" i="4"/>
  <c r="F133" i="4"/>
  <c r="D133" i="4"/>
  <c r="E133" i="4"/>
  <c r="D152" i="4"/>
  <c r="F152" i="4"/>
  <c r="E152" i="4"/>
  <c r="F160" i="4"/>
  <c r="D160" i="4"/>
  <c r="E160" i="4"/>
  <c r="E159" i="4"/>
  <c r="D159" i="4"/>
  <c r="F159" i="4"/>
  <c r="D81" i="4"/>
  <c r="E81" i="4"/>
  <c r="F81" i="4"/>
  <c r="E101" i="4"/>
  <c r="D101" i="4"/>
  <c r="F101" i="4"/>
  <c r="D140" i="4"/>
  <c r="F140" i="4"/>
  <c r="E140" i="4"/>
  <c r="F27" i="4"/>
  <c r="D27" i="4"/>
  <c r="E27" i="4"/>
  <c r="D135" i="4"/>
  <c r="F135" i="4"/>
  <c r="E135" i="4"/>
  <c r="E144" i="4"/>
  <c r="D144" i="4"/>
  <c r="F144" i="4"/>
  <c r="F41" i="4"/>
  <c r="E41" i="4"/>
  <c r="D41" i="4"/>
  <c r="F56" i="4"/>
  <c r="D56" i="4"/>
  <c r="E56" i="4"/>
  <c r="D57" i="4"/>
  <c r="F57" i="4"/>
  <c r="E57" i="4"/>
  <c r="F77" i="4"/>
  <c r="D77" i="4"/>
  <c r="E77" i="4"/>
  <c r="F161" i="4"/>
  <c r="E161" i="4"/>
  <c r="D161" i="4"/>
  <c r="F35" i="4"/>
  <c r="E35" i="4"/>
  <c r="D35" i="4"/>
  <c r="F50" i="4"/>
  <c r="E50" i="4"/>
  <c r="D50" i="4"/>
  <c r="E118" i="4"/>
  <c r="D118" i="4"/>
  <c r="F118" i="4"/>
  <c r="F168" i="4"/>
  <c r="E168" i="4"/>
  <c r="D168" i="4"/>
  <c r="D165" i="4"/>
  <c r="F165" i="4"/>
  <c r="E165" i="4"/>
  <c r="E125" i="4"/>
  <c r="D125" i="4"/>
  <c r="F125" i="4"/>
  <c r="E138" i="4"/>
  <c r="D138" i="4"/>
  <c r="F138" i="4"/>
  <c r="F150" i="4"/>
  <c r="E150" i="4"/>
  <c r="D150" i="4"/>
  <c r="F174" i="4"/>
  <c r="E174" i="4"/>
  <c r="D174" i="4"/>
  <c r="E214" i="4"/>
  <c r="F214" i="4"/>
  <c r="D214" i="4"/>
  <c r="F255" i="4"/>
  <c r="D255" i="4"/>
  <c r="E255" i="4"/>
  <c r="D196" i="4"/>
  <c r="E196" i="4"/>
  <c r="F196" i="4"/>
  <c r="D284" i="4"/>
  <c r="F284" i="4"/>
  <c r="E284" i="4"/>
  <c r="E238" i="4"/>
  <c r="D238" i="4"/>
  <c r="F238" i="4"/>
  <c r="D197" i="4"/>
  <c r="F197" i="4"/>
  <c r="E197" i="4"/>
  <c r="D271" i="4"/>
  <c r="F271" i="4"/>
  <c r="E271" i="4"/>
  <c r="D290" i="4"/>
  <c r="E290" i="4"/>
  <c r="F290" i="4"/>
  <c r="D273" i="4"/>
  <c r="F273" i="4"/>
  <c r="E273" i="4"/>
  <c r="F291" i="4"/>
  <c r="D291" i="4"/>
  <c r="E291" i="4"/>
  <c r="E275" i="4"/>
  <c r="D275" i="4"/>
  <c r="F275" i="4"/>
  <c r="E222" i="4"/>
  <c r="F222" i="4"/>
  <c r="D222" i="4"/>
  <c r="D224" i="4"/>
  <c r="F224" i="4"/>
  <c r="E224" i="4"/>
  <c r="D262" i="4"/>
  <c r="F262" i="4"/>
  <c r="E262" i="4"/>
  <c r="D252" i="4"/>
  <c r="F252" i="4"/>
  <c r="E252" i="4"/>
  <c r="F266" i="4"/>
  <c r="E266" i="4"/>
  <c r="D266" i="4"/>
  <c r="E265" i="4"/>
  <c r="F265" i="4"/>
  <c r="D265" i="4"/>
  <c r="F227" i="4"/>
  <c r="E227" i="4"/>
  <c r="D227" i="4"/>
  <c r="D201" i="4"/>
  <c r="E201" i="4"/>
  <c r="F201" i="4"/>
  <c r="E204" i="4"/>
  <c r="D204" i="4"/>
  <c r="F204" i="4"/>
  <c r="D305" i="4"/>
  <c r="E305" i="4"/>
  <c r="F305" i="4"/>
  <c r="E210" i="4"/>
  <c r="D210" i="4"/>
  <c r="F210" i="4"/>
  <c r="D190" i="4"/>
  <c r="F190" i="4"/>
  <c r="E190" i="4"/>
  <c r="E240" i="4"/>
  <c r="D240" i="4"/>
  <c r="F240" i="4"/>
  <c r="F219" i="4"/>
  <c r="E219" i="4"/>
  <c r="D219" i="4"/>
  <c r="D195" i="4"/>
  <c r="F195" i="4"/>
  <c r="E195" i="4"/>
  <c r="D280" i="4"/>
  <c r="F280" i="4"/>
  <c r="E280" i="4"/>
  <c r="E263" i="4"/>
  <c r="F263" i="4"/>
  <c r="D263" i="4"/>
  <c r="F217" i="4"/>
  <c r="D217" i="4"/>
  <c r="E217" i="4"/>
  <c r="E243" i="4"/>
  <c r="D243" i="4"/>
  <c r="F243" i="4"/>
  <c r="F253" i="4"/>
  <c r="D253" i="4"/>
  <c r="E253" i="4"/>
  <c r="E285" i="4"/>
  <c r="F285" i="4"/>
  <c r="D285" i="4"/>
  <c r="F191" i="4"/>
  <c r="E191" i="4"/>
  <c r="D191" i="4"/>
  <c r="E239" i="4"/>
  <c r="D239" i="4"/>
  <c r="F239" i="4"/>
  <c r="F295" i="4"/>
  <c r="E295" i="4"/>
  <c r="D295" i="4"/>
  <c r="D231" i="4"/>
  <c r="E231" i="4"/>
  <c r="F231" i="4"/>
  <c r="D267" i="4"/>
  <c r="E267" i="4"/>
  <c r="F267" i="4"/>
  <c r="F194" i="4"/>
  <c r="E194" i="4"/>
  <c r="D194" i="4"/>
  <c r="F246" i="4"/>
  <c r="E246" i="4"/>
  <c r="D246" i="4"/>
  <c r="F296" i="4"/>
  <c r="E296" i="4"/>
  <c r="D296" i="4"/>
  <c r="D215" i="4"/>
  <c r="E215" i="4"/>
  <c r="F215" i="4"/>
  <c r="D268" i="4"/>
  <c r="F268" i="4"/>
  <c r="E268" i="4"/>
  <c r="F272" i="4"/>
  <c r="E272" i="4"/>
  <c r="D272" i="4"/>
  <c r="D211" i="4"/>
  <c r="F211" i="4"/>
  <c r="E211" i="4"/>
  <c r="E259" i="4"/>
  <c r="D259" i="4"/>
  <c r="F259" i="4"/>
  <c r="E241" i="4"/>
  <c r="F241" i="4"/>
  <c r="D241" i="4"/>
  <c r="F282" i="4"/>
  <c r="D282" i="4"/>
  <c r="E282" i="4"/>
  <c r="D249" i="4"/>
  <c r="F249" i="4"/>
  <c r="E249" i="4"/>
  <c r="F287" i="4"/>
  <c r="D287" i="4"/>
  <c r="E287" i="4"/>
  <c r="F251" i="4"/>
  <c r="E251" i="4"/>
  <c r="D251" i="4"/>
  <c r="F261" i="4"/>
  <c r="D261" i="4"/>
  <c r="E261" i="4"/>
  <c r="E202" i="4"/>
  <c r="D202" i="4"/>
  <c r="F202" i="4"/>
  <c r="F279" i="4"/>
  <c r="E279" i="4"/>
  <c r="D279" i="4"/>
  <c r="F260" i="4"/>
  <c r="E260" i="4"/>
  <c r="D260" i="4"/>
  <c r="E216" i="4"/>
  <c r="D216" i="4"/>
  <c r="F216" i="4"/>
  <c r="D212" i="4"/>
  <c r="F212" i="4"/>
  <c r="E212" i="4"/>
  <c r="E270" i="4"/>
  <c r="F270" i="4"/>
  <c r="D270" i="4"/>
  <c r="E264" i="4"/>
  <c r="F264" i="4"/>
  <c r="D264" i="4"/>
  <c r="F299" i="4"/>
  <c r="E299" i="4"/>
  <c r="D299" i="4"/>
  <c r="E223" i="4"/>
  <c r="F223" i="4"/>
  <c r="D223" i="4"/>
  <c r="F199" i="4"/>
  <c r="E199" i="4"/>
  <c r="D199" i="4"/>
  <c r="D298" i="4"/>
  <c r="E298" i="4"/>
  <c r="F298" i="4"/>
  <c r="D277" i="4"/>
  <c r="E277" i="4"/>
  <c r="F277" i="4"/>
  <c r="F288" i="4"/>
  <c r="E288" i="4"/>
  <c r="D288" i="4"/>
  <c r="E205" i="4"/>
  <c r="F205" i="4"/>
  <c r="D205" i="4"/>
  <c r="E237" i="4"/>
  <c r="F237" i="4"/>
  <c r="D237" i="4"/>
  <c r="D278" i="4"/>
  <c r="F278" i="4"/>
  <c r="E278" i="4"/>
  <c r="E200" i="4"/>
  <c r="D200" i="4"/>
  <c r="F200" i="4"/>
  <c r="F283" i="4"/>
  <c r="E283" i="4"/>
  <c r="D283" i="4"/>
  <c r="F206" i="4"/>
  <c r="E206" i="4"/>
  <c r="D206" i="4"/>
  <c r="D218" i="4"/>
  <c r="F218" i="4"/>
  <c r="E218" i="4"/>
  <c r="D226" i="4"/>
  <c r="E226" i="4"/>
  <c r="F226" i="4"/>
  <c r="E258" i="4"/>
  <c r="F258" i="4"/>
  <c r="D258" i="4"/>
  <c r="F245" i="4"/>
  <c r="E245" i="4"/>
  <c r="D245" i="4"/>
  <c r="D207" i="4"/>
  <c r="F207" i="4"/>
  <c r="E207" i="4"/>
  <c r="E276" i="4"/>
  <c r="D276" i="4"/>
  <c r="F276" i="4"/>
  <c r="E269" i="4"/>
  <c r="F269" i="4"/>
  <c r="D269" i="4"/>
  <c r="F230" i="4"/>
  <c r="D230" i="4"/>
  <c r="E230" i="4"/>
  <c r="E220" i="4"/>
  <c r="D220" i="4"/>
  <c r="F220" i="4"/>
  <c r="F306" i="4"/>
  <c r="D306" i="4"/>
  <c r="E306" i="4"/>
  <c r="D297" i="4"/>
  <c r="E297" i="4"/>
  <c r="F297" i="4"/>
  <c r="E286" i="4"/>
  <c r="F286" i="4"/>
  <c r="D286" i="4"/>
  <c r="F236" i="4"/>
  <c r="D236" i="4"/>
  <c r="E236" i="4"/>
  <c r="F294" i="4"/>
  <c r="E294" i="4"/>
  <c r="D294" i="4"/>
  <c r="D304" i="4"/>
  <c r="F304" i="4"/>
  <c r="E304" i="4"/>
  <c r="E221" i="4"/>
  <c r="D221" i="4"/>
  <c r="F221" i="4"/>
  <c r="E293" i="4"/>
  <c r="D293" i="4"/>
  <c r="F293" i="4"/>
  <c r="F235" i="4"/>
  <c r="E235" i="4"/>
  <c r="D235" i="4"/>
  <c r="F250" i="4"/>
  <c r="E250" i="4"/>
  <c r="D250" i="4"/>
  <c r="E254" i="4"/>
  <c r="D254" i="4"/>
  <c r="F254" i="4"/>
  <c r="E225" i="4"/>
  <c r="F225" i="4"/>
  <c r="D225" i="4"/>
  <c r="F256" i="4"/>
  <c r="D256" i="4"/>
  <c r="E256" i="4"/>
  <c r="E208" i="4"/>
  <c r="D208" i="4"/>
  <c r="F208" i="4"/>
  <c r="E213" i="4"/>
  <c r="F213" i="4"/>
  <c r="D213" i="4"/>
  <c r="F302" i="4"/>
  <c r="D302" i="4"/>
  <c r="E302" i="4"/>
  <c r="F234" i="4"/>
  <c r="E234" i="4"/>
  <c r="D234" i="4"/>
  <c r="E242" i="4"/>
  <c r="D242" i="4"/>
  <c r="F242" i="4"/>
  <c r="F281" i="4"/>
  <c r="E281" i="4"/>
  <c r="D281" i="4"/>
  <c r="E203" i="4"/>
  <c r="D203" i="4"/>
  <c r="F203" i="4"/>
  <c r="F289" i="4"/>
  <c r="E289" i="4"/>
  <c r="D289" i="4"/>
  <c r="F192" i="4"/>
  <c r="E192" i="4"/>
  <c r="D192" i="4"/>
  <c r="D244" i="4"/>
  <c r="F244" i="4"/>
  <c r="E244" i="4"/>
  <c r="D228" i="4"/>
  <c r="E228" i="4"/>
  <c r="F228" i="4"/>
  <c r="F198" i="4"/>
  <c r="D198" i="4"/>
  <c r="E198" i="4"/>
  <c r="D303" i="4"/>
  <c r="E303" i="4"/>
  <c r="F303" i="4"/>
  <c r="E274" i="4"/>
  <c r="D274" i="4"/>
  <c r="F274" i="4"/>
  <c r="D301" i="4"/>
  <c r="E301" i="4"/>
  <c r="F301" i="4"/>
  <c r="F300" i="4"/>
  <c r="E300" i="4"/>
  <c r="D300" i="4"/>
  <c r="D232" i="4"/>
  <c r="E232" i="4"/>
  <c r="F232" i="4"/>
  <c r="D233" i="4"/>
  <c r="F233" i="4"/>
  <c r="E233" i="4"/>
  <c r="E247" i="4"/>
  <c r="D247" i="4"/>
  <c r="F247" i="4"/>
  <c r="D292" i="4"/>
  <c r="E292" i="4"/>
  <c r="F292" i="4"/>
  <c r="E209" i="4"/>
  <c r="D209" i="4"/>
  <c r="F209" i="4"/>
  <c r="E248" i="4"/>
  <c r="D248" i="4"/>
  <c r="F248" i="4"/>
  <c r="F257" i="4"/>
  <c r="E257" i="4"/>
  <c r="D257" i="4"/>
  <c r="C214" i="4"/>
  <c r="L214" i="4"/>
  <c r="O255" i="4"/>
  <c r="K255" i="4"/>
  <c r="G255" i="4"/>
  <c r="H196" i="4"/>
  <c r="G196" i="4"/>
  <c r="N284" i="4"/>
  <c r="J284" i="4"/>
  <c r="M238" i="4"/>
  <c r="I238" i="4"/>
  <c r="L238" i="4"/>
  <c r="O197" i="4"/>
  <c r="K197" i="4"/>
  <c r="G197" i="4"/>
  <c r="M197" i="4"/>
  <c r="N271" i="4"/>
  <c r="J271" i="4"/>
  <c r="P290" i="4"/>
  <c r="G290" i="4"/>
  <c r="O273" i="4"/>
  <c r="K273" i="4"/>
  <c r="G273" i="4"/>
  <c r="C273" i="4"/>
  <c r="L291" i="4"/>
  <c r="H291" i="4"/>
  <c r="K291" i="4"/>
  <c r="J291" i="4"/>
  <c r="N275" i="4"/>
  <c r="C275" i="4"/>
  <c r="M275" i="4"/>
  <c r="Q222" i="4"/>
  <c r="N222" i="4"/>
  <c r="O224" i="4"/>
  <c r="K224" i="4"/>
  <c r="G224" i="4"/>
  <c r="N224" i="4"/>
  <c r="Q262" i="4"/>
  <c r="J262" i="4"/>
  <c r="N262" i="4"/>
  <c r="O262" i="4"/>
  <c r="G252" i="4"/>
  <c r="O252" i="4"/>
  <c r="N252" i="4"/>
  <c r="P266" i="4"/>
  <c r="L266" i="4"/>
  <c r="O265" i="4"/>
  <c r="K265" i="4"/>
  <c r="G265" i="4"/>
  <c r="N265" i="4"/>
  <c r="P227" i="4"/>
  <c r="L227" i="4"/>
  <c r="H227" i="4"/>
  <c r="J201" i="4"/>
  <c r="H204" i="4"/>
  <c r="P204" i="4"/>
  <c r="O204" i="4"/>
  <c r="N305" i="4"/>
  <c r="J305" i="4"/>
  <c r="Q305" i="4"/>
  <c r="L305" i="4"/>
  <c r="M210" i="4"/>
  <c r="I210" i="4"/>
  <c r="P210" i="4"/>
  <c r="G210" i="4"/>
  <c r="L190" i="4"/>
  <c r="N190" i="4"/>
  <c r="K190" i="4"/>
  <c r="C240" i="4"/>
  <c r="J219" i="4"/>
  <c r="Q219" i="4"/>
  <c r="M219" i="4"/>
  <c r="I219" i="4"/>
  <c r="J195" i="4"/>
  <c r="P195" i="4"/>
  <c r="H195" i="4"/>
  <c r="P280" i="4"/>
  <c r="K280" i="4"/>
  <c r="J280" i="4"/>
  <c r="Q263" i="4"/>
  <c r="M263" i="4"/>
  <c r="H217" i="4"/>
  <c r="O217" i="4"/>
  <c r="K217" i="4"/>
  <c r="G217" i="4"/>
  <c r="O243" i="4"/>
  <c r="K243" i="4"/>
  <c r="G243" i="4"/>
  <c r="H253" i="4"/>
  <c r="C253" i="4"/>
  <c r="L253" i="4"/>
  <c r="J285" i="4"/>
  <c r="C191" i="4"/>
  <c r="K239" i="4"/>
  <c r="G239" i="4"/>
  <c r="J239" i="4"/>
  <c r="O239" i="4"/>
  <c r="K295" i="4"/>
  <c r="J295" i="4"/>
  <c r="C295" i="4"/>
  <c r="N231" i="4"/>
  <c r="J231" i="4"/>
  <c r="I267" i="4"/>
  <c r="P267" i="4"/>
  <c r="L267" i="4"/>
  <c r="N267" i="4"/>
  <c r="P194" i="4"/>
  <c r="L194" i="4"/>
  <c r="H194" i="4"/>
  <c r="C246" i="4"/>
  <c r="H246" i="4"/>
  <c r="C296" i="4"/>
  <c r="N296" i="4"/>
  <c r="J296" i="4"/>
  <c r="C215" i="4"/>
  <c r="N215" i="4"/>
  <c r="J215" i="4"/>
  <c r="P268" i="4"/>
  <c r="L268" i="4"/>
  <c r="H268" i="4"/>
  <c r="G268" i="4"/>
  <c r="O272" i="4"/>
  <c r="J272" i="4"/>
  <c r="G211" i="4"/>
  <c r="P259" i="4"/>
  <c r="L259" i="4"/>
  <c r="H259" i="4"/>
  <c r="O259" i="4"/>
  <c r="J241" i="4"/>
  <c r="Q241" i="4"/>
  <c r="M241" i="4"/>
  <c r="I241" i="4"/>
  <c r="L282" i="4"/>
  <c r="Q282" i="4"/>
  <c r="J282" i="4"/>
  <c r="C282" i="4"/>
  <c r="O249" i="4"/>
  <c r="K249" i="4"/>
  <c r="Q287" i="4"/>
  <c r="M287" i="4"/>
  <c r="I287" i="4"/>
  <c r="G287" i="4"/>
  <c r="H251" i="4"/>
  <c r="O251" i="4"/>
  <c r="K251" i="4"/>
  <c r="L251" i="4"/>
  <c r="P261" i="4"/>
  <c r="L261" i="4"/>
  <c r="Q202" i="4"/>
  <c r="M202" i="4"/>
  <c r="L279" i="4"/>
  <c r="H279" i="4"/>
  <c r="O279" i="4"/>
  <c r="P260" i="4"/>
  <c r="L260" i="4"/>
  <c r="H260" i="4"/>
  <c r="I216" i="4"/>
  <c r="H216" i="4"/>
  <c r="P216" i="4"/>
  <c r="K212" i="4"/>
  <c r="M212" i="4"/>
  <c r="P270" i="4"/>
  <c r="L270" i="4"/>
  <c r="H270" i="4"/>
  <c r="J270" i="4"/>
  <c r="H264" i="4"/>
  <c r="O264" i="4"/>
  <c r="K264" i="4"/>
  <c r="G264" i="4"/>
  <c r="C299" i="4"/>
  <c r="N299" i="4"/>
  <c r="N223" i="4"/>
  <c r="J223" i="4"/>
  <c r="Q223" i="4"/>
  <c r="C199" i="4"/>
  <c r="N199" i="4"/>
  <c r="P199" i="4"/>
  <c r="N298" i="4"/>
  <c r="M298" i="4"/>
  <c r="J298" i="4"/>
  <c r="G277" i="4"/>
  <c r="Q277" i="4"/>
  <c r="L277" i="4"/>
  <c r="N288" i="4"/>
  <c r="L288" i="4"/>
  <c r="C205" i="4"/>
  <c r="K205" i="4"/>
  <c r="G205" i="4"/>
  <c r="N237" i="4"/>
  <c r="J237" i="4"/>
  <c r="Q237" i="4"/>
  <c r="G237" i="4"/>
  <c r="C278" i="4"/>
  <c r="G278" i="4"/>
  <c r="K200" i="4"/>
  <c r="L200" i="4"/>
  <c r="Q283" i="4"/>
  <c r="M283" i="4"/>
  <c r="I283" i="4"/>
  <c r="J283" i="4"/>
  <c r="M206" i="4"/>
  <c r="I206" i="4"/>
  <c r="K206" i="4"/>
  <c r="Q206" i="4"/>
  <c r="G218" i="4"/>
  <c r="N218" i="4"/>
  <c r="J218" i="4"/>
  <c r="P218" i="4"/>
  <c r="C226" i="4"/>
  <c r="L258" i="4"/>
  <c r="H258" i="4"/>
  <c r="O258" i="4"/>
  <c r="C258" i="4"/>
  <c r="J245" i="4"/>
  <c r="Q245" i="4"/>
  <c r="M245" i="4"/>
  <c r="C245" i="4"/>
  <c r="L207" i="4"/>
  <c r="Q276" i="4"/>
  <c r="O276" i="4"/>
  <c r="O269" i="4"/>
  <c r="K269" i="4"/>
  <c r="G269" i="4"/>
  <c r="I269" i="4"/>
  <c r="O230" i="4"/>
  <c r="K230" i="4"/>
  <c r="G230" i="4"/>
  <c r="C220" i="4"/>
  <c r="G220" i="4"/>
  <c r="H306" i="4"/>
  <c r="N297" i="4"/>
  <c r="J297" i="4"/>
  <c r="Q297" i="4"/>
  <c r="L297" i="4"/>
  <c r="Q286" i="4"/>
  <c r="I286" i="4"/>
  <c r="N286" i="4"/>
  <c r="C236" i="4"/>
  <c r="G236" i="4"/>
  <c r="C294" i="4"/>
  <c r="P294" i="4"/>
  <c r="M304" i="4"/>
  <c r="I304" i="4"/>
  <c r="L304" i="4"/>
  <c r="K304" i="4"/>
  <c r="N221" i="4"/>
  <c r="J221" i="4"/>
  <c r="Q221" i="4"/>
  <c r="M221" i="4"/>
  <c r="P293" i="4"/>
  <c r="H293" i="4"/>
  <c r="C293" i="4"/>
  <c r="N235" i="4"/>
  <c r="J235" i="4"/>
  <c r="L235" i="4"/>
  <c r="L250" i="4"/>
  <c r="H250" i="4"/>
  <c r="O250" i="4"/>
  <c r="Q250" i="4"/>
  <c r="N254" i="4"/>
  <c r="J254" i="4"/>
  <c r="Q254" i="4"/>
  <c r="M254" i="4"/>
  <c r="Q225" i="4"/>
  <c r="M225" i="4"/>
  <c r="I225" i="4"/>
  <c r="C225" i="4"/>
  <c r="C256" i="4"/>
  <c r="M256" i="4"/>
  <c r="C208" i="4"/>
  <c r="N208" i="4"/>
  <c r="O213" i="4"/>
  <c r="K213" i="4"/>
  <c r="G213" i="4"/>
  <c r="H213" i="4"/>
  <c r="M302" i="4"/>
  <c r="Q234" i="4"/>
  <c r="P242" i="4"/>
  <c r="L242" i="4"/>
  <c r="H242" i="4"/>
  <c r="O242" i="4"/>
  <c r="H281" i="4"/>
  <c r="Q281" i="4"/>
  <c r="L281" i="4"/>
  <c r="M281" i="4"/>
  <c r="P203" i="4"/>
  <c r="L203" i="4"/>
  <c r="H203" i="4"/>
  <c r="O289" i="4"/>
  <c r="C192" i="4"/>
  <c r="K192" i="4"/>
  <c r="G192" i="4"/>
  <c r="N192" i="4"/>
  <c r="L244" i="4"/>
  <c r="H244" i="4"/>
  <c r="O244" i="4"/>
  <c r="J244" i="4"/>
  <c r="P228" i="4"/>
  <c r="L228" i="4"/>
  <c r="H228" i="4"/>
  <c r="I228" i="4"/>
  <c r="I198" i="4"/>
  <c r="I303" i="4"/>
  <c r="P303" i="4"/>
  <c r="L303" i="4"/>
  <c r="J274" i="4"/>
  <c r="Q274" i="4"/>
  <c r="M274" i="4"/>
  <c r="N274" i="4"/>
  <c r="I301" i="4"/>
  <c r="P301" i="4"/>
  <c r="H301" i="4"/>
  <c r="N300" i="4"/>
  <c r="P300" i="4"/>
  <c r="O232" i="4"/>
  <c r="K232" i="4"/>
  <c r="G232" i="4"/>
  <c r="I232" i="4"/>
  <c r="G233" i="4"/>
  <c r="N233" i="4"/>
  <c r="J233" i="4"/>
  <c r="K233" i="4"/>
  <c r="G247" i="4"/>
  <c r="N247" i="4"/>
  <c r="J247" i="4"/>
  <c r="K247" i="4"/>
  <c r="C292" i="4"/>
  <c r="I292" i="4"/>
  <c r="C209" i="4"/>
  <c r="P209" i="4"/>
  <c r="L209" i="4"/>
  <c r="H209" i="4"/>
  <c r="I248" i="4"/>
  <c r="P248" i="4"/>
  <c r="L248" i="4"/>
  <c r="C257" i="4"/>
  <c r="H257" i="4"/>
  <c r="Q226" i="4"/>
  <c r="M226" i="4"/>
  <c r="I226" i="4"/>
  <c r="K226" i="4"/>
  <c r="G258" i="4"/>
  <c r="N258" i="4"/>
  <c r="J258" i="4"/>
  <c r="K258" i="4"/>
  <c r="H245" i="4"/>
  <c r="P245" i="4"/>
  <c r="L245" i="4"/>
  <c r="N245" i="4"/>
  <c r="O207" i="4"/>
  <c r="N207" i="4"/>
  <c r="J207" i="4"/>
  <c r="I276" i="4"/>
  <c r="P276" i="4"/>
  <c r="K276" i="4"/>
  <c r="L276" i="4"/>
  <c r="J269" i="4"/>
  <c r="Q269" i="4"/>
  <c r="M269" i="4"/>
  <c r="J230" i="4"/>
  <c r="M230" i="4"/>
  <c r="O220" i="4"/>
  <c r="K220" i="4"/>
  <c r="M220" i="4"/>
  <c r="Q306" i="4"/>
  <c r="P306" i="4"/>
  <c r="L306" i="4"/>
  <c r="N306" i="4"/>
  <c r="P297" i="4"/>
  <c r="H297" i="4"/>
  <c r="M297" i="4"/>
  <c r="C286" i="4"/>
  <c r="H286" i="4"/>
  <c r="O236" i="4"/>
  <c r="K236" i="4"/>
  <c r="M236" i="4"/>
  <c r="L294" i="4"/>
  <c r="H294" i="4"/>
  <c r="O294" i="4"/>
  <c r="P304" i="4"/>
  <c r="H304" i="4"/>
  <c r="O304" i="4"/>
  <c r="I221" i="4"/>
  <c r="O293" i="4"/>
  <c r="M235" i="4"/>
  <c r="I235" i="4"/>
  <c r="P235" i="4"/>
  <c r="K235" i="4"/>
  <c r="G250" i="4"/>
  <c r="N250" i="4"/>
  <c r="J250" i="4"/>
  <c r="I254" i="4"/>
  <c r="C254" i="4"/>
  <c r="O225" i="4"/>
  <c r="N256" i="4"/>
  <c r="J256" i="4"/>
  <c r="Q256" i="4"/>
  <c r="H256" i="4"/>
  <c r="O208" i="4"/>
  <c r="K208" i="4"/>
  <c r="G208" i="4"/>
  <c r="I208" i="4"/>
  <c r="J213" i="4"/>
  <c r="I213" i="4"/>
  <c r="Q213" i="4"/>
  <c r="N213" i="4"/>
  <c r="P302" i="4"/>
  <c r="L302" i="4"/>
  <c r="H302" i="4"/>
  <c r="M234" i="4"/>
  <c r="I234" i="4"/>
  <c r="P234" i="4"/>
  <c r="C234" i="4"/>
  <c r="K242" i="4"/>
  <c r="G242" i="4"/>
  <c r="N242" i="4"/>
  <c r="J242" i="4"/>
  <c r="P281" i="4"/>
  <c r="K281" i="4"/>
  <c r="K203" i="4"/>
  <c r="N203" i="4"/>
  <c r="G289" i="4"/>
  <c r="O192" i="4"/>
  <c r="I192" i="4"/>
  <c r="C228" i="4"/>
  <c r="M198" i="4"/>
  <c r="O303" i="4"/>
  <c r="C247" i="4"/>
  <c r="J292" i="4"/>
  <c r="Q292" i="4"/>
  <c r="M214" i="4"/>
  <c r="I214" i="4"/>
  <c r="P214" i="4"/>
  <c r="G214" i="4"/>
  <c r="N255" i="4"/>
  <c r="M255" i="4"/>
  <c r="O196" i="4"/>
  <c r="K196" i="4"/>
  <c r="M196" i="4"/>
  <c r="Q284" i="4"/>
  <c r="M284" i="4"/>
  <c r="I284" i="4"/>
  <c r="P284" i="4"/>
  <c r="Q238" i="4"/>
  <c r="K238" i="4"/>
  <c r="G238" i="4"/>
  <c r="O238" i="4"/>
  <c r="J197" i="4"/>
  <c r="I197" i="4"/>
  <c r="Q197" i="4"/>
  <c r="H197" i="4"/>
  <c r="C271" i="4"/>
  <c r="L271" i="4"/>
  <c r="H290" i="4"/>
  <c r="O290" i="4"/>
  <c r="K290" i="4"/>
  <c r="Q290" i="4"/>
  <c r="J273" i="4"/>
  <c r="Q273" i="4"/>
  <c r="M273" i="4"/>
  <c r="I273" i="4"/>
  <c r="O291" i="4"/>
  <c r="G291" i="4"/>
  <c r="N291" i="4"/>
  <c r="Q275" i="4"/>
  <c r="J275" i="4"/>
  <c r="I222" i="4"/>
  <c r="P222" i="4"/>
  <c r="L222" i="4"/>
  <c r="J224" i="4"/>
  <c r="Q224" i="4"/>
  <c r="M224" i="4"/>
  <c r="C262" i="4"/>
  <c r="C252" i="4"/>
  <c r="I252" i="4"/>
  <c r="H266" i="4"/>
  <c r="O266" i="4"/>
  <c r="K266" i="4"/>
  <c r="G266" i="4"/>
  <c r="J265" i="4"/>
  <c r="Q265" i="4"/>
  <c r="M265" i="4"/>
  <c r="I265" i="4"/>
  <c r="K227" i="4"/>
  <c r="G227" i="4"/>
  <c r="N227" i="4"/>
  <c r="C227" i="4"/>
  <c r="P201" i="4"/>
  <c r="L201" i="4"/>
  <c r="H201" i="4"/>
  <c r="C204" i="4"/>
  <c r="J204" i="4"/>
  <c r="P305" i="4"/>
  <c r="H305" i="4"/>
  <c r="M305" i="4"/>
  <c r="C305" i="4"/>
  <c r="H210" i="4"/>
  <c r="O210" i="4"/>
  <c r="K210" i="4"/>
  <c r="G190" i="4"/>
  <c r="N240" i="4"/>
  <c r="J240" i="4"/>
  <c r="Q240" i="4"/>
  <c r="M240" i="4"/>
  <c r="P219" i="4"/>
  <c r="L219" i="4"/>
  <c r="H219" i="4"/>
  <c r="G219" i="4"/>
  <c r="K195" i="4"/>
  <c r="L195" i="4"/>
  <c r="O195" i="4"/>
  <c r="G280" i="4"/>
  <c r="I263" i="4"/>
  <c r="P263" i="4"/>
  <c r="L263" i="4"/>
  <c r="H263" i="4"/>
  <c r="N217" i="4"/>
  <c r="J217" i="4"/>
  <c r="M217" i="4"/>
  <c r="I217" i="4"/>
  <c r="J243" i="4"/>
  <c r="C243" i="4"/>
  <c r="M243" i="4"/>
  <c r="O253" i="4"/>
  <c r="K253" i="4"/>
  <c r="K285" i="4"/>
  <c r="G285" i="4"/>
  <c r="N285" i="4"/>
  <c r="C285" i="4"/>
  <c r="N191" i="4"/>
  <c r="J191" i="4"/>
  <c r="Q191" i="4"/>
  <c r="M191" i="4"/>
  <c r="N239" i="4"/>
  <c r="C239" i="4"/>
  <c r="H239" i="4"/>
  <c r="Q295" i="4"/>
  <c r="Q231" i="4"/>
  <c r="M231" i="4"/>
  <c r="I231" i="4"/>
  <c r="C231" i="4"/>
  <c r="O267" i="4"/>
  <c r="K267" i="4"/>
  <c r="G267" i="4"/>
  <c r="K194" i="4"/>
  <c r="J194" i="4"/>
  <c r="O194" i="4"/>
  <c r="G194" i="4"/>
  <c r="P246" i="4"/>
  <c r="L246" i="4"/>
  <c r="N246" i="4"/>
  <c r="Q296" i="4"/>
  <c r="M296" i="4"/>
  <c r="I296" i="4"/>
  <c r="L296" i="4"/>
  <c r="Q215" i="4"/>
  <c r="M215" i="4"/>
  <c r="I215" i="4"/>
  <c r="P215" i="4"/>
  <c r="O268" i="4"/>
  <c r="K268" i="4"/>
  <c r="N272" i="4"/>
  <c r="P272" i="4"/>
  <c r="C211" i="4"/>
  <c r="N211" i="4"/>
  <c r="K211" i="4"/>
  <c r="K259" i="4"/>
  <c r="G259" i="4"/>
  <c r="N259" i="4"/>
  <c r="P241" i="4"/>
  <c r="L241" i="4"/>
  <c r="H241" i="4"/>
  <c r="G249" i="4"/>
  <c r="N249" i="4"/>
  <c r="J249" i="4"/>
  <c r="Q249" i="4"/>
  <c r="L287" i="4"/>
  <c r="H287" i="4"/>
  <c r="O287" i="4"/>
  <c r="C287" i="4"/>
  <c r="N251" i="4"/>
  <c r="J251" i="4"/>
  <c r="C261" i="4"/>
  <c r="O261" i="4"/>
  <c r="C202" i="4"/>
  <c r="L202" i="4"/>
  <c r="H202" i="4"/>
  <c r="I202" i="4"/>
  <c r="N279" i="4"/>
  <c r="I279" i="4"/>
  <c r="M279" i="4"/>
  <c r="G279" i="4"/>
  <c r="K260" i="4"/>
  <c r="G260" i="4"/>
  <c r="N260" i="4"/>
  <c r="G216" i="4"/>
  <c r="C212" i="4"/>
  <c r="O212" i="4"/>
  <c r="Q212" i="4"/>
  <c r="H212" i="4"/>
  <c r="K270" i="4"/>
  <c r="G270" i="4"/>
  <c r="N270" i="4"/>
  <c r="O270" i="4"/>
  <c r="C264" i="4"/>
  <c r="Q299" i="4"/>
  <c r="M299" i="4"/>
  <c r="I299" i="4"/>
  <c r="M223" i="4"/>
  <c r="I223" i="4"/>
  <c r="P223" i="4"/>
  <c r="L223" i="4"/>
  <c r="Q199" i="4"/>
  <c r="M199" i="4"/>
  <c r="I199" i="4"/>
  <c r="K199" i="4"/>
  <c r="I298" i="4"/>
  <c r="C298" i="4"/>
  <c r="L298" i="4"/>
  <c r="C277" i="4"/>
  <c r="K277" i="4"/>
  <c r="Q288" i="4"/>
  <c r="M288" i="4"/>
  <c r="I288" i="4"/>
  <c r="O288" i="4"/>
  <c r="H205" i="4"/>
  <c r="O205" i="4"/>
  <c r="Q205" i="4"/>
  <c r="M205" i="4"/>
  <c r="I237" i="4"/>
  <c r="M237" i="4"/>
  <c r="O278" i="4"/>
  <c r="K278" i="4"/>
  <c r="I278" i="4"/>
  <c r="C200" i="4"/>
  <c r="O200" i="4"/>
  <c r="Q200" i="4"/>
  <c r="M200" i="4"/>
  <c r="L283" i="4"/>
  <c r="H283" i="4"/>
  <c r="K283" i="4"/>
  <c r="P283" i="4"/>
  <c r="H206" i="4"/>
  <c r="O206" i="4"/>
  <c r="H214" i="4"/>
  <c r="O214" i="4"/>
  <c r="K214" i="4"/>
  <c r="C255" i="4"/>
  <c r="Q255" i="4"/>
  <c r="H255" i="4"/>
  <c r="C196" i="4"/>
  <c r="J196" i="4"/>
  <c r="Q196" i="4"/>
  <c r="I196" i="4"/>
  <c r="H284" i="4"/>
  <c r="O284" i="4"/>
  <c r="G284" i="4"/>
  <c r="L284" i="4"/>
  <c r="J238" i="4"/>
  <c r="C238" i="4"/>
  <c r="N238" i="4"/>
  <c r="M271" i="4"/>
  <c r="I271" i="4"/>
  <c r="P271" i="4"/>
  <c r="G271" i="4"/>
  <c r="N290" i="4"/>
  <c r="M290" i="4"/>
  <c r="J290" i="4"/>
  <c r="P273" i="4"/>
  <c r="L273" i="4"/>
  <c r="H273" i="4"/>
  <c r="N273" i="4"/>
  <c r="C291" i="4"/>
  <c r="I275" i="4"/>
  <c r="P275" i="4"/>
  <c r="L275" i="4"/>
  <c r="O222" i="4"/>
  <c r="K222" i="4"/>
  <c r="G222" i="4"/>
  <c r="H222" i="4"/>
  <c r="P224" i="4"/>
  <c r="L224" i="4"/>
  <c r="H224" i="4"/>
  <c r="I224" i="4"/>
  <c r="P262" i="4"/>
  <c r="L262" i="4"/>
  <c r="G262" i="4"/>
  <c r="J252" i="4"/>
  <c r="Q252" i="4"/>
  <c r="M252" i="4"/>
  <c r="K252" i="4"/>
  <c r="N266" i="4"/>
  <c r="J266" i="4"/>
  <c r="M266" i="4"/>
  <c r="I266" i="4"/>
  <c r="H265" i="4"/>
  <c r="P265" i="4"/>
  <c r="L265" i="4"/>
  <c r="I227" i="4"/>
  <c r="C201" i="4"/>
  <c r="K201" i="4"/>
  <c r="G201" i="4"/>
  <c r="N201" i="4"/>
  <c r="K204" i="4"/>
  <c r="G204" i="4"/>
  <c r="N204" i="4"/>
  <c r="L204" i="4"/>
  <c r="G305" i="4"/>
  <c r="J210" i="4"/>
  <c r="N210" i="4"/>
  <c r="Q210" i="4"/>
  <c r="C190" i="4"/>
  <c r="M190" i="4"/>
  <c r="I190" i="4"/>
  <c r="O190" i="4"/>
  <c r="I240" i="4"/>
  <c r="P240" i="4"/>
  <c r="L240" i="4"/>
  <c r="H240" i="4"/>
  <c r="O219" i="4"/>
  <c r="K219" i="4"/>
  <c r="C219" i="4"/>
  <c r="G195" i="4"/>
  <c r="N195" i="4"/>
  <c r="M280" i="4"/>
  <c r="I280" i="4"/>
  <c r="O280" i="4"/>
  <c r="C280" i="4"/>
  <c r="O263" i="4"/>
  <c r="K263" i="4"/>
  <c r="G263" i="4"/>
  <c r="N263" i="4"/>
  <c r="Q217" i="4"/>
  <c r="Q243" i="4"/>
  <c r="H243" i="4"/>
  <c r="G253" i="4"/>
  <c r="N253" i="4"/>
  <c r="J253" i="4"/>
  <c r="Q253" i="4"/>
  <c r="M285" i="4"/>
  <c r="L285" i="4"/>
  <c r="Q285" i="4"/>
  <c r="I285" i="4"/>
  <c r="I191" i="4"/>
  <c r="O191" i="4"/>
  <c r="G191" i="4"/>
  <c r="L191" i="4"/>
  <c r="Q239" i="4"/>
  <c r="M239" i="4"/>
  <c r="M295" i="4"/>
  <c r="I295" i="4"/>
  <c r="P295" i="4"/>
  <c r="L295" i="4"/>
  <c r="L231" i="4"/>
  <c r="H231" i="4"/>
  <c r="O231" i="4"/>
  <c r="K231" i="4"/>
  <c r="J267" i="4"/>
  <c r="C267" i="4"/>
  <c r="M267" i="4"/>
  <c r="I194" i="4"/>
  <c r="O246" i="4"/>
  <c r="K246" i="4"/>
  <c r="G246" i="4"/>
  <c r="Q246" i="4"/>
  <c r="K296" i="4"/>
  <c r="P296" i="4"/>
  <c r="H296" i="4"/>
  <c r="L215" i="4"/>
  <c r="H215" i="4"/>
  <c r="O215" i="4"/>
  <c r="K215" i="4"/>
  <c r="C268" i="4"/>
  <c r="N268" i="4"/>
  <c r="Q272" i="4"/>
  <c r="M272" i="4"/>
  <c r="I272" i="4"/>
  <c r="G272" i="4"/>
  <c r="Q211" i="4"/>
  <c r="M211" i="4"/>
  <c r="I211" i="4"/>
  <c r="P211" i="4"/>
  <c r="C259" i="4"/>
  <c r="J259" i="4"/>
  <c r="C241" i="4"/>
  <c r="P282" i="4"/>
  <c r="O282" i="4"/>
  <c r="K282" i="4"/>
  <c r="G282" i="4"/>
  <c r="M249" i="4"/>
  <c r="I249" i="4"/>
  <c r="L249" i="4"/>
  <c r="N287" i="4"/>
  <c r="K287" i="4"/>
  <c r="J287" i="4"/>
  <c r="P287" i="4"/>
  <c r="C251" i="4"/>
  <c r="Q251" i="4"/>
  <c r="K261" i="4"/>
  <c r="G261" i="4"/>
  <c r="N261" i="4"/>
  <c r="H261" i="4"/>
  <c r="P202" i="4"/>
  <c r="G202" i="4"/>
  <c r="N202" i="4"/>
  <c r="O202" i="4"/>
  <c r="Q279" i="4"/>
  <c r="K279" i="4"/>
  <c r="C279" i="4"/>
  <c r="J279" i="4"/>
  <c r="C260" i="4"/>
  <c r="I260" i="4"/>
  <c r="C216" i="4"/>
  <c r="O216" i="4"/>
  <c r="K216" i="4"/>
  <c r="M216" i="4"/>
  <c r="N212" i="4"/>
  <c r="J212" i="4"/>
  <c r="L212" i="4"/>
  <c r="G212" i="4"/>
  <c r="Q270" i="4"/>
  <c r="M270" i="4"/>
  <c r="I270" i="4"/>
  <c r="C270" i="4"/>
  <c r="N264" i="4"/>
  <c r="J264" i="4"/>
  <c r="Q264" i="4"/>
  <c r="P299" i="4"/>
  <c r="L299" i="4"/>
  <c r="H299" i="4"/>
  <c r="K299" i="4"/>
  <c r="H223" i="4"/>
  <c r="K223" i="4"/>
  <c r="G223" i="4"/>
  <c r="L199" i="4"/>
  <c r="H199" i="4"/>
  <c r="O199" i="4"/>
  <c r="P298" i="4"/>
  <c r="G298" i="4"/>
  <c r="N277" i="4"/>
  <c r="J277" i="4"/>
  <c r="P277" i="4"/>
  <c r="H277" i="4"/>
  <c r="K288" i="4"/>
  <c r="P288" i="4"/>
  <c r="H288" i="4"/>
  <c r="C288" i="4"/>
  <c r="N205" i="4"/>
  <c r="J205" i="4"/>
  <c r="P237" i="4"/>
  <c r="C237" i="4"/>
  <c r="P278" i="4"/>
  <c r="J278" i="4"/>
  <c r="N278" i="4"/>
  <c r="N200" i="4"/>
  <c r="J200" i="4"/>
  <c r="P200" i="4"/>
  <c r="G200" i="4"/>
  <c r="O283" i="4"/>
  <c r="G283" i="4"/>
  <c r="N283" i="4"/>
  <c r="N206" i="4"/>
  <c r="J206" i="4"/>
  <c r="G206" i="4"/>
  <c r="Q218" i="4"/>
  <c r="M218" i="4"/>
  <c r="I218" i="4"/>
  <c r="K218" i="4"/>
  <c r="L226" i="4"/>
  <c r="H226" i="4"/>
  <c r="O226" i="4"/>
  <c r="Q258" i="4"/>
  <c r="M258" i="4"/>
  <c r="P258" i="4"/>
  <c r="C207" i="4"/>
  <c r="M207" i="4"/>
  <c r="I207" i="4"/>
  <c r="P207" i="4"/>
  <c r="J276" i="4"/>
  <c r="N276" i="4"/>
  <c r="H276" i="4"/>
  <c r="L269" i="4"/>
  <c r="H269" i="4"/>
  <c r="P269" i="4"/>
  <c r="C230" i="4"/>
  <c r="Q230" i="4"/>
  <c r="H230" i="4"/>
  <c r="N220" i="4"/>
  <c r="J220" i="4"/>
  <c r="Q220" i="4"/>
  <c r="P220" i="4"/>
  <c r="O306" i="4"/>
  <c r="K306" i="4"/>
  <c r="G306" i="4"/>
  <c r="C306" i="4"/>
  <c r="C297" i="4"/>
  <c r="G297" i="4"/>
  <c r="P286" i="4"/>
  <c r="L286" i="4"/>
  <c r="J286" i="4"/>
  <c r="N236" i="4"/>
  <c r="J236" i="4"/>
  <c r="Q236" i="4"/>
  <c r="H236" i="4"/>
  <c r="G294" i="4"/>
  <c r="J294" i="4"/>
  <c r="Q294" i="4"/>
  <c r="K294" i="4"/>
  <c r="C304" i="4"/>
  <c r="G304" i="4"/>
  <c r="C221" i="4"/>
  <c r="P221" i="4"/>
  <c r="L221" i="4"/>
  <c r="K293" i="4"/>
  <c r="G293" i="4"/>
  <c r="N293" i="4"/>
  <c r="J293" i="4"/>
  <c r="H235" i="4"/>
  <c r="G235" i="4"/>
  <c r="O235" i="4"/>
  <c r="M250" i="4"/>
  <c r="I250" i="4"/>
  <c r="P250" i="4"/>
  <c r="P254" i="4"/>
  <c r="L254" i="4"/>
  <c r="P225" i="4"/>
  <c r="L225" i="4"/>
  <c r="H225" i="4"/>
  <c r="J225" i="4"/>
  <c r="I256" i="4"/>
  <c r="P256" i="4"/>
  <c r="L256" i="4"/>
  <c r="J208" i="4"/>
  <c r="Q208" i="4"/>
  <c r="M208" i="4"/>
  <c r="O302" i="4"/>
  <c r="K302" i="4"/>
  <c r="G302" i="4"/>
  <c r="J302" i="4"/>
  <c r="H234" i="4"/>
  <c r="O234" i="4"/>
  <c r="K234" i="4"/>
  <c r="L234" i="4"/>
  <c r="I242" i="4"/>
  <c r="Q242" i="4"/>
  <c r="M242" i="4"/>
  <c r="G281" i="4"/>
  <c r="C203" i="4"/>
  <c r="I203" i="4"/>
  <c r="Q289" i="4"/>
  <c r="I289" i="4"/>
  <c r="P289" i="4"/>
  <c r="J289" i="4"/>
  <c r="J192" i="4"/>
  <c r="H192" i="4"/>
  <c r="M192" i="4"/>
  <c r="N244" i="4"/>
  <c r="K244" i="4"/>
  <c r="O228" i="4"/>
  <c r="K228" i="4"/>
  <c r="G228" i="4"/>
  <c r="N228" i="4"/>
  <c r="P198" i="4"/>
  <c r="L198" i="4"/>
  <c r="H198" i="4"/>
  <c r="J198" i="4"/>
  <c r="J303" i="4"/>
  <c r="C303" i="4"/>
  <c r="H303" i="4"/>
  <c r="P274" i="4"/>
  <c r="L274" i="4"/>
  <c r="I274" i="4"/>
  <c r="O301" i="4"/>
  <c r="K301" i="4"/>
  <c r="G301" i="4"/>
  <c r="N301" i="4"/>
  <c r="H300" i="4"/>
  <c r="O300" i="4"/>
  <c r="G300" i="4"/>
  <c r="C300" i="4"/>
  <c r="H232" i="4"/>
  <c r="P232" i="4"/>
  <c r="L232" i="4"/>
  <c r="N232" i="4"/>
  <c r="C233" i="4"/>
  <c r="P233" i="4"/>
  <c r="Q247" i="4"/>
  <c r="M247" i="4"/>
  <c r="I247" i="4"/>
  <c r="P247" i="4"/>
  <c r="P292" i="4"/>
  <c r="H292" i="4"/>
  <c r="O292" i="4"/>
  <c r="G292" i="4"/>
  <c r="J209" i="4"/>
  <c r="Q209" i="4"/>
  <c r="M209" i="4"/>
  <c r="I209" i="4"/>
  <c r="C248" i="4"/>
  <c r="N257" i="4"/>
  <c r="J257" i="4"/>
  <c r="Q257" i="4"/>
  <c r="P285" i="4"/>
  <c r="H191" i="4"/>
  <c r="P239" i="4"/>
  <c r="Q267" i="4"/>
  <c r="H267" i="4"/>
  <c r="C194" i="4"/>
  <c r="Q194" i="4"/>
  <c r="M194" i="4"/>
  <c r="N194" i="4"/>
  <c r="J246" i="4"/>
  <c r="M246" i="4"/>
  <c r="H272" i="4"/>
  <c r="C272" i="4"/>
  <c r="H211" i="4"/>
  <c r="J211" i="4"/>
  <c r="M259" i="4"/>
  <c r="I259" i="4"/>
  <c r="K241" i="4"/>
  <c r="N282" i="4"/>
  <c r="M282" i="4"/>
  <c r="P249" i="4"/>
  <c r="C249" i="4"/>
  <c r="H249" i="4"/>
  <c r="G251" i="4"/>
  <c r="M261" i="4"/>
  <c r="J261" i="4"/>
  <c r="J202" i="4"/>
  <c r="J260" i="4"/>
  <c r="M260" i="4"/>
  <c r="N216" i="4"/>
  <c r="Q216" i="4"/>
  <c r="L216" i="4"/>
  <c r="P212" i="4"/>
  <c r="M264" i="4"/>
  <c r="I264" i="4"/>
  <c r="P264" i="4"/>
  <c r="L264" i="4"/>
  <c r="J299" i="4"/>
  <c r="O299" i="4"/>
  <c r="G299" i="4"/>
  <c r="J199" i="4"/>
  <c r="H298" i="4"/>
  <c r="K298" i="4"/>
  <c r="O277" i="4"/>
  <c r="M277" i="4"/>
  <c r="G288" i="4"/>
  <c r="L278" i="4"/>
  <c r="C283" i="4"/>
  <c r="N226" i="4"/>
  <c r="O245" i="4"/>
  <c r="G245" i="4"/>
  <c r="Q207" i="4"/>
  <c r="K207" i="4"/>
  <c r="G276" i="4"/>
  <c r="M276" i="4"/>
  <c r="C269" i="4"/>
  <c r="I230" i="4"/>
  <c r="L230" i="4"/>
  <c r="L220" i="4"/>
  <c r="O297" i="4"/>
  <c r="K297" i="4"/>
  <c r="I297" i="4"/>
  <c r="O286" i="4"/>
  <c r="K286" i="4"/>
  <c r="G286" i="4"/>
  <c r="I236" i="4"/>
  <c r="P236" i="4"/>
  <c r="I294" i="4"/>
  <c r="N304" i="4"/>
  <c r="J304" i="4"/>
  <c r="Q304" i="4"/>
  <c r="H221" i="4"/>
  <c r="O221" i="4"/>
  <c r="G221" i="4"/>
  <c r="L293" i="4"/>
  <c r="I293" i="4"/>
  <c r="Q235" i="4"/>
  <c r="C235" i="4"/>
  <c r="C250" i="4"/>
  <c r="G225" i="4"/>
  <c r="O256" i="4"/>
  <c r="K256" i="4"/>
  <c r="G256" i="4"/>
  <c r="L213" i="4"/>
  <c r="Q302" i="4"/>
  <c r="N302" i="4"/>
  <c r="N234" i="4"/>
  <c r="M203" i="4"/>
  <c r="L289" i="4"/>
  <c r="H289" i="4"/>
  <c r="P192" i="4"/>
  <c r="Q244" i="4"/>
  <c r="M244" i="4"/>
  <c r="I244" i="4"/>
  <c r="K198" i="4"/>
  <c r="G198" i="4"/>
  <c r="N198" i="4"/>
  <c r="Q303" i="4"/>
  <c r="K303" i="4"/>
  <c r="O274" i="4"/>
  <c r="K274" i="4"/>
  <c r="G274" i="4"/>
  <c r="L292" i="4"/>
  <c r="K292" i="4"/>
  <c r="N248" i="4"/>
  <c r="J248" i="4"/>
  <c r="Q248" i="4"/>
  <c r="M248" i="4"/>
  <c r="P257" i="4"/>
  <c r="L257" i="4"/>
  <c r="N281" i="4"/>
  <c r="K289" i="4"/>
  <c r="C289" i="4"/>
  <c r="Q192" i="4"/>
  <c r="C244" i="4"/>
  <c r="C198" i="4"/>
  <c r="O198" i="4"/>
  <c r="N303" i="4"/>
  <c r="C274" i="4"/>
  <c r="H274" i="4"/>
  <c r="C301" i="4"/>
  <c r="L300" i="4"/>
  <c r="M232" i="4"/>
  <c r="M292" i="4"/>
  <c r="O209" i="4"/>
  <c r="K209" i="4"/>
  <c r="N209" i="4"/>
  <c r="O248" i="4"/>
  <c r="H248" i="4"/>
  <c r="K257" i="4"/>
  <c r="N214" i="4"/>
  <c r="J214" i="4"/>
  <c r="Q214" i="4"/>
  <c r="I255" i="4"/>
  <c r="P255" i="4"/>
  <c r="L255" i="4"/>
  <c r="J255" i="4"/>
  <c r="N196" i="4"/>
  <c r="P196" i="4"/>
  <c r="L196" i="4"/>
  <c r="K284" i="4"/>
  <c r="C284" i="4"/>
  <c r="P238" i="4"/>
  <c r="H238" i="4"/>
  <c r="C197" i="4"/>
  <c r="P197" i="4"/>
  <c r="L197" i="4"/>
  <c r="N197" i="4"/>
  <c r="H271" i="4"/>
  <c r="O271" i="4"/>
  <c r="K271" i="4"/>
  <c r="Q271" i="4"/>
  <c r="I290" i="4"/>
  <c r="C290" i="4"/>
  <c r="L290" i="4"/>
  <c r="Q291" i="4"/>
  <c r="M291" i="4"/>
  <c r="I291" i="4"/>
  <c r="P291" i="4"/>
  <c r="O275" i="4"/>
  <c r="K275" i="4"/>
  <c r="G275" i="4"/>
  <c r="H275" i="4"/>
  <c r="J222" i="4"/>
  <c r="C222" i="4"/>
  <c r="M222" i="4"/>
  <c r="C224" i="4"/>
  <c r="M262" i="4"/>
  <c r="H262" i="4"/>
  <c r="K262" i="4"/>
  <c r="I262" i="4"/>
  <c r="P252" i="4"/>
  <c r="L252" i="4"/>
  <c r="H252" i="4"/>
  <c r="Q266" i="4"/>
  <c r="C266" i="4"/>
  <c r="C265" i="4"/>
  <c r="J227" i="4"/>
  <c r="Q227" i="4"/>
  <c r="M227" i="4"/>
  <c r="O227" i="4"/>
  <c r="O201" i="4"/>
  <c r="M201" i="4"/>
  <c r="I201" i="4"/>
  <c r="Q201" i="4"/>
  <c r="Q204" i="4"/>
  <c r="M204" i="4"/>
  <c r="I204" i="4"/>
  <c r="O305" i="4"/>
  <c r="K305" i="4"/>
  <c r="I305" i="4"/>
  <c r="C210" i="4"/>
  <c r="L210" i="4"/>
  <c r="Q190" i="4"/>
  <c r="H190" i="4"/>
  <c r="J190" i="4"/>
  <c r="P190" i="4"/>
  <c r="O240" i="4"/>
  <c r="K240" i="4"/>
  <c r="G240" i="4"/>
  <c r="N219" i="4"/>
  <c r="C195" i="4"/>
  <c r="Q195" i="4"/>
  <c r="M195" i="4"/>
  <c r="I195" i="4"/>
  <c r="N280" i="4"/>
  <c r="H280" i="4"/>
  <c r="L280" i="4"/>
  <c r="Q280" i="4"/>
  <c r="J263" i="4"/>
  <c r="C263" i="4"/>
  <c r="C217" i="4"/>
  <c r="P217" i="4"/>
  <c r="L217" i="4"/>
  <c r="I243" i="4"/>
  <c r="P243" i="4"/>
  <c r="L243" i="4"/>
  <c r="N243" i="4"/>
  <c r="M253" i="4"/>
  <c r="I253" i="4"/>
  <c r="P253" i="4"/>
  <c r="H285" i="4"/>
  <c r="O285" i="4"/>
  <c r="K191" i="4"/>
  <c r="P191" i="4"/>
  <c r="I239" i="4"/>
  <c r="L239" i="4"/>
  <c r="H295" i="4"/>
  <c r="O295" i="4"/>
  <c r="G295" i="4"/>
  <c r="N295" i="4"/>
  <c r="G231" i="4"/>
  <c r="P231" i="4"/>
  <c r="I246" i="4"/>
  <c r="G296" i="4"/>
  <c r="O296" i="4"/>
  <c r="G215" i="4"/>
  <c r="J268" i="4"/>
  <c r="Q268" i="4"/>
  <c r="M268" i="4"/>
  <c r="I268" i="4"/>
  <c r="L272" i="4"/>
  <c r="K272" i="4"/>
  <c r="L211" i="4"/>
  <c r="O211" i="4"/>
  <c r="Q259" i="4"/>
  <c r="O241" i="4"/>
  <c r="G241" i="4"/>
  <c r="N241" i="4"/>
  <c r="I282" i="4"/>
  <c r="H282" i="4"/>
  <c r="M251" i="4"/>
  <c r="I251" i="4"/>
  <c r="P251" i="4"/>
  <c r="Q261" i="4"/>
  <c r="I261" i="4"/>
  <c r="K202" i="4"/>
  <c r="P279" i="4"/>
  <c r="Q260" i="4"/>
  <c r="O260" i="4"/>
  <c r="J216" i="4"/>
  <c r="I212" i="4"/>
  <c r="C223" i="4"/>
  <c r="O223" i="4"/>
  <c r="G199" i="4"/>
  <c r="O298" i="4"/>
  <c r="Q298" i="4"/>
  <c r="I277" i="4"/>
  <c r="J288" i="4"/>
  <c r="I205" i="4"/>
  <c r="P205" i="4"/>
  <c r="L205" i="4"/>
  <c r="H237" i="4"/>
  <c r="O237" i="4"/>
  <c r="K237" i="4"/>
  <c r="L237" i="4"/>
  <c r="M278" i="4"/>
  <c r="H278" i="4"/>
  <c r="Q278" i="4"/>
  <c r="I200" i="4"/>
  <c r="H200" i="4"/>
  <c r="C206" i="4"/>
  <c r="P206" i="4"/>
  <c r="L206" i="4"/>
  <c r="L218" i="4"/>
  <c r="H218" i="4"/>
  <c r="O218" i="4"/>
  <c r="C218" i="4"/>
  <c r="G226" i="4"/>
  <c r="J226" i="4"/>
  <c r="P226" i="4"/>
  <c r="I258" i="4"/>
  <c r="K245" i="4"/>
  <c r="I245" i="4"/>
  <c r="H207" i="4"/>
  <c r="G207" i="4"/>
  <c r="C276" i="4"/>
  <c r="N269" i="4"/>
  <c r="P230" i="4"/>
  <c r="N230" i="4"/>
  <c r="I220" i="4"/>
  <c r="H220" i="4"/>
  <c r="M306" i="4"/>
  <c r="J306" i="4"/>
  <c r="I306" i="4"/>
  <c r="M286" i="4"/>
  <c r="L236" i="4"/>
  <c r="N294" i="4"/>
  <c r="M294" i="4"/>
  <c r="K221" i="4"/>
  <c r="M293" i="4"/>
  <c r="Q293" i="4"/>
  <c r="K250" i="4"/>
  <c r="H254" i="4"/>
  <c r="O254" i="4"/>
  <c r="K254" i="4"/>
  <c r="G254" i="4"/>
  <c r="K225" i="4"/>
  <c r="N225" i="4"/>
  <c r="P208" i="4"/>
  <c r="L208" i="4"/>
  <c r="H208" i="4"/>
  <c r="C213" i="4"/>
  <c r="P213" i="4"/>
  <c r="M213" i="4"/>
  <c r="I302" i="4"/>
  <c r="C302" i="4"/>
  <c r="J234" i="4"/>
  <c r="G234" i="4"/>
  <c r="C242" i="4"/>
  <c r="J281" i="4"/>
  <c r="O281" i="4"/>
  <c r="I281" i="4"/>
  <c r="C281" i="4"/>
  <c r="J203" i="4"/>
  <c r="Q203" i="4"/>
  <c r="G203" i="4"/>
  <c r="M289" i="4"/>
  <c r="J228" i="4"/>
  <c r="Q228" i="4"/>
  <c r="M228" i="4"/>
  <c r="J301" i="4"/>
  <c r="M301" i="4"/>
  <c r="L301" i="4"/>
  <c r="Q301" i="4"/>
  <c r="K300" i="4"/>
  <c r="J300" i="4"/>
  <c r="L233" i="4"/>
  <c r="H233" i="4"/>
  <c r="O233" i="4"/>
  <c r="M233" i="4"/>
  <c r="L247" i="4"/>
  <c r="H247" i="4"/>
  <c r="O247" i="4"/>
  <c r="N292" i="4"/>
  <c r="I257" i="4"/>
  <c r="M257" i="4"/>
  <c r="O203" i="4"/>
  <c r="N289" i="4"/>
  <c r="L192" i="4"/>
  <c r="G244" i="4"/>
  <c r="P244" i="4"/>
  <c r="Q198" i="4"/>
  <c r="G303" i="4"/>
  <c r="M303" i="4"/>
  <c r="Q300" i="4"/>
  <c r="M300" i="4"/>
  <c r="I300" i="4"/>
  <c r="J232" i="4"/>
  <c r="Q232" i="4"/>
  <c r="C232" i="4"/>
  <c r="I233" i="4"/>
  <c r="Q233" i="4"/>
  <c r="G209" i="4"/>
  <c r="G248" i="4"/>
  <c r="K248" i="4"/>
  <c r="O257" i="4"/>
  <c r="G257" i="4"/>
  <c r="Q4" i="4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<sst xmlns="http://schemas.openxmlformats.org/spreadsheetml/2006/main" count="353" uniqueCount="275">
  <si>
    <t>코드</t>
  </si>
  <si>
    <t>CDYLDAVG1</t>
  </si>
  <si>
    <t>CDYLDAVG2</t>
  </si>
  <si>
    <t>CDYLDAVG3</t>
  </si>
  <si>
    <t>CDYLDAVG4</t>
  </si>
  <si>
    <t>CDYLDAVG5</t>
  </si>
  <si>
    <t>CDYLDAVG6</t>
  </si>
  <si>
    <t>CDYLDAVG7</t>
  </si>
  <si>
    <t>CDYLDAVG8</t>
  </si>
  <si>
    <t>CDYLDAV41</t>
  </si>
  <si>
    <t>CDYLDAV42</t>
  </si>
  <si>
    <t>CDYLDAV43</t>
  </si>
  <si>
    <t>CDYLDAV44</t>
  </si>
  <si>
    <t>CDYLDAV45</t>
  </si>
  <si>
    <t>CDYLDAV46</t>
  </si>
  <si>
    <t>CDYLDAV47</t>
  </si>
  <si>
    <t>CDYLDAV48</t>
  </si>
  <si>
    <t>CDYLDKBP1</t>
  </si>
  <si>
    <t>CDYLDKBP2</t>
  </si>
  <si>
    <t>CDYLDKBP3</t>
  </si>
  <si>
    <t>CDYLDKBP4</t>
  </si>
  <si>
    <t>CDYLDKBP5</t>
  </si>
  <si>
    <t>CDYLDKBP6</t>
  </si>
  <si>
    <t>CDYLDKBP7</t>
  </si>
  <si>
    <t>CDYLDKBP8</t>
  </si>
  <si>
    <t>CDYLDKIS1</t>
  </si>
  <si>
    <t>CDYLDKIS2</t>
  </si>
  <si>
    <t>CDYLDKIS3</t>
  </si>
  <si>
    <t>CDYLDKIS4</t>
  </si>
  <si>
    <t>CDYLDKIS5</t>
  </si>
  <si>
    <t>CDYLDKIS6</t>
  </si>
  <si>
    <t>CDYLDKIS7</t>
  </si>
  <si>
    <t>CDYLDKIS8</t>
  </si>
  <si>
    <t>CDYLDNIC1</t>
  </si>
  <si>
    <t>CDYLDNIC2</t>
  </si>
  <si>
    <t>CDYLDNIC3</t>
  </si>
  <si>
    <t>CDYLDNIC4</t>
  </si>
  <si>
    <t>CDYLDNIC5</t>
  </si>
  <si>
    <t>CDYLDNIC6</t>
  </si>
  <si>
    <t>CDYLDNIC7</t>
  </si>
  <si>
    <t>CDYLDNIC8</t>
  </si>
  <si>
    <t>CDYLDFNP1</t>
  </si>
  <si>
    <t>CDYLDFNP2</t>
  </si>
  <si>
    <t>CDYLDFNP3</t>
  </si>
  <si>
    <t>CDYLDFNP4</t>
  </si>
  <si>
    <t>CDYLDFNP5</t>
  </si>
  <si>
    <t>CDYLDFNP6</t>
  </si>
  <si>
    <t>CDYLDFNP7</t>
  </si>
  <si>
    <t>CDYLDFNP8</t>
  </si>
  <si>
    <t>CPYLDAVG1</t>
  </si>
  <si>
    <t>CPYLDAVG2</t>
  </si>
  <si>
    <t>CPYLDAVG3</t>
  </si>
  <si>
    <t>CPYLDAVG4</t>
  </si>
  <si>
    <t>CPYLDAVG5</t>
  </si>
  <si>
    <t>CPYLDAVG6</t>
  </si>
  <si>
    <t>CPYLDAVG7</t>
  </si>
  <si>
    <t>CPYLDAV41</t>
  </si>
  <si>
    <t>CPYLDAV42</t>
  </si>
  <si>
    <t>CPYLDAV43</t>
  </si>
  <si>
    <t>CPYLDAV44</t>
  </si>
  <si>
    <t>CPYLDAV45</t>
  </si>
  <si>
    <t>CPYLDAV46</t>
  </si>
  <si>
    <t>CPYLDAV47</t>
  </si>
  <si>
    <t>CPYLDKBP1</t>
  </si>
  <si>
    <t>CPYLDKBP2</t>
  </si>
  <si>
    <t>CPYLDKBP3</t>
  </si>
  <si>
    <t>CPYLDKBP4</t>
  </si>
  <si>
    <t>CPYLDKBP5</t>
  </si>
  <si>
    <t>CPYLDKBP6</t>
  </si>
  <si>
    <t>CPYLDKBP7</t>
  </si>
  <si>
    <t>CPYLDKIS1</t>
  </si>
  <si>
    <t>CPYLDKIS2</t>
  </si>
  <si>
    <t>CPYLDKIS3</t>
  </si>
  <si>
    <t>CPYLDKIS4</t>
  </si>
  <si>
    <t>CPYLDKIS5</t>
  </si>
  <si>
    <t>CPYLDKIS6</t>
  </si>
  <si>
    <t>CPYLDKIS7</t>
  </si>
  <si>
    <t>CPYLDNIC1</t>
  </si>
  <si>
    <t>CPYLDNIC2</t>
  </si>
  <si>
    <t>CPYLDNIC3</t>
  </si>
  <si>
    <t>CPYLDNIC4</t>
  </si>
  <si>
    <t>CPYLDNIC5</t>
  </si>
  <si>
    <t>CPYLDNIC6</t>
  </si>
  <si>
    <t>CPYLDNIC7</t>
  </si>
  <si>
    <t>CPYLDFNP1</t>
  </si>
  <si>
    <t>CPYLDFNP2</t>
  </si>
  <si>
    <t>CPYLDFNP3</t>
  </si>
  <si>
    <t>CPYLDFNP4</t>
  </si>
  <si>
    <t>CPYLDFNP5</t>
  </si>
  <si>
    <t>CPYLDFNP6</t>
  </si>
  <si>
    <t>CPYLDFNP7</t>
  </si>
  <si>
    <t>CRDLIST030502</t>
  </si>
  <si>
    <t>조회건수</t>
  </si>
  <si>
    <t>일자</t>
  </si>
  <si>
    <t>조회기준</t>
  </si>
  <si>
    <t>정렬기준</t>
  </si>
  <si>
    <t>채권코드</t>
  </si>
  <si>
    <t>정렬</t>
  </si>
  <si>
    <t>A</t>
  </si>
  <si>
    <t>회사명</t>
  </si>
  <si>
    <t>등급</t>
  </si>
  <si>
    <t>신한은행</t>
  </si>
  <si>
    <t>AAA</t>
  </si>
  <si>
    <t>00011</t>
  </si>
  <si>
    <t>스탠다드차타드은행</t>
  </si>
  <si>
    <t>00494</t>
  </si>
  <si>
    <t>하나은행</t>
  </si>
  <si>
    <t>00527</t>
  </si>
  <si>
    <t>대구은행</t>
  </si>
  <si>
    <t>00528</t>
  </si>
  <si>
    <t>부산은행</t>
  </si>
  <si>
    <t>00622</t>
  </si>
  <si>
    <t>제주은행</t>
  </si>
  <si>
    <t>AA+</t>
  </si>
  <si>
    <t>00635</t>
  </si>
  <si>
    <t>전북은행</t>
  </si>
  <si>
    <t>01683</t>
  </si>
  <si>
    <t>한국씨티은행</t>
  </si>
  <si>
    <t>02313</t>
  </si>
  <si>
    <t>국민은행</t>
  </si>
  <si>
    <t>02411</t>
  </si>
  <si>
    <t>기업은행</t>
  </si>
  <si>
    <t>03401</t>
  </si>
  <si>
    <t>산업은행</t>
  </si>
  <si>
    <t>03430</t>
  </si>
  <si>
    <t>한국수출입은행</t>
  </si>
  <si>
    <t>03547</t>
  </si>
  <si>
    <t>디비에스은행서울지점</t>
  </si>
  <si>
    <t>03946</t>
  </si>
  <si>
    <t>우리은행</t>
  </si>
  <si>
    <t>13423</t>
  </si>
  <si>
    <t>중국은행</t>
  </si>
  <si>
    <t>13424</t>
  </si>
  <si>
    <t>중국건설은행</t>
  </si>
  <si>
    <t>13425</t>
  </si>
  <si>
    <t>중국공상은행</t>
  </si>
  <si>
    <t>13450</t>
  </si>
  <si>
    <t>크레디트스위스은행서울지점</t>
  </si>
  <si>
    <t>19327</t>
  </si>
  <si>
    <t>수협은행</t>
  </si>
  <si>
    <t>19845</t>
  </si>
  <si>
    <t>농협은행</t>
  </si>
  <si>
    <t>45405</t>
  </si>
  <si>
    <t>경남은행</t>
  </si>
  <si>
    <t>45406</t>
  </si>
  <si>
    <t>광주은행</t>
  </si>
  <si>
    <t>47361</t>
  </si>
  <si>
    <t>교통은행</t>
  </si>
  <si>
    <t>49448</t>
  </si>
  <si>
    <t>중국농업은행주식유한회사</t>
  </si>
  <si>
    <t>65590</t>
  </si>
  <si>
    <t>카카오뱅크</t>
  </si>
  <si>
    <t>69090</t>
  </si>
  <si>
    <t>대화은행(서울지점)</t>
  </si>
  <si>
    <t>1일</t>
  </si>
  <si>
    <t>1주</t>
  </si>
  <si>
    <t>KAP</t>
  </si>
  <si>
    <t>KAP</t>
    <phoneticPr fontId="1" type="noConversion"/>
  </si>
  <si>
    <t>KIS</t>
  </si>
  <si>
    <t>KIS</t>
    <phoneticPr fontId="1" type="noConversion"/>
  </si>
  <si>
    <t>NICE</t>
  </si>
  <si>
    <t>NICE</t>
    <phoneticPr fontId="1" type="noConversion"/>
  </si>
  <si>
    <t>FN</t>
  </si>
  <si>
    <t>FN</t>
    <phoneticPr fontId="1" type="noConversion"/>
  </si>
  <si>
    <t>A1</t>
  </si>
  <si>
    <t>평가사</t>
  </si>
  <si>
    <t>3사 평균</t>
  </si>
  <si>
    <t>4사 평균</t>
  </si>
  <si>
    <t>AA</t>
  </si>
  <si>
    <t>AA-</t>
  </si>
  <si>
    <t>A+</t>
  </si>
  <si>
    <t>A-</t>
  </si>
  <si>
    <t>BBB</t>
  </si>
  <si>
    <t>CD/CP Matrix</t>
    <phoneticPr fontId="1" type="noConversion"/>
  </si>
  <si>
    <t>등급</t>
    <phoneticPr fontId="1" type="noConversion"/>
  </si>
  <si>
    <t>A2+</t>
  </si>
  <si>
    <t>A2</t>
  </si>
  <si>
    <t>A2-</t>
  </si>
  <si>
    <t>A3+</t>
  </si>
  <si>
    <t>A3</t>
  </si>
  <si>
    <t>A3-</t>
  </si>
  <si>
    <t/>
  </si>
  <si>
    <t>1일</t>
    <phoneticPr fontId="1" type="noConversion"/>
  </si>
  <si>
    <t>1주</t>
    <phoneticPr fontId="1" type="noConversion"/>
  </si>
  <si>
    <t>10일</t>
    <phoneticPr fontId="1" type="noConversion"/>
  </si>
  <si>
    <t>15일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</si>
  <si>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</si>
  <si>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</si>
  <si>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</si>
  <si>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</si>
  <si>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6월</t>
    <phoneticPr fontId="1" type="noConversion"/>
  </si>
  <si>
    <t>1년</t>
    <phoneticPr fontId="1" type="noConversion"/>
  </si>
  <si>
    <t>2년</t>
    <phoneticPr fontId="1" type="noConversion"/>
  </si>
  <si>
    <t>1일(적용일)</t>
  </si>
  <si>
    <t>1주(적용일)</t>
  </si>
  <si>
    <t>10일(적용일)</t>
  </si>
  <si>
    <t>15일(적용일)</t>
  </si>
  <si>
    <t>1월(적용일)</t>
  </si>
  <si>
    <t>2월(적용일)</t>
  </si>
  <si>
    <t>3월(적용일)</t>
  </si>
  <si>
    <t>4월(적용일)</t>
  </si>
  <si>
    <t>6월(적용일)</t>
  </si>
  <si>
    <t>1년(적용일)</t>
  </si>
  <si>
    <t>2년(적용일)</t>
  </si>
  <si>
    <t>3사 평균</t>
    <phoneticPr fontId="1" type="noConversion"/>
  </si>
  <si>
    <t>4사 평균</t>
    <phoneticPr fontId="1" type="noConversion"/>
  </si>
  <si>
    <t>10일</t>
  </si>
  <si>
    <t>15일</t>
  </si>
  <si>
    <t>1월</t>
  </si>
  <si>
    <t>2월</t>
  </si>
  <si>
    <t>3월</t>
  </si>
  <si>
    <t>4월</t>
  </si>
  <si>
    <t>6월</t>
  </si>
  <si>
    <t>1년</t>
  </si>
  <si>
    <t>2년</t>
  </si>
  <si>
    <t>비교 시점</t>
    <phoneticPr fontId="1" type="noConversion"/>
  </si>
  <si>
    <t>데이터 일자:</t>
    <phoneticPr fontId="1" type="noConversion"/>
  </si>
  <si>
    <t>기준</t>
    <phoneticPr fontId="1" type="noConversion"/>
  </si>
  <si>
    <t>비교</t>
    <phoneticPr fontId="1" type="noConversion"/>
  </si>
  <si>
    <t>spread</t>
    <phoneticPr fontId="1" type="noConversion"/>
  </si>
  <si>
    <t>등락</t>
    <phoneticPr fontId="1" type="noConversion"/>
  </si>
  <si>
    <t>1일(전일대비)</t>
  </si>
  <si>
    <t>1주(전일대비)</t>
  </si>
  <si>
    <t>15일(전일대비)</t>
  </si>
  <si>
    <t>1월(전일대비)</t>
  </si>
  <si>
    <t>2월(전일대비)</t>
  </si>
  <si>
    <t>3월(전일대비)</t>
  </si>
  <si>
    <t>4월(전일대비)</t>
  </si>
  <si>
    <t>6월(전일대비)</t>
  </si>
  <si>
    <t>1년(전일대비)</t>
  </si>
  <si>
    <t>2년(전일대비)</t>
  </si>
  <si>
    <t>일자</t>
    <phoneticPr fontId="1" type="noConversion"/>
  </si>
  <si>
    <t>~</t>
    <phoneticPr fontId="1" type="noConversion"/>
  </si>
  <si>
    <t>CD/CP 일별 추이</t>
    <phoneticPr fontId="1" type="noConversion"/>
  </si>
  <si>
    <t>CDAVG</t>
    <phoneticPr fontId="1" type="noConversion"/>
  </si>
  <si>
    <t>CDAV4</t>
    <phoneticPr fontId="1" type="noConversion"/>
  </si>
  <si>
    <t>CDKBP</t>
    <phoneticPr fontId="1" type="noConversion"/>
  </si>
  <si>
    <t>CDNIC</t>
    <phoneticPr fontId="1" type="noConversion"/>
  </si>
  <si>
    <t>CDFNP</t>
    <phoneticPr fontId="1" type="noConversion"/>
  </si>
  <si>
    <t>CRDLIST020000</t>
  </si>
  <si>
    <t>CPAVG</t>
    <phoneticPr fontId="1" type="noConversion"/>
  </si>
  <si>
    <t>CPAV4</t>
    <phoneticPr fontId="1" type="noConversion"/>
  </si>
  <si>
    <t>CPKBP</t>
    <phoneticPr fontId="1" type="noConversion"/>
  </si>
  <si>
    <t>CPNIC</t>
    <phoneticPr fontId="1" type="noConversion"/>
  </si>
  <si>
    <t>CPFNP</t>
    <phoneticPr fontId="1" type="noConversion"/>
  </si>
  <si>
    <t>CRDLIST020302</t>
    <phoneticPr fontId="1" type="noConversion"/>
  </si>
  <si>
    <t>CRDLIST020502</t>
    <phoneticPr fontId="1" type="noConversion"/>
  </si>
  <si>
    <t>CRDLIST020503</t>
    <phoneticPr fontId="1" type="noConversion"/>
  </si>
  <si>
    <t>CRDLIST020504</t>
    <phoneticPr fontId="1" type="noConversion"/>
  </si>
  <si>
    <t>CRDLIST020602</t>
    <phoneticPr fontId="1" type="noConversion"/>
  </si>
  <si>
    <t>BBB+</t>
    <phoneticPr fontId="1" type="noConversion"/>
  </si>
  <si>
    <t>BBB</t>
    <phoneticPr fontId="1" type="noConversion"/>
  </si>
  <si>
    <t>BBB-</t>
    <phoneticPr fontId="1" type="noConversion"/>
  </si>
  <si>
    <t>기타</t>
    <phoneticPr fontId="1" type="noConversion"/>
  </si>
  <si>
    <t>전체</t>
    <phoneticPr fontId="1" type="noConversion"/>
  </si>
  <si>
    <t>1일</t>
    <phoneticPr fontId="1" type="noConversion"/>
  </si>
  <si>
    <t>00001</t>
  </si>
  <si>
    <t>코드</t>
    <phoneticPr fontId="1" type="noConversion"/>
  </si>
  <si>
    <t>발행사별 Term Structure</t>
    <phoneticPr fontId="1" type="noConversion"/>
  </si>
  <si>
    <t>1일</t>
    <phoneticPr fontId="1" type="noConversion"/>
  </si>
  <si>
    <t>1주</t>
    <phoneticPr fontId="1" type="noConversion"/>
  </si>
  <si>
    <t>10일</t>
    <phoneticPr fontId="1" type="noConversion"/>
  </si>
  <si>
    <t>15일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</si>
  <si>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</si>
  <si>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</si>
  <si>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</si>
  <si>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</si>
  <si>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6월</t>
    <phoneticPr fontId="1" type="noConversion"/>
  </si>
  <si>
    <t>1년</t>
    <phoneticPr fontId="1" type="noConversion"/>
  </si>
  <si>
    <t>2년</t>
    <phoneticPr fontId="1" type="noConversion"/>
  </si>
  <si>
    <t>신용등급</t>
    <phoneticPr fontId="1" type="noConversion"/>
  </si>
  <si>
    <t>일자</t>
    <phoneticPr fontId="1" type="noConversion"/>
  </si>
  <si>
    <t>기관코드</t>
    <phoneticPr fontId="1" type="noConversion"/>
  </si>
  <si>
    <t>회사명</t>
    <phoneticPr fontId="1" type="noConversion"/>
  </si>
  <si>
    <t>※리스트 로드시 시간이 걸릴 수 있습니다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</si>
</sst>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.00_ "/>
    <numFmt numFmtId="177" formatCode="#,##0_ "/>
    <numFmt numFmtId="178" formatCode="0.00_ 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000000"/>
      <name val="Malgun Gothic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A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6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dotted">
        <color theme="1"/>
      </right>
      <top style="medium">
        <color indexed="64"/>
      </top>
      <bottom style="thin">
        <color theme="0" tint="-0.14996795556505021"/>
      </bottom>
      <diagonal/>
    </border>
    <border>
      <left style="dotted">
        <color theme="1"/>
      </left>
      <right style="dotted">
        <color theme="1"/>
      </right>
      <top style="medium">
        <color indexed="64"/>
      </top>
      <bottom style="thin">
        <color theme="0" tint="-0.14996795556505021"/>
      </bottom>
      <diagonal/>
    </border>
    <border>
      <left style="dotted">
        <color theme="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dotted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dotted">
        <color theme="1"/>
      </left>
      <right style="dotted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dotted">
        <color theme="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dotted">
        <color theme="1"/>
      </right>
      <top style="thin">
        <color theme="0" tint="-0.14996795556505021"/>
      </top>
      <bottom style="medium">
        <color indexed="64"/>
      </bottom>
      <diagonal/>
    </border>
    <border>
      <left style="dotted">
        <color theme="1"/>
      </left>
      <right style="dotted">
        <color theme="1"/>
      </right>
      <top style="thin">
        <color theme="0" tint="-0.14996795556505021"/>
      </top>
      <bottom style="medium">
        <color indexed="64"/>
      </bottom>
      <diagonal/>
    </border>
    <border>
      <left style="dotted">
        <color theme="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theme="0" tint="-0.24994659260841701"/>
      </right>
      <top/>
      <bottom/>
      <diagonal/>
    </border>
    <border>
      <left style="dashed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dashed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dashed">
        <color theme="0" tint="-0.2499465926084170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theme="0" tint="-0.24994659260841701"/>
      </left>
      <right style="medium">
        <color indexed="64"/>
      </right>
      <top/>
      <bottom/>
      <diagonal/>
    </border>
    <border>
      <left style="thin">
        <color indexed="64"/>
      </left>
      <right style="dashed">
        <color theme="0" tint="-0.24994659260841701"/>
      </right>
      <top/>
      <bottom style="medium">
        <color indexed="64"/>
      </bottom>
      <diagonal/>
    </border>
    <border>
      <left style="dashed">
        <color theme="0" tint="-0.24994659260841701"/>
      </left>
      <right style="thin">
        <color indexed="64"/>
      </right>
      <top/>
      <bottom style="medium">
        <color indexed="64"/>
      </bottom>
      <diagonal/>
    </border>
    <border>
      <left style="dashed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dashed">
        <color theme="0" tint="-0.24994659260841701"/>
      </right>
      <top/>
      <bottom/>
      <diagonal/>
    </border>
    <border>
      <left/>
      <right style="dashed">
        <color theme="0" tint="-0.24994659260841701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theme="0" tint="-0.14996795556505021"/>
      </bottom>
      <diagonal/>
    </border>
    <border>
      <left/>
      <right style="thin">
        <color theme="0" tint="-0.24994659260841701"/>
      </right>
      <top/>
      <bottom style="dashed">
        <color theme="0" tint="-0.14996795556505021"/>
      </bottom>
      <diagonal/>
    </border>
    <border>
      <left style="thin">
        <color theme="0" tint="-0.24994659260841701"/>
      </left>
      <right style="medium">
        <color indexed="64"/>
      </right>
      <top/>
      <bottom style="dashed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dashed">
        <color theme="0" tint="-0.14996795556505021"/>
      </bottom>
      <diagonal/>
    </border>
    <border>
      <left style="medium">
        <color indexed="64"/>
      </left>
      <right style="thin">
        <color theme="0" tint="-0.24994659260841701"/>
      </right>
      <top/>
      <bottom style="dashed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ashed">
        <color theme="0" tint="-0.14996795556505021"/>
      </bottom>
      <diagonal/>
    </border>
    <border>
      <left style="medium">
        <color indexed="64"/>
      </left>
      <right/>
      <top style="dashed">
        <color theme="0" tint="-0.14996795556505021"/>
      </top>
      <bottom style="dashed">
        <color theme="0" tint="-0.14996795556505021"/>
      </bottom>
      <diagonal/>
    </border>
    <border>
      <left/>
      <right style="thin">
        <color theme="0" tint="-0.2499465926084170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theme="0" tint="-0.24994659260841701"/>
      </left>
      <right style="medium">
        <color indexed="64"/>
      </right>
      <top style="dashed">
        <color theme="0" tint="-0.14996795556505021"/>
      </top>
      <bottom style="dashed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dashed">
        <color theme="0" tint="-0.14996795556505021"/>
      </top>
      <bottom style="dashed">
        <color theme="0" tint="-0.14996795556505021"/>
      </bottom>
      <diagonal/>
    </border>
    <border>
      <left style="medium">
        <color indexed="64"/>
      </left>
      <right style="thin">
        <color theme="0" tint="-0.2499465926084170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dashed">
        <color theme="0" tint="-0.14996795556505021"/>
      </top>
      <bottom style="dashed">
        <color theme="0" tint="-0.14996795556505021"/>
      </bottom>
      <diagonal/>
    </border>
    <border>
      <left style="medium">
        <color indexed="64"/>
      </left>
      <right/>
      <top style="dashed">
        <color theme="0" tint="-0.14996795556505021"/>
      </top>
      <bottom style="medium">
        <color indexed="64"/>
      </bottom>
      <diagonal/>
    </border>
    <border>
      <left/>
      <right style="thin">
        <color theme="0" tint="-0.24994659260841701"/>
      </right>
      <top style="dashed">
        <color theme="0" tint="-0.1499679555650502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dashed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dashed">
        <color theme="0" tint="-0.1499679555650502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ashed">
        <color theme="0" tint="-0.1499679555650502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5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" xfId="0" quotePrefix="1" applyBorder="1">
      <alignment vertical="center"/>
    </xf>
    <xf numFmtId="0" fontId="5" fillId="0" borderId="7" xfId="0" applyFont="1" applyBorder="1" applyAlignment="1">
      <alignment horizontal="center" vertical="center"/>
    </xf>
    <xf numFmtId="176" fontId="5" fillId="0" borderId="10" xfId="0" applyNumberFormat="1" applyFont="1" applyBorder="1">
      <alignment vertical="center"/>
    </xf>
    <xf numFmtId="176" fontId="5" fillId="0" borderId="11" xfId="0" applyNumberFormat="1" applyFont="1" applyBorder="1">
      <alignment vertical="center"/>
    </xf>
    <xf numFmtId="176" fontId="5" fillId="0" borderId="12" xfId="0" applyNumberFormat="1" applyFont="1" applyBorder="1">
      <alignment vertical="center"/>
    </xf>
    <xf numFmtId="0" fontId="5" fillId="0" borderId="0" xfId="0" applyFont="1">
      <alignment vertical="center"/>
    </xf>
    <xf numFmtId="0" fontId="5" fillId="0" borderId="8" xfId="0" applyFont="1" applyBorder="1" applyAlignment="1">
      <alignment horizontal="center" vertical="center"/>
    </xf>
    <xf numFmtId="176" fontId="5" fillId="0" borderId="13" xfId="0" applyNumberFormat="1" applyFont="1" applyBorder="1">
      <alignment vertical="center"/>
    </xf>
    <xf numFmtId="176" fontId="5" fillId="0" borderId="14" xfId="0" applyNumberFormat="1" applyFont="1" applyBorder="1">
      <alignment vertical="center"/>
    </xf>
    <xf numFmtId="176" fontId="5" fillId="0" borderId="15" xfId="0" applyNumberFormat="1" applyFont="1" applyBorder="1">
      <alignment vertical="center"/>
    </xf>
    <xf numFmtId="0" fontId="5" fillId="0" borderId="9" xfId="0" applyFont="1" applyBorder="1" applyAlignment="1">
      <alignment horizontal="center" vertical="center"/>
    </xf>
    <xf numFmtId="176" fontId="5" fillId="0" borderId="16" xfId="0" applyNumberFormat="1" applyFont="1" applyBorder="1">
      <alignment vertical="center"/>
    </xf>
    <xf numFmtId="176" fontId="5" fillId="0" borderId="17" xfId="0" applyNumberFormat="1" applyFont="1" applyBorder="1">
      <alignment vertical="center"/>
    </xf>
    <xf numFmtId="176" fontId="5" fillId="0" borderId="18" xfId="0" applyNumberFormat="1" applyFont="1" applyBorder="1">
      <alignment vertical="center"/>
    </xf>
    <xf numFmtId="0" fontId="6" fillId="0" borderId="0" xfId="0" applyFont="1">
      <alignment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>
      <alignment vertical="center"/>
    </xf>
    <xf numFmtId="0" fontId="8" fillId="0" borderId="0" xfId="0" applyFont="1" applyAlignment="1">
      <alignment horizontal="center"/>
    </xf>
    <xf numFmtId="14" fontId="0" fillId="4" borderId="27" xfId="0" applyNumberFormat="1" applyFill="1" applyBorder="1" applyAlignment="1">
      <alignment horizontal="center" vertical="center"/>
    </xf>
    <xf numFmtId="0" fontId="0" fillId="0" borderId="0" xfId="0" applyNumberFormat="1">
      <alignment vertical="center"/>
    </xf>
    <xf numFmtId="178" fontId="1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4" fontId="0" fillId="0" borderId="0" xfId="0" applyNumberFormat="1" applyAlignment="1">
      <alignment horizontal="center" vertical="center"/>
    </xf>
    <xf numFmtId="14" fontId="10" fillId="4" borderId="27" xfId="0" applyNumberFormat="1" applyFont="1" applyFill="1" applyBorder="1" applyAlignment="1">
      <alignment horizontal="center" vertical="center"/>
    </xf>
    <xf numFmtId="178" fontId="10" fillId="0" borderId="0" xfId="0" applyNumberFormat="1" applyFont="1" applyBorder="1">
      <alignment vertical="center"/>
    </xf>
    <xf numFmtId="178" fontId="0" fillId="0" borderId="0" xfId="0" applyNumberFormat="1" applyFont="1" applyBorder="1">
      <alignment vertical="center"/>
    </xf>
    <xf numFmtId="178" fontId="0" fillId="0" borderId="29" xfId="0" applyNumberFormat="1" applyFont="1" applyBorder="1">
      <alignment vertical="center"/>
    </xf>
    <xf numFmtId="178" fontId="10" fillId="0" borderId="30" xfId="0" applyNumberFormat="1" applyFont="1" applyBorder="1">
      <alignment vertical="center"/>
    </xf>
    <xf numFmtId="0" fontId="3" fillId="5" borderId="31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178" fontId="10" fillId="0" borderId="34" xfId="0" applyNumberFormat="1" applyFont="1" applyBorder="1">
      <alignment vertical="center"/>
    </xf>
    <xf numFmtId="178" fontId="0" fillId="0" borderId="35" xfId="0" applyNumberFormat="1" applyFont="1" applyBorder="1">
      <alignment vertical="center"/>
    </xf>
    <xf numFmtId="178" fontId="10" fillId="0" borderId="36" xfId="0" applyNumberFormat="1" applyFont="1" applyBorder="1">
      <alignment vertical="center"/>
    </xf>
    <xf numFmtId="178" fontId="10" fillId="0" borderId="37" xfId="0" applyNumberFormat="1" applyFont="1" applyBorder="1">
      <alignment vertical="center"/>
    </xf>
    <xf numFmtId="0" fontId="3" fillId="5" borderId="38" xfId="0" applyFont="1" applyFill="1" applyBorder="1" applyAlignment="1">
      <alignment horizontal="center" vertical="center"/>
    </xf>
    <xf numFmtId="178" fontId="0" fillId="0" borderId="39" xfId="0" applyNumberFormat="1" applyFont="1" applyBorder="1">
      <alignment vertical="center"/>
    </xf>
    <xf numFmtId="178" fontId="0" fillId="0" borderId="40" xfId="0" applyNumberFormat="1" applyFont="1" applyBorder="1">
      <alignment vertical="center"/>
    </xf>
    <xf numFmtId="0" fontId="0" fillId="0" borderId="6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9" fillId="0" borderId="0" xfId="0" applyFont="1" applyAlignment="1"/>
    <xf numFmtId="14" fontId="5" fillId="0" borderId="0" xfId="0" applyNumberFormat="1" applyFont="1" applyAlignment="1"/>
    <xf numFmtId="49" fontId="0" fillId="0" borderId="22" xfId="0" applyNumberFormat="1" applyBorder="1">
      <alignment vertical="center"/>
    </xf>
    <xf numFmtId="49" fontId="0" fillId="0" borderId="5" xfId="0" applyNumberFormat="1" applyBorder="1">
      <alignment vertical="center"/>
    </xf>
    <xf numFmtId="0" fontId="0" fillId="0" borderId="23" xfId="0" applyNumberFormat="1" applyBorder="1">
      <alignment vertical="center"/>
    </xf>
    <xf numFmtId="49" fontId="0" fillId="0" borderId="24" xfId="0" applyNumberFormat="1" applyBorder="1">
      <alignment vertical="center"/>
    </xf>
    <xf numFmtId="49" fontId="0" fillId="0" borderId="23" xfId="0" applyNumberFormat="1" applyBorder="1">
      <alignment vertical="center"/>
    </xf>
    <xf numFmtId="0" fontId="0" fillId="0" borderId="24" xfId="0" applyNumberFormat="1" applyBorder="1">
      <alignment vertical="center"/>
    </xf>
    <xf numFmtId="0" fontId="0" fillId="0" borderId="2" xfId="0" applyNumberFormat="1" applyBorder="1">
      <alignment vertical="center"/>
    </xf>
    <xf numFmtId="0" fontId="0" fillId="0" borderId="41" xfId="0" applyBorder="1">
      <alignment vertical="center"/>
    </xf>
    <xf numFmtId="0" fontId="0" fillId="0" borderId="0" xfId="0" applyBorder="1">
      <alignment vertical="center"/>
    </xf>
    <xf numFmtId="0" fontId="0" fillId="0" borderId="28" xfId="0" applyBorder="1">
      <alignment vertical="center"/>
    </xf>
    <xf numFmtId="176" fontId="0" fillId="0" borderId="0" xfId="0" applyNumberFormat="1" applyBorder="1">
      <alignment vertical="center"/>
    </xf>
    <xf numFmtId="177" fontId="0" fillId="0" borderId="24" xfId="0" applyNumberFormat="1" applyBorder="1">
      <alignment vertical="center"/>
    </xf>
    <xf numFmtId="176" fontId="0" fillId="0" borderId="28" xfId="0" applyNumberFormat="1" applyBorder="1">
      <alignment vertical="center"/>
    </xf>
    <xf numFmtId="177" fontId="0" fillId="0" borderId="2" xfId="0" applyNumberFormat="1" applyBorder="1">
      <alignment vertical="center"/>
    </xf>
    <xf numFmtId="0" fontId="0" fillId="3" borderId="0" xfId="0" applyNumberFormat="1" applyFill="1">
      <alignment vertical="center"/>
    </xf>
    <xf numFmtId="14" fontId="0" fillId="0" borderId="42" xfId="0" applyNumberFormat="1" applyBorder="1">
      <alignment vertical="center"/>
    </xf>
    <xf numFmtId="14" fontId="0" fillId="0" borderId="43" xfId="0" applyNumberFormat="1" applyBorder="1">
      <alignment vertical="center"/>
    </xf>
    <xf numFmtId="49" fontId="0" fillId="0" borderId="25" xfId="0" applyNumberFormat="1" applyBorder="1">
      <alignment vertical="center"/>
    </xf>
    <xf numFmtId="49" fontId="0" fillId="2" borderId="22" xfId="0" applyNumberFormat="1" applyFill="1" applyBorder="1">
      <alignment vertical="center"/>
    </xf>
    <xf numFmtId="49" fontId="0" fillId="3" borderId="41" xfId="0" applyNumberFormat="1" applyFill="1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43" xfId="0" applyBorder="1">
      <alignment vertical="center"/>
    </xf>
    <xf numFmtId="0" fontId="0" fillId="0" borderId="27" xfId="0" applyBorder="1">
      <alignment vertical="center"/>
    </xf>
    <xf numFmtId="0" fontId="8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5" borderId="45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1" xfId="0" applyFont="1" applyBorder="1">
      <alignment vertical="center"/>
    </xf>
    <xf numFmtId="0" fontId="8" fillId="0" borderId="52" xfId="0" applyFont="1" applyBorder="1" applyAlignment="1">
      <alignment horizontal="center" vertical="center"/>
    </xf>
    <xf numFmtId="176" fontId="8" fillId="0" borderId="53" xfId="0" applyNumberFormat="1" applyFont="1" applyBorder="1">
      <alignment vertical="center"/>
    </xf>
    <xf numFmtId="176" fontId="8" fillId="0" borderId="54" xfId="0" applyNumberFormat="1" applyFont="1" applyBorder="1">
      <alignment vertical="center"/>
    </xf>
    <xf numFmtId="176" fontId="8" fillId="0" borderId="51" xfId="0" applyNumberFormat="1" applyFont="1" applyBorder="1">
      <alignment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>
      <alignment vertical="center"/>
    </xf>
    <xf numFmtId="0" fontId="8" fillId="0" borderId="58" xfId="0" applyFont="1" applyBorder="1" applyAlignment="1">
      <alignment horizontal="center" vertical="center"/>
    </xf>
    <xf numFmtId="176" fontId="8" fillId="0" borderId="59" xfId="0" applyNumberFormat="1" applyFont="1" applyBorder="1">
      <alignment vertical="center"/>
    </xf>
    <xf numFmtId="176" fontId="8" fillId="0" borderId="60" xfId="0" applyNumberFormat="1" applyFont="1" applyBorder="1">
      <alignment vertical="center"/>
    </xf>
    <xf numFmtId="176" fontId="8" fillId="0" borderId="57" xfId="0" applyNumberFormat="1" applyFont="1" applyBorder="1">
      <alignment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>
      <alignment vertical="center"/>
    </xf>
    <xf numFmtId="0" fontId="8" fillId="0" borderId="64" xfId="0" applyFont="1" applyBorder="1" applyAlignment="1">
      <alignment horizontal="center" vertical="center"/>
    </xf>
    <xf numFmtId="176" fontId="8" fillId="0" borderId="65" xfId="0" applyNumberFormat="1" applyFont="1" applyBorder="1">
      <alignment vertical="center"/>
    </xf>
    <xf numFmtId="176" fontId="8" fillId="0" borderId="66" xfId="0" applyNumberFormat="1" applyFont="1" applyBorder="1">
      <alignment vertical="center"/>
    </xf>
    <xf numFmtId="176" fontId="8" fillId="0" borderId="63" xfId="0" applyNumberFormat="1" applyFont="1" applyBorder="1">
      <alignment vertical="center"/>
    </xf>
    <xf numFmtId="0" fontId="11" fillId="0" borderId="0" xfId="0" applyFont="1" applyAlignment="1"/>
    <xf numFmtId="0" fontId="4" fillId="0" borderId="0" xfId="0" applyFont="1" applyAlignment="1">
      <alignment horizontal="right"/>
    </xf>
    <xf numFmtId="14" fontId="0" fillId="4" borderId="26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3.63</v>
        <stp/>
        <stp>P</stp>
        <stp>0</stp>
        <stp>IR</stp>
        <stp>CDAVG19845</stp>
        <stp>15일</stp>
        <stp>45118</stp>
        <stp>fill=true</stp>
        <tr r="J19" s="4"/>
        <tr r="J19" s="4"/>
      </tp>
      <tp>
        <v>0</v>
        <stp/>
        <stp>P</stp>
        <stp>0</stp>
        <stp>IR</stp>
        <stp>CDAVG19845</stp>
        <stp>10일</stp>
        <stp>45118</stp>
        <stp>fill=true</stp>
        <tr r="I19" s="4"/>
      </tp>
      <tp>
        <v>3.63</v>
        <stp/>
        <stp>P</stp>
        <stp>0</stp>
        <stp>IR</stp>
        <stp>CDAVG03946</stp>
        <stp>15일</stp>
        <stp>45118</stp>
        <stp>fill=true</stp>
        <tr r="J16" s="4"/>
        <tr r="J16" s="4"/>
      </tp>
      <tp>
        <v>0</v>
        <stp/>
        <stp>P</stp>
        <stp>0</stp>
        <stp>IR</stp>
        <stp>CDAVG03946</stp>
        <stp>10일</stp>
        <stp>45118</stp>
        <stp>fill=true</stp>
        <tr r="I16" s="4"/>
      </tp>
      <tp>
        <v>0</v>
        <stp/>
        <stp>P</stp>
        <stp>0</stp>
        <stp>IR</stp>
        <stp>CDAVG00494</stp>
        <stp>10일</stp>
        <stp>45118</stp>
        <stp>fill=true</stp>
        <tr r="I9" s="4"/>
      </tp>
      <tp>
        <v>3.63</v>
        <stp/>
        <stp>P</stp>
        <stp>0</stp>
        <stp>IR</stp>
        <stp>CDAVG00494</stp>
        <stp>15일</stp>
        <stp>45118</stp>
        <stp>fill=true</stp>
        <tr r="J9" s="4"/>
        <tr r="J9" s="4"/>
      </tp>
      <tp>
        <v>0</v>
        <stp/>
        <stp>P</stp>
        <stp>0</stp>
        <stp>IR</stp>
        <stp>CDAVG45406</stp>
        <stp>10일</stp>
        <stp>45118</stp>
        <stp>fill=true</stp>
        <tr r="I21" s="4"/>
      </tp>
      <tp>
        <v>0</v>
        <stp/>
        <stp>P</stp>
        <stp>0</stp>
        <stp>IR</stp>
        <stp>CDAVG03401</stp>
        <stp>10일</stp>
        <stp>45118</stp>
        <stp>fill=true</stp>
        <tr r="I15" s="4"/>
      </tp>
      <tp>
        <v>0</v>
        <stp/>
        <stp>P</stp>
        <stp>0</stp>
        <stp>IR</stp>
        <stp>CDAVG45405</stp>
        <stp>10일</stp>
        <stp>45118</stp>
        <stp>fill=true</stp>
        <tr r="I20" s="4"/>
      </tp>
      <tp>
        <v>0</v>
        <stp/>
        <stp>P</stp>
        <stp>0</stp>
        <stp>IR</stp>
        <stp>CDAVG13424</stp>
        <stp>10일</stp>
        <stp>45118</stp>
        <stp>fill=true</stp>
        <tr r="I17" s="4"/>
      </tp>
      <tp>
        <v>3.66</v>
        <stp/>
        <stp>P</stp>
        <stp>0</stp>
        <stp>IR</stp>
        <stp>CDAVG45406</stp>
        <stp>15일</stp>
        <stp>45118</stp>
        <stp>fill=true</stp>
        <tr r="J21" s="4"/>
        <tr r="J21" s="4"/>
      </tp>
      <tp>
        <v>3.62</v>
        <stp/>
        <stp>P</stp>
        <stp>0</stp>
        <stp>IR</stp>
        <stp>CDAVG03401</stp>
        <stp>15일</stp>
        <stp>45118</stp>
        <stp>fill=true</stp>
        <tr r="J15" s="4"/>
        <tr r="J15" s="4"/>
      </tp>
      <tp>
        <v>3.65</v>
        <stp/>
        <stp>P</stp>
        <stp>0</stp>
        <stp>IR</stp>
        <stp>CDAVG45405</stp>
        <stp>15일</stp>
        <stp>45118</stp>
        <stp>fill=true</stp>
        <tr r="J20" s="4"/>
        <tr r="J20" s="4"/>
      </tp>
      <tp>
        <v>3.71</v>
        <stp/>
        <stp>P</stp>
        <stp>0</stp>
        <stp>IR</stp>
        <stp>CDAVG13424</stp>
        <stp>15일</stp>
        <stp>45118</stp>
        <stp>fill=true</stp>
        <tr r="J17" s="4"/>
        <tr r="J17" s="4"/>
      </tp>
      <tp>
        <v>0</v>
        <stp/>
        <stp>P</stp>
        <stp>0</stp>
        <stp>IR</stp>
        <stp>CDAVG00527</stp>
        <stp>10일</stp>
        <stp>45118</stp>
        <stp>fill=true</stp>
        <tr r="I10" s="4"/>
      </tp>
      <tp>
        <v>0</v>
        <stp/>
        <stp>P</stp>
        <stp>0</stp>
        <stp>IR</stp>
        <stp>CDAVG00528</stp>
        <stp>10일</stp>
        <stp>45118</stp>
        <stp>fill=true</stp>
        <tr r="I11" s="4"/>
      </tp>
      <tp>
        <v>3.63</v>
        <stp/>
        <stp>P</stp>
        <stp>0</stp>
        <stp>IR</stp>
        <stp>CDAVG00527</stp>
        <stp>15일</stp>
        <stp>45118</stp>
        <stp>fill=true</stp>
        <tr r="J10" s="4"/>
        <tr r="J10" s="4"/>
      </tp>
      <tp>
        <v>3.63</v>
        <stp/>
        <stp>P</stp>
        <stp>0</stp>
        <stp>IR</stp>
        <stp>CDAVG00528</stp>
        <stp>15일</stp>
        <stp>45118</stp>
        <stp>fill=true</stp>
        <tr r="J11" s="4"/>
        <tr r="J11" s="4"/>
      </tp>
      <tp>
        <v>0</v>
        <stp/>
        <stp>P</stp>
        <stp>0</stp>
        <stp>IR</stp>
        <stp>CDAVG00635</stp>
        <stp>10일</stp>
        <stp>45118</stp>
        <stp>fill=true</stp>
        <tr r="I13" s="4"/>
      </tp>
      <tp>
        <v>0</v>
        <stp/>
        <stp>P</stp>
        <stp>0</stp>
        <stp>IR</stp>
        <stp>CDAVG00622</stp>
        <stp>10일</stp>
        <stp>45118</stp>
        <stp>fill=true</stp>
        <tr r="I12" s="4"/>
      </tp>
      <tp>
        <v>3.65</v>
        <stp/>
        <stp>P</stp>
        <stp>0</stp>
        <stp>IR</stp>
        <stp>CDAVG00622</stp>
        <stp>15일</stp>
        <stp>45118</stp>
        <stp>fill=true</stp>
        <tr r="J12" s="4"/>
        <tr r="J12" s="4"/>
      </tp>
      <tp>
        <v>3.66</v>
        <stp/>
        <stp>P</stp>
        <stp>0</stp>
        <stp>IR</stp>
        <stp>CDAVG00635</stp>
        <stp>15일</stp>
        <stp>45118</stp>
        <stp>fill=true</stp>
        <tr r="J13" s="4"/>
        <tr r="J13" s="4"/>
      </tp>
      <tp>
        <v>0</v>
        <stp/>
        <stp>P</stp>
        <stp>0</stp>
        <stp>IR</stp>
        <stp>CDAVG00011</stp>
        <stp>10일</stp>
        <stp>45118</stp>
        <stp>fill=true</stp>
        <tr r="I8" s="4"/>
      </tp>
      <tp>
        <v>0</v>
        <stp/>
        <stp>P</stp>
        <stp>0</stp>
        <stp>IR</stp>
        <stp>CDAVG00001</stp>
        <stp>10일</stp>
        <stp>45118</stp>
        <stp>fill=true</stp>
        <tr r="I7" s="4"/>
      </tp>
      <tp>
        <v>3.63</v>
        <stp/>
        <stp>P</stp>
        <stp>0</stp>
        <stp>IR</stp>
        <stp>CDAVG00001</stp>
        <stp>15일</stp>
        <stp>45118</stp>
        <stp>fill=true</stp>
        <tr r="J7" s="4"/>
        <tr r="J7" s="4"/>
      </tp>
      <tp>
        <v>3.63</v>
        <stp/>
        <stp>P</stp>
        <stp>0</stp>
        <stp>IR</stp>
        <stp>CDAVG00011</stp>
        <stp>15일</stp>
        <stp>45118</stp>
        <stp>fill=true</stp>
        <tr r="J8" s="4"/>
        <tr r="J8" s="4"/>
      </tp>
      <tp>
        <v>0</v>
        <stp/>
        <stp>P</stp>
        <stp>0</stp>
        <stp>IR</stp>
        <stp>CDAVG02313</stp>
        <stp>10일</stp>
        <stp>45118</stp>
        <stp>fill=true</stp>
        <tr r="I14" s="4"/>
      </tp>
      <tp>
        <v>0</v>
        <stp/>
        <stp>P</stp>
        <stp>0</stp>
        <stp>IR</stp>
        <stp>CDAVG19327</stp>
        <stp>10일</stp>
        <stp>45118</stp>
        <stp>fill=true</stp>
        <tr r="I18" s="4"/>
      </tp>
      <tp>
        <v>3.63</v>
        <stp/>
        <stp>P</stp>
        <stp>0</stp>
        <stp>IR</stp>
        <stp>CDAVG02313</stp>
        <stp>15일</stp>
        <stp>45118</stp>
        <stp>fill=true</stp>
        <tr r="J14" s="4"/>
        <tr r="J14" s="4"/>
      </tp>
      <tp>
        <v>3.63</v>
        <stp/>
        <stp>P</stp>
        <stp>0</stp>
        <stp>IR</stp>
        <stp>CDAVG19327</stp>
        <stp>15일</stp>
        <stp>45118</stp>
        <stp>fill=true</stp>
        <tr r="J18" s="4"/>
        <tr r="J18" s="4"/>
      </tp>
      <tp>
        <v>4.21</v>
        <stp/>
        <stp>P</stp>
        <stp>0</stp>
        <stp>IR</stp>
        <stp>CDAVG19845</stp>
        <stp>2년</stp>
        <stp>45118</stp>
        <stp>fill=true</stp>
        <tr r="Q19" s="4"/>
        <tr r="Q19" s="4"/>
      </tp>
      <tp>
        <v>3.88</v>
        <stp/>
        <stp>P</stp>
        <stp>0</stp>
        <stp>IR</stp>
        <stp>CDAVG19845</stp>
        <stp>1년</stp>
        <stp>45118</stp>
        <stp>fill=true</stp>
        <tr r="P19" s="4"/>
        <tr r="P19" s="4"/>
      </tp>
      <tp>
        <v>3.89</v>
        <stp/>
        <stp>P</stp>
        <stp>0</stp>
        <stp>IR</stp>
        <stp>CDAVG19327</stp>
        <stp>1년</stp>
        <stp>45118</stp>
        <stp>fill=true</stp>
        <tr r="P18" s="4"/>
        <tr r="P18" s="4"/>
      </tp>
      <tp>
        <v>0</v>
        <stp/>
        <stp>P</stp>
        <stp>0</stp>
        <stp>IR</stp>
        <stp>CDAVG19327</stp>
        <stp>2년</stp>
        <stp>45118</stp>
        <stp>fill=true</stp>
        <tr r="Q18" s="4"/>
      </tp>
      <tp>
        <v>3.76</v>
        <stp/>
        <stp>P</stp>
        <stp>0</stp>
        <stp>IR</stp>
        <stp>CDAVG19845</stp>
        <stp>4월</stp>
        <stp>45118</stp>
        <stp>fill=true</stp>
        <tr r="N19" s="4"/>
        <tr r="N19" s="4"/>
      </tp>
      <tp>
        <v>3.56</v>
        <stp/>
        <stp>P</stp>
        <stp>0</stp>
        <stp>IR</stp>
        <stp>CDAVG19327</stp>
        <stp>1주</stp>
        <stp>45118</stp>
        <stp>fill=true</stp>
        <tr r="H18" s="4"/>
        <tr r="H18" s="4"/>
      </tp>
      <tp>
        <v>3.79</v>
        <stp/>
        <stp>P</stp>
        <stp>0</stp>
        <stp>IR</stp>
        <stp>CDAVG19845</stp>
        <stp>6월</stp>
        <stp>45118</stp>
        <stp>fill=true</stp>
        <tr r="O19" s="4"/>
        <tr r="O19" s="4"/>
      </tp>
      <tp>
        <v>3.5</v>
        <stp/>
        <stp>P</stp>
        <stp>0</stp>
        <stp>IR</stp>
        <stp>CDAVG19845</stp>
        <stp>1일</stp>
        <stp>45118</stp>
        <stp>fill=true</stp>
        <tr r="G19" s="4"/>
        <tr r="G19" s="4"/>
      </tp>
      <tp>
        <v>3.69</v>
        <stp/>
        <stp>P</stp>
        <stp>0</stp>
        <stp>IR</stp>
        <stp>CDAVG19845</stp>
        <stp>1월</stp>
        <stp>45118</stp>
        <stp>fill=true</stp>
        <tr r="K19" s="4"/>
        <tr r="K19" s="4"/>
      </tp>
      <tp>
        <v>3.72</v>
        <stp/>
        <stp>P</stp>
        <stp>0</stp>
        <stp>IR</stp>
        <stp>CDAVG19845</stp>
        <stp>2월</stp>
        <stp>45118</stp>
        <stp>fill=true</stp>
        <tr r="L19" s="4"/>
        <tr r="L19" s="4"/>
      </tp>
      <tp>
        <v>3.74</v>
        <stp/>
        <stp>P</stp>
        <stp>0</stp>
        <stp>IR</stp>
        <stp>CDAVG19845</stp>
        <stp>3월</stp>
        <stp>45118</stp>
        <stp>fill=true</stp>
        <tr r="M19" s="4"/>
        <tr r="M19" s="4"/>
      </tp>
      <tp>
        <v>3.8</v>
        <stp/>
        <stp>P</stp>
        <stp>0</stp>
        <stp>IR</stp>
        <stp>CDAVG19327</stp>
        <stp>6월</stp>
        <stp>45118</stp>
        <stp>fill=true</stp>
        <tr r="O18" s="4"/>
        <tr r="O18" s="4"/>
      </tp>
      <tp>
        <v>0</v>
        <stp/>
        <stp>P</stp>
        <stp>0</stp>
        <stp>IR</stp>
        <stp>CDAVG19327</stp>
        <stp>4월</stp>
        <stp>45118</stp>
        <stp>fill=true</stp>
        <tr r="N18" s="4"/>
      </tp>
      <tp>
        <v>3.56</v>
        <stp/>
        <stp>P</stp>
        <stp>0</stp>
        <stp>IR</stp>
        <stp>CDAVG19845</stp>
        <stp>1주</stp>
        <stp>45118</stp>
        <stp>fill=true</stp>
        <tr r="H19" s="4"/>
        <tr r="H19" s="4"/>
      </tp>
      <tp>
        <v>3.75</v>
        <stp/>
        <stp>P</stp>
        <stp>0</stp>
        <stp>IR</stp>
        <stp>CDAVG19327</stp>
        <stp>3월</stp>
        <stp>45118</stp>
        <stp>fill=true</stp>
        <tr r="M18" s="4"/>
        <tr r="M18" s="4"/>
      </tp>
      <tp>
        <v>3.72</v>
        <stp/>
        <stp>P</stp>
        <stp>0</stp>
        <stp>IR</stp>
        <stp>CDAVG19327</stp>
        <stp>2월</stp>
        <stp>45118</stp>
        <stp>fill=true</stp>
        <tr r="L18" s="4"/>
        <tr r="L18" s="4"/>
      </tp>
      <tp>
        <v>3.7</v>
        <stp/>
        <stp>P</stp>
        <stp>0</stp>
        <stp>IR</stp>
        <stp>CDAVG19327</stp>
        <stp>1월</stp>
        <stp>45118</stp>
        <stp>fill=true</stp>
        <tr r="K18" s="4"/>
        <tr r="K18" s="4"/>
      </tp>
      <tp>
        <v>3.5</v>
        <stp/>
        <stp>P</stp>
        <stp>0</stp>
        <stp>IR</stp>
        <stp>CDAVG19327</stp>
        <stp>1일</stp>
        <stp>45118</stp>
        <stp>fill=true</stp>
        <tr r="G18" s="4"/>
        <tr r="G18" s="4"/>
      </tp>
      <tp>
        <v>3.89</v>
        <stp/>
        <stp>P</stp>
        <stp>0</stp>
        <stp>IR</stp>
        <stp>CDAVG02313</stp>
        <stp>1년</stp>
        <stp>45118</stp>
        <stp>fill=true</stp>
        <tr r="P14" s="4"/>
        <tr r="P14" s="4"/>
      </tp>
      <tp>
        <v>4.21</v>
        <stp/>
        <stp>P</stp>
        <stp>0</stp>
        <stp>IR</stp>
        <stp>CDAVG02313</stp>
        <stp>2년</stp>
        <stp>45118</stp>
        <stp>fill=true</stp>
        <tr r="Q14" s="4"/>
        <tr r="Q14" s="4"/>
      </tp>
      <tp>
        <v>3.56</v>
        <stp/>
        <stp>P</stp>
        <stp>0</stp>
        <stp>IR</stp>
        <stp>CDAVG02313</stp>
        <stp>1주</stp>
        <stp>45118</stp>
        <stp>fill=true</stp>
        <tr r="H14" s="4"/>
        <tr r="H14" s="4"/>
      </tp>
      <tp>
        <v>3.8</v>
        <stp/>
        <stp>P</stp>
        <stp>0</stp>
        <stp>IR</stp>
        <stp>CDAVG02313</stp>
        <stp>6월</stp>
        <stp>45118</stp>
        <stp>fill=true</stp>
        <tr r="O14" s="4"/>
        <tr r="O14" s="4"/>
      </tp>
      <tp>
        <v>3.76</v>
        <stp/>
        <stp>P</stp>
        <stp>0</stp>
        <stp>IR</stp>
        <stp>CDAVG02313</stp>
        <stp>4월</stp>
        <stp>45118</stp>
        <stp>fill=true</stp>
        <tr r="N14" s="4"/>
        <tr r="N14" s="4"/>
      </tp>
      <tp>
        <v>3.75</v>
        <stp/>
        <stp>P</stp>
        <stp>0</stp>
        <stp>IR</stp>
        <stp>CDAVG02313</stp>
        <stp>3월</stp>
        <stp>45118</stp>
        <stp>fill=true</stp>
        <tr r="M14" s="4"/>
        <tr r="M14" s="4"/>
      </tp>
      <tp>
        <v>3.72</v>
        <stp/>
        <stp>P</stp>
        <stp>0</stp>
        <stp>IR</stp>
        <stp>CDAVG02313</stp>
        <stp>2월</stp>
        <stp>45118</stp>
        <stp>fill=true</stp>
        <tr r="L14" s="4"/>
        <tr r="L14" s="4"/>
      </tp>
      <tp>
        <v>3.69</v>
        <stp/>
        <stp>P</stp>
        <stp>0</stp>
        <stp>IR</stp>
        <stp>CDAVG02313</stp>
        <stp>1월</stp>
        <stp>45118</stp>
        <stp>fill=true</stp>
        <tr r="K14" s="4"/>
        <tr r="K14" s="4"/>
      </tp>
      <tp>
        <v>3.5</v>
        <stp/>
        <stp>P</stp>
        <stp>0</stp>
        <stp>IR</stp>
        <stp>CDAVG02313</stp>
        <stp>1일</stp>
        <stp>45118</stp>
        <stp>fill=true</stp>
        <tr r="G14" s="4"/>
        <tr r="G14" s="4"/>
      </tp>
      <tp>
        <v>4.21</v>
        <stp/>
        <stp>P</stp>
        <stp>0</stp>
        <stp>IR</stp>
        <stp>CDAVG03946</stp>
        <stp>2년</stp>
        <stp>45118</stp>
        <stp>fill=true</stp>
        <tr r="Q16" s="4"/>
        <tr r="Q16" s="4"/>
      </tp>
      <tp>
        <v>3.88</v>
        <stp/>
        <stp>P</stp>
        <stp>0</stp>
        <stp>IR</stp>
        <stp>CDAVG03946</stp>
        <stp>1년</stp>
        <stp>45118</stp>
        <stp>fill=true</stp>
        <tr r="P16" s="4"/>
        <tr r="P16" s="4"/>
      </tp>
      <tp>
        <v>0</v>
        <stp/>
        <stp>P</stp>
        <stp>0</stp>
        <stp>IR</stp>
        <stp>CDAVG03401</stp>
        <stp>2년</stp>
        <stp>45118</stp>
        <stp>fill=true</stp>
        <tr r="Q15" s="4"/>
      </tp>
      <tp>
        <v>0</v>
        <stp/>
        <stp>P</stp>
        <stp>0</stp>
        <stp>IR</stp>
        <stp>CDAVG13424</stp>
        <stp>2년</stp>
        <stp>45118</stp>
        <stp>fill=true</stp>
        <tr r="Q17" s="4"/>
      </tp>
      <tp>
        <v>3.87</v>
        <stp/>
        <stp>P</stp>
        <stp>0</stp>
        <stp>IR</stp>
        <stp>CDAVG03401</stp>
        <stp>1년</stp>
        <stp>45118</stp>
        <stp>fill=true</stp>
        <tr r="P15" s="4"/>
        <tr r="P15" s="4"/>
      </tp>
      <tp>
        <v>4.0599999999999996</v>
        <stp/>
        <stp>P</stp>
        <stp>0</stp>
        <stp>IR</stp>
        <stp>CDAVG13424</stp>
        <stp>1년</stp>
        <stp>45118</stp>
        <stp>fill=true</stp>
        <tr r="P17" s="4"/>
        <tr r="P17" s="4"/>
      </tp>
      <tp>
        <v>3.76</v>
        <stp/>
        <stp>P</stp>
        <stp>0</stp>
        <stp>IR</stp>
        <stp>CDAVG03946</stp>
        <stp>4월</stp>
        <stp>45118</stp>
        <stp>fill=true</stp>
        <tr r="N16" s="4"/>
        <tr r="N16" s="4"/>
      </tp>
      <tp>
        <v>3.79</v>
        <stp/>
        <stp>P</stp>
        <stp>0</stp>
        <stp>IR</stp>
        <stp>CDAVG03946</stp>
        <stp>6월</stp>
        <stp>45118</stp>
        <stp>fill=true</stp>
        <tr r="O16" s="4"/>
        <tr r="O16" s="4"/>
      </tp>
      <tp>
        <v>3.69</v>
        <stp/>
        <stp>P</stp>
        <stp>0</stp>
        <stp>IR</stp>
        <stp>CDAVG03946</stp>
        <stp>1월</stp>
        <stp>45118</stp>
        <stp>fill=true</stp>
        <tr r="K16" s="4"/>
        <tr r="K16" s="4"/>
      </tp>
      <tp>
        <v>3.5</v>
        <stp/>
        <stp>P</stp>
        <stp>0</stp>
        <stp>IR</stp>
        <stp>CDAVG03946</stp>
        <stp>1일</stp>
        <stp>45118</stp>
        <stp>fill=true</stp>
        <tr r="G16" s="4"/>
        <tr r="G16" s="4"/>
      </tp>
      <tp>
        <v>3.74</v>
        <stp/>
        <stp>P</stp>
        <stp>0</stp>
        <stp>IR</stp>
        <stp>CDAVG03946</stp>
        <stp>3월</stp>
        <stp>45118</stp>
        <stp>fill=true</stp>
        <tr r="M16" s="4"/>
        <tr r="M16" s="4"/>
      </tp>
      <tp>
        <v>3.72</v>
        <stp/>
        <stp>P</stp>
        <stp>0</stp>
        <stp>IR</stp>
        <stp>CDAVG03946</stp>
        <stp>2월</stp>
        <stp>45118</stp>
        <stp>fill=true</stp>
        <tr r="L16" s="4"/>
        <tr r="L16" s="4"/>
      </tp>
      <tp>
        <v>3.55</v>
        <stp/>
        <stp>P</stp>
        <stp>0</stp>
        <stp>IR</stp>
        <stp>CDAVG03401</stp>
        <stp>1주</stp>
        <stp>45118</stp>
        <stp>fill=true</stp>
        <tr r="H15" s="4"/>
        <tr r="H15" s="4"/>
      </tp>
      <tp>
        <v>3.61</v>
        <stp/>
        <stp>P</stp>
        <stp>0</stp>
        <stp>IR</stp>
        <stp>CDAVG13424</stp>
        <stp>1주</stp>
        <stp>45118</stp>
        <stp>fill=true</stp>
        <tr r="H17" s="4"/>
        <tr r="H17" s="4"/>
      </tp>
      <tp>
        <v>3.49</v>
        <stp/>
        <stp>P</stp>
        <stp>0</stp>
        <stp>IR</stp>
        <stp>CDAVG03401</stp>
        <stp>1일</stp>
        <stp>45118</stp>
        <stp>fill=true</stp>
        <tr r="G15" s="4"/>
        <tr r="G15" s="4"/>
      </tp>
      <tp>
        <v>3.55</v>
        <stp/>
        <stp>P</stp>
        <stp>0</stp>
        <stp>IR</stp>
        <stp>CDAVG13424</stp>
        <stp>1일</stp>
        <stp>45118</stp>
        <stp>fill=true</stp>
        <tr r="G17" s="4"/>
        <tr r="G17" s="4"/>
      </tp>
      <tp>
        <v>3.68</v>
        <stp/>
        <stp>P</stp>
        <stp>0</stp>
        <stp>IR</stp>
        <stp>CDAVG03401</stp>
        <stp>1월</stp>
        <stp>45118</stp>
        <stp>fill=true</stp>
        <tr r="K15" s="4"/>
        <tr r="K15" s="4"/>
      </tp>
      <tp>
        <v>3.8</v>
        <stp/>
        <stp>P</stp>
        <stp>0</stp>
        <stp>IR</stp>
        <stp>CDAVG13424</stp>
        <stp>1월</stp>
        <stp>45118</stp>
        <stp>fill=true</stp>
        <tr r="K17" s="4"/>
        <tr r="K17" s="4"/>
      </tp>
      <tp>
        <v>3.71</v>
        <stp/>
        <stp>P</stp>
        <stp>0</stp>
        <stp>IR</stp>
        <stp>CDAVG03401</stp>
        <stp>2월</stp>
        <stp>45118</stp>
        <stp>fill=true</stp>
        <tr r="L15" s="4"/>
        <tr r="L15" s="4"/>
      </tp>
      <tp>
        <v>3.86</v>
        <stp/>
        <stp>P</stp>
        <stp>0</stp>
        <stp>IR</stp>
        <stp>CDAVG13424</stp>
        <stp>2월</stp>
        <stp>45118</stp>
        <stp>fill=true</stp>
        <tr r="L17" s="4"/>
        <tr r="L17" s="4"/>
      </tp>
      <tp>
        <v>3.56</v>
        <stp/>
        <stp>P</stp>
        <stp>0</stp>
        <stp>IR</stp>
        <stp>CDAVG03946</stp>
        <stp>1주</stp>
        <stp>45118</stp>
        <stp>fill=true</stp>
        <tr r="H16" s="4"/>
        <tr r="H16" s="4"/>
      </tp>
      <tp>
        <v>3.73</v>
        <stp/>
        <stp>P</stp>
        <stp>0</stp>
        <stp>IR</stp>
        <stp>CDAVG03401</stp>
        <stp>3월</stp>
        <stp>45118</stp>
        <stp>fill=true</stp>
        <tr r="M15" s="4"/>
        <tr r="M15" s="4"/>
      </tp>
      <tp>
        <v>3.88</v>
        <stp/>
        <stp>P</stp>
        <stp>0</stp>
        <stp>IR</stp>
        <stp>CDAVG13424</stp>
        <stp>3월</stp>
        <stp>45118</stp>
        <stp>fill=true</stp>
        <tr r="M17" s="4"/>
        <tr r="M17" s="4"/>
      </tp>
      <tp>
        <v>0</v>
        <stp/>
        <stp>P</stp>
        <stp>0</stp>
        <stp>IR</stp>
        <stp>CDAVG03401</stp>
        <stp>4월</stp>
        <stp>45118</stp>
        <stp>fill=true</stp>
        <tr r="N15" s="4"/>
      </tp>
      <tp>
        <v>0</v>
        <stp/>
        <stp>P</stp>
        <stp>0</stp>
        <stp>IR</stp>
        <stp>CDAVG13424</stp>
        <stp>4월</stp>
        <stp>45118</stp>
        <stp>fill=true</stp>
        <tr r="N17" s="4"/>
      </tp>
      <tp>
        <v>3.78</v>
        <stp/>
        <stp>P</stp>
        <stp>0</stp>
        <stp>IR</stp>
        <stp>CDAVG03401</stp>
        <stp>6월</stp>
        <stp>45118</stp>
        <stp>fill=true</stp>
        <tr r="O15" s="4"/>
        <tr r="O15" s="4"/>
      </tp>
      <tp>
        <v>3.96</v>
        <stp/>
        <stp>P</stp>
        <stp>0</stp>
        <stp>IR</stp>
        <stp>CDAVG13424</stp>
        <stp>6월</stp>
        <stp>45118</stp>
        <stp>fill=true</stp>
        <tr r="O17" s="4"/>
        <tr r="O17" s="4"/>
      </tp>
      <tp>
        <v>4.21</v>
        <stp/>
        <stp>P</stp>
        <stp>0</stp>
        <stp>IR</stp>
        <stp>CDAVG00001</stp>
        <stp>2년</stp>
        <stp>45118</stp>
        <stp>fill=true</stp>
        <tr r="Q7" s="4"/>
        <tr r="Q7" s="4"/>
      </tp>
      <tp>
        <v>4.21</v>
        <stp/>
        <stp>P</stp>
        <stp>0</stp>
        <stp>IR</stp>
        <stp>CDAVG00011</stp>
        <stp>2년</stp>
        <stp>45118</stp>
        <stp>fill=true</stp>
        <tr r="Q8" s="4"/>
        <tr r="Q8" s="4"/>
      </tp>
      <tp>
        <v>3.88</v>
        <stp/>
        <stp>P</stp>
        <stp>0</stp>
        <stp>IR</stp>
        <stp>CDAVG00001</stp>
        <stp>1년</stp>
        <stp>45118</stp>
        <stp>fill=true</stp>
        <tr r="P7" s="4"/>
        <tr r="P7" s="4"/>
      </tp>
      <tp>
        <v>3.88</v>
        <stp/>
        <stp>P</stp>
        <stp>0</stp>
        <stp>IR</stp>
        <stp>CDAVG00011</stp>
        <stp>1년</stp>
        <stp>45118</stp>
        <stp>fill=true</stp>
        <tr r="P8" s="4"/>
        <tr r="P8" s="4"/>
      </tp>
      <tp>
        <v>4.21</v>
        <stp/>
        <stp>P</stp>
        <stp>0</stp>
        <stp>IR</stp>
        <stp>CDAVG00528</stp>
        <stp>2년</stp>
        <stp>45118</stp>
        <stp>fill=true</stp>
        <tr r="Q11" s="4"/>
        <tr r="Q11" s="4"/>
      </tp>
      <tp>
        <v>4.21</v>
        <stp/>
        <stp>P</stp>
        <stp>0</stp>
        <stp>IR</stp>
        <stp>CDAVG00527</stp>
        <stp>2년</stp>
        <stp>45118</stp>
        <stp>fill=true</stp>
        <tr r="Q10" s="4"/>
        <tr r="Q10" s="4"/>
      </tp>
      <tp>
        <v>4.01</v>
        <stp/>
        <stp>P</stp>
        <stp>0</stp>
        <stp>IR</stp>
        <stp>CDAVG00622</stp>
        <stp>1년</stp>
        <stp>45118</stp>
        <stp>fill=true</stp>
        <tr r="P12" s="4"/>
        <tr r="P12" s="4"/>
      </tp>
      <tp>
        <v>4</v>
        <stp/>
        <stp>P</stp>
        <stp>0</stp>
        <stp>IR</stp>
        <stp>CDAVG00635</stp>
        <stp>1년</stp>
        <stp>45118</stp>
        <stp>fill=true</stp>
        <tr r="P13" s="4"/>
        <tr r="P13" s="4"/>
      </tp>
      <tp>
        <v>4.21</v>
        <stp/>
        <stp>P</stp>
        <stp>0</stp>
        <stp>IR</stp>
        <stp>CDAVG00494</stp>
        <stp>2년</stp>
        <stp>45118</stp>
        <stp>fill=true</stp>
        <tr r="Q9" s="4"/>
        <tr r="Q9" s="4"/>
      </tp>
      <tp>
        <v>3.89</v>
        <stp/>
        <stp>P</stp>
        <stp>0</stp>
        <stp>IR</stp>
        <stp>CDAVG00494</stp>
        <stp>1년</stp>
        <stp>45118</stp>
        <stp>fill=true</stp>
        <tr r="P9" s="4"/>
        <tr r="P9" s="4"/>
      </tp>
      <tp>
        <v>3.89</v>
        <stp/>
        <stp>P</stp>
        <stp>0</stp>
        <stp>IR</stp>
        <stp>CDAVG00528</stp>
        <stp>1년</stp>
        <stp>45118</stp>
        <stp>fill=true</stp>
        <tr r="P11" s="4"/>
        <tr r="P11" s="4"/>
      </tp>
      <tp>
        <v>3.89</v>
        <stp/>
        <stp>P</stp>
        <stp>0</stp>
        <stp>IR</stp>
        <stp>CDAVG00527</stp>
        <stp>1년</stp>
        <stp>45118</stp>
        <stp>fill=true</stp>
        <tr r="P10" s="4"/>
        <tr r="P10" s="4"/>
      </tp>
      <tp>
        <v>0</v>
        <stp/>
        <stp>P</stp>
        <stp>0</stp>
        <stp>IR</stp>
        <stp>CDAVG00622</stp>
        <stp>2년</stp>
        <stp>45118</stp>
        <stp>fill=true</stp>
        <tr r="Q12" s="4"/>
      </tp>
      <tp>
        <v>4.37</v>
        <stp/>
        <stp>P</stp>
        <stp>0</stp>
        <stp>IR</stp>
        <stp>CDAVG00635</stp>
        <stp>2년</stp>
        <stp>45118</stp>
        <stp>fill=true</stp>
        <tr r="Q13" s="4"/>
        <tr r="Q13" s="4"/>
      </tp>
      <tp>
        <v>3.56</v>
        <stp/>
        <stp>P</stp>
        <stp>0</stp>
        <stp>IR</stp>
        <stp>CDAVG00001</stp>
        <stp>1주</stp>
        <stp>45118</stp>
        <stp>fill=true</stp>
        <tr r="H7" s="4"/>
        <tr r="H7" s="4"/>
      </tp>
      <tp>
        <v>3.56</v>
        <stp/>
        <stp>P</stp>
        <stp>0</stp>
        <stp>IR</stp>
        <stp>CDAVG00011</stp>
        <stp>1주</stp>
        <stp>45118</stp>
        <stp>fill=true</stp>
        <tr r="H8" s="4"/>
        <tr r="H8" s="4"/>
      </tp>
      <tp>
        <v>3.59</v>
        <stp/>
        <stp>P</stp>
        <stp>0</stp>
        <stp>IR</stp>
        <stp>CDAVG00622</stp>
        <stp>1주</stp>
        <stp>45118</stp>
        <stp>fill=true</stp>
        <tr r="H12" s="4"/>
        <tr r="H12" s="4"/>
      </tp>
      <tp>
        <v>3.59</v>
        <stp/>
        <stp>P</stp>
        <stp>0</stp>
        <stp>IR</stp>
        <stp>CDAVG00635</stp>
        <stp>1주</stp>
        <stp>45118</stp>
        <stp>fill=true</stp>
        <tr r="H13" s="4"/>
        <tr r="H13" s="4"/>
      </tp>
      <tp>
        <v>3.56</v>
        <stp/>
        <stp>P</stp>
        <stp>0</stp>
        <stp>IR</stp>
        <stp>CDAVG00528</stp>
        <stp>1주</stp>
        <stp>45118</stp>
        <stp>fill=true</stp>
        <tr r="H11" s="4"/>
        <tr r="H11" s="4"/>
      </tp>
      <tp>
        <v>3.56</v>
        <stp/>
        <stp>P</stp>
        <stp>0</stp>
        <stp>IR</stp>
        <stp>CDAVG00527</stp>
        <stp>1주</stp>
        <stp>45118</stp>
        <stp>fill=true</stp>
        <tr r="H10" s="4"/>
        <tr r="H10" s="4"/>
      </tp>
      <tp>
        <v>3.56</v>
        <stp/>
        <stp>P</stp>
        <stp>0</stp>
        <stp>IR</stp>
        <stp>CDAVG00494</stp>
        <stp>1주</stp>
        <stp>45118</stp>
        <stp>fill=true</stp>
        <tr r="H9" s="4"/>
        <tr r="H9" s="4"/>
      </tp>
      <tp>
        <v>3.5</v>
        <stp/>
        <stp>P</stp>
        <stp>0</stp>
        <stp>IR</stp>
        <stp>CDAVG00494</stp>
        <stp>1일</stp>
        <stp>45118</stp>
        <stp>fill=true</stp>
        <tr r="G9" s="4"/>
        <tr r="G9" s="4"/>
      </tp>
      <tp>
        <v>3.76</v>
        <stp/>
        <stp>P</stp>
        <stp>0</stp>
        <stp>IR</stp>
        <stp>CDAVG00001</stp>
        <stp>4월</stp>
        <stp>45118</stp>
        <stp>fill=true</stp>
        <tr r="N7" s="4"/>
        <tr r="N7" s="4"/>
      </tp>
      <tp>
        <v>3.76</v>
        <stp/>
        <stp>P</stp>
        <stp>0</stp>
        <stp>IR</stp>
        <stp>CDAVG00011</stp>
        <stp>4월</stp>
        <stp>45118</stp>
        <stp>fill=true</stp>
        <tr r="N8" s="4"/>
        <tr r="N8" s="4"/>
      </tp>
      <tp>
        <v>3.7</v>
        <stp/>
        <stp>P</stp>
        <stp>0</stp>
        <stp>IR</stp>
        <stp>CDAVG00528</stp>
        <stp>1월</stp>
        <stp>45118</stp>
        <stp>fill=true</stp>
        <tr r="K11" s="4"/>
        <tr r="K11" s="4"/>
      </tp>
      <tp>
        <v>3.7</v>
        <stp/>
        <stp>P</stp>
        <stp>0</stp>
        <stp>IR</stp>
        <stp>CDAVG00527</stp>
        <stp>1월</stp>
        <stp>45118</stp>
        <stp>fill=true</stp>
        <tr r="K10" s="4"/>
        <tr r="K10" s="4"/>
      </tp>
      <tp>
        <v>3.74</v>
        <stp/>
        <stp>P</stp>
        <stp>0</stp>
        <stp>IR</stp>
        <stp>CDAVG00622</stp>
        <stp>2월</stp>
        <stp>45118</stp>
        <stp>fill=true</stp>
        <tr r="L12" s="4"/>
        <tr r="L12" s="4"/>
      </tp>
      <tp>
        <v>3.74</v>
        <stp/>
        <stp>P</stp>
        <stp>0</stp>
        <stp>IR</stp>
        <stp>CDAVG00635</stp>
        <stp>2월</stp>
        <stp>45118</stp>
        <stp>fill=true</stp>
        <tr r="L13" s="4"/>
        <tr r="L13" s="4"/>
      </tp>
      <tp>
        <v>3.51</v>
        <stp/>
        <stp>P</stp>
        <stp>0</stp>
        <stp>IR</stp>
        <stp>CDAVG00528</stp>
        <stp>1일</stp>
        <stp>45118</stp>
        <stp>fill=true</stp>
        <tr r="G11" s="4"/>
        <tr r="G11" s="4"/>
      </tp>
      <tp>
        <v>3.51</v>
        <stp/>
        <stp>P</stp>
        <stp>0</stp>
        <stp>IR</stp>
        <stp>CDAVG00527</stp>
        <stp>1일</stp>
        <stp>45118</stp>
        <stp>fill=true</stp>
        <tr r="G10" s="4"/>
        <tr r="G10" s="4"/>
      </tp>
      <tp>
        <v>3.77</v>
        <stp/>
        <stp>P</stp>
        <stp>0</stp>
        <stp>IR</stp>
        <stp>CDAVG00622</stp>
        <stp>3월</stp>
        <stp>45118</stp>
        <stp>fill=true</stp>
        <tr r="M12" s="4"/>
        <tr r="M12" s="4"/>
      </tp>
      <tp>
        <v>3.77</v>
        <stp/>
        <stp>P</stp>
        <stp>0</stp>
        <stp>IR</stp>
        <stp>CDAVG00635</stp>
        <stp>3월</stp>
        <stp>45118</stp>
        <stp>fill=true</stp>
        <tr r="M13" s="4"/>
        <tr r="M13" s="4"/>
      </tp>
      <tp>
        <v>3.69</v>
        <stp/>
        <stp>P</stp>
        <stp>0</stp>
        <stp>IR</stp>
        <stp>CDAVG00494</stp>
        <stp>1월</stp>
        <stp>45118</stp>
        <stp>fill=true</stp>
        <tr r="K9" s="4"/>
        <tr r="K9" s="4"/>
      </tp>
      <tp>
        <v>3.53</v>
        <stp/>
        <stp>P</stp>
        <stp>0</stp>
        <stp>IR</stp>
        <stp>CDAVG00622</stp>
        <stp>1일</stp>
        <stp>45118</stp>
        <stp>fill=true</stp>
        <tr r="G12" s="4"/>
        <tr r="G12" s="4"/>
      </tp>
      <tp>
        <v>3.54</v>
        <stp/>
        <stp>P</stp>
        <stp>0</stp>
        <stp>IR</stp>
        <stp>CDAVG00635</stp>
        <stp>1일</stp>
        <stp>45118</stp>
        <stp>fill=true</stp>
        <tr r="G13" s="4"/>
        <tr r="G13" s="4"/>
      </tp>
      <tp>
        <v>3.79</v>
        <stp/>
        <stp>P</stp>
        <stp>0</stp>
        <stp>IR</stp>
        <stp>CDAVG00001</stp>
        <stp>6월</stp>
        <stp>45118</stp>
        <stp>fill=true</stp>
        <tr r="O7" s="4"/>
        <tr r="O7" s="4"/>
      </tp>
      <tp>
        <v>3.79</v>
        <stp/>
        <stp>P</stp>
        <stp>0</stp>
        <stp>IR</stp>
        <stp>CDAVG00011</stp>
        <stp>6월</stp>
        <stp>45118</stp>
        <stp>fill=true</stp>
        <tr r="O8" s="4"/>
        <tr r="O8" s="4"/>
      </tp>
      <tp>
        <v>3.75</v>
        <stp/>
        <stp>P</stp>
        <stp>0</stp>
        <stp>IR</stp>
        <stp>CDAVG00528</stp>
        <stp>3월</stp>
        <stp>45118</stp>
        <stp>fill=true</stp>
        <tr r="M11" s="4"/>
        <tr r="M11" s="4"/>
      </tp>
      <tp>
        <v>3.75</v>
        <stp/>
        <stp>P</stp>
        <stp>0</stp>
        <stp>IR</stp>
        <stp>CDAVG00527</stp>
        <stp>3월</stp>
        <stp>45118</stp>
        <stp>fill=true</stp>
        <tr r="M10" s="4"/>
        <tr r="M10" s="4"/>
      </tp>
      <tp>
        <v>3.72</v>
        <stp/>
        <stp>P</stp>
        <stp>0</stp>
        <stp>IR</stp>
        <stp>CDAVG00494</stp>
        <stp>2월</stp>
        <stp>45118</stp>
        <stp>fill=true</stp>
        <tr r="L9" s="4"/>
        <tr r="L9" s="4"/>
      </tp>
      <tp>
        <v>3.72</v>
        <stp/>
        <stp>P</stp>
        <stp>0</stp>
        <stp>IR</stp>
        <stp>CDAVG00528</stp>
        <stp>2월</stp>
        <stp>45118</stp>
        <stp>fill=true</stp>
        <tr r="L11" s="4"/>
        <tr r="L11" s="4"/>
      </tp>
      <tp>
        <v>3.72</v>
        <stp/>
        <stp>P</stp>
        <stp>0</stp>
        <stp>IR</stp>
        <stp>CDAVG00527</stp>
        <stp>2월</stp>
        <stp>45118</stp>
        <stp>fill=true</stp>
        <tr r="L10" s="4"/>
        <tr r="L10" s="4"/>
      </tp>
      <tp>
        <v>3.71</v>
        <stp/>
        <stp>P</stp>
        <stp>0</stp>
        <stp>IR</stp>
        <stp>CDAVG00622</stp>
        <stp>1월</stp>
        <stp>45118</stp>
        <stp>fill=true</stp>
        <tr r="K12" s="4"/>
        <tr r="K12" s="4"/>
      </tp>
      <tp>
        <v>3.71</v>
        <stp/>
        <stp>P</stp>
        <stp>0</stp>
        <stp>IR</stp>
        <stp>CDAVG00635</stp>
        <stp>1월</stp>
        <stp>45118</stp>
        <stp>fill=true</stp>
        <tr r="K13" s="4"/>
        <tr r="K13" s="4"/>
      </tp>
      <tp>
        <v>3.75</v>
        <stp/>
        <stp>P</stp>
        <stp>0</stp>
        <stp>IR</stp>
        <stp>CDAVG00494</stp>
        <stp>3월</stp>
        <stp>45118</stp>
        <stp>fill=true</stp>
        <tr r="M9" s="4"/>
        <tr r="M9" s="4"/>
      </tp>
      <tp>
        <v>3.5</v>
        <stp/>
        <stp>P</stp>
        <stp>0</stp>
        <stp>IR</stp>
        <stp>CDAVG00001</stp>
        <stp>1일</stp>
        <stp>45118</stp>
        <stp>fill=true</stp>
        <tr r="G7" s="4"/>
        <tr r="G7" s="4"/>
      </tp>
      <tp>
        <v>3.5</v>
        <stp/>
        <stp>P</stp>
        <stp>0</stp>
        <stp>IR</stp>
        <stp>CDAVG00011</stp>
        <stp>1일</stp>
        <stp>45118</stp>
        <stp>fill=true</stp>
        <tr r="G8" s="4"/>
        <tr r="G8" s="4"/>
      </tp>
      <tp>
        <v>3.87</v>
        <stp/>
        <stp>P</stp>
        <stp>0</stp>
        <stp>IR</stp>
        <stp>CDAVG00622</stp>
        <stp>6월</stp>
        <stp>45118</stp>
        <stp>fill=true</stp>
        <tr r="O12" s="4"/>
        <tr r="O12" s="4"/>
      </tp>
      <tp>
        <v>3.87</v>
        <stp/>
        <stp>P</stp>
        <stp>0</stp>
        <stp>IR</stp>
        <stp>CDAVG00635</stp>
        <stp>6월</stp>
        <stp>45118</stp>
        <stp>fill=true</stp>
        <tr r="O13" s="4"/>
        <tr r="O13" s="4"/>
      </tp>
      <tp>
        <v>3.76</v>
        <stp/>
        <stp>P</stp>
        <stp>0</stp>
        <stp>IR</stp>
        <stp>CDAVG00494</stp>
        <stp>4월</stp>
        <stp>45118</stp>
        <stp>fill=true</stp>
        <tr r="N9" s="4"/>
        <tr r="N9" s="4"/>
      </tp>
      <tp>
        <v>3.69</v>
        <stp/>
        <stp>P</stp>
        <stp>0</stp>
        <stp>IR</stp>
        <stp>CDAVG00001</stp>
        <stp>1월</stp>
        <stp>45118</stp>
        <stp>fill=true</stp>
        <tr r="K7" s="4"/>
        <tr r="K7" s="4"/>
      </tp>
      <tp>
        <v>3.69</v>
        <stp/>
        <stp>P</stp>
        <stp>0</stp>
        <stp>IR</stp>
        <stp>CDAVG00011</stp>
        <stp>1월</stp>
        <stp>45118</stp>
        <stp>fill=true</stp>
        <tr r="K8" s="4"/>
        <tr r="K8" s="4"/>
      </tp>
      <tp>
        <v>3.76</v>
        <stp/>
        <stp>P</stp>
        <stp>0</stp>
        <stp>IR</stp>
        <stp>CDAVG00528</stp>
        <stp>4월</stp>
        <stp>45118</stp>
        <stp>fill=true</stp>
        <tr r="N11" s="4"/>
        <tr r="N11" s="4"/>
      </tp>
      <tp>
        <v>3.76</v>
        <stp/>
        <stp>P</stp>
        <stp>0</stp>
        <stp>IR</stp>
        <stp>CDAVG00527</stp>
        <stp>4월</stp>
        <stp>45118</stp>
        <stp>fill=true</stp>
        <tr r="N10" s="4"/>
        <tr r="N10" s="4"/>
      </tp>
      <tp>
        <v>3.72</v>
        <stp/>
        <stp>P</stp>
        <stp>0</stp>
        <stp>IR</stp>
        <stp>CDAVG00001</stp>
        <stp>2월</stp>
        <stp>45118</stp>
        <stp>fill=true</stp>
        <tr r="L7" s="4"/>
        <tr r="L7" s="4"/>
      </tp>
      <tp>
        <v>3.72</v>
        <stp/>
        <stp>P</stp>
        <stp>0</stp>
        <stp>IR</stp>
        <stp>CDAVG00011</stp>
        <stp>2월</stp>
        <stp>45118</stp>
        <stp>fill=true</stp>
        <tr r="L8" s="4"/>
        <tr r="L8" s="4"/>
      </tp>
      <tp>
        <v>0</v>
        <stp/>
        <stp>P</stp>
        <stp>0</stp>
        <stp>IR</stp>
        <stp>CDAVG00622</stp>
        <stp>4월</stp>
        <stp>45118</stp>
        <stp>fill=true</stp>
        <tr r="N12" s="4"/>
      </tp>
      <tp>
        <v>3.82</v>
        <stp/>
        <stp>P</stp>
        <stp>0</stp>
        <stp>IR</stp>
        <stp>CDAVG00635</stp>
        <stp>4월</stp>
        <stp>45118</stp>
        <stp>fill=true</stp>
        <tr r="N13" s="4"/>
        <tr r="N13" s="4"/>
      </tp>
      <tp>
        <v>3.8</v>
        <stp/>
        <stp>P</stp>
        <stp>0</stp>
        <stp>IR</stp>
        <stp>CDAVG00494</stp>
        <stp>6월</stp>
        <stp>45118</stp>
        <stp>fill=true</stp>
        <tr r="O9" s="4"/>
        <tr r="O9" s="4"/>
      </tp>
      <tp>
        <v>3.74</v>
        <stp/>
        <stp>P</stp>
        <stp>0</stp>
        <stp>IR</stp>
        <stp>CDAVG00001</stp>
        <stp>3월</stp>
        <stp>45118</stp>
        <stp>fill=true</stp>
        <tr r="M7" s="4"/>
        <tr r="M7" s="4"/>
      </tp>
      <tp>
        <v>3.74</v>
        <stp/>
        <stp>P</stp>
        <stp>0</stp>
        <stp>IR</stp>
        <stp>CDAVG00011</stp>
        <stp>3월</stp>
        <stp>45118</stp>
        <stp>fill=true</stp>
        <tr r="M8" s="4"/>
        <tr r="M8" s="4"/>
      </tp>
      <tp>
        <v>3.8</v>
        <stp/>
        <stp>P</stp>
        <stp>0</stp>
        <stp>IR</stp>
        <stp>CDAVG00528</stp>
        <stp>6월</stp>
        <stp>45118</stp>
        <stp>fill=true</stp>
        <tr r="O11" s="4"/>
        <tr r="O11" s="4"/>
      </tp>
      <tp>
        <v>3.8</v>
        <stp/>
        <stp>P</stp>
        <stp>0</stp>
        <stp>IR</stp>
        <stp>CDAVG00527</stp>
        <stp>6월</stp>
        <stp>45118</stp>
        <stp>fill=true</stp>
        <tr r="O10" s="4"/>
        <tr r="O10" s="4"/>
      </tp>
      <tp>
        <v>4.3600000000000003</v>
        <stp/>
        <stp>P</stp>
        <stp>0</stp>
        <stp>IR</stp>
        <stp>CDAVG45405</stp>
        <stp>2년</stp>
        <stp>45118</stp>
        <stp>fill=true</stp>
        <tr r="Q20" s="4"/>
        <tr r="Q20" s="4"/>
      </tp>
      <tp>
        <v>4.37</v>
        <stp/>
        <stp>P</stp>
        <stp>0</stp>
        <stp>IR</stp>
        <stp>CDAVG45406</stp>
        <stp>2년</stp>
        <stp>45118</stp>
        <stp>fill=true</stp>
        <tr r="Q21" s="4"/>
        <tr r="Q21" s="4"/>
      </tp>
      <tp>
        <v>3.99</v>
        <stp/>
        <stp>P</stp>
        <stp>0</stp>
        <stp>IR</stp>
        <stp>CDAVG45405</stp>
        <stp>1년</stp>
        <stp>45118</stp>
        <stp>fill=true</stp>
        <tr r="P20" s="4"/>
        <tr r="P20" s="4"/>
      </tp>
      <tp>
        <v>4</v>
        <stp/>
        <stp>P</stp>
        <stp>0</stp>
        <stp>IR</stp>
        <stp>CDAVG45406</stp>
        <stp>1년</stp>
        <stp>45118</stp>
        <stp>fill=true</stp>
        <tr r="P21" s="4"/>
        <tr r="P21" s="4"/>
      </tp>
      <tp>
        <v>3.59</v>
        <stp/>
        <stp>P</stp>
        <stp>0</stp>
        <stp>IR</stp>
        <stp>CDAVG45405</stp>
        <stp>1주</stp>
        <stp>45118</stp>
        <stp>fill=true</stp>
        <tr r="H20" s="4"/>
        <tr r="H20" s="4"/>
      </tp>
      <tp>
        <v>3.59</v>
        <stp/>
        <stp>P</stp>
        <stp>0</stp>
        <stp>IR</stp>
        <stp>CDAVG45406</stp>
        <stp>1주</stp>
        <stp>45118</stp>
        <stp>fill=true</stp>
        <tr r="H21" s="4"/>
        <tr r="H21" s="4"/>
      </tp>
      <tp>
        <v>3.53</v>
        <stp/>
        <stp>P</stp>
        <stp>0</stp>
        <stp>IR</stp>
        <stp>CDAVG45405</stp>
        <stp>1일</stp>
        <stp>45118</stp>
        <stp>fill=true</stp>
        <tr r="G20" s="4"/>
        <tr r="G20" s="4"/>
      </tp>
      <tp>
        <v>3.54</v>
        <stp/>
        <stp>P</stp>
        <stp>0</stp>
        <stp>IR</stp>
        <stp>CDAVG45406</stp>
        <stp>1일</stp>
        <stp>45118</stp>
        <stp>fill=true</stp>
        <tr r="G21" s="4"/>
        <tr r="G21" s="4"/>
      </tp>
      <tp>
        <v>3.7</v>
        <stp/>
        <stp>P</stp>
        <stp>0</stp>
        <stp>IR</stp>
        <stp>CDAVG45405</stp>
        <stp>1월</stp>
        <stp>45118</stp>
        <stp>fill=true</stp>
        <tr r="K20" s="4"/>
        <tr r="K20" s="4"/>
      </tp>
      <tp>
        <v>3.71</v>
        <stp/>
        <stp>P</stp>
        <stp>0</stp>
        <stp>IR</stp>
        <stp>CDAVG45406</stp>
        <stp>1월</stp>
        <stp>45118</stp>
        <stp>fill=true</stp>
        <tr r="K21" s="4"/>
        <tr r="K21" s="4"/>
      </tp>
      <tp>
        <v>3.73</v>
        <stp/>
        <stp>P</stp>
        <stp>0</stp>
        <stp>IR</stp>
        <stp>CDAVG45405</stp>
        <stp>2월</stp>
        <stp>45118</stp>
        <stp>fill=true</stp>
        <tr r="L20" s="4"/>
        <tr r="L20" s="4"/>
      </tp>
      <tp>
        <v>3.74</v>
        <stp/>
        <stp>P</stp>
        <stp>0</stp>
        <stp>IR</stp>
        <stp>CDAVG45406</stp>
        <stp>2월</stp>
        <stp>45118</stp>
        <stp>fill=true</stp>
        <tr r="L21" s="4"/>
        <tr r="L21" s="4"/>
      </tp>
      <tp>
        <v>3.77</v>
        <stp/>
        <stp>P</stp>
        <stp>0</stp>
        <stp>IR</stp>
        <stp>CDAVG45405</stp>
        <stp>3월</stp>
        <stp>45118</stp>
        <stp>fill=true</stp>
        <tr r="M20" s="4"/>
        <tr r="M20" s="4"/>
      </tp>
      <tp>
        <v>3.77</v>
        <stp/>
        <stp>P</stp>
        <stp>0</stp>
        <stp>IR</stp>
        <stp>CDAVG45406</stp>
        <stp>3월</stp>
        <stp>45118</stp>
        <stp>fill=true</stp>
        <tr r="M21" s="4"/>
        <tr r="M21" s="4"/>
      </tp>
      <tp>
        <v>3.81</v>
        <stp/>
        <stp>P</stp>
        <stp>0</stp>
        <stp>IR</stp>
        <stp>CDAVG45405</stp>
        <stp>4월</stp>
        <stp>45118</stp>
        <stp>fill=true</stp>
        <tr r="N20" s="4"/>
        <tr r="N20" s="4"/>
      </tp>
      <tp>
        <v>3.82</v>
        <stp/>
        <stp>P</stp>
        <stp>0</stp>
        <stp>IR</stp>
        <stp>CDAVG45406</stp>
        <stp>4월</stp>
        <stp>45118</stp>
        <stp>fill=true</stp>
        <tr r="N21" s="4"/>
        <tr r="N21" s="4"/>
      </tp>
      <tp>
        <v>3.86</v>
        <stp/>
        <stp>P</stp>
        <stp>0</stp>
        <stp>IR</stp>
        <stp>CDAVG45405</stp>
        <stp>6월</stp>
        <stp>45118</stp>
        <stp>fill=true</stp>
        <tr r="O20" s="4"/>
        <tr r="O20" s="4"/>
      </tp>
      <tp>
        <v>3.87</v>
        <stp/>
        <stp>P</stp>
        <stp>0</stp>
        <stp>IR</stp>
        <stp>CDAVG45406</stp>
        <stp>6월</stp>
        <stp>45118</stp>
        <stp>fill=true</stp>
        <tr r="O21" s="4"/>
        <tr r="O21" s="4"/>
      </tp>
      <tp>
        <v>20230711</v>
        <stp/>
        <stp>P</stp>
        <stp>0</stp>
        <stp>IR</stp>
        <stp>CDAVG00494</stp>
        <stp>1일</stp>
        <stp>45118</stp>
        <stp>fill=true,disp=date</stp>
        <tr r="C9" s="4"/>
      </tp>
      <tp>
        <v>20230711</v>
        <stp/>
        <stp>P</stp>
        <stp>0</stp>
        <stp>IR</stp>
        <stp>CDAVG13424</stp>
        <stp>1일</stp>
        <stp>45118</stp>
        <stp>fill=true,disp=date</stp>
        <tr r="C17" s="4"/>
      </tp>
      <tp>
        <v>20230711</v>
        <stp/>
        <stp>P</stp>
        <stp>0</stp>
        <stp>IR</stp>
        <stp>CDAVG19327</stp>
        <stp>1일</stp>
        <stp>45118</stp>
        <stp>fill=true,disp=date</stp>
        <tr r="C18" s="4"/>
      </tp>
      <tp>
        <v>20230711</v>
        <stp/>
        <stp>P</stp>
        <stp>0</stp>
        <stp>IR</stp>
        <stp>CDAVG00527</stp>
        <stp>1일</stp>
        <stp>45118</stp>
        <stp>fill=true,disp=date</stp>
        <tr r="C10" s="4"/>
      </tp>
      <tp>
        <v>20230711</v>
        <stp/>
        <stp>P</stp>
        <stp>0</stp>
        <stp>IR</stp>
        <stp>CDAVG00622</stp>
        <stp>1일</stp>
        <stp>45118</stp>
        <stp>fill=true,disp=date</stp>
        <tr r="C12" s="4"/>
      </tp>
      <tp>
        <v>20230711</v>
        <stp/>
        <stp>P</stp>
        <stp>0</stp>
        <stp>IR</stp>
        <stp>CDAVG00528</stp>
        <stp>1일</stp>
        <stp>45118</stp>
        <stp>fill=true,disp=date</stp>
        <tr r="C11" s="4"/>
      </tp>
      <tp>
        <v>20230711</v>
        <stp/>
        <stp>P</stp>
        <stp>0</stp>
        <stp>IR</stp>
        <stp>CDAVG00635</stp>
        <stp>1일</stp>
        <stp>45118</stp>
        <stp>fill=true,disp=date</stp>
        <tr r="C13" s="4"/>
      </tp>
      <tp>
        <v>20230711</v>
        <stp/>
        <stp>P</stp>
        <stp>0</stp>
        <stp>IR</stp>
        <stp>CDAVG45405</stp>
        <stp>1일</stp>
        <stp>45118</stp>
        <stp>fill=true,disp=date</stp>
        <tr r="C20" s="4"/>
      </tp>
      <tp>
        <v>20230711</v>
        <stp/>
        <stp>P</stp>
        <stp>0</stp>
        <stp>IR</stp>
        <stp>CDAVG03401</stp>
        <stp>1일</stp>
        <stp>45118</stp>
        <stp>fill=true,disp=date</stp>
        <tr r="C15" s="4"/>
      </tp>
      <tp>
        <v>20230711</v>
        <stp/>
        <stp>P</stp>
        <stp>0</stp>
        <stp>IR</stp>
        <stp>CDAVG00001</stp>
        <stp>1일</stp>
        <stp>45118</stp>
        <stp>fill=true,disp=date</stp>
        <tr r="C7" s="4"/>
      </tp>
      <tp>
        <v>20230711</v>
        <stp/>
        <stp>P</stp>
        <stp>0</stp>
        <stp>IR</stp>
        <stp>CDAVG45406</stp>
        <stp>1일</stp>
        <stp>45118</stp>
        <stp>fill=true,disp=date</stp>
        <tr r="C21" s="4"/>
      </tp>
      <tp>
        <v>20230711</v>
        <stp/>
        <stp>P</stp>
        <stp>0</stp>
        <stp>IR</stp>
        <stp>CDAVG00011</stp>
        <stp>1일</stp>
        <stp>45118</stp>
        <stp>fill=true,disp=date</stp>
        <tr r="C8" s="4"/>
      </tp>
      <tp>
        <v>20230711</v>
        <stp/>
        <stp>P</stp>
        <stp>0</stp>
        <stp>IR</stp>
        <stp>CDAVG02313</stp>
        <stp>1일</stp>
        <stp>45118</stp>
        <stp>fill=true,disp=date</stp>
        <tr r="C14" s="4"/>
      </tp>
      <tp>
        <v>20230711</v>
        <stp/>
        <stp>P</stp>
        <stp>0</stp>
        <stp>IR</stp>
        <stp>CDAVG19845</stp>
        <stp>1일</stp>
        <stp>45118</stp>
        <stp>fill=true,disp=date</stp>
        <tr r="C19" s="4"/>
      </tp>
      <tp>
        <v>20230711</v>
        <stp/>
        <stp>P</stp>
        <stp>0</stp>
        <stp>IR</stp>
        <stp>CDAVG03946</stp>
        <stp>1일</stp>
        <stp>45118</stp>
        <stp>fill=true,disp=date</stp>
        <tr r="C16" s="4"/>
      </tp>
      <tp t="s">
        <v/>
        <stp/>
        <stp>P</stp>
        <stp>0</stp>
        <stp>IR</stp>
        <stp>CDAVG13450</stp>
        <stp>1일</stp>
        <stp>45117</stp>
        <stp/>
        <tr r="L68" s="1"/>
      </tp>
      <tp>
        <v>3.49</v>
        <stp/>
        <stp>P</stp>
        <stp>0</stp>
        <stp>IR</stp>
        <stp>CDAVG03401</stp>
        <stp>1일</stp>
        <stp>45117</stp>
        <stp/>
        <tr r="L61" s="1"/>
      </tp>
      <tp t="s">
        <v/>
        <stp/>
        <stp>P</stp>
        <stp>0</stp>
        <stp>IR</stp>
        <stp>CDAVG02411</stp>
        <stp>1일</stp>
        <stp>45117</stp>
        <stp/>
        <tr r="L60" s="1"/>
      </tp>
      <tp>
        <v>3.5</v>
        <stp/>
        <stp>P</stp>
        <stp>0</stp>
        <stp>IR</stp>
        <stp>CDAVG00001</stp>
        <stp>1일</stp>
        <stp>45117</stp>
        <stp/>
        <tr r="L51" s="1"/>
      </tp>
      <tp>
        <v>3.5</v>
        <stp/>
        <stp>P</stp>
        <stp>0</stp>
        <stp>IR</stp>
        <stp>CDAVG00011</stp>
        <stp>1일</stp>
        <stp>45117</stp>
        <stp/>
        <tr r="L52" s="1"/>
      </tp>
      <tp>
        <v>3.53</v>
        <stp/>
        <stp>P</stp>
        <stp>0</stp>
        <stp>IR</stp>
        <stp>CDAVG45405</stp>
        <stp>1일</stp>
        <stp>45117</stp>
        <stp/>
        <tr r="L71" s="1"/>
      </tp>
      <tp t="s">
        <v/>
        <stp/>
        <stp>P</stp>
        <stp>0</stp>
        <stp>IR</stp>
        <stp>CDAVG03430</stp>
        <stp>1일</stp>
        <stp>45117</stp>
        <stp/>
        <tr r="L62" s="1"/>
      </tp>
      <tp>
        <v>3.5</v>
        <stp/>
        <stp>P</stp>
        <stp>0</stp>
        <stp>IR</stp>
        <stp>CDAVG02313</stp>
        <stp>1일</stp>
        <stp>45117</stp>
        <stp/>
        <tr r="L59" s="1"/>
      </tp>
      <tp t="s">
        <v/>
        <stp/>
        <stp>P</stp>
        <stp>0</stp>
        <stp>IR</stp>
        <stp>CDAVG01683</stp>
        <stp>1일</stp>
        <stp>45117</stp>
        <stp/>
        <tr r="L58" s="1"/>
      </tp>
      <tp t="s">
        <v/>
        <stp/>
        <stp>P</stp>
        <stp>0</stp>
        <stp>IR</stp>
        <stp>CDAVG13423</stp>
        <stp>1일</stp>
        <stp>45117</stp>
        <stp/>
        <tr r="L65" s="1"/>
      </tp>
      <tp>
        <v>3.53</v>
        <stp/>
        <stp>P</stp>
        <stp>0</stp>
        <stp>IR</stp>
        <stp>CDAVG00622</stp>
        <stp>1일</stp>
        <stp>45117</stp>
        <stp/>
        <tr r="L56" s="1"/>
      </tp>
      <tp>
        <v>3.54</v>
        <stp/>
        <stp>P</stp>
        <stp>0</stp>
        <stp>IR</stp>
        <stp>CDAVG45406</stp>
        <stp>1일</stp>
        <stp>45117</stp>
        <stp/>
        <tr r="L72" s="1"/>
      </tp>
      <tp>
        <v>3.55</v>
        <stp/>
        <stp>P</stp>
        <stp>0</stp>
        <stp>IR</stp>
        <stp>CDAVG13424</stp>
        <stp>1일</stp>
        <stp>45117</stp>
        <stp/>
        <tr r="L66" s="1"/>
      </tp>
      <tp>
        <v>3.54</v>
        <stp/>
        <stp>P</stp>
        <stp>0</stp>
        <stp>IR</stp>
        <stp>CDAVG00635</stp>
        <stp>1일</stp>
        <stp>45117</stp>
        <stp/>
        <tr r="L57" s="1"/>
      </tp>
      <tp t="s">
        <v/>
        <stp/>
        <stp>P</stp>
        <stp>0</stp>
        <stp>IR</stp>
        <stp>CDAVG47361</stp>
        <stp>1일</stp>
        <stp>45117</stp>
        <stp/>
        <tr r="L73" s="1"/>
      </tp>
      <tp>
        <v>3.5</v>
        <stp/>
        <stp>P</stp>
        <stp>0</stp>
        <stp>IR</stp>
        <stp>CDAVG19845</stp>
        <stp>1일</stp>
        <stp>45117</stp>
        <stp/>
        <tr r="L70" s="1"/>
      </tp>
      <tp t="s">
        <v/>
        <stp/>
        <stp>P</stp>
        <stp>0</stp>
        <stp>IR</stp>
        <stp>CDAVG13425</stp>
        <stp>1일</stp>
        <stp>45117</stp>
        <stp/>
        <tr r="L67" s="1"/>
      </tp>
      <tp>
        <v>3.5</v>
        <stp/>
        <stp>P</stp>
        <stp>0</stp>
        <stp>IR</stp>
        <stp>CDAVG00494</stp>
        <stp>1일</stp>
        <stp>45117</stp>
        <stp/>
        <tr r="L53" s="1"/>
      </tp>
      <tp t="s">
        <v/>
        <stp/>
        <stp>P</stp>
        <stp>0</stp>
        <stp>IR</stp>
        <stp>CDAVG03547</stp>
        <stp>1일</stp>
        <stp>45117</stp>
        <stp/>
        <tr r="L63" s="1"/>
      </tp>
      <tp>
        <v>3.51</v>
        <stp/>
        <stp>P</stp>
        <stp>0</stp>
        <stp>IR</stp>
        <stp>CDAVG00527</stp>
        <stp>1일</stp>
        <stp>45117</stp>
        <stp/>
        <tr r="L54" s="1"/>
      </tp>
      <tp>
        <v>3.5</v>
        <stp/>
        <stp>P</stp>
        <stp>0</stp>
        <stp>IR</stp>
        <stp>CDAVG19327</stp>
        <stp>1일</stp>
        <stp>45117</stp>
        <stp/>
        <tr r="L69" s="1"/>
      </tp>
      <tp>
        <v>3.5</v>
        <stp/>
        <stp>P</stp>
        <stp>0</stp>
        <stp>IR</stp>
        <stp>CDAVG03946</stp>
        <stp>1일</stp>
        <stp>45117</stp>
        <stp/>
        <tr r="L64" s="1"/>
      </tp>
      <tp t="s">
        <v/>
        <stp/>
        <stp>P</stp>
        <stp>0</stp>
        <stp>IR</stp>
        <stp>CDAVG65590</stp>
        <stp>1일</stp>
        <stp>45117</stp>
        <stp/>
        <tr r="L75" s="1"/>
      </tp>
      <tp>
        <v>3.51</v>
        <stp/>
        <stp>P</stp>
        <stp>0</stp>
        <stp>IR</stp>
        <stp>CDAVG00528</stp>
        <stp>1일</stp>
        <stp>45117</stp>
        <stp/>
        <tr r="L55" s="1"/>
      </tp>
      <tp t="s">
        <v/>
        <stp/>
        <stp>P</stp>
        <stp>0</stp>
        <stp>IR</stp>
        <stp>CDAVG49448</stp>
        <stp>1일</stp>
        <stp>45117</stp>
        <stp/>
        <tr r="L74" s="1"/>
      </tp>
      <tp t="s">
        <v/>
        <stp/>
        <stp>P</stp>
        <stp>0</stp>
        <stp>IR</stp>
        <stp>CDAVG</stp>
        <stp>1일</stp>
        <stp>45117</stp>
        <stp/>
        <tr r="L397" s="1"/>
        <tr r="L639" s="1"/>
        <tr r="L148" s="1"/>
        <tr r="L425" s="1"/>
        <tr r="L697" s="1"/>
        <tr r="L85" s="1"/>
        <tr r="L277" s="1"/>
        <tr r="L469" s="1"/>
        <tr r="L576" s="1"/>
        <tr r="L418" s="1"/>
        <tr r="L752" s="1"/>
        <tr r="L178" s="1"/>
        <tr r="L788" s="1"/>
        <tr r="L153" s="1"/>
        <tr r="L984" s="1"/>
        <tr r="L461" s="1"/>
        <tr r="L781" s="1"/>
        <tr r="L212" s="1"/>
        <tr r="L510" s="1"/>
        <tr r="L755" s="1"/>
        <tr r="L128" s="1"/>
        <tr r="L362" s="1"/>
        <tr r="L490" s="1"/>
        <tr r="L597" s="1"/>
        <tr r="L152" s="1"/>
        <tr r="L504" s="1"/>
        <tr r="L841" s="1"/>
        <tr r="L269" s="1"/>
        <tr r="L852" s="1"/>
        <tr r="L324" s="1"/>
        <tr r="L197" s="1"/>
        <tr r="L884" s="1"/>
        <tr r="L318" s="1"/>
        <tr r="L553" s="1"/>
        <tr r="L811" s="1"/>
        <tr r="L213" s="1"/>
        <tr r="L384" s="1"/>
        <tr r="L512" s="1"/>
        <tr r="L643" s="1"/>
        <tr r="L264" s="1"/>
        <tr r="L546" s="1"/>
        <tr r="L254" s="1"/>
        <tr r="L312" s="1"/>
        <tr r="L980" s="1"/>
        <tr r="L494" s="1"/>
        <tr r="L368" s="1"/>
        <tr r="L88" s="1"/>
        <tr r="L525" s="1"/>
        <tr r="L200" s="1"/>
        <tr r="L568" s="1"/>
        <tr r="L105" s="1"/>
        <tr r="L361" s="1"/>
        <tr r="L596" s="1"/>
        <tr r="L1016" s="1"/>
        <tr r="L256" s="1"/>
        <tr r="L405" s="1"/>
        <tr r="L554" s="1"/>
        <tr r="L306" s="1"/>
        <tr r="L696" s="1"/>
        <tr r="L130" s="1"/>
        <tr r="L381" s="1"/>
        <tr r="L110" s="1"/>
        <tr r="L704" s="1"/>
        <tr r="L538" s="1"/>
        <tr r="L281" s="1"/>
        <tr r="L452" s="1"/>
        <tr r="L648" s="1"/>
        <tr r="L899" s="1"/>
        <tr r="L154" s="1"/>
        <tr r="L325" s="1"/>
        <tr r="L496" s="1"/>
        <tr r="L677" s="1"/>
        <tr r="L820" s="1"/>
        <tr r="L985" s="1"/>
        <tr r="L108" s="1"/>
        <tr r="L193" s="1"/>
        <tr r="L278" s="1"/>
        <tr r="L385" s="1"/>
        <tr r="L470" s="1"/>
        <tr r="L556" s="1"/>
        <tr r="L644" s="1"/>
        <tr r="L757" s="1"/>
        <tr r="L893" s="1"/>
        <tr r="L1104" s="1"/>
        <tr r="L869" s="1"/>
        <tr r="L955" s="1"/>
        <tr r="L242" s="1"/>
        <tr r="L440" s="1"/>
        <tr r="L724" s="1"/>
        <tr r="L84" s="1"/>
        <tr r="L233" s="1"/>
        <tr r="L404" s="1"/>
        <tr r="L574" s="1"/>
        <tr r="L783" s="1"/>
        <tr r="L1089" s="1"/>
        <tr r="L234" s="1"/>
        <tr r="L205" s="1"/>
        <tr r="L360" s="1"/>
        <tr r="L488" s="1"/>
        <tr r="L573" s="1"/>
        <tr r="L675" s="1"/>
        <tr r="L816" s="1"/>
        <tr r="L89" s="1"/>
        <tr r="L260" s="1"/>
        <tr r="L430" s="1"/>
        <tr r="L580" s="1"/>
        <tr r="L789" s="1"/>
        <tr r="L90" s="1"/>
        <tr r="L261" s="1"/>
        <tr r="L432" s="1"/>
        <tr r="L602" s="1"/>
        <tr r="L141" s="1"/>
        <tr r="L232" s="1"/>
        <tr r="L322" s="1"/>
        <tr r="L82" s="1"/>
        <tr r="L194" s="1"/>
        <tr r="L280" s="1"/>
        <tr r="L370" s="1"/>
        <tr r="L456" s="1"/>
        <tr r="L541" s="1"/>
        <tr r="L626" s="1"/>
        <tr r="L745" s="1"/>
        <tr r="L873" s="1"/>
        <tr r="L1055" s="1"/>
        <tr r="L142" s="1"/>
        <tr r="L228" s="1"/>
        <tr r="L313" s="1"/>
        <tr r="L398" s="1"/>
        <tr r="L484" s="1"/>
        <tr r="L569" s="1"/>
        <tr r="L661" s="1"/>
        <tr r="L699" s="1"/>
        <tr r="L813" s="1"/>
        <tr r="L975" s="1"/>
        <tr r="L102" s="1"/>
        <tr r="L188" s="1"/>
        <tr r="L273" s="1"/>
        <tr r="L358" s="1"/>
        <tr r="L444" s="1"/>
        <tr r="L529" s="1"/>
        <tr r="L614" s="1"/>
        <tr r="L723" s="1"/>
        <tr r="L840" s="1"/>
        <tr r="L1011" s="1"/>
        <tr r="L843" s="1"/>
        <tr r="L928" s="1"/>
        <tr r="L1013" s="1"/>
        <tr r="L1113" s="1"/>
        <tr r="L1254" s="1"/>
        <tr r="L91" s="1"/>
        <tr r="L155" s="1"/>
        <tr r="L219" s="1"/>
        <tr r="L283" s="1"/>
        <tr r="L347" s="1"/>
        <tr r="L411" s="1"/>
        <tr r="L475" s="1"/>
        <tr r="L539" s="1"/>
        <tr r="L603" s="1"/>
        <tr r="L679" s="1"/>
        <tr r="L764" s="1"/>
        <tr r="L849" s="1"/>
        <tr r="L935" s="1"/>
        <tr r="L1020" s="1"/>
        <tr r="L1019" s="1"/>
        <tr r="L1120" s="1"/>
        <tr r="L1263" s="1"/>
        <tr r="L95" s="1"/>
        <tr r="L159" s="1"/>
        <tr r="L223" s="1"/>
        <tr r="L287" s="1"/>
        <tr r="L351" s="1"/>
        <tr r="L415" s="1"/>
        <tr r="L479" s="1"/>
        <tr r="L543" s="1"/>
        <tr r="L623" s="1"/>
        <tr r="L748" s="1"/>
        <tr r="L429" s="1"/>
        <tr r="L536" s="1"/>
        <tr r="L681" s="1"/>
        <tr r="L824" s="1"/>
        <tr r="L1033" s="1"/>
        <tr r="L180" s="1"/>
        <tr r="L286" s="1"/>
        <tr r="L393" s="1"/>
        <tr r="L521" s="1"/>
        <tr r="L707" s="1"/>
        <tr r="L857" s="1"/>
        <tr r="L1028" s="1"/>
        <tr r="L129" s="1"/>
        <tr r="L214" s="1"/>
        <tr r="L300" s="1"/>
        <tr r="L406" s="1"/>
        <tr r="L492" s="1"/>
        <tr r="L577" s="1"/>
        <tr r="L672" s="1"/>
        <tr r="L787" s="1"/>
        <tr r="L936" s="1"/>
        <tr r="L189" s="1"/>
        <tr r="L891" s="1"/>
        <tr r="L125" s="1"/>
        <tr r="L285" s="1"/>
        <tr r="L482" s="1"/>
        <tr r="L809" s="1"/>
        <tr r="L126" s="1"/>
        <tr r="L297" s="1"/>
        <tr r="L446" s="1"/>
        <tr r="L617" s="1"/>
        <tr r="L845" s="1"/>
        <tr r="L106" s="1"/>
        <tr r="L298" s="1"/>
        <tr r="L248" s="1"/>
        <tr r="L402" s="1"/>
        <tr r="L509" s="1"/>
        <tr r="L594" s="1"/>
        <tr r="L703" s="1"/>
        <tr r="L895" s="1"/>
        <tr r="L132" s="1"/>
        <tr r="L302" s="1"/>
        <tr r="L473" s="1"/>
        <tr r="L622" s="1"/>
        <tr r="L856" s="1"/>
        <tr r="L133" s="1"/>
        <tr r="L304" s="1"/>
        <tr r="L474" s="1"/>
        <tr r="L649" s="1"/>
        <tr r="L162" s="1"/>
        <tr r="L253" s="1"/>
        <tr r="L344" s="1"/>
        <tr r="L120" s="1"/>
        <tr r="L216" s="1"/>
        <tr r="L301" s="1"/>
        <tr r="L392" s="1"/>
        <tr r="L477" s="1"/>
        <tr r="L562" s="1"/>
        <tr r="L660" s="1"/>
        <tr r="L773" s="1"/>
        <tr r="L916" s="1"/>
        <tr r="L78" s="1"/>
        <tr r="L164" s="1"/>
        <tr r="L249" s="1"/>
        <tr r="L334" s="1"/>
        <tr r="L420" s="1"/>
        <tr r="L505" s="1"/>
        <tr r="L590" s="1"/>
        <tr r="L691" s="1"/>
        <tr r="L728" s="1"/>
        <tr r="L847" s="1"/>
        <tr r="L1017" s="1"/>
        <tr r="L124" s="1"/>
        <tr r="L209" s="1"/>
        <tr r="L294" s="1"/>
        <tr r="L380" s="1"/>
        <tr r="L465" s="1"/>
        <tr r="L550" s="1"/>
        <tr r="L637" s="1"/>
        <tr r="L751" s="1"/>
        <tr r="L883" s="1"/>
        <tr r="L1076" s="1"/>
        <tr r="L864" s="1"/>
        <tr r="L949" s="1"/>
        <tr r="L1035" s="1"/>
        <tr r="L1141" s="1"/>
        <tr r="L1291" s="1"/>
        <tr r="L107" s="1"/>
        <tr r="L171" s="1"/>
        <tr r="L235" s="1"/>
        <tr r="L299" s="1"/>
        <tr r="L363" s="1"/>
        <tr r="L427" s="1"/>
        <tr r="L491" s="1"/>
        <tr r="L555" s="1"/>
        <tr r="L619" s="1"/>
        <tr r="L700" s="1"/>
        <tr r="L785" s="1"/>
        <tr r="L871" s="1"/>
        <tr r="L956" s="1"/>
        <tr r="L1041" s="1"/>
        <tr r="L1040" s="1"/>
        <tr r="L1150" s="1"/>
        <tr r="L1302" s="1"/>
        <tr r="L111" s="1"/>
        <tr r="L175" s="1"/>
        <tr r="L239" s="1"/>
        <tr r="L303" s="1"/>
        <tr r="L367" s="1"/>
        <tr r="L431" s="1"/>
        <tr r="L495" s="1"/>
        <tr r="L559" s="1"/>
        <tr r="L663" s="1"/>
        <tr r="L769" s="1"/>
        <tr r="L450" s="1"/>
        <tr r="L578" s="1"/>
        <tr r="L709" s="1"/>
        <tr r="L863" s="1"/>
        <tr r="L94" s="1"/>
        <tr r="L201" s="1"/>
        <tr r="L308" s="1"/>
        <tr r="L436" s="1"/>
        <tr r="L564" s="1"/>
        <tr r="L196" s="1"/>
        <tr r="L366" s="1"/>
        <tr r="L537" s="1"/>
        <tr r="L761" s="1"/>
        <tr r="L1118" s="1"/>
        <tr r="L240" s="1"/>
        <tr r="L410" s="1"/>
        <tr r="L581" s="1"/>
        <tr r="L763" s="1"/>
        <tr r="L900" s="1"/>
        <tr r="L1125" s="1"/>
        <tr r="L150" s="1"/>
        <tr r="L236" s="1"/>
        <tr r="L321" s="1"/>
        <tr r="L428" s="1"/>
        <tr r="L513" s="1"/>
        <tr r="L598" s="1"/>
        <tr r="L701" s="1"/>
        <tr r="L815" s="1"/>
        <tr r="L979" s="1"/>
        <tr r="L104" s="1"/>
        <tr r="L912" s="1"/>
        <tr r="L173" s="1"/>
        <tr r="L333" s="1"/>
        <tr r="L589" s="1"/>
        <tr r="L927" s="1"/>
        <tr r="L169" s="1"/>
        <tr r="L340" s="1"/>
        <tr r="L489" s="1"/>
        <tr r="L669" s="1"/>
        <tr r="L931" s="1"/>
        <tr r="L149" s="1"/>
        <tr r="L341" s="1"/>
        <tr r="L98" s="1"/>
        <tr r="L290" s="1"/>
        <tr r="L424" s="1"/>
        <tr r="L530" s="1"/>
        <tr r="L616" s="1"/>
        <tr r="L731" s="1"/>
        <tr r="L937" s="1"/>
        <tr r="L174" s="1"/>
        <tr r="L345" s="1"/>
        <tr r="L516" s="1"/>
        <tr r="L676" s="1"/>
        <tr r="L941" s="1"/>
        <tr r="L176" s="1"/>
        <tr r="L346" s="1"/>
        <tr r="L517" s="1"/>
        <tr r="L735" s="1"/>
        <tr r="L77" s="1"/>
        <tr r="L184" s="1"/>
        <tr r="L274" s="1"/>
        <tr r="L365" s="1"/>
        <tr r="L146" s="1"/>
        <tr r="L237" s="1"/>
        <tr r="L328" s="1"/>
        <tr r="L413" s="1"/>
        <tr r="L498" s="1"/>
        <tr r="L584" s="1"/>
        <tr r="L688" s="1"/>
        <tr r="L803" s="1"/>
        <tr r="L959" s="1"/>
        <tr r="L100" s="1"/>
        <tr r="L185" s="1"/>
        <tr r="L270" s="1"/>
        <tr r="L356" s="1"/>
        <tr r="L441" s="1"/>
        <tr r="L526" s="1"/>
        <tr r="L612" s="1"/>
        <tr r="L719" s="1"/>
        <tr r="L756" s="1"/>
        <tr r="L889" s="1"/>
        <tr r="L1097" s="1"/>
        <tr r="L145" s="1"/>
        <tr r="L230" s="1"/>
        <tr r="L316" s="1"/>
        <tr r="L401" s="1"/>
        <tr r="L486" s="1"/>
        <tr r="L572" s="1"/>
        <tr r="L665" s="1"/>
        <tr r="L779" s="1"/>
        <tr r="L925" s="1"/>
        <tr r="L136" s="1"/>
        <tr r="L885" s="1"/>
        <tr r="L971" s="1"/>
        <tr r="L1056" s="1"/>
        <tr r="L1178" s="1"/>
        <tr r="L1331" s="1"/>
        <tr r="L123" s="1"/>
        <tr r="L187" s="1"/>
        <tr r="L251" s="1"/>
        <tr r="L315" s="1"/>
        <tr r="L379" s="1"/>
        <tr r="L443" s="1"/>
        <tr r="L507" s="1"/>
        <tr r="L571" s="1"/>
        <tr r="L636" s="1"/>
        <tr r="L721" s="1"/>
        <tr r="L807" s="1"/>
        <tr r="L892" s="1"/>
        <tr r="L977" s="1"/>
        <tr r="L976" s="1"/>
        <tr r="L1062" s="1"/>
        <tr r="L1188" s="1"/>
        <tr r="L1339" s="1"/>
        <tr r="L127" s="1"/>
        <tr r="L191" s="1"/>
        <tr r="L255" s="1"/>
        <tr r="L319" s="1"/>
        <tr r="L383" s="1"/>
        <tr r="L447" s="1"/>
        <tr r="L511" s="1"/>
        <tr r="L591" s="1"/>
        <tr r="L684" s="1"/>
        <tr r="L791" s="1"/>
        <tr r="L493" s="1"/>
        <tr r="L600" s="1"/>
        <tr r="L739" s="1"/>
        <tr r="L948" s="1"/>
        <tr r="L116" s="1"/>
        <tr r="L222" s="1"/>
        <tr r="L350" s="1"/>
        <tr r="L457" s="1"/>
        <tr r="L606" s="1"/>
        <tr r="L1012" s="1"/>
        <tr r="L276" s="1"/>
        <tr r="L468" s="1"/>
        <tr r="L640" s="1"/>
        <tr r="L888" s="1"/>
        <tr r="L170" s="1"/>
        <tr r="L320" s="1"/>
        <tr r="L448" s="1"/>
        <tr r="L533" s="1"/>
        <tr r="L618" s="1"/>
        <tr r="L354" s="1"/>
        <tr r="L610" s="1"/>
        <tr r="L969" s="1"/>
        <tr r="L226" s="1"/>
        <tr r="L466" s="1"/>
        <tr r="L1110" s="1"/>
        <tr r="L238" s="1"/>
        <tr r="L409" s="1"/>
        <tr r="L601" s="1"/>
        <tr r="L819" s="1"/>
        <tr r="L112" s="1"/>
        <tr r="L282" s="1"/>
        <tr r="L453" s="1"/>
        <tr r="L624" s="1"/>
        <tr r="L792" s="1"/>
        <tr r="L943" s="1"/>
        <tr r="L86" s="1"/>
        <tr r="L172" s="1"/>
        <tr r="L257" s="1"/>
        <tr r="L342" s="1"/>
        <tr r="L449" s="1"/>
        <tr r="L534" s="1"/>
        <tr r="L620" s="1"/>
        <tr r="L729" s="1"/>
        <tr r="L851" s="1"/>
        <tr r="L1021" s="1"/>
        <tr r="L848" s="1"/>
        <tr r="L933" s="1"/>
        <tr r="L221" s="1"/>
        <tr r="L376" s="1"/>
        <tr r="L667" s="1"/>
        <tr r="L1082" s="1"/>
        <tr r="L190" s="1"/>
        <tr r="L382" s="1"/>
        <tr r="L532" s="1"/>
        <tr r="L725" s="1"/>
        <tr r="L973" s="1"/>
        <tr r="L192" s="1"/>
        <tr r="L426" s="1"/>
        <tr r="L157" s="1"/>
        <tr r="L338" s="1"/>
        <tr r="L445" s="1"/>
        <tr r="L552" s="1"/>
        <tr r="L645" s="1"/>
        <tr r="L760" s="1"/>
        <tr r="L1023" s="1"/>
        <tr r="L217" s="1"/>
        <tr r="L388" s="1"/>
        <tr r="L558" s="1"/>
        <tr r="L733" s="1"/>
        <tr r="L1027" s="1"/>
        <tr r="L218" s="1"/>
        <tr r="L389" s="1"/>
        <tr r="L560" s="1"/>
        <tr r="L364" s="1"/>
        <tr r="L114" s="1"/>
        <tr r="L210" s="1"/>
        <tr r="L296" s="1"/>
        <tr r="L386" s="1"/>
        <tr r="L168" s="1"/>
        <tr r="L258" s="1"/>
        <tr r="L349" s="1"/>
        <tr r="L434" s="1"/>
        <tr r="L520" s="1"/>
        <tr r="L605" s="1"/>
        <tr r="L717" s="1"/>
        <tr r="L831" s="1"/>
        <tr r="L1001" s="1"/>
        <tr r="L121" s="1"/>
        <tr r="L206" s="1"/>
        <tr r="L292" s="1"/>
        <tr r="L377" s="1"/>
        <tr r="L462" s="1"/>
        <tr r="L548" s="1"/>
        <tr r="L633" s="1"/>
        <tr r="L671" s="1"/>
        <tr r="L784" s="1"/>
        <tr r="L932" s="1"/>
        <tr r="L81" s="1"/>
        <tr r="L166" s="1"/>
        <tr r="L252" s="1"/>
        <tr r="L337" s="1"/>
        <tr r="L422" s="1"/>
        <tr r="L508" s="1"/>
        <tr r="L593" s="1"/>
        <tr r="L693" s="1"/>
        <tr r="L808" s="1"/>
        <tr r="L968" s="1"/>
        <tr r="L109" s="1"/>
        <tr r="L907" s="1"/>
        <tr r="L992" s="1"/>
        <tr r="L1084" s="1"/>
        <tr r="L1216" s="1"/>
        <tr r="L139" s="1"/>
        <tr r="L203" s="1"/>
        <tr r="L267" s="1"/>
        <tr r="L331" s="1"/>
        <tr r="L395" s="1"/>
        <tr r="L459" s="1"/>
        <tr r="L523" s="1"/>
        <tr r="L587" s="1"/>
        <tr r="L657" s="1"/>
        <tr r="L743" s="1"/>
        <tr r="L828" s="1"/>
        <tr r="L913" s="1"/>
        <tr r="L999" s="1"/>
        <tr r="L997" s="1"/>
        <tr r="L1092" s="1"/>
        <tr r="L1226" s="1"/>
        <tr r="L79" s="1"/>
        <tr r="L143" s="1"/>
        <tr r="L207" s="1"/>
        <tr r="L271" s="1"/>
        <tr r="L335" s="1"/>
        <tr r="L399" s="1"/>
        <tr r="L463" s="1"/>
        <tr r="L527" s="1"/>
        <tr r="L607" s="1"/>
        <tr r="L705" s="1"/>
        <tr r="L408" s="1"/>
        <tr r="L514" s="1"/>
        <tr r="L621" s="1"/>
        <tr r="L795" s="1"/>
        <tr r="L991" s="1"/>
        <tr r="L137" s="1"/>
        <tr r="L265" s="1"/>
        <tr r="L372" s="1"/>
        <tr r="L478" s="1"/>
        <tr r="L655" s="1"/>
        <tr r="L712" s="1"/>
        <tr r="L825" s="1"/>
        <tr r="L995" s="1"/>
        <tr r="L117" s="1"/>
        <tr r="L202" s="1"/>
        <tr r="L288" s="1"/>
        <tr r="L373" s="1"/>
        <tr r="L458" s="1"/>
        <tr r="L544" s="1"/>
        <tr r="L629" s="1"/>
        <tr r="L741" s="1"/>
        <tr r="L868" s="1"/>
        <tr r="L1044" s="1"/>
        <tr r="L134" s="1"/>
        <tr r="L220" s="1"/>
        <tr r="L305" s="1"/>
        <tr r="L390" s="1"/>
        <tr r="L747" s="1"/>
        <tr r="L877" s="1"/>
        <tr r="L1061" s="1"/>
        <tr r="L144" s="1"/>
        <tr r="L229" s="1"/>
        <tr r="L314" s="1"/>
        <tr r="L400" s="1"/>
        <tr r="L485" s="1"/>
        <tr r="L570" s="1"/>
        <tr r="L664" s="1"/>
        <tr r="L777" s="1"/>
        <tr r="L921" s="1"/>
        <tr r="L97" s="1"/>
        <tr r="L182" s="1"/>
        <tr r="L268" s="1"/>
        <tr r="L353" s="1"/>
        <tr r="L438" s="1"/>
        <tr r="L1065" s="1"/>
        <tr r="L1190" s="1"/>
        <tr r="L1342" s="1"/>
        <tr r="L1066" s="1"/>
        <tr r="L1192" s="1"/>
        <tr r="L1344" s="1"/>
        <tr r="L1204" s="1"/>
        <tr r="L1355" s="1"/>
        <tr r="L1470" s="1"/>
        <tr r="L690" s="1"/>
        <tr r="L754" s="1"/>
        <tr r="L818" s="1"/>
        <tr r="L882" s="1"/>
        <tr r="L946" s="1"/>
        <tr r="L1010" s="1"/>
        <tr r="L1080" s="1"/>
        <tr r="L1172" s="1"/>
        <tr r="L1286" s="1"/>
        <tr r="L1400" s="1"/>
        <tr r="L1395" s="1"/>
        <tr r="L1071" s="1"/>
        <tr r="L1135" s="1"/>
        <tr r="L1218" s="1"/>
        <tr r="L1303" s="1"/>
        <tr r="L1388" s="1"/>
        <tr r="L1474" s="1"/>
        <tr r="L1201" s="1"/>
        <tr r="L1265" s="1"/>
        <tr r="L1329" s="1"/>
        <tr r="L1393" s="1"/>
        <tr r="L1457" s="1"/>
        <tr r="L876" s="1"/>
        <tr r="L961" s="1"/>
        <tr r="L1047" s="1"/>
        <tr r="L1162" s="1"/>
        <tr r="L1312" s="1"/>
        <tr r="L1048" s="1"/>
        <tr r="L1163" s="1"/>
        <tr r="L1316" s="1"/>
        <tr r="L1176" s="1"/>
        <tr r="L1327" s="1"/>
        <tr r="L1427" s="1"/>
        <tr r="L694" s="1"/>
        <tr r="L758" s="1"/>
        <tr r="L822" s="1"/>
        <tr r="L886" s="1"/>
        <tr r="L950" s="1"/>
        <tr r="L1014" s="1"/>
        <tr r="L1085" s="1"/>
        <tr r="L1179" s="1"/>
        <tr r="L1294" s="1"/>
        <tr r="L1407" s="1"/>
        <tr r="L1402" s="1"/>
        <tr r="L1075" s="1"/>
        <tr r="L1139" s="1"/>
        <tr r="L1223" s="1"/>
        <tr r="L1308" s="1"/>
        <tr r="L1394" s="1"/>
        <tr r="L1479" s="1"/>
        <tr r="L1205" s="1"/>
        <tr r="L1269" s="1"/>
        <tr r="L497" s="1"/>
        <tr r="L582" s="1"/>
        <tr r="L680" s="1"/>
        <tr r="L861" s="1"/>
        <tr r="L1132" s="1"/>
        <tr r="L896" s="1"/>
        <tr r="L1024" s="1"/>
        <tr r="L1160" s="1"/>
        <tr r="L1348" s="1"/>
        <tr r="L179" s="1"/>
        <tr r="L307" s="1"/>
        <tr r="L435" s="1"/>
        <tr r="L563" s="1"/>
        <tr r="L711" s="1"/>
        <tr r="L881" s="1"/>
        <tr r="L1052" s="1"/>
        <tr r="L1323" s="1"/>
        <tr r="L1174" s="1"/>
        <tr r="L1184" s="1"/>
        <tr r="L545" s="1"/>
        <tr r="L744" s="1"/>
        <tr r="L1049" s="1"/>
        <tr r="L944" s="1"/>
        <tr r="L1134" s="1"/>
        <tr r="L103" s="1"/>
        <tr r="L231" s="1"/>
        <tr r="L359" s="1"/>
        <tr r="L487" s="1"/>
        <tr r="L615" s="1"/>
        <tr r="L780" s="1"/>
        <tr r="L542" s="1"/>
        <tr r="L628" s="1"/>
        <tr r="L740" s="1"/>
        <tr r="L867" s="1"/>
        <tr r="L1039" s="1"/>
        <tr r="L138" s="1"/>
        <tr r="L224" s="1"/>
        <tr r="L309" s="1"/>
        <tr r="L394" s="1"/>
        <tr r="L480" s="1"/>
        <tr r="L565" s="1"/>
        <tr r="L656" s="1"/>
        <tr r="L771" s="1"/>
        <tr r="L911" s="1"/>
        <tr r="L1370" s="1"/>
        <tr r="L156" s="1"/>
        <tr r="L241" s="1"/>
        <tr r="L326" s="1"/>
        <tr r="L412" s="1"/>
        <tr r="L776" s="1"/>
        <tr r="L920" s="1"/>
        <tr r="L80" s="1"/>
        <tr r="L165" s="1"/>
        <tr r="L250" s="1"/>
        <tr r="L336" s="1"/>
        <tr r="L421" s="1"/>
        <tr r="L506" s="1"/>
        <tr r="L592" s="1"/>
        <tr r="L692" s="1"/>
        <tr r="L805" s="1"/>
        <tr r="L964" s="1"/>
        <tr r="L118" s="1"/>
        <tr r="L204" s="1"/>
        <tr r="L289" s="1"/>
        <tr r="L374" s="1"/>
        <tr r="L460" s="1"/>
        <tr r="L1093" s="1"/>
        <tr r="L1227" s="1"/>
        <tr r="L1390" s="1"/>
        <tr r="L1094" s="1"/>
        <tr r="L1231" s="1"/>
        <tr r="L1391" s="1"/>
        <tr r="L1242" s="1"/>
        <tr r="L1411" s="1"/>
        <tr r="L642" s="1"/>
        <tr r="L706" s="1"/>
        <tr r="L770" s="1"/>
        <tr r="L834" s="1"/>
        <tr r="L898" s="1"/>
        <tr r="L962" s="1"/>
        <tr r="L1026" s="1"/>
        <tr r="L1101" s="1"/>
        <tr r="L1200" s="1"/>
        <tr r="L1315" s="1"/>
        <tr r="L1428" s="1"/>
        <tr r="L1423" s="1"/>
        <tr r="L1087" s="1"/>
        <tr r="L1154" s="1"/>
        <tr r="L1239" s="1"/>
        <tr r="L1324" s="1"/>
        <tr r="L1410" s="1"/>
        <tr r="L1153" s="1"/>
        <tr r="L1217" s="1"/>
        <tr r="L1281" s="1"/>
        <tr r="L1345" s="1"/>
        <tr r="L1409" s="1"/>
        <tr r="L1473" s="1"/>
        <tr r="L897" s="1"/>
        <tr r="L983" s="1"/>
        <tr r="L1072" s="1"/>
        <tr r="L1199" s="1"/>
        <tr r="L1352" s="1"/>
        <tr r="L1073" s="1"/>
        <tr r="L1203" s="1"/>
        <tr r="L1354" s="1"/>
        <tr r="L1214" s="1"/>
        <tr r="L1368" s="1"/>
        <tr r="L646" s="1"/>
        <tr r="L710" s="1"/>
        <tr r="L774" s="1"/>
        <tr r="L838" s="1"/>
        <tr r="L902" s="1"/>
        <tr r="L966" s="1"/>
        <tr r="L1030" s="1"/>
        <tr r="L1106" s="1"/>
        <tr r="L1208" s="1"/>
        <tr r="L1322" s="1"/>
        <tr r="L1435" s="1"/>
        <tr r="L1430" s="1"/>
        <tr r="L1091" s="1"/>
        <tr r="L1159" s="1"/>
        <tr r="L1244" s="1"/>
        <tr r="L1330" s="1"/>
        <tr r="L1415" s="1"/>
        <tr r="L1157" s="1"/>
        <tr r="L1221" s="1"/>
        <tr r="L1285" s="1"/>
        <tr r="L518" s="1"/>
        <tr r="L604" s="1"/>
        <tr r="L736" s="1"/>
        <tr r="L904" s="1"/>
        <tr r="L317" s="1"/>
        <tr r="L939" s="1"/>
        <tr r="L1045" s="1"/>
        <tr r="L1198" s="1"/>
        <tr r="L99" s="1"/>
        <tr r="L195" s="1"/>
        <tr r="L323" s="1"/>
        <tr r="L451" s="1"/>
        <tr r="L579" s="1"/>
        <tr r="L732" s="1"/>
        <tr r="L903" s="1"/>
        <tr r="L1078" s="1"/>
        <tr r="L1360" s="1"/>
        <tr r="L1211" s="1"/>
        <tr r="L1224" s="1"/>
        <tr r="L566" s="1"/>
        <tr r="L772" s="1"/>
        <tr r="L93" s="1"/>
        <tr r="L965" s="1"/>
        <tr r="L1168" s="1"/>
        <tr r="L119" s="1"/>
        <tr r="L247" s="1"/>
        <tr r="L375" s="1"/>
        <tr r="L503" s="1"/>
        <tr r="L631" s="1"/>
        <tr r="L801" s="1"/>
        <tr r="L768" s="1"/>
        <tr r="L909" s="1"/>
        <tr r="L1147" s="1"/>
        <tr r="L160" s="1"/>
        <tr r="L245" s="1"/>
        <tr r="L330" s="1"/>
        <tr r="L416" s="1"/>
        <tr r="L501" s="1"/>
        <tr r="L586" s="1"/>
        <tr r="L685" s="1"/>
        <tr r="L799" s="1"/>
        <tr r="L953" s="1"/>
        <tr r="L92" s="1"/>
        <tr r="L177" s="1"/>
        <tr r="L262" s="1"/>
        <tr r="L348" s="1"/>
        <tr r="L433" s="1"/>
        <tr r="L804" s="1"/>
        <tr r="L963" s="1"/>
        <tr r="L101" s="1"/>
        <tr r="L186" s="1"/>
        <tr r="L272" s="1"/>
        <tr r="L357" s="1"/>
        <tr r="L442" s="1"/>
        <tr r="L528" s="1"/>
        <tr r="L613" s="1"/>
        <tr r="L720" s="1"/>
        <tr r="L836" s="1"/>
        <tr r="L1007" s="1"/>
        <tr r="L140" s="1"/>
        <tr r="L225" s="1"/>
        <tr r="L310" s="1"/>
        <tr r="L396" s="1"/>
        <tr r="L481" s="1"/>
        <tr r="L1121" s="1"/>
        <tr r="L1267" s="1"/>
        <tr r="L1446" s="1"/>
        <tr r="L1124" s="1"/>
        <tr r="L1268" s="1"/>
        <tr r="L1448" s="1"/>
        <tr r="L1280" s="1"/>
        <tr r="L1467" s="1"/>
        <tr r="L658" s="1"/>
        <tr r="L722" s="1"/>
        <tr r="L786" s="1"/>
        <tr r="L850" s="1"/>
        <tr r="L914" s="1"/>
        <tr r="L978" s="1"/>
        <tr r="L1042" s="1"/>
        <tr r="L1122" s="1"/>
        <tr r="L1230" s="1"/>
        <tr r="L1343" s="1"/>
        <tr r="L1456" s="1"/>
        <tr r="L1451" s="1"/>
        <tr r="L1103" s="1"/>
        <tr r="L1175" s="1"/>
        <tr r="L1260" s="1"/>
        <tr r="L1346" s="1"/>
        <tr r="L1431" s="1"/>
        <tr r="L1169" s="1"/>
        <tr r="L1233" s="1"/>
        <tr r="L1297" s="1"/>
        <tr r="L1361" s="1"/>
        <tr r="L1425" s="1"/>
        <tr r="L833" s="1"/>
        <tr r="L919" s="1"/>
        <tr r="L1004" s="1"/>
        <tr r="L1100" s="1"/>
        <tr r="L1238" s="1"/>
        <tr r="L1403" s="1"/>
        <tr r="L1102" s="1"/>
        <tr r="L1240" s="1"/>
        <tr r="L1406" s="1"/>
        <tr r="L1252" s="1"/>
        <tr r="L1424" s="1"/>
        <tr r="L662" s="1"/>
        <tr r="L726" s="1"/>
        <tr r="L790" s="1"/>
        <tr r="L854" s="1"/>
        <tr r="L918" s="1"/>
        <tr r="L982" s="1"/>
        <tr r="L1046" s="1"/>
        <tr r="L1128" s="1"/>
        <tr r="L1236" s="1"/>
        <tr r="L1350" s="1"/>
        <tr r="L1464" s="1"/>
        <tr r="L1459" s="1"/>
        <tr r="L1107" s="1"/>
        <tr r="L1180" s="1"/>
        <tr r="L1266" s="1"/>
        <tr r="L1351" s="1"/>
        <tr r="L1436" s="1"/>
        <tr r="L1173" s="1"/>
        <tr r="L1237" s="1"/>
        <tr r="L1301" s="1"/>
        <tr r="L540" s="1"/>
        <tr r="L625" s="1"/>
        <tr r="L765" s="1"/>
        <tr r="L947" s="1"/>
        <tr r="L853" s="1"/>
        <tr r="L960" s="1"/>
        <tr r="L1070" s="1"/>
        <tr r="L1274" s="1"/>
        <tr r="L115" s="1"/>
        <tr r="L243" s="1"/>
        <tr r="L371" s="1"/>
        <tr r="L499" s="1"/>
        <tr r="L627" s="1"/>
        <tr r="L796" s="1"/>
        <tr r="L967" s="1"/>
        <tr r="L1171" s="1"/>
        <tr r="L1053" s="1"/>
        <tr r="L1326" s="1"/>
        <tr r="L1338" s="1"/>
        <tr r="L630" s="1"/>
        <tr r="L872" s="1"/>
        <tr r="L859" s="1"/>
        <tr r="L1029" s="1"/>
        <tr r="L1283" s="1"/>
        <tr r="L167" s="1"/>
        <tr r="L295" s="1"/>
        <tr r="L423" s="1"/>
        <tr r="L551" s="1"/>
        <tr r="L695" s="1"/>
        <tr r="L865" s="1"/>
        <tr r="L575" s="1"/>
        <tr r="L641" s="1"/>
        <tr r="L727" s="1"/>
        <tr r="L812" s="1"/>
        <tr r="L472" s="1"/>
        <tr r="L557" s="1"/>
        <tr r="L653" s="1"/>
        <tr r="L767" s="1"/>
        <tr r="L905" s="1"/>
        <tr r="L1140" s="1"/>
        <tr r="L158" s="1"/>
        <tr r="L244" s="1"/>
        <tr r="L329" s="1"/>
        <tr r="L414" s="1"/>
        <tr r="L500" s="1"/>
        <tr r="L585" s="1"/>
        <tr r="L683" s="1"/>
        <tr r="L797" s="1"/>
        <tr r="L952" s="1"/>
        <tr r="L96" s="1"/>
        <tr r="L181" s="1"/>
        <tr r="L266" s="1"/>
        <tr r="L352" s="1"/>
        <tr r="L437" s="1"/>
        <tr r="L522" s="1"/>
        <tr r="L608" s="1"/>
        <tr r="L713" s="1"/>
        <tr r="L827" s="1"/>
        <tr r="L996" s="1"/>
        <tr r="L113" s="1"/>
        <tr r="L198" s="1"/>
        <tr r="L284" s="1"/>
        <tr r="L369" s="1"/>
        <tr r="L454" s="1"/>
        <tr r="L835" s="1"/>
        <tr r="L1005" s="1"/>
        <tr r="L122" s="1"/>
        <tr r="L208" s="1"/>
        <tr r="L293" s="1"/>
        <tr r="L378" s="1"/>
        <tr r="L464" s="1"/>
        <tr r="L549" s="1"/>
        <tr r="L635" s="1"/>
        <tr r="L749" s="1"/>
        <tr r="L879" s="1"/>
        <tr r="L1068" s="1"/>
        <tr r="L161" s="1"/>
        <tr r="L246" s="1"/>
        <tr r="L332" s="1"/>
        <tr r="L417" s="1"/>
        <tr r="L502" s="1"/>
        <tr r="L1152" s="1"/>
        <tr r="L1304" s="1"/>
        <tr r="L1043" s="1"/>
        <tr r="L1155" s="1"/>
        <tr r="L1306" s="1"/>
        <tr r="L1167" s="1"/>
        <tr r="L1318" s="1"/>
        <tr r="L1412" s="1"/>
        <tr r="L674" s="1"/>
        <tr r="L738" s="1"/>
        <tr r="L802" s="1"/>
        <tr r="L866" s="1"/>
        <tr r="L930" s="1"/>
        <tr r="L994" s="1"/>
        <tr r="L1058" s="1"/>
        <tr r="L1144" s="1"/>
        <tr r="L1258" s="1"/>
        <tr r="L1371" s="1"/>
        <tr r="L1366" s="1"/>
        <tr r="L1480" s="1"/>
        <tr r="L1119" s="1"/>
        <tr r="L1196" s="1"/>
        <tr r="L1282" s="1"/>
        <tr r="L1367" s="1"/>
        <tr r="L1452" s="1"/>
        <tr r="L1185" s="1"/>
        <tr r="L1249" s="1"/>
        <tr r="L1313" s="1"/>
        <tr r="L1377" s="1"/>
        <tr r="L1441" s="1"/>
        <tr r="L855" s="1"/>
        <tr r="L940" s="1"/>
        <tr r="L1025" s="1"/>
        <tr r="L1129" s="1"/>
        <tr r="L1275" s="1"/>
        <tr r="L1460" s="1"/>
        <tr r="L1130" s="1"/>
        <tr r="L1278" s="1"/>
        <tr r="L1462" s="1"/>
        <tr r="L1290" s="1"/>
        <tr r="L1482" s="1"/>
        <tr r="L678" s="1"/>
        <tr r="L742" s="1"/>
        <tr r="L806" s="1"/>
        <tr r="L870" s="1"/>
        <tr r="L934" s="1"/>
        <tr r="L998" s="1"/>
        <tr r="L1064" s="1"/>
        <tr r="L1151" s="1"/>
        <tr r="L1264" s="1"/>
        <tr r="L1379" s="1"/>
        <tr r="L1374" s="1"/>
        <tr r="L1059" s="1"/>
        <tr r="L1123" s="1"/>
        <tr r="L1202" s="1"/>
        <tr r="L1287" s="1"/>
        <tr r="L1372" s="1"/>
        <tr r="L1458" s="1"/>
        <tr r="L1189" s="1"/>
        <tr r="L1253" s="1"/>
        <tr r="L476" s="1"/>
        <tr r="L561" s="1"/>
        <tr r="L651" s="1"/>
        <tr r="L793" s="1"/>
        <tr r="L1032" s="1"/>
        <tr r="L875" s="1"/>
        <tr r="L981" s="1"/>
        <tr r="L1126" s="1"/>
        <tr r="L1311" s="1"/>
        <tr r="L131" s="1"/>
        <tr r="L259" s="1"/>
        <tr r="L387" s="1"/>
        <tr r="L515" s="1"/>
        <tr r="L647" s="1"/>
        <tr r="L817" s="1"/>
        <tr r="L988" s="1"/>
        <tr r="L1210" s="1"/>
        <tr r="L1081" s="1"/>
        <tr r="L1363" s="1"/>
        <tr r="L1382" s="1"/>
        <tr r="L659" s="1"/>
        <tr r="L915" s="1"/>
        <tr r="L880" s="1"/>
        <tr r="L1051" s="1"/>
        <tr r="L1320" s="1"/>
        <tr r="L183" s="1"/>
        <tr r="L311" s="1"/>
        <tr r="L439" s="1"/>
        <tr r="L567" s="1"/>
        <tr r="L716" s="1"/>
        <tr r="L951" s="1"/>
        <tr r="L163" s="1"/>
        <tr r="L227" s="1"/>
        <tr r="L291" s="1"/>
        <tr r="L355" s="1"/>
        <tr r="L419" s="1"/>
        <tr r="L483" s="1"/>
        <tr r="L547" s="1"/>
        <tr r="L611" s="1"/>
        <tr r="L689" s="1"/>
        <tr r="L775" s="1"/>
        <tr r="L860" s="1"/>
        <tr r="L945" s="1"/>
        <tr r="L1031" s="1"/>
        <tr r="L1136" s="1"/>
        <tr r="L1284" s="1"/>
        <tr r="L1475" s="1"/>
        <tr r="L1137" s="1"/>
        <tr r="L1288" s="1"/>
        <tr r="L1476" s="1"/>
        <tr r="L1299" s="1"/>
        <tr r="L524" s="1"/>
        <tr r="L609" s="1"/>
        <tr r="L715" s="1"/>
        <tr r="L829" s="1"/>
        <tr r="L1000" s="1"/>
        <tr r="L837" s="1"/>
        <tr r="L923" s="1"/>
        <tr r="L1008" s="1"/>
        <tr r="L1105" s="1"/>
        <tr r="L1246" s="1"/>
        <tr r="L87" s="1"/>
        <tr r="L151" s="1"/>
        <tr r="L215" s="1"/>
        <tr r="L279" s="1"/>
        <tr r="L343" s="1"/>
        <tr r="L407" s="1"/>
        <tr r="L471" s="1"/>
        <tr r="L535" s="1"/>
        <tr r="L599" s="1"/>
        <tr r="L673" s="1"/>
        <tr r="L759" s="1"/>
        <tr r="L844" s="1"/>
        <tr r="L929" s="1"/>
        <tr r="L1349" s="1"/>
        <tr r="L1413" s="1"/>
        <tr r="L1477" s="1"/>
        <tr r="L650" s="1"/>
        <tr r="L714" s="1"/>
        <tr r="L778" s="1"/>
        <tr r="L842" s="1"/>
        <tr r="L906" s="1"/>
        <tr r="L970" s="1"/>
        <tr r="L1034" s="1"/>
        <tr r="L1112" s="1"/>
        <tr r="L1215" s="1"/>
        <tr r="L1328" s="1"/>
        <tr r="L1443" s="1"/>
        <tr r="L1438" s="1"/>
        <tr r="L1095" s="1"/>
        <tr r="L1164" s="1"/>
        <tr r="L1250" s="1"/>
        <tr r="L1335" s="1"/>
        <tr r="L1420" s="1"/>
        <tr r="L1161" s="1"/>
        <tr r="L1225" s="1"/>
        <tr r="L1289" s="1"/>
        <tr r="L1353" s="1"/>
        <tr r="L1417" s="1"/>
        <tr r="L1481" s="1"/>
        <tr r="L1036" s="1"/>
        <tr r="L1142" s="1"/>
        <tr r="L1295" s="1"/>
        <tr r="L1037" s="1"/>
        <tr r="L1146" s="1"/>
        <tr r="L1296" s="1"/>
        <tr r="L1156" s="1"/>
        <tr r="L1310" s="1"/>
        <tr r="L1398" s="1"/>
        <tr r="L670" s="1"/>
        <tr r="L734" s="1"/>
        <tr r="L798" s="1"/>
        <tr r="L862" s="1"/>
        <tr r="L926" s="1"/>
        <tr r="L990" s="1"/>
        <tr r="L1054" s="1"/>
        <tr r="L1138" s="1"/>
        <tr r="L1251" s="1"/>
        <tr r="L1364" s="1"/>
        <tr r="L1478" s="1"/>
        <tr r="L1472" s="1"/>
        <tr r="L1115" s="1"/>
        <tr r="L1191" s="1"/>
        <tr r="L1276" s="1"/>
        <tr r="L1362" s="1"/>
        <tr r="L1447" s="1"/>
        <tr r="L1181" s="1"/>
        <tr r="L1245" s="1"/>
        <tr r="L1309" s="1"/>
        <tr r="L1373" s="1"/>
        <tr r="L1437" s="1"/>
        <tr r="L1513" s="1"/>
        <tr r="L1526" s="1"/>
        <tr r="L1493" s="1"/>
        <tr r="L1519" s="1"/>
        <tr r="L1489" s="1"/>
        <tr r="L1514" s="1"/>
        <tr r="L1536" s="1"/>
        <tr r="L1507" s="1"/>
        <tr r="L1532" s="1"/>
        <tr r="L1502" s="1"/>
        <tr r="L1512" s="1"/>
        <tr r="L1495" s="1"/>
        <tr r="L1508" s="1"/>
        <tr r="L1490" s="1"/>
        <tr r="L1488" s="1"/>
        <tr r="L1483" s="1"/>
        <tr r="L1547" s="1"/>
        <tr r="L1365" s="1"/>
        <tr r="L1429" s="1"/>
        <tr r="L1384" s="1"/>
        <tr r="L666" s="1"/>
        <tr r="L730" s="1"/>
        <tr r="L794" s="1"/>
        <tr r="L858" s="1"/>
        <tr r="L922" s="1"/>
        <tr r="L986" s="1"/>
        <tr r="L1050" s="1"/>
        <tr r="L1133" s="1"/>
        <tr r="L1243" s="1"/>
        <tr r="L1358" s="1"/>
        <tr r="L1471" s="1"/>
        <tr r="L1466" s="1"/>
        <tr r="L1111" s="1"/>
        <tr r="L1186" s="1"/>
        <tr r="L1271" s="1"/>
        <tr r="L1356" s="1"/>
        <tr r="L1442" s="1"/>
        <tr r="L1177" s="1"/>
        <tr r="L1241" s="1"/>
        <tr r="L1305" s="1"/>
        <tr r="L1369" s="1"/>
        <tr r="L1433" s="1"/>
        <tr r="L972" s="1"/>
        <tr r="L1057" s="1"/>
        <tr r="L1182" s="1"/>
        <tr r="L1332" s="1"/>
        <tr r="L1060" s="1"/>
        <tr r="L1183" s="1"/>
        <tr r="L1334" s="1"/>
        <tr r="L1195" s="1"/>
        <tr r="L1347" s="1"/>
        <tr r="L1455" s="1"/>
        <tr r="L686" s="1"/>
        <tr r="L750" s="1"/>
        <tr r="L814" s="1"/>
        <tr r="L878" s="1"/>
        <tr r="L942" s="1"/>
        <tr r="L1006" s="1"/>
        <tr r="L1074" s="1"/>
        <tr r="L1166" s="1"/>
        <tr r="L1279" s="1"/>
        <tr r="L1392" s="1"/>
        <tr r="L1387" s="1"/>
        <tr r="L1067" s="1"/>
        <tr r="L1131" s="1"/>
        <tr r="L1212" s="1"/>
        <tr r="L1298" s="1"/>
        <tr r="L1383" s="1"/>
        <tr r="L1468" s="1"/>
        <tr r="L1197" s="1"/>
        <tr r="L1261" s="1"/>
        <tr r="L1325" s="1"/>
        <tr r="L1389" s="1"/>
        <tr r="L1453" s="1"/>
        <tr r="L1484" s="1"/>
        <tr r="L1541" s="1"/>
        <tr r="L1542" s="1"/>
        <tr r="L1525" s="1"/>
        <tr r="L1535" s="1"/>
        <tr r="L1521" s="1"/>
        <tr r="L1530" s="1"/>
        <tr r="L1501" s="1"/>
        <tr r="L1523" s="1"/>
        <tr r="L1497" s="1"/>
        <tr r="L1518" s="1"/>
        <tr r="L1544" s="1"/>
        <tr r="L1511" s="1"/>
        <tr r="L1540" s="1"/>
        <tr r="L1506" s="1"/>
        <tr r="L1520" s="1"/>
        <tr r="L1499" s="1"/>
        <tr r="L887" s="1"/>
        <tr r="L1317" s="1"/>
        <tr r="L1381" s="1"/>
        <tr r="L1445" s="1"/>
        <tr r="L1440" s="1"/>
        <tr r="L682" s="1"/>
        <tr r="L746" s="1"/>
        <tr r="L810" s="1"/>
        <tr r="L874" s="1"/>
        <tr r="L938" s="1"/>
        <tr r="L1002" s="1"/>
        <tr r="L1069" s="1"/>
        <tr r="L1158" s="1"/>
        <tr r="L1272" s="1"/>
        <tr r="L1386" s="1"/>
        <tr r="L1380" s="1"/>
        <tr r="L1063" s="1"/>
        <tr r="L1127" s="1"/>
        <tr r="L1207" s="1"/>
        <tr r="L1292" s="1"/>
        <tr r="L1378" s="1"/>
        <tr r="L1463" s="1"/>
        <tr r="L1193" s="1"/>
        <tr r="L1257" s="1"/>
        <tr r="L1321" s="1"/>
        <tr r="L1385" s="1"/>
        <tr r="L1449" s="1"/>
        <tr r="L993" s="1"/>
        <tr r="L1086" s="1"/>
        <tr r="L1219" s="1"/>
        <tr r="L1375" s="1"/>
        <tr r="L1088" s="1"/>
        <tr r="L1220" s="1"/>
        <tr r="L1376" s="1"/>
        <tr r="L1232" s="1"/>
        <tr r="L1396" s="1"/>
        <tr r="L638" s="1"/>
        <tr r="L702" s="1"/>
        <tr r="L766" s="1"/>
        <tr r="L830" s="1"/>
        <tr r="L894" s="1"/>
        <tr r="L958" s="1"/>
        <tr r="L1022" s="1"/>
        <tr r="L1096" s="1"/>
        <tr r="L1194" s="1"/>
        <tr r="L1307" s="1"/>
        <tr r="L1422" s="1"/>
        <tr r="L1416" s="1"/>
        <tr r="L1083" s="1"/>
        <tr r="L1148" s="1"/>
        <tr r="L1234" s="1"/>
        <tr r="L1319" s="1"/>
        <tr r="L1404" s="1"/>
        <tr r="L1149" s="1"/>
        <tr r="L1213" s="1"/>
        <tr r="L1277" s="1"/>
        <tr r="L1341" s="1"/>
        <tr r="L1405" s="1"/>
        <tr r="L1469" s="1"/>
        <tr r="L1516" s="1"/>
        <tr r="L1494" s="1"/>
        <tr r="L1496" s="1"/>
        <tr r="L1487" s="1"/>
        <tr r="L1492" s="1"/>
        <tr r="L1549" s="1"/>
        <tr r="L1546" s="1"/>
        <tr r="L1533" s="1"/>
        <tr r="L1539" s="1"/>
        <tr r="L1529" s="1"/>
        <tr r="L1534" s="1"/>
        <tr r="L1509" s="1"/>
        <tr r="L1527" s="1"/>
        <tr r="L1505" s="1"/>
        <tr r="L1522" s="1"/>
        <tr r="L1485" s="1"/>
        <tr r="L1515" s="1"/>
        <tr r="L708" s="1"/>
        <tr r="L821" s="1"/>
        <tr r="L989" s="1"/>
        <tr r="L832" s="1"/>
        <tr r="L917" s="1"/>
        <tr r="L1003" s="1"/>
        <tr r="L1098" s="1"/>
        <tr r="L1235" s="1"/>
        <tr r="L83" s="1"/>
        <tr r="L147" s="1"/>
        <tr r="L211" s="1"/>
        <tr r="L275" s="1"/>
        <tr r="L339" s="1"/>
        <tr r="L403" s="1"/>
        <tr r="L467" s="1"/>
        <tr r="L531" s="1"/>
        <tr r="L595" s="1"/>
        <tr r="L668" s="1"/>
        <tr r="L753" s="1"/>
        <tr r="L839" s="1"/>
        <tr r="L924" s="1"/>
        <tr r="L1009" s="1"/>
        <tr r="L1108" s="1"/>
        <tr r="L1247" s="1"/>
        <tr r="L1418" s="1"/>
        <tr r="L1109" s="1"/>
        <tr r="L1248" s="1"/>
        <tr r="L1419" s="1"/>
        <tr r="L1262" s="1"/>
        <tr r="L1439" s="1"/>
        <tr r="L588" s="1"/>
        <tr r="L687" s="1"/>
        <tr r="L800" s="1"/>
        <tr r="L957" s="1"/>
        <tr r="L632" s="1"/>
        <tr r="L901" s="1"/>
        <tr r="L987" s="1"/>
        <tr r="L1077" s="1"/>
        <tr r="L1206" s="1"/>
        <tr r="L1359" s="1"/>
        <tr r="L135" s="1"/>
        <tr r="L199" s="1"/>
        <tr r="L263" s="1"/>
        <tr r="L327" s="1"/>
        <tr r="L391" s="1"/>
        <tr r="L455" s="1"/>
        <tr r="L519" s="1"/>
        <tr r="L583" s="1"/>
        <tr r="L652" s="1"/>
        <tr r="L737" s="1"/>
        <tr r="L823" s="1"/>
        <tr r="L908" s="1"/>
        <tr r="L1333" s="1"/>
        <tr r="L1397" s="1"/>
        <tr r="L1461" s="1"/>
        <tr r="L634" s="1"/>
        <tr r="L698" s="1"/>
        <tr r="L762" s="1"/>
        <tr r="L826" s="1"/>
        <tr r="L890" s="1"/>
        <tr r="L954" s="1"/>
        <tr r="L1018" s="1"/>
        <tr r="L1090" s="1"/>
        <tr r="L1187" s="1"/>
        <tr r="L1300" s="1"/>
        <tr r="L1414" s="1"/>
        <tr r="L1408" s="1"/>
        <tr r="L1079" s="1"/>
        <tr r="L1143" s="1"/>
        <tr r="L1228" s="1"/>
        <tr r="L1314" s="1"/>
        <tr r="L1399" s="1"/>
        <tr r="L1145" s="1"/>
        <tr r="L1209" s="1"/>
        <tr r="L1273" s="1"/>
        <tr r="L1337" s="1"/>
        <tr r="L1401" s="1"/>
        <tr r="L1465" s="1"/>
        <tr r="L1015" s="1"/>
        <tr r="L1114" s="1"/>
        <tr r="L1256" s="1"/>
        <tr r="L1432" s="1"/>
        <tr r="L1116" s="1"/>
        <tr r="L1259" s="1"/>
        <tr r="L1434" s="1"/>
        <tr r="L1270" s="1"/>
        <tr r="L1454" s="1"/>
        <tr r="L654" s="1"/>
        <tr r="L718" s="1"/>
        <tr r="L782" s="1"/>
        <tr r="L846" s="1"/>
        <tr r="L910" s="1"/>
        <tr r="L974" s="1"/>
        <tr r="L1038" s="1"/>
        <tr r="L1117" s="1"/>
        <tr r="L1222" s="1"/>
        <tr r="L1336" s="1"/>
        <tr r="L1450" s="1"/>
        <tr r="L1444" s="1"/>
        <tr r="L1099" s="1"/>
        <tr r="L1170" s="1"/>
        <tr r="L1255" s="1"/>
        <tr r="L1340" s="1"/>
        <tr r="L1426" s="1"/>
        <tr r="L1165" s="1"/>
        <tr r="L1229" s="1"/>
        <tr r="L1293" s="1"/>
        <tr r="L1357" s="1"/>
        <tr r="L1421" s="1"/>
        <tr r="L1548" s="1"/>
        <tr r="L1510" s="1"/>
        <tr r="L1528" s="1"/>
        <tr r="L1503" s="1"/>
        <tr r="L1524" s="1"/>
        <tr r="L1498" s="1"/>
        <tr r="L1504" s="1"/>
        <tr r="L1491" s="1"/>
        <tr r="L1500" s="1"/>
        <tr r="L1486" s="1"/>
        <tr r="L1550" s="1"/>
        <tr r="L1545" s="1"/>
        <tr r="L1543" s="1"/>
        <tr r="L1537" s="1"/>
        <tr r="L1538" s="1"/>
        <tr r="L1517" s="1"/>
        <tr r="L1531" s="1"/>
      </tp>
      <tp>
        <v>0</v>
        <stp/>
        <stp>H</stp>
        <stp>x1.DoGE1</stp>
        <stp>5</stp>
        <stp>2168722</stp>
        <tr r="B5" s="3"/>
      </tp>
      <tp>
        <v>0</v>
        <stp/>
        <stp>T</stp>
        <stp>x2.DoGE1</stp>
        <stp>6</stp>
        <stp>2168722</stp>
        <tr r="H49" s="1"/>
      </tp>
      <tp t="s">
        <v/>
        <stp/>
        <stp>P</stp>
        <stp>0</stp>
        <stp>IR</stp>
        <stp>CDYLDAVG1</stp>
        <stp>1일(적용일)</stp>
        <stp>45119</stp>
        <stp>fill=true,disp=date,dtfmt=1</stp>
        <tr r="N4" s="2"/>
      </tp>
      <tp>
        <v>4.91</v>
        <stp/>
        <stp>P</stp>
        <stp>0</stp>
        <stp>IR</stp>
        <stp>CDYLDFNP8</stp>
        <stp>1년(적용일)</stp>
        <stp>45119</stp>
        <stp>fill=true</stp>
        <tr r="M55" s="2"/>
      </tp>
      <tp>
        <v>4.53</v>
        <stp/>
        <stp>P</stp>
        <stp>0</stp>
        <stp>IR</stp>
        <stp>CDYLDFNP6</stp>
        <stp>1년(적용일)</stp>
        <stp>45119</stp>
        <stp>fill=true</stp>
        <tr r="M43" s="2"/>
      </tp>
      <tp>
        <v>4.62</v>
        <stp/>
        <stp>P</stp>
        <stp>0</stp>
        <stp>IR</stp>
        <stp>CDYLDFNP7</stp>
        <stp>1년(적용일)</stp>
        <stp>45119</stp>
        <stp>fill=true</stp>
        <tr r="M49" s="2"/>
      </tp>
      <tp>
        <v>4.38</v>
        <stp/>
        <stp>P</stp>
        <stp>0</stp>
        <stp>IR</stp>
        <stp>CDYLDFNP4</stp>
        <stp>1년(적용일)</stp>
        <stp>45119</stp>
        <stp>fill=true</stp>
        <tr r="M31" s="2"/>
      </tp>
      <tp>
        <v>4.46</v>
        <stp/>
        <stp>P</stp>
        <stp>0</stp>
        <stp>IR</stp>
        <stp>CDYLDFNP5</stp>
        <stp>1년(적용일)</stp>
        <stp>45119</stp>
        <stp>fill=true</stp>
        <tr r="M37" s="2"/>
      </tp>
      <tp>
        <v>3.99</v>
        <stp/>
        <stp>P</stp>
        <stp>0</stp>
        <stp>IR</stp>
        <stp>CDYLDFNP2</stp>
        <stp>1년(적용일)</stp>
        <stp>45119</stp>
        <stp>fill=true</stp>
        <tr r="M19" s="2"/>
      </tp>
      <tp>
        <v>4.21</v>
        <stp/>
        <stp>P</stp>
        <stp>0</stp>
        <stp>IR</stp>
        <stp>CDYLDFNP3</stp>
        <stp>1년(적용일)</stp>
        <stp>45119</stp>
        <stp>fill=true</stp>
        <tr r="M25" s="2"/>
      </tp>
      <tp>
        <v>3.89</v>
        <stp/>
        <stp>P</stp>
        <stp>0</stp>
        <stp>IR</stp>
        <stp>CDYLDFNP1</stp>
        <stp>1년(적용일)</stp>
        <stp>45119</stp>
        <stp>fill=true</stp>
        <tr r="M13" s="2"/>
      </tp>
      <tp>
        <v>5.04</v>
        <stp/>
        <stp>P</stp>
        <stp>0</stp>
        <stp>IR</stp>
        <stp>CDYLDFNP8</stp>
        <stp>2년(적용일)</stp>
        <stp>45119</stp>
        <stp>fill=true</stp>
        <tr r="N55" s="2"/>
      </tp>
      <tp>
        <v>4.6399999999999997</v>
        <stp/>
        <stp>P</stp>
        <stp>0</stp>
        <stp>IR</stp>
        <stp>CDYLDFNP6</stp>
        <stp>2년(적용일)</stp>
        <stp>45119</stp>
        <stp>fill=true</stp>
        <tr r="N43" s="2"/>
      </tp>
      <tp>
        <v>4.7300000000000004</v>
        <stp/>
        <stp>P</stp>
        <stp>0</stp>
        <stp>IR</stp>
        <stp>CDYLDFNP7</stp>
        <stp>2년(적용일)</stp>
        <stp>45119</stp>
        <stp>fill=true</stp>
        <tr r="N49" s="2"/>
      </tp>
      <tp>
        <v>4.45</v>
        <stp/>
        <stp>P</stp>
        <stp>0</stp>
        <stp>IR</stp>
        <stp>CDYLDFNP4</stp>
        <stp>2년(적용일)</stp>
        <stp>45119</stp>
        <stp>fill=true</stp>
        <tr r="N31" s="2"/>
      </tp>
      <tp>
        <v>4.58</v>
        <stp/>
        <stp>P</stp>
        <stp>0</stp>
        <stp>IR</stp>
        <stp>CDYLDFNP5</stp>
        <stp>2년(적용일)</stp>
        <stp>45119</stp>
        <stp>fill=true</stp>
        <tr r="N37" s="2"/>
      </tp>
      <tp>
        <v>4.07</v>
        <stp/>
        <stp>P</stp>
        <stp>0</stp>
        <stp>IR</stp>
        <stp>CDYLDFNP2</stp>
        <stp>2년(적용일)</stp>
        <stp>45119</stp>
        <stp>fill=true</stp>
        <tr r="N19" s="2"/>
      </tp>
      <tp>
        <v>4.3</v>
        <stp/>
        <stp>P</stp>
        <stp>0</stp>
        <stp>IR</stp>
        <stp>CDYLDFNP3</stp>
        <stp>2년(적용일)</stp>
        <stp>45119</stp>
        <stp>fill=true</stp>
        <tr r="N25" s="2"/>
      </tp>
      <tp>
        <v>3.95</v>
        <stp/>
        <stp>P</stp>
        <stp>0</stp>
        <stp>IR</stp>
        <stp>CDYLDFNP1</stp>
        <stp>2년(적용일)</stp>
        <stp>45119</stp>
        <stp>fill=true</stp>
        <tr r="N13" s="2"/>
      </tp>
      <tp t="s">
        <v/>
        <stp/>
        <stp>P</stp>
        <stp>0</stp>
        <stp>IR</stp>
        <stp>CDYLDNIC8</stp>
        <stp>2년(적용일)</stp>
        <stp>45119</stp>
        <stp>fill=true</stp>
        <tr r="N54" s="2"/>
      </tp>
      <tp>
        <v>4.62</v>
        <stp/>
        <stp>P</stp>
        <stp>0</stp>
        <stp>IR</stp>
        <stp>CDYLDNIC6</stp>
        <stp>2년(적용일)</stp>
        <stp>45119</stp>
        <stp>fill=true</stp>
        <tr r="N42" s="2"/>
      </tp>
      <tp>
        <v>4.67</v>
        <stp/>
        <stp>P</stp>
        <stp>0</stp>
        <stp>IR</stp>
        <stp>CDYLDNIC7</stp>
        <stp>2년(적용일)</stp>
        <stp>45119</stp>
        <stp>fill=true</stp>
        <tr r="N48" s="2"/>
      </tp>
      <tp>
        <v>4.47</v>
        <stp/>
        <stp>P</stp>
        <stp>0</stp>
        <stp>IR</stp>
        <stp>CDYLDNIC4</stp>
        <stp>2년(적용일)</stp>
        <stp>45119</stp>
        <stp>fill=true</stp>
        <tr r="N30" s="2"/>
      </tp>
      <tp>
        <v>4.55</v>
        <stp/>
        <stp>P</stp>
        <stp>0</stp>
        <stp>IR</stp>
        <stp>CDYLDNIC5</stp>
        <stp>2년(적용일)</stp>
        <stp>45119</stp>
        <stp>fill=true</stp>
        <tr r="N36" s="2"/>
      </tp>
      <tp>
        <v>4.1900000000000004</v>
        <stp/>
        <stp>P</stp>
        <stp>0</stp>
        <stp>IR</stp>
        <stp>CDYLDNIC2</stp>
        <stp>2년(적용일)</stp>
        <stp>45119</stp>
        <stp>fill=true</stp>
        <tr r="N18" s="2"/>
      </tp>
      <tp>
        <v>4.38</v>
        <stp/>
        <stp>P</stp>
        <stp>0</stp>
        <stp>IR</stp>
        <stp>CDYLDNIC3</stp>
        <stp>2년(적용일)</stp>
        <stp>45119</stp>
        <stp>fill=true</stp>
        <tr r="N24" s="2"/>
      </tp>
      <tp>
        <v>4.07</v>
        <stp/>
        <stp>P</stp>
        <stp>0</stp>
        <stp>IR</stp>
        <stp>CDYLDNIC1</stp>
        <stp>2년(적용일)</stp>
        <stp>45119</stp>
        <stp>fill=true</stp>
        <tr r="N12" s="2"/>
      </tp>
      <tp>
        <v>5.37</v>
        <stp/>
        <stp>P</stp>
        <stp>0</stp>
        <stp>IR</stp>
        <stp>CDYLDKIS8</stp>
        <stp>2년(적용일)</stp>
        <stp>45119</stp>
        <stp>fill=true</stp>
        <tr r="N53" s="2"/>
      </tp>
      <tp>
        <v>4.88</v>
        <stp/>
        <stp>P</stp>
        <stp>0</stp>
        <stp>IR</stp>
        <stp>CDYLDKIS6</stp>
        <stp>2년(적용일)</stp>
        <stp>45119</stp>
        <stp>fill=true</stp>
        <tr r="N41" s="2"/>
      </tp>
      <tp>
        <v>4.95</v>
        <stp/>
        <stp>P</stp>
        <stp>0</stp>
        <stp>IR</stp>
        <stp>CDYLDKIS7</stp>
        <stp>2년(적용일)</stp>
        <stp>45119</stp>
        <stp>fill=true</stp>
        <tr r="N47" s="2"/>
      </tp>
      <tp>
        <v>4.72</v>
        <stp/>
        <stp>P</stp>
        <stp>0</stp>
        <stp>IR</stp>
        <stp>CDYLDKIS4</stp>
        <stp>2년(적용일)</stp>
        <stp>45119</stp>
        <stp>fill=true</stp>
        <tr r="N29" s="2"/>
      </tp>
      <tp>
        <v>4.8</v>
        <stp/>
        <stp>P</stp>
        <stp>0</stp>
        <stp>IR</stp>
        <stp>CDYLDKIS5</stp>
        <stp>2년(적용일)</stp>
        <stp>45119</stp>
        <stp>fill=true</stp>
        <tr r="N35" s="2"/>
      </tp>
      <tp>
        <v>4.37</v>
        <stp/>
        <stp>P</stp>
        <stp>0</stp>
        <stp>IR</stp>
        <stp>CDYLDKIS2</stp>
        <stp>2년(적용일)</stp>
        <stp>45119</stp>
        <stp>fill=true</stp>
        <tr r="N17" s="2"/>
      </tp>
      <tp>
        <v>4.57</v>
        <stp/>
        <stp>P</stp>
        <stp>0</stp>
        <stp>IR</stp>
        <stp>CDYLDKIS3</stp>
        <stp>2년(적용일)</stp>
        <stp>45119</stp>
        <stp>fill=true</stp>
        <tr r="N23" s="2"/>
      </tp>
      <tp>
        <v>4.21</v>
        <stp/>
        <stp>P</stp>
        <stp>0</stp>
        <stp>IR</stp>
        <stp>CDYLDKIS1</stp>
        <stp>2년(적용일)</stp>
        <stp>45119</stp>
        <stp>fill=true</stp>
        <tr r="N11" s="2"/>
      </tp>
      <tp t="s">
        <v/>
        <stp/>
        <stp>P</stp>
        <stp>0</stp>
        <stp>IR</stp>
        <stp>CDYLDNIC8</stp>
        <stp>1년(적용일)</stp>
        <stp>45119</stp>
        <stp>fill=true</stp>
        <tr r="M54" s="2"/>
      </tp>
      <tp>
        <v>4.45</v>
        <stp/>
        <stp>P</stp>
        <stp>0</stp>
        <stp>IR</stp>
        <stp>CDYLDNIC6</stp>
        <stp>1년(적용일)</stp>
        <stp>45119</stp>
        <stp>fill=true</stp>
        <tr r="M42" s="2"/>
      </tp>
      <tp>
        <v>4.51</v>
        <stp/>
        <stp>P</stp>
        <stp>0</stp>
        <stp>IR</stp>
        <stp>CDYLDNIC7</stp>
        <stp>1년(적용일)</stp>
        <stp>45119</stp>
        <stp>fill=true</stp>
        <tr r="M48" s="2"/>
      </tp>
      <tp>
        <v>4.3</v>
        <stp/>
        <stp>P</stp>
        <stp>0</stp>
        <stp>IR</stp>
        <stp>CDYLDNIC4</stp>
        <stp>1년(적용일)</stp>
        <stp>45119</stp>
        <stp>fill=true</stp>
        <tr r="M30" s="2"/>
      </tp>
      <tp>
        <v>4.38</v>
        <stp/>
        <stp>P</stp>
        <stp>0</stp>
        <stp>IR</stp>
        <stp>CDYLDNIC5</stp>
        <stp>1년(적용일)</stp>
        <stp>45119</stp>
        <stp>fill=true</stp>
        <tr r="M36" s="2"/>
      </tp>
      <tp>
        <v>4.01</v>
        <stp/>
        <stp>P</stp>
        <stp>0</stp>
        <stp>IR</stp>
        <stp>CDYLDNIC2</stp>
        <stp>1년(적용일)</stp>
        <stp>45119</stp>
        <stp>fill=true</stp>
        <tr r="M18" s="2"/>
      </tp>
      <tp>
        <v>4.21</v>
        <stp/>
        <stp>P</stp>
        <stp>0</stp>
        <stp>IR</stp>
        <stp>CDYLDNIC3</stp>
        <stp>1년(적용일)</stp>
        <stp>45119</stp>
        <stp>fill=true</stp>
        <tr r="M24" s="2"/>
      </tp>
      <tp>
        <v>3.89</v>
        <stp/>
        <stp>P</stp>
        <stp>0</stp>
        <stp>IR</stp>
        <stp>CDYLDNIC1</stp>
        <stp>1년(적용일)</stp>
        <stp>45119</stp>
        <stp>fill=true</stp>
        <tr r="M12" s="2"/>
      </tp>
      <tp>
        <v>4.88</v>
        <stp/>
        <stp>P</stp>
        <stp>0</stp>
        <stp>IR</stp>
        <stp>CDYLDKIS8</stp>
        <stp>1년(적용일)</stp>
        <stp>45119</stp>
        <stp>fill=true</stp>
        <tr r="M53" s="2"/>
      </tp>
      <tp>
        <v>4.4800000000000004</v>
        <stp/>
        <stp>P</stp>
        <stp>0</stp>
        <stp>IR</stp>
        <stp>CDYLDKIS6</stp>
        <stp>1년(적용일)</stp>
        <stp>45119</stp>
        <stp>fill=true</stp>
        <tr r="M41" s="2"/>
      </tp>
      <tp>
        <v>4.5599999999999996</v>
        <stp/>
        <stp>P</stp>
        <stp>0</stp>
        <stp>IR</stp>
        <stp>CDYLDKIS7</stp>
        <stp>1년(적용일)</stp>
        <stp>45119</stp>
        <stp>fill=true</stp>
        <tr r="M47" s="2"/>
      </tp>
      <tp>
        <v>4.33</v>
        <stp/>
        <stp>P</stp>
        <stp>0</stp>
        <stp>IR</stp>
        <stp>CDYLDKIS4</stp>
        <stp>1년(적용일)</stp>
        <stp>45119</stp>
        <stp>fill=true</stp>
        <tr r="M29" s="2"/>
      </tp>
      <tp>
        <v>4.4000000000000004</v>
        <stp/>
        <stp>P</stp>
        <stp>0</stp>
        <stp>IR</stp>
        <stp>CDYLDKIS5</stp>
        <stp>1년(적용일)</stp>
        <stp>45119</stp>
        <stp>fill=true</stp>
        <tr r="M35" s="2"/>
      </tp>
      <tp>
        <v>4</v>
        <stp/>
        <stp>P</stp>
        <stp>0</stp>
        <stp>IR</stp>
        <stp>CDYLDKIS2</stp>
        <stp>1년(적용일)</stp>
        <stp>45119</stp>
        <stp>fill=true</stp>
        <tr r="M17" s="2"/>
      </tp>
      <tp>
        <v>4.21</v>
        <stp/>
        <stp>P</stp>
        <stp>0</stp>
        <stp>IR</stp>
        <stp>CDYLDKIS3</stp>
        <stp>1년(적용일)</stp>
        <stp>45119</stp>
        <stp>fill=true</stp>
        <tr r="M23" s="2"/>
      </tp>
      <tp>
        <v>3.89</v>
        <stp/>
        <stp>P</stp>
        <stp>0</stp>
        <stp>IR</stp>
        <stp>CDYLDKIS1</stp>
        <stp>1년(적용일)</stp>
        <stp>45119</stp>
        <stp>fill=true</stp>
        <tr r="M11" s="2"/>
      </tp>
      <tp t="s">
        <v/>
        <stp/>
        <stp>P</stp>
        <stp>0</stp>
        <stp>IR</stp>
        <stp>CDYLDAV48</stp>
        <stp>10일(적용일)</stp>
        <stp>45119</stp>
        <stp>fill=true</stp>
        <tr r="F51" s="2"/>
        <tr r="F51" s="2"/>
      </tp>
      <tp t="s">
        <v/>
        <stp/>
        <stp>P</stp>
        <stp>0</stp>
        <stp>IR</stp>
        <stp>CDYLDAV45</stp>
        <stp>10일(적용일)</stp>
        <stp>45119</stp>
        <stp>fill=true</stp>
        <tr r="F33" s="2"/>
        <tr r="F33" s="2"/>
      </tp>
      <tp t="s">
        <v/>
        <stp/>
        <stp>P</stp>
        <stp>0</stp>
        <stp>IR</stp>
        <stp>CDYLDAV44</stp>
        <stp>10일(적용일)</stp>
        <stp>45119</stp>
        <stp>fill=true</stp>
        <tr r="F27" s="2"/>
        <tr r="F27" s="2"/>
      </tp>
      <tp t="s">
        <v/>
        <stp/>
        <stp>P</stp>
        <stp>0</stp>
        <stp>IR</stp>
        <stp>CDYLDAV47</stp>
        <stp>10일(적용일)</stp>
        <stp>45119</stp>
        <stp>fill=true</stp>
        <tr r="F45" s="2"/>
        <tr r="F45" s="2"/>
      </tp>
      <tp t="s">
        <v/>
        <stp/>
        <stp>P</stp>
        <stp>0</stp>
        <stp>IR</stp>
        <stp>CDYLDAV46</stp>
        <stp>10일(적용일)</stp>
        <stp>45119</stp>
        <stp>fill=true</stp>
        <tr r="F39" s="2"/>
        <tr r="F39" s="2"/>
      </tp>
      <tp t="s">
        <v/>
        <stp/>
        <stp>P</stp>
        <stp>0</stp>
        <stp>IR</stp>
        <stp>CDYLDAV41</stp>
        <stp>10일(적용일)</stp>
        <stp>45119</stp>
        <stp>fill=true</stp>
        <tr r="F9" s="2"/>
        <tr r="F9" s="2"/>
      </tp>
      <tp t="s">
        <v/>
        <stp/>
        <stp>P</stp>
        <stp>0</stp>
        <stp>IR</stp>
        <stp>CDYLDAV43</stp>
        <stp>10일(적용일)</stp>
        <stp>45119</stp>
        <stp>fill=true</stp>
        <tr r="F21" s="2"/>
        <tr r="F21" s="2"/>
      </tp>
      <tp t="s">
        <v/>
        <stp/>
        <stp>P</stp>
        <stp>0</stp>
        <stp>IR</stp>
        <stp>CDYLDAV42</stp>
        <stp>10일(적용일)</stp>
        <stp>45119</stp>
        <stp>fill=true</stp>
        <tr r="F15" s="2"/>
        <tr r="F15" s="2"/>
      </tp>
      <tp>
        <v>4.78</v>
        <stp/>
        <stp>P</stp>
        <stp>0</stp>
        <stp>IR</stp>
        <stp>CDYLDKBP8</stp>
        <stp>1년(적용일)</stp>
        <stp>45119</stp>
        <stp>fill=true</stp>
        <tr r="M52" s="2"/>
      </tp>
      <tp>
        <v>4.4000000000000004</v>
        <stp/>
        <stp>P</stp>
        <stp>0</stp>
        <stp>IR</stp>
        <stp>CDYLDKBP6</stp>
        <stp>1년(적용일)</stp>
        <stp>45119</stp>
        <stp>fill=true</stp>
        <tr r="M40" s="2"/>
      </tp>
      <tp>
        <v>4.49</v>
        <stp/>
        <stp>P</stp>
        <stp>0</stp>
        <stp>IR</stp>
        <stp>CDYLDKBP7</stp>
        <stp>1년(적용일)</stp>
        <stp>45119</stp>
        <stp>fill=true</stp>
        <tr r="M46" s="2"/>
      </tp>
      <tp>
        <v>4.25</v>
        <stp/>
        <stp>P</stp>
        <stp>0</stp>
        <stp>IR</stp>
        <stp>CDYLDKBP4</stp>
        <stp>1년(적용일)</stp>
        <stp>45119</stp>
        <stp>fill=true</stp>
        <tr r="M28" s="2"/>
      </tp>
      <tp>
        <v>4.34</v>
        <stp/>
        <stp>P</stp>
        <stp>0</stp>
        <stp>IR</stp>
        <stp>CDYLDKBP5</stp>
        <stp>1년(적용일)</stp>
        <stp>45119</stp>
        <stp>fill=true</stp>
        <tr r="M34" s="2"/>
      </tp>
      <tp>
        <v>3.99</v>
        <stp/>
        <stp>P</stp>
        <stp>0</stp>
        <stp>IR</stp>
        <stp>CDYLDKBP2</stp>
        <stp>1년(적용일)</stp>
        <stp>45119</stp>
        <stp>fill=true</stp>
        <tr r="M16" s="2"/>
      </tp>
      <tp>
        <v>4.1399999999999997</v>
        <stp/>
        <stp>P</stp>
        <stp>0</stp>
        <stp>IR</stp>
        <stp>CDYLDKBP3</stp>
        <stp>1년(적용일)</stp>
        <stp>45119</stp>
        <stp>fill=true</stp>
        <tr r="M22" s="2"/>
      </tp>
      <tp>
        <v>3.89</v>
        <stp/>
        <stp>P</stp>
        <stp>0</stp>
        <stp>IR</stp>
        <stp>CDYLDKBP1</stp>
        <stp>1년(적용일)</stp>
        <stp>45119</stp>
        <stp>fill=true</stp>
        <tr r="M10" s="2"/>
      </tp>
      <tp>
        <v>4.12</v>
        <stp/>
        <stp>P</stp>
        <stp>0</stp>
        <stp>IR</stp>
        <stp>CDYLDAV48</stp>
        <stp>15일(적용일)</stp>
        <stp>45119</stp>
        <stp>fill=true</stp>
        <tr r="G51" s="2"/>
      </tp>
      <tp>
        <v>3.85</v>
        <stp/>
        <stp>P</stp>
        <stp>0</stp>
        <stp>IR</stp>
        <stp>CDYLDAV45</stp>
        <stp>15일(적용일)</stp>
        <stp>45119</stp>
        <stp>fill=true</stp>
        <tr r="G33" s="2"/>
      </tp>
      <tp>
        <v>3.8</v>
        <stp/>
        <stp>P</stp>
        <stp>0</stp>
        <stp>IR</stp>
        <stp>CDYLDAV44</stp>
        <stp>15일(적용일)</stp>
        <stp>45119</stp>
        <stp>fill=true</stp>
        <tr r="G27" s="2"/>
      </tp>
      <tp>
        <v>3.96</v>
        <stp/>
        <stp>P</stp>
        <stp>0</stp>
        <stp>IR</stp>
        <stp>CDYLDAV47</stp>
        <stp>15일(적용일)</stp>
        <stp>45119</stp>
        <stp>fill=true</stp>
        <tr r="G45" s="2"/>
      </tp>
      <tp>
        <v>3.9</v>
        <stp/>
        <stp>P</stp>
        <stp>0</stp>
        <stp>IR</stp>
        <stp>CDYLDAV46</stp>
        <stp>15일(적용일)</stp>
        <stp>45119</stp>
        <stp>fill=true</stp>
        <tr r="G39" s="2"/>
      </tp>
      <tp>
        <v>3.63</v>
        <stp/>
        <stp>P</stp>
        <stp>0</stp>
        <stp>IR</stp>
        <stp>CDYLDAV41</stp>
        <stp>15일(적용일)</stp>
        <stp>45119</stp>
        <stp>fill=true</stp>
        <tr r="G9" s="2"/>
      </tp>
      <tp>
        <v>3.72</v>
        <stp/>
        <stp>P</stp>
        <stp>0</stp>
        <stp>IR</stp>
        <stp>CDYLDAV43</stp>
        <stp>15일(적용일)</stp>
        <stp>45119</stp>
        <stp>fill=true</stp>
        <tr r="G21" s="2"/>
      </tp>
      <tp>
        <v>3.66</v>
        <stp/>
        <stp>P</stp>
        <stp>0</stp>
        <stp>IR</stp>
        <stp>CDYLDAV42</stp>
        <stp>15일(적용일)</stp>
        <stp>45119</stp>
        <stp>fill=true</stp>
        <tr r="G15" s="2"/>
      </tp>
      <tp>
        <v>5.83</v>
        <stp/>
        <stp>P</stp>
        <stp>0</stp>
        <stp>IR</stp>
        <stp>CDYLDKBP8</stp>
        <stp>2년(적용일)</stp>
        <stp>45119</stp>
        <stp>fill=true</stp>
        <tr r="N52" s="2"/>
      </tp>
      <tp>
        <v>5.34</v>
        <stp/>
        <stp>P</stp>
        <stp>0</stp>
        <stp>IR</stp>
        <stp>CDYLDKBP6</stp>
        <stp>2년(적용일)</stp>
        <stp>45119</stp>
        <stp>fill=true</stp>
        <tr r="N40" s="2"/>
      </tp>
      <tp>
        <v>5.43</v>
        <stp/>
        <stp>P</stp>
        <stp>0</stp>
        <stp>IR</stp>
        <stp>CDYLDKBP7</stp>
        <stp>2년(적용일)</stp>
        <stp>45119</stp>
        <stp>fill=true</stp>
        <tr r="N46" s="2"/>
      </tp>
      <tp>
        <v>5.17</v>
        <stp/>
        <stp>P</stp>
        <stp>0</stp>
        <stp>IR</stp>
        <stp>CDYLDKBP4</stp>
        <stp>2년(적용일)</stp>
        <stp>45119</stp>
        <stp>fill=true</stp>
        <tr r="N28" s="2"/>
      </tp>
      <tp>
        <v>5.26</v>
        <stp/>
        <stp>P</stp>
        <stp>0</stp>
        <stp>IR</stp>
        <stp>CDYLDKBP5</stp>
        <stp>2년(적용일)</stp>
        <stp>45119</stp>
        <stp>fill=true</stp>
        <tr r="N34" s="2"/>
      </tp>
      <tp>
        <v>4.8499999999999996</v>
        <stp/>
        <stp>P</stp>
        <stp>0</stp>
        <stp>IR</stp>
        <stp>CDYLDKBP2</stp>
        <stp>2년(적용일)</stp>
        <stp>45119</stp>
        <stp>fill=true</stp>
        <tr r="N16" s="2"/>
      </tp>
      <tp>
        <v>5.03</v>
        <stp/>
        <stp>P</stp>
        <stp>0</stp>
        <stp>IR</stp>
        <stp>CDYLDKBP3</stp>
        <stp>2년(적용일)</stp>
        <stp>45119</stp>
        <stp>fill=true</stp>
        <tr r="N22" s="2"/>
      </tp>
      <tp>
        <v>4.74</v>
        <stp/>
        <stp>P</stp>
        <stp>0</stp>
        <stp>IR</stp>
        <stp>CDYLDKBP1</stp>
        <stp>2년(적용일)</stp>
        <stp>45119</stp>
        <stp>fill=true</stp>
        <tr r="N10" s="2"/>
      </tp>
      <tp>
        <v>4.8499999999999996</v>
        <stp/>
        <stp>P</stp>
        <stp>0</stp>
        <stp>IR</stp>
        <stp>CDYLDAV48</stp>
        <stp>1년(적용일)</stp>
        <stp>45119</stp>
        <stp>fill=true</stp>
        <tr r="M51" s="2"/>
      </tp>
      <tp>
        <v>4.46</v>
        <stp/>
        <stp>P</stp>
        <stp>0</stp>
        <stp>IR</stp>
        <stp>CDYLDAV46</stp>
        <stp>1년(적용일)</stp>
        <stp>45119</stp>
        <stp>fill=true</stp>
        <tr r="M39" s="2"/>
      </tp>
      <tp>
        <v>4.54</v>
        <stp/>
        <stp>P</stp>
        <stp>0</stp>
        <stp>IR</stp>
        <stp>CDYLDAV47</stp>
        <stp>1년(적용일)</stp>
        <stp>45119</stp>
        <stp>fill=true</stp>
        <tr r="M45" s="2"/>
      </tp>
      <tp>
        <v>4.3099999999999996</v>
        <stp/>
        <stp>P</stp>
        <stp>0</stp>
        <stp>IR</stp>
        <stp>CDYLDAV44</stp>
        <stp>1년(적용일)</stp>
        <stp>45119</stp>
        <stp>fill=true</stp>
        <tr r="M27" s="2"/>
      </tp>
      <tp>
        <v>4.3899999999999997</v>
        <stp/>
        <stp>P</stp>
        <stp>0</stp>
        <stp>IR</stp>
        <stp>CDYLDAV45</stp>
        <stp>1년(적용일)</stp>
        <stp>45119</stp>
        <stp>fill=true</stp>
        <tr r="M33" s="2"/>
      </tp>
      <tp>
        <v>3.99</v>
        <stp/>
        <stp>P</stp>
        <stp>0</stp>
        <stp>IR</stp>
        <stp>CDYLDAV42</stp>
        <stp>1년(적용일)</stp>
        <stp>45119</stp>
        <stp>fill=true</stp>
        <tr r="M15" s="2"/>
      </tp>
      <tp>
        <v>4.1900000000000004</v>
        <stp/>
        <stp>P</stp>
        <stp>0</stp>
        <stp>IR</stp>
        <stp>CDYLDAV43</stp>
        <stp>1년(적용일)</stp>
        <stp>45119</stp>
        <stp>fill=true</stp>
        <tr r="M21" s="2"/>
      </tp>
      <tp>
        <v>3.89</v>
        <stp/>
        <stp>P</stp>
        <stp>0</stp>
        <stp>IR</stp>
        <stp>CDYLDAV41</stp>
        <stp>1년(적용일)</stp>
        <stp>45119</stp>
        <stp>fill=true</stp>
        <tr r="M9" s="2"/>
      </tp>
      <tp>
        <v>4.83</v>
        <stp/>
        <stp>P</stp>
        <stp>0</stp>
        <stp>IR</stp>
        <stp>CDYLDAVG8</stp>
        <stp>1년(적용일)</stp>
        <stp>45119</stp>
        <stp>fill=true</stp>
        <tr r="M50" s="2"/>
      </tp>
      <tp>
        <v>4.4400000000000004</v>
        <stp/>
        <stp>P</stp>
        <stp>0</stp>
        <stp>IR</stp>
        <stp>CDYLDAVG6</stp>
        <stp>1년(적용일)</stp>
        <stp>45119</stp>
        <stp>fill=true</stp>
        <tr r="M38" s="2"/>
      </tp>
      <tp>
        <v>4.5199999999999996</v>
        <stp/>
        <stp>P</stp>
        <stp>0</stp>
        <stp>IR</stp>
        <stp>CDYLDAVG7</stp>
        <stp>1년(적용일)</stp>
        <stp>45119</stp>
        <stp>fill=true</stp>
        <tr r="M44" s="2"/>
      </tp>
      <tp>
        <v>4.29</v>
        <stp/>
        <stp>P</stp>
        <stp>0</stp>
        <stp>IR</stp>
        <stp>CDYLDAVG4</stp>
        <stp>1년(적용일)</stp>
        <stp>45119</stp>
        <stp>fill=true</stp>
        <tr r="M26" s="2"/>
      </tp>
      <tp>
        <v>4.37</v>
        <stp/>
        <stp>P</stp>
        <stp>0</stp>
        <stp>IR</stp>
        <stp>CDYLDAVG5</stp>
        <stp>1년(적용일)</stp>
        <stp>45119</stp>
        <stp>fill=true</stp>
        <tr r="M32" s="2"/>
      </tp>
      <tp>
        <v>4</v>
        <stp/>
        <stp>P</stp>
        <stp>0</stp>
        <stp>IR</stp>
        <stp>CDYLDAVG2</stp>
        <stp>1년(적용일)</stp>
        <stp>45119</stp>
        <stp>fill=true</stp>
        <tr r="M14" s="2"/>
      </tp>
      <tp>
        <v>4.18</v>
        <stp/>
        <stp>P</stp>
        <stp>0</stp>
        <stp>IR</stp>
        <stp>CDYLDAVG3</stp>
        <stp>1년(적용일)</stp>
        <stp>45119</stp>
        <stp>fill=true</stp>
        <tr r="M20" s="2"/>
      </tp>
      <tp>
        <v>3.72</v>
        <stp/>
        <stp>P</stp>
        <stp>0</stp>
        <stp>IR</stp>
        <stp>CDYLDAVG1</stp>
        <stp>1년(적용일)</stp>
        <stp>45029</stp>
        <stp>fill=true</stp>
        <tr r="M11" s="1"/>
      </tp>
      <tp>
        <v>3.89</v>
        <stp/>
        <stp>P</stp>
        <stp>0</stp>
        <stp>IR</stp>
        <stp>CDYLDAVG1</stp>
        <stp>1년(적용일)</stp>
        <stp>45119</stp>
        <stp>fill=true</stp>
        <tr r="M8" s="2"/>
      </tp>
      <tp>
        <v>5.41</v>
        <stp/>
        <stp>P</stp>
        <stp>0</stp>
        <stp>IR</stp>
        <stp>CDYLDAV48</stp>
        <stp>2년(적용일)</stp>
        <stp>45119</stp>
        <stp>fill=true</stp>
        <tr r="N51" s="2"/>
      </tp>
      <tp>
        <v>4.87</v>
        <stp/>
        <stp>P</stp>
        <stp>0</stp>
        <stp>IR</stp>
        <stp>CDYLDAV46</stp>
        <stp>2년(적용일)</stp>
        <stp>45119</stp>
        <stp>fill=true</stp>
        <tr r="N39" s="2"/>
      </tp>
      <tp>
        <v>4.9400000000000004</v>
        <stp/>
        <stp>P</stp>
        <stp>0</stp>
        <stp>IR</stp>
        <stp>CDYLDAV47</stp>
        <stp>2년(적용일)</stp>
        <stp>45119</stp>
        <stp>fill=true</stp>
        <tr r="N45" s="2"/>
      </tp>
      <tp>
        <v>4.7</v>
        <stp/>
        <stp>P</stp>
        <stp>0</stp>
        <stp>IR</stp>
        <stp>CDYLDAV44</stp>
        <stp>2년(적용일)</stp>
        <stp>45119</stp>
        <stp>fill=true</stp>
        <tr r="N27" s="2"/>
      </tp>
      <tp>
        <v>4.79</v>
        <stp/>
        <stp>P</stp>
        <stp>0</stp>
        <stp>IR</stp>
        <stp>CDYLDAV45</stp>
        <stp>2년(적용일)</stp>
        <stp>45119</stp>
        <stp>fill=true</stp>
        <tr r="N33" s="2"/>
      </tp>
      <tp>
        <v>4.37</v>
        <stp/>
        <stp>P</stp>
        <stp>0</stp>
        <stp>IR</stp>
        <stp>CDYLDAV42</stp>
        <stp>2년(적용일)</stp>
        <stp>45119</stp>
        <stp>fill=true</stp>
        <tr r="N15" s="2"/>
      </tp>
      <tp>
        <v>4.57</v>
        <stp/>
        <stp>P</stp>
        <stp>0</stp>
        <stp>IR</stp>
        <stp>CDYLDAV43</stp>
        <stp>2년(적용일)</stp>
        <stp>45119</stp>
        <stp>fill=true</stp>
        <tr r="N21" s="2"/>
      </tp>
      <tp>
        <v>4.24</v>
        <stp/>
        <stp>P</stp>
        <stp>0</stp>
        <stp>IR</stp>
        <stp>CDYLDAV41</stp>
        <stp>2년(적용일)</stp>
        <stp>45119</stp>
        <stp>fill=true</stp>
        <tr r="N9" s="2"/>
      </tp>
      <tp>
        <v>5.6</v>
        <stp/>
        <stp>P</stp>
        <stp>0</stp>
        <stp>IR</stp>
        <stp>CDYLDAVG8</stp>
        <stp>2년(적용일)</stp>
        <stp>45119</stp>
        <stp>fill=true</stp>
        <tr r="N50" s="2"/>
      </tp>
      <tp>
        <v>4.9400000000000004</v>
        <stp/>
        <stp>P</stp>
        <stp>0</stp>
        <stp>IR</stp>
        <stp>CDYLDAVG6</stp>
        <stp>2년(적용일)</stp>
        <stp>45119</stp>
        <stp>fill=true</stp>
        <tr r="N38" s="2"/>
      </tp>
      <tp>
        <v>5.01</v>
        <stp/>
        <stp>P</stp>
        <stp>0</stp>
        <stp>IR</stp>
        <stp>CDYLDAVG7</stp>
        <stp>2년(적용일)</stp>
        <stp>45119</stp>
        <stp>fill=true</stp>
        <tr r="N44" s="2"/>
      </tp>
      <tp>
        <v>4.78</v>
        <stp/>
        <stp>P</stp>
        <stp>0</stp>
        <stp>IR</stp>
        <stp>CDYLDAVG4</stp>
        <stp>2년(적용일)</stp>
        <stp>45119</stp>
        <stp>fill=true</stp>
        <tr r="N26" s="2"/>
      </tp>
      <tp>
        <v>4.87</v>
        <stp/>
        <stp>P</stp>
        <stp>0</stp>
        <stp>IR</stp>
        <stp>CDYLDAVG5</stp>
        <stp>2년(적용일)</stp>
        <stp>45119</stp>
        <stp>fill=true</stp>
        <tr r="N32" s="2"/>
      </tp>
      <tp>
        <v>4.47</v>
        <stp/>
        <stp>P</stp>
        <stp>0</stp>
        <stp>IR</stp>
        <stp>CDYLDAVG2</stp>
        <stp>2년(적용일)</stp>
        <stp>45119</stp>
        <stp>fill=true</stp>
        <tr r="N14" s="2"/>
      </tp>
      <tp>
        <v>4.66</v>
        <stp/>
        <stp>P</stp>
        <stp>0</stp>
        <stp>IR</stp>
        <stp>CDYLDAVG3</stp>
        <stp>2년(적용일)</stp>
        <stp>45119</stp>
        <stp>fill=true</stp>
        <tr r="N20" s="2"/>
      </tp>
      <tp>
        <v>4.13</v>
        <stp/>
        <stp>P</stp>
        <stp>0</stp>
        <stp>IR</stp>
        <stp>CDYLDAVG1</stp>
        <stp>2년(적용일)</stp>
        <stp>45029</stp>
        <stp>fill=true</stp>
        <tr r="M12" s="1"/>
      </tp>
      <tp>
        <v>4.34</v>
        <stp/>
        <stp>P</stp>
        <stp>0</stp>
        <stp>IR</stp>
        <stp>CDYLDAVG1</stp>
        <stp>2년(적용일)</stp>
        <stp>45119</stp>
        <stp>fill=true</stp>
        <tr r="N8" s="2"/>
      </tp>
      <tp>
        <v>4.0199999999999996</v>
        <stp/>
        <stp>P</stp>
        <stp>0</stp>
        <stp>IR</stp>
        <stp>CDYLDAV48</stp>
        <stp>1주(적용일)</stp>
        <stp>45119</stp>
        <stp>fill=true</stp>
        <tr r="E51" s="2"/>
      </tp>
      <tp>
        <v>3.83</v>
        <stp/>
        <stp>P</stp>
        <stp>0</stp>
        <stp>IR</stp>
        <stp>CDYLDAV46</stp>
        <stp>1주(적용일)</stp>
        <stp>45119</stp>
        <stp>fill=true</stp>
        <tr r="E39" s="2"/>
      </tp>
      <tp>
        <v>3.88</v>
        <stp/>
        <stp>P</stp>
        <stp>0</stp>
        <stp>IR</stp>
        <stp>CDYLDAV47</stp>
        <stp>1주(적용일)</stp>
        <stp>45119</stp>
        <stp>fill=true</stp>
        <tr r="E45" s="2"/>
      </tp>
      <tp>
        <v>3.73</v>
        <stp/>
        <stp>P</stp>
        <stp>0</stp>
        <stp>IR</stp>
        <stp>CDYLDAV44</stp>
        <stp>1주(적용일)</stp>
        <stp>45119</stp>
        <stp>fill=true</stp>
        <tr r="E27" s="2"/>
      </tp>
      <tp>
        <v>3.79</v>
        <stp/>
        <stp>P</stp>
        <stp>0</stp>
        <stp>IR</stp>
        <stp>CDYLDAV45</stp>
        <stp>1주(적용일)</stp>
        <stp>45119</stp>
        <stp>fill=true</stp>
        <tr r="E33" s="2"/>
      </tp>
      <tp>
        <v>3.59</v>
        <stp/>
        <stp>P</stp>
        <stp>0</stp>
        <stp>IR</stp>
        <stp>CDYLDAV42</stp>
        <stp>1주(적용일)</stp>
        <stp>45119</stp>
        <stp>fill=true</stp>
        <tr r="E15" s="2"/>
      </tp>
      <tp>
        <v>3.65</v>
        <stp/>
        <stp>P</stp>
        <stp>0</stp>
        <stp>IR</stp>
        <stp>CDYLDAV43</stp>
        <stp>1주(적용일)</stp>
        <stp>45119</stp>
        <stp>fill=true</stp>
        <tr r="E21" s="2"/>
      </tp>
      <tp>
        <v>3.56</v>
        <stp/>
        <stp>P</stp>
        <stp>0</stp>
        <stp>IR</stp>
        <stp>CDYLDAV41</stp>
        <stp>1주(적용일)</stp>
        <stp>45119</stp>
        <stp>fill=true</stp>
        <tr r="E9" s="2"/>
      </tp>
      <tp>
        <v>4.0199999999999996</v>
        <stp/>
        <stp>P</stp>
        <stp>0</stp>
        <stp>IR</stp>
        <stp>CDYLDAVG8</stp>
        <stp>1주(적용일)</stp>
        <stp>45119</stp>
        <stp>fill=true</stp>
        <tr r="E50" s="2"/>
      </tp>
      <tp>
        <v>3.83</v>
        <stp/>
        <stp>P</stp>
        <stp>0</stp>
        <stp>IR</stp>
        <stp>CDYLDAVG6</stp>
        <stp>1주(적용일)</stp>
        <stp>45119</stp>
        <stp>fill=true</stp>
        <tr r="E38" s="2"/>
      </tp>
      <tp>
        <v>3.88</v>
        <stp/>
        <stp>P</stp>
        <stp>0</stp>
        <stp>IR</stp>
        <stp>CDYLDAVG7</stp>
        <stp>1주(적용일)</stp>
        <stp>45119</stp>
        <stp>fill=true</stp>
        <tr r="E44" s="2"/>
      </tp>
      <tp>
        <v>3.72</v>
        <stp/>
        <stp>P</stp>
        <stp>0</stp>
        <stp>IR</stp>
        <stp>CDYLDAVG4</stp>
        <stp>1주(적용일)</stp>
        <stp>45119</stp>
        <stp>fill=true</stp>
        <tr r="E26" s="2"/>
      </tp>
      <tp>
        <v>3.78</v>
        <stp/>
        <stp>P</stp>
        <stp>0</stp>
        <stp>IR</stp>
        <stp>CDYLDAVG5</stp>
        <stp>1주(적용일)</stp>
        <stp>45119</stp>
        <stp>fill=true</stp>
        <tr r="E32" s="2"/>
      </tp>
      <tp>
        <v>3.59</v>
        <stp/>
        <stp>P</stp>
        <stp>0</stp>
        <stp>IR</stp>
        <stp>CDYLDAVG2</stp>
        <stp>1주(적용일)</stp>
        <stp>45119</stp>
        <stp>fill=true</stp>
        <tr r="E14" s="2"/>
      </tp>
      <tp>
        <v>3.64</v>
        <stp/>
        <stp>P</stp>
        <stp>0</stp>
        <stp>IR</stp>
        <stp>CDYLDAVG3</stp>
        <stp>1주(적용일)</stp>
        <stp>45119</stp>
        <stp>fill=true</stp>
        <tr r="E20" s="2"/>
      </tp>
      <tp>
        <v>3.37</v>
        <stp/>
        <stp>P</stp>
        <stp>0</stp>
        <stp>IR</stp>
        <stp>CDYLDAVG1</stp>
        <stp>1주(적용일)</stp>
        <stp>45029</stp>
        <stp>fill=true</stp>
        <tr r="M3" s="1"/>
      </tp>
      <tp>
        <v>3.56</v>
        <stp/>
        <stp>P</stp>
        <stp>0</stp>
        <stp>IR</stp>
        <stp>CDYLDAVG1</stp>
        <stp>1주(적용일)</stp>
        <stp>45119</stp>
        <stp>fill=true</stp>
        <tr r="E8" s="2"/>
      </tp>
      <tp>
        <v>4.13</v>
        <stp/>
        <stp>P</stp>
        <stp>0</stp>
        <stp>IR</stp>
        <stp>CDYLDKBP8</stp>
        <stp>15일(적용일)</stp>
        <stp>45119</stp>
        <stp>fill=true</stp>
        <tr r="G52" s="2"/>
      </tp>
      <tp>
        <v>4.1399999999999997</v>
        <stp/>
        <stp>P</stp>
        <stp>0</stp>
        <stp>IR</stp>
        <stp>CDYLDFNP8</stp>
        <stp>15일(적용일)</stp>
        <stp>45119</stp>
        <stp>fill=true</stp>
        <tr r="G55" s="2"/>
      </tp>
      <tp>
        <v>3.86</v>
        <stp/>
        <stp>P</stp>
        <stp>0</stp>
        <stp>IR</stp>
        <stp>CDYLDKBP5</stp>
        <stp>15일(적용일)</stp>
        <stp>45119</stp>
        <stp>fill=true</stp>
        <tr r="G34" s="2"/>
      </tp>
      <tp>
        <v>3.88</v>
        <stp/>
        <stp>P</stp>
        <stp>0</stp>
        <stp>IR</stp>
        <stp>CDYLDFNP5</stp>
        <stp>15일(적용일)</stp>
        <stp>45119</stp>
        <stp>fill=true</stp>
        <tr r="G37" s="2"/>
      </tp>
      <tp>
        <v>3.81</v>
        <stp/>
        <stp>P</stp>
        <stp>0</stp>
        <stp>IR</stp>
        <stp>CDYLDKBP4</stp>
        <stp>15일(적용일)</stp>
        <stp>45119</stp>
        <stp>fill=true</stp>
        <tr r="G28" s="2"/>
      </tp>
      <tp>
        <v>3.83</v>
        <stp/>
        <stp>P</stp>
        <stp>0</stp>
        <stp>IR</stp>
        <stp>CDYLDFNP4</stp>
        <stp>15일(적용일)</stp>
        <stp>45119</stp>
        <stp>fill=true</stp>
        <tr r="G31" s="2"/>
      </tp>
      <tp>
        <v>3.95</v>
        <stp/>
        <stp>P</stp>
        <stp>0</stp>
        <stp>IR</stp>
        <stp>CDYLDKBP7</stp>
        <stp>15일(적용일)</stp>
        <stp>45119</stp>
        <stp>fill=true</stp>
        <tr r="G46" s="2"/>
      </tp>
      <tp>
        <v>3.99</v>
        <stp/>
        <stp>P</stp>
        <stp>0</stp>
        <stp>IR</stp>
        <stp>CDYLDFNP7</stp>
        <stp>15일(적용일)</stp>
        <stp>45119</stp>
        <stp>fill=true</stp>
        <tr r="G49" s="2"/>
      </tp>
      <tp>
        <v>3.9</v>
        <stp/>
        <stp>P</stp>
        <stp>0</stp>
        <stp>IR</stp>
        <stp>CDYLDKBP6</stp>
        <stp>15일(적용일)</stp>
        <stp>45119</stp>
        <stp>fill=true</stp>
        <tr r="G40" s="2"/>
      </tp>
      <tp>
        <v>3.93</v>
        <stp/>
        <stp>P</stp>
        <stp>0</stp>
        <stp>IR</stp>
        <stp>CDYLDFNP6</stp>
        <stp>15일(적용일)</stp>
        <stp>45119</stp>
        <stp>fill=true</stp>
        <tr r="G43" s="2"/>
      </tp>
      <tp>
        <v>3.64</v>
        <stp/>
        <stp>P</stp>
        <stp>0</stp>
        <stp>IR</stp>
        <stp>CDYLDKBP1</stp>
        <stp>15일(적용일)</stp>
        <stp>45119</stp>
        <stp>fill=true</stp>
        <tr r="G10" s="2"/>
      </tp>
      <tp>
        <v>3.63</v>
        <stp/>
        <stp>P</stp>
        <stp>0</stp>
        <stp>IR</stp>
        <stp>CDYLDFNP1</stp>
        <stp>15일(적용일)</stp>
        <stp>45119</stp>
        <stp>fill=true</stp>
        <tr r="G13" s="2"/>
      </tp>
      <tp>
        <v>3.72</v>
        <stp/>
        <stp>P</stp>
        <stp>0</stp>
        <stp>IR</stp>
        <stp>CDYLDKBP3</stp>
        <stp>15일(적용일)</stp>
        <stp>45119</stp>
        <stp>fill=true</stp>
        <tr r="G22" s="2"/>
      </tp>
      <tp>
        <v>3.74</v>
        <stp/>
        <stp>P</stp>
        <stp>0</stp>
        <stp>IR</stp>
        <stp>CDYLDFNP3</stp>
        <stp>15일(적용일)</stp>
        <stp>45119</stp>
        <stp>fill=true</stp>
        <tr r="G25" s="2"/>
      </tp>
      <tp>
        <v>3.68</v>
        <stp/>
        <stp>P</stp>
        <stp>0</stp>
        <stp>IR</stp>
        <stp>CDYLDKBP2</stp>
        <stp>15일(적용일)</stp>
        <stp>45119</stp>
        <stp>fill=true</stp>
        <tr r="G16" s="2"/>
      </tp>
      <tp>
        <v>3.66</v>
        <stp/>
        <stp>P</stp>
        <stp>0</stp>
        <stp>IR</stp>
        <stp>CDYLDFNP2</stp>
        <stp>15일(적용일)</stp>
        <stp>45119</stp>
        <stp>fill=true</stp>
        <tr r="G19" s="2"/>
      </tp>
      <tp>
        <v>4.53</v>
        <stp/>
        <stp>P</stp>
        <stp>0</stp>
        <stp>IR</stp>
        <stp>CDYLDAV48</stp>
        <stp>6월(적용일)</stp>
        <stp>45119</stp>
        <stp>fill=true</stp>
        <tr r="L51" s="2"/>
      </tp>
      <tp>
        <v>4.25</v>
        <stp/>
        <stp>P</stp>
        <stp>0</stp>
        <stp>IR</stp>
        <stp>CDYLDAV46</stp>
        <stp>6월(적용일)</stp>
        <stp>45119</stp>
        <stp>fill=true</stp>
        <tr r="L39" s="2"/>
      </tp>
      <tp>
        <v>4.3</v>
        <stp/>
        <stp>P</stp>
        <stp>0</stp>
        <stp>IR</stp>
        <stp>CDYLDAV47</stp>
        <stp>6월(적용일)</stp>
        <stp>45119</stp>
        <stp>fill=true</stp>
        <tr r="L45" s="2"/>
      </tp>
      <tp>
        <v>4.1100000000000003</v>
        <stp/>
        <stp>P</stp>
        <stp>0</stp>
        <stp>IR</stp>
        <stp>CDYLDAV44</stp>
        <stp>6월(적용일)</stp>
        <stp>45119</stp>
        <stp>fill=true</stp>
        <tr r="L27" s="2"/>
      </tp>
      <tp>
        <v>4.18</v>
        <stp/>
        <stp>P</stp>
        <stp>0</stp>
        <stp>IR</stp>
        <stp>CDYLDAV45</stp>
        <stp>6월(적용일)</stp>
        <stp>45119</stp>
        <stp>fill=true</stp>
        <tr r="L33" s="2"/>
      </tp>
      <tp>
        <v>3.86</v>
        <stp/>
        <stp>P</stp>
        <stp>0</stp>
        <stp>IR</stp>
        <stp>CDYLDAV42</stp>
        <stp>6월(적용일)</stp>
        <stp>45119</stp>
        <stp>fill=true</stp>
        <tr r="L15" s="2"/>
      </tp>
      <tp>
        <v>4.0199999999999996</v>
        <stp/>
        <stp>P</stp>
        <stp>0</stp>
        <stp>IR</stp>
        <stp>CDYLDAV43</stp>
        <stp>6월(적용일)</stp>
        <stp>45119</stp>
        <stp>fill=true</stp>
        <tr r="L21" s="2"/>
      </tp>
      <tp>
        <v>3.8</v>
        <stp/>
        <stp>P</stp>
        <stp>0</stp>
        <stp>IR</stp>
        <stp>CDYLDAV41</stp>
        <stp>6월(적용일)</stp>
        <stp>45119</stp>
        <stp>fill=true</stp>
        <tr r="L9" s="2"/>
      </tp>
      <tp>
        <v>4.4800000000000004</v>
        <stp/>
        <stp>P</stp>
        <stp>0</stp>
        <stp>IR</stp>
        <stp>CDYLDAVG8</stp>
        <stp>6월(적용일)</stp>
        <stp>45119</stp>
        <stp>fill=true</stp>
        <tr r="L50" s="2"/>
      </tp>
      <tp>
        <v>4.21</v>
        <stp/>
        <stp>P</stp>
        <stp>0</stp>
        <stp>IR</stp>
        <stp>CDYLDAVG6</stp>
        <stp>6월(적용일)</stp>
        <stp>45119</stp>
        <stp>fill=true</stp>
        <tr r="L38" s="2"/>
      </tp>
      <tp>
        <v>4.26</v>
        <stp/>
        <stp>P</stp>
        <stp>0</stp>
        <stp>IR</stp>
        <stp>CDYLDAVG7</stp>
        <stp>6월(적용일)</stp>
        <stp>45119</stp>
        <stp>fill=true</stp>
        <tr r="L44" s="2"/>
      </tp>
      <tp>
        <v>4.08</v>
        <stp/>
        <stp>P</stp>
        <stp>0</stp>
        <stp>IR</stp>
        <stp>CDYLDAVG4</stp>
        <stp>6월(적용일)</stp>
        <stp>45119</stp>
        <stp>fill=true</stp>
        <tr r="L26" s="2"/>
      </tp>
      <tp>
        <v>4.1399999999999997</v>
        <stp/>
        <stp>P</stp>
        <stp>0</stp>
        <stp>IR</stp>
        <stp>CDYLDAVG5</stp>
        <stp>6월(적용일)</stp>
        <stp>45119</stp>
        <stp>fill=true</stp>
        <tr r="L32" s="2"/>
      </tp>
      <tp>
        <v>3.87</v>
        <stp/>
        <stp>P</stp>
        <stp>0</stp>
        <stp>IR</stp>
        <stp>CDYLDAVG2</stp>
        <stp>6월(적용일)</stp>
        <stp>45119</stp>
        <stp>fill=true</stp>
        <tr r="L14" s="2"/>
      </tp>
      <tp>
        <v>4</v>
        <stp/>
        <stp>P</stp>
        <stp>0</stp>
        <stp>IR</stp>
        <stp>CDYLDAVG3</stp>
        <stp>6월(적용일)</stp>
        <stp>45119</stp>
        <stp>fill=true</stp>
        <tr r="L20" s="2"/>
      </tp>
      <tp>
        <v>3.5</v>
        <stp/>
        <stp>P</stp>
        <stp>0</stp>
        <stp>IR</stp>
        <stp>CDYLDAVG1</stp>
        <stp>6월(적용일)</stp>
        <stp>45029</stp>
        <stp>fill=true</stp>
        <tr r="M10" s="1"/>
      </tp>
      <tp>
        <v>3.8</v>
        <stp/>
        <stp>P</stp>
        <stp>0</stp>
        <stp>IR</stp>
        <stp>CDYLDAVG1</stp>
        <stp>6월(적용일)</stp>
        <stp>45119</stp>
        <stp>fill=true</stp>
        <tr r="L8" s="2"/>
      </tp>
      <tp>
        <v>4.09</v>
        <stp/>
        <stp>P</stp>
        <stp>0</stp>
        <stp>IR</stp>
        <stp>CDYLDKIS8</stp>
        <stp>15일(적용일)</stp>
        <stp>45119</stp>
        <stp>fill=true</stp>
        <tr r="G53" s="2"/>
      </tp>
      <tp>
        <v>3.84</v>
        <stp/>
        <stp>P</stp>
        <stp>0</stp>
        <stp>IR</stp>
        <stp>CDYLDKIS5</stp>
        <stp>15일(적용일)</stp>
        <stp>45119</stp>
        <stp>fill=true</stp>
        <tr r="G35" s="2"/>
      </tp>
      <tp>
        <v>3.79</v>
        <stp/>
        <stp>P</stp>
        <stp>0</stp>
        <stp>IR</stp>
        <stp>CDYLDKIS4</stp>
        <stp>15일(적용일)</stp>
        <stp>45119</stp>
        <stp>fill=true</stp>
        <tr r="G29" s="2"/>
      </tp>
      <tp>
        <v>3.95</v>
        <stp/>
        <stp>P</stp>
        <stp>0</stp>
        <stp>IR</stp>
        <stp>CDYLDKIS7</stp>
        <stp>15일(적용일)</stp>
        <stp>45119</stp>
        <stp>fill=true</stp>
        <tr r="G47" s="2"/>
      </tp>
      <tp>
        <v>3.9</v>
        <stp/>
        <stp>P</stp>
        <stp>0</stp>
        <stp>IR</stp>
        <stp>CDYLDKIS6</stp>
        <stp>15일(적용일)</stp>
        <stp>45119</stp>
        <stp>fill=true</stp>
        <tr r="G41" s="2"/>
      </tp>
      <tp>
        <v>3.63</v>
        <stp/>
        <stp>P</stp>
        <stp>0</stp>
        <stp>IR</stp>
        <stp>CDYLDKIS1</stp>
        <stp>15일(적용일)</stp>
        <stp>45119</stp>
        <stp>fill=true</stp>
        <tr r="G11" s="2"/>
      </tp>
      <tp>
        <v>3.72</v>
        <stp/>
        <stp>P</stp>
        <stp>0</stp>
        <stp>IR</stp>
        <stp>CDYLDKIS3</stp>
        <stp>15일(적용일)</stp>
        <stp>45119</stp>
        <stp>fill=true</stp>
        <tr r="G23" s="2"/>
      </tp>
      <tp>
        <v>3.65</v>
        <stp/>
        <stp>P</stp>
        <stp>0</stp>
        <stp>IR</stp>
        <stp>CDYLDKIS2</stp>
        <stp>15일(적용일)</stp>
        <stp>45119</stp>
        <stp>fill=true</stp>
        <tr r="G17" s="2"/>
      </tp>
      <tp>
        <v>4.34</v>
        <stp/>
        <stp>P</stp>
        <stp>0</stp>
        <stp>IR</stp>
        <stp>CDYLDAV48</stp>
        <stp>4월(적용일)</stp>
        <stp>45119</stp>
        <stp>fill=true</stp>
        <tr r="K51" s="2"/>
      </tp>
      <tp>
        <v>4.09</v>
        <stp/>
        <stp>P</stp>
        <stp>0</stp>
        <stp>IR</stp>
        <stp>CDYLDAV46</stp>
        <stp>4월(적용일)</stp>
        <stp>45119</stp>
        <stp>fill=true</stp>
        <tr r="K39" s="2"/>
      </tp>
      <tp>
        <v>4.1399999999999997</v>
        <stp/>
        <stp>P</stp>
        <stp>0</stp>
        <stp>IR</stp>
        <stp>CDYLDAV47</stp>
        <stp>4월(적용일)</stp>
        <stp>45119</stp>
        <stp>fill=true</stp>
        <tr r="K45" s="2"/>
      </tp>
      <tp>
        <v>3.96</v>
        <stp/>
        <stp>P</stp>
        <stp>0</stp>
        <stp>IR</stp>
        <stp>CDYLDAV44</stp>
        <stp>4월(적용일)</stp>
        <stp>45119</stp>
        <stp>fill=true</stp>
        <tr r="K27" s="2"/>
      </tp>
      <tp>
        <v>4.0199999999999996</v>
        <stp/>
        <stp>P</stp>
        <stp>0</stp>
        <stp>IR</stp>
        <stp>CDYLDAV45</stp>
        <stp>4월(적용일)</stp>
        <stp>45119</stp>
        <stp>fill=true</stp>
        <tr r="K33" s="2"/>
      </tp>
      <tp>
        <v>3.8</v>
        <stp/>
        <stp>P</stp>
        <stp>0</stp>
        <stp>IR</stp>
        <stp>CDYLDAV42</stp>
        <stp>4월(적용일)</stp>
        <stp>45119</stp>
        <stp>fill=true</stp>
        <tr r="K15" s="2"/>
      </tp>
      <tp>
        <v>3.89</v>
        <stp/>
        <stp>P</stp>
        <stp>0</stp>
        <stp>IR</stp>
        <stp>CDYLDAV43</stp>
        <stp>4월(적용일)</stp>
        <stp>45119</stp>
        <stp>fill=true</stp>
        <tr r="K21" s="2"/>
      </tp>
      <tp>
        <v>3.76</v>
        <stp/>
        <stp>P</stp>
        <stp>0</stp>
        <stp>IR</stp>
        <stp>CDYLDAV41</stp>
        <stp>4월(적용일)</stp>
        <stp>45119</stp>
        <stp>fill=true</stp>
        <tr r="K9" s="2"/>
      </tp>
      <tp>
        <v>4.3499999999999996</v>
        <stp/>
        <stp>P</stp>
        <stp>0</stp>
        <stp>IR</stp>
        <stp>CDYLDAVG8</stp>
        <stp>4월(적용일)</stp>
        <stp>45119</stp>
        <stp>fill=true</stp>
        <tr r="K50" s="2"/>
      </tp>
      <tp>
        <v>4.0999999999999996</v>
        <stp/>
        <stp>P</stp>
        <stp>0</stp>
        <stp>IR</stp>
        <stp>CDYLDAVG6</stp>
        <stp>4월(적용일)</stp>
        <stp>45119</stp>
        <stp>fill=true</stp>
        <tr r="K38" s="2"/>
      </tp>
      <tp>
        <v>4.1500000000000004</v>
        <stp/>
        <stp>P</stp>
        <stp>0</stp>
        <stp>IR</stp>
        <stp>CDYLDAVG7</stp>
        <stp>4월(적용일)</stp>
        <stp>45119</stp>
        <stp>fill=true</stp>
        <tr r="K44" s="2"/>
      </tp>
      <tp>
        <v>3.97</v>
        <stp/>
        <stp>P</stp>
        <stp>0</stp>
        <stp>IR</stp>
        <stp>CDYLDAVG4</stp>
        <stp>4월(적용일)</stp>
        <stp>45119</stp>
        <stp>fill=true</stp>
        <tr r="K26" s="2"/>
      </tp>
      <tp>
        <v>4.03</v>
        <stp/>
        <stp>P</stp>
        <stp>0</stp>
        <stp>IR</stp>
        <stp>CDYLDAVG5</stp>
        <stp>4월(적용일)</stp>
        <stp>45119</stp>
        <stp>fill=true</stp>
        <tr r="K32" s="2"/>
      </tp>
      <tp>
        <v>3.8</v>
        <stp/>
        <stp>P</stp>
        <stp>0</stp>
        <stp>IR</stp>
        <stp>CDYLDAVG2</stp>
        <stp>4월(적용일)</stp>
        <stp>45119</stp>
        <stp>fill=true</stp>
        <tr r="K14" s="2"/>
      </tp>
      <tp>
        <v>3.9</v>
        <stp/>
        <stp>P</stp>
        <stp>0</stp>
        <stp>IR</stp>
        <stp>CDYLDAVG3</stp>
        <stp>4월(적용일)</stp>
        <stp>45119</stp>
        <stp>fill=true</stp>
        <tr r="K20" s="2"/>
      </tp>
      <tp>
        <v>3.45</v>
        <stp/>
        <stp>P</stp>
        <stp>0</stp>
        <stp>IR</stp>
        <stp>CDYLDAVG1</stp>
        <stp>4월(적용일)</stp>
        <stp>45029</stp>
        <stp>fill=true</stp>
        <tr r="M9" s="1"/>
      </tp>
      <tp>
        <v>3.76</v>
        <stp/>
        <stp>P</stp>
        <stp>0</stp>
        <stp>IR</stp>
        <stp>CDYLDAVG1</stp>
        <stp>4월(적용일)</stp>
        <stp>45119</stp>
        <stp>fill=true</stp>
        <tr r="K8" s="2"/>
      </tp>
      <tp>
        <v>0</v>
        <stp/>
        <stp>P</stp>
        <stp>0</stp>
        <stp>IR</stp>
        <stp>CDYLDKBP8</stp>
        <stp>10일(적용일)</stp>
        <stp>45119</stp>
        <stp>fill=true</stp>
        <tr r="F52" s="2"/>
      </tp>
      <tp>
        <v>0</v>
        <stp/>
        <stp>P</stp>
        <stp>0</stp>
        <stp>IR</stp>
        <stp>CDYLDFNP8</stp>
        <stp>10일(적용일)</stp>
        <stp>45119</stp>
        <stp>fill=true</stp>
        <tr r="F55" s="2"/>
      </tp>
      <tp>
        <v>0</v>
        <stp/>
        <stp>P</stp>
        <stp>0</stp>
        <stp>IR</stp>
        <stp>CDYLDKBP5</stp>
        <stp>10일(적용일)</stp>
        <stp>45119</stp>
        <stp>fill=true</stp>
        <tr r="F34" s="2"/>
      </tp>
      <tp>
        <v>0</v>
        <stp/>
        <stp>P</stp>
        <stp>0</stp>
        <stp>IR</stp>
        <stp>CDYLDFNP5</stp>
        <stp>10일(적용일)</stp>
        <stp>45119</stp>
        <stp>fill=true</stp>
        <tr r="F37" s="2"/>
      </tp>
      <tp>
        <v>0</v>
        <stp/>
        <stp>P</stp>
        <stp>0</stp>
        <stp>IR</stp>
        <stp>CDYLDKBP4</stp>
        <stp>10일(적용일)</stp>
        <stp>45119</stp>
        <stp>fill=true</stp>
        <tr r="F28" s="2"/>
      </tp>
      <tp>
        <v>0</v>
        <stp/>
        <stp>P</stp>
        <stp>0</stp>
        <stp>IR</stp>
        <stp>CDYLDFNP4</stp>
        <stp>10일(적용일)</stp>
        <stp>45119</stp>
        <stp>fill=true</stp>
        <tr r="F31" s="2"/>
      </tp>
      <tp>
        <v>0</v>
        <stp/>
        <stp>P</stp>
        <stp>0</stp>
        <stp>IR</stp>
        <stp>CDYLDKBP7</stp>
        <stp>10일(적용일)</stp>
        <stp>45119</stp>
        <stp>fill=true</stp>
        <tr r="F46" s="2"/>
      </tp>
      <tp>
        <v>0</v>
        <stp/>
        <stp>P</stp>
        <stp>0</stp>
        <stp>IR</stp>
        <stp>CDYLDFNP7</stp>
        <stp>10일(적용일)</stp>
        <stp>45119</stp>
        <stp>fill=true</stp>
        <tr r="F49" s="2"/>
      </tp>
      <tp>
        <v>0</v>
        <stp/>
        <stp>P</stp>
        <stp>0</stp>
        <stp>IR</stp>
        <stp>CDYLDKBP6</stp>
        <stp>10일(적용일)</stp>
        <stp>45119</stp>
        <stp>fill=true</stp>
        <tr r="F40" s="2"/>
      </tp>
      <tp>
        <v>0</v>
        <stp/>
        <stp>P</stp>
        <stp>0</stp>
        <stp>IR</stp>
        <stp>CDYLDFNP6</stp>
        <stp>10일(적용일)</stp>
        <stp>45119</stp>
        <stp>fill=true</stp>
        <tr r="F43" s="2"/>
      </tp>
      <tp>
        <v>0</v>
        <stp/>
        <stp>P</stp>
        <stp>0</stp>
        <stp>IR</stp>
        <stp>CDYLDKBP1</stp>
        <stp>10일(적용일)</stp>
        <stp>45119</stp>
        <stp>fill=true</stp>
        <tr r="F10" s="2"/>
      </tp>
      <tp>
        <v>0</v>
        <stp/>
        <stp>P</stp>
        <stp>0</stp>
        <stp>IR</stp>
        <stp>CDYLDFNP1</stp>
        <stp>10일(적용일)</stp>
        <stp>45119</stp>
        <stp>fill=true</stp>
        <tr r="F13" s="2"/>
      </tp>
      <tp>
        <v>0</v>
        <stp/>
        <stp>P</stp>
        <stp>0</stp>
        <stp>IR</stp>
        <stp>CDYLDKBP3</stp>
        <stp>10일(적용일)</stp>
        <stp>45119</stp>
        <stp>fill=true</stp>
        <tr r="F22" s="2"/>
      </tp>
      <tp>
        <v>0</v>
        <stp/>
        <stp>P</stp>
        <stp>0</stp>
        <stp>IR</stp>
        <stp>CDYLDFNP3</stp>
        <stp>10일(적용일)</stp>
        <stp>45119</stp>
        <stp>fill=true</stp>
        <tr r="F25" s="2"/>
      </tp>
      <tp>
        <v>0</v>
        <stp/>
        <stp>P</stp>
        <stp>0</stp>
        <stp>IR</stp>
        <stp>CDYLDKBP2</stp>
        <stp>10일(적용일)</stp>
        <stp>45119</stp>
        <stp>fill=true</stp>
        <tr r="F16" s="2"/>
      </tp>
      <tp>
        <v>0</v>
        <stp/>
        <stp>P</stp>
        <stp>0</stp>
        <stp>IR</stp>
        <stp>CDYLDFNP2</stp>
        <stp>10일(적용일)</stp>
        <stp>45119</stp>
        <stp>fill=true</stp>
        <tr r="F19" s="2"/>
      </tp>
      <tp>
        <v>4.28</v>
        <stp/>
        <stp>P</stp>
        <stp>0</stp>
        <stp>IR</stp>
        <stp>CDYLDAV48</stp>
        <stp>3월(적용일)</stp>
        <stp>45119</stp>
        <stp>fill=true</stp>
        <tr r="J51" s="2"/>
      </tp>
      <tp>
        <v>4.05</v>
        <stp/>
        <stp>P</stp>
        <stp>0</stp>
        <stp>IR</stp>
        <stp>CDYLDAV46</stp>
        <stp>3월(적용일)</stp>
        <stp>45119</stp>
        <stp>fill=true</stp>
        <tr r="J39" s="2"/>
      </tp>
      <tp>
        <v>4.0999999999999996</v>
        <stp/>
        <stp>P</stp>
        <stp>0</stp>
        <stp>IR</stp>
        <stp>CDYLDAV47</stp>
        <stp>3월(적용일)</stp>
        <stp>45119</stp>
        <stp>fill=true</stp>
        <tr r="J45" s="2"/>
      </tp>
      <tp>
        <v>3.92</v>
        <stp/>
        <stp>P</stp>
        <stp>0</stp>
        <stp>IR</stp>
        <stp>CDYLDAV44</stp>
        <stp>3월(적용일)</stp>
        <stp>45119</stp>
        <stp>fill=true</stp>
        <tr r="J27" s="2"/>
      </tp>
      <tp>
        <v>3.98</v>
        <stp/>
        <stp>P</stp>
        <stp>0</stp>
        <stp>IR</stp>
        <stp>CDYLDAV45</stp>
        <stp>3월(적용일)</stp>
        <stp>45119</stp>
        <stp>fill=true</stp>
        <tr r="J33" s="2"/>
      </tp>
      <tp>
        <v>3.77</v>
        <stp/>
        <stp>P</stp>
        <stp>0</stp>
        <stp>IR</stp>
        <stp>CDYLDAV42</stp>
        <stp>3월(적용일)</stp>
        <stp>45119</stp>
        <stp>fill=true</stp>
        <tr r="J15" s="2"/>
      </tp>
      <tp>
        <v>3.86</v>
        <stp/>
        <stp>P</stp>
        <stp>0</stp>
        <stp>IR</stp>
        <stp>CDYLDAV43</stp>
        <stp>3월(적용일)</stp>
        <stp>45119</stp>
        <stp>fill=true</stp>
        <tr r="J21" s="2"/>
      </tp>
      <tp>
        <v>3.75</v>
        <stp/>
        <stp>P</stp>
        <stp>0</stp>
        <stp>IR</stp>
        <stp>CDYLDAV41</stp>
        <stp>3월(적용일)</stp>
        <stp>45119</stp>
        <stp>fill=true</stp>
        <tr r="J9" s="2"/>
      </tp>
      <tp>
        <v>4.29</v>
        <stp/>
        <stp>P</stp>
        <stp>0</stp>
        <stp>IR</stp>
        <stp>CDYLDAVG8</stp>
        <stp>3월(적용일)</stp>
        <stp>45119</stp>
        <stp>fill=true</stp>
        <tr r="J50" s="2"/>
      </tp>
      <tp>
        <v>4.05</v>
        <stp/>
        <stp>P</stp>
        <stp>0</stp>
        <stp>IR</stp>
        <stp>CDYLDAVG6</stp>
        <stp>3월(적용일)</stp>
        <stp>45119</stp>
        <stp>fill=true</stp>
        <tr r="J38" s="2"/>
      </tp>
      <tp>
        <v>4.0999999999999996</v>
        <stp/>
        <stp>P</stp>
        <stp>0</stp>
        <stp>IR</stp>
        <stp>CDYLDAVG7</stp>
        <stp>3월(적용일)</stp>
        <stp>45119</stp>
        <stp>fill=true</stp>
        <tr r="J44" s="2"/>
      </tp>
      <tp>
        <v>3.92</v>
        <stp/>
        <stp>P</stp>
        <stp>0</stp>
        <stp>IR</stp>
        <stp>CDYLDAVG4</stp>
        <stp>3월(적용일)</stp>
        <stp>45119</stp>
        <stp>fill=true</stp>
        <tr r="J26" s="2"/>
      </tp>
      <tp>
        <v>3.98</v>
        <stp/>
        <stp>P</stp>
        <stp>0</stp>
        <stp>IR</stp>
        <stp>CDYLDAVG5</stp>
        <stp>3월(적용일)</stp>
        <stp>45119</stp>
        <stp>fill=true</stp>
        <tr r="J32" s="2"/>
      </tp>
      <tp>
        <v>3.77</v>
        <stp/>
        <stp>P</stp>
        <stp>0</stp>
        <stp>IR</stp>
        <stp>CDYLDAVG2</stp>
        <stp>3월(적용일)</stp>
        <stp>45119</stp>
        <stp>fill=true</stp>
        <tr r="J14" s="2"/>
      </tp>
      <tp>
        <v>3.86</v>
        <stp/>
        <stp>P</stp>
        <stp>0</stp>
        <stp>IR</stp>
        <stp>CDYLDAVG3</stp>
        <stp>3월(적용일)</stp>
        <stp>45119</stp>
        <stp>fill=true</stp>
        <tr r="J20" s="2"/>
      </tp>
      <tp>
        <v>3.43</v>
        <stp/>
        <stp>P</stp>
        <stp>0</stp>
        <stp>IR</stp>
        <stp>CDYLDAVG1</stp>
        <stp>3월(적용일)</stp>
        <stp>45029</stp>
        <stp>fill=true</stp>
        <tr r="M8" s="1"/>
      </tp>
      <tp>
        <v>3.75</v>
        <stp/>
        <stp>P</stp>
        <stp>0</stp>
        <stp>IR</stp>
        <stp>CDYLDAVG1</stp>
        <stp>3월(적용일)</stp>
        <stp>45119</stp>
        <stp>fill=true</stp>
        <tr r="J8" s="2"/>
      </tp>
      <tp>
        <v>4.2300000000000004</v>
        <stp/>
        <stp>P</stp>
        <stp>0</stp>
        <stp>IR</stp>
        <stp>CDYLDAV48</stp>
        <stp>2월(적용일)</stp>
        <stp>45119</stp>
        <stp>fill=true</stp>
        <tr r="I51" s="2"/>
      </tp>
      <tp>
        <v>4</v>
        <stp/>
        <stp>P</stp>
        <stp>0</stp>
        <stp>IR</stp>
        <stp>CDYLDAV46</stp>
        <stp>2월(적용일)</stp>
        <stp>45119</stp>
        <stp>fill=true</stp>
        <tr r="I39" s="2"/>
      </tp>
      <tp>
        <v>4.05</v>
        <stp/>
        <stp>P</stp>
        <stp>0</stp>
        <stp>IR</stp>
        <stp>CDYLDAV47</stp>
        <stp>2월(적용일)</stp>
        <stp>45119</stp>
        <stp>fill=true</stp>
        <tr r="I45" s="2"/>
      </tp>
      <tp>
        <v>3.88</v>
        <stp/>
        <stp>P</stp>
        <stp>0</stp>
        <stp>IR</stp>
        <stp>CDYLDAV44</stp>
        <stp>2월(적용일)</stp>
        <stp>45119</stp>
        <stp>fill=true</stp>
        <tr r="I27" s="2"/>
      </tp>
      <tp>
        <v>3.94</v>
        <stp/>
        <stp>P</stp>
        <stp>0</stp>
        <stp>IR</stp>
        <stp>CDYLDAV45</stp>
        <stp>2월(적용일)</stp>
        <stp>45119</stp>
        <stp>fill=true</stp>
        <tr r="I33" s="2"/>
      </tp>
      <tp>
        <v>3.74</v>
        <stp/>
        <stp>P</stp>
        <stp>0</stp>
        <stp>IR</stp>
        <stp>CDYLDAV42</stp>
        <stp>2월(적용일)</stp>
        <stp>45119</stp>
        <stp>fill=true</stp>
        <tr r="I15" s="2"/>
      </tp>
      <tp>
        <v>3.82</v>
        <stp/>
        <stp>P</stp>
        <stp>0</stp>
        <stp>IR</stp>
        <stp>CDYLDAV43</stp>
        <stp>2월(적용일)</stp>
        <stp>45119</stp>
        <stp>fill=true</stp>
        <tr r="I21" s="2"/>
      </tp>
      <tp>
        <v>3.72</v>
        <stp/>
        <stp>P</stp>
        <stp>0</stp>
        <stp>IR</stp>
        <stp>CDYLDAV41</stp>
        <stp>2월(적용일)</stp>
        <stp>45119</stp>
        <stp>fill=true</stp>
        <tr r="I9" s="2"/>
      </tp>
      <tp>
        <v>4.2300000000000004</v>
        <stp/>
        <stp>P</stp>
        <stp>0</stp>
        <stp>IR</stp>
        <stp>CDYLDAVG8</stp>
        <stp>2월(적용일)</stp>
        <stp>45119</stp>
        <stp>fill=true</stp>
        <tr r="I50" s="2"/>
      </tp>
      <tp>
        <v>4</v>
        <stp/>
        <stp>P</stp>
        <stp>0</stp>
        <stp>IR</stp>
        <stp>CDYLDAVG6</stp>
        <stp>2월(적용일)</stp>
        <stp>45119</stp>
        <stp>fill=true</stp>
        <tr r="I38" s="2"/>
      </tp>
      <tp>
        <v>4.05</v>
        <stp/>
        <stp>P</stp>
        <stp>0</stp>
        <stp>IR</stp>
        <stp>CDYLDAVG7</stp>
        <stp>2월(적용일)</stp>
        <stp>45119</stp>
        <stp>fill=true</stp>
        <tr r="I44" s="2"/>
      </tp>
      <tp>
        <v>3.88</v>
        <stp/>
        <stp>P</stp>
        <stp>0</stp>
        <stp>IR</stp>
        <stp>CDYLDAVG4</stp>
        <stp>2월(적용일)</stp>
        <stp>45119</stp>
        <stp>fill=true</stp>
        <tr r="I26" s="2"/>
      </tp>
      <tp>
        <v>3.94</v>
        <stp/>
        <stp>P</stp>
        <stp>0</stp>
        <stp>IR</stp>
        <stp>CDYLDAVG5</stp>
        <stp>2월(적용일)</stp>
        <stp>45119</stp>
        <stp>fill=true</stp>
        <tr r="I32" s="2"/>
      </tp>
      <tp>
        <v>3.74</v>
        <stp/>
        <stp>P</stp>
        <stp>0</stp>
        <stp>IR</stp>
        <stp>CDYLDAVG2</stp>
        <stp>2월(적용일)</stp>
        <stp>45119</stp>
        <stp>fill=true</stp>
        <tr r="I14" s="2"/>
      </tp>
      <tp>
        <v>3.81</v>
        <stp/>
        <stp>P</stp>
        <stp>0</stp>
        <stp>IR</stp>
        <stp>CDYLDAVG3</stp>
        <stp>2월(적용일)</stp>
        <stp>45119</stp>
        <stp>fill=true</stp>
        <tr r="I20" s="2"/>
      </tp>
      <tp>
        <v>3.41</v>
        <stp/>
        <stp>P</stp>
        <stp>0</stp>
        <stp>IR</stp>
        <stp>CDYLDAVG1</stp>
        <stp>2월(적용일)</stp>
        <stp>45029</stp>
        <stp>fill=true</stp>
        <tr r="M7" s="1"/>
      </tp>
      <tp>
        <v>3.72</v>
        <stp/>
        <stp>P</stp>
        <stp>0</stp>
        <stp>IR</stp>
        <stp>CDYLDAVG1</stp>
        <stp>2월(적용일)</stp>
        <stp>45119</stp>
        <stp>fill=true</stp>
        <tr r="I8" s="2"/>
      </tp>
      <tp>
        <v>4.18</v>
        <stp/>
        <stp>P</stp>
        <stp>0</stp>
        <stp>IR</stp>
        <stp>CDYLDAV48</stp>
        <stp>1월(적용일)</stp>
        <stp>45119</stp>
        <stp>fill=true</stp>
        <tr r="H51" s="2"/>
      </tp>
      <tp>
        <v>3.95</v>
        <stp/>
        <stp>P</stp>
        <stp>0</stp>
        <stp>IR</stp>
        <stp>CDYLDAV46</stp>
        <stp>1월(적용일)</stp>
        <stp>45119</stp>
        <stp>fill=true</stp>
        <tr r="H39" s="2"/>
      </tp>
      <tp>
        <v>4.01</v>
        <stp/>
        <stp>P</stp>
        <stp>0</stp>
        <stp>IR</stp>
        <stp>CDYLDAV47</stp>
        <stp>1월(적용일)</stp>
        <stp>45119</stp>
        <stp>fill=true</stp>
        <tr r="H45" s="2"/>
      </tp>
      <tp>
        <v>3.85</v>
        <stp/>
        <stp>P</stp>
        <stp>0</stp>
        <stp>IR</stp>
        <stp>CDYLDAV44</stp>
        <stp>1월(적용일)</stp>
        <stp>45119</stp>
        <stp>fill=true</stp>
        <tr r="H27" s="2"/>
      </tp>
      <tp>
        <v>3.9</v>
        <stp/>
        <stp>P</stp>
        <stp>0</stp>
        <stp>IR</stp>
        <stp>CDYLDAV45</stp>
        <stp>1월(적용일)</stp>
        <stp>45119</stp>
        <stp>fill=true</stp>
        <tr r="H33" s="2"/>
      </tp>
      <tp>
        <v>3.71</v>
        <stp/>
        <stp>P</stp>
        <stp>0</stp>
        <stp>IR</stp>
        <stp>CDYLDAV42</stp>
        <stp>1월(적용일)</stp>
        <stp>45119</stp>
        <stp>fill=true</stp>
        <tr r="H15" s="2"/>
      </tp>
      <tp>
        <v>3.77</v>
        <stp/>
        <stp>P</stp>
        <stp>0</stp>
        <stp>IR</stp>
        <stp>CDYLDAV43</stp>
        <stp>1월(적용일)</stp>
        <stp>45119</stp>
        <stp>fill=true</stp>
        <tr r="H21" s="2"/>
      </tp>
      <tp>
        <v>3.68</v>
        <stp/>
        <stp>P</stp>
        <stp>0</stp>
        <stp>IR</stp>
        <stp>CDYLDAV41</stp>
        <stp>1월(적용일)</stp>
        <stp>45119</stp>
        <stp>fill=true</stp>
        <tr r="H9" s="2"/>
      </tp>
      <tp>
        <v>4.18</v>
        <stp/>
        <stp>P</stp>
        <stp>0</stp>
        <stp>IR</stp>
        <stp>CDYLDAVG8</stp>
        <stp>1월(적용일)</stp>
        <stp>45119</stp>
        <stp>fill=true</stp>
        <tr r="H50" s="2"/>
      </tp>
      <tp>
        <v>3.94</v>
        <stp/>
        <stp>P</stp>
        <stp>0</stp>
        <stp>IR</stp>
        <stp>CDYLDAVG6</stp>
        <stp>1월(적용일)</stp>
        <stp>45119</stp>
        <stp>fill=true</stp>
        <tr r="H38" s="2"/>
      </tp>
      <tp>
        <v>4</v>
        <stp/>
        <stp>P</stp>
        <stp>0</stp>
        <stp>IR</stp>
        <stp>CDYLDAVG7</stp>
        <stp>1월(적용일)</stp>
        <stp>45119</stp>
        <stp>fill=true</stp>
        <tr r="H44" s="2"/>
      </tp>
      <tp>
        <v>3.85</v>
        <stp/>
        <stp>P</stp>
        <stp>0</stp>
        <stp>IR</stp>
        <stp>CDYLDAVG4</stp>
        <stp>1월(적용일)</stp>
        <stp>45119</stp>
        <stp>fill=true</stp>
        <tr r="H26" s="2"/>
      </tp>
      <tp>
        <v>3.9</v>
        <stp/>
        <stp>P</stp>
        <stp>0</stp>
        <stp>IR</stp>
        <stp>CDYLDAVG5</stp>
        <stp>1월(적용일)</stp>
        <stp>45119</stp>
        <stp>fill=true</stp>
        <tr r="H32" s="2"/>
      </tp>
      <tp>
        <v>3.71</v>
        <stp/>
        <stp>P</stp>
        <stp>0</stp>
        <stp>IR</stp>
        <stp>CDYLDAVG2</stp>
        <stp>1월(적용일)</stp>
        <stp>45119</stp>
        <stp>fill=true</stp>
        <tr r="H14" s="2"/>
      </tp>
      <tp>
        <v>3.77</v>
        <stp/>
        <stp>P</stp>
        <stp>0</stp>
        <stp>IR</stp>
        <stp>CDYLDAVG3</stp>
        <stp>1월(적용일)</stp>
        <stp>45119</stp>
        <stp>fill=true</stp>
        <tr r="H20" s="2"/>
      </tp>
      <tp>
        <v>3.4</v>
        <stp/>
        <stp>P</stp>
        <stp>0</stp>
        <stp>IR</stp>
        <stp>CDYLDAVG1</stp>
        <stp>1월(적용일)</stp>
        <stp>45029</stp>
        <stp>fill=true</stp>
        <tr r="M6" s="1"/>
      </tp>
      <tp>
        <v>3.69</v>
        <stp/>
        <stp>P</stp>
        <stp>0</stp>
        <stp>IR</stp>
        <stp>CDYLDAVG1</stp>
        <stp>1월(적용일)</stp>
        <stp>45119</stp>
        <stp>fill=true</stp>
        <tr r="H8" s="2"/>
      </tp>
      <tp>
        <v>3.92</v>
        <stp/>
        <stp>P</stp>
        <stp>0</stp>
        <stp>IR</stp>
        <stp>CDYLDAV48</stp>
        <stp>1일(적용일)</stp>
        <stp>45119</stp>
        <stp>fill=true</stp>
        <tr r="D51" s="2"/>
      </tp>
      <tp>
        <v>3.75</v>
        <stp/>
        <stp>P</stp>
        <stp>0</stp>
        <stp>IR</stp>
        <stp>CDYLDAV46</stp>
        <stp>1일(적용일)</stp>
        <stp>45119</stp>
        <stp>fill=true</stp>
        <tr r="D39" s="2"/>
      </tp>
      <tp>
        <v>3.79</v>
        <stp/>
        <stp>P</stp>
        <stp>0</stp>
        <stp>IR</stp>
        <stp>CDYLDAV47</stp>
        <stp>1일(적용일)</stp>
        <stp>45119</stp>
        <stp>fill=true</stp>
        <tr r="D45" s="2"/>
      </tp>
      <tp>
        <v>3.65</v>
        <stp/>
        <stp>P</stp>
        <stp>0</stp>
        <stp>IR</stp>
        <stp>CDYLDAV44</stp>
        <stp>1일(적용일)</stp>
        <stp>45119</stp>
        <stp>fill=true</stp>
        <tr r="D27" s="2"/>
      </tp>
      <tp>
        <v>3.7</v>
        <stp/>
        <stp>P</stp>
        <stp>0</stp>
        <stp>IR</stp>
        <stp>CDYLDAV45</stp>
        <stp>1일(적용일)</stp>
        <stp>45119</stp>
        <stp>fill=true</stp>
        <tr r="D33" s="2"/>
      </tp>
      <tp>
        <v>3.54</v>
        <stp/>
        <stp>P</stp>
        <stp>0</stp>
        <stp>IR</stp>
        <stp>CDYLDAV42</stp>
        <stp>1일(적용일)</stp>
        <stp>45119</stp>
        <stp>fill=true</stp>
        <tr r="D15" s="2"/>
      </tp>
      <tp>
        <v>3.59</v>
        <stp/>
        <stp>P</stp>
        <stp>0</stp>
        <stp>IR</stp>
        <stp>CDYLDAV43</stp>
        <stp>1일(적용일)</stp>
        <stp>45119</stp>
        <stp>fill=true</stp>
        <tr r="D21" s="2"/>
      </tp>
      <tp>
        <v>3.51</v>
        <stp/>
        <stp>P</stp>
        <stp>0</stp>
        <stp>IR</stp>
        <stp>CDYLDAV41</stp>
        <stp>1일(적용일)</stp>
        <stp>45119</stp>
        <stp>fill=true</stp>
        <tr r="D9" s="2"/>
      </tp>
      <tp>
        <v>3.9</v>
        <stp/>
        <stp>P</stp>
        <stp>0</stp>
        <stp>IR</stp>
        <stp>CDYLDAVG8</stp>
        <stp>1일(적용일)</stp>
        <stp>45119</stp>
        <stp>fill=true</stp>
        <tr r="D50" s="2"/>
      </tp>
      <tp>
        <v>3.73</v>
        <stp/>
        <stp>P</stp>
        <stp>0</stp>
        <stp>IR</stp>
        <stp>CDYLDAVG6</stp>
        <stp>1일(적용일)</stp>
        <stp>45119</stp>
        <stp>fill=true</stp>
        <tr r="D38" s="2"/>
      </tp>
      <tp>
        <v>3.78</v>
        <stp/>
        <stp>P</stp>
        <stp>0</stp>
        <stp>IR</stp>
        <stp>CDYLDAVG7</stp>
        <stp>1일(적용일)</stp>
        <stp>45119</stp>
        <stp>fill=true</stp>
        <tr r="D44" s="2"/>
      </tp>
      <tp>
        <v>3.63</v>
        <stp/>
        <stp>P</stp>
        <stp>0</stp>
        <stp>IR</stp>
        <stp>CDYLDAVG4</stp>
        <stp>1일(적용일)</stp>
        <stp>45119</stp>
        <stp>fill=true</stp>
        <tr r="D26" s="2"/>
      </tp>
      <tp>
        <v>3.69</v>
        <stp/>
        <stp>P</stp>
        <stp>0</stp>
        <stp>IR</stp>
        <stp>CDYLDAVG5</stp>
        <stp>1일(적용일)</stp>
        <stp>45119</stp>
        <stp>fill=true</stp>
        <tr r="D32" s="2"/>
      </tp>
      <tp>
        <v>3.54</v>
        <stp/>
        <stp>P</stp>
        <stp>0</stp>
        <stp>IR</stp>
        <stp>CDYLDAVG2</stp>
        <stp>1일(적용일)</stp>
        <stp>45119</stp>
        <stp>fill=true</stp>
        <tr r="D14" s="2"/>
      </tp>
      <tp>
        <v>3.57</v>
        <stp/>
        <stp>P</stp>
        <stp>0</stp>
        <stp>IR</stp>
        <stp>CDYLDAVG3</stp>
        <stp>1일(적용일)</stp>
        <stp>45119</stp>
        <stp>fill=true</stp>
        <tr r="D20" s="2"/>
      </tp>
      <tp>
        <v>3.35</v>
        <stp/>
        <stp>P</stp>
        <stp>0</stp>
        <stp>IR</stp>
        <stp>CDYLDAVG1</stp>
        <stp>1일(적용일)</stp>
        <stp>45029</stp>
        <stp>fill=true</stp>
        <tr r="M2" s="1"/>
      </tp>
      <tp>
        <v>3.5</v>
        <stp/>
        <stp>P</stp>
        <stp>0</stp>
        <stp>IR</stp>
        <stp>CDYLDAVG1</stp>
        <stp>1일(적용일)</stp>
        <stp>45119</stp>
        <stp>fill=true</stp>
        <tr r="D8" s="2"/>
      </tp>
      <tp>
        <v>0</v>
        <stp/>
        <stp>P</stp>
        <stp>0</stp>
        <stp>IR</stp>
        <stp>CDYLDKIS8</stp>
        <stp>10일(적용일)</stp>
        <stp>45119</stp>
        <stp>fill=true</stp>
        <tr r="F53" s="2"/>
      </tp>
      <tp>
        <v>0</v>
        <stp/>
        <stp>P</stp>
        <stp>0</stp>
        <stp>IR</stp>
        <stp>CDYLDKIS5</stp>
        <stp>10일(적용일)</stp>
        <stp>45119</stp>
        <stp>fill=true</stp>
        <tr r="F35" s="2"/>
      </tp>
      <tp>
        <v>0</v>
        <stp/>
        <stp>P</stp>
        <stp>0</stp>
        <stp>IR</stp>
        <stp>CDYLDKIS4</stp>
        <stp>10일(적용일)</stp>
        <stp>45119</stp>
        <stp>fill=true</stp>
        <tr r="F29" s="2"/>
      </tp>
      <tp>
        <v>0</v>
        <stp/>
        <stp>P</stp>
        <stp>0</stp>
        <stp>IR</stp>
        <stp>CDYLDKIS7</stp>
        <stp>10일(적용일)</stp>
        <stp>45119</stp>
        <stp>fill=true</stp>
        <tr r="F47" s="2"/>
      </tp>
      <tp>
        <v>0</v>
        <stp/>
        <stp>P</stp>
        <stp>0</stp>
        <stp>IR</stp>
        <stp>CDYLDKIS6</stp>
        <stp>10일(적용일)</stp>
        <stp>45119</stp>
        <stp>fill=true</stp>
        <tr r="F41" s="2"/>
      </tp>
      <tp>
        <v>0</v>
        <stp/>
        <stp>P</stp>
        <stp>0</stp>
        <stp>IR</stp>
        <stp>CDYLDKIS1</stp>
        <stp>10일(적용일)</stp>
        <stp>45119</stp>
        <stp>fill=true</stp>
        <tr r="F11" s="2"/>
      </tp>
      <tp>
        <v>0</v>
        <stp/>
        <stp>P</stp>
        <stp>0</stp>
        <stp>IR</stp>
        <stp>CDYLDKIS3</stp>
        <stp>10일(적용일)</stp>
        <stp>45119</stp>
        <stp>fill=true</stp>
        <tr r="F23" s="2"/>
      </tp>
      <tp>
        <v>0</v>
        <stp/>
        <stp>P</stp>
        <stp>0</stp>
        <stp>IR</stp>
        <stp>CDYLDKIS2</stp>
        <stp>10일(적용일)</stp>
        <stp>45119</stp>
        <stp>fill=true</stp>
        <tr r="F17" s="2"/>
      </tp>
      <tp>
        <v>3.85</v>
        <stp/>
        <stp>P</stp>
        <stp>0</stp>
        <stp>IR</stp>
        <stp>CDYLDKIS8</stp>
        <stp>1일(적용일)</stp>
        <stp>45119</stp>
        <stp>fill=true</stp>
        <tr r="D53" s="2"/>
      </tp>
      <tp>
        <v>3.72</v>
        <stp/>
        <stp>P</stp>
        <stp>0</stp>
        <stp>IR</stp>
        <stp>CDYLDKIS6</stp>
        <stp>1일(적용일)</stp>
        <stp>45119</stp>
        <stp>fill=true</stp>
        <tr r="D41" s="2"/>
      </tp>
      <tp>
        <v>3.77</v>
        <stp/>
        <stp>P</stp>
        <stp>0</stp>
        <stp>IR</stp>
        <stp>CDYLDKIS7</stp>
        <stp>1일(적용일)</stp>
        <stp>45119</stp>
        <stp>fill=true</stp>
        <tr r="D47" s="2"/>
      </tp>
      <tp>
        <v>3.62</v>
        <stp/>
        <stp>P</stp>
        <stp>0</stp>
        <stp>IR</stp>
        <stp>CDYLDKIS4</stp>
        <stp>1일(적용일)</stp>
        <stp>45119</stp>
        <stp>fill=true</stp>
        <tr r="D29" s="2"/>
      </tp>
      <tp>
        <v>3.67</v>
        <stp/>
        <stp>P</stp>
        <stp>0</stp>
        <stp>IR</stp>
        <stp>CDYLDKIS5</stp>
        <stp>1일(적용일)</stp>
        <stp>45119</stp>
        <stp>fill=true</stp>
        <tr r="D35" s="2"/>
      </tp>
      <tp>
        <v>3.54</v>
        <stp/>
        <stp>P</stp>
        <stp>0</stp>
        <stp>IR</stp>
        <stp>CDYLDKIS2</stp>
        <stp>1일(적용일)</stp>
        <stp>45119</stp>
        <stp>fill=true</stp>
        <tr r="D17" s="2"/>
      </tp>
      <tp>
        <v>3.56</v>
        <stp/>
        <stp>P</stp>
        <stp>0</stp>
        <stp>IR</stp>
        <stp>CDYLDKIS3</stp>
        <stp>1일(적용일)</stp>
        <stp>45119</stp>
        <stp>fill=true</stp>
        <tr r="D23" s="2"/>
      </tp>
      <tp>
        <v>3.51</v>
        <stp/>
        <stp>P</stp>
        <stp>0</stp>
        <stp>IR</stp>
        <stp>CDYLDKIS1</stp>
        <stp>1일(적용일)</stp>
        <stp>45119</stp>
        <stp>fill=true</stp>
        <tr r="D11" s="2"/>
      </tp>
      <tp t="s">
        <v/>
        <stp/>
        <stp>P</stp>
        <stp>0</stp>
        <stp>IR</stp>
        <stp>CDYLDNIC8</stp>
        <stp>1일(적용일)</stp>
        <stp>45119</stp>
        <stp>fill=true</stp>
        <tr r="D54" s="2"/>
      </tp>
      <tp>
        <v>3.73</v>
        <stp/>
        <stp>P</stp>
        <stp>0</stp>
        <stp>IR</stp>
        <stp>CDYLDNIC6</stp>
        <stp>1일(적용일)</stp>
        <stp>45119</stp>
        <stp>fill=true</stp>
        <tr r="D42" s="2"/>
      </tp>
      <tp>
        <v>3.77</v>
        <stp/>
        <stp>P</stp>
        <stp>0</stp>
        <stp>IR</stp>
        <stp>CDYLDNIC7</stp>
        <stp>1일(적용일)</stp>
        <stp>45119</stp>
        <stp>fill=true</stp>
        <tr r="D48" s="2"/>
      </tp>
      <tp>
        <v>3.64</v>
        <stp/>
        <stp>P</stp>
        <stp>0</stp>
        <stp>IR</stp>
        <stp>CDYLDNIC4</stp>
        <stp>1일(적용일)</stp>
        <stp>45119</stp>
        <stp>fill=true</stp>
        <tr r="D30" s="2"/>
      </tp>
      <tp>
        <v>3.68</v>
        <stp/>
        <stp>P</stp>
        <stp>0</stp>
        <stp>IR</stp>
        <stp>CDYLDNIC5</stp>
        <stp>1일(적용일)</stp>
        <stp>45119</stp>
        <stp>fill=true</stp>
        <tr r="D36" s="2"/>
      </tp>
      <tp>
        <v>3.53</v>
        <stp/>
        <stp>P</stp>
        <stp>0</stp>
        <stp>IR</stp>
        <stp>CDYLDNIC2</stp>
        <stp>1일(적용일)</stp>
        <stp>45119</stp>
        <stp>fill=true</stp>
        <tr r="D18" s="2"/>
      </tp>
      <tp>
        <v>3.57</v>
        <stp/>
        <stp>P</stp>
        <stp>0</stp>
        <stp>IR</stp>
        <stp>CDYLDNIC3</stp>
        <stp>1일(적용일)</stp>
        <stp>45119</stp>
        <stp>fill=true</stp>
        <tr r="D24" s="2"/>
      </tp>
      <tp>
        <v>3.5</v>
        <stp/>
        <stp>P</stp>
        <stp>0</stp>
        <stp>IR</stp>
        <stp>CDYLDNIC1</stp>
        <stp>1일(적용일)</stp>
        <stp>45119</stp>
        <stp>fill=true</stp>
        <tr r="D12" s="2"/>
      </tp>
      <tp>
        <v>4.18</v>
        <stp/>
        <stp>P</stp>
        <stp>0</stp>
        <stp>IR</stp>
        <stp>CDYLDKIS8</stp>
        <stp>1월(적용일)</stp>
        <stp>45119</stp>
        <stp>fill=true</stp>
        <tr r="H53" s="2"/>
      </tp>
      <tp>
        <v>3.96</v>
        <stp/>
        <stp>P</stp>
        <stp>0</stp>
        <stp>IR</stp>
        <stp>CDYLDKIS6</stp>
        <stp>1월(적용일)</stp>
        <stp>45119</stp>
        <stp>fill=true</stp>
        <tr r="H41" s="2"/>
      </tp>
      <tp>
        <v>4.01</v>
        <stp/>
        <stp>P</stp>
        <stp>0</stp>
        <stp>IR</stp>
        <stp>CDYLDKIS7</stp>
        <stp>1월(적용일)</stp>
        <stp>45119</stp>
        <stp>fill=true</stp>
        <tr r="H47" s="2"/>
      </tp>
      <tp>
        <v>3.85</v>
        <stp/>
        <stp>P</stp>
        <stp>0</stp>
        <stp>IR</stp>
        <stp>CDYLDKIS4</stp>
        <stp>1월(적용일)</stp>
        <stp>45119</stp>
        <stp>fill=true</stp>
        <tr r="H29" s="2"/>
      </tp>
      <tp>
        <v>3.91</v>
        <stp/>
        <stp>P</stp>
        <stp>0</stp>
        <stp>IR</stp>
        <stp>CDYLDKIS5</stp>
        <stp>1월(적용일)</stp>
        <stp>45119</stp>
        <stp>fill=true</stp>
        <tr r="H35" s="2"/>
      </tp>
      <tp>
        <v>3.71</v>
        <stp/>
        <stp>P</stp>
        <stp>0</stp>
        <stp>IR</stp>
        <stp>CDYLDKIS2</stp>
        <stp>1월(적용일)</stp>
        <stp>45119</stp>
        <stp>fill=true</stp>
        <tr r="H17" s="2"/>
      </tp>
      <tp>
        <v>3.78</v>
        <stp/>
        <stp>P</stp>
        <stp>0</stp>
        <stp>IR</stp>
        <stp>CDYLDKIS3</stp>
        <stp>1월(적용일)</stp>
        <stp>45119</stp>
        <stp>fill=true</stp>
        <tr r="H23" s="2"/>
      </tp>
      <tp>
        <v>3.69</v>
        <stp/>
        <stp>P</stp>
        <stp>0</stp>
        <stp>IR</stp>
        <stp>CDYLDKIS1</stp>
        <stp>1월(적용일)</stp>
        <stp>45119</stp>
        <stp>fill=true</stp>
        <tr r="H11" s="2"/>
      </tp>
      <tp>
        <v>4.62</v>
        <stp/>
        <stp>P</stp>
        <stp>0</stp>
        <stp>IR</stp>
        <stp>CDYLDFNP8</stp>
        <stp>6월(적용일)</stp>
        <stp>45119</stp>
        <stp>fill=true</stp>
        <tr r="L55" s="2"/>
      </tp>
      <tp>
        <v>4.37</v>
        <stp/>
        <stp>P</stp>
        <stp>0</stp>
        <stp>IR</stp>
        <stp>CDYLDFNP6</stp>
        <stp>6월(적용일)</stp>
        <stp>45119</stp>
        <stp>fill=true</stp>
        <tr r="L43" s="2"/>
      </tp>
      <tp>
        <v>4.41</v>
        <stp/>
        <stp>P</stp>
        <stp>0</stp>
        <stp>IR</stp>
        <stp>CDYLDFNP7</stp>
        <stp>6월(적용일)</stp>
        <stp>45119</stp>
        <stp>fill=true</stp>
        <tr r="L49" s="2"/>
      </tp>
      <tp>
        <v>4.21</v>
        <stp/>
        <stp>P</stp>
        <stp>0</stp>
        <stp>IR</stp>
        <stp>CDYLDFNP4</stp>
        <stp>6월(적용일)</stp>
        <stp>45119</stp>
        <stp>fill=true</stp>
        <tr r="L31" s="2"/>
      </tp>
      <tp>
        <v>4.29</v>
        <stp/>
        <stp>P</stp>
        <stp>0</stp>
        <stp>IR</stp>
        <stp>CDYLDFNP5</stp>
        <stp>6월(적용일)</stp>
        <stp>45119</stp>
        <stp>fill=true</stp>
        <tr r="L37" s="2"/>
      </tp>
      <tp>
        <v>3.86</v>
        <stp/>
        <stp>P</stp>
        <stp>0</stp>
        <stp>IR</stp>
        <stp>CDYLDFNP2</stp>
        <stp>6월(적용일)</stp>
        <stp>45119</stp>
        <stp>fill=true</stp>
        <tr r="L19" s="2"/>
      </tp>
      <tp>
        <v>4.0999999999999996</v>
        <stp/>
        <stp>P</stp>
        <stp>0</stp>
        <stp>IR</stp>
        <stp>CDYLDFNP3</stp>
        <stp>6월(적용일)</stp>
        <stp>45119</stp>
        <stp>fill=true</stp>
        <tr r="L25" s="2"/>
      </tp>
      <tp>
        <v>3.8</v>
        <stp/>
        <stp>P</stp>
        <stp>0</stp>
        <stp>IR</stp>
        <stp>CDYLDFNP1</stp>
        <stp>6월(적용일)</stp>
        <stp>45119</stp>
        <stp>fill=true</stp>
        <tr r="L13" s="2"/>
      </tp>
      <tp t="s">
        <v/>
        <stp/>
        <stp>P</stp>
        <stp>0</stp>
        <stp>IR</stp>
        <stp>CDYLDNIC8</stp>
        <stp>1월(적용일)</stp>
        <stp>45119</stp>
        <stp>fill=true</stp>
        <tr r="H54" s="2"/>
      </tp>
      <tp>
        <v>3.95</v>
        <stp/>
        <stp>P</stp>
        <stp>0</stp>
        <stp>IR</stp>
        <stp>CDYLDNIC6</stp>
        <stp>1월(적용일)</stp>
        <stp>45119</stp>
        <stp>fill=true</stp>
        <tr r="H42" s="2"/>
      </tp>
      <tp>
        <v>4.01</v>
        <stp/>
        <stp>P</stp>
        <stp>0</stp>
        <stp>IR</stp>
        <stp>CDYLDNIC7</stp>
        <stp>1월(적용일)</stp>
        <stp>45119</stp>
        <stp>fill=true</stp>
        <tr r="H48" s="2"/>
      </tp>
      <tp>
        <v>3.85</v>
        <stp/>
        <stp>P</stp>
        <stp>0</stp>
        <stp>IR</stp>
        <stp>CDYLDNIC4</stp>
        <stp>1월(적용일)</stp>
        <stp>45119</stp>
        <stp>fill=true</stp>
        <tr r="H30" s="2"/>
      </tp>
      <tp>
        <v>3.9</v>
        <stp/>
        <stp>P</stp>
        <stp>0</stp>
        <stp>IR</stp>
        <stp>CDYLDNIC5</stp>
        <stp>1월(적용일)</stp>
        <stp>45119</stp>
        <stp>fill=true</stp>
        <tr r="H36" s="2"/>
      </tp>
      <tp>
        <v>3.71</v>
        <stp/>
        <stp>P</stp>
        <stp>0</stp>
        <stp>IR</stp>
        <stp>CDYLDNIC2</stp>
        <stp>1월(적용일)</stp>
        <stp>45119</stp>
        <stp>fill=true</stp>
        <tr r="H18" s="2"/>
      </tp>
      <tp>
        <v>3.77</v>
        <stp/>
        <stp>P</stp>
        <stp>0</stp>
        <stp>IR</stp>
        <stp>CDYLDNIC3</stp>
        <stp>1월(적용일)</stp>
        <stp>45119</stp>
        <stp>fill=true</stp>
        <tr r="H24" s="2"/>
      </tp>
      <tp>
        <v>3.7</v>
        <stp/>
        <stp>P</stp>
        <stp>0</stp>
        <stp>IR</stp>
        <stp>CDYLDNIC1</stp>
        <stp>1월(적용일)</stp>
        <stp>45119</stp>
        <stp>fill=true</stp>
        <tr r="H12" s="2"/>
      </tp>
      <tp>
        <v>4.22</v>
        <stp/>
        <stp>P</stp>
        <stp>0</stp>
        <stp>IR</stp>
        <stp>CDYLDKIS8</stp>
        <stp>2월(적용일)</stp>
        <stp>45119</stp>
        <stp>fill=true</stp>
        <tr r="I53" s="2"/>
      </tp>
      <tp>
        <v>4</v>
        <stp/>
        <stp>P</stp>
        <stp>0</stp>
        <stp>IR</stp>
        <stp>CDYLDKIS6</stp>
        <stp>2월(적용일)</stp>
        <stp>45119</stp>
        <stp>fill=true</stp>
        <tr r="I41" s="2"/>
      </tp>
      <tp>
        <v>4.05</v>
        <stp/>
        <stp>P</stp>
        <stp>0</stp>
        <stp>IR</stp>
        <stp>CDYLDKIS7</stp>
        <stp>2월(적용일)</stp>
        <stp>45119</stp>
        <stp>fill=true</stp>
        <tr r="I47" s="2"/>
      </tp>
      <tp>
        <v>3.88</v>
        <stp/>
        <stp>P</stp>
        <stp>0</stp>
        <stp>IR</stp>
        <stp>CDYLDKIS4</stp>
        <stp>2월(적용일)</stp>
        <stp>45119</stp>
        <stp>fill=true</stp>
        <tr r="I29" s="2"/>
      </tp>
      <tp>
        <v>3.94</v>
        <stp/>
        <stp>P</stp>
        <stp>0</stp>
        <stp>IR</stp>
        <stp>CDYLDKIS5</stp>
        <stp>2월(적용일)</stp>
        <stp>45119</stp>
        <stp>fill=true</stp>
        <tr r="I35" s="2"/>
      </tp>
      <tp>
        <v>3.73</v>
        <stp/>
        <stp>P</stp>
        <stp>0</stp>
        <stp>IR</stp>
        <stp>CDYLDKIS2</stp>
        <stp>2월(적용일)</stp>
        <stp>45119</stp>
        <stp>fill=true</stp>
        <tr r="I17" s="2"/>
      </tp>
      <tp>
        <v>3.81</v>
        <stp/>
        <stp>P</stp>
        <stp>0</stp>
        <stp>IR</stp>
        <stp>CDYLDKIS3</stp>
        <stp>2월(적용일)</stp>
        <stp>45119</stp>
        <stp>fill=true</stp>
        <tr r="I23" s="2"/>
      </tp>
      <tp>
        <v>3.72</v>
        <stp/>
        <stp>P</stp>
        <stp>0</stp>
        <stp>IR</stp>
        <stp>CDYLDKIS1</stp>
        <stp>2월(적용일)</stp>
        <stp>45119</stp>
        <stp>fill=true</stp>
        <tr r="I11" s="2"/>
      </tp>
      <tp t="s">
        <v/>
        <stp/>
        <stp>P</stp>
        <stp>0</stp>
        <stp>IR</stp>
        <stp>CDYLDNIC8</stp>
        <stp>2월(적용일)</stp>
        <stp>45119</stp>
        <stp>fill=true</stp>
        <tr r="I54" s="2"/>
      </tp>
      <tp>
        <v>4</v>
        <stp/>
        <stp>P</stp>
        <stp>0</stp>
        <stp>IR</stp>
        <stp>CDYLDNIC6</stp>
        <stp>2월(적용일)</stp>
        <stp>45119</stp>
        <stp>fill=true</stp>
        <tr r="I42" s="2"/>
      </tp>
      <tp>
        <v>4.0599999999999996</v>
        <stp/>
        <stp>P</stp>
        <stp>0</stp>
        <stp>IR</stp>
        <stp>CDYLDNIC7</stp>
        <stp>2월(적용일)</stp>
        <stp>45119</stp>
        <stp>fill=true</stp>
        <tr r="I48" s="2"/>
      </tp>
      <tp>
        <v>3.88</v>
        <stp/>
        <stp>P</stp>
        <stp>0</stp>
        <stp>IR</stp>
        <stp>CDYLDNIC4</stp>
        <stp>2월(적용일)</stp>
        <stp>45119</stp>
        <stp>fill=true</stp>
        <tr r="I30" s="2"/>
      </tp>
      <tp>
        <v>3.93</v>
        <stp/>
        <stp>P</stp>
        <stp>0</stp>
        <stp>IR</stp>
        <stp>CDYLDNIC5</stp>
        <stp>2월(적용일)</stp>
        <stp>45119</stp>
        <stp>fill=true</stp>
        <tr r="I36" s="2"/>
      </tp>
      <tp>
        <v>3.74</v>
        <stp/>
        <stp>P</stp>
        <stp>0</stp>
        <stp>IR</stp>
        <stp>CDYLDNIC2</stp>
        <stp>2월(적용일)</stp>
        <stp>45119</stp>
        <stp>fill=true</stp>
        <tr r="I18" s="2"/>
      </tp>
      <tp>
        <v>3.82</v>
        <stp/>
        <stp>P</stp>
        <stp>0</stp>
        <stp>IR</stp>
        <stp>CDYLDNIC3</stp>
        <stp>2월(적용일)</stp>
        <stp>45119</stp>
        <stp>fill=true</stp>
        <tr r="I24" s="2"/>
      </tp>
      <tp>
        <v>3.72</v>
        <stp/>
        <stp>P</stp>
        <stp>0</stp>
        <stp>IR</stp>
        <stp>CDYLDNIC1</stp>
        <stp>2월(적용일)</stp>
        <stp>45119</stp>
        <stp>fill=true</stp>
        <tr r="I12" s="2"/>
      </tp>
      <tp>
        <v>4.29</v>
        <stp/>
        <stp>P</stp>
        <stp>0</stp>
        <stp>IR</stp>
        <stp>CDYLDKIS8</stp>
        <stp>3월(적용일)</stp>
        <stp>45119</stp>
        <stp>fill=true</stp>
        <tr r="J53" s="2"/>
      </tp>
      <tp>
        <v>4.0599999999999996</v>
        <stp/>
        <stp>P</stp>
        <stp>0</stp>
        <stp>IR</stp>
        <stp>CDYLDKIS6</stp>
        <stp>3월(적용일)</stp>
        <stp>45119</stp>
        <stp>fill=true</stp>
        <tr r="J41" s="2"/>
      </tp>
      <tp>
        <v>4.12</v>
        <stp/>
        <stp>P</stp>
        <stp>0</stp>
        <stp>IR</stp>
        <stp>CDYLDKIS7</stp>
        <stp>3월(적용일)</stp>
        <stp>45119</stp>
        <stp>fill=true</stp>
        <tr r="J47" s="2"/>
      </tp>
      <tp>
        <v>3.92</v>
        <stp/>
        <stp>P</stp>
        <stp>0</stp>
        <stp>IR</stp>
        <stp>CDYLDKIS4</stp>
        <stp>3월(적용일)</stp>
        <stp>45119</stp>
        <stp>fill=true</stp>
        <tr r="J29" s="2"/>
      </tp>
      <tp>
        <v>3.99</v>
        <stp/>
        <stp>P</stp>
        <stp>0</stp>
        <stp>IR</stp>
        <stp>CDYLDKIS5</stp>
        <stp>3월(적용일)</stp>
        <stp>45119</stp>
        <stp>fill=true</stp>
        <tr r="J35" s="2"/>
      </tp>
      <tp>
        <v>3.77</v>
        <stp/>
        <stp>P</stp>
        <stp>0</stp>
        <stp>IR</stp>
        <stp>CDYLDKIS2</stp>
        <stp>3월(적용일)</stp>
        <stp>45119</stp>
        <stp>fill=true</stp>
        <tr r="J17" s="2"/>
      </tp>
      <tp>
        <v>3.86</v>
        <stp/>
        <stp>P</stp>
        <stp>0</stp>
        <stp>IR</stp>
        <stp>CDYLDKIS3</stp>
        <stp>3월(적용일)</stp>
        <stp>45119</stp>
        <stp>fill=true</stp>
        <tr r="J23" s="2"/>
      </tp>
      <tp>
        <v>3.75</v>
        <stp/>
        <stp>P</stp>
        <stp>0</stp>
        <stp>IR</stp>
        <stp>CDYLDKIS1</stp>
        <stp>3월(적용일)</stp>
        <stp>45119</stp>
        <stp>fill=true</stp>
        <tr r="J11" s="2"/>
      </tp>
      <tp>
        <v>4.33</v>
        <stp/>
        <stp>P</stp>
        <stp>0</stp>
        <stp>IR</stp>
        <stp>CDYLDFNP8</stp>
        <stp>4월(적용일)</stp>
        <stp>45119</stp>
        <stp>fill=true</stp>
        <tr r="K55" s="2"/>
      </tp>
      <tp>
        <v>4.09</v>
        <stp/>
        <stp>P</stp>
        <stp>0</stp>
        <stp>IR</stp>
        <stp>CDYLDFNP6</stp>
        <stp>4월(적용일)</stp>
        <stp>45119</stp>
        <stp>fill=true</stp>
        <tr r="K43" s="2"/>
      </tp>
      <tp>
        <v>4.13</v>
        <stp/>
        <stp>P</stp>
        <stp>0</stp>
        <stp>IR</stp>
        <stp>CDYLDFNP7</stp>
        <stp>4월(적용일)</stp>
        <stp>45119</stp>
        <stp>fill=true</stp>
        <tr r="K49" s="2"/>
      </tp>
      <tp>
        <v>3.94</v>
        <stp/>
        <stp>P</stp>
        <stp>0</stp>
        <stp>IR</stp>
        <stp>CDYLDFNP4</stp>
        <stp>4월(적용일)</stp>
        <stp>45119</stp>
        <stp>fill=true</stp>
        <tr r="K31" s="2"/>
      </tp>
      <tp>
        <v>4.0199999999999996</v>
        <stp/>
        <stp>P</stp>
        <stp>0</stp>
        <stp>IR</stp>
        <stp>CDYLDFNP5</stp>
        <stp>4월(적용일)</stp>
        <stp>45119</stp>
        <stp>fill=true</stp>
        <tr r="K37" s="2"/>
      </tp>
      <tp>
        <v>3.79</v>
        <stp/>
        <stp>P</stp>
        <stp>0</stp>
        <stp>IR</stp>
        <stp>CDYLDFNP2</stp>
        <stp>4월(적용일)</stp>
        <stp>45119</stp>
        <stp>fill=true</stp>
        <tr r="K19" s="2"/>
      </tp>
      <tp>
        <v>3.87</v>
        <stp/>
        <stp>P</stp>
        <stp>0</stp>
        <stp>IR</stp>
        <stp>CDYLDFNP3</stp>
        <stp>4월(적용일)</stp>
        <stp>45119</stp>
        <stp>fill=true</stp>
        <tr r="K25" s="2"/>
      </tp>
      <tp>
        <v>3.76</v>
        <stp/>
        <stp>P</stp>
        <stp>0</stp>
        <stp>IR</stp>
        <stp>CDYLDFNP1</stp>
        <stp>4월(적용일)</stp>
        <stp>45119</stp>
        <stp>fill=true</stp>
        <tr r="K13" s="2"/>
      </tp>
      <tp t="s">
        <v/>
        <stp/>
        <stp>P</stp>
        <stp>0</stp>
        <stp>IR</stp>
        <stp>CDYLDNIC8</stp>
        <stp>3월(적용일)</stp>
        <stp>45119</stp>
        <stp>fill=true</stp>
        <tr r="J54" s="2"/>
      </tp>
      <tp>
        <v>4.05</v>
        <stp/>
        <stp>P</stp>
        <stp>0</stp>
        <stp>IR</stp>
        <stp>CDYLDNIC6</stp>
        <stp>3월(적용일)</stp>
        <stp>45119</stp>
        <stp>fill=true</stp>
        <tr r="J42" s="2"/>
      </tp>
      <tp>
        <v>4.1100000000000003</v>
        <stp/>
        <stp>P</stp>
        <stp>0</stp>
        <stp>IR</stp>
        <stp>CDYLDNIC7</stp>
        <stp>3월(적용일)</stp>
        <stp>45119</stp>
        <stp>fill=true</stp>
        <tr r="J48" s="2"/>
      </tp>
      <tp>
        <v>3.93</v>
        <stp/>
        <stp>P</stp>
        <stp>0</stp>
        <stp>IR</stp>
        <stp>CDYLDNIC4</stp>
        <stp>3월(적용일)</stp>
        <stp>45119</stp>
        <stp>fill=true</stp>
        <tr r="J30" s="2"/>
      </tp>
      <tp>
        <v>3.98</v>
        <stp/>
        <stp>P</stp>
        <stp>0</stp>
        <stp>IR</stp>
        <stp>CDYLDNIC5</stp>
        <stp>3월(적용일)</stp>
        <stp>45119</stp>
        <stp>fill=true</stp>
        <tr r="J36" s="2"/>
      </tp>
      <tp>
        <v>3.77</v>
        <stp/>
        <stp>P</stp>
        <stp>0</stp>
        <stp>IR</stp>
        <stp>CDYLDNIC2</stp>
        <stp>3월(적용일)</stp>
        <stp>45119</stp>
        <stp>fill=true</stp>
        <tr r="J18" s="2"/>
      </tp>
      <tp>
        <v>3.87</v>
        <stp/>
        <stp>P</stp>
        <stp>0</stp>
        <stp>IR</stp>
        <stp>CDYLDNIC3</stp>
        <stp>3월(적용일)</stp>
        <stp>45119</stp>
        <stp>fill=true</stp>
        <tr r="J24" s="2"/>
      </tp>
      <tp>
        <v>3.75</v>
        <stp/>
        <stp>P</stp>
        <stp>0</stp>
        <stp>IR</stp>
        <stp>CDYLDNIC1</stp>
        <stp>3월(적용일)</stp>
        <stp>45119</stp>
        <stp>fill=true</stp>
        <tr r="J12" s="2"/>
      </tp>
      <tp>
        <v>4.3899999999999997</v>
        <stp/>
        <stp>P</stp>
        <stp>0</stp>
        <stp>IR</stp>
        <stp>CDYLDKIS8</stp>
        <stp>4월(적용일)</stp>
        <stp>45119</stp>
        <stp>fill=true</stp>
        <tr r="K53" s="2"/>
      </tp>
      <tp>
        <v>4.12</v>
        <stp/>
        <stp>P</stp>
        <stp>0</stp>
        <stp>IR</stp>
        <stp>CDYLDKIS6</stp>
        <stp>4월(적용일)</stp>
        <stp>45119</stp>
        <stp>fill=true</stp>
        <tr r="K41" s="2"/>
      </tp>
      <tp>
        <v>4.18</v>
        <stp/>
        <stp>P</stp>
        <stp>0</stp>
        <stp>IR</stp>
        <stp>CDYLDKIS7</stp>
        <stp>4월(적용일)</stp>
        <stp>45119</stp>
        <stp>fill=true</stp>
        <tr r="K47" s="2"/>
      </tp>
      <tp>
        <v>3.98</v>
        <stp/>
        <stp>P</stp>
        <stp>0</stp>
        <stp>IR</stp>
        <stp>CDYLDKIS4</stp>
        <stp>4월(적용일)</stp>
        <stp>45119</stp>
        <stp>fill=true</stp>
        <tr r="K29" s="2"/>
      </tp>
      <tp>
        <v>4.05</v>
        <stp/>
        <stp>P</stp>
        <stp>0</stp>
        <stp>IR</stp>
        <stp>CDYLDKIS5</stp>
        <stp>4월(적용일)</stp>
        <stp>45119</stp>
        <stp>fill=true</stp>
        <tr r="K35" s="2"/>
      </tp>
      <tp>
        <v>3.82</v>
        <stp/>
        <stp>P</stp>
        <stp>0</stp>
        <stp>IR</stp>
        <stp>CDYLDKIS2</stp>
        <stp>4월(적용일)</stp>
        <stp>45119</stp>
        <stp>fill=true</stp>
        <tr r="K17" s="2"/>
      </tp>
      <tp>
        <v>3.91</v>
        <stp/>
        <stp>P</stp>
        <stp>0</stp>
        <stp>IR</stp>
        <stp>CDYLDKIS3</stp>
        <stp>4월(적용일)</stp>
        <stp>45119</stp>
        <stp>fill=true</stp>
        <tr r="K23" s="2"/>
      </tp>
      <tp>
        <v>3.76</v>
        <stp/>
        <stp>P</stp>
        <stp>0</stp>
        <stp>IR</stp>
        <stp>CDYLDKIS1</stp>
        <stp>4월(적용일)</stp>
        <stp>45119</stp>
        <stp>fill=true</stp>
        <tr r="K11" s="2"/>
      </tp>
      <tp>
        <v>4.2699999999999996</v>
        <stp/>
        <stp>P</stp>
        <stp>0</stp>
        <stp>IR</stp>
        <stp>CDYLDFNP8</stp>
        <stp>3월(적용일)</stp>
        <stp>45119</stp>
        <stp>fill=true</stp>
        <tr r="J55" s="2"/>
      </tp>
      <tp>
        <v>4.04</v>
        <stp/>
        <stp>P</stp>
        <stp>0</stp>
        <stp>IR</stp>
        <stp>CDYLDFNP6</stp>
        <stp>3월(적용일)</stp>
        <stp>45119</stp>
        <stp>fill=true</stp>
        <tr r="J43" s="2"/>
      </tp>
      <tp>
        <v>4.09</v>
        <stp/>
        <stp>P</stp>
        <stp>0</stp>
        <stp>IR</stp>
        <stp>CDYLDFNP7</stp>
        <stp>3월(적용일)</stp>
        <stp>45119</stp>
        <stp>fill=true</stp>
        <tr r="J49" s="2"/>
      </tp>
      <tp>
        <v>3.92</v>
        <stp/>
        <stp>P</stp>
        <stp>0</stp>
        <stp>IR</stp>
        <stp>CDYLDFNP4</stp>
        <stp>3월(적용일)</stp>
        <stp>45119</stp>
        <stp>fill=true</stp>
        <tr r="J31" s="2"/>
      </tp>
      <tp>
        <v>3.97</v>
        <stp/>
        <stp>P</stp>
        <stp>0</stp>
        <stp>IR</stp>
        <stp>CDYLDFNP5</stp>
        <stp>3월(적용일)</stp>
        <stp>45119</stp>
        <stp>fill=true</stp>
        <tr r="J37" s="2"/>
      </tp>
      <tp>
        <v>3.77</v>
        <stp/>
        <stp>P</stp>
        <stp>0</stp>
        <stp>IR</stp>
        <stp>CDYLDFNP2</stp>
        <stp>3월(적용일)</stp>
        <stp>45119</stp>
        <stp>fill=true</stp>
        <tr r="J19" s="2"/>
      </tp>
      <tp>
        <v>3.86</v>
        <stp/>
        <stp>P</stp>
        <stp>0</stp>
        <stp>IR</stp>
        <stp>CDYLDFNP3</stp>
        <stp>3월(적용일)</stp>
        <stp>45119</stp>
        <stp>fill=true</stp>
        <tr r="J25" s="2"/>
      </tp>
      <tp>
        <v>3.75</v>
        <stp/>
        <stp>P</stp>
        <stp>0</stp>
        <stp>IR</stp>
        <stp>CDYLDFNP1</stp>
        <stp>3월(적용일)</stp>
        <stp>45119</stp>
        <stp>fill=true</stp>
        <tr r="J13" s="2"/>
      </tp>
      <tp t="s">
        <v/>
        <stp/>
        <stp>P</stp>
        <stp>0</stp>
        <stp>IR</stp>
        <stp>CDYLDNIC8</stp>
        <stp>4월(적용일)</stp>
        <stp>45119</stp>
        <stp>fill=true</stp>
        <tr r="K54" s="2"/>
      </tp>
      <tp>
        <v>4.12</v>
        <stp/>
        <stp>P</stp>
        <stp>0</stp>
        <stp>IR</stp>
        <stp>CDYLDNIC6</stp>
        <stp>4월(적용일)</stp>
        <stp>45119</stp>
        <stp>fill=true</stp>
        <tr r="K42" s="2"/>
      </tp>
      <tp>
        <v>4.18</v>
        <stp/>
        <stp>P</stp>
        <stp>0</stp>
        <stp>IR</stp>
        <stp>CDYLDNIC7</stp>
        <stp>4월(적용일)</stp>
        <stp>45119</stp>
        <stp>fill=true</stp>
        <tr r="K48" s="2"/>
      </tp>
      <tp>
        <v>4</v>
        <stp/>
        <stp>P</stp>
        <stp>0</stp>
        <stp>IR</stp>
        <stp>CDYLDNIC4</stp>
        <stp>4월(적용일)</stp>
        <stp>45119</stp>
        <stp>fill=true</stp>
        <tr r="K30" s="2"/>
      </tp>
      <tp>
        <v>4.05</v>
        <stp/>
        <stp>P</stp>
        <stp>0</stp>
        <stp>IR</stp>
        <stp>CDYLDNIC5</stp>
        <stp>4월(적용일)</stp>
        <stp>45119</stp>
        <stp>fill=true</stp>
        <tr r="K36" s="2"/>
      </tp>
      <tp>
        <v>3.8</v>
        <stp/>
        <stp>P</stp>
        <stp>0</stp>
        <stp>IR</stp>
        <stp>CDYLDNIC2</stp>
        <stp>4월(적용일)</stp>
        <stp>45119</stp>
        <stp>fill=true</stp>
        <tr r="K18" s="2"/>
      </tp>
      <tp>
        <v>3.92</v>
        <stp/>
        <stp>P</stp>
        <stp>0</stp>
        <stp>IR</stp>
        <stp>CDYLDNIC3</stp>
        <stp>4월(적용일)</stp>
        <stp>45119</stp>
        <stp>fill=true</stp>
        <tr r="K24" s="2"/>
      </tp>
      <tp>
        <v>3.77</v>
        <stp/>
        <stp>P</stp>
        <stp>0</stp>
        <stp>IR</stp>
        <stp>CDYLDNIC1</stp>
        <stp>4월(적용일)</stp>
        <stp>45119</stp>
        <stp>fill=true</stp>
        <tr r="K12" s="2"/>
      </tp>
      <tp>
        <v>4.04</v>
        <stp/>
        <stp>P</stp>
        <stp>0</stp>
        <stp>IR</stp>
        <stp>CDYLDKBP8</stp>
        <stp>1주(적용일)</stp>
        <stp>45119</stp>
        <stp>fill=true</stp>
        <tr r="E52" s="2"/>
      </tp>
      <tp>
        <v>3.82</v>
        <stp/>
        <stp>P</stp>
        <stp>0</stp>
        <stp>IR</stp>
        <stp>CDYLDKBP6</stp>
        <stp>1주(적용일)</stp>
        <stp>45119</stp>
        <stp>fill=true</stp>
        <tr r="E40" s="2"/>
      </tp>
      <tp>
        <v>3.87</v>
        <stp/>
        <stp>P</stp>
        <stp>0</stp>
        <stp>IR</stp>
        <stp>CDYLDKBP7</stp>
        <stp>1주(적용일)</stp>
        <stp>45119</stp>
        <stp>fill=true</stp>
        <tr r="E46" s="2"/>
      </tp>
      <tp>
        <v>3.72</v>
        <stp/>
        <stp>P</stp>
        <stp>0</stp>
        <stp>IR</stp>
        <stp>CDYLDKBP4</stp>
        <stp>1주(적용일)</stp>
        <stp>45119</stp>
        <stp>fill=true</stp>
        <tr r="E28" s="2"/>
      </tp>
      <tp>
        <v>3.78</v>
        <stp/>
        <stp>P</stp>
        <stp>0</stp>
        <stp>IR</stp>
        <stp>CDYLDKBP5</stp>
        <stp>1주(적용일)</stp>
        <stp>45119</stp>
        <stp>fill=true</stp>
        <tr r="E34" s="2"/>
      </tp>
      <tp>
        <v>3.61</v>
        <stp/>
        <stp>P</stp>
        <stp>0</stp>
        <stp>IR</stp>
        <stp>CDYLDKBP2</stp>
        <stp>1주(적용일)</stp>
        <stp>45119</stp>
        <stp>fill=true</stp>
        <tr r="E16" s="2"/>
      </tp>
      <tp>
        <v>3.65</v>
        <stp/>
        <stp>P</stp>
        <stp>0</stp>
        <stp>IR</stp>
        <stp>CDYLDKBP3</stp>
        <stp>1주(적용일)</stp>
        <stp>45119</stp>
        <stp>fill=true</stp>
        <tr r="E22" s="2"/>
      </tp>
      <tp>
        <v>3.57</v>
        <stp/>
        <stp>P</stp>
        <stp>0</stp>
        <stp>IR</stp>
        <stp>CDYLDKBP1</stp>
        <stp>1주(적용일)</stp>
        <stp>45119</stp>
        <stp>fill=true</stp>
        <tr r="E10" s="2"/>
      </tp>
      <tp>
        <v>4.2300000000000004</v>
        <stp/>
        <stp>P</stp>
        <stp>0</stp>
        <stp>IR</stp>
        <stp>CDYLDFNP8</stp>
        <stp>2월(적용일)</stp>
        <stp>45119</stp>
        <stp>fill=true</stp>
        <tr r="I55" s="2"/>
      </tp>
      <tp>
        <v>4</v>
        <stp/>
        <stp>P</stp>
        <stp>0</stp>
        <stp>IR</stp>
        <stp>CDYLDFNP6</stp>
        <stp>2월(적용일)</stp>
        <stp>45119</stp>
        <stp>fill=true</stp>
        <tr r="I43" s="2"/>
      </tp>
      <tp>
        <v>4.04</v>
        <stp/>
        <stp>P</stp>
        <stp>0</stp>
        <stp>IR</stp>
        <stp>CDYLDFNP7</stp>
        <stp>2월(적용일)</stp>
        <stp>45119</stp>
        <stp>fill=true</stp>
        <tr r="I49" s="2"/>
      </tp>
      <tp>
        <v>3.89</v>
        <stp/>
        <stp>P</stp>
        <stp>0</stp>
        <stp>IR</stp>
        <stp>CDYLDFNP4</stp>
        <stp>2월(적용일)</stp>
        <stp>45119</stp>
        <stp>fill=true</stp>
        <tr r="I31" s="2"/>
      </tp>
      <tp>
        <v>3.94</v>
        <stp/>
        <stp>P</stp>
        <stp>0</stp>
        <stp>IR</stp>
        <stp>CDYLDFNP5</stp>
        <stp>2월(적용일)</stp>
        <stp>45119</stp>
        <stp>fill=true</stp>
        <tr r="I37" s="2"/>
      </tp>
      <tp>
        <v>3.74</v>
        <stp/>
        <stp>P</stp>
        <stp>0</stp>
        <stp>IR</stp>
        <stp>CDYLDFNP2</stp>
        <stp>2월(적용일)</stp>
        <stp>45119</stp>
        <stp>fill=true</stp>
        <tr r="I19" s="2"/>
      </tp>
      <tp>
        <v>3.83</v>
        <stp/>
        <stp>P</stp>
        <stp>0</stp>
        <stp>IR</stp>
        <stp>CDYLDFNP3</stp>
        <stp>2월(적용일)</stp>
        <stp>45119</stp>
        <stp>fill=true</stp>
        <tr r="I25" s="2"/>
      </tp>
      <tp>
        <v>3.71</v>
        <stp/>
        <stp>P</stp>
        <stp>0</stp>
        <stp>IR</stp>
        <stp>CDYLDFNP1</stp>
        <stp>2월(적용일)</stp>
        <stp>45119</stp>
        <stp>fill=true</stp>
        <tr r="I13" s="2"/>
      </tp>
      <tp>
        <v>4.5</v>
        <stp/>
        <stp>P</stp>
        <stp>0</stp>
        <stp>IR</stp>
        <stp>CDYLDKIS8</stp>
        <stp>6월(적용일)</stp>
        <stp>45119</stp>
        <stp>fill=true</stp>
        <tr r="L53" s="2"/>
      </tp>
      <tp>
        <v>4.2300000000000004</v>
        <stp/>
        <stp>P</stp>
        <stp>0</stp>
        <stp>IR</stp>
        <stp>CDYLDKIS6</stp>
        <stp>6월(적용일)</stp>
        <stp>45119</stp>
        <stp>fill=true</stp>
        <tr r="L41" s="2"/>
      </tp>
      <tp>
        <v>4.29</v>
        <stp/>
        <stp>P</stp>
        <stp>0</stp>
        <stp>IR</stp>
        <stp>CDYLDKIS7</stp>
        <stp>6월(적용일)</stp>
        <stp>45119</stp>
        <stp>fill=true</stp>
        <tr r="L47" s="2"/>
      </tp>
      <tp>
        <v>4.09</v>
        <stp/>
        <stp>P</stp>
        <stp>0</stp>
        <stp>IR</stp>
        <stp>CDYLDKIS4</stp>
        <stp>6월(적용일)</stp>
        <stp>45119</stp>
        <stp>fill=true</stp>
        <tr r="L29" s="2"/>
      </tp>
      <tp>
        <v>4.16</v>
        <stp/>
        <stp>P</stp>
        <stp>0</stp>
        <stp>IR</stp>
        <stp>CDYLDKIS5</stp>
        <stp>6월(적용일)</stp>
        <stp>45119</stp>
        <stp>fill=true</stp>
        <tr r="L35" s="2"/>
      </tp>
      <tp>
        <v>3.88</v>
        <stp/>
        <stp>P</stp>
        <stp>0</stp>
        <stp>IR</stp>
        <stp>CDYLDKIS2</stp>
        <stp>6월(적용일)</stp>
        <stp>45119</stp>
        <stp>fill=true</stp>
        <tr r="L17" s="2"/>
      </tp>
      <tp>
        <v>4.01</v>
        <stp/>
        <stp>P</stp>
        <stp>0</stp>
        <stp>IR</stp>
        <stp>CDYLDKIS3</stp>
        <stp>6월(적용일)</stp>
        <stp>45119</stp>
        <stp>fill=true</stp>
        <tr r="L23" s="2"/>
      </tp>
      <tp>
        <v>3.8</v>
        <stp/>
        <stp>P</stp>
        <stp>0</stp>
        <stp>IR</stp>
        <stp>CDYLDKIS1</stp>
        <stp>6월(적용일)</stp>
        <stp>45119</stp>
        <stp>fill=true</stp>
        <tr r="L11" s="2"/>
      </tp>
      <tp>
        <v>4.1900000000000004</v>
        <stp/>
        <stp>P</stp>
        <stp>0</stp>
        <stp>IR</stp>
        <stp>CDYLDFNP8</stp>
        <stp>1월(적용일)</stp>
        <stp>45119</stp>
        <stp>fill=true</stp>
        <tr r="H55" s="2"/>
      </tp>
      <tp>
        <v>3.96</v>
        <stp/>
        <stp>P</stp>
        <stp>0</stp>
        <stp>IR</stp>
        <stp>CDYLDFNP6</stp>
        <stp>1월(적용일)</stp>
        <stp>45119</stp>
        <stp>fill=true</stp>
        <tr r="H43" s="2"/>
      </tp>
      <tp>
        <v>4.0199999999999996</v>
        <stp/>
        <stp>P</stp>
        <stp>0</stp>
        <stp>IR</stp>
        <stp>CDYLDFNP7</stp>
        <stp>1월(적용일)</stp>
        <stp>45119</stp>
        <stp>fill=true</stp>
        <tr r="H49" s="2"/>
      </tp>
      <tp>
        <v>3.87</v>
        <stp/>
        <stp>P</stp>
        <stp>0</stp>
        <stp>IR</stp>
        <stp>CDYLDFNP4</stp>
        <stp>1월(적용일)</stp>
        <stp>45119</stp>
        <stp>fill=true</stp>
        <tr r="H31" s="2"/>
      </tp>
      <tp>
        <v>3.92</v>
        <stp/>
        <stp>P</stp>
        <stp>0</stp>
        <stp>IR</stp>
        <stp>CDYLDFNP5</stp>
        <stp>1월(적용일)</stp>
        <stp>45119</stp>
        <stp>fill=true</stp>
        <tr r="H37" s="2"/>
      </tp>
      <tp>
        <v>3.7</v>
        <stp/>
        <stp>P</stp>
        <stp>0</stp>
        <stp>IR</stp>
        <stp>CDYLDFNP2</stp>
        <stp>1월(적용일)</stp>
        <stp>45119</stp>
        <stp>fill=true</stp>
        <tr r="H19" s="2"/>
      </tp>
      <tp>
        <v>3.77</v>
        <stp/>
        <stp>P</stp>
        <stp>0</stp>
        <stp>IR</stp>
        <stp>CDYLDFNP3</stp>
        <stp>1월(적용일)</stp>
        <stp>45119</stp>
        <stp>fill=true</stp>
        <tr r="H25" s="2"/>
      </tp>
      <tp>
        <v>3.66</v>
        <stp/>
        <stp>P</stp>
        <stp>0</stp>
        <stp>IR</stp>
        <stp>CDYLDFNP1</stp>
        <stp>1월(적용일)</stp>
        <stp>45119</stp>
        <stp>fill=true</stp>
        <tr r="H13" s="2"/>
      </tp>
      <tp t="s">
        <v/>
        <stp/>
        <stp>P</stp>
        <stp>0</stp>
        <stp>IR</stp>
        <stp>CDYLDNIC8</stp>
        <stp>6월(적용일)</stp>
        <stp>45119</stp>
        <stp>fill=true</stp>
        <tr r="L54" s="2"/>
      </tp>
      <tp>
        <v>4.21</v>
        <stp/>
        <stp>P</stp>
        <stp>0</stp>
        <stp>IR</stp>
        <stp>CDYLDNIC6</stp>
        <stp>6월(적용일)</stp>
        <stp>45119</stp>
        <stp>fill=true</stp>
        <tr r="L42" s="2"/>
      </tp>
      <tp>
        <v>4.26</v>
        <stp/>
        <stp>P</stp>
        <stp>0</stp>
        <stp>IR</stp>
        <stp>CDYLDNIC7</stp>
        <stp>6월(적용일)</stp>
        <stp>45119</stp>
        <stp>fill=true</stp>
        <tr r="L48" s="2"/>
      </tp>
      <tp>
        <v>4.08</v>
        <stp/>
        <stp>P</stp>
        <stp>0</stp>
        <stp>IR</stp>
        <stp>CDYLDNIC4</stp>
        <stp>6월(적용일)</stp>
        <stp>45119</stp>
        <stp>fill=true</stp>
        <tr r="L30" s="2"/>
      </tp>
      <tp>
        <v>4.1399999999999997</v>
        <stp/>
        <stp>P</stp>
        <stp>0</stp>
        <stp>IR</stp>
        <stp>CDYLDNIC5</stp>
        <stp>6월(적용일)</stp>
        <stp>45119</stp>
        <stp>fill=true</stp>
        <tr r="L36" s="2"/>
      </tp>
      <tp>
        <v>3.87</v>
        <stp/>
        <stp>P</stp>
        <stp>0</stp>
        <stp>IR</stp>
        <stp>CDYLDNIC2</stp>
        <stp>6월(적용일)</stp>
        <stp>45119</stp>
        <stp>fill=true</stp>
        <tr r="L18" s="2"/>
      </tp>
      <tp>
        <v>4.01</v>
        <stp/>
        <stp>P</stp>
        <stp>0</stp>
        <stp>IR</stp>
        <stp>CDYLDNIC3</stp>
        <stp>6월(적용일)</stp>
        <stp>45119</stp>
        <stp>fill=true</stp>
        <tr r="L24" s="2"/>
      </tp>
      <tp>
        <v>3.8</v>
        <stp/>
        <stp>P</stp>
        <stp>0</stp>
        <stp>IR</stp>
        <stp>CDYLDNIC1</stp>
        <stp>6월(적용일)</stp>
        <stp>45119</stp>
        <stp>fill=true</stp>
        <tr r="L12" s="2"/>
      </tp>
      <tp>
        <v>3.96</v>
        <stp/>
        <stp>P</stp>
        <stp>0</stp>
        <stp>IR</stp>
        <stp>CDYLDFNP8</stp>
        <stp>1일(적용일)</stp>
        <stp>45119</stp>
        <stp>fill=true</stp>
        <tr r="D55" s="2"/>
      </tp>
      <tp>
        <v>3.79</v>
        <stp/>
        <stp>P</stp>
        <stp>0</stp>
        <stp>IR</stp>
        <stp>CDYLDFNP6</stp>
        <stp>1일(적용일)</stp>
        <stp>45119</stp>
        <stp>fill=true</stp>
        <tr r="D43" s="2"/>
      </tp>
      <tp>
        <v>3.83</v>
        <stp/>
        <stp>P</stp>
        <stp>0</stp>
        <stp>IR</stp>
        <stp>CDYLDFNP7</stp>
        <stp>1일(적용일)</stp>
        <stp>45119</stp>
        <stp>fill=true</stp>
        <tr r="D49" s="2"/>
      </tp>
      <tp>
        <v>3.7</v>
        <stp/>
        <stp>P</stp>
        <stp>0</stp>
        <stp>IR</stp>
        <stp>CDYLDFNP4</stp>
        <stp>1일(적용일)</stp>
        <stp>45119</stp>
        <stp>fill=true</stp>
        <tr r="D31" s="2"/>
      </tp>
      <tp>
        <v>3.75</v>
        <stp/>
        <stp>P</stp>
        <stp>0</stp>
        <stp>IR</stp>
        <stp>CDYLDFNP5</stp>
        <stp>1일(적용일)</stp>
        <stp>45119</stp>
        <stp>fill=true</stp>
        <tr r="D37" s="2"/>
      </tp>
      <tp>
        <v>3.56</v>
        <stp/>
        <stp>P</stp>
        <stp>0</stp>
        <stp>IR</stp>
        <stp>CDYLDFNP2</stp>
        <stp>1일(적용일)</stp>
        <stp>45119</stp>
        <stp>fill=true</stp>
        <tr r="D19" s="2"/>
      </tp>
      <tp>
        <v>3.64</v>
        <stp/>
        <stp>P</stp>
        <stp>0</stp>
        <stp>IR</stp>
        <stp>CDYLDFNP3</stp>
        <stp>1일(적용일)</stp>
        <stp>45119</stp>
        <stp>fill=true</stp>
        <tr r="D25" s="2"/>
      </tp>
      <tp>
        <v>3.53</v>
        <stp/>
        <stp>P</stp>
        <stp>0</stp>
        <stp>IR</stp>
        <stp>CDYLDFNP1</stp>
        <stp>1일(적용일)</stp>
        <stp>45119</stp>
        <stp>fill=true</stp>
        <tr r="D13" s="2"/>
      </tp>
      <tp>
        <v>4.29</v>
        <stp/>
        <stp>P</stp>
        <stp>0</stp>
        <stp>IR</stp>
        <stp>CDYLDKBP8</stp>
        <stp>3월(적용일)</stp>
        <stp>45119</stp>
        <stp>fill=true</stp>
        <tr r="J52" s="2"/>
      </tp>
      <tp>
        <v>4.05</v>
        <stp/>
        <stp>P</stp>
        <stp>0</stp>
        <stp>IR</stp>
        <stp>CDYLDKBP6</stp>
        <stp>3월(적용일)</stp>
        <stp>45119</stp>
        <stp>fill=true</stp>
        <tr r="J40" s="2"/>
      </tp>
      <tp>
        <v>4.09</v>
        <stp/>
        <stp>P</stp>
        <stp>0</stp>
        <stp>IR</stp>
        <stp>CDYLDKBP7</stp>
        <stp>3월(적용일)</stp>
        <stp>45119</stp>
        <stp>fill=true</stp>
        <tr r="J46" s="2"/>
      </tp>
      <tp>
        <v>3.93</v>
        <stp/>
        <stp>P</stp>
        <stp>0</stp>
        <stp>IR</stp>
        <stp>CDYLDKBP4</stp>
        <stp>3월(적용일)</stp>
        <stp>45119</stp>
        <stp>fill=true</stp>
        <tr r="J28" s="2"/>
      </tp>
      <tp>
        <v>3.98</v>
        <stp/>
        <stp>P</stp>
        <stp>0</stp>
        <stp>IR</stp>
        <stp>CDYLDKBP5</stp>
        <stp>3월(적용일)</stp>
        <stp>45119</stp>
        <stp>fill=true</stp>
        <tr r="J34" s="2"/>
      </tp>
      <tp>
        <v>3.77</v>
        <stp/>
        <stp>P</stp>
        <stp>0</stp>
        <stp>IR</stp>
        <stp>CDYLDKBP2</stp>
        <stp>3월(적용일)</stp>
        <stp>45119</stp>
        <stp>fill=true</stp>
        <tr r="J16" s="2"/>
      </tp>
      <tp>
        <v>3.86</v>
        <stp/>
        <stp>P</stp>
        <stp>0</stp>
        <stp>IR</stp>
        <stp>CDYLDKBP3</stp>
        <stp>3월(적용일)</stp>
        <stp>45119</stp>
        <stp>fill=true</stp>
        <tr r="J22" s="2"/>
      </tp>
      <tp>
        <v>3.75</v>
        <stp/>
        <stp>P</stp>
        <stp>0</stp>
        <stp>IR</stp>
        <stp>CDYLDKBP1</stp>
        <stp>3월(적용일)</stp>
        <stp>45119</stp>
        <stp>fill=true</stp>
        <tr r="J10" s="2"/>
      </tp>
      <tp>
        <v>4.0199999999999996</v>
        <stp/>
        <stp>P</stp>
        <stp>0</stp>
        <stp>IR</stp>
        <stp>CDYLDFNP8</stp>
        <stp>1주(적용일)</stp>
        <stp>45119</stp>
        <stp>fill=true</stp>
        <tr r="E55" s="2"/>
      </tp>
      <tp>
        <v>3.85</v>
        <stp/>
        <stp>P</stp>
        <stp>0</stp>
        <stp>IR</stp>
        <stp>CDYLDFNP6</stp>
        <stp>1주(적용일)</stp>
        <stp>45119</stp>
        <stp>fill=true</stp>
        <tr r="E43" s="2"/>
      </tp>
      <tp>
        <v>3.89</v>
        <stp/>
        <stp>P</stp>
        <stp>0</stp>
        <stp>IR</stp>
        <stp>CDYLDFNP7</stp>
        <stp>1주(적용일)</stp>
        <stp>45119</stp>
        <stp>fill=true</stp>
        <tr r="E49" s="2"/>
      </tp>
      <tp>
        <v>3.76</v>
        <stp/>
        <stp>P</stp>
        <stp>0</stp>
        <stp>IR</stp>
        <stp>CDYLDFNP4</stp>
        <stp>1주(적용일)</stp>
        <stp>45119</stp>
        <stp>fill=true</stp>
        <tr r="E31" s="2"/>
      </tp>
      <tp>
        <v>3.82</v>
        <stp/>
        <stp>P</stp>
        <stp>0</stp>
        <stp>IR</stp>
        <stp>CDYLDFNP5</stp>
        <stp>1주(적용일)</stp>
        <stp>45119</stp>
        <stp>fill=true</stp>
        <tr r="E37" s="2"/>
      </tp>
      <tp>
        <v>3.6</v>
        <stp/>
        <stp>P</stp>
        <stp>0</stp>
        <stp>IR</stp>
        <stp>CDYLDFNP2</stp>
        <stp>1주(적용일)</stp>
        <stp>45119</stp>
        <stp>fill=true</stp>
        <tr r="E19" s="2"/>
      </tp>
      <tp>
        <v>3.68</v>
        <stp/>
        <stp>P</stp>
        <stp>0</stp>
        <stp>IR</stp>
        <stp>CDYLDFNP3</stp>
        <stp>1주(적용일)</stp>
        <stp>45119</stp>
        <stp>fill=true</stp>
        <tr r="E25" s="2"/>
      </tp>
      <tp>
        <v>3.57</v>
        <stp/>
        <stp>P</stp>
        <stp>0</stp>
        <stp>IR</stp>
        <stp>CDYLDFNP1</stp>
        <stp>1주(적용일)</stp>
        <stp>45119</stp>
        <stp>fill=true</stp>
        <tr r="E13" s="2"/>
      </tp>
      <tp>
        <v>4.24</v>
        <stp/>
        <stp>P</stp>
        <stp>0</stp>
        <stp>IR</stp>
        <stp>CDYLDKBP8</stp>
        <stp>2월(적용일)</stp>
        <stp>45119</stp>
        <stp>fill=true</stp>
        <tr r="I52" s="2"/>
      </tp>
      <tp>
        <v>4.01</v>
        <stp/>
        <stp>P</stp>
        <stp>0</stp>
        <stp>IR</stp>
        <stp>CDYLDKBP6</stp>
        <stp>2월(적용일)</stp>
        <stp>45119</stp>
        <stp>fill=true</stp>
        <tr r="I40" s="2"/>
      </tp>
      <tp>
        <v>4.05</v>
        <stp/>
        <stp>P</stp>
        <stp>0</stp>
        <stp>IR</stp>
        <stp>CDYLDKBP7</stp>
        <stp>2월(적용일)</stp>
        <stp>45119</stp>
        <stp>fill=true</stp>
        <tr r="I46" s="2"/>
      </tp>
      <tp>
        <v>3.89</v>
        <stp/>
        <stp>P</stp>
        <stp>0</stp>
        <stp>IR</stp>
        <stp>CDYLDKBP4</stp>
        <stp>2월(적용일)</stp>
        <stp>45119</stp>
        <stp>fill=true</stp>
        <tr r="I28" s="2"/>
      </tp>
      <tp>
        <v>3.95</v>
        <stp/>
        <stp>P</stp>
        <stp>0</stp>
        <stp>IR</stp>
        <stp>CDYLDKBP5</stp>
        <stp>2월(적용일)</stp>
        <stp>45119</stp>
        <stp>fill=true</stp>
        <tr r="I34" s="2"/>
      </tp>
      <tp>
        <v>3.75</v>
        <stp/>
        <stp>P</stp>
        <stp>0</stp>
        <stp>IR</stp>
        <stp>CDYLDKBP2</stp>
        <stp>2월(적용일)</stp>
        <stp>45119</stp>
        <stp>fill=true</stp>
        <tr r="I16" s="2"/>
      </tp>
      <tp>
        <v>3.82</v>
        <stp/>
        <stp>P</stp>
        <stp>0</stp>
        <stp>IR</stp>
        <stp>CDYLDKBP3</stp>
        <stp>2월(적용일)</stp>
        <stp>45119</stp>
        <stp>fill=true</stp>
        <tr r="I22" s="2"/>
      </tp>
      <tp>
        <v>3.73</v>
        <stp/>
        <stp>P</stp>
        <stp>0</stp>
        <stp>IR</stp>
        <stp>CDYLDKBP1</stp>
        <stp>2월(적용일)</stp>
        <stp>45119</stp>
        <stp>fill=true</stp>
        <tr r="I10" s="2"/>
      </tp>
      <tp t="s">
        <v/>
        <stp/>
        <stp>P</stp>
        <stp>0</stp>
        <stp>IR</stp>
        <stp>CDYLDNIC8</stp>
        <stp>15일(적용일)</stp>
        <stp>45119</stp>
        <stp>fill=true</stp>
        <tr r="G54" s="2"/>
      </tp>
      <tp>
        <v>3.85</v>
        <stp/>
        <stp>P</stp>
        <stp>0</stp>
        <stp>IR</stp>
        <stp>CDYLDNIC5</stp>
        <stp>15일(적용일)</stp>
        <stp>45119</stp>
        <stp>fill=true</stp>
        <tr r="G36" s="2"/>
      </tp>
      <tp>
        <v>3.8</v>
        <stp/>
        <stp>P</stp>
        <stp>0</stp>
        <stp>IR</stp>
        <stp>CDYLDNIC4</stp>
        <stp>15일(적용일)</stp>
        <stp>45119</stp>
        <stp>fill=true</stp>
        <tr r="G30" s="2"/>
      </tp>
      <tp>
        <v>3.96</v>
        <stp/>
        <stp>P</stp>
        <stp>0</stp>
        <stp>IR</stp>
        <stp>CDYLDNIC7</stp>
        <stp>15일(적용일)</stp>
        <stp>45119</stp>
        <stp>fill=true</stp>
        <tr r="G48" s="2"/>
      </tp>
      <tp>
        <v>3.9</v>
        <stp/>
        <stp>P</stp>
        <stp>0</stp>
        <stp>IR</stp>
        <stp>CDYLDNIC6</stp>
        <stp>15일(적용일)</stp>
        <stp>45119</stp>
        <stp>fill=true</stp>
        <tr r="G42" s="2"/>
      </tp>
      <tp>
        <v>3.63</v>
        <stp/>
        <stp>P</stp>
        <stp>0</stp>
        <stp>IR</stp>
        <stp>CDYLDNIC1</stp>
        <stp>15일(적용일)</stp>
        <stp>45119</stp>
        <stp>fill=true</stp>
        <tr r="G12" s="2"/>
      </tp>
      <tp>
        <v>3.7</v>
        <stp/>
        <stp>P</stp>
        <stp>0</stp>
        <stp>IR</stp>
        <stp>CDYLDNIC3</stp>
        <stp>15일(적용일)</stp>
        <stp>45119</stp>
        <stp>fill=true</stp>
        <tr r="G24" s="2"/>
      </tp>
      <tp>
        <v>3.65</v>
        <stp/>
        <stp>P</stp>
        <stp>0</stp>
        <stp>IR</stp>
        <stp>CDYLDNIC2</stp>
        <stp>15일(적용일)</stp>
        <stp>45119</stp>
        <stp>fill=true</stp>
        <tr r="G18" s="2"/>
      </tp>
      <tp>
        <v>4.18</v>
        <stp/>
        <stp>P</stp>
        <stp>0</stp>
        <stp>IR</stp>
        <stp>CDYLDKBP8</stp>
        <stp>1월(적용일)</stp>
        <stp>45119</stp>
        <stp>fill=true</stp>
        <tr r="H52" s="2"/>
      </tp>
      <tp>
        <v>3.93</v>
        <stp/>
        <stp>P</stp>
        <stp>0</stp>
        <stp>IR</stp>
        <stp>CDYLDKBP6</stp>
        <stp>1월(적용일)</stp>
        <stp>45119</stp>
        <stp>fill=true</stp>
        <tr r="H40" s="2"/>
      </tp>
      <tp>
        <v>4</v>
        <stp/>
        <stp>P</stp>
        <stp>0</stp>
        <stp>IR</stp>
        <stp>CDYLDKBP7</stp>
        <stp>1월(적용일)</stp>
        <stp>45119</stp>
        <stp>fill=true</stp>
        <tr r="H46" s="2"/>
      </tp>
      <tp>
        <v>3.85</v>
        <stp/>
        <stp>P</stp>
        <stp>0</stp>
        <stp>IR</stp>
        <stp>CDYLDKBP4</stp>
        <stp>1월(적용일)</stp>
        <stp>45119</stp>
        <stp>fill=true</stp>
        <tr r="H28" s="2"/>
      </tp>
      <tp>
        <v>3.89</v>
        <stp/>
        <stp>P</stp>
        <stp>0</stp>
        <stp>IR</stp>
        <stp>CDYLDKBP5</stp>
        <stp>1월(적용일)</stp>
        <stp>45119</stp>
        <stp>fill=true</stp>
        <tr r="H34" s="2"/>
      </tp>
      <tp>
        <v>3.72</v>
        <stp/>
        <stp>P</stp>
        <stp>0</stp>
        <stp>IR</stp>
        <stp>CDYLDKBP2</stp>
        <stp>1월(적용일)</stp>
        <stp>45119</stp>
        <stp>fill=true</stp>
        <tr r="H16" s="2"/>
      </tp>
      <tp>
        <v>3.76</v>
        <stp/>
        <stp>P</stp>
        <stp>0</stp>
        <stp>IR</stp>
        <stp>CDYLDKBP3</stp>
        <stp>1월(적용일)</stp>
        <stp>45119</stp>
        <stp>fill=true</stp>
        <tr r="H22" s="2"/>
      </tp>
      <tp>
        <v>3.7</v>
        <stp/>
        <stp>P</stp>
        <stp>0</stp>
        <stp>IR</stp>
        <stp>CDYLDKBP1</stp>
        <stp>1월(적용일)</stp>
        <stp>45119</stp>
        <stp>fill=true</stp>
        <tr r="H10" s="2"/>
      </tp>
      <tp>
        <v>3.96</v>
        <stp/>
        <stp>P</stp>
        <stp>0</stp>
        <stp>IR</stp>
        <stp>CDYLDKBP8</stp>
        <stp>1일(적용일)</stp>
        <stp>45119</stp>
        <stp>fill=true</stp>
        <tr r="D52" s="2"/>
      </tp>
      <tp>
        <v>3.76</v>
        <stp/>
        <stp>P</stp>
        <stp>0</stp>
        <stp>IR</stp>
        <stp>CDYLDKBP6</stp>
        <stp>1일(적용일)</stp>
        <stp>45119</stp>
        <stp>fill=true</stp>
        <tr r="D40" s="2"/>
      </tp>
      <tp>
        <v>3.8</v>
        <stp/>
        <stp>P</stp>
        <stp>0</stp>
        <stp>IR</stp>
        <stp>CDYLDKBP7</stp>
        <stp>1일(적용일)</stp>
        <stp>45119</stp>
        <stp>fill=true</stp>
        <tr r="D46" s="2"/>
      </tp>
      <tp>
        <v>3.65</v>
        <stp/>
        <stp>P</stp>
        <stp>0</stp>
        <stp>IR</stp>
        <stp>CDYLDKBP4</stp>
        <stp>1일(적용일)</stp>
        <stp>45119</stp>
        <stp>fill=true</stp>
        <tr r="D28" s="2"/>
      </tp>
      <tp>
        <v>3.72</v>
        <stp/>
        <stp>P</stp>
        <stp>0</stp>
        <stp>IR</stp>
        <stp>CDYLDKBP5</stp>
        <stp>1일(적용일)</stp>
        <stp>45119</stp>
        <stp>fill=true</stp>
        <tr r="D34" s="2"/>
      </tp>
      <tp>
        <v>3.55</v>
        <stp/>
        <stp>P</stp>
        <stp>0</stp>
        <stp>IR</stp>
        <stp>CDYLDKBP2</stp>
        <stp>1일(적용일)</stp>
        <stp>45119</stp>
        <stp>fill=true</stp>
        <tr r="D16" s="2"/>
      </tp>
      <tp>
        <v>3.59</v>
        <stp/>
        <stp>P</stp>
        <stp>0</stp>
        <stp>IR</stp>
        <stp>CDYLDKBP3</stp>
        <stp>1일(적용일)</stp>
        <stp>45119</stp>
        <stp>fill=true</stp>
        <tr r="D22" s="2"/>
      </tp>
      <tp>
        <v>3.51</v>
        <stp/>
        <stp>P</stp>
        <stp>0</stp>
        <stp>IR</stp>
        <stp>CDYLDKBP1</stp>
        <stp>1일(적용일)</stp>
        <stp>45119</stp>
        <stp>fill=true</stp>
        <tr r="D10" s="2"/>
      </tp>
      <tp t="s">
        <v/>
        <stp/>
        <stp>P</stp>
        <stp>0</stp>
        <stp>IR</stp>
        <stp>CDYLDAVG8</stp>
        <stp>10일(적용일)</stp>
        <stp>45119</stp>
        <stp>fill=true</stp>
        <tr r="F50" s="2"/>
        <tr r="F50" s="2"/>
      </tp>
      <tp t="s">
        <v/>
        <stp/>
        <stp>P</stp>
        <stp>0</stp>
        <stp>IR</stp>
        <stp>CDYLDAVG5</stp>
        <stp>10일(적용일)</stp>
        <stp>45119</stp>
        <stp>fill=true</stp>
        <tr r="F32" s="2"/>
        <tr r="F32" s="2"/>
      </tp>
      <tp t="s">
        <v/>
        <stp/>
        <stp>P</stp>
        <stp>0</stp>
        <stp>IR</stp>
        <stp>CDYLDAVG4</stp>
        <stp>10일(적용일)</stp>
        <stp>45119</stp>
        <stp>fill=true</stp>
        <tr r="F26" s="2"/>
        <tr r="F26" s="2"/>
      </tp>
      <tp t="s">
        <v/>
        <stp/>
        <stp>P</stp>
        <stp>0</stp>
        <stp>IR</stp>
        <stp>CDYLDAVG7</stp>
        <stp>10일(적용일)</stp>
        <stp>45119</stp>
        <stp>fill=true</stp>
        <tr r="F44" s="2"/>
        <tr r="F44" s="2"/>
      </tp>
      <tp t="s">
        <v/>
        <stp/>
        <stp>P</stp>
        <stp>0</stp>
        <stp>IR</stp>
        <stp>CDYLDAVG6</stp>
        <stp>10일(적용일)</stp>
        <stp>45119</stp>
        <stp>fill=true</stp>
        <tr r="F38" s="2"/>
        <tr r="F38" s="2"/>
      </tp>
      <tp t="s">
        <v/>
        <stp/>
        <stp>P</stp>
        <stp>0</stp>
        <stp>IR</stp>
        <stp>CDYLDAVG1</stp>
        <stp>10일(적용일)</stp>
        <stp>45119</stp>
        <stp>fill=true</stp>
        <tr r="F8" s="2"/>
        <tr r="F8" s="2"/>
      </tp>
      <tp>
        <v>0</v>
        <stp/>
        <stp>P</stp>
        <stp>0</stp>
        <stp>IR</stp>
        <stp>CDYLDAVG1</stp>
        <stp>10일(적용일)</stp>
        <stp>45029</stp>
        <stp>fill=true</stp>
        <tr r="M4" s="1"/>
      </tp>
      <tp t="s">
        <v/>
        <stp/>
        <stp>P</stp>
        <stp>0</stp>
        <stp>IR</stp>
        <stp>CDYLDAVG3</stp>
        <stp>10일(적용일)</stp>
        <stp>45119</stp>
        <stp>fill=true</stp>
        <tr r="F20" s="2"/>
        <tr r="F20" s="2"/>
      </tp>
      <tp t="s">
        <v/>
        <stp/>
        <stp>P</stp>
        <stp>0</stp>
        <stp>IR</stp>
        <stp>CDYLDAVG2</stp>
        <stp>10일(적용일)</stp>
        <stp>45119</stp>
        <stp>fill=true</stp>
        <tr r="F14" s="2"/>
        <tr r="F14" s="2"/>
      </tp>
      <tp>
        <v>4.47</v>
        <stp/>
        <stp>P</stp>
        <stp>0</stp>
        <stp>IR</stp>
        <stp>CDYLDKBP8</stp>
        <stp>6월(적용일)</stp>
        <stp>45119</stp>
        <stp>fill=true</stp>
        <tr r="L52" s="2"/>
      </tp>
      <tp>
        <v>4.1900000000000004</v>
        <stp/>
        <stp>P</stp>
        <stp>0</stp>
        <stp>IR</stp>
        <stp>CDYLDKBP6</stp>
        <stp>6월(적용일)</stp>
        <stp>45119</stp>
        <stp>fill=true</stp>
        <tr r="L40" s="2"/>
      </tp>
      <tp>
        <v>4.25</v>
        <stp/>
        <stp>P</stp>
        <stp>0</stp>
        <stp>IR</stp>
        <stp>CDYLDKBP7</stp>
        <stp>6월(적용일)</stp>
        <stp>45119</stp>
        <stp>fill=true</stp>
        <tr r="L46" s="2"/>
      </tp>
      <tp>
        <v>4.07</v>
        <stp/>
        <stp>P</stp>
        <stp>0</stp>
        <stp>IR</stp>
        <stp>CDYLDKBP4</stp>
        <stp>6월(적용일)</stp>
        <stp>45119</stp>
        <stp>fill=true</stp>
        <tr r="L28" s="2"/>
      </tp>
      <tp>
        <v>4.13</v>
        <stp/>
        <stp>P</stp>
        <stp>0</stp>
        <stp>IR</stp>
        <stp>CDYLDKBP5</stp>
        <stp>6월(적용일)</stp>
        <stp>45119</stp>
        <stp>fill=true</stp>
        <tr r="L34" s="2"/>
      </tp>
      <tp>
        <v>3.86</v>
        <stp/>
        <stp>P</stp>
        <stp>0</stp>
        <stp>IR</stp>
        <stp>CDYLDKBP2</stp>
        <stp>6월(적용일)</stp>
        <stp>45119</stp>
        <stp>fill=true</stp>
        <tr r="L16" s="2"/>
      </tp>
      <tp>
        <v>3.98</v>
        <stp/>
        <stp>P</stp>
        <stp>0</stp>
        <stp>IR</stp>
        <stp>CDYLDKBP3</stp>
        <stp>6월(적용일)</stp>
        <stp>45119</stp>
        <stp>fill=true</stp>
        <tr r="L22" s="2"/>
      </tp>
      <tp>
        <v>3.8</v>
        <stp/>
        <stp>P</stp>
        <stp>0</stp>
        <stp>IR</stp>
        <stp>CDYLDKBP1</stp>
        <stp>6월(적용일)</stp>
        <stp>45119</stp>
        <stp>fill=true</stp>
        <tr r="L10" s="2"/>
      </tp>
      <tp>
        <v>4.1100000000000003</v>
        <stp/>
        <stp>P</stp>
        <stp>0</stp>
        <stp>IR</stp>
        <stp>CDYLDAVG8</stp>
        <stp>15일(적용일)</stp>
        <stp>45119</stp>
        <stp>fill=true</stp>
        <tr r="G50" s="2"/>
      </tp>
      <tp>
        <v>3.85</v>
        <stp/>
        <stp>P</stp>
        <stp>0</stp>
        <stp>IR</stp>
        <stp>CDYLDAVG5</stp>
        <stp>15일(적용일)</stp>
        <stp>45119</stp>
        <stp>fill=true</stp>
        <tr r="G32" s="2"/>
      </tp>
      <tp>
        <v>3.8</v>
        <stp/>
        <stp>P</stp>
        <stp>0</stp>
        <stp>IR</stp>
        <stp>CDYLDAVG4</stp>
        <stp>15일(적용일)</stp>
        <stp>45119</stp>
        <stp>fill=true</stp>
        <tr r="G26" s="2"/>
      </tp>
      <tp>
        <v>3.95</v>
        <stp/>
        <stp>P</stp>
        <stp>0</stp>
        <stp>IR</stp>
        <stp>CDYLDAVG7</stp>
        <stp>15일(적용일)</stp>
        <stp>45119</stp>
        <stp>fill=true</stp>
        <tr r="G44" s="2"/>
      </tp>
      <tp>
        <v>3.9</v>
        <stp/>
        <stp>P</stp>
        <stp>0</stp>
        <stp>IR</stp>
        <stp>CDYLDAVG6</stp>
        <stp>15일(적용일)</stp>
        <stp>45119</stp>
        <stp>fill=true</stp>
        <tr r="G38" s="2"/>
      </tp>
      <tp>
        <v>3.63</v>
        <stp/>
        <stp>P</stp>
        <stp>0</stp>
        <stp>IR</stp>
        <stp>CDYLDAVG1</stp>
        <stp>15일(적용일)</stp>
        <stp>45119</stp>
        <stp>fill=true</stp>
        <tr r="G8" s="2"/>
      </tp>
      <tp>
        <v>3.38</v>
        <stp/>
        <stp>P</stp>
        <stp>0</stp>
        <stp>IR</stp>
        <stp>CDYLDAVG1</stp>
        <stp>15일(적용일)</stp>
        <stp>45029</stp>
        <stp>fill=true</stp>
        <tr r="M5" s="1"/>
      </tp>
      <tp>
        <v>3.71</v>
        <stp/>
        <stp>P</stp>
        <stp>0</stp>
        <stp>IR</stp>
        <stp>CDYLDAVG3</stp>
        <stp>15일(적용일)</stp>
        <stp>45119</stp>
        <stp>fill=true</stp>
        <tr r="G20" s="2"/>
      </tp>
      <tp>
        <v>3.66</v>
        <stp/>
        <stp>P</stp>
        <stp>0</stp>
        <stp>IR</stp>
        <stp>CDYLDAVG2</stp>
        <stp>15일(적용일)</stp>
        <stp>45119</stp>
        <stp>fill=true</stp>
        <tr r="G14" s="2"/>
      </tp>
      <tp t="s">
        <v/>
        <stp/>
        <stp>P</stp>
        <stp>0</stp>
        <stp>IR</stp>
        <stp>CDYLDNIC8</stp>
        <stp>10일(적용일)</stp>
        <stp>45119</stp>
        <stp>fill=true</stp>
        <tr r="F54" s="2"/>
        <tr r="F54" s="2"/>
      </tp>
      <tp>
        <v>0</v>
        <stp/>
        <stp>P</stp>
        <stp>0</stp>
        <stp>IR</stp>
        <stp>CDYLDNIC5</stp>
        <stp>10일(적용일)</stp>
        <stp>45119</stp>
        <stp>fill=true</stp>
        <tr r="F36" s="2"/>
      </tp>
      <tp>
        <v>0</v>
        <stp/>
        <stp>P</stp>
        <stp>0</stp>
        <stp>IR</stp>
        <stp>CDYLDNIC4</stp>
        <stp>10일(적용일)</stp>
        <stp>45119</stp>
        <stp>fill=true</stp>
        <tr r="F30" s="2"/>
      </tp>
      <tp>
        <v>0</v>
        <stp/>
        <stp>P</stp>
        <stp>0</stp>
        <stp>IR</stp>
        <stp>CDYLDNIC7</stp>
        <stp>10일(적용일)</stp>
        <stp>45119</stp>
        <stp>fill=true</stp>
        <tr r="F48" s="2"/>
      </tp>
      <tp>
        <v>0</v>
        <stp/>
        <stp>P</stp>
        <stp>0</stp>
        <stp>IR</stp>
        <stp>CDYLDNIC6</stp>
        <stp>10일(적용일)</stp>
        <stp>45119</stp>
        <stp>fill=true</stp>
        <tr r="F42" s="2"/>
      </tp>
      <tp>
        <v>0</v>
        <stp/>
        <stp>P</stp>
        <stp>0</stp>
        <stp>IR</stp>
        <stp>CDYLDNIC1</stp>
        <stp>10일(적용일)</stp>
        <stp>45119</stp>
        <stp>fill=true</stp>
        <tr r="F12" s="2"/>
      </tp>
      <tp>
        <v>0</v>
        <stp/>
        <stp>P</stp>
        <stp>0</stp>
        <stp>IR</stp>
        <stp>CDYLDNIC3</stp>
        <stp>10일(적용일)</stp>
        <stp>45119</stp>
        <stp>fill=true</stp>
        <tr r="F24" s="2"/>
      </tp>
      <tp>
        <v>0</v>
        <stp/>
        <stp>P</stp>
        <stp>0</stp>
        <stp>IR</stp>
        <stp>CDYLDNIC2</stp>
        <stp>10일(적용일)</stp>
        <stp>45119</stp>
        <stp>fill=true</stp>
        <tr r="F18" s="2"/>
      </tp>
      <tp>
        <v>4.3099999999999996</v>
        <stp/>
        <stp>P</stp>
        <stp>0</stp>
        <stp>IR</stp>
        <stp>CDYLDKBP8</stp>
        <stp>4월(적용일)</stp>
        <stp>45119</stp>
        <stp>fill=true</stp>
        <tr r="K52" s="2"/>
      </tp>
      <tp>
        <v>4.0599999999999996</v>
        <stp/>
        <stp>P</stp>
        <stp>0</stp>
        <stp>IR</stp>
        <stp>CDYLDKBP6</stp>
        <stp>4월(적용일)</stp>
        <stp>45119</stp>
        <stp>fill=true</stp>
        <tr r="K40" s="2"/>
      </tp>
      <tp>
        <v>4.0999999999999996</v>
        <stp/>
        <stp>P</stp>
        <stp>0</stp>
        <stp>IR</stp>
        <stp>CDYLDKBP7</stp>
        <stp>4월(적용일)</stp>
        <stp>45119</stp>
        <stp>fill=true</stp>
        <tr r="K46" s="2"/>
      </tp>
      <tp>
        <v>3.94</v>
        <stp/>
        <stp>P</stp>
        <stp>0</stp>
        <stp>IR</stp>
        <stp>CDYLDKBP4</stp>
        <stp>4월(적용일)</stp>
        <stp>45119</stp>
        <stp>fill=true</stp>
        <tr r="K28" s="2"/>
      </tp>
      <tp>
        <v>3.99</v>
        <stp/>
        <stp>P</stp>
        <stp>0</stp>
        <stp>IR</stp>
        <stp>CDYLDKBP5</stp>
        <stp>4월(적용일)</stp>
        <stp>45119</stp>
        <stp>fill=true</stp>
        <tr r="K34" s="2"/>
      </tp>
      <tp>
        <v>3.79</v>
        <stp/>
        <stp>P</stp>
        <stp>0</stp>
        <stp>IR</stp>
        <stp>CDYLDKBP2</stp>
        <stp>4월(적용일)</stp>
        <stp>45119</stp>
        <stp>fill=true</stp>
        <tr r="K16" s="2"/>
      </tp>
      <tp>
        <v>3.87</v>
        <stp/>
        <stp>P</stp>
        <stp>0</stp>
        <stp>IR</stp>
        <stp>CDYLDKBP3</stp>
        <stp>4월(적용일)</stp>
        <stp>45119</stp>
        <stp>fill=true</stp>
        <tr r="K22" s="2"/>
      </tp>
      <tp>
        <v>3.76</v>
        <stp/>
        <stp>P</stp>
        <stp>0</stp>
        <stp>IR</stp>
        <stp>CDYLDKBP1</stp>
        <stp>4월(적용일)</stp>
        <stp>45119</stp>
        <stp>fill=true</stp>
        <tr r="K10" s="2"/>
      </tp>
      <tp>
        <v>4.01</v>
        <stp/>
        <stp>P</stp>
        <stp>0</stp>
        <stp>IR</stp>
        <stp>CDYLDKIS8</stp>
        <stp>1주(적용일)</stp>
        <stp>45119</stp>
        <stp>fill=true</stp>
        <tr r="E53" s="2"/>
      </tp>
      <tp>
        <v>3.84</v>
        <stp/>
        <stp>P</stp>
        <stp>0</stp>
        <stp>IR</stp>
        <stp>CDYLDKIS6</stp>
        <stp>1주(적용일)</stp>
        <stp>45119</stp>
        <stp>fill=true</stp>
        <tr r="E41" s="2"/>
      </tp>
      <tp>
        <v>3.89</v>
        <stp/>
        <stp>P</stp>
        <stp>0</stp>
        <stp>IR</stp>
        <stp>CDYLDKIS7</stp>
        <stp>1주(적용일)</stp>
        <stp>45119</stp>
        <stp>fill=true</stp>
        <tr r="E47" s="2"/>
      </tp>
      <tp>
        <v>3.73</v>
        <stp/>
        <stp>P</stp>
        <stp>0</stp>
        <stp>IR</stp>
        <stp>CDYLDKIS4</stp>
        <stp>1주(적용일)</stp>
        <stp>45119</stp>
        <stp>fill=true</stp>
        <tr r="E29" s="2"/>
      </tp>
      <tp>
        <v>3.78</v>
        <stp/>
        <stp>P</stp>
        <stp>0</stp>
        <stp>IR</stp>
        <stp>CDYLDKIS5</stp>
        <stp>1주(적용일)</stp>
        <stp>45119</stp>
        <stp>fill=true</stp>
        <tr r="E35" s="2"/>
      </tp>
      <tp>
        <v>3.59</v>
        <stp/>
        <stp>P</stp>
        <stp>0</stp>
        <stp>IR</stp>
        <stp>CDYLDKIS2</stp>
        <stp>1주(적용일)</stp>
        <stp>45119</stp>
        <stp>fill=true</stp>
        <tr r="E17" s="2"/>
      </tp>
      <tp>
        <v>3.65</v>
        <stp/>
        <stp>P</stp>
        <stp>0</stp>
        <stp>IR</stp>
        <stp>CDYLDKIS3</stp>
        <stp>1주(적용일)</stp>
        <stp>45119</stp>
        <stp>fill=true</stp>
        <tr r="E23" s="2"/>
      </tp>
      <tp>
        <v>3.56</v>
        <stp/>
        <stp>P</stp>
        <stp>0</stp>
        <stp>IR</stp>
        <stp>CDYLDKIS1</stp>
        <stp>1주(적용일)</stp>
        <stp>45119</stp>
        <stp>fill=true</stp>
        <tr r="E11" s="2"/>
      </tp>
      <tp t="s">
        <v/>
        <stp/>
        <stp>P</stp>
        <stp>0</stp>
        <stp>IR</stp>
        <stp>CDYLDNIC8</stp>
        <stp>1주(적용일)</stp>
        <stp>45119</stp>
        <stp>fill=true</stp>
        <tr r="E54" s="2"/>
      </tp>
      <tp>
        <v>3.83</v>
        <stp/>
        <stp>P</stp>
        <stp>0</stp>
        <stp>IR</stp>
        <stp>CDYLDNIC6</stp>
        <stp>1주(적용일)</stp>
        <stp>45119</stp>
        <stp>fill=true</stp>
        <tr r="E42" s="2"/>
      </tp>
      <tp>
        <v>3.88</v>
        <stp/>
        <stp>P</stp>
        <stp>0</stp>
        <stp>IR</stp>
        <stp>CDYLDNIC7</stp>
        <stp>1주(적용일)</stp>
        <stp>45119</stp>
        <stp>fill=true</stp>
        <tr r="E48" s="2"/>
      </tp>
      <tp>
        <v>3.73</v>
        <stp/>
        <stp>P</stp>
        <stp>0</stp>
        <stp>IR</stp>
        <stp>CDYLDNIC4</stp>
        <stp>1주(적용일)</stp>
        <stp>45119</stp>
        <stp>fill=true</stp>
        <tr r="E30" s="2"/>
      </tp>
      <tp>
        <v>3.78</v>
        <stp/>
        <stp>P</stp>
        <stp>0</stp>
        <stp>IR</stp>
        <stp>CDYLDNIC5</stp>
        <stp>1주(적용일)</stp>
        <stp>45119</stp>
        <stp>fill=true</stp>
        <tr r="E36" s="2"/>
      </tp>
      <tp>
        <v>3.59</v>
        <stp/>
        <stp>P</stp>
        <stp>0</stp>
        <stp>IR</stp>
        <stp>CDYLDNIC2</stp>
        <stp>1주(적용일)</stp>
        <stp>45119</stp>
        <stp>fill=true</stp>
        <tr r="E18" s="2"/>
      </tp>
      <tp>
        <v>3.64</v>
        <stp/>
        <stp>P</stp>
        <stp>0</stp>
        <stp>IR</stp>
        <stp>CDYLDNIC3</stp>
        <stp>1주(적용일)</stp>
        <stp>45119</stp>
        <stp>fill=true</stp>
        <tr r="E24" s="2"/>
      </tp>
      <tp>
        <v>3.56</v>
        <stp/>
        <stp>P</stp>
        <stp>0</stp>
        <stp>IR</stp>
        <stp>CDYLDNIC1</stp>
        <stp>1주(적용일)</stp>
        <stp>45119</stp>
        <stp>fill=true</stp>
        <tr r="E1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2"/>
          <c:tx>
            <c:strRef>
              <c:f>code!$N$1</c:f>
              <c:strCache>
                <c:ptCount val="1"/>
                <c:pt idx="0">
                  <c:v>spread</c:v>
                </c:pt>
              </c:strCache>
            </c:strRef>
          </c:tx>
          <c:spPr>
            <a:solidFill>
              <a:srgbClr val="FF0000">
                <a:alpha val="25000"/>
              </a:srgbClr>
            </a:solidFill>
            <a:ln>
              <a:noFill/>
            </a:ln>
            <a:effectLst/>
          </c:spPr>
          <c:cat>
            <c:strRef>
              <c:f>code!$K$2:$K$12</c:f>
              <c:strCache>
                <c:ptCount val="11"/>
                <c:pt idx="0">
                  <c:v>1일</c:v>
                </c:pt>
                <c:pt idx="1">
                  <c:v>1주</c:v>
                </c:pt>
                <c:pt idx="2">
                  <c:v>10일</c:v>
                </c:pt>
                <c:pt idx="3">
                  <c:v>15일</c:v>
                </c:pt>
                <c:pt idx="4">
                  <c:v>1월</c:v>
                </c:pt>
                <c:pt idx="5">
                  <c:v>2월</c:v>
                </c:pt>
                <c:pt idx="6">
                  <c:v>3월</c:v>
                </c:pt>
                <c:pt idx="7">
                  <c:v>4월</c:v>
                </c:pt>
                <c:pt idx="8">
                  <c:v>6월</c:v>
                </c:pt>
                <c:pt idx="9">
                  <c:v>1년</c:v>
                </c:pt>
                <c:pt idx="10">
                  <c:v>2년</c:v>
                </c:pt>
              </c:strCache>
            </c:strRef>
          </c:cat>
          <c:val>
            <c:numRef>
              <c:f>code!$N$2:$N$12</c:f>
              <c:numCache>
                <c:formatCode>#,##0_ </c:formatCode>
                <c:ptCount val="11"/>
                <c:pt idx="0">
                  <c:v>14.999999999999991</c:v>
                </c:pt>
                <c:pt idx="1">
                  <c:v>18.999999999999993</c:v>
                </c:pt>
                <c:pt idx="2">
                  <c:v>#N/A</c:v>
                </c:pt>
                <c:pt idx="3">
                  <c:v>25</c:v>
                </c:pt>
                <c:pt idx="4">
                  <c:v>29.000000000000004</c:v>
                </c:pt>
                <c:pt idx="5">
                  <c:v>31.000000000000007</c:v>
                </c:pt>
                <c:pt idx="6">
                  <c:v>31.999999999999986</c:v>
                </c:pt>
                <c:pt idx="7">
                  <c:v>30.999999999999961</c:v>
                </c:pt>
                <c:pt idx="8">
                  <c:v>29.999999999999982</c:v>
                </c:pt>
                <c:pt idx="9">
                  <c:v>16.999999999999993</c:v>
                </c:pt>
                <c:pt idx="10">
                  <c:v>20.999999999999996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927-47CE-8283-C69BFDB5D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65536"/>
        <c:axId val="201263744"/>
      </c:areaChart>
      <c:lineChart>
        <c:grouping val="standard"/>
        <c:varyColors val="0"/>
        <c:ser>
          <c:idx val="0"/>
          <c:order val="0"/>
          <c:tx>
            <c:strRef>
              <c:f>code!$L$1</c:f>
              <c:strCache>
                <c:ptCount val="1"/>
                <c:pt idx="0">
                  <c:v>기준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cat>
            <c:strRef>
              <c:f>code!$K$2:$K$12</c:f>
              <c:strCache>
                <c:ptCount val="11"/>
                <c:pt idx="0">
                  <c:v>1일</c:v>
                </c:pt>
                <c:pt idx="1">
                  <c:v>1주</c:v>
                </c:pt>
                <c:pt idx="2">
                  <c:v>10일</c:v>
                </c:pt>
                <c:pt idx="3">
                  <c:v>15일</c:v>
                </c:pt>
                <c:pt idx="4">
                  <c:v>1월</c:v>
                </c:pt>
                <c:pt idx="5">
                  <c:v>2월</c:v>
                </c:pt>
                <c:pt idx="6">
                  <c:v>3월</c:v>
                </c:pt>
                <c:pt idx="7">
                  <c:v>4월</c:v>
                </c:pt>
                <c:pt idx="8">
                  <c:v>6월</c:v>
                </c:pt>
                <c:pt idx="9">
                  <c:v>1년</c:v>
                </c:pt>
                <c:pt idx="10">
                  <c:v>2년</c:v>
                </c:pt>
              </c:strCache>
            </c:strRef>
          </c:cat>
          <c:val>
            <c:numRef>
              <c:f>code!$L$2:$L$12</c:f>
              <c:numCache>
                <c:formatCode>#,##0.00_ </c:formatCode>
                <c:ptCount val="11"/>
                <c:pt idx="0">
                  <c:v>3.5</c:v>
                </c:pt>
                <c:pt idx="1">
                  <c:v>3.56</c:v>
                </c:pt>
                <c:pt idx="2">
                  <c:v>#N/A</c:v>
                </c:pt>
                <c:pt idx="3">
                  <c:v>3.63</c:v>
                </c:pt>
                <c:pt idx="4">
                  <c:v>3.69</c:v>
                </c:pt>
                <c:pt idx="5">
                  <c:v>3.72</c:v>
                </c:pt>
                <c:pt idx="6">
                  <c:v>3.75</c:v>
                </c:pt>
                <c:pt idx="7">
                  <c:v>3.76</c:v>
                </c:pt>
                <c:pt idx="8">
                  <c:v>3.8</c:v>
                </c:pt>
                <c:pt idx="9">
                  <c:v>3.89</c:v>
                </c:pt>
                <c:pt idx="10">
                  <c:v>4.34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927-47CE-8283-C69BFDB5D4FF}"/>
            </c:ext>
          </c:extLst>
        </c:ser>
        <c:ser>
          <c:idx val="1"/>
          <c:order val="1"/>
          <c:tx>
            <c:strRef>
              <c:f>code!$M$1</c:f>
              <c:strCache>
                <c:ptCount val="1"/>
                <c:pt idx="0">
                  <c:v>비교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cat>
            <c:strRef>
              <c:f>code!$K$2:$K$12</c:f>
              <c:strCache>
                <c:ptCount val="11"/>
                <c:pt idx="0">
                  <c:v>1일</c:v>
                </c:pt>
                <c:pt idx="1">
                  <c:v>1주</c:v>
                </c:pt>
                <c:pt idx="2">
                  <c:v>10일</c:v>
                </c:pt>
                <c:pt idx="3">
                  <c:v>15일</c:v>
                </c:pt>
                <c:pt idx="4">
                  <c:v>1월</c:v>
                </c:pt>
                <c:pt idx="5">
                  <c:v>2월</c:v>
                </c:pt>
                <c:pt idx="6">
                  <c:v>3월</c:v>
                </c:pt>
                <c:pt idx="7">
                  <c:v>4월</c:v>
                </c:pt>
                <c:pt idx="8">
                  <c:v>6월</c:v>
                </c:pt>
                <c:pt idx="9">
                  <c:v>1년</c:v>
                </c:pt>
                <c:pt idx="10">
                  <c:v>2년</c:v>
                </c:pt>
              </c:strCache>
            </c:strRef>
          </c:cat>
          <c:val>
            <c:numRef>
              <c:f>code!$M$2:$M$12</c:f>
              <c:numCache>
                <c:formatCode>General</c:formatCode>
                <c:ptCount val="11"/>
                <c:pt idx="0">
                  <c:v>3.35</c:v>
                </c:pt>
                <c:pt idx="1">
                  <c:v>3.37</c:v>
                </c:pt>
                <c:pt idx="2">
                  <c:v>#N/A</c:v>
                </c:pt>
                <c:pt idx="3">
                  <c:v>3.38</c:v>
                </c:pt>
                <c:pt idx="4">
                  <c:v>3.4</c:v>
                </c:pt>
                <c:pt idx="5">
                  <c:v>3.41</c:v>
                </c:pt>
                <c:pt idx="6">
                  <c:v>3.43</c:v>
                </c:pt>
                <c:pt idx="7">
                  <c:v>3.45</c:v>
                </c:pt>
                <c:pt idx="8">
                  <c:v>3.5</c:v>
                </c:pt>
                <c:pt idx="9">
                  <c:v>3.72</c:v>
                </c:pt>
                <c:pt idx="10">
                  <c:v>4.13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927-47CE-8283-C69BFDB5D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261440"/>
        <c:axId val="201262208"/>
      </c:lineChart>
      <c:catAx>
        <c:axId val="20126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262208"/>
        <c:crosses val="autoZero"/>
        <c:auto val="1"/>
        <c:lblAlgn val="ctr"/>
        <c:lblOffset val="100"/>
        <c:noMultiLvlLbl val="0"/>
      </c:catAx>
      <c:valAx>
        <c:axId val="20126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261440"/>
        <c:crosses val="autoZero"/>
        <c:crossBetween val="between"/>
      </c:valAx>
      <c:valAx>
        <c:axId val="201263744"/>
        <c:scaling>
          <c:orientation val="minMax"/>
        </c:scaling>
        <c:delete val="0"/>
        <c:axPos val="r"/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1265536"/>
        <c:crosses val="max"/>
        <c:crossBetween val="between"/>
      </c:valAx>
      <c:catAx>
        <c:axId val="201265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126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span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checked="Checked" firstButton="1" fmlaLink="code!$A$1" lockText="1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Drop" dropStyle="combo" dx="22" fmlaLink="code!$I$1" fmlaRange="code!$I$2:$I$9" noThreeD="1" val="0"/>
</file>

<file path=xl/ctrlProps/ctrlProp5.xml><?xml version="1.0" encoding="utf-8"?>
<formControlPr xmlns="http://schemas.microsoft.com/office/spreadsheetml/2009/9/main" objectType="Drop" dropStyle="combo" dx="22" fmlaLink="code!$H$1" fmlaRange="code!$H$2:$H$7" noThreeD="1" val="0"/>
</file>

<file path=xl/ctrlProps/ctrlProp6.xml><?xml version="1.0" encoding="utf-8"?>
<formControlPr xmlns="http://schemas.microsoft.com/office/spreadsheetml/2009/9/main" objectType="Drop" dropStyle="combo" dx="22" fmlaLink="code!$K$1" fmlaRange="code!$I$2:$I$9" noThreeD="1" val="0"/>
</file>

<file path=xl/ctrlProps/ctrlProp7.xml><?xml version="1.0" encoding="utf-8"?>
<formControlPr xmlns="http://schemas.microsoft.com/office/spreadsheetml/2009/9/main" objectType="Drop" dropStyle="combo" dx="22" fmlaLink="code!$J$1" fmlaRange="code!$H$2:$H$7" noThreeD="1" val="0"/>
</file>

<file path=xl/ctrlProps/ctrlProp8.xml><?xml version="1.0" encoding="utf-8"?>
<formControlPr xmlns="http://schemas.microsoft.com/office/spreadsheetml/2009/9/main" objectType="Radio" checked="Checked" firstButton="1" fmlaLink="code!$E$11" lockText="1" noThreeD="1"/>
</file>

<file path=xl/ctrlProps/ctrlProp9.xml><?xml version="1.0" encoding="utf-8"?>
<formControlPr xmlns="http://schemas.microsoft.com/office/spreadsheetml/2009/9/main" objectType="GBox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Drop" dropStyle="combo" dx="22" fmlaLink="code!$F$12" fmlaRange="code!$F$13:$F$20" noThreeD="1" val="0"/>
</file>

<file path=xl/ctrlProps/ctrlProp12.xml><?xml version="1.0" encoding="utf-8"?>
<formControlPr xmlns="http://schemas.microsoft.com/office/spreadsheetml/2009/9/main" objectType="Drop" dropStyle="combo" dx="22" fmlaLink="code!$F$11" fmlaRange="code!$H$2:$H$7" noThreeD="1" val="0"/>
</file>

<file path=xl/ctrlProps/ctrlProp13.xml><?xml version="1.0" encoding="utf-8"?>
<formControlPr xmlns="http://schemas.microsoft.com/office/spreadsheetml/2009/9/main" objectType="Radio" checked="Checked" firstButton="1" fmlaLink="code!$A$51" lockText="1" noThreeD="1"/>
</file>

<file path=xl/ctrlProps/ctrlProp14.xml><?xml version="1.0" encoding="utf-8"?>
<formControlPr xmlns="http://schemas.microsoft.com/office/spreadsheetml/2009/9/main" objectType="GBox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Drop" dropStyle="combo" dx="22" fmlaLink="code!$D$51" fmlaRange="code!$D$52:$D$62" noThreeD="1" val="0"/>
</file>

<file path=xl/ctrlProps/ctrlProp17.xml><?xml version="1.0" encoding="utf-8"?>
<formControlPr xmlns="http://schemas.microsoft.com/office/spreadsheetml/2009/9/main" objectType="Drop" dropStyle="combo" dx="22" fmlaLink="code!$K$50" fmlaRange="code!$H$2:$H$7" noThreeD="1" val="0"/>
</file>

<file path=xl/ctrlProps/ctrlProp18.xml><?xml version="1.0" encoding="utf-8"?>
<formControlPr xmlns="http://schemas.microsoft.com/office/spreadsheetml/2009/9/main" objectType="Drop" dropStyle="combo" dx="22" fmlaLink="code!$E$51" fmlaRange="code!$E$52:$E$57" noThreeD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2</xdr:row>
          <xdr:rowOff>47624</xdr:rowOff>
        </xdr:from>
        <xdr:to>
          <xdr:col>4</xdr:col>
          <xdr:colOff>216300</xdr:colOff>
          <xdr:row>4</xdr:row>
          <xdr:rowOff>6449</xdr:rowOff>
        </xdr:to>
        <xdr:grpSp>
          <xdr:nvGrpSpPr>
            <xdr:cNvPr id="4" name="그룹 3">
              <a:extLst>
                <a:ext uri="{FF2B5EF4-FFF2-40B4-BE49-F238E27FC236}">
                  <a16:creationId xmlns="" xmlns:a16="http://schemas.microsoft.com/office/drawing/2014/main" id="{00000000-0008-0000-0100-000004000000}"/>
                </a:ext>
              </a:extLst>
            </xdr:cNvPr>
            <xdr:cNvGrpSpPr/>
          </xdr:nvGrpSpPr>
          <xdr:grpSpPr>
            <a:xfrm>
              <a:off x="1428750" y="428624"/>
              <a:ext cx="864000" cy="216000"/>
              <a:chOff x="1428750" y="428624"/>
              <a:chExt cx="864000" cy="216000"/>
            </a:xfrm>
          </xdr:grpSpPr>
          <xdr:sp macro="" textlink="">
            <xdr:nvSpPr>
              <xdr:cNvPr id="2052" name="Option Button 4" hidden="1">
                <a:extLst>
                  <a:ext uri="{63B3BB69-23CF-44E3-9099-C40C66FF867C}">
                    <a14:compatExt spid="_x0000_s2052"/>
                  </a:ext>
                </a:extLst>
              </xdr:cNvPr>
              <xdr:cNvSpPr/>
            </xdr:nvSpPr>
            <xdr:spPr>
              <a:xfrm>
                <a:off x="1447800" y="447675"/>
                <a:ext cx="396000" cy="180000"/>
              </a:xfrm>
              <a:prstGeom prst="rect">
                <a:avLst/>
              </a:prstGeom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CD</a:t>
                </a:r>
              </a:p>
            </xdr:txBody>
          </xdr:sp>
          <xdr:sp macro="" textlink="">
            <xdr:nvSpPr>
              <xdr:cNvPr id="2053" name="Group Box 5" hidden="1">
                <a:extLst>
                  <a:ext uri="{63B3BB69-23CF-44E3-9099-C40C66FF867C}">
                    <a14:compatExt spid="_x0000_s2053"/>
                  </a:ext>
                </a:extLst>
              </xdr:cNvPr>
              <xdr:cNvSpPr/>
            </xdr:nvSpPr>
            <xdr:spPr>
              <a:xfrm>
                <a:off x="1428750" y="428624"/>
                <a:ext cx="864000" cy="216000"/>
              </a:xfrm>
              <a:prstGeom prst="rect">
                <a:avLst/>
              </a:prstGeom>
            </xdr:spPr>
          </xdr:sp>
          <xdr:sp macro="" textlink="">
            <xdr:nvSpPr>
              <xdr:cNvPr id="2054" name="Option Button 6" hidden="1">
                <a:extLst>
                  <a:ext uri="{63B3BB69-23CF-44E3-9099-C40C66FF867C}">
                    <a14:compatExt spid="_x0000_s2054"/>
                  </a:ext>
                </a:extLst>
              </xdr:cNvPr>
              <xdr:cNvSpPr/>
            </xdr:nvSpPr>
            <xdr:spPr>
              <a:xfrm>
                <a:off x="1866900" y="447675"/>
                <a:ext cx="396000" cy="180000"/>
              </a:xfrm>
              <a:prstGeom prst="rect">
                <a:avLst/>
              </a:prstGeom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CP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104775</xdr:colOff>
          <xdr:row>6</xdr:row>
          <xdr:rowOff>57150</xdr:rowOff>
        </xdr:from>
        <xdr:to>
          <xdr:col>17</xdr:col>
          <xdr:colOff>142875</xdr:colOff>
          <xdr:row>6</xdr:row>
          <xdr:rowOff>228600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absolute">
    <xdr:from>
      <xdr:col>15</xdr:col>
      <xdr:colOff>0</xdr:colOff>
      <xdr:row>7</xdr:row>
      <xdr:rowOff>0</xdr:rowOff>
    </xdr:from>
    <xdr:to>
      <xdr:col>25</xdr:col>
      <xdr:colOff>371475</xdr:colOff>
      <xdr:row>27</xdr:row>
      <xdr:rowOff>138113</xdr:rowOff>
    </xdr:to>
    <xdr:graphicFrame macro="">
      <xdr:nvGraphicFramePr>
        <xdr:cNvPr id="2" name="차트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9525</xdr:colOff>
          <xdr:row>6</xdr:row>
          <xdr:rowOff>57150</xdr:rowOff>
        </xdr:from>
        <xdr:to>
          <xdr:col>16</xdr:col>
          <xdr:colOff>47625</xdr:colOff>
          <xdr:row>6</xdr:row>
          <xdr:rowOff>228600</xdr:rowOff>
        </xdr:to>
        <xdr:sp macro="" textlink="">
          <xdr:nvSpPr>
            <xdr:cNvPr id="2057" name="Drop Down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142875</xdr:colOff>
          <xdr:row>6</xdr:row>
          <xdr:rowOff>57150</xdr:rowOff>
        </xdr:from>
        <xdr:to>
          <xdr:col>19</xdr:col>
          <xdr:colOff>866775</xdr:colOff>
          <xdr:row>6</xdr:row>
          <xdr:rowOff>228600</xdr:rowOff>
        </xdr:to>
        <xdr:sp macro="" textlink="">
          <xdr:nvSpPr>
            <xdr:cNvPr id="2059" name="Drop Down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</xdr:row>
          <xdr:rowOff>57150</xdr:rowOff>
        </xdr:from>
        <xdr:to>
          <xdr:col>19</xdr:col>
          <xdr:colOff>85725</xdr:colOff>
          <xdr:row>6</xdr:row>
          <xdr:rowOff>228600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28579</xdr:colOff>
          <xdr:row>3</xdr:row>
          <xdr:rowOff>0</xdr:rowOff>
        </xdr:from>
        <xdr:to>
          <xdr:col>1</xdr:col>
          <xdr:colOff>823804</xdr:colOff>
          <xdr:row>4</xdr:row>
          <xdr:rowOff>0</xdr:rowOff>
        </xdr:to>
        <xdr:grpSp>
          <xdr:nvGrpSpPr>
            <xdr:cNvPr id="2" name="그룹 1">
              <a:extLst>
                <a:ext uri="{FF2B5EF4-FFF2-40B4-BE49-F238E27FC236}">
                  <a16:creationId xmlns="" xmlns:a16="http://schemas.microsoft.com/office/drawing/2014/main" id="{5B46C629-9E42-4F7D-8A6C-9780737AA460}"/>
                </a:ext>
              </a:extLst>
            </xdr:cNvPr>
            <xdr:cNvGrpSpPr/>
          </xdr:nvGrpSpPr>
          <xdr:grpSpPr>
            <a:xfrm>
              <a:off x="28579" y="466725"/>
              <a:ext cx="900000" cy="219075"/>
              <a:chOff x="1428750" y="428625"/>
              <a:chExt cx="1439600" cy="215999"/>
            </a:xfrm>
          </xdr:grpSpPr>
          <xdr:sp macro="" textlink="">
            <xdr:nvSpPr>
              <xdr:cNvPr id="3073" name="Option Button 1" hidden="1">
                <a:extLst>
                  <a:ext uri="{63B3BB69-23CF-44E3-9099-C40C66FF867C}">
                    <a14:compatExt spid="_x0000_s3073"/>
                  </a:ext>
                </a:extLst>
              </xdr:cNvPr>
              <xdr:cNvSpPr/>
            </xdr:nvSpPr>
            <xdr:spPr>
              <a:xfrm>
                <a:off x="1447799" y="447675"/>
                <a:ext cx="633424" cy="180000"/>
              </a:xfrm>
              <a:prstGeom prst="rect">
                <a:avLst/>
              </a:prstGeom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CD</a:t>
                </a:r>
              </a:p>
            </xdr:txBody>
          </xdr:sp>
          <xdr:sp macro="" textlink="">
            <xdr:nvSpPr>
              <xdr:cNvPr id="3074" name="Group Box 2" hidden="1">
                <a:extLst>
                  <a:ext uri="{63B3BB69-23CF-44E3-9099-C40C66FF867C}">
                    <a14:compatExt spid="_x0000_s3074"/>
                  </a:ext>
                </a:extLst>
              </xdr:cNvPr>
              <xdr:cNvSpPr/>
            </xdr:nvSpPr>
            <xdr:spPr>
              <a:xfrm>
                <a:off x="1428750" y="428625"/>
                <a:ext cx="1439600" cy="215999"/>
              </a:xfrm>
              <a:prstGeom prst="rect">
                <a:avLst/>
              </a:prstGeom>
            </xdr:spPr>
          </xdr:sp>
          <xdr:sp macro="" textlink="">
            <xdr:nvSpPr>
              <xdr:cNvPr id="3075" name="Option Button 3" hidden="1">
                <a:extLst>
                  <a:ext uri="{63B3BB69-23CF-44E3-9099-C40C66FF867C}">
                    <a14:compatExt spid="_x0000_s3075"/>
                  </a:ext>
                </a:extLst>
              </xdr:cNvPr>
              <xdr:cNvSpPr/>
            </xdr:nvSpPr>
            <xdr:spPr>
              <a:xfrm>
                <a:off x="2141142" y="447675"/>
                <a:ext cx="633424" cy="180000"/>
              </a:xfrm>
              <a:prstGeom prst="rect">
                <a:avLst/>
              </a:prstGeom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CP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6</xdr:row>
          <xdr:rowOff>19050</xdr:rowOff>
        </xdr:from>
        <xdr:to>
          <xdr:col>1</xdr:col>
          <xdr:colOff>781050</xdr:colOff>
          <xdr:row>6</xdr:row>
          <xdr:rowOff>190500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85725</xdr:colOff>
          <xdr:row>3</xdr:row>
          <xdr:rowOff>9525</xdr:rowOff>
        </xdr:from>
        <xdr:to>
          <xdr:col>6</xdr:col>
          <xdr:colOff>447675</xdr:colOff>
          <xdr:row>3</xdr:row>
          <xdr:rowOff>180975</xdr:rowOff>
        </xdr:to>
        <xdr:sp macro="" textlink="">
          <xdr:nvSpPr>
            <xdr:cNvPr id="3077" name="Drop Down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57150</xdr:colOff>
          <xdr:row>2</xdr:row>
          <xdr:rowOff>85725</xdr:rowOff>
        </xdr:from>
        <xdr:to>
          <xdr:col>4</xdr:col>
          <xdr:colOff>957150</xdr:colOff>
          <xdr:row>4</xdr:row>
          <xdr:rowOff>0</xdr:rowOff>
        </xdr:to>
        <xdr:grpSp>
          <xdr:nvGrpSpPr>
            <xdr:cNvPr id="2" name="그룹 1">
              <a:extLst>
                <a:ext uri="{FF2B5EF4-FFF2-40B4-BE49-F238E27FC236}">
                  <a16:creationId xmlns="" xmlns:a16="http://schemas.microsoft.com/office/drawing/2014/main" id="{5B46C629-9E42-4F7D-8A6C-9780737AA460}"/>
                </a:ext>
              </a:extLst>
            </xdr:cNvPr>
            <xdr:cNvGrpSpPr/>
          </xdr:nvGrpSpPr>
          <xdr:grpSpPr>
            <a:xfrm>
              <a:off x="1485900" y="514350"/>
              <a:ext cx="900000" cy="219075"/>
              <a:chOff x="1428750" y="428625"/>
              <a:chExt cx="1439600" cy="215999"/>
            </a:xfrm>
          </xdr:grpSpPr>
          <xdr:sp macro="" textlink="">
            <xdr:nvSpPr>
              <xdr:cNvPr id="5121" name="Option Button 1" hidden="1">
                <a:extLst>
                  <a:ext uri="{63B3BB69-23CF-44E3-9099-C40C66FF867C}">
                    <a14:compatExt spid="_x0000_s5121"/>
                  </a:ext>
                </a:extLst>
              </xdr:cNvPr>
              <xdr:cNvSpPr/>
            </xdr:nvSpPr>
            <xdr:spPr>
              <a:xfrm>
                <a:off x="1447799" y="447675"/>
                <a:ext cx="633424" cy="180000"/>
              </a:xfrm>
              <a:prstGeom prst="rect">
                <a:avLst/>
              </a:prstGeom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CD</a:t>
                </a:r>
              </a:p>
            </xdr:txBody>
          </xdr:sp>
          <xdr:sp macro="" textlink="">
            <xdr:nvSpPr>
              <xdr:cNvPr id="5122" name="Group Box 2" hidden="1">
                <a:extLst>
                  <a:ext uri="{63B3BB69-23CF-44E3-9099-C40C66FF867C}">
                    <a14:compatExt spid="_x0000_s5122"/>
                  </a:ext>
                </a:extLst>
              </xdr:cNvPr>
              <xdr:cNvSpPr/>
            </xdr:nvSpPr>
            <xdr:spPr>
              <a:xfrm>
                <a:off x="1428750" y="428625"/>
                <a:ext cx="1439600" cy="215999"/>
              </a:xfrm>
              <a:prstGeom prst="rect">
                <a:avLst/>
              </a:prstGeom>
            </xdr:spPr>
          </xdr:sp>
          <xdr:sp macro="" textlink="">
            <xdr:nvSpPr>
              <xdr:cNvPr id="5123" name="Option Button 3" hidden="1">
                <a:extLst>
                  <a:ext uri="{63B3BB69-23CF-44E3-9099-C40C66FF867C}">
                    <a14:compatExt spid="_x0000_s5123"/>
                  </a:ext>
                </a:extLst>
              </xdr:cNvPr>
              <xdr:cNvSpPr/>
            </xdr:nvSpPr>
            <xdr:spPr>
              <a:xfrm>
                <a:off x="2141142" y="447675"/>
                <a:ext cx="633424" cy="180000"/>
              </a:xfrm>
              <a:prstGeom prst="rect">
                <a:avLst/>
              </a:prstGeom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CP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647700</xdr:colOff>
          <xdr:row>3</xdr:row>
          <xdr:rowOff>9525</xdr:rowOff>
        </xdr:from>
        <xdr:to>
          <xdr:col>7</xdr:col>
          <xdr:colOff>66675</xdr:colOff>
          <xdr:row>3</xdr:row>
          <xdr:rowOff>180975</xdr:rowOff>
        </xdr:to>
        <xdr:sp macro="" textlink="">
          <xdr:nvSpPr>
            <xdr:cNvPr id="5124" name="Drop Down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1009650</xdr:colOff>
          <xdr:row>3</xdr:row>
          <xdr:rowOff>9525</xdr:rowOff>
        </xdr:from>
        <xdr:to>
          <xdr:col>4</xdr:col>
          <xdr:colOff>1733550</xdr:colOff>
          <xdr:row>3</xdr:row>
          <xdr:rowOff>180975</xdr:rowOff>
        </xdr:to>
        <xdr:sp macro="" textlink="">
          <xdr:nvSpPr>
            <xdr:cNvPr id="5125" name="Drop Down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1809750</xdr:colOff>
          <xdr:row>3</xdr:row>
          <xdr:rowOff>9525</xdr:rowOff>
        </xdr:from>
        <xdr:to>
          <xdr:col>5</xdr:col>
          <xdr:colOff>571500</xdr:colOff>
          <xdr:row>3</xdr:row>
          <xdr:rowOff>180975</xdr:rowOff>
        </xdr:to>
        <xdr:sp macro="" textlink="">
          <xdr:nvSpPr>
            <xdr:cNvPr id="5126" name="Drop Down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.xml"/><Relationship Id="rId7" Type="http://schemas.openxmlformats.org/officeDocument/2006/relationships/ctrlProp" Target="../ctrlProps/ctrlProp1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8.xml"/><Relationship Id="rId3" Type="http://schemas.openxmlformats.org/officeDocument/2006/relationships/ctrlProp" Target="../ctrlProps/ctrlProp13.xml"/><Relationship Id="rId7" Type="http://schemas.openxmlformats.org/officeDocument/2006/relationships/ctrlProp" Target="../ctrlProps/ctrlProp1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6.xml"/><Relationship Id="rId5" Type="http://schemas.openxmlformats.org/officeDocument/2006/relationships/ctrlProp" Target="../ctrlProps/ctrlProp15.xml"/><Relationship Id="rId4" Type="http://schemas.openxmlformats.org/officeDocument/2006/relationships/ctrlProp" Target="../ctrlProps/ctrlProp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0"/>
  <sheetViews>
    <sheetView topLeftCell="A34" workbookViewId="0">
      <selection activeCell="D45" sqref="D45"/>
    </sheetView>
  </sheetViews>
  <sheetFormatPr defaultRowHeight="16.5"/>
  <cols>
    <col min="1" max="1" width="10.125" customWidth="1"/>
    <col min="2" max="2" width="13.375" bestFit="1" customWidth="1"/>
    <col min="6" max="6" width="11.125" bestFit="1" customWidth="1"/>
    <col min="10" max="10" width="8.375" customWidth="1"/>
  </cols>
  <sheetData>
    <row r="1" spans="1:14">
      <c r="A1" s="31">
        <v>1</v>
      </c>
      <c r="E1" s="11"/>
      <c r="F1" s="12"/>
      <c r="H1" s="11">
        <v>1</v>
      </c>
      <c r="I1" s="66">
        <v>1</v>
      </c>
      <c r="J1" s="11">
        <v>1</v>
      </c>
      <c r="K1" s="66">
        <v>1</v>
      </c>
      <c r="L1" s="66" t="s">
        <v>217</v>
      </c>
      <c r="M1" s="66" t="s">
        <v>218</v>
      </c>
      <c r="N1" s="12" t="s">
        <v>219</v>
      </c>
    </row>
    <row r="2" spans="1:14">
      <c r="A2" t="s">
        <v>204</v>
      </c>
      <c r="B2" s="1" t="s">
        <v>1</v>
      </c>
      <c r="C2" s="1" t="s">
        <v>49</v>
      </c>
      <c r="E2" s="13" t="s">
        <v>102</v>
      </c>
      <c r="F2" s="14" t="s">
        <v>164</v>
      </c>
      <c r="H2" s="13" t="s">
        <v>166</v>
      </c>
      <c r="I2" s="67" t="str">
        <f t="shared" ref="I2:I9" si="0">CHOOSE($A$1, $E2, $F2)</f>
        <v>AAA</v>
      </c>
      <c r="J2" s="13" t="str">
        <f>K2&amp;"(적용일)"</f>
        <v>1일(적용일)</v>
      </c>
      <c r="K2" s="67" t="s">
        <v>154</v>
      </c>
      <c r="L2" s="69">
        <f ca="1">IF( INDEX('CD|CP Matrix'!$D$8:$N$55, 6*($I$1-1)+$H$1, MATCH($K2, 'CD|CP Matrix'!$D$7:$N$7, 0) )="", NA(),
INDEX('CD|CP Matrix'!$D$8:$N$55, 6*($I$1-1)+$H$1, MATCH($K2, 'CD|CP Matrix'!$D$7:$N$7, 0) ) )</f>
        <v>3.5</v>
      </c>
      <c r="M2" s="67">
        <f ca="1">_xll.IMDP("IR", INDEX($B$2:$C$49, 6*($I$1-1)+$H$1, $A$1), $J2, 'CD|CP Matrix'!$T$4, "fill=true")</f>
        <v>3.35</v>
      </c>
      <c r="N2" s="70">
        <f ca="1">(L2-M2)*100</f>
        <v>14.999999999999991</v>
      </c>
    </row>
    <row r="3" spans="1:14">
      <c r="A3" t="s">
        <v>205</v>
      </c>
      <c r="B3" s="1" t="s">
        <v>9</v>
      </c>
      <c r="C3" s="1" t="s">
        <v>56</v>
      </c>
      <c r="E3" s="13" t="s">
        <v>113</v>
      </c>
      <c r="F3" s="14" t="s">
        <v>175</v>
      </c>
      <c r="H3" s="13" t="s">
        <v>167</v>
      </c>
      <c r="I3" s="67" t="str">
        <f t="shared" si="0"/>
        <v>AA+</v>
      </c>
      <c r="J3" s="13" t="str">
        <f t="shared" ref="J3:J12" si="1">K3&amp;"(적용일)"</f>
        <v>1주(적용일)</v>
      </c>
      <c r="K3" s="67" t="s">
        <v>155</v>
      </c>
      <c r="L3" s="69">
        <f ca="1">IF( INDEX('CD|CP Matrix'!$D$8:$N$55, 6*($I$1-1)+$H$1, MATCH($K3, 'CD|CP Matrix'!$D$7:$N$7, 0) )="", NA(),
INDEX('CD|CP Matrix'!$D$8:$N$55, 6*($I$1-1)+$H$1, MATCH($K3, 'CD|CP Matrix'!$D$7:$N$7, 0) ) )</f>
        <v>3.56</v>
      </c>
      <c r="M3" s="67">
        <f ca="1">_xll.IMDP("IR", INDEX($B$2:$C$49, 6*($I$1-1)+$H$1, $A$1), $J3, 'CD|CP Matrix'!$T$4, "fill=true")</f>
        <v>3.37</v>
      </c>
      <c r="N3" s="70">
        <f t="shared" ref="N3:N12" ca="1" si="2">(L3-M3)*100</f>
        <v>18.999999999999993</v>
      </c>
    </row>
    <row r="4" spans="1:14">
      <c r="A4" t="s">
        <v>157</v>
      </c>
      <c r="B4" s="1" t="s">
        <v>17</v>
      </c>
      <c r="C4" s="1" t="s">
        <v>63</v>
      </c>
      <c r="E4" s="13" t="s">
        <v>168</v>
      </c>
      <c r="F4" s="14" t="s">
        <v>176</v>
      </c>
      <c r="H4" s="13" t="s">
        <v>156</v>
      </c>
      <c r="I4" s="67" t="str">
        <f t="shared" si="0"/>
        <v>AA</v>
      </c>
      <c r="J4" s="13" t="str">
        <f t="shared" si="1"/>
        <v>10일(적용일)</v>
      </c>
      <c r="K4" s="67" t="s">
        <v>206</v>
      </c>
      <c r="L4" s="69" t="e">
        <f ca="1">IF( INDEX('CD|CP Matrix'!$D$8:$N$55, 6*($I$1-1)+$H$1, MATCH($K4, 'CD|CP Matrix'!$D$7:$N$7, 0) )="", NA(),
INDEX('CD|CP Matrix'!$D$8:$N$55, 6*($I$1-1)+$H$1, MATCH($K4, 'CD|CP Matrix'!$D$7:$N$7, 0) ) )</f>
        <v>#N/A</v>
      </c>
      <c r="M4" s="67" t="e">
        <f ca="1">IF( _xll.IMDP("IR", INDEX($B$2:$C$49, 6*($I$1-1)+$H$1, $A$1), $J4, 'CD|CP Matrix'!$T$4, "fill=true")=0, NA(),
_xll.IMDP("IR", INDEX($B$2:$C$49, 6*($I$1-1)+$H$1, $A$1), $J4, 'CD|CP Matrix'!$T$4, "fill=true") )</f>
        <v>#N/A</v>
      </c>
      <c r="N4" s="70" t="e">
        <f t="shared" ca="1" si="2"/>
        <v>#N/A</v>
      </c>
    </row>
    <row r="5" spans="1:14">
      <c r="A5" t="s">
        <v>159</v>
      </c>
      <c r="B5" s="1" t="s">
        <v>25</v>
      </c>
      <c r="C5" s="1" t="s">
        <v>70</v>
      </c>
      <c r="E5" s="13" t="s">
        <v>169</v>
      </c>
      <c r="F5" s="14" t="s">
        <v>177</v>
      </c>
      <c r="H5" s="13" t="s">
        <v>158</v>
      </c>
      <c r="I5" s="67" t="str">
        <f t="shared" si="0"/>
        <v>AA-</v>
      </c>
      <c r="J5" s="13" t="str">
        <f t="shared" si="1"/>
        <v>15일(적용일)</v>
      </c>
      <c r="K5" s="67" t="s">
        <v>207</v>
      </c>
      <c r="L5" s="69">
        <f ca="1">IF( INDEX('CD|CP Matrix'!$D$8:$N$55, 6*($I$1-1)+$H$1, MATCH($K5, 'CD|CP Matrix'!$D$7:$N$7, 0) )="", NA(),
INDEX('CD|CP Matrix'!$D$8:$N$55, 6*($I$1-1)+$H$1, MATCH($K5, 'CD|CP Matrix'!$D$7:$N$7, 0) ) )</f>
        <v>3.63</v>
      </c>
      <c r="M5" s="67">
        <f ca="1">_xll.IMDP("IR", INDEX($B$2:$C$49, 6*($I$1-1)+$H$1, $A$1), $J5, 'CD|CP Matrix'!$T$4, "fill=true")</f>
        <v>3.38</v>
      </c>
      <c r="N5" s="70">
        <f t="shared" ca="1" si="2"/>
        <v>25</v>
      </c>
    </row>
    <row r="6" spans="1:14">
      <c r="A6" t="s">
        <v>161</v>
      </c>
      <c r="B6" s="1" t="s">
        <v>33</v>
      </c>
      <c r="C6" s="1" t="s">
        <v>77</v>
      </c>
      <c r="E6" s="13" t="s">
        <v>170</v>
      </c>
      <c r="F6" s="14" t="s">
        <v>178</v>
      </c>
      <c r="H6" s="13" t="s">
        <v>160</v>
      </c>
      <c r="I6" s="67" t="str">
        <f t="shared" si="0"/>
        <v>A+</v>
      </c>
      <c r="J6" s="13" t="str">
        <f t="shared" si="1"/>
        <v>1월(적용일)</v>
      </c>
      <c r="K6" s="67" t="s">
        <v>208</v>
      </c>
      <c r="L6" s="69">
        <f ca="1">IF( INDEX('CD|CP Matrix'!$D$8:$N$55, 6*($I$1-1)+$H$1, MATCH($K6, 'CD|CP Matrix'!$D$7:$N$7, 0) )="", NA(),
INDEX('CD|CP Matrix'!$D$8:$N$55, 6*($I$1-1)+$H$1, MATCH($K6, 'CD|CP Matrix'!$D$7:$N$7, 0) ) )</f>
        <v>3.69</v>
      </c>
      <c r="M6" s="67">
        <f ca="1">_xll.IMDP("IR", INDEX($B$2:$C$49, 6*($I$1-1)+$H$1, $A$1), $J6, 'CD|CP Matrix'!$T$4, "fill=true")</f>
        <v>3.4</v>
      </c>
      <c r="N6" s="70">
        <f t="shared" ca="1" si="2"/>
        <v>29.000000000000004</v>
      </c>
    </row>
    <row r="7" spans="1:14">
      <c r="A7" t="s">
        <v>163</v>
      </c>
      <c r="B7" s="1" t="s">
        <v>41</v>
      </c>
      <c r="C7" s="1" t="s">
        <v>84</v>
      </c>
      <c r="E7" s="13" t="s">
        <v>98</v>
      </c>
      <c r="F7" s="14" t="s">
        <v>179</v>
      </c>
      <c r="H7" s="13" t="s">
        <v>162</v>
      </c>
      <c r="I7" s="67" t="str">
        <f t="shared" si="0"/>
        <v>A</v>
      </c>
      <c r="J7" s="13" t="str">
        <f t="shared" si="1"/>
        <v>2월(적용일)</v>
      </c>
      <c r="K7" s="67" t="s">
        <v>209</v>
      </c>
      <c r="L7" s="69">
        <f ca="1">IF( INDEX('CD|CP Matrix'!$D$8:$N$55, 6*($I$1-1)+$H$1, MATCH($K7, 'CD|CP Matrix'!$D$7:$N$7, 0) )="", NA(),
INDEX('CD|CP Matrix'!$D$8:$N$55, 6*($I$1-1)+$H$1, MATCH($K7, 'CD|CP Matrix'!$D$7:$N$7, 0) ) )</f>
        <v>3.72</v>
      </c>
      <c r="M7" s="67">
        <f ca="1">_xll.IMDP("IR", INDEX($B$2:$C$49, 6*($I$1-1)+$H$1, $A$1), $J7, 'CD|CP Matrix'!$T$4, "fill=true")</f>
        <v>3.41</v>
      </c>
      <c r="N7" s="70">
        <f t="shared" ca="1" si="2"/>
        <v>31.000000000000007</v>
      </c>
    </row>
    <row r="8" spans="1:14">
      <c r="B8" s="1" t="s">
        <v>2</v>
      </c>
      <c r="C8" s="1" t="s">
        <v>50</v>
      </c>
      <c r="E8" s="13" t="s">
        <v>171</v>
      </c>
      <c r="F8" s="14" t="s">
        <v>180</v>
      </c>
      <c r="H8" s="13"/>
      <c r="I8" s="67" t="str">
        <f t="shared" si="0"/>
        <v>A-</v>
      </c>
      <c r="J8" s="13" t="str">
        <f t="shared" si="1"/>
        <v>3월(적용일)</v>
      </c>
      <c r="K8" s="67" t="s">
        <v>210</v>
      </c>
      <c r="L8" s="69">
        <f ca="1">IF( INDEX('CD|CP Matrix'!$D$8:$N$55, 6*($I$1-1)+$H$1, MATCH($K8, 'CD|CP Matrix'!$D$7:$N$7, 0) )="", NA(),
INDEX('CD|CP Matrix'!$D$8:$N$55, 6*($I$1-1)+$H$1, MATCH($K8, 'CD|CP Matrix'!$D$7:$N$7, 0) ) )</f>
        <v>3.75</v>
      </c>
      <c r="M8" s="67">
        <f ca="1">_xll.IMDP("IR", INDEX($B$2:$C$49, 6*($I$1-1)+$H$1, $A$1), $J8, 'CD|CP Matrix'!$T$4, "fill=true")</f>
        <v>3.43</v>
      </c>
      <c r="N8" s="70">
        <f t="shared" ca="1" si="2"/>
        <v>31.999999999999986</v>
      </c>
    </row>
    <row r="9" spans="1:14">
      <c r="B9" s="1" t="s">
        <v>10</v>
      </c>
      <c r="C9" s="1" t="s">
        <v>57</v>
      </c>
      <c r="E9" s="15" t="s">
        <v>172</v>
      </c>
      <c r="F9" s="16" t="s">
        <v>181</v>
      </c>
      <c r="H9" s="15"/>
      <c r="I9" s="68" t="str">
        <f t="shared" si="0"/>
        <v>BBB</v>
      </c>
      <c r="J9" s="13" t="str">
        <f t="shared" si="1"/>
        <v>4월(적용일)</v>
      </c>
      <c r="K9" s="67" t="s">
        <v>211</v>
      </c>
      <c r="L9" s="69">
        <f ca="1">IF( INDEX('CD|CP Matrix'!$D$8:$N$55, 6*($I$1-1)+$H$1, MATCH($K9, 'CD|CP Matrix'!$D$7:$N$7, 0) )="", NA(),
INDEX('CD|CP Matrix'!$D$8:$N$55, 6*($I$1-1)+$H$1, MATCH($K9, 'CD|CP Matrix'!$D$7:$N$7, 0) ) )</f>
        <v>3.76</v>
      </c>
      <c r="M9" s="67">
        <f ca="1">_xll.IMDP("IR", INDEX($B$2:$C$49, 6*($I$1-1)+$H$1, $A$1), $J9, 'CD|CP Matrix'!$T$4, "fill=true")</f>
        <v>3.45</v>
      </c>
      <c r="N9" s="70">
        <f t="shared" ca="1" si="2"/>
        <v>30.999999999999961</v>
      </c>
    </row>
    <row r="10" spans="1:14">
      <c r="B10" s="1" t="s">
        <v>18</v>
      </c>
      <c r="C10" s="1" t="s">
        <v>64</v>
      </c>
      <c r="J10" s="13" t="str">
        <f t="shared" si="1"/>
        <v>6월(적용일)</v>
      </c>
      <c r="K10" s="67" t="s">
        <v>212</v>
      </c>
      <c r="L10" s="69">
        <f ca="1">IF( INDEX('CD|CP Matrix'!$D$8:$N$55, 6*($I$1-1)+$H$1, MATCH($K10, 'CD|CP Matrix'!$D$7:$N$7, 0) )="", NA(),
INDEX('CD|CP Matrix'!$D$8:$N$55, 6*($I$1-1)+$H$1, MATCH($K10, 'CD|CP Matrix'!$D$7:$N$7, 0) ) )</f>
        <v>3.8</v>
      </c>
      <c r="M10" s="67">
        <f ca="1">_xll.IMDP("IR", INDEX($B$2:$C$49, 6*($I$1-1)+$H$1, $A$1), $J10, 'CD|CP Matrix'!$T$4, "fill=true")</f>
        <v>3.5</v>
      </c>
      <c r="N10" s="70">
        <f t="shared" ca="1" si="2"/>
        <v>29.999999999999982</v>
      </c>
    </row>
    <row r="11" spans="1:14">
      <c r="B11" s="1" t="s">
        <v>26</v>
      </c>
      <c r="C11" s="1" t="s">
        <v>71</v>
      </c>
      <c r="E11" s="59">
        <v>1</v>
      </c>
      <c r="F11" s="60">
        <v>1</v>
      </c>
      <c r="G11" s="1"/>
      <c r="J11" s="13" t="str">
        <f t="shared" si="1"/>
        <v>1년(적용일)</v>
      </c>
      <c r="K11" s="67" t="s">
        <v>213</v>
      </c>
      <c r="L11" s="69">
        <f ca="1">IF( INDEX('CD|CP Matrix'!$D$8:$N$55, 6*($I$1-1)+$H$1, MATCH($K11, 'CD|CP Matrix'!$D$7:$N$7, 0) )="", NA(),
INDEX('CD|CP Matrix'!$D$8:$N$55, 6*($I$1-1)+$H$1, MATCH($K11, 'CD|CP Matrix'!$D$7:$N$7, 0) ) )</f>
        <v>3.89</v>
      </c>
      <c r="M11" s="67">
        <f ca="1">_xll.IMDP("IR", INDEX($B$2:$C$49, 6*($I$1-1)+$H$1, $A$1), $J11, 'CD|CP Matrix'!$T$4, "fill=true")</f>
        <v>3.72</v>
      </c>
      <c r="N11" s="70">
        <f t="shared" ca="1" si="2"/>
        <v>16.999999999999993</v>
      </c>
    </row>
    <row r="12" spans="1:14">
      <c r="B12" s="1" t="s">
        <v>34</v>
      </c>
      <c r="C12" s="1" t="s">
        <v>78</v>
      </c>
      <c r="E12" s="61" t="str">
        <f>INDEX($B$2:$C$49, 6*($F$12-1)+$F$11, $E$11)</f>
        <v>CDYLDAVG1</v>
      </c>
      <c r="F12" s="62">
        <v>1</v>
      </c>
      <c r="G12" s="1"/>
      <c r="J12" s="15" t="str">
        <f t="shared" si="1"/>
        <v>2년(적용일)</v>
      </c>
      <c r="K12" s="68" t="s">
        <v>214</v>
      </c>
      <c r="L12" s="71">
        <f ca="1">IF( INDEX('CD|CP Matrix'!$D$8:$N$55, 6*($I$1-1)+$H$1, MATCH($K12, 'CD|CP Matrix'!$D$7:$N$7, 0) )="", NA(),
INDEX('CD|CP Matrix'!$D$8:$N$55, 6*($I$1-1)+$H$1, MATCH($K12, 'CD|CP Matrix'!$D$7:$N$7, 0) ) )</f>
        <v>4.34</v>
      </c>
      <c r="M12" s="68">
        <f ca="1">_xll.IMDP("IR", INDEX($B$2:$C$49, 6*($I$1-1)+$H$1, $A$1), $J12, 'CD|CP Matrix'!$T$4, "fill=true")</f>
        <v>4.13</v>
      </c>
      <c r="N12" s="72">
        <f t="shared" ca="1" si="2"/>
        <v>20.999999999999996</v>
      </c>
    </row>
    <row r="13" spans="1:14">
      <c r="B13" s="1" t="s">
        <v>42</v>
      </c>
      <c r="C13" s="1" t="s">
        <v>85</v>
      </c>
      <c r="E13" s="63"/>
      <c r="F13" s="64" t="str">
        <f>CHOOSE($E$11, $E2, $F2)</f>
        <v>AAA</v>
      </c>
      <c r="G13" s="1"/>
    </row>
    <row r="14" spans="1:14">
      <c r="B14" s="1" t="s">
        <v>3</v>
      </c>
      <c r="C14" s="1" t="s">
        <v>51</v>
      </c>
      <c r="E14" s="63"/>
      <c r="F14" s="64" t="str">
        <f t="shared" ref="F14:F20" si="3">CHOOSE($E$11, $E3, $F3)</f>
        <v>AA+</v>
      </c>
      <c r="G14" s="1"/>
    </row>
    <row r="15" spans="1:14">
      <c r="B15" s="1" t="s">
        <v>11</v>
      </c>
      <c r="C15" s="1" t="s">
        <v>58</v>
      </c>
      <c r="E15" s="63"/>
      <c r="F15" s="64" t="str">
        <f t="shared" si="3"/>
        <v>AA</v>
      </c>
      <c r="G15" s="1"/>
    </row>
    <row r="16" spans="1:14">
      <c r="B16" s="1" t="s">
        <v>19</v>
      </c>
      <c r="C16" s="1" t="s">
        <v>65</v>
      </c>
      <c r="E16" s="63"/>
      <c r="F16" s="64" t="str">
        <f t="shared" si="3"/>
        <v>AA-</v>
      </c>
      <c r="G16" s="1"/>
    </row>
    <row r="17" spans="2:6">
      <c r="B17" s="1" t="s">
        <v>27</v>
      </c>
      <c r="C17" s="1" t="s">
        <v>72</v>
      </c>
      <c r="E17" s="13"/>
      <c r="F17" s="64" t="str">
        <f t="shared" si="3"/>
        <v>A+</v>
      </c>
    </row>
    <row r="18" spans="2:6">
      <c r="B18" s="1" t="s">
        <v>35</v>
      </c>
      <c r="C18" s="1" t="s">
        <v>79</v>
      </c>
      <c r="E18" s="13"/>
      <c r="F18" s="64" t="str">
        <f t="shared" si="3"/>
        <v>A</v>
      </c>
    </row>
    <row r="19" spans="2:6">
      <c r="B19" s="1" t="s">
        <v>43</v>
      </c>
      <c r="C19" s="1" t="s">
        <v>86</v>
      </c>
      <c r="E19" s="13"/>
      <c r="F19" s="64" t="str">
        <f t="shared" si="3"/>
        <v>A-</v>
      </c>
    </row>
    <row r="20" spans="2:6">
      <c r="B20" s="1" t="s">
        <v>4</v>
      </c>
      <c r="C20" s="1" t="s">
        <v>52</v>
      </c>
      <c r="E20" s="15"/>
      <c r="F20" s="65" t="str">
        <f t="shared" si="3"/>
        <v>BBB</v>
      </c>
    </row>
    <row r="21" spans="2:6">
      <c r="B21" s="1" t="s">
        <v>12</v>
      </c>
      <c r="C21" s="1" t="s">
        <v>59</v>
      </c>
      <c r="F21" s="35"/>
    </row>
    <row r="22" spans="2:6">
      <c r="B22" s="1" t="s">
        <v>20</v>
      </c>
      <c r="C22" s="1" t="s">
        <v>66</v>
      </c>
    </row>
    <row r="23" spans="2:6">
      <c r="B23" s="1" t="s">
        <v>28</v>
      </c>
      <c r="C23" s="1" t="s">
        <v>73</v>
      </c>
    </row>
    <row r="24" spans="2:6">
      <c r="B24" s="1" t="s">
        <v>36</v>
      </c>
      <c r="C24" s="1" t="s">
        <v>80</v>
      </c>
    </row>
    <row r="25" spans="2:6">
      <c r="B25" s="1" t="s">
        <v>44</v>
      </c>
      <c r="C25" s="1" t="s">
        <v>87</v>
      </c>
    </row>
    <row r="26" spans="2:6">
      <c r="B26" s="1" t="s">
        <v>5</v>
      </c>
      <c r="C26" s="1" t="s">
        <v>53</v>
      </c>
    </row>
    <row r="27" spans="2:6">
      <c r="B27" s="1" t="s">
        <v>13</v>
      </c>
      <c r="C27" s="1" t="s">
        <v>60</v>
      </c>
    </row>
    <row r="28" spans="2:6">
      <c r="B28" s="1" t="s">
        <v>21</v>
      </c>
      <c r="C28" s="1" t="s">
        <v>67</v>
      </c>
    </row>
    <row r="29" spans="2:6">
      <c r="B29" s="1" t="s">
        <v>29</v>
      </c>
      <c r="C29" s="1" t="s">
        <v>74</v>
      </c>
    </row>
    <row r="30" spans="2:6">
      <c r="B30" s="1" t="s">
        <v>37</v>
      </c>
      <c r="C30" s="1" t="s">
        <v>81</v>
      </c>
    </row>
    <row r="31" spans="2:6">
      <c r="B31" s="1" t="s">
        <v>45</v>
      </c>
      <c r="C31" s="1" t="s">
        <v>88</v>
      </c>
    </row>
    <row r="32" spans="2:6">
      <c r="B32" s="1" t="s">
        <v>6</v>
      </c>
      <c r="C32" s="1" t="s">
        <v>54</v>
      </c>
    </row>
    <row r="33" spans="2:9">
      <c r="B33" s="1" t="s">
        <v>14</v>
      </c>
      <c r="C33" s="1" t="s">
        <v>61</v>
      </c>
    </row>
    <row r="34" spans="2:9">
      <c r="B34" s="1" t="s">
        <v>22</v>
      </c>
      <c r="C34" s="1" t="s">
        <v>68</v>
      </c>
    </row>
    <row r="35" spans="2:9">
      <c r="B35" s="1" t="s">
        <v>30</v>
      </c>
      <c r="C35" s="1" t="s">
        <v>75</v>
      </c>
    </row>
    <row r="36" spans="2:9">
      <c r="B36" s="1" t="s">
        <v>38</v>
      </c>
      <c r="C36" s="1" t="s">
        <v>82</v>
      </c>
    </row>
    <row r="37" spans="2:9">
      <c r="B37" s="1" t="s">
        <v>46</v>
      </c>
      <c r="C37" s="1" t="s">
        <v>89</v>
      </c>
    </row>
    <row r="38" spans="2:9">
      <c r="B38" s="1" t="s">
        <v>7</v>
      </c>
      <c r="C38" s="1" t="s">
        <v>55</v>
      </c>
    </row>
    <row r="39" spans="2:9">
      <c r="B39" s="1" t="s">
        <v>15</v>
      </c>
      <c r="C39" s="1" t="s">
        <v>62</v>
      </c>
    </row>
    <row r="40" spans="2:9">
      <c r="B40" s="1" t="s">
        <v>23</v>
      </c>
      <c r="C40" s="1" t="s">
        <v>69</v>
      </c>
    </row>
    <row r="41" spans="2:9">
      <c r="B41" s="1" t="s">
        <v>31</v>
      </c>
      <c r="C41" s="1" t="s">
        <v>76</v>
      </c>
    </row>
    <row r="42" spans="2:9">
      <c r="B42" s="1" t="s">
        <v>39</v>
      </c>
      <c r="C42" s="1" t="s">
        <v>83</v>
      </c>
    </row>
    <row r="43" spans="2:9">
      <c r="B43" s="1" t="s">
        <v>47</v>
      </c>
      <c r="C43" s="1" t="s">
        <v>90</v>
      </c>
      <c r="H43" s="2" t="s">
        <v>0</v>
      </c>
      <c r="I43" s="73" t="str">
        <f>IF($A$51=1, $F$51, INDEX($F$52:$F$58, $E$51))</f>
        <v>CRDLIST030502</v>
      </c>
    </row>
    <row r="44" spans="2:9">
      <c r="B44" s="1" t="s">
        <v>8</v>
      </c>
      <c r="G44" s="74" t="str">
        <f ca="1">TEXT('CD|CP 발행사'!$C$4-500,"YYYYMMDD")</f>
        <v>20220226</v>
      </c>
      <c r="H44" s="2" t="s">
        <v>92</v>
      </c>
      <c r="I44" s="3">
        <v>9999</v>
      </c>
    </row>
    <row r="45" spans="2:9">
      <c r="B45" s="1" t="s">
        <v>16</v>
      </c>
      <c r="G45" s="75" t="str">
        <f ca="1">TEXT('CD|CP 발행사'!$C$4, "YYYYMMDD")</f>
        <v>20230711</v>
      </c>
      <c r="H45" s="2" t="s">
        <v>93</v>
      </c>
      <c r="I45" s="4" t="str">
        <f ca="1">$G$44&amp;"~"&amp;$G$45</f>
        <v>20220226~20230711</v>
      </c>
    </row>
    <row r="46" spans="2:9">
      <c r="B46" s="1" t="s">
        <v>24</v>
      </c>
      <c r="H46" s="2" t="s">
        <v>94</v>
      </c>
      <c r="I46" s="73" t="str">
        <f>INDEX($D$52:$D$62, $D$51)</f>
        <v>전체</v>
      </c>
    </row>
    <row r="47" spans="2:9">
      <c r="B47" s="1" t="s">
        <v>32</v>
      </c>
      <c r="H47" s="2" t="s">
        <v>95</v>
      </c>
      <c r="I47" s="3" t="s">
        <v>96</v>
      </c>
    </row>
    <row r="48" spans="2:9">
      <c r="B48" s="1" t="s">
        <v>40</v>
      </c>
      <c r="H48" s="2" t="s">
        <v>97</v>
      </c>
      <c r="I48" s="3" t="s">
        <v>98</v>
      </c>
    </row>
    <row r="49" spans="1:12">
      <c r="B49" s="1" t="s">
        <v>48</v>
      </c>
      <c r="H49" t="str">
        <f ca="1">_xll.IMDT("등급별기업",I43,H50:J50,I44,I45,I46,I47,"sort="&amp;I48&amp;",DtFmt=1,TmFmt=1,Pos=20,Orient=V")</f>
        <v>조회[CRDLIST030502]</v>
      </c>
      <c r="K49" s="82" t="str">
        <f>INDEX($E$59:$F$63, $K$50, $A$51)</f>
        <v>CDAVG</v>
      </c>
    </row>
    <row r="50" spans="1:12">
      <c r="H50" s="77" t="s">
        <v>96</v>
      </c>
      <c r="I50" s="78" t="s">
        <v>99</v>
      </c>
      <c r="J50" s="78" t="s">
        <v>100</v>
      </c>
      <c r="K50" s="79">
        <v>1</v>
      </c>
      <c r="L50" s="79" t="s">
        <v>255</v>
      </c>
    </row>
    <row r="51" spans="1:12">
      <c r="A51">
        <v>1</v>
      </c>
      <c r="B51" s="11"/>
      <c r="C51" s="66"/>
      <c r="D51" s="12">
        <v>1</v>
      </c>
      <c r="E51" s="11">
        <v>1</v>
      </c>
      <c r="F51" s="12" t="s">
        <v>91</v>
      </c>
      <c r="G51">
        <f ca="1">IF( ISNUMBER($L51), MAX($G$50:G50)+1,0)</f>
        <v>1</v>
      </c>
      <c r="H51" s="13" t="s">
        <v>256</v>
      </c>
      <c r="I51" s="67" t="s">
        <v>101</v>
      </c>
      <c r="J51" s="67" t="s">
        <v>102</v>
      </c>
      <c r="K51" s="80" t="str">
        <f t="shared" ref="K51:K114" si="4">$K$49&amp;$H51</f>
        <v>CDAVG00001</v>
      </c>
      <c r="L51" s="80">
        <f ca="1">IF(ISNUMBER(FIND("(",$I51)), "", _xll.IMDP("IR", $K51, $L$50, WORKDAY('CD|CP 발행사'!$C$4,-1)) )</f>
        <v>3.5</v>
      </c>
    </row>
    <row r="52" spans="1:12">
      <c r="B52" s="63" t="s">
        <v>254</v>
      </c>
      <c r="C52" s="67" t="s">
        <v>254</v>
      </c>
      <c r="D52" s="14" t="str">
        <f>CHOOSE($A$51, $B52, $C52)</f>
        <v>전체</v>
      </c>
      <c r="E52" s="13" t="str">
        <f>CHOOSE($A$51, "", "전체")</f>
        <v/>
      </c>
      <c r="F52" s="14" t="s">
        <v>239</v>
      </c>
      <c r="G52">
        <f ca="1">IF( ISNUMBER($L52), MAX($G$50:G51)+1,0)</f>
        <v>2</v>
      </c>
      <c r="H52" s="13" t="s">
        <v>103</v>
      </c>
      <c r="I52" s="67" t="s">
        <v>104</v>
      </c>
      <c r="J52" s="67" t="s">
        <v>102</v>
      </c>
      <c r="K52" s="80" t="str">
        <f t="shared" si="4"/>
        <v>CDAVG00011</v>
      </c>
      <c r="L52" s="80">
        <f ca="1">IF(ISNUMBER(FIND("(",$I52)), "", _xll.IMDP("IR", $K52, $L$50, WORKDAY('CD|CP 발행사'!$C$4,-1)) )</f>
        <v>3.5</v>
      </c>
    </row>
    <row r="53" spans="1:12">
      <c r="B53" s="13" t="s">
        <v>102</v>
      </c>
      <c r="C53" s="67" t="s">
        <v>164</v>
      </c>
      <c r="D53" s="14" t="str">
        <f t="shared" ref="D53:D62" si="5">CHOOSE($A$51, $B53, $C53)</f>
        <v>AAA</v>
      </c>
      <c r="E53" s="13" t="str">
        <f>CHOOSE($A$51, "", "공사/공단")</f>
        <v/>
      </c>
      <c r="F53" s="14" t="s">
        <v>245</v>
      </c>
      <c r="G53">
        <f ca="1">IF( ISNUMBER($L53), MAX($G$50:G52)+1,0)</f>
        <v>3</v>
      </c>
      <c r="H53" s="13" t="s">
        <v>105</v>
      </c>
      <c r="I53" s="67" t="s">
        <v>106</v>
      </c>
      <c r="J53" s="67" t="s">
        <v>102</v>
      </c>
      <c r="K53" s="80" t="str">
        <f t="shared" si="4"/>
        <v>CDAVG00494</v>
      </c>
      <c r="L53" s="80">
        <f ca="1">IF(ISNUMBER(FIND("(",$I53)), "", _xll.IMDP("IR", $K53, $L$50, WORKDAY('CD|CP 발행사'!$C$4,-1)) )</f>
        <v>3.5</v>
      </c>
    </row>
    <row r="54" spans="1:12">
      <c r="B54" s="13" t="s">
        <v>113</v>
      </c>
      <c r="C54" s="67" t="s">
        <v>175</v>
      </c>
      <c r="D54" s="14" t="str">
        <f t="shared" si="5"/>
        <v>AA+</v>
      </c>
      <c r="E54" s="13" t="str">
        <f>CHOOSE($A$51, "", "은행")</f>
        <v/>
      </c>
      <c r="F54" s="14" t="s">
        <v>246</v>
      </c>
      <c r="G54">
        <f ca="1">IF( ISNUMBER($L54), MAX($G$50:G53)+1,0)</f>
        <v>4</v>
      </c>
      <c r="H54" s="13" t="s">
        <v>107</v>
      </c>
      <c r="I54" s="67" t="s">
        <v>108</v>
      </c>
      <c r="J54" s="67" t="s">
        <v>102</v>
      </c>
      <c r="K54" s="80" t="str">
        <f t="shared" si="4"/>
        <v>CDAVG00527</v>
      </c>
      <c r="L54" s="80">
        <f ca="1">IF(ISNUMBER(FIND("(",$I54)), "", _xll.IMDP("IR", $K54, $L$50, WORKDAY('CD|CP 발행사'!$C$4,-1)) )</f>
        <v>3.51</v>
      </c>
    </row>
    <row r="55" spans="1:12">
      <c r="B55" s="13" t="s">
        <v>168</v>
      </c>
      <c r="C55" s="67" t="s">
        <v>176</v>
      </c>
      <c r="D55" s="14" t="str">
        <f t="shared" si="5"/>
        <v>AA</v>
      </c>
      <c r="E55" s="13" t="str">
        <f>CHOOSE($A$51, "", "카드")</f>
        <v/>
      </c>
      <c r="F55" s="14" t="s">
        <v>247</v>
      </c>
      <c r="G55">
        <f ca="1">IF( ISNUMBER($L55), MAX($G$50:G54)+1,0)</f>
        <v>5</v>
      </c>
      <c r="H55" s="13" t="s">
        <v>109</v>
      </c>
      <c r="I55" s="67" t="s">
        <v>110</v>
      </c>
      <c r="J55" s="67" t="s">
        <v>102</v>
      </c>
      <c r="K55" s="80" t="str">
        <f t="shared" si="4"/>
        <v>CDAVG00528</v>
      </c>
      <c r="L55" s="80">
        <f ca="1">IF(ISNUMBER(FIND("(",$I55)), "", _xll.IMDP("IR", $K55, $L$50, WORKDAY('CD|CP 발행사'!$C$4,-1)) )</f>
        <v>3.51</v>
      </c>
    </row>
    <row r="56" spans="1:12">
      <c r="B56" s="13" t="s">
        <v>169</v>
      </c>
      <c r="C56" s="67" t="s">
        <v>177</v>
      </c>
      <c r="D56" s="14" t="str">
        <f t="shared" si="5"/>
        <v>AA-</v>
      </c>
      <c r="E56" s="13" t="str">
        <f>CHOOSE($A$51, "", "기타금융")</f>
        <v/>
      </c>
      <c r="F56" s="14" t="s">
        <v>248</v>
      </c>
      <c r="G56">
        <f ca="1">IF( ISNUMBER($L56), MAX($G$50:G55)+1,0)</f>
        <v>6</v>
      </c>
      <c r="H56" s="13" t="s">
        <v>111</v>
      </c>
      <c r="I56" s="67" t="s">
        <v>112</v>
      </c>
      <c r="J56" s="67" t="s">
        <v>113</v>
      </c>
      <c r="K56" s="80" t="str">
        <f t="shared" si="4"/>
        <v>CDAVG00622</v>
      </c>
      <c r="L56" s="80">
        <f ca="1">IF(ISNUMBER(FIND("(",$I56)), "", _xll.IMDP("IR", $K56, $L$50, WORKDAY('CD|CP 발행사'!$C$4,-1)) )</f>
        <v>3.53</v>
      </c>
    </row>
    <row r="57" spans="1:12">
      <c r="B57" s="13" t="s">
        <v>170</v>
      </c>
      <c r="C57" s="67" t="s">
        <v>178</v>
      </c>
      <c r="D57" s="14" t="str">
        <f t="shared" si="5"/>
        <v>A+</v>
      </c>
      <c r="E57" s="13" t="str">
        <f>CHOOSE($A$51, "", "회사")</f>
        <v/>
      </c>
      <c r="F57" s="14" t="s">
        <v>249</v>
      </c>
      <c r="G57">
        <f ca="1">IF( ISNUMBER($L57), MAX($G$50:G56)+1,0)</f>
        <v>7</v>
      </c>
      <c r="H57" s="13" t="s">
        <v>114</v>
      </c>
      <c r="I57" s="67" t="s">
        <v>115</v>
      </c>
      <c r="J57" s="67" t="s">
        <v>113</v>
      </c>
      <c r="K57" s="80" t="str">
        <f t="shared" si="4"/>
        <v>CDAVG00635</v>
      </c>
      <c r="L57" s="80">
        <f ca="1">IF(ISNUMBER(FIND("(",$I57)), "", _xll.IMDP("IR", $K57, $L$50, WORKDAY('CD|CP 발행사'!$C$4,-1)) )</f>
        <v>3.54</v>
      </c>
    </row>
    <row r="58" spans="1:12">
      <c r="B58" s="13" t="s">
        <v>98</v>
      </c>
      <c r="C58" s="67" t="s">
        <v>179</v>
      </c>
      <c r="D58" s="14" t="str">
        <f t="shared" si="5"/>
        <v>A</v>
      </c>
      <c r="E58" s="15"/>
      <c r="F58" s="32"/>
      <c r="G58">
        <f ca="1">IF( ISNUMBER($L58), MAX($G$50:G57)+1,0)</f>
        <v>0</v>
      </c>
      <c r="H58" s="13" t="s">
        <v>116</v>
      </c>
      <c r="I58" s="67" t="s">
        <v>117</v>
      </c>
      <c r="J58" s="67" t="s">
        <v>102</v>
      </c>
      <c r="K58" s="80" t="str">
        <f t="shared" si="4"/>
        <v>CDAVG01683</v>
      </c>
      <c r="L58" s="80" t="str">
        <f ca="1">IF(ISNUMBER(FIND("(",$I58)), "", _xll.IMDP("IR", $K58, $L$50, WORKDAY('CD|CP 발행사'!$C$4,-1)) )</f>
        <v/>
      </c>
    </row>
    <row r="59" spans="1:12">
      <c r="B59" s="13" t="s">
        <v>171</v>
      </c>
      <c r="C59" s="67" t="s">
        <v>180</v>
      </c>
      <c r="D59" s="67" t="str">
        <f t="shared" si="5"/>
        <v>A-</v>
      </c>
      <c r="E59" s="11" t="s">
        <v>234</v>
      </c>
      <c r="F59" s="66" t="s">
        <v>240</v>
      </c>
      <c r="G59">
        <f ca="1">IF( ISNUMBER($L59), MAX($G$50:G58)+1,0)</f>
        <v>8</v>
      </c>
      <c r="H59" s="13" t="s">
        <v>118</v>
      </c>
      <c r="I59" s="67" t="s">
        <v>119</v>
      </c>
      <c r="J59" s="67" t="s">
        <v>102</v>
      </c>
      <c r="K59" s="80" t="str">
        <f t="shared" si="4"/>
        <v>CDAVG02313</v>
      </c>
      <c r="L59" s="80">
        <f ca="1">IF(ISNUMBER(FIND("(",$I59)), "", _xll.IMDP("IR", $K59, $L$50, WORKDAY('CD|CP 발행사'!$C$4,-1)) )</f>
        <v>3.5</v>
      </c>
    </row>
    <row r="60" spans="1:12">
      <c r="B60" s="13" t="s">
        <v>250</v>
      </c>
      <c r="C60" s="67" t="s">
        <v>253</v>
      </c>
      <c r="D60" s="67" t="str">
        <f t="shared" si="5"/>
        <v>BBB+</v>
      </c>
      <c r="E60" s="63" t="s">
        <v>235</v>
      </c>
      <c r="F60" s="67" t="s">
        <v>241</v>
      </c>
      <c r="G60">
        <f ca="1">IF( ISNUMBER($L60), MAX($G$50:G59)+1,0)</f>
        <v>0</v>
      </c>
      <c r="H60" s="13" t="s">
        <v>120</v>
      </c>
      <c r="I60" s="67" t="s">
        <v>121</v>
      </c>
      <c r="J60" s="67" t="s">
        <v>102</v>
      </c>
      <c r="K60" s="80" t="str">
        <f t="shared" si="4"/>
        <v>CDAVG02411</v>
      </c>
      <c r="L60" s="80" t="str">
        <f ca="1">IF(ISNUMBER(FIND("(",$I60)), "", _xll.IMDP("IR", $K60, $L$50, WORKDAY('CD|CP 발행사'!$C$4,-1)) )</f>
        <v/>
      </c>
    </row>
    <row r="61" spans="1:12">
      <c r="B61" s="13" t="s">
        <v>251</v>
      </c>
      <c r="C61" s="67"/>
      <c r="D61" s="67" t="str">
        <f t="shared" si="5"/>
        <v>BBB</v>
      </c>
      <c r="E61" s="63" t="s">
        <v>236</v>
      </c>
      <c r="F61" s="67" t="s">
        <v>242</v>
      </c>
      <c r="G61">
        <f ca="1">IF( ISNUMBER($L61), MAX($G$50:G60)+1,0)</f>
        <v>9</v>
      </c>
      <c r="H61" s="13" t="s">
        <v>122</v>
      </c>
      <c r="I61" s="67" t="s">
        <v>123</v>
      </c>
      <c r="J61" s="67" t="s">
        <v>102</v>
      </c>
      <c r="K61" s="80" t="str">
        <f t="shared" si="4"/>
        <v>CDAVG03401</v>
      </c>
      <c r="L61" s="80">
        <f ca="1">IF(ISNUMBER(FIND("(",$I61)), "", _xll.IMDP("IR", $K61, $L$50, WORKDAY('CD|CP 발행사'!$C$4,-1)) )</f>
        <v>3.49</v>
      </c>
    </row>
    <row r="62" spans="1:12">
      <c r="B62" s="15" t="s">
        <v>252</v>
      </c>
      <c r="C62" s="68"/>
      <c r="D62" s="68" t="str">
        <f t="shared" si="5"/>
        <v>BBB-</v>
      </c>
      <c r="E62" s="63" t="s">
        <v>237</v>
      </c>
      <c r="F62" s="67" t="s">
        <v>243</v>
      </c>
      <c r="G62">
        <f ca="1">IF( ISNUMBER($L62), MAX($G$50:G61)+1,0)</f>
        <v>0</v>
      </c>
      <c r="H62" s="13" t="s">
        <v>124</v>
      </c>
      <c r="I62" s="67" t="s">
        <v>125</v>
      </c>
      <c r="J62" s="67" t="s">
        <v>102</v>
      </c>
      <c r="K62" s="80" t="str">
        <f t="shared" si="4"/>
        <v>CDAVG03430</v>
      </c>
      <c r="L62" s="80" t="str">
        <f ca="1">IF(ISNUMBER(FIND("(",$I62)), "", _xll.IMDP("IR", $K62, $L$50, WORKDAY('CD|CP 발행사'!$C$4,-1)) )</f>
        <v/>
      </c>
    </row>
    <row r="63" spans="1:12">
      <c r="B63" s="67"/>
      <c r="C63" s="67"/>
      <c r="D63" s="67"/>
      <c r="E63" s="76" t="s">
        <v>238</v>
      </c>
      <c r="F63" s="68" t="s">
        <v>244</v>
      </c>
      <c r="G63">
        <f ca="1">IF( ISNUMBER($L63), MAX($G$50:G62)+1,0)</f>
        <v>0</v>
      </c>
      <c r="H63" s="13" t="s">
        <v>126</v>
      </c>
      <c r="I63" s="67" t="s">
        <v>127</v>
      </c>
      <c r="J63" s="67" t="s">
        <v>102</v>
      </c>
      <c r="K63" s="80" t="str">
        <f t="shared" si="4"/>
        <v>CDAVG03547</v>
      </c>
      <c r="L63" s="80" t="str">
        <f ca="1">IF(ISNUMBER(FIND("(",$I63)), "", _xll.IMDP("IR", $K63, $L$50, WORKDAY('CD|CP 발행사'!$C$4,-1)) )</f>
        <v/>
      </c>
    </row>
    <row r="64" spans="1:12">
      <c r="G64">
        <f ca="1">IF( ISNUMBER($L64), MAX($G$50:G63)+1,0)</f>
        <v>10</v>
      </c>
      <c r="H64" s="13" t="s">
        <v>128</v>
      </c>
      <c r="I64" s="67" t="s">
        <v>129</v>
      </c>
      <c r="J64" s="67" t="s">
        <v>102</v>
      </c>
      <c r="K64" s="80" t="str">
        <f t="shared" si="4"/>
        <v>CDAVG03946</v>
      </c>
      <c r="L64" s="80">
        <f ca="1">IF(ISNUMBER(FIND("(",$I64)), "", _xll.IMDP("IR", $K64, $L$50, WORKDAY('CD|CP 발행사'!$C$4,-1)) )</f>
        <v>3.5</v>
      </c>
    </row>
    <row r="65" spans="7:12">
      <c r="G65">
        <f ca="1">IF( ISNUMBER($L65), MAX($G$50:G64)+1,0)</f>
        <v>0</v>
      </c>
      <c r="H65" s="13" t="s">
        <v>130</v>
      </c>
      <c r="I65" s="67" t="s">
        <v>131</v>
      </c>
      <c r="J65" s="67" t="s">
        <v>102</v>
      </c>
      <c r="K65" s="80" t="str">
        <f t="shared" si="4"/>
        <v>CDAVG13423</v>
      </c>
      <c r="L65" s="80" t="str">
        <f ca="1">IF(ISNUMBER(FIND("(",$I65)), "", _xll.IMDP("IR", $K65, $L$50, WORKDAY('CD|CP 발행사'!$C$4,-1)) )</f>
        <v/>
      </c>
    </row>
    <row r="66" spans="7:12">
      <c r="G66">
        <f ca="1">IF( ISNUMBER($L66), MAX($G$50:G65)+1,0)</f>
        <v>11</v>
      </c>
      <c r="H66" s="13" t="s">
        <v>132</v>
      </c>
      <c r="I66" s="67" t="s">
        <v>133</v>
      </c>
      <c r="J66" s="67" t="s">
        <v>102</v>
      </c>
      <c r="K66" s="80" t="str">
        <f t="shared" si="4"/>
        <v>CDAVG13424</v>
      </c>
      <c r="L66" s="80">
        <f ca="1">IF(ISNUMBER(FIND("(",$I66)), "", _xll.IMDP("IR", $K66, $L$50, WORKDAY('CD|CP 발행사'!$C$4,-1)) )</f>
        <v>3.55</v>
      </c>
    </row>
    <row r="67" spans="7:12">
      <c r="G67">
        <f ca="1">IF( ISNUMBER($L67), MAX($G$50:G66)+1,0)</f>
        <v>0</v>
      </c>
      <c r="H67" s="13" t="s">
        <v>134</v>
      </c>
      <c r="I67" s="67" t="s">
        <v>135</v>
      </c>
      <c r="J67" s="67" t="s">
        <v>102</v>
      </c>
      <c r="K67" s="80" t="str">
        <f t="shared" si="4"/>
        <v>CDAVG13425</v>
      </c>
      <c r="L67" s="80" t="str">
        <f ca="1">IF(ISNUMBER(FIND("(",$I67)), "", _xll.IMDP("IR", $K67, $L$50, WORKDAY('CD|CP 발행사'!$C$4,-1)) )</f>
        <v/>
      </c>
    </row>
    <row r="68" spans="7:12">
      <c r="G68">
        <f ca="1">IF( ISNUMBER($L68), MAX($G$50:G67)+1,0)</f>
        <v>0</v>
      </c>
      <c r="H68" s="13" t="s">
        <v>136</v>
      </c>
      <c r="I68" s="67" t="s">
        <v>137</v>
      </c>
      <c r="J68" s="67" t="s">
        <v>102</v>
      </c>
      <c r="K68" s="80" t="str">
        <f t="shared" si="4"/>
        <v>CDAVG13450</v>
      </c>
      <c r="L68" s="80" t="str">
        <f ca="1">IF(ISNUMBER(FIND("(",$I68)), "", _xll.IMDP("IR", $K68, $L$50, WORKDAY('CD|CP 발행사'!$C$4,-1)) )</f>
        <v/>
      </c>
    </row>
    <row r="69" spans="7:12">
      <c r="G69">
        <f ca="1">IF( ISNUMBER($L69), MAX($G$50:G68)+1,0)</f>
        <v>12</v>
      </c>
      <c r="H69" s="13" t="s">
        <v>138</v>
      </c>
      <c r="I69" s="67" t="s">
        <v>139</v>
      </c>
      <c r="J69" s="67" t="s">
        <v>102</v>
      </c>
      <c r="K69" s="80" t="str">
        <f t="shared" si="4"/>
        <v>CDAVG19327</v>
      </c>
      <c r="L69" s="80">
        <f ca="1">IF(ISNUMBER(FIND("(",$I69)), "", _xll.IMDP("IR", $K69, $L$50, WORKDAY('CD|CP 발행사'!$C$4,-1)) )</f>
        <v>3.5</v>
      </c>
    </row>
    <row r="70" spans="7:12">
      <c r="G70">
        <f ca="1">IF( ISNUMBER($L70), MAX($G$50:G69)+1,0)</f>
        <v>13</v>
      </c>
      <c r="H70" s="13" t="s">
        <v>140</v>
      </c>
      <c r="I70" s="67" t="s">
        <v>141</v>
      </c>
      <c r="J70" s="67" t="s">
        <v>102</v>
      </c>
      <c r="K70" s="80" t="str">
        <f t="shared" si="4"/>
        <v>CDAVG19845</v>
      </c>
      <c r="L70" s="80">
        <f ca="1">IF(ISNUMBER(FIND("(",$I70)), "", _xll.IMDP("IR", $K70, $L$50, WORKDAY('CD|CP 발행사'!$C$4,-1)) )</f>
        <v>3.5</v>
      </c>
    </row>
    <row r="71" spans="7:12">
      <c r="G71">
        <f ca="1">IF( ISNUMBER($L71), MAX($G$50:G70)+1,0)</f>
        <v>14</v>
      </c>
      <c r="H71" s="13" t="s">
        <v>142</v>
      </c>
      <c r="I71" s="67" t="s">
        <v>143</v>
      </c>
      <c r="J71" s="67" t="s">
        <v>113</v>
      </c>
      <c r="K71" s="80" t="str">
        <f t="shared" si="4"/>
        <v>CDAVG45405</v>
      </c>
      <c r="L71" s="80">
        <f ca="1">IF(ISNUMBER(FIND("(",$I71)), "", _xll.IMDP("IR", $K71, $L$50, WORKDAY('CD|CP 발행사'!$C$4,-1)) )</f>
        <v>3.53</v>
      </c>
    </row>
    <row r="72" spans="7:12">
      <c r="G72">
        <f ca="1">IF( ISNUMBER($L72), MAX($G$50:G71)+1,0)</f>
        <v>15</v>
      </c>
      <c r="H72" s="13" t="s">
        <v>144</v>
      </c>
      <c r="I72" s="67" t="s">
        <v>145</v>
      </c>
      <c r="J72" s="67" t="s">
        <v>113</v>
      </c>
      <c r="K72" s="80" t="str">
        <f t="shared" si="4"/>
        <v>CDAVG45406</v>
      </c>
      <c r="L72" s="80">
        <f ca="1">IF(ISNUMBER(FIND("(",$I72)), "", _xll.IMDP("IR", $K72, $L$50, WORKDAY('CD|CP 발행사'!$C$4,-1)) )</f>
        <v>3.54</v>
      </c>
    </row>
    <row r="73" spans="7:12">
      <c r="G73">
        <f ca="1">IF( ISNUMBER($L73), MAX($G$50:G72)+1,0)</f>
        <v>0</v>
      </c>
      <c r="H73" s="13" t="s">
        <v>146</v>
      </c>
      <c r="I73" s="67" t="s">
        <v>147</v>
      </c>
      <c r="J73" s="67" t="s">
        <v>102</v>
      </c>
      <c r="K73" s="80" t="str">
        <f t="shared" si="4"/>
        <v>CDAVG47361</v>
      </c>
      <c r="L73" s="80" t="str">
        <f ca="1">IF(ISNUMBER(FIND("(",$I73)), "", _xll.IMDP("IR", $K73, $L$50, WORKDAY('CD|CP 발행사'!$C$4,-1)) )</f>
        <v/>
      </c>
    </row>
    <row r="74" spans="7:12">
      <c r="G74">
        <f ca="1">IF( ISNUMBER($L74), MAX($G$50:G73)+1,0)</f>
        <v>0</v>
      </c>
      <c r="H74" s="13" t="s">
        <v>148</v>
      </c>
      <c r="I74" s="67" t="s">
        <v>149</v>
      </c>
      <c r="J74" s="67" t="s">
        <v>102</v>
      </c>
      <c r="K74" s="80" t="str">
        <f t="shared" si="4"/>
        <v>CDAVG49448</v>
      </c>
      <c r="L74" s="80" t="str">
        <f ca="1">IF(ISNUMBER(FIND("(",$I74)), "", _xll.IMDP("IR", $K74, $L$50, WORKDAY('CD|CP 발행사'!$C$4,-1)) )</f>
        <v/>
      </c>
    </row>
    <row r="75" spans="7:12">
      <c r="G75">
        <f ca="1">IF( ISNUMBER($L75), MAX($G$50:G74)+1,0)</f>
        <v>0</v>
      </c>
      <c r="H75" s="13" t="s">
        <v>150</v>
      </c>
      <c r="I75" s="67" t="s">
        <v>151</v>
      </c>
      <c r="J75" s="67" t="s">
        <v>113</v>
      </c>
      <c r="K75" s="80" t="str">
        <f t="shared" si="4"/>
        <v>CDAVG65590</v>
      </c>
      <c r="L75" s="80" t="str">
        <f ca="1">IF(ISNUMBER(FIND("(",$I75)), "", _xll.IMDP("IR", $K75, $L$50, WORKDAY('CD|CP 발행사'!$C$4,-1)) )</f>
        <v/>
      </c>
    </row>
    <row r="76" spans="7:12">
      <c r="G76">
        <f>IF( ISNUMBER($L76), MAX($G$50:G75)+1,0)</f>
        <v>0</v>
      </c>
      <c r="H76" s="13" t="s">
        <v>152</v>
      </c>
      <c r="I76" s="67" t="s">
        <v>153</v>
      </c>
      <c r="J76" s="67" t="s">
        <v>102</v>
      </c>
      <c r="K76" s="80" t="str">
        <f t="shared" si="4"/>
        <v>CDAVG69090</v>
      </c>
      <c r="L76" s="80" t="str">
        <f>IF(ISNUMBER(FIND("(",$I76)), "", _xll.IMDP("IR", $K76, $L$50, WORKDAY('CD|CP 발행사'!$C$4,-1)) )</f>
        <v/>
      </c>
    </row>
    <row r="77" spans="7:12">
      <c r="G77">
        <f ca="1">IF( ISNUMBER($L77), MAX($G$50:G76)+1,0)</f>
        <v>0</v>
      </c>
      <c r="H77" s="13"/>
      <c r="I77" s="67"/>
      <c r="J77" s="67"/>
      <c r="K77" s="80" t="str">
        <f t="shared" si="4"/>
        <v>CDAVG</v>
      </c>
      <c r="L77" s="80" t="str">
        <f ca="1">IF(ISNUMBER(FIND("(",$I77)), "", _xll.IMDP("IR", $K77, $L$50, WORKDAY('CD|CP 발행사'!$C$4,-1)) )</f>
        <v/>
      </c>
    </row>
    <row r="78" spans="7:12">
      <c r="G78">
        <f ca="1">IF( ISNUMBER($L78), MAX($G$50:G77)+1,0)</f>
        <v>0</v>
      </c>
      <c r="H78" s="13"/>
      <c r="I78" s="67"/>
      <c r="J78" s="67"/>
      <c r="K78" s="80" t="str">
        <f t="shared" si="4"/>
        <v>CDAVG</v>
      </c>
      <c r="L78" s="80" t="str">
        <f ca="1">IF(ISNUMBER(FIND("(",$I78)), "", _xll.IMDP("IR", $K78, $L$50, WORKDAY('CD|CP 발행사'!$C$4,-1)) )</f>
        <v/>
      </c>
    </row>
    <row r="79" spans="7:12">
      <c r="G79">
        <f ca="1">IF( ISNUMBER($L79), MAX($G$50:G78)+1,0)</f>
        <v>0</v>
      </c>
      <c r="H79" s="13"/>
      <c r="I79" s="67"/>
      <c r="J79" s="67"/>
      <c r="K79" s="80" t="str">
        <f t="shared" si="4"/>
        <v>CDAVG</v>
      </c>
      <c r="L79" s="80" t="str">
        <f ca="1">IF(ISNUMBER(FIND("(",$I79)), "", _xll.IMDP("IR", $K79, $L$50, WORKDAY('CD|CP 발행사'!$C$4,-1)) )</f>
        <v/>
      </c>
    </row>
    <row r="80" spans="7:12">
      <c r="G80">
        <f ca="1">IF( ISNUMBER($L80), MAX($G$50:G79)+1,0)</f>
        <v>0</v>
      </c>
      <c r="H80" s="13"/>
      <c r="I80" s="67"/>
      <c r="J80" s="67"/>
      <c r="K80" s="80" t="str">
        <f t="shared" si="4"/>
        <v>CDAVG</v>
      </c>
      <c r="L80" s="80" t="str">
        <f ca="1">IF(ISNUMBER(FIND("(",$I80)), "", _xll.IMDP("IR", $K80, $L$50, WORKDAY('CD|CP 발행사'!$C$4,-1)) )</f>
        <v/>
      </c>
    </row>
    <row r="81" spans="7:12">
      <c r="G81">
        <f ca="1">IF( ISNUMBER($L81), MAX($G$50:G80)+1,0)</f>
        <v>0</v>
      </c>
      <c r="H81" s="13"/>
      <c r="I81" s="67"/>
      <c r="J81" s="67"/>
      <c r="K81" s="80" t="str">
        <f t="shared" si="4"/>
        <v>CDAVG</v>
      </c>
      <c r="L81" s="80" t="str">
        <f ca="1">IF(ISNUMBER(FIND("(",$I81)), "", _xll.IMDP("IR", $K81, $L$50, WORKDAY('CD|CP 발행사'!$C$4,-1)) )</f>
        <v/>
      </c>
    </row>
    <row r="82" spans="7:12">
      <c r="G82">
        <f ca="1">IF( ISNUMBER($L82), MAX($G$50:G81)+1,0)</f>
        <v>0</v>
      </c>
      <c r="H82" s="13"/>
      <c r="I82" s="67"/>
      <c r="J82" s="67"/>
      <c r="K82" s="80" t="str">
        <f t="shared" si="4"/>
        <v>CDAVG</v>
      </c>
      <c r="L82" s="80" t="str">
        <f ca="1">IF(ISNUMBER(FIND("(",$I82)), "", _xll.IMDP("IR", $K82, $L$50, WORKDAY('CD|CP 발행사'!$C$4,-1)) )</f>
        <v/>
      </c>
    </row>
    <row r="83" spans="7:12">
      <c r="G83">
        <f ca="1">IF( ISNUMBER($L83), MAX($G$50:G82)+1,0)</f>
        <v>0</v>
      </c>
      <c r="H83" s="13"/>
      <c r="I83" s="67"/>
      <c r="J83" s="67"/>
      <c r="K83" s="80" t="str">
        <f t="shared" si="4"/>
        <v>CDAVG</v>
      </c>
      <c r="L83" s="80" t="str">
        <f ca="1">IF(ISNUMBER(FIND("(",$I83)), "", _xll.IMDP("IR", $K83, $L$50, WORKDAY('CD|CP 발행사'!$C$4,-1)) )</f>
        <v/>
      </c>
    </row>
    <row r="84" spans="7:12">
      <c r="G84">
        <f ca="1">IF( ISNUMBER($L84), MAX($G$50:G83)+1,0)</f>
        <v>0</v>
      </c>
      <c r="H84" s="13"/>
      <c r="I84" s="67"/>
      <c r="J84" s="67"/>
      <c r="K84" s="80" t="str">
        <f t="shared" si="4"/>
        <v>CDAVG</v>
      </c>
      <c r="L84" s="80" t="str">
        <f ca="1">IF(ISNUMBER(FIND("(",$I84)), "", _xll.IMDP("IR", $K84, $L$50, WORKDAY('CD|CP 발행사'!$C$4,-1)) )</f>
        <v/>
      </c>
    </row>
    <row r="85" spans="7:12">
      <c r="G85">
        <f ca="1">IF( ISNUMBER($L85), MAX($G$50:G84)+1,0)</f>
        <v>0</v>
      </c>
      <c r="H85" s="13"/>
      <c r="I85" s="67"/>
      <c r="J85" s="67"/>
      <c r="K85" s="80" t="str">
        <f t="shared" si="4"/>
        <v>CDAVG</v>
      </c>
      <c r="L85" s="80" t="str">
        <f ca="1">IF(ISNUMBER(FIND("(",$I85)), "", _xll.IMDP("IR", $K85, $L$50, WORKDAY('CD|CP 발행사'!$C$4,-1)) )</f>
        <v/>
      </c>
    </row>
    <row r="86" spans="7:12">
      <c r="G86">
        <f ca="1">IF( ISNUMBER($L86), MAX($G$50:G85)+1,0)</f>
        <v>0</v>
      </c>
      <c r="H86" s="13"/>
      <c r="I86" s="67"/>
      <c r="J86" s="67"/>
      <c r="K86" s="80" t="str">
        <f t="shared" si="4"/>
        <v>CDAVG</v>
      </c>
      <c r="L86" s="80" t="str">
        <f ca="1">IF(ISNUMBER(FIND("(",$I86)), "", _xll.IMDP("IR", $K86, $L$50, WORKDAY('CD|CP 발행사'!$C$4,-1)) )</f>
        <v/>
      </c>
    </row>
    <row r="87" spans="7:12">
      <c r="G87">
        <f ca="1">IF( ISNUMBER($L87), MAX($G$50:G86)+1,0)</f>
        <v>0</v>
      </c>
      <c r="H87" s="13"/>
      <c r="I87" s="67"/>
      <c r="J87" s="67"/>
      <c r="K87" s="80" t="str">
        <f t="shared" si="4"/>
        <v>CDAVG</v>
      </c>
      <c r="L87" s="80" t="str">
        <f ca="1">IF(ISNUMBER(FIND("(",$I87)), "", _xll.IMDP("IR", $K87, $L$50, WORKDAY('CD|CP 발행사'!$C$4,-1)) )</f>
        <v/>
      </c>
    </row>
    <row r="88" spans="7:12">
      <c r="G88">
        <f ca="1">IF( ISNUMBER($L88), MAX($G$50:G87)+1,0)</f>
        <v>0</v>
      </c>
      <c r="H88" s="13"/>
      <c r="I88" s="67"/>
      <c r="J88" s="67"/>
      <c r="K88" s="80" t="str">
        <f t="shared" si="4"/>
        <v>CDAVG</v>
      </c>
      <c r="L88" s="80" t="str">
        <f ca="1">IF(ISNUMBER(FIND("(",$I88)), "", _xll.IMDP("IR", $K88, $L$50, WORKDAY('CD|CP 발행사'!$C$4,-1)) )</f>
        <v/>
      </c>
    </row>
    <row r="89" spans="7:12">
      <c r="G89">
        <f ca="1">IF( ISNUMBER($L89), MAX($G$50:G88)+1,0)</f>
        <v>0</v>
      </c>
      <c r="H89" s="13"/>
      <c r="I89" s="67"/>
      <c r="J89" s="67"/>
      <c r="K89" s="80" t="str">
        <f t="shared" si="4"/>
        <v>CDAVG</v>
      </c>
      <c r="L89" s="80" t="str">
        <f ca="1">IF(ISNUMBER(FIND("(",$I89)), "", _xll.IMDP("IR", $K89, $L$50, WORKDAY('CD|CP 발행사'!$C$4,-1)) )</f>
        <v/>
      </c>
    </row>
    <row r="90" spans="7:12">
      <c r="G90">
        <f ca="1">IF( ISNUMBER($L90), MAX($G$50:G89)+1,0)</f>
        <v>0</v>
      </c>
      <c r="H90" s="13"/>
      <c r="I90" s="67"/>
      <c r="J90" s="67"/>
      <c r="K90" s="80" t="str">
        <f t="shared" si="4"/>
        <v>CDAVG</v>
      </c>
      <c r="L90" s="80" t="str">
        <f ca="1">IF(ISNUMBER(FIND("(",$I90)), "", _xll.IMDP("IR", $K90, $L$50, WORKDAY('CD|CP 발행사'!$C$4,-1)) )</f>
        <v/>
      </c>
    </row>
    <row r="91" spans="7:12">
      <c r="G91">
        <f ca="1">IF( ISNUMBER($L91), MAX($G$50:G90)+1,0)</f>
        <v>0</v>
      </c>
      <c r="H91" s="13"/>
      <c r="I91" s="67"/>
      <c r="J91" s="67"/>
      <c r="K91" s="80" t="str">
        <f t="shared" si="4"/>
        <v>CDAVG</v>
      </c>
      <c r="L91" s="80" t="str">
        <f ca="1">IF(ISNUMBER(FIND("(",$I91)), "", _xll.IMDP("IR", $K91, $L$50, WORKDAY('CD|CP 발행사'!$C$4,-1)) )</f>
        <v/>
      </c>
    </row>
    <row r="92" spans="7:12">
      <c r="G92">
        <f ca="1">IF( ISNUMBER($L92), MAX($G$50:G91)+1,0)</f>
        <v>0</v>
      </c>
      <c r="H92" s="13"/>
      <c r="I92" s="67"/>
      <c r="J92" s="67"/>
      <c r="K92" s="80" t="str">
        <f t="shared" si="4"/>
        <v>CDAVG</v>
      </c>
      <c r="L92" s="80" t="str">
        <f ca="1">IF(ISNUMBER(FIND("(",$I92)), "", _xll.IMDP("IR", $K92, $L$50, WORKDAY('CD|CP 발행사'!$C$4,-1)) )</f>
        <v/>
      </c>
    </row>
    <row r="93" spans="7:12">
      <c r="G93">
        <f ca="1">IF( ISNUMBER($L93), MAX($G$50:G92)+1,0)</f>
        <v>0</v>
      </c>
      <c r="H93" s="13"/>
      <c r="I93" s="67"/>
      <c r="J93" s="67"/>
      <c r="K93" s="80" t="str">
        <f t="shared" si="4"/>
        <v>CDAVG</v>
      </c>
      <c r="L93" s="80" t="str">
        <f ca="1">IF(ISNUMBER(FIND("(",$I93)), "", _xll.IMDP("IR", $K93, $L$50, WORKDAY('CD|CP 발행사'!$C$4,-1)) )</f>
        <v/>
      </c>
    </row>
    <row r="94" spans="7:12">
      <c r="G94">
        <f ca="1">IF( ISNUMBER($L94), MAX($G$50:G93)+1,0)</f>
        <v>0</v>
      </c>
      <c r="H94" s="13"/>
      <c r="I94" s="67"/>
      <c r="J94" s="67"/>
      <c r="K94" s="80" t="str">
        <f t="shared" si="4"/>
        <v>CDAVG</v>
      </c>
      <c r="L94" s="80" t="str">
        <f ca="1">IF(ISNUMBER(FIND("(",$I94)), "", _xll.IMDP("IR", $K94, $L$50, WORKDAY('CD|CP 발행사'!$C$4,-1)) )</f>
        <v/>
      </c>
    </row>
    <row r="95" spans="7:12">
      <c r="G95">
        <f ca="1">IF( ISNUMBER($L95), MAX($G$50:G94)+1,0)</f>
        <v>0</v>
      </c>
      <c r="H95" s="13"/>
      <c r="I95" s="67"/>
      <c r="J95" s="67"/>
      <c r="K95" s="80" t="str">
        <f t="shared" si="4"/>
        <v>CDAVG</v>
      </c>
      <c r="L95" s="80" t="str">
        <f ca="1">IF(ISNUMBER(FIND("(",$I95)), "", _xll.IMDP("IR", $K95, $L$50, WORKDAY('CD|CP 발행사'!$C$4,-1)) )</f>
        <v/>
      </c>
    </row>
    <row r="96" spans="7:12">
      <c r="G96">
        <f ca="1">IF( ISNUMBER($L96), MAX($G$50:G95)+1,0)</f>
        <v>0</v>
      </c>
      <c r="H96" s="13"/>
      <c r="I96" s="67"/>
      <c r="J96" s="67"/>
      <c r="K96" s="80" t="str">
        <f t="shared" si="4"/>
        <v>CDAVG</v>
      </c>
      <c r="L96" s="80" t="str">
        <f ca="1">IF(ISNUMBER(FIND("(",$I96)), "", _xll.IMDP("IR", $K96, $L$50, WORKDAY('CD|CP 발행사'!$C$4,-1)) )</f>
        <v/>
      </c>
    </row>
    <row r="97" spans="7:12">
      <c r="G97">
        <f ca="1">IF( ISNUMBER($L97), MAX($G$50:G96)+1,0)</f>
        <v>0</v>
      </c>
      <c r="H97" s="13"/>
      <c r="I97" s="67"/>
      <c r="J97" s="67"/>
      <c r="K97" s="80" t="str">
        <f t="shared" si="4"/>
        <v>CDAVG</v>
      </c>
      <c r="L97" s="80" t="str">
        <f ca="1">IF(ISNUMBER(FIND("(",$I97)), "", _xll.IMDP("IR", $K97, $L$50, WORKDAY('CD|CP 발행사'!$C$4,-1)) )</f>
        <v/>
      </c>
    </row>
    <row r="98" spans="7:12">
      <c r="G98">
        <f ca="1">IF( ISNUMBER($L98), MAX($G$50:G97)+1,0)</f>
        <v>0</v>
      </c>
      <c r="H98" s="13"/>
      <c r="I98" s="67"/>
      <c r="J98" s="67"/>
      <c r="K98" s="80" t="str">
        <f t="shared" si="4"/>
        <v>CDAVG</v>
      </c>
      <c r="L98" s="80" t="str">
        <f ca="1">IF(ISNUMBER(FIND("(",$I98)), "", _xll.IMDP("IR", $K98, $L$50, WORKDAY('CD|CP 발행사'!$C$4,-1)) )</f>
        <v/>
      </c>
    </row>
    <row r="99" spans="7:12">
      <c r="G99">
        <f ca="1">IF( ISNUMBER($L99), MAX($G$50:G98)+1,0)</f>
        <v>0</v>
      </c>
      <c r="H99" s="13"/>
      <c r="I99" s="67"/>
      <c r="J99" s="67"/>
      <c r="K99" s="80" t="str">
        <f t="shared" si="4"/>
        <v>CDAVG</v>
      </c>
      <c r="L99" s="80" t="str">
        <f ca="1">IF(ISNUMBER(FIND("(",$I99)), "", _xll.IMDP("IR", $K99, $L$50, WORKDAY('CD|CP 발행사'!$C$4,-1)) )</f>
        <v/>
      </c>
    </row>
    <row r="100" spans="7:12">
      <c r="G100">
        <f ca="1">IF( ISNUMBER($L100), MAX($G$50:G99)+1,0)</f>
        <v>0</v>
      </c>
      <c r="H100" s="13"/>
      <c r="I100" s="67"/>
      <c r="J100" s="67"/>
      <c r="K100" s="80" t="str">
        <f t="shared" si="4"/>
        <v>CDAVG</v>
      </c>
      <c r="L100" s="80" t="str">
        <f ca="1">IF(ISNUMBER(FIND("(",$I100)), "", _xll.IMDP("IR", $K100, $L$50, WORKDAY('CD|CP 발행사'!$C$4,-1)) )</f>
        <v/>
      </c>
    </row>
    <row r="101" spans="7:12">
      <c r="G101">
        <f ca="1">IF( ISNUMBER($L101), MAX($G$50:G100)+1,0)</f>
        <v>0</v>
      </c>
      <c r="H101" s="13"/>
      <c r="I101" s="67"/>
      <c r="J101" s="67"/>
      <c r="K101" s="80" t="str">
        <f t="shared" si="4"/>
        <v>CDAVG</v>
      </c>
      <c r="L101" s="80" t="str">
        <f ca="1">IF(ISNUMBER(FIND("(",$I101)), "", _xll.IMDP("IR", $K101, $L$50, WORKDAY('CD|CP 발행사'!$C$4,-1)) )</f>
        <v/>
      </c>
    </row>
    <row r="102" spans="7:12">
      <c r="G102">
        <f ca="1">IF( ISNUMBER($L102), MAX($G$50:G101)+1,0)</f>
        <v>0</v>
      </c>
      <c r="H102" s="13"/>
      <c r="I102" s="67"/>
      <c r="J102" s="67"/>
      <c r="K102" s="80" t="str">
        <f t="shared" si="4"/>
        <v>CDAVG</v>
      </c>
      <c r="L102" s="80" t="str">
        <f ca="1">IF(ISNUMBER(FIND("(",$I102)), "", _xll.IMDP("IR", $K102, $L$50, WORKDAY('CD|CP 발행사'!$C$4,-1)) )</f>
        <v/>
      </c>
    </row>
    <row r="103" spans="7:12">
      <c r="G103">
        <f ca="1">IF( ISNUMBER($L103), MAX($G$50:G102)+1,0)</f>
        <v>0</v>
      </c>
      <c r="H103" s="13"/>
      <c r="I103" s="67"/>
      <c r="J103" s="67"/>
      <c r="K103" s="80" t="str">
        <f t="shared" si="4"/>
        <v>CDAVG</v>
      </c>
      <c r="L103" s="80" t="str">
        <f ca="1">IF(ISNUMBER(FIND("(",$I103)), "", _xll.IMDP("IR", $K103, $L$50, WORKDAY('CD|CP 발행사'!$C$4,-1)) )</f>
        <v/>
      </c>
    </row>
    <row r="104" spans="7:12">
      <c r="G104">
        <f ca="1">IF( ISNUMBER($L104), MAX($G$50:G103)+1,0)</f>
        <v>0</v>
      </c>
      <c r="H104" s="13"/>
      <c r="I104" s="67"/>
      <c r="J104" s="67"/>
      <c r="K104" s="80" t="str">
        <f t="shared" si="4"/>
        <v>CDAVG</v>
      </c>
      <c r="L104" s="80" t="str">
        <f ca="1">IF(ISNUMBER(FIND("(",$I104)), "", _xll.IMDP("IR", $K104, $L$50, WORKDAY('CD|CP 발행사'!$C$4,-1)) )</f>
        <v/>
      </c>
    </row>
    <row r="105" spans="7:12">
      <c r="G105">
        <f ca="1">IF( ISNUMBER($L105), MAX($G$50:G104)+1,0)</f>
        <v>0</v>
      </c>
      <c r="H105" s="13"/>
      <c r="I105" s="67"/>
      <c r="J105" s="67"/>
      <c r="K105" s="80" t="str">
        <f t="shared" si="4"/>
        <v>CDAVG</v>
      </c>
      <c r="L105" s="80" t="str">
        <f ca="1">IF(ISNUMBER(FIND("(",$I105)), "", _xll.IMDP("IR", $K105, $L$50, WORKDAY('CD|CP 발행사'!$C$4,-1)) )</f>
        <v/>
      </c>
    </row>
    <row r="106" spans="7:12">
      <c r="G106">
        <f ca="1">IF( ISNUMBER($L106), MAX($G$50:G105)+1,0)</f>
        <v>0</v>
      </c>
      <c r="H106" s="13"/>
      <c r="I106" s="67"/>
      <c r="J106" s="67"/>
      <c r="K106" s="80" t="str">
        <f t="shared" si="4"/>
        <v>CDAVG</v>
      </c>
      <c r="L106" s="80" t="str">
        <f ca="1">IF(ISNUMBER(FIND("(",$I106)), "", _xll.IMDP("IR", $K106, $L$50, WORKDAY('CD|CP 발행사'!$C$4,-1)) )</f>
        <v/>
      </c>
    </row>
    <row r="107" spans="7:12">
      <c r="G107">
        <f ca="1">IF( ISNUMBER($L107), MAX($G$50:G106)+1,0)</f>
        <v>0</v>
      </c>
      <c r="H107" s="13"/>
      <c r="I107" s="67"/>
      <c r="J107" s="67"/>
      <c r="K107" s="80" t="str">
        <f t="shared" si="4"/>
        <v>CDAVG</v>
      </c>
      <c r="L107" s="80" t="str">
        <f ca="1">IF(ISNUMBER(FIND("(",$I107)), "", _xll.IMDP("IR", $K107, $L$50, WORKDAY('CD|CP 발행사'!$C$4,-1)) )</f>
        <v/>
      </c>
    </row>
    <row r="108" spans="7:12">
      <c r="G108">
        <f ca="1">IF( ISNUMBER($L108), MAX($G$50:G107)+1,0)</f>
        <v>0</v>
      </c>
      <c r="H108" s="13"/>
      <c r="I108" s="67"/>
      <c r="J108" s="67"/>
      <c r="K108" s="80" t="str">
        <f t="shared" si="4"/>
        <v>CDAVG</v>
      </c>
      <c r="L108" s="80" t="str">
        <f ca="1">IF(ISNUMBER(FIND("(",$I108)), "", _xll.IMDP("IR", $K108, $L$50, WORKDAY('CD|CP 발행사'!$C$4,-1)) )</f>
        <v/>
      </c>
    </row>
    <row r="109" spans="7:12">
      <c r="G109">
        <f ca="1">IF( ISNUMBER($L109), MAX($G$50:G108)+1,0)</f>
        <v>0</v>
      </c>
      <c r="H109" s="13"/>
      <c r="I109" s="67"/>
      <c r="J109" s="67"/>
      <c r="K109" s="80" t="str">
        <f t="shared" si="4"/>
        <v>CDAVG</v>
      </c>
      <c r="L109" s="80" t="str">
        <f ca="1">IF(ISNUMBER(FIND("(",$I109)), "", _xll.IMDP("IR", $K109, $L$50, WORKDAY('CD|CP 발행사'!$C$4,-1)) )</f>
        <v/>
      </c>
    </row>
    <row r="110" spans="7:12">
      <c r="G110">
        <f ca="1">IF( ISNUMBER($L110), MAX($G$50:G109)+1,0)</f>
        <v>0</v>
      </c>
      <c r="H110" s="13"/>
      <c r="I110" s="67"/>
      <c r="J110" s="67"/>
      <c r="K110" s="80" t="str">
        <f t="shared" si="4"/>
        <v>CDAVG</v>
      </c>
      <c r="L110" s="80" t="str">
        <f ca="1">IF(ISNUMBER(FIND("(",$I110)), "", _xll.IMDP("IR", $K110, $L$50, WORKDAY('CD|CP 발행사'!$C$4,-1)) )</f>
        <v/>
      </c>
    </row>
    <row r="111" spans="7:12">
      <c r="G111">
        <f ca="1">IF( ISNUMBER($L111), MAX($G$50:G110)+1,0)</f>
        <v>0</v>
      </c>
      <c r="H111" s="13"/>
      <c r="I111" s="67"/>
      <c r="J111" s="67"/>
      <c r="K111" s="80" t="str">
        <f t="shared" si="4"/>
        <v>CDAVG</v>
      </c>
      <c r="L111" s="80" t="str">
        <f ca="1">IF(ISNUMBER(FIND("(",$I111)), "", _xll.IMDP("IR", $K111, $L$50, WORKDAY('CD|CP 발행사'!$C$4,-1)) )</f>
        <v/>
      </c>
    </row>
    <row r="112" spans="7:12">
      <c r="G112">
        <f ca="1">IF( ISNUMBER($L112), MAX($G$50:G111)+1,0)</f>
        <v>0</v>
      </c>
      <c r="H112" s="13"/>
      <c r="I112" s="67"/>
      <c r="J112" s="67"/>
      <c r="K112" s="80" t="str">
        <f t="shared" si="4"/>
        <v>CDAVG</v>
      </c>
      <c r="L112" s="80" t="str">
        <f ca="1">IF(ISNUMBER(FIND("(",$I112)), "", _xll.IMDP("IR", $K112, $L$50, WORKDAY('CD|CP 발행사'!$C$4,-1)) )</f>
        <v/>
      </c>
    </row>
    <row r="113" spans="7:12">
      <c r="G113">
        <f ca="1">IF( ISNUMBER($L113), MAX($G$50:G112)+1,0)</f>
        <v>0</v>
      </c>
      <c r="H113" s="13"/>
      <c r="I113" s="67"/>
      <c r="J113" s="67"/>
      <c r="K113" s="80" t="str">
        <f t="shared" si="4"/>
        <v>CDAVG</v>
      </c>
      <c r="L113" s="80" t="str">
        <f ca="1">IF(ISNUMBER(FIND("(",$I113)), "", _xll.IMDP("IR", $K113, $L$50, WORKDAY('CD|CP 발행사'!$C$4,-1)) )</f>
        <v/>
      </c>
    </row>
    <row r="114" spans="7:12">
      <c r="G114">
        <f ca="1">IF( ISNUMBER($L114), MAX($G$50:G113)+1,0)</f>
        <v>0</v>
      </c>
      <c r="H114" s="13"/>
      <c r="I114" s="67"/>
      <c r="J114" s="67"/>
      <c r="K114" s="80" t="str">
        <f t="shared" si="4"/>
        <v>CDAVG</v>
      </c>
      <c r="L114" s="80" t="str">
        <f ca="1">IF(ISNUMBER(FIND("(",$I114)), "", _xll.IMDP("IR", $K114, $L$50, WORKDAY('CD|CP 발행사'!$C$4,-1)) )</f>
        <v/>
      </c>
    </row>
    <row r="115" spans="7:12">
      <c r="G115">
        <f ca="1">IF( ISNUMBER($L115), MAX($G$50:G114)+1,0)</f>
        <v>0</v>
      </c>
      <c r="H115" s="13"/>
      <c r="I115" s="67"/>
      <c r="J115" s="67"/>
      <c r="K115" s="80" t="str">
        <f t="shared" ref="K115:K178" si="6">$K$49&amp;$H115</f>
        <v>CDAVG</v>
      </c>
      <c r="L115" s="80" t="str">
        <f ca="1">IF(ISNUMBER(FIND("(",$I115)), "", _xll.IMDP("IR", $K115, $L$50, WORKDAY('CD|CP 발행사'!$C$4,-1)) )</f>
        <v/>
      </c>
    </row>
    <row r="116" spans="7:12">
      <c r="G116">
        <f ca="1">IF( ISNUMBER($L116), MAX($G$50:G115)+1,0)</f>
        <v>0</v>
      </c>
      <c r="H116" s="13"/>
      <c r="I116" s="67"/>
      <c r="J116" s="67"/>
      <c r="K116" s="80" t="str">
        <f t="shared" si="6"/>
        <v>CDAVG</v>
      </c>
      <c r="L116" s="80" t="str">
        <f ca="1">IF(ISNUMBER(FIND("(",$I116)), "", _xll.IMDP("IR", $K116, $L$50, WORKDAY('CD|CP 발행사'!$C$4,-1)) )</f>
        <v/>
      </c>
    </row>
    <row r="117" spans="7:12">
      <c r="G117">
        <f ca="1">IF( ISNUMBER($L117), MAX($G$50:G116)+1,0)</f>
        <v>0</v>
      </c>
      <c r="H117" s="13"/>
      <c r="I117" s="67"/>
      <c r="J117" s="67"/>
      <c r="K117" s="80" t="str">
        <f t="shared" si="6"/>
        <v>CDAVG</v>
      </c>
      <c r="L117" s="80" t="str">
        <f ca="1">IF(ISNUMBER(FIND("(",$I117)), "", _xll.IMDP("IR", $K117, $L$50, WORKDAY('CD|CP 발행사'!$C$4,-1)) )</f>
        <v/>
      </c>
    </row>
    <row r="118" spans="7:12">
      <c r="G118">
        <f ca="1">IF( ISNUMBER($L118), MAX($G$50:G117)+1,0)</f>
        <v>0</v>
      </c>
      <c r="H118" s="13"/>
      <c r="I118" s="67"/>
      <c r="J118" s="67"/>
      <c r="K118" s="80" t="str">
        <f t="shared" si="6"/>
        <v>CDAVG</v>
      </c>
      <c r="L118" s="80" t="str">
        <f ca="1">IF(ISNUMBER(FIND("(",$I118)), "", _xll.IMDP("IR", $K118, $L$50, WORKDAY('CD|CP 발행사'!$C$4,-1)) )</f>
        <v/>
      </c>
    </row>
    <row r="119" spans="7:12">
      <c r="G119">
        <f ca="1">IF( ISNUMBER($L119), MAX($G$50:G118)+1,0)</f>
        <v>0</v>
      </c>
      <c r="H119" s="13"/>
      <c r="I119" s="67"/>
      <c r="J119" s="67"/>
      <c r="K119" s="80" t="str">
        <f t="shared" si="6"/>
        <v>CDAVG</v>
      </c>
      <c r="L119" s="80" t="str">
        <f ca="1">IF(ISNUMBER(FIND("(",$I119)), "", _xll.IMDP("IR", $K119, $L$50, WORKDAY('CD|CP 발행사'!$C$4,-1)) )</f>
        <v/>
      </c>
    </row>
    <row r="120" spans="7:12">
      <c r="G120">
        <f ca="1">IF( ISNUMBER($L120), MAX($G$50:G119)+1,0)</f>
        <v>0</v>
      </c>
      <c r="H120" s="13"/>
      <c r="I120" s="67"/>
      <c r="J120" s="67"/>
      <c r="K120" s="80" t="str">
        <f t="shared" si="6"/>
        <v>CDAVG</v>
      </c>
      <c r="L120" s="80" t="str">
        <f ca="1">IF(ISNUMBER(FIND("(",$I120)), "", _xll.IMDP("IR", $K120, $L$50, WORKDAY('CD|CP 발행사'!$C$4,-1)) )</f>
        <v/>
      </c>
    </row>
    <row r="121" spans="7:12">
      <c r="G121">
        <f ca="1">IF( ISNUMBER($L121), MAX($G$50:G120)+1,0)</f>
        <v>0</v>
      </c>
      <c r="H121" s="13"/>
      <c r="I121" s="67"/>
      <c r="J121" s="67"/>
      <c r="K121" s="80" t="str">
        <f t="shared" si="6"/>
        <v>CDAVG</v>
      </c>
      <c r="L121" s="80" t="str">
        <f ca="1">IF(ISNUMBER(FIND("(",$I121)), "", _xll.IMDP("IR", $K121, $L$50, WORKDAY('CD|CP 발행사'!$C$4,-1)) )</f>
        <v/>
      </c>
    </row>
    <row r="122" spans="7:12">
      <c r="G122">
        <f ca="1">IF( ISNUMBER($L122), MAX($G$50:G121)+1,0)</f>
        <v>0</v>
      </c>
      <c r="H122" s="13"/>
      <c r="I122" s="67"/>
      <c r="J122" s="67"/>
      <c r="K122" s="80" t="str">
        <f t="shared" si="6"/>
        <v>CDAVG</v>
      </c>
      <c r="L122" s="80" t="str">
        <f ca="1">IF(ISNUMBER(FIND("(",$I122)), "", _xll.IMDP("IR", $K122, $L$50, WORKDAY('CD|CP 발행사'!$C$4,-1)) )</f>
        <v/>
      </c>
    </row>
    <row r="123" spans="7:12">
      <c r="G123">
        <f ca="1">IF( ISNUMBER($L123), MAX($G$50:G122)+1,0)</f>
        <v>0</v>
      </c>
      <c r="H123" s="13"/>
      <c r="I123" s="67"/>
      <c r="J123" s="67"/>
      <c r="K123" s="80" t="str">
        <f t="shared" si="6"/>
        <v>CDAVG</v>
      </c>
      <c r="L123" s="80" t="str">
        <f ca="1">IF(ISNUMBER(FIND("(",$I123)), "", _xll.IMDP("IR", $K123, $L$50, WORKDAY('CD|CP 발행사'!$C$4,-1)) )</f>
        <v/>
      </c>
    </row>
    <row r="124" spans="7:12">
      <c r="G124">
        <f ca="1">IF( ISNUMBER($L124), MAX($G$50:G123)+1,0)</f>
        <v>0</v>
      </c>
      <c r="H124" s="13"/>
      <c r="I124" s="67"/>
      <c r="J124" s="67"/>
      <c r="K124" s="80" t="str">
        <f t="shared" si="6"/>
        <v>CDAVG</v>
      </c>
      <c r="L124" s="80" t="str">
        <f ca="1">IF(ISNUMBER(FIND("(",$I124)), "", _xll.IMDP("IR", $K124, $L$50, WORKDAY('CD|CP 발행사'!$C$4,-1)) )</f>
        <v/>
      </c>
    </row>
    <row r="125" spans="7:12">
      <c r="G125">
        <f ca="1">IF( ISNUMBER($L125), MAX($G$50:G124)+1,0)</f>
        <v>0</v>
      </c>
      <c r="H125" s="13"/>
      <c r="I125" s="67"/>
      <c r="J125" s="67"/>
      <c r="K125" s="80" t="str">
        <f t="shared" si="6"/>
        <v>CDAVG</v>
      </c>
      <c r="L125" s="80" t="str">
        <f ca="1">IF(ISNUMBER(FIND("(",$I125)), "", _xll.IMDP("IR", $K125, $L$50, WORKDAY('CD|CP 발행사'!$C$4,-1)) )</f>
        <v/>
      </c>
    </row>
    <row r="126" spans="7:12">
      <c r="G126">
        <f ca="1">IF( ISNUMBER($L126), MAX($G$50:G125)+1,0)</f>
        <v>0</v>
      </c>
      <c r="H126" s="13"/>
      <c r="I126" s="67"/>
      <c r="J126" s="67"/>
      <c r="K126" s="80" t="str">
        <f t="shared" si="6"/>
        <v>CDAVG</v>
      </c>
      <c r="L126" s="80" t="str">
        <f ca="1">IF(ISNUMBER(FIND("(",$I126)), "", _xll.IMDP("IR", $K126, $L$50, WORKDAY('CD|CP 발행사'!$C$4,-1)) )</f>
        <v/>
      </c>
    </row>
    <row r="127" spans="7:12">
      <c r="G127">
        <f ca="1">IF( ISNUMBER($L127), MAX($G$50:G126)+1,0)</f>
        <v>0</v>
      </c>
      <c r="H127" s="13"/>
      <c r="I127" s="67"/>
      <c r="J127" s="67"/>
      <c r="K127" s="80" t="str">
        <f t="shared" si="6"/>
        <v>CDAVG</v>
      </c>
      <c r="L127" s="80" t="str">
        <f ca="1">IF(ISNUMBER(FIND("(",$I127)), "", _xll.IMDP("IR", $K127, $L$50, WORKDAY('CD|CP 발행사'!$C$4,-1)) )</f>
        <v/>
      </c>
    </row>
    <row r="128" spans="7:12">
      <c r="G128">
        <f ca="1">IF( ISNUMBER($L128), MAX($G$50:G127)+1,0)</f>
        <v>0</v>
      </c>
      <c r="H128" s="13"/>
      <c r="I128" s="67"/>
      <c r="J128" s="67"/>
      <c r="K128" s="80" t="str">
        <f t="shared" si="6"/>
        <v>CDAVG</v>
      </c>
      <c r="L128" s="80" t="str">
        <f ca="1">IF(ISNUMBER(FIND("(",$I128)), "", _xll.IMDP("IR", $K128, $L$50, WORKDAY('CD|CP 발행사'!$C$4,-1)) )</f>
        <v/>
      </c>
    </row>
    <row r="129" spans="7:12">
      <c r="G129">
        <f ca="1">IF( ISNUMBER($L129), MAX($G$50:G128)+1,0)</f>
        <v>0</v>
      </c>
      <c r="H129" s="13"/>
      <c r="I129" s="67"/>
      <c r="J129" s="67"/>
      <c r="K129" s="80" t="str">
        <f t="shared" si="6"/>
        <v>CDAVG</v>
      </c>
      <c r="L129" s="80" t="str">
        <f ca="1">IF(ISNUMBER(FIND("(",$I129)), "", _xll.IMDP("IR", $K129, $L$50, WORKDAY('CD|CP 발행사'!$C$4,-1)) )</f>
        <v/>
      </c>
    </row>
    <row r="130" spans="7:12">
      <c r="G130">
        <f ca="1">IF( ISNUMBER($L130), MAX($G$50:G129)+1,0)</f>
        <v>0</v>
      </c>
      <c r="H130" s="13"/>
      <c r="I130" s="67"/>
      <c r="J130" s="67"/>
      <c r="K130" s="80" t="str">
        <f t="shared" si="6"/>
        <v>CDAVG</v>
      </c>
      <c r="L130" s="80" t="str">
        <f ca="1">IF(ISNUMBER(FIND("(",$I130)), "", _xll.IMDP("IR", $K130, $L$50, WORKDAY('CD|CP 발행사'!$C$4,-1)) )</f>
        <v/>
      </c>
    </row>
    <row r="131" spans="7:12">
      <c r="G131">
        <f ca="1">IF( ISNUMBER($L131), MAX($G$50:G130)+1,0)</f>
        <v>0</v>
      </c>
      <c r="H131" s="13"/>
      <c r="I131" s="67"/>
      <c r="J131" s="67"/>
      <c r="K131" s="80" t="str">
        <f t="shared" si="6"/>
        <v>CDAVG</v>
      </c>
      <c r="L131" s="80" t="str">
        <f ca="1">IF(ISNUMBER(FIND("(",$I131)), "", _xll.IMDP("IR", $K131, $L$50, WORKDAY('CD|CP 발행사'!$C$4,-1)) )</f>
        <v/>
      </c>
    </row>
    <row r="132" spans="7:12">
      <c r="G132">
        <f ca="1">IF( ISNUMBER($L132), MAX($G$50:G131)+1,0)</f>
        <v>0</v>
      </c>
      <c r="H132" s="13"/>
      <c r="I132" s="67"/>
      <c r="J132" s="67"/>
      <c r="K132" s="80" t="str">
        <f t="shared" si="6"/>
        <v>CDAVG</v>
      </c>
      <c r="L132" s="80" t="str">
        <f ca="1">IF(ISNUMBER(FIND("(",$I132)), "", _xll.IMDP("IR", $K132, $L$50, WORKDAY('CD|CP 발행사'!$C$4,-1)) )</f>
        <v/>
      </c>
    </row>
    <row r="133" spans="7:12">
      <c r="G133">
        <f ca="1">IF( ISNUMBER($L133), MAX($G$50:G132)+1,0)</f>
        <v>0</v>
      </c>
      <c r="H133" s="13"/>
      <c r="I133" s="67"/>
      <c r="J133" s="67"/>
      <c r="K133" s="80" t="str">
        <f t="shared" si="6"/>
        <v>CDAVG</v>
      </c>
      <c r="L133" s="80" t="str">
        <f ca="1">IF(ISNUMBER(FIND("(",$I133)), "", _xll.IMDP("IR", $K133, $L$50, WORKDAY('CD|CP 발행사'!$C$4,-1)) )</f>
        <v/>
      </c>
    </row>
    <row r="134" spans="7:12">
      <c r="G134">
        <f ca="1">IF( ISNUMBER($L134), MAX($G$50:G133)+1,0)</f>
        <v>0</v>
      </c>
      <c r="H134" s="13"/>
      <c r="I134" s="67"/>
      <c r="J134" s="67"/>
      <c r="K134" s="80" t="str">
        <f t="shared" si="6"/>
        <v>CDAVG</v>
      </c>
      <c r="L134" s="80" t="str">
        <f ca="1">IF(ISNUMBER(FIND("(",$I134)), "", _xll.IMDP("IR", $K134, $L$50, WORKDAY('CD|CP 발행사'!$C$4,-1)) )</f>
        <v/>
      </c>
    </row>
    <row r="135" spans="7:12">
      <c r="G135">
        <f ca="1">IF( ISNUMBER($L135), MAX($G$50:G134)+1,0)</f>
        <v>0</v>
      </c>
      <c r="H135" s="13"/>
      <c r="I135" s="67"/>
      <c r="J135" s="67"/>
      <c r="K135" s="80" t="str">
        <f t="shared" si="6"/>
        <v>CDAVG</v>
      </c>
      <c r="L135" s="80" t="str">
        <f ca="1">IF(ISNUMBER(FIND("(",$I135)), "", _xll.IMDP("IR", $K135, $L$50, WORKDAY('CD|CP 발행사'!$C$4,-1)) )</f>
        <v/>
      </c>
    </row>
    <row r="136" spans="7:12">
      <c r="G136">
        <f ca="1">IF( ISNUMBER($L136), MAX($G$50:G135)+1,0)</f>
        <v>0</v>
      </c>
      <c r="H136" s="13"/>
      <c r="I136" s="67"/>
      <c r="J136" s="67"/>
      <c r="K136" s="80" t="str">
        <f t="shared" si="6"/>
        <v>CDAVG</v>
      </c>
      <c r="L136" s="80" t="str">
        <f ca="1">IF(ISNUMBER(FIND("(",$I136)), "", _xll.IMDP("IR", $K136, $L$50, WORKDAY('CD|CP 발행사'!$C$4,-1)) )</f>
        <v/>
      </c>
    </row>
    <row r="137" spans="7:12">
      <c r="G137">
        <f ca="1">IF( ISNUMBER($L137), MAX($G$50:G136)+1,0)</f>
        <v>0</v>
      </c>
      <c r="H137" s="13"/>
      <c r="I137" s="67"/>
      <c r="J137" s="67"/>
      <c r="K137" s="80" t="str">
        <f t="shared" si="6"/>
        <v>CDAVG</v>
      </c>
      <c r="L137" s="80" t="str">
        <f ca="1">IF(ISNUMBER(FIND("(",$I137)), "", _xll.IMDP("IR", $K137, $L$50, WORKDAY('CD|CP 발행사'!$C$4,-1)) )</f>
        <v/>
      </c>
    </row>
    <row r="138" spans="7:12">
      <c r="G138">
        <f ca="1">IF( ISNUMBER($L138), MAX($G$50:G137)+1,0)</f>
        <v>0</v>
      </c>
      <c r="H138" s="13"/>
      <c r="I138" s="67"/>
      <c r="J138" s="67"/>
      <c r="K138" s="80" t="str">
        <f t="shared" si="6"/>
        <v>CDAVG</v>
      </c>
      <c r="L138" s="80" t="str">
        <f ca="1">IF(ISNUMBER(FIND("(",$I138)), "", _xll.IMDP("IR", $K138, $L$50, WORKDAY('CD|CP 발행사'!$C$4,-1)) )</f>
        <v/>
      </c>
    </row>
    <row r="139" spans="7:12">
      <c r="G139">
        <f ca="1">IF( ISNUMBER($L139), MAX($G$50:G138)+1,0)</f>
        <v>0</v>
      </c>
      <c r="H139" s="13"/>
      <c r="I139" s="67"/>
      <c r="J139" s="67"/>
      <c r="K139" s="80" t="str">
        <f t="shared" si="6"/>
        <v>CDAVG</v>
      </c>
      <c r="L139" s="80" t="str">
        <f ca="1">IF(ISNUMBER(FIND("(",$I139)), "", _xll.IMDP("IR", $K139, $L$50, WORKDAY('CD|CP 발행사'!$C$4,-1)) )</f>
        <v/>
      </c>
    </row>
    <row r="140" spans="7:12">
      <c r="G140">
        <f ca="1">IF( ISNUMBER($L140), MAX($G$50:G139)+1,0)</f>
        <v>0</v>
      </c>
      <c r="H140" s="13"/>
      <c r="I140" s="67"/>
      <c r="J140" s="67"/>
      <c r="K140" s="80" t="str">
        <f t="shared" si="6"/>
        <v>CDAVG</v>
      </c>
      <c r="L140" s="80" t="str">
        <f ca="1">IF(ISNUMBER(FIND("(",$I140)), "", _xll.IMDP("IR", $K140, $L$50, WORKDAY('CD|CP 발행사'!$C$4,-1)) )</f>
        <v/>
      </c>
    </row>
    <row r="141" spans="7:12">
      <c r="G141">
        <f ca="1">IF( ISNUMBER($L141), MAX($G$50:G140)+1,0)</f>
        <v>0</v>
      </c>
      <c r="H141" s="13"/>
      <c r="I141" s="67"/>
      <c r="J141" s="67"/>
      <c r="K141" s="80" t="str">
        <f t="shared" si="6"/>
        <v>CDAVG</v>
      </c>
      <c r="L141" s="80" t="str">
        <f ca="1">IF(ISNUMBER(FIND("(",$I141)), "", _xll.IMDP("IR", $K141, $L$50, WORKDAY('CD|CP 발행사'!$C$4,-1)) )</f>
        <v/>
      </c>
    </row>
    <row r="142" spans="7:12">
      <c r="G142">
        <f ca="1">IF( ISNUMBER($L142), MAX($G$50:G141)+1,0)</f>
        <v>0</v>
      </c>
      <c r="H142" s="13"/>
      <c r="I142" s="67"/>
      <c r="J142" s="67"/>
      <c r="K142" s="80" t="str">
        <f t="shared" si="6"/>
        <v>CDAVG</v>
      </c>
      <c r="L142" s="80" t="str">
        <f ca="1">IF(ISNUMBER(FIND("(",$I142)), "", _xll.IMDP("IR", $K142, $L$50, WORKDAY('CD|CP 발행사'!$C$4,-1)) )</f>
        <v/>
      </c>
    </row>
    <row r="143" spans="7:12">
      <c r="G143">
        <f ca="1">IF( ISNUMBER($L143), MAX($G$50:G142)+1,0)</f>
        <v>0</v>
      </c>
      <c r="H143" s="13"/>
      <c r="I143" s="67"/>
      <c r="J143" s="67"/>
      <c r="K143" s="80" t="str">
        <f t="shared" si="6"/>
        <v>CDAVG</v>
      </c>
      <c r="L143" s="80" t="str">
        <f ca="1">IF(ISNUMBER(FIND("(",$I143)), "", _xll.IMDP("IR", $K143, $L$50, WORKDAY('CD|CP 발행사'!$C$4,-1)) )</f>
        <v/>
      </c>
    </row>
    <row r="144" spans="7:12">
      <c r="G144">
        <f ca="1">IF( ISNUMBER($L144), MAX($G$50:G143)+1,0)</f>
        <v>0</v>
      </c>
      <c r="H144" s="13"/>
      <c r="I144" s="67"/>
      <c r="J144" s="67"/>
      <c r="K144" s="80" t="str">
        <f t="shared" si="6"/>
        <v>CDAVG</v>
      </c>
      <c r="L144" s="80" t="str">
        <f ca="1">IF(ISNUMBER(FIND("(",$I144)), "", _xll.IMDP("IR", $K144, $L$50, WORKDAY('CD|CP 발행사'!$C$4,-1)) )</f>
        <v/>
      </c>
    </row>
    <row r="145" spans="7:12">
      <c r="G145">
        <f ca="1">IF( ISNUMBER($L145), MAX($G$50:G144)+1,0)</f>
        <v>0</v>
      </c>
      <c r="H145" s="13"/>
      <c r="I145" s="67"/>
      <c r="J145" s="67"/>
      <c r="K145" s="80" t="str">
        <f t="shared" si="6"/>
        <v>CDAVG</v>
      </c>
      <c r="L145" s="80" t="str">
        <f ca="1">IF(ISNUMBER(FIND("(",$I145)), "", _xll.IMDP("IR", $K145, $L$50, WORKDAY('CD|CP 발행사'!$C$4,-1)) )</f>
        <v/>
      </c>
    </row>
    <row r="146" spans="7:12">
      <c r="G146">
        <f ca="1">IF( ISNUMBER($L146), MAX($G$50:G145)+1,0)</f>
        <v>0</v>
      </c>
      <c r="H146" s="13"/>
      <c r="I146" s="67"/>
      <c r="J146" s="67"/>
      <c r="K146" s="80" t="str">
        <f t="shared" si="6"/>
        <v>CDAVG</v>
      </c>
      <c r="L146" s="80" t="str">
        <f ca="1">IF(ISNUMBER(FIND("(",$I146)), "", _xll.IMDP("IR", $K146, $L$50, WORKDAY('CD|CP 발행사'!$C$4,-1)) )</f>
        <v/>
      </c>
    </row>
    <row r="147" spans="7:12">
      <c r="G147">
        <f ca="1">IF( ISNUMBER($L147), MAX($G$50:G146)+1,0)</f>
        <v>0</v>
      </c>
      <c r="H147" s="13"/>
      <c r="I147" s="67"/>
      <c r="J147" s="67"/>
      <c r="K147" s="80" t="str">
        <f t="shared" si="6"/>
        <v>CDAVG</v>
      </c>
      <c r="L147" s="80" t="str">
        <f ca="1">IF(ISNUMBER(FIND("(",$I147)), "", _xll.IMDP("IR", $K147, $L$50, WORKDAY('CD|CP 발행사'!$C$4,-1)) )</f>
        <v/>
      </c>
    </row>
    <row r="148" spans="7:12">
      <c r="G148">
        <f ca="1">IF( ISNUMBER($L148), MAX($G$50:G147)+1,0)</f>
        <v>0</v>
      </c>
      <c r="H148" s="13"/>
      <c r="I148" s="67"/>
      <c r="J148" s="67"/>
      <c r="K148" s="80" t="str">
        <f t="shared" si="6"/>
        <v>CDAVG</v>
      </c>
      <c r="L148" s="80" t="str">
        <f ca="1">IF(ISNUMBER(FIND("(",$I148)), "", _xll.IMDP("IR", $K148, $L$50, WORKDAY('CD|CP 발행사'!$C$4,-1)) )</f>
        <v/>
      </c>
    </row>
    <row r="149" spans="7:12">
      <c r="G149">
        <f ca="1">IF( ISNUMBER($L149), MAX($G$50:G148)+1,0)</f>
        <v>0</v>
      </c>
      <c r="H149" s="13"/>
      <c r="I149" s="67"/>
      <c r="J149" s="67"/>
      <c r="K149" s="80" t="str">
        <f t="shared" si="6"/>
        <v>CDAVG</v>
      </c>
      <c r="L149" s="80" t="str">
        <f ca="1">IF(ISNUMBER(FIND("(",$I149)), "", _xll.IMDP("IR", $K149, $L$50, WORKDAY('CD|CP 발행사'!$C$4,-1)) )</f>
        <v/>
      </c>
    </row>
    <row r="150" spans="7:12">
      <c r="G150">
        <f ca="1">IF( ISNUMBER($L150), MAX($G$50:G149)+1,0)</f>
        <v>0</v>
      </c>
      <c r="H150" s="13"/>
      <c r="I150" s="67"/>
      <c r="J150" s="67"/>
      <c r="K150" s="80" t="str">
        <f t="shared" si="6"/>
        <v>CDAVG</v>
      </c>
      <c r="L150" s="80" t="str">
        <f ca="1">IF(ISNUMBER(FIND("(",$I150)), "", _xll.IMDP("IR", $K150, $L$50, WORKDAY('CD|CP 발행사'!$C$4,-1)) )</f>
        <v/>
      </c>
    </row>
    <row r="151" spans="7:12">
      <c r="G151">
        <f ca="1">IF( ISNUMBER($L151), MAX($G$50:G150)+1,0)</f>
        <v>0</v>
      </c>
      <c r="H151" s="13"/>
      <c r="I151" s="67"/>
      <c r="J151" s="67"/>
      <c r="K151" s="80" t="str">
        <f t="shared" si="6"/>
        <v>CDAVG</v>
      </c>
      <c r="L151" s="80" t="str">
        <f ca="1">IF(ISNUMBER(FIND("(",$I151)), "", _xll.IMDP("IR", $K151, $L$50, WORKDAY('CD|CP 발행사'!$C$4,-1)) )</f>
        <v/>
      </c>
    </row>
    <row r="152" spans="7:12">
      <c r="G152">
        <f ca="1">IF( ISNUMBER($L152), MAX($G$50:G151)+1,0)</f>
        <v>0</v>
      </c>
      <c r="H152" s="13"/>
      <c r="I152" s="67"/>
      <c r="J152" s="67"/>
      <c r="K152" s="80" t="str">
        <f t="shared" si="6"/>
        <v>CDAVG</v>
      </c>
      <c r="L152" s="80" t="str">
        <f ca="1">IF(ISNUMBER(FIND("(",$I152)), "", _xll.IMDP("IR", $K152, $L$50, WORKDAY('CD|CP 발행사'!$C$4,-1)) )</f>
        <v/>
      </c>
    </row>
    <row r="153" spans="7:12">
      <c r="G153">
        <f ca="1">IF( ISNUMBER($L153), MAX($G$50:G152)+1,0)</f>
        <v>0</v>
      </c>
      <c r="H153" s="13"/>
      <c r="I153" s="67"/>
      <c r="J153" s="67"/>
      <c r="K153" s="80" t="str">
        <f t="shared" si="6"/>
        <v>CDAVG</v>
      </c>
      <c r="L153" s="80" t="str">
        <f ca="1">IF(ISNUMBER(FIND("(",$I153)), "", _xll.IMDP("IR", $K153, $L$50, WORKDAY('CD|CP 발행사'!$C$4,-1)) )</f>
        <v/>
      </c>
    </row>
    <row r="154" spans="7:12">
      <c r="G154">
        <f ca="1">IF( ISNUMBER($L154), MAX($G$50:G153)+1,0)</f>
        <v>0</v>
      </c>
      <c r="H154" s="13"/>
      <c r="I154" s="67"/>
      <c r="J154" s="67"/>
      <c r="K154" s="80" t="str">
        <f t="shared" si="6"/>
        <v>CDAVG</v>
      </c>
      <c r="L154" s="80" t="str">
        <f ca="1">IF(ISNUMBER(FIND("(",$I154)), "", _xll.IMDP("IR", $K154, $L$50, WORKDAY('CD|CP 발행사'!$C$4,-1)) )</f>
        <v/>
      </c>
    </row>
    <row r="155" spans="7:12">
      <c r="G155">
        <f ca="1">IF( ISNUMBER($L155), MAX($G$50:G154)+1,0)</f>
        <v>0</v>
      </c>
      <c r="H155" s="13"/>
      <c r="I155" s="67"/>
      <c r="J155" s="67"/>
      <c r="K155" s="80" t="str">
        <f t="shared" si="6"/>
        <v>CDAVG</v>
      </c>
      <c r="L155" s="80" t="str">
        <f ca="1">IF(ISNUMBER(FIND("(",$I155)), "", _xll.IMDP("IR", $K155, $L$50, WORKDAY('CD|CP 발행사'!$C$4,-1)) )</f>
        <v/>
      </c>
    </row>
    <row r="156" spans="7:12">
      <c r="G156">
        <f ca="1">IF( ISNUMBER($L156), MAX($G$50:G155)+1,0)</f>
        <v>0</v>
      </c>
      <c r="H156" s="13"/>
      <c r="I156" s="67"/>
      <c r="J156" s="67"/>
      <c r="K156" s="80" t="str">
        <f t="shared" si="6"/>
        <v>CDAVG</v>
      </c>
      <c r="L156" s="80" t="str">
        <f ca="1">IF(ISNUMBER(FIND("(",$I156)), "", _xll.IMDP("IR", $K156, $L$50, WORKDAY('CD|CP 발행사'!$C$4,-1)) )</f>
        <v/>
      </c>
    </row>
    <row r="157" spans="7:12">
      <c r="G157">
        <f ca="1">IF( ISNUMBER($L157), MAX($G$50:G156)+1,0)</f>
        <v>0</v>
      </c>
      <c r="H157" s="13"/>
      <c r="I157" s="67"/>
      <c r="J157" s="67"/>
      <c r="K157" s="80" t="str">
        <f t="shared" si="6"/>
        <v>CDAVG</v>
      </c>
      <c r="L157" s="80" t="str">
        <f ca="1">IF(ISNUMBER(FIND("(",$I157)), "", _xll.IMDP("IR", $K157, $L$50, WORKDAY('CD|CP 발행사'!$C$4,-1)) )</f>
        <v/>
      </c>
    </row>
    <row r="158" spans="7:12">
      <c r="G158">
        <f ca="1">IF( ISNUMBER($L158), MAX($G$50:G157)+1,0)</f>
        <v>0</v>
      </c>
      <c r="H158" s="13"/>
      <c r="I158" s="67"/>
      <c r="J158" s="67"/>
      <c r="K158" s="80" t="str">
        <f t="shared" si="6"/>
        <v>CDAVG</v>
      </c>
      <c r="L158" s="80" t="str">
        <f ca="1">IF(ISNUMBER(FIND("(",$I158)), "", _xll.IMDP("IR", $K158, $L$50, WORKDAY('CD|CP 발행사'!$C$4,-1)) )</f>
        <v/>
      </c>
    </row>
    <row r="159" spans="7:12">
      <c r="G159">
        <f ca="1">IF( ISNUMBER($L159), MAX($G$50:G158)+1,0)</f>
        <v>0</v>
      </c>
      <c r="H159" s="13"/>
      <c r="I159" s="67"/>
      <c r="J159" s="67"/>
      <c r="K159" s="80" t="str">
        <f t="shared" si="6"/>
        <v>CDAVG</v>
      </c>
      <c r="L159" s="80" t="str">
        <f ca="1">IF(ISNUMBER(FIND("(",$I159)), "", _xll.IMDP("IR", $K159, $L$50, WORKDAY('CD|CP 발행사'!$C$4,-1)) )</f>
        <v/>
      </c>
    </row>
    <row r="160" spans="7:12">
      <c r="G160">
        <f ca="1">IF( ISNUMBER($L160), MAX($G$50:G159)+1,0)</f>
        <v>0</v>
      </c>
      <c r="H160" s="13"/>
      <c r="I160" s="67"/>
      <c r="J160" s="67"/>
      <c r="K160" s="80" t="str">
        <f t="shared" si="6"/>
        <v>CDAVG</v>
      </c>
      <c r="L160" s="80" t="str">
        <f ca="1">IF(ISNUMBER(FIND("(",$I160)), "", _xll.IMDP("IR", $K160, $L$50, WORKDAY('CD|CP 발행사'!$C$4,-1)) )</f>
        <v/>
      </c>
    </row>
    <row r="161" spans="7:12">
      <c r="G161">
        <f ca="1">IF( ISNUMBER($L161), MAX($G$50:G160)+1,0)</f>
        <v>0</v>
      </c>
      <c r="H161" s="13"/>
      <c r="I161" s="67"/>
      <c r="J161" s="67"/>
      <c r="K161" s="80" t="str">
        <f t="shared" si="6"/>
        <v>CDAVG</v>
      </c>
      <c r="L161" s="80" t="str">
        <f ca="1">IF(ISNUMBER(FIND("(",$I161)), "", _xll.IMDP("IR", $K161, $L$50, WORKDAY('CD|CP 발행사'!$C$4,-1)) )</f>
        <v/>
      </c>
    </row>
    <row r="162" spans="7:12">
      <c r="G162">
        <f ca="1">IF( ISNUMBER($L162), MAX($G$50:G161)+1,0)</f>
        <v>0</v>
      </c>
      <c r="H162" s="13"/>
      <c r="I162" s="67"/>
      <c r="J162" s="67"/>
      <c r="K162" s="80" t="str">
        <f t="shared" si="6"/>
        <v>CDAVG</v>
      </c>
      <c r="L162" s="80" t="str">
        <f ca="1">IF(ISNUMBER(FIND("(",$I162)), "", _xll.IMDP("IR", $K162, $L$50, WORKDAY('CD|CP 발행사'!$C$4,-1)) )</f>
        <v/>
      </c>
    </row>
    <row r="163" spans="7:12">
      <c r="G163">
        <f ca="1">IF( ISNUMBER($L163), MAX($G$50:G162)+1,0)</f>
        <v>0</v>
      </c>
      <c r="H163" s="13"/>
      <c r="I163" s="67"/>
      <c r="J163" s="67"/>
      <c r="K163" s="80" t="str">
        <f t="shared" si="6"/>
        <v>CDAVG</v>
      </c>
      <c r="L163" s="80" t="str">
        <f ca="1">IF(ISNUMBER(FIND("(",$I163)), "", _xll.IMDP("IR", $K163, $L$50, WORKDAY('CD|CP 발행사'!$C$4,-1)) )</f>
        <v/>
      </c>
    </row>
    <row r="164" spans="7:12">
      <c r="G164">
        <f ca="1">IF( ISNUMBER($L164), MAX($G$50:G163)+1,0)</f>
        <v>0</v>
      </c>
      <c r="H164" s="13"/>
      <c r="I164" s="67"/>
      <c r="J164" s="67"/>
      <c r="K164" s="80" t="str">
        <f t="shared" si="6"/>
        <v>CDAVG</v>
      </c>
      <c r="L164" s="80" t="str">
        <f ca="1">IF(ISNUMBER(FIND("(",$I164)), "", _xll.IMDP("IR", $K164, $L$50, WORKDAY('CD|CP 발행사'!$C$4,-1)) )</f>
        <v/>
      </c>
    </row>
    <row r="165" spans="7:12">
      <c r="G165">
        <f ca="1">IF( ISNUMBER($L165), MAX($G$50:G164)+1,0)</f>
        <v>0</v>
      </c>
      <c r="H165" s="13"/>
      <c r="I165" s="67"/>
      <c r="J165" s="67"/>
      <c r="K165" s="80" t="str">
        <f t="shared" si="6"/>
        <v>CDAVG</v>
      </c>
      <c r="L165" s="80" t="str">
        <f ca="1">IF(ISNUMBER(FIND("(",$I165)), "", _xll.IMDP("IR", $K165, $L$50, WORKDAY('CD|CP 발행사'!$C$4,-1)) )</f>
        <v/>
      </c>
    </row>
    <row r="166" spans="7:12">
      <c r="G166">
        <f ca="1">IF( ISNUMBER($L166), MAX($G$50:G165)+1,0)</f>
        <v>0</v>
      </c>
      <c r="H166" s="13"/>
      <c r="I166" s="67"/>
      <c r="J166" s="67"/>
      <c r="K166" s="80" t="str">
        <f t="shared" si="6"/>
        <v>CDAVG</v>
      </c>
      <c r="L166" s="80" t="str">
        <f ca="1">IF(ISNUMBER(FIND("(",$I166)), "", _xll.IMDP("IR", $K166, $L$50, WORKDAY('CD|CP 발행사'!$C$4,-1)) )</f>
        <v/>
      </c>
    </row>
    <row r="167" spans="7:12">
      <c r="G167">
        <f ca="1">IF( ISNUMBER($L167), MAX($G$50:G166)+1,0)</f>
        <v>0</v>
      </c>
      <c r="H167" s="13"/>
      <c r="I167" s="67"/>
      <c r="J167" s="67"/>
      <c r="K167" s="80" t="str">
        <f t="shared" si="6"/>
        <v>CDAVG</v>
      </c>
      <c r="L167" s="80" t="str">
        <f ca="1">IF(ISNUMBER(FIND("(",$I167)), "", _xll.IMDP("IR", $K167, $L$50, WORKDAY('CD|CP 발행사'!$C$4,-1)) )</f>
        <v/>
      </c>
    </row>
    <row r="168" spans="7:12">
      <c r="G168">
        <f ca="1">IF( ISNUMBER($L168), MAX($G$50:G167)+1,0)</f>
        <v>0</v>
      </c>
      <c r="H168" s="13"/>
      <c r="I168" s="67"/>
      <c r="J168" s="67"/>
      <c r="K168" s="80" t="str">
        <f t="shared" si="6"/>
        <v>CDAVG</v>
      </c>
      <c r="L168" s="80" t="str">
        <f ca="1">IF(ISNUMBER(FIND("(",$I168)), "", _xll.IMDP("IR", $K168, $L$50, WORKDAY('CD|CP 발행사'!$C$4,-1)) )</f>
        <v/>
      </c>
    </row>
    <row r="169" spans="7:12">
      <c r="G169">
        <f ca="1">IF( ISNUMBER($L169), MAX($G$50:G168)+1,0)</f>
        <v>0</v>
      </c>
      <c r="H169" s="13"/>
      <c r="I169" s="67"/>
      <c r="J169" s="67"/>
      <c r="K169" s="80" t="str">
        <f t="shared" si="6"/>
        <v>CDAVG</v>
      </c>
      <c r="L169" s="80" t="str">
        <f ca="1">IF(ISNUMBER(FIND("(",$I169)), "", _xll.IMDP("IR", $K169, $L$50, WORKDAY('CD|CP 발행사'!$C$4,-1)) )</f>
        <v/>
      </c>
    </row>
    <row r="170" spans="7:12">
      <c r="G170">
        <f ca="1">IF( ISNUMBER($L170), MAX($G$50:G169)+1,0)</f>
        <v>0</v>
      </c>
      <c r="H170" s="13"/>
      <c r="I170" s="67"/>
      <c r="J170" s="67"/>
      <c r="K170" s="80" t="str">
        <f t="shared" si="6"/>
        <v>CDAVG</v>
      </c>
      <c r="L170" s="80" t="str">
        <f ca="1">IF(ISNUMBER(FIND("(",$I170)), "", _xll.IMDP("IR", $K170, $L$50, WORKDAY('CD|CP 발행사'!$C$4,-1)) )</f>
        <v/>
      </c>
    </row>
    <row r="171" spans="7:12">
      <c r="G171">
        <f ca="1">IF( ISNUMBER($L171), MAX($G$50:G170)+1,0)</f>
        <v>0</v>
      </c>
      <c r="H171" s="13"/>
      <c r="I171" s="67"/>
      <c r="J171" s="67"/>
      <c r="K171" s="80" t="str">
        <f t="shared" si="6"/>
        <v>CDAVG</v>
      </c>
      <c r="L171" s="80" t="str">
        <f ca="1">IF(ISNUMBER(FIND("(",$I171)), "", _xll.IMDP("IR", $K171, $L$50, WORKDAY('CD|CP 발행사'!$C$4,-1)) )</f>
        <v/>
      </c>
    </row>
    <row r="172" spans="7:12">
      <c r="G172">
        <f ca="1">IF( ISNUMBER($L172), MAX($G$50:G171)+1,0)</f>
        <v>0</v>
      </c>
      <c r="H172" s="13"/>
      <c r="I172" s="67"/>
      <c r="J172" s="67"/>
      <c r="K172" s="80" t="str">
        <f t="shared" si="6"/>
        <v>CDAVG</v>
      </c>
      <c r="L172" s="80" t="str">
        <f ca="1">IF(ISNUMBER(FIND("(",$I172)), "", _xll.IMDP("IR", $K172, $L$50, WORKDAY('CD|CP 발행사'!$C$4,-1)) )</f>
        <v/>
      </c>
    </row>
    <row r="173" spans="7:12">
      <c r="G173">
        <f ca="1">IF( ISNUMBER($L173), MAX($G$50:G172)+1,0)</f>
        <v>0</v>
      </c>
      <c r="H173" s="13"/>
      <c r="I173" s="67"/>
      <c r="J173" s="67"/>
      <c r="K173" s="80" t="str">
        <f t="shared" si="6"/>
        <v>CDAVG</v>
      </c>
      <c r="L173" s="80" t="str">
        <f ca="1">IF(ISNUMBER(FIND("(",$I173)), "", _xll.IMDP("IR", $K173, $L$50, WORKDAY('CD|CP 발행사'!$C$4,-1)) )</f>
        <v/>
      </c>
    </row>
    <row r="174" spans="7:12">
      <c r="G174">
        <f ca="1">IF( ISNUMBER($L174), MAX($G$50:G173)+1,0)</f>
        <v>0</v>
      </c>
      <c r="H174" s="13"/>
      <c r="I174" s="67"/>
      <c r="J174" s="67"/>
      <c r="K174" s="80" t="str">
        <f t="shared" si="6"/>
        <v>CDAVG</v>
      </c>
      <c r="L174" s="80" t="str">
        <f ca="1">IF(ISNUMBER(FIND("(",$I174)), "", _xll.IMDP("IR", $K174, $L$50, WORKDAY('CD|CP 발행사'!$C$4,-1)) )</f>
        <v/>
      </c>
    </row>
    <row r="175" spans="7:12">
      <c r="G175">
        <f ca="1">IF( ISNUMBER($L175), MAX($G$50:G174)+1,0)</f>
        <v>0</v>
      </c>
      <c r="H175" s="13"/>
      <c r="I175" s="67"/>
      <c r="J175" s="67"/>
      <c r="K175" s="80" t="str">
        <f t="shared" si="6"/>
        <v>CDAVG</v>
      </c>
      <c r="L175" s="80" t="str">
        <f ca="1">IF(ISNUMBER(FIND("(",$I175)), "", _xll.IMDP("IR", $K175, $L$50, WORKDAY('CD|CP 발행사'!$C$4,-1)) )</f>
        <v/>
      </c>
    </row>
    <row r="176" spans="7:12">
      <c r="G176">
        <f ca="1">IF( ISNUMBER($L176), MAX($G$50:G175)+1,0)</f>
        <v>0</v>
      </c>
      <c r="H176" s="13"/>
      <c r="I176" s="67"/>
      <c r="J176" s="67"/>
      <c r="K176" s="80" t="str">
        <f t="shared" si="6"/>
        <v>CDAVG</v>
      </c>
      <c r="L176" s="80" t="str">
        <f ca="1">IF(ISNUMBER(FIND("(",$I176)), "", _xll.IMDP("IR", $K176, $L$50, WORKDAY('CD|CP 발행사'!$C$4,-1)) )</f>
        <v/>
      </c>
    </row>
    <row r="177" spans="7:12">
      <c r="G177">
        <f ca="1">IF( ISNUMBER($L177), MAX($G$50:G176)+1,0)</f>
        <v>0</v>
      </c>
      <c r="H177" s="13"/>
      <c r="I177" s="67"/>
      <c r="J177" s="67"/>
      <c r="K177" s="80" t="str">
        <f t="shared" si="6"/>
        <v>CDAVG</v>
      </c>
      <c r="L177" s="80" t="str">
        <f ca="1">IF(ISNUMBER(FIND("(",$I177)), "", _xll.IMDP("IR", $K177, $L$50, WORKDAY('CD|CP 발행사'!$C$4,-1)) )</f>
        <v/>
      </c>
    </row>
    <row r="178" spans="7:12">
      <c r="G178">
        <f ca="1">IF( ISNUMBER($L178), MAX($G$50:G177)+1,0)</f>
        <v>0</v>
      </c>
      <c r="H178" s="13"/>
      <c r="I178" s="67"/>
      <c r="J178" s="67"/>
      <c r="K178" s="80" t="str">
        <f t="shared" si="6"/>
        <v>CDAVG</v>
      </c>
      <c r="L178" s="80" t="str">
        <f ca="1">IF(ISNUMBER(FIND("(",$I178)), "", _xll.IMDP("IR", $K178, $L$50, WORKDAY('CD|CP 발행사'!$C$4,-1)) )</f>
        <v/>
      </c>
    </row>
    <row r="179" spans="7:12">
      <c r="G179">
        <f ca="1">IF( ISNUMBER($L179), MAX($G$50:G178)+1,0)</f>
        <v>0</v>
      </c>
      <c r="H179" s="13"/>
      <c r="I179" s="67"/>
      <c r="J179" s="67"/>
      <c r="K179" s="80" t="str">
        <f t="shared" ref="K179:K242" si="7">$K$49&amp;$H179</f>
        <v>CDAVG</v>
      </c>
      <c r="L179" s="80" t="str">
        <f ca="1">IF(ISNUMBER(FIND("(",$I179)), "", _xll.IMDP("IR", $K179, $L$50, WORKDAY('CD|CP 발행사'!$C$4,-1)) )</f>
        <v/>
      </c>
    </row>
    <row r="180" spans="7:12">
      <c r="G180">
        <f ca="1">IF( ISNUMBER($L180), MAX($G$50:G179)+1,0)</f>
        <v>0</v>
      </c>
      <c r="H180" s="13"/>
      <c r="I180" s="67"/>
      <c r="J180" s="67"/>
      <c r="K180" s="80" t="str">
        <f t="shared" si="7"/>
        <v>CDAVG</v>
      </c>
      <c r="L180" s="80" t="str">
        <f ca="1">IF(ISNUMBER(FIND("(",$I180)), "", _xll.IMDP("IR", $K180, $L$50, WORKDAY('CD|CP 발행사'!$C$4,-1)) )</f>
        <v/>
      </c>
    </row>
    <row r="181" spans="7:12">
      <c r="G181">
        <f ca="1">IF( ISNUMBER($L181), MAX($G$50:G180)+1,0)</f>
        <v>0</v>
      </c>
      <c r="H181" s="13"/>
      <c r="I181" s="67"/>
      <c r="J181" s="67"/>
      <c r="K181" s="80" t="str">
        <f t="shared" si="7"/>
        <v>CDAVG</v>
      </c>
      <c r="L181" s="80" t="str">
        <f ca="1">IF(ISNUMBER(FIND("(",$I181)), "", _xll.IMDP("IR", $K181, $L$50, WORKDAY('CD|CP 발행사'!$C$4,-1)) )</f>
        <v/>
      </c>
    </row>
    <row r="182" spans="7:12">
      <c r="G182">
        <f ca="1">IF( ISNUMBER($L182), MAX($G$50:G181)+1,0)</f>
        <v>0</v>
      </c>
      <c r="H182" s="13"/>
      <c r="I182" s="67"/>
      <c r="J182" s="67"/>
      <c r="K182" s="80" t="str">
        <f t="shared" si="7"/>
        <v>CDAVG</v>
      </c>
      <c r="L182" s="80" t="str">
        <f ca="1">IF(ISNUMBER(FIND("(",$I182)), "", _xll.IMDP("IR", $K182, $L$50, WORKDAY('CD|CP 발행사'!$C$4,-1)) )</f>
        <v/>
      </c>
    </row>
    <row r="183" spans="7:12">
      <c r="G183">
        <f ca="1">IF( ISNUMBER($L183), MAX($G$50:G182)+1,0)</f>
        <v>0</v>
      </c>
      <c r="H183" s="13"/>
      <c r="I183" s="67"/>
      <c r="J183" s="67"/>
      <c r="K183" s="80" t="str">
        <f t="shared" si="7"/>
        <v>CDAVG</v>
      </c>
      <c r="L183" s="80" t="str">
        <f ca="1">IF(ISNUMBER(FIND("(",$I183)), "", _xll.IMDP("IR", $K183, $L$50, WORKDAY('CD|CP 발행사'!$C$4,-1)) )</f>
        <v/>
      </c>
    </row>
    <row r="184" spans="7:12">
      <c r="G184">
        <f ca="1">IF( ISNUMBER($L184), MAX($G$50:G183)+1,0)</f>
        <v>0</v>
      </c>
      <c r="H184" s="13"/>
      <c r="I184" s="67"/>
      <c r="J184" s="67"/>
      <c r="K184" s="80" t="str">
        <f t="shared" si="7"/>
        <v>CDAVG</v>
      </c>
      <c r="L184" s="80" t="str">
        <f ca="1">IF(ISNUMBER(FIND("(",$I184)), "", _xll.IMDP("IR", $K184, $L$50, WORKDAY('CD|CP 발행사'!$C$4,-1)) )</f>
        <v/>
      </c>
    </row>
    <row r="185" spans="7:12">
      <c r="G185">
        <f ca="1">IF( ISNUMBER($L185), MAX($G$50:G184)+1,0)</f>
        <v>0</v>
      </c>
      <c r="H185" s="13"/>
      <c r="I185" s="67"/>
      <c r="J185" s="67"/>
      <c r="K185" s="80" t="str">
        <f t="shared" si="7"/>
        <v>CDAVG</v>
      </c>
      <c r="L185" s="80" t="str">
        <f ca="1">IF(ISNUMBER(FIND("(",$I185)), "", _xll.IMDP("IR", $K185, $L$50, WORKDAY('CD|CP 발행사'!$C$4,-1)) )</f>
        <v/>
      </c>
    </row>
    <row r="186" spans="7:12">
      <c r="G186">
        <f ca="1">IF( ISNUMBER($L186), MAX($G$50:G185)+1,0)</f>
        <v>0</v>
      </c>
      <c r="H186" s="13"/>
      <c r="I186" s="67"/>
      <c r="J186" s="67"/>
      <c r="K186" s="80" t="str">
        <f t="shared" si="7"/>
        <v>CDAVG</v>
      </c>
      <c r="L186" s="80" t="str">
        <f ca="1">IF(ISNUMBER(FIND("(",$I186)), "", _xll.IMDP("IR", $K186, $L$50, WORKDAY('CD|CP 발행사'!$C$4,-1)) )</f>
        <v/>
      </c>
    </row>
    <row r="187" spans="7:12">
      <c r="G187">
        <f ca="1">IF( ISNUMBER($L187), MAX($G$50:G186)+1,0)</f>
        <v>0</v>
      </c>
      <c r="H187" s="13"/>
      <c r="I187" s="67"/>
      <c r="J187" s="67"/>
      <c r="K187" s="80" t="str">
        <f t="shared" si="7"/>
        <v>CDAVG</v>
      </c>
      <c r="L187" s="80" t="str">
        <f ca="1">IF(ISNUMBER(FIND("(",$I187)), "", _xll.IMDP("IR", $K187, $L$50, WORKDAY('CD|CP 발행사'!$C$4,-1)) )</f>
        <v/>
      </c>
    </row>
    <row r="188" spans="7:12">
      <c r="G188">
        <f ca="1">IF( ISNUMBER($L188), MAX($G$50:G187)+1,0)</f>
        <v>0</v>
      </c>
      <c r="H188" s="13"/>
      <c r="I188" s="67"/>
      <c r="J188" s="67"/>
      <c r="K188" s="80" t="str">
        <f t="shared" si="7"/>
        <v>CDAVG</v>
      </c>
      <c r="L188" s="80" t="str">
        <f ca="1">IF(ISNUMBER(FIND("(",$I188)), "", _xll.IMDP("IR", $K188, $L$50, WORKDAY('CD|CP 발행사'!$C$4,-1)) )</f>
        <v/>
      </c>
    </row>
    <row r="189" spans="7:12">
      <c r="G189">
        <f ca="1">IF( ISNUMBER($L189), MAX($G$50:G188)+1,0)</f>
        <v>0</v>
      </c>
      <c r="H189" s="13"/>
      <c r="I189" s="67"/>
      <c r="J189" s="67"/>
      <c r="K189" s="80" t="str">
        <f t="shared" si="7"/>
        <v>CDAVG</v>
      </c>
      <c r="L189" s="80" t="str">
        <f ca="1">IF(ISNUMBER(FIND("(",$I189)), "", _xll.IMDP("IR", $K189, $L$50, WORKDAY('CD|CP 발행사'!$C$4,-1)) )</f>
        <v/>
      </c>
    </row>
    <row r="190" spans="7:12">
      <c r="G190">
        <f ca="1">IF( ISNUMBER($L190), MAX($G$50:G189)+1,0)</f>
        <v>0</v>
      </c>
      <c r="H190" s="13"/>
      <c r="I190" s="67"/>
      <c r="J190" s="67"/>
      <c r="K190" s="80" t="str">
        <f t="shared" si="7"/>
        <v>CDAVG</v>
      </c>
      <c r="L190" s="80" t="str">
        <f ca="1">IF(ISNUMBER(FIND("(",$I190)), "", _xll.IMDP("IR", $K190, $L$50, WORKDAY('CD|CP 발행사'!$C$4,-1)) )</f>
        <v/>
      </c>
    </row>
    <row r="191" spans="7:12">
      <c r="G191">
        <f ca="1">IF( ISNUMBER($L191), MAX($G$50:G190)+1,0)</f>
        <v>0</v>
      </c>
      <c r="H191" s="13"/>
      <c r="I191" s="67"/>
      <c r="J191" s="67"/>
      <c r="K191" s="80" t="str">
        <f t="shared" si="7"/>
        <v>CDAVG</v>
      </c>
      <c r="L191" s="80" t="str">
        <f ca="1">IF(ISNUMBER(FIND("(",$I191)), "", _xll.IMDP("IR", $K191, $L$50, WORKDAY('CD|CP 발행사'!$C$4,-1)) )</f>
        <v/>
      </c>
    </row>
    <row r="192" spans="7:12">
      <c r="G192">
        <f ca="1">IF( ISNUMBER($L192), MAX($G$50:G191)+1,0)</f>
        <v>0</v>
      </c>
      <c r="H192" s="13"/>
      <c r="I192" s="67"/>
      <c r="J192" s="67"/>
      <c r="K192" s="80" t="str">
        <f t="shared" si="7"/>
        <v>CDAVG</v>
      </c>
      <c r="L192" s="80" t="str">
        <f ca="1">IF(ISNUMBER(FIND("(",$I192)), "", _xll.IMDP("IR", $K192, $L$50, WORKDAY('CD|CP 발행사'!$C$4,-1)) )</f>
        <v/>
      </c>
    </row>
    <row r="193" spans="7:12">
      <c r="G193">
        <f ca="1">IF( ISNUMBER($L193), MAX($G$50:G192)+1,0)</f>
        <v>0</v>
      </c>
      <c r="H193" s="13"/>
      <c r="I193" s="67"/>
      <c r="J193" s="67"/>
      <c r="K193" s="80" t="str">
        <f t="shared" si="7"/>
        <v>CDAVG</v>
      </c>
      <c r="L193" s="80" t="str">
        <f ca="1">IF(ISNUMBER(FIND("(",$I193)), "", _xll.IMDP("IR", $K193, $L$50, WORKDAY('CD|CP 발행사'!$C$4,-1)) )</f>
        <v/>
      </c>
    </row>
    <row r="194" spans="7:12">
      <c r="G194">
        <f ca="1">IF( ISNUMBER($L194), MAX($G$50:G193)+1,0)</f>
        <v>0</v>
      </c>
      <c r="H194" s="13"/>
      <c r="I194" s="67"/>
      <c r="J194" s="67"/>
      <c r="K194" s="80" t="str">
        <f t="shared" si="7"/>
        <v>CDAVG</v>
      </c>
      <c r="L194" s="80" t="str">
        <f ca="1">IF(ISNUMBER(FIND("(",$I194)), "", _xll.IMDP("IR", $K194, $L$50, WORKDAY('CD|CP 발행사'!$C$4,-1)) )</f>
        <v/>
      </c>
    </row>
    <row r="195" spans="7:12">
      <c r="G195">
        <f ca="1">IF( ISNUMBER($L195), MAX($G$50:G194)+1,0)</f>
        <v>0</v>
      </c>
      <c r="H195" s="13"/>
      <c r="I195" s="67"/>
      <c r="J195" s="67"/>
      <c r="K195" s="80" t="str">
        <f t="shared" si="7"/>
        <v>CDAVG</v>
      </c>
      <c r="L195" s="80" t="str">
        <f ca="1">IF(ISNUMBER(FIND("(",$I195)), "", _xll.IMDP("IR", $K195, $L$50, WORKDAY('CD|CP 발행사'!$C$4,-1)) )</f>
        <v/>
      </c>
    </row>
    <row r="196" spans="7:12">
      <c r="G196">
        <f ca="1">IF( ISNUMBER($L196), MAX($G$50:G195)+1,0)</f>
        <v>0</v>
      </c>
      <c r="H196" s="13"/>
      <c r="I196" s="67"/>
      <c r="J196" s="67"/>
      <c r="K196" s="80" t="str">
        <f t="shared" si="7"/>
        <v>CDAVG</v>
      </c>
      <c r="L196" s="80" t="str">
        <f ca="1">IF(ISNUMBER(FIND("(",$I196)), "", _xll.IMDP("IR", $K196, $L$50, WORKDAY('CD|CP 발행사'!$C$4,-1)) )</f>
        <v/>
      </c>
    </row>
    <row r="197" spans="7:12">
      <c r="G197">
        <f ca="1">IF( ISNUMBER($L197), MAX($G$50:G196)+1,0)</f>
        <v>0</v>
      </c>
      <c r="H197" s="13"/>
      <c r="I197" s="67"/>
      <c r="J197" s="67"/>
      <c r="K197" s="80" t="str">
        <f t="shared" si="7"/>
        <v>CDAVG</v>
      </c>
      <c r="L197" s="80" t="str">
        <f ca="1">IF(ISNUMBER(FIND("(",$I197)), "", _xll.IMDP("IR", $K197, $L$50, WORKDAY('CD|CP 발행사'!$C$4,-1)) )</f>
        <v/>
      </c>
    </row>
    <row r="198" spans="7:12">
      <c r="G198">
        <f ca="1">IF( ISNUMBER($L198), MAX($G$50:G197)+1,0)</f>
        <v>0</v>
      </c>
      <c r="H198" s="13"/>
      <c r="I198" s="67"/>
      <c r="J198" s="67"/>
      <c r="K198" s="80" t="str">
        <f t="shared" si="7"/>
        <v>CDAVG</v>
      </c>
      <c r="L198" s="80" t="str">
        <f ca="1">IF(ISNUMBER(FIND("(",$I198)), "", _xll.IMDP("IR", $K198, $L$50, WORKDAY('CD|CP 발행사'!$C$4,-1)) )</f>
        <v/>
      </c>
    </row>
    <row r="199" spans="7:12">
      <c r="G199">
        <f ca="1">IF( ISNUMBER($L199), MAX($G$50:G198)+1,0)</f>
        <v>0</v>
      </c>
      <c r="H199" s="13"/>
      <c r="I199" s="67"/>
      <c r="J199" s="67"/>
      <c r="K199" s="80" t="str">
        <f t="shared" si="7"/>
        <v>CDAVG</v>
      </c>
      <c r="L199" s="80" t="str">
        <f ca="1">IF(ISNUMBER(FIND("(",$I199)), "", _xll.IMDP("IR", $K199, $L$50, WORKDAY('CD|CP 발행사'!$C$4,-1)) )</f>
        <v/>
      </c>
    </row>
    <row r="200" spans="7:12">
      <c r="G200">
        <f ca="1">IF( ISNUMBER($L200), MAX($G$50:G199)+1,0)</f>
        <v>0</v>
      </c>
      <c r="H200" s="13"/>
      <c r="I200" s="67"/>
      <c r="J200" s="67"/>
      <c r="K200" s="80" t="str">
        <f t="shared" si="7"/>
        <v>CDAVG</v>
      </c>
      <c r="L200" s="80" t="str">
        <f ca="1">IF(ISNUMBER(FIND("(",$I200)), "", _xll.IMDP("IR", $K200, $L$50, WORKDAY('CD|CP 발행사'!$C$4,-1)) )</f>
        <v/>
      </c>
    </row>
    <row r="201" spans="7:12">
      <c r="G201">
        <f ca="1">IF( ISNUMBER($L201), MAX($G$50:G200)+1,0)</f>
        <v>0</v>
      </c>
      <c r="H201" s="13"/>
      <c r="I201" s="67"/>
      <c r="J201" s="67"/>
      <c r="K201" s="80" t="str">
        <f t="shared" si="7"/>
        <v>CDAVG</v>
      </c>
      <c r="L201" s="80" t="str">
        <f ca="1">IF(ISNUMBER(FIND("(",$I201)), "", _xll.IMDP("IR", $K201, $L$50, WORKDAY('CD|CP 발행사'!$C$4,-1)) )</f>
        <v/>
      </c>
    </row>
    <row r="202" spans="7:12">
      <c r="G202">
        <f ca="1">IF( ISNUMBER($L202), MAX($G$50:G201)+1,0)</f>
        <v>0</v>
      </c>
      <c r="H202" s="13"/>
      <c r="I202" s="67"/>
      <c r="J202" s="67"/>
      <c r="K202" s="80" t="str">
        <f t="shared" si="7"/>
        <v>CDAVG</v>
      </c>
      <c r="L202" s="80" t="str">
        <f ca="1">IF(ISNUMBER(FIND("(",$I202)), "", _xll.IMDP("IR", $K202, $L$50, WORKDAY('CD|CP 발행사'!$C$4,-1)) )</f>
        <v/>
      </c>
    </row>
    <row r="203" spans="7:12">
      <c r="G203">
        <f ca="1">IF( ISNUMBER($L203), MAX($G$50:G202)+1,0)</f>
        <v>0</v>
      </c>
      <c r="H203" s="13"/>
      <c r="I203" s="67"/>
      <c r="J203" s="67"/>
      <c r="K203" s="80" t="str">
        <f t="shared" si="7"/>
        <v>CDAVG</v>
      </c>
      <c r="L203" s="80" t="str">
        <f ca="1">IF(ISNUMBER(FIND("(",$I203)), "", _xll.IMDP("IR", $K203, $L$50, WORKDAY('CD|CP 발행사'!$C$4,-1)) )</f>
        <v/>
      </c>
    </row>
    <row r="204" spans="7:12">
      <c r="G204">
        <f ca="1">IF( ISNUMBER($L204), MAX($G$50:G203)+1,0)</f>
        <v>0</v>
      </c>
      <c r="H204" s="13"/>
      <c r="I204" s="67"/>
      <c r="J204" s="67"/>
      <c r="K204" s="80" t="str">
        <f t="shared" si="7"/>
        <v>CDAVG</v>
      </c>
      <c r="L204" s="80" t="str">
        <f ca="1">IF(ISNUMBER(FIND("(",$I204)), "", _xll.IMDP("IR", $K204, $L$50, WORKDAY('CD|CP 발행사'!$C$4,-1)) )</f>
        <v/>
      </c>
    </row>
    <row r="205" spans="7:12">
      <c r="G205">
        <f ca="1">IF( ISNUMBER($L205), MAX($G$50:G204)+1,0)</f>
        <v>0</v>
      </c>
      <c r="H205" s="13"/>
      <c r="I205" s="67"/>
      <c r="J205" s="67"/>
      <c r="K205" s="80" t="str">
        <f t="shared" si="7"/>
        <v>CDAVG</v>
      </c>
      <c r="L205" s="80" t="str">
        <f ca="1">IF(ISNUMBER(FIND("(",$I205)), "", _xll.IMDP("IR", $K205, $L$50, WORKDAY('CD|CP 발행사'!$C$4,-1)) )</f>
        <v/>
      </c>
    </row>
    <row r="206" spans="7:12">
      <c r="G206">
        <f ca="1">IF( ISNUMBER($L206), MAX($G$50:G205)+1,0)</f>
        <v>0</v>
      </c>
      <c r="H206" s="13"/>
      <c r="I206" s="67"/>
      <c r="J206" s="67"/>
      <c r="K206" s="80" t="str">
        <f t="shared" si="7"/>
        <v>CDAVG</v>
      </c>
      <c r="L206" s="80" t="str">
        <f ca="1">IF(ISNUMBER(FIND("(",$I206)), "", _xll.IMDP("IR", $K206, $L$50, WORKDAY('CD|CP 발행사'!$C$4,-1)) )</f>
        <v/>
      </c>
    </row>
    <row r="207" spans="7:12">
      <c r="G207">
        <f ca="1">IF( ISNUMBER($L207), MAX($G$50:G206)+1,0)</f>
        <v>0</v>
      </c>
      <c r="H207" s="13"/>
      <c r="I207" s="67"/>
      <c r="J207" s="67"/>
      <c r="K207" s="80" t="str">
        <f t="shared" si="7"/>
        <v>CDAVG</v>
      </c>
      <c r="L207" s="80" t="str">
        <f ca="1">IF(ISNUMBER(FIND("(",$I207)), "", _xll.IMDP("IR", $K207, $L$50, WORKDAY('CD|CP 발행사'!$C$4,-1)) )</f>
        <v/>
      </c>
    </row>
    <row r="208" spans="7:12">
      <c r="G208">
        <f ca="1">IF( ISNUMBER($L208), MAX($G$50:G207)+1,0)</f>
        <v>0</v>
      </c>
      <c r="H208" s="13"/>
      <c r="I208" s="67"/>
      <c r="J208" s="67"/>
      <c r="K208" s="80" t="str">
        <f t="shared" si="7"/>
        <v>CDAVG</v>
      </c>
      <c r="L208" s="80" t="str">
        <f ca="1">IF(ISNUMBER(FIND("(",$I208)), "", _xll.IMDP("IR", $K208, $L$50, WORKDAY('CD|CP 발행사'!$C$4,-1)) )</f>
        <v/>
      </c>
    </row>
    <row r="209" spans="7:12">
      <c r="G209">
        <f ca="1">IF( ISNUMBER($L209), MAX($G$50:G208)+1,0)</f>
        <v>0</v>
      </c>
      <c r="H209" s="13"/>
      <c r="I209" s="67"/>
      <c r="J209" s="67"/>
      <c r="K209" s="80" t="str">
        <f t="shared" si="7"/>
        <v>CDAVG</v>
      </c>
      <c r="L209" s="80" t="str">
        <f ca="1">IF(ISNUMBER(FIND("(",$I209)), "", _xll.IMDP("IR", $K209, $L$50, WORKDAY('CD|CP 발행사'!$C$4,-1)) )</f>
        <v/>
      </c>
    </row>
    <row r="210" spans="7:12">
      <c r="G210">
        <f ca="1">IF( ISNUMBER($L210), MAX($G$50:G209)+1,0)</f>
        <v>0</v>
      </c>
      <c r="H210" s="13"/>
      <c r="I210" s="67"/>
      <c r="J210" s="67"/>
      <c r="K210" s="80" t="str">
        <f t="shared" si="7"/>
        <v>CDAVG</v>
      </c>
      <c r="L210" s="80" t="str">
        <f ca="1">IF(ISNUMBER(FIND("(",$I210)), "", _xll.IMDP("IR", $K210, $L$50, WORKDAY('CD|CP 발행사'!$C$4,-1)) )</f>
        <v/>
      </c>
    </row>
    <row r="211" spans="7:12">
      <c r="G211">
        <f ca="1">IF( ISNUMBER($L211), MAX($G$50:G210)+1,0)</f>
        <v>0</v>
      </c>
      <c r="H211" s="13"/>
      <c r="I211" s="67"/>
      <c r="J211" s="67"/>
      <c r="K211" s="80" t="str">
        <f t="shared" si="7"/>
        <v>CDAVG</v>
      </c>
      <c r="L211" s="80" t="str">
        <f ca="1">IF(ISNUMBER(FIND("(",$I211)), "", _xll.IMDP("IR", $K211, $L$50, WORKDAY('CD|CP 발행사'!$C$4,-1)) )</f>
        <v/>
      </c>
    </row>
    <row r="212" spans="7:12">
      <c r="G212">
        <f ca="1">IF( ISNUMBER($L212), MAX($G$50:G211)+1,0)</f>
        <v>0</v>
      </c>
      <c r="H212" s="13"/>
      <c r="I212" s="67"/>
      <c r="J212" s="67"/>
      <c r="K212" s="80" t="str">
        <f t="shared" si="7"/>
        <v>CDAVG</v>
      </c>
      <c r="L212" s="80" t="str">
        <f ca="1">IF(ISNUMBER(FIND("(",$I212)), "", _xll.IMDP("IR", $K212, $L$50, WORKDAY('CD|CP 발행사'!$C$4,-1)) )</f>
        <v/>
      </c>
    </row>
    <row r="213" spans="7:12">
      <c r="G213">
        <f ca="1">IF( ISNUMBER($L213), MAX($G$50:G212)+1,0)</f>
        <v>0</v>
      </c>
      <c r="H213" s="13"/>
      <c r="I213" s="67"/>
      <c r="J213" s="67"/>
      <c r="K213" s="80" t="str">
        <f t="shared" si="7"/>
        <v>CDAVG</v>
      </c>
      <c r="L213" s="80" t="str">
        <f ca="1">IF(ISNUMBER(FIND("(",$I213)), "", _xll.IMDP("IR", $K213, $L$50, WORKDAY('CD|CP 발행사'!$C$4,-1)) )</f>
        <v/>
      </c>
    </row>
    <row r="214" spans="7:12">
      <c r="G214">
        <f ca="1">IF( ISNUMBER($L214), MAX($G$50:G213)+1,0)</f>
        <v>0</v>
      </c>
      <c r="H214" s="13"/>
      <c r="I214" s="67"/>
      <c r="J214" s="67"/>
      <c r="K214" s="80" t="str">
        <f t="shared" si="7"/>
        <v>CDAVG</v>
      </c>
      <c r="L214" s="80" t="str">
        <f ca="1">IF(ISNUMBER(FIND("(",$I214)), "", _xll.IMDP("IR", $K214, $L$50, WORKDAY('CD|CP 발행사'!$C$4,-1)) )</f>
        <v/>
      </c>
    </row>
    <row r="215" spans="7:12">
      <c r="G215">
        <f ca="1">IF( ISNUMBER($L215), MAX($G$50:G214)+1,0)</f>
        <v>0</v>
      </c>
      <c r="H215" s="13"/>
      <c r="I215" s="67"/>
      <c r="J215" s="67"/>
      <c r="K215" s="80" t="str">
        <f t="shared" si="7"/>
        <v>CDAVG</v>
      </c>
      <c r="L215" s="80" t="str">
        <f ca="1">IF(ISNUMBER(FIND("(",$I215)), "", _xll.IMDP("IR", $K215, $L$50, WORKDAY('CD|CP 발행사'!$C$4,-1)) )</f>
        <v/>
      </c>
    </row>
    <row r="216" spans="7:12">
      <c r="G216">
        <f ca="1">IF( ISNUMBER($L216), MAX($G$50:G215)+1,0)</f>
        <v>0</v>
      </c>
      <c r="H216" s="13"/>
      <c r="I216" s="67"/>
      <c r="J216" s="67"/>
      <c r="K216" s="80" t="str">
        <f t="shared" si="7"/>
        <v>CDAVG</v>
      </c>
      <c r="L216" s="80" t="str">
        <f ca="1">IF(ISNUMBER(FIND("(",$I216)), "", _xll.IMDP("IR", $K216, $L$50, WORKDAY('CD|CP 발행사'!$C$4,-1)) )</f>
        <v/>
      </c>
    </row>
    <row r="217" spans="7:12">
      <c r="G217">
        <f ca="1">IF( ISNUMBER($L217), MAX($G$50:G216)+1,0)</f>
        <v>0</v>
      </c>
      <c r="H217" s="13"/>
      <c r="I217" s="67"/>
      <c r="J217" s="67"/>
      <c r="K217" s="80" t="str">
        <f t="shared" si="7"/>
        <v>CDAVG</v>
      </c>
      <c r="L217" s="80" t="str">
        <f ca="1">IF(ISNUMBER(FIND("(",$I217)), "", _xll.IMDP("IR", $K217, $L$50, WORKDAY('CD|CP 발행사'!$C$4,-1)) )</f>
        <v/>
      </c>
    </row>
    <row r="218" spans="7:12">
      <c r="G218">
        <f ca="1">IF( ISNUMBER($L218), MAX($G$50:G217)+1,0)</f>
        <v>0</v>
      </c>
      <c r="H218" s="13"/>
      <c r="I218" s="67"/>
      <c r="J218" s="67"/>
      <c r="K218" s="80" t="str">
        <f t="shared" si="7"/>
        <v>CDAVG</v>
      </c>
      <c r="L218" s="80" t="str">
        <f ca="1">IF(ISNUMBER(FIND("(",$I218)), "", _xll.IMDP("IR", $K218, $L$50, WORKDAY('CD|CP 발행사'!$C$4,-1)) )</f>
        <v/>
      </c>
    </row>
    <row r="219" spans="7:12">
      <c r="G219">
        <f ca="1">IF( ISNUMBER($L219), MAX($G$50:G218)+1,0)</f>
        <v>0</v>
      </c>
      <c r="H219" s="13"/>
      <c r="I219" s="67"/>
      <c r="J219" s="67"/>
      <c r="K219" s="80" t="str">
        <f t="shared" si="7"/>
        <v>CDAVG</v>
      </c>
      <c r="L219" s="80" t="str">
        <f ca="1">IF(ISNUMBER(FIND("(",$I219)), "", _xll.IMDP("IR", $K219, $L$50, WORKDAY('CD|CP 발행사'!$C$4,-1)) )</f>
        <v/>
      </c>
    </row>
    <row r="220" spans="7:12">
      <c r="G220">
        <f ca="1">IF( ISNUMBER($L220), MAX($G$50:G219)+1,0)</f>
        <v>0</v>
      </c>
      <c r="H220" s="13"/>
      <c r="I220" s="67"/>
      <c r="J220" s="67"/>
      <c r="K220" s="80" t="str">
        <f t="shared" si="7"/>
        <v>CDAVG</v>
      </c>
      <c r="L220" s="80" t="str">
        <f ca="1">IF(ISNUMBER(FIND("(",$I220)), "", _xll.IMDP("IR", $K220, $L$50, WORKDAY('CD|CP 발행사'!$C$4,-1)) )</f>
        <v/>
      </c>
    </row>
    <row r="221" spans="7:12">
      <c r="G221">
        <f ca="1">IF( ISNUMBER($L221), MAX($G$50:G220)+1,0)</f>
        <v>0</v>
      </c>
      <c r="H221" s="13"/>
      <c r="I221" s="67"/>
      <c r="J221" s="67"/>
      <c r="K221" s="80" t="str">
        <f t="shared" si="7"/>
        <v>CDAVG</v>
      </c>
      <c r="L221" s="80" t="str">
        <f ca="1">IF(ISNUMBER(FIND("(",$I221)), "", _xll.IMDP("IR", $K221, $L$50, WORKDAY('CD|CP 발행사'!$C$4,-1)) )</f>
        <v/>
      </c>
    </row>
    <row r="222" spans="7:12">
      <c r="G222">
        <f ca="1">IF( ISNUMBER($L222), MAX($G$50:G221)+1,0)</f>
        <v>0</v>
      </c>
      <c r="H222" s="13"/>
      <c r="I222" s="67"/>
      <c r="J222" s="67"/>
      <c r="K222" s="80" t="str">
        <f t="shared" si="7"/>
        <v>CDAVG</v>
      </c>
      <c r="L222" s="80" t="str">
        <f ca="1">IF(ISNUMBER(FIND("(",$I222)), "", _xll.IMDP("IR", $K222, $L$50, WORKDAY('CD|CP 발행사'!$C$4,-1)) )</f>
        <v/>
      </c>
    </row>
    <row r="223" spans="7:12">
      <c r="G223">
        <f ca="1">IF( ISNUMBER($L223), MAX($G$50:G222)+1,0)</f>
        <v>0</v>
      </c>
      <c r="H223" s="13"/>
      <c r="I223" s="67"/>
      <c r="J223" s="67"/>
      <c r="K223" s="80" t="str">
        <f t="shared" si="7"/>
        <v>CDAVG</v>
      </c>
      <c r="L223" s="80" t="str">
        <f ca="1">IF(ISNUMBER(FIND("(",$I223)), "", _xll.IMDP("IR", $K223, $L$50, WORKDAY('CD|CP 발행사'!$C$4,-1)) )</f>
        <v/>
      </c>
    </row>
    <row r="224" spans="7:12">
      <c r="G224">
        <f ca="1">IF( ISNUMBER($L224), MAX($G$50:G223)+1,0)</f>
        <v>0</v>
      </c>
      <c r="H224" s="13"/>
      <c r="I224" s="67"/>
      <c r="J224" s="67"/>
      <c r="K224" s="80" t="str">
        <f t="shared" si="7"/>
        <v>CDAVG</v>
      </c>
      <c r="L224" s="80" t="str">
        <f ca="1">IF(ISNUMBER(FIND("(",$I224)), "", _xll.IMDP("IR", $K224, $L$50, WORKDAY('CD|CP 발행사'!$C$4,-1)) )</f>
        <v/>
      </c>
    </row>
    <row r="225" spans="7:12">
      <c r="G225">
        <f ca="1">IF( ISNUMBER($L225), MAX($G$50:G224)+1,0)</f>
        <v>0</v>
      </c>
      <c r="H225" s="13"/>
      <c r="I225" s="67"/>
      <c r="J225" s="67"/>
      <c r="K225" s="80" t="str">
        <f t="shared" si="7"/>
        <v>CDAVG</v>
      </c>
      <c r="L225" s="80" t="str">
        <f ca="1">IF(ISNUMBER(FIND("(",$I225)), "", _xll.IMDP("IR", $K225, $L$50, WORKDAY('CD|CP 발행사'!$C$4,-1)) )</f>
        <v/>
      </c>
    </row>
    <row r="226" spans="7:12">
      <c r="G226">
        <f ca="1">IF( ISNUMBER($L226), MAX($G$50:G225)+1,0)</f>
        <v>0</v>
      </c>
      <c r="H226" s="13"/>
      <c r="I226" s="67"/>
      <c r="J226" s="67"/>
      <c r="K226" s="80" t="str">
        <f t="shared" si="7"/>
        <v>CDAVG</v>
      </c>
      <c r="L226" s="80" t="str">
        <f ca="1">IF(ISNUMBER(FIND("(",$I226)), "", _xll.IMDP("IR", $K226, $L$50, WORKDAY('CD|CP 발행사'!$C$4,-1)) )</f>
        <v/>
      </c>
    </row>
    <row r="227" spans="7:12">
      <c r="G227">
        <f ca="1">IF( ISNUMBER($L227), MAX($G$50:G226)+1,0)</f>
        <v>0</v>
      </c>
      <c r="H227" s="13"/>
      <c r="I227" s="67"/>
      <c r="J227" s="67"/>
      <c r="K227" s="80" t="str">
        <f t="shared" si="7"/>
        <v>CDAVG</v>
      </c>
      <c r="L227" s="80" t="str">
        <f ca="1">IF(ISNUMBER(FIND("(",$I227)), "", _xll.IMDP("IR", $K227, $L$50, WORKDAY('CD|CP 발행사'!$C$4,-1)) )</f>
        <v/>
      </c>
    </row>
    <row r="228" spans="7:12">
      <c r="G228">
        <f ca="1">IF( ISNUMBER($L228), MAX($G$50:G227)+1,0)</f>
        <v>0</v>
      </c>
      <c r="H228" s="13"/>
      <c r="I228" s="67"/>
      <c r="J228" s="67"/>
      <c r="K228" s="80" t="str">
        <f t="shared" si="7"/>
        <v>CDAVG</v>
      </c>
      <c r="L228" s="80" t="str">
        <f ca="1">IF(ISNUMBER(FIND("(",$I228)), "", _xll.IMDP("IR", $K228, $L$50, WORKDAY('CD|CP 발행사'!$C$4,-1)) )</f>
        <v/>
      </c>
    </row>
    <row r="229" spans="7:12">
      <c r="G229">
        <f ca="1">IF( ISNUMBER($L229), MAX($G$50:G228)+1,0)</f>
        <v>0</v>
      </c>
      <c r="H229" s="13"/>
      <c r="I229" s="67"/>
      <c r="J229" s="67"/>
      <c r="K229" s="80" t="str">
        <f t="shared" si="7"/>
        <v>CDAVG</v>
      </c>
      <c r="L229" s="80" t="str">
        <f ca="1">IF(ISNUMBER(FIND("(",$I229)), "", _xll.IMDP("IR", $K229, $L$50, WORKDAY('CD|CP 발행사'!$C$4,-1)) )</f>
        <v/>
      </c>
    </row>
    <row r="230" spans="7:12">
      <c r="G230">
        <f ca="1">IF( ISNUMBER($L230), MAX($G$50:G229)+1,0)</f>
        <v>0</v>
      </c>
      <c r="H230" s="13"/>
      <c r="I230" s="67"/>
      <c r="J230" s="67"/>
      <c r="K230" s="80" t="str">
        <f t="shared" si="7"/>
        <v>CDAVG</v>
      </c>
      <c r="L230" s="80" t="str">
        <f ca="1">IF(ISNUMBER(FIND("(",$I230)), "", _xll.IMDP("IR", $K230, $L$50, WORKDAY('CD|CP 발행사'!$C$4,-1)) )</f>
        <v/>
      </c>
    </row>
    <row r="231" spans="7:12">
      <c r="G231">
        <f ca="1">IF( ISNUMBER($L231), MAX($G$50:G230)+1,0)</f>
        <v>0</v>
      </c>
      <c r="H231" s="13"/>
      <c r="I231" s="67"/>
      <c r="J231" s="67"/>
      <c r="K231" s="80" t="str">
        <f t="shared" si="7"/>
        <v>CDAVG</v>
      </c>
      <c r="L231" s="80" t="str">
        <f ca="1">IF(ISNUMBER(FIND("(",$I231)), "", _xll.IMDP("IR", $K231, $L$50, WORKDAY('CD|CP 발행사'!$C$4,-1)) )</f>
        <v/>
      </c>
    </row>
    <row r="232" spans="7:12">
      <c r="G232">
        <f ca="1">IF( ISNUMBER($L232), MAX($G$50:G231)+1,0)</f>
        <v>0</v>
      </c>
      <c r="H232" s="13"/>
      <c r="I232" s="67"/>
      <c r="J232" s="67"/>
      <c r="K232" s="80" t="str">
        <f t="shared" si="7"/>
        <v>CDAVG</v>
      </c>
      <c r="L232" s="80" t="str">
        <f ca="1">IF(ISNUMBER(FIND("(",$I232)), "", _xll.IMDP("IR", $K232, $L$50, WORKDAY('CD|CP 발행사'!$C$4,-1)) )</f>
        <v/>
      </c>
    </row>
    <row r="233" spans="7:12">
      <c r="G233">
        <f ca="1">IF( ISNUMBER($L233), MAX($G$50:G232)+1,0)</f>
        <v>0</v>
      </c>
      <c r="H233" s="13"/>
      <c r="I233" s="67"/>
      <c r="J233" s="67"/>
      <c r="K233" s="80" t="str">
        <f t="shared" si="7"/>
        <v>CDAVG</v>
      </c>
      <c r="L233" s="80" t="str">
        <f ca="1">IF(ISNUMBER(FIND("(",$I233)), "", _xll.IMDP("IR", $K233, $L$50, WORKDAY('CD|CP 발행사'!$C$4,-1)) )</f>
        <v/>
      </c>
    </row>
    <row r="234" spans="7:12">
      <c r="G234">
        <f ca="1">IF( ISNUMBER($L234), MAX($G$50:G233)+1,0)</f>
        <v>0</v>
      </c>
      <c r="H234" s="13"/>
      <c r="I234" s="67"/>
      <c r="J234" s="67"/>
      <c r="K234" s="80" t="str">
        <f t="shared" si="7"/>
        <v>CDAVG</v>
      </c>
      <c r="L234" s="80" t="str">
        <f ca="1">IF(ISNUMBER(FIND("(",$I234)), "", _xll.IMDP("IR", $K234, $L$50, WORKDAY('CD|CP 발행사'!$C$4,-1)) )</f>
        <v/>
      </c>
    </row>
    <row r="235" spans="7:12">
      <c r="G235">
        <f ca="1">IF( ISNUMBER($L235), MAX($G$50:G234)+1,0)</f>
        <v>0</v>
      </c>
      <c r="H235" s="13"/>
      <c r="I235" s="67"/>
      <c r="J235" s="67"/>
      <c r="K235" s="80" t="str">
        <f t="shared" si="7"/>
        <v>CDAVG</v>
      </c>
      <c r="L235" s="80" t="str">
        <f ca="1">IF(ISNUMBER(FIND("(",$I235)), "", _xll.IMDP("IR", $K235, $L$50, WORKDAY('CD|CP 발행사'!$C$4,-1)) )</f>
        <v/>
      </c>
    </row>
    <row r="236" spans="7:12">
      <c r="G236">
        <f ca="1">IF( ISNUMBER($L236), MAX($G$50:G235)+1,0)</f>
        <v>0</v>
      </c>
      <c r="H236" s="13"/>
      <c r="I236" s="67"/>
      <c r="J236" s="67"/>
      <c r="K236" s="80" t="str">
        <f t="shared" si="7"/>
        <v>CDAVG</v>
      </c>
      <c r="L236" s="80" t="str">
        <f ca="1">IF(ISNUMBER(FIND("(",$I236)), "", _xll.IMDP("IR", $K236, $L$50, WORKDAY('CD|CP 발행사'!$C$4,-1)) )</f>
        <v/>
      </c>
    </row>
    <row r="237" spans="7:12">
      <c r="G237">
        <f ca="1">IF( ISNUMBER($L237), MAX($G$50:G236)+1,0)</f>
        <v>0</v>
      </c>
      <c r="H237" s="13"/>
      <c r="I237" s="67"/>
      <c r="J237" s="67"/>
      <c r="K237" s="80" t="str">
        <f t="shared" si="7"/>
        <v>CDAVG</v>
      </c>
      <c r="L237" s="80" t="str">
        <f ca="1">IF(ISNUMBER(FIND("(",$I237)), "", _xll.IMDP("IR", $K237, $L$50, WORKDAY('CD|CP 발행사'!$C$4,-1)) )</f>
        <v/>
      </c>
    </row>
    <row r="238" spans="7:12">
      <c r="G238">
        <f ca="1">IF( ISNUMBER($L238), MAX($G$50:G237)+1,0)</f>
        <v>0</v>
      </c>
      <c r="H238" s="13"/>
      <c r="I238" s="67"/>
      <c r="J238" s="67"/>
      <c r="K238" s="80" t="str">
        <f t="shared" si="7"/>
        <v>CDAVG</v>
      </c>
      <c r="L238" s="80" t="str">
        <f ca="1">IF(ISNUMBER(FIND("(",$I238)), "", _xll.IMDP("IR", $K238, $L$50, WORKDAY('CD|CP 발행사'!$C$4,-1)) )</f>
        <v/>
      </c>
    </row>
    <row r="239" spans="7:12">
      <c r="G239">
        <f ca="1">IF( ISNUMBER($L239), MAX($G$50:G238)+1,0)</f>
        <v>0</v>
      </c>
      <c r="H239" s="13"/>
      <c r="I239" s="67"/>
      <c r="J239" s="67"/>
      <c r="K239" s="80" t="str">
        <f t="shared" si="7"/>
        <v>CDAVG</v>
      </c>
      <c r="L239" s="80" t="str">
        <f ca="1">IF(ISNUMBER(FIND("(",$I239)), "", _xll.IMDP("IR", $K239, $L$50, WORKDAY('CD|CP 발행사'!$C$4,-1)) )</f>
        <v/>
      </c>
    </row>
    <row r="240" spans="7:12">
      <c r="G240">
        <f ca="1">IF( ISNUMBER($L240), MAX($G$50:G239)+1,0)</f>
        <v>0</v>
      </c>
      <c r="H240" s="13"/>
      <c r="I240" s="67"/>
      <c r="J240" s="67"/>
      <c r="K240" s="80" t="str">
        <f t="shared" si="7"/>
        <v>CDAVG</v>
      </c>
      <c r="L240" s="80" t="str">
        <f ca="1">IF(ISNUMBER(FIND("(",$I240)), "", _xll.IMDP("IR", $K240, $L$50, WORKDAY('CD|CP 발행사'!$C$4,-1)) )</f>
        <v/>
      </c>
    </row>
    <row r="241" spans="7:12">
      <c r="G241">
        <f ca="1">IF( ISNUMBER($L241), MAX($G$50:G240)+1,0)</f>
        <v>0</v>
      </c>
      <c r="H241" s="13"/>
      <c r="I241" s="67"/>
      <c r="J241" s="67"/>
      <c r="K241" s="80" t="str">
        <f t="shared" si="7"/>
        <v>CDAVG</v>
      </c>
      <c r="L241" s="80" t="str">
        <f ca="1">IF(ISNUMBER(FIND("(",$I241)), "", _xll.IMDP("IR", $K241, $L$50, WORKDAY('CD|CP 발행사'!$C$4,-1)) )</f>
        <v/>
      </c>
    </row>
    <row r="242" spans="7:12">
      <c r="G242">
        <f ca="1">IF( ISNUMBER($L242), MAX($G$50:G241)+1,0)</f>
        <v>0</v>
      </c>
      <c r="H242" s="13"/>
      <c r="I242" s="67"/>
      <c r="J242" s="67"/>
      <c r="K242" s="80" t="str">
        <f t="shared" si="7"/>
        <v>CDAVG</v>
      </c>
      <c r="L242" s="80" t="str">
        <f ca="1">IF(ISNUMBER(FIND("(",$I242)), "", _xll.IMDP("IR", $K242, $L$50, WORKDAY('CD|CP 발행사'!$C$4,-1)) )</f>
        <v/>
      </c>
    </row>
    <row r="243" spans="7:12">
      <c r="G243">
        <f ca="1">IF( ISNUMBER($L243), MAX($G$50:G242)+1,0)</f>
        <v>0</v>
      </c>
      <c r="H243" s="13"/>
      <c r="I243" s="67"/>
      <c r="J243" s="67"/>
      <c r="K243" s="80" t="str">
        <f t="shared" ref="K243:K306" si="8">$K$49&amp;$H243</f>
        <v>CDAVG</v>
      </c>
      <c r="L243" s="80" t="str">
        <f ca="1">IF(ISNUMBER(FIND("(",$I243)), "", _xll.IMDP("IR", $K243, $L$50, WORKDAY('CD|CP 발행사'!$C$4,-1)) )</f>
        <v/>
      </c>
    </row>
    <row r="244" spans="7:12">
      <c r="G244">
        <f ca="1">IF( ISNUMBER($L244), MAX($G$50:G243)+1,0)</f>
        <v>0</v>
      </c>
      <c r="H244" s="13"/>
      <c r="I244" s="67"/>
      <c r="J244" s="67"/>
      <c r="K244" s="80" t="str">
        <f t="shared" si="8"/>
        <v>CDAVG</v>
      </c>
      <c r="L244" s="80" t="str">
        <f ca="1">IF(ISNUMBER(FIND("(",$I244)), "", _xll.IMDP("IR", $K244, $L$50, WORKDAY('CD|CP 발행사'!$C$4,-1)) )</f>
        <v/>
      </c>
    </row>
    <row r="245" spans="7:12">
      <c r="G245">
        <f ca="1">IF( ISNUMBER($L245), MAX($G$50:G244)+1,0)</f>
        <v>0</v>
      </c>
      <c r="H245" s="13"/>
      <c r="I245" s="67"/>
      <c r="J245" s="67"/>
      <c r="K245" s="80" t="str">
        <f t="shared" si="8"/>
        <v>CDAVG</v>
      </c>
      <c r="L245" s="80" t="str">
        <f ca="1">IF(ISNUMBER(FIND("(",$I245)), "", _xll.IMDP("IR", $K245, $L$50, WORKDAY('CD|CP 발행사'!$C$4,-1)) )</f>
        <v/>
      </c>
    </row>
    <row r="246" spans="7:12">
      <c r="G246">
        <f ca="1">IF( ISNUMBER($L246), MAX($G$50:G245)+1,0)</f>
        <v>0</v>
      </c>
      <c r="H246" s="13"/>
      <c r="I246" s="67"/>
      <c r="J246" s="67"/>
      <c r="K246" s="80" t="str">
        <f t="shared" si="8"/>
        <v>CDAVG</v>
      </c>
      <c r="L246" s="80" t="str">
        <f ca="1">IF(ISNUMBER(FIND("(",$I246)), "", _xll.IMDP("IR", $K246, $L$50, WORKDAY('CD|CP 발행사'!$C$4,-1)) )</f>
        <v/>
      </c>
    </row>
    <row r="247" spans="7:12">
      <c r="G247">
        <f ca="1">IF( ISNUMBER($L247), MAX($G$50:G246)+1,0)</f>
        <v>0</v>
      </c>
      <c r="H247" s="13"/>
      <c r="I247" s="67"/>
      <c r="J247" s="67"/>
      <c r="K247" s="80" t="str">
        <f t="shared" si="8"/>
        <v>CDAVG</v>
      </c>
      <c r="L247" s="80" t="str">
        <f ca="1">IF(ISNUMBER(FIND("(",$I247)), "", _xll.IMDP("IR", $K247, $L$50, WORKDAY('CD|CP 발행사'!$C$4,-1)) )</f>
        <v/>
      </c>
    </row>
    <row r="248" spans="7:12">
      <c r="G248">
        <f ca="1">IF( ISNUMBER($L248), MAX($G$50:G247)+1,0)</f>
        <v>0</v>
      </c>
      <c r="H248" s="13"/>
      <c r="I248" s="67"/>
      <c r="J248" s="67"/>
      <c r="K248" s="80" t="str">
        <f t="shared" si="8"/>
        <v>CDAVG</v>
      </c>
      <c r="L248" s="80" t="str">
        <f ca="1">IF(ISNUMBER(FIND("(",$I248)), "", _xll.IMDP("IR", $K248, $L$50, WORKDAY('CD|CP 발행사'!$C$4,-1)) )</f>
        <v/>
      </c>
    </row>
    <row r="249" spans="7:12">
      <c r="G249">
        <f ca="1">IF( ISNUMBER($L249), MAX($G$50:G248)+1,0)</f>
        <v>0</v>
      </c>
      <c r="H249" s="13"/>
      <c r="I249" s="67"/>
      <c r="J249" s="67"/>
      <c r="K249" s="80" t="str">
        <f t="shared" si="8"/>
        <v>CDAVG</v>
      </c>
      <c r="L249" s="80" t="str">
        <f ca="1">IF(ISNUMBER(FIND("(",$I249)), "", _xll.IMDP("IR", $K249, $L$50, WORKDAY('CD|CP 발행사'!$C$4,-1)) )</f>
        <v/>
      </c>
    </row>
    <row r="250" spans="7:12">
      <c r="G250">
        <f ca="1">IF( ISNUMBER($L250), MAX($G$50:G249)+1,0)</f>
        <v>0</v>
      </c>
      <c r="H250" s="13"/>
      <c r="I250" s="67"/>
      <c r="J250" s="67"/>
      <c r="K250" s="80" t="str">
        <f t="shared" si="8"/>
        <v>CDAVG</v>
      </c>
      <c r="L250" s="80" t="str">
        <f ca="1">IF(ISNUMBER(FIND("(",$I250)), "", _xll.IMDP("IR", $K250, $L$50, WORKDAY('CD|CP 발행사'!$C$4,-1)) )</f>
        <v/>
      </c>
    </row>
    <row r="251" spans="7:12">
      <c r="G251">
        <f ca="1">IF( ISNUMBER($L251), MAX($G$50:G250)+1,0)</f>
        <v>0</v>
      </c>
      <c r="H251" s="13"/>
      <c r="I251" s="67"/>
      <c r="J251" s="67"/>
      <c r="K251" s="80" t="str">
        <f t="shared" si="8"/>
        <v>CDAVG</v>
      </c>
      <c r="L251" s="80" t="str">
        <f ca="1">IF(ISNUMBER(FIND("(",$I251)), "", _xll.IMDP("IR", $K251, $L$50, WORKDAY('CD|CP 발행사'!$C$4,-1)) )</f>
        <v/>
      </c>
    </row>
    <row r="252" spans="7:12">
      <c r="G252">
        <f ca="1">IF( ISNUMBER($L252), MAX($G$50:G251)+1,0)</f>
        <v>0</v>
      </c>
      <c r="H252" s="13"/>
      <c r="I252" s="67"/>
      <c r="J252" s="67"/>
      <c r="K252" s="80" t="str">
        <f t="shared" si="8"/>
        <v>CDAVG</v>
      </c>
      <c r="L252" s="80" t="str">
        <f ca="1">IF(ISNUMBER(FIND("(",$I252)), "", _xll.IMDP("IR", $K252, $L$50, WORKDAY('CD|CP 발행사'!$C$4,-1)) )</f>
        <v/>
      </c>
    </row>
    <row r="253" spans="7:12">
      <c r="G253">
        <f ca="1">IF( ISNUMBER($L253), MAX($G$50:G252)+1,0)</f>
        <v>0</v>
      </c>
      <c r="H253" s="13"/>
      <c r="I253" s="67"/>
      <c r="J253" s="67"/>
      <c r="K253" s="80" t="str">
        <f t="shared" si="8"/>
        <v>CDAVG</v>
      </c>
      <c r="L253" s="80" t="str">
        <f ca="1">IF(ISNUMBER(FIND("(",$I253)), "", _xll.IMDP("IR", $K253, $L$50, WORKDAY('CD|CP 발행사'!$C$4,-1)) )</f>
        <v/>
      </c>
    </row>
    <row r="254" spans="7:12">
      <c r="G254">
        <f ca="1">IF( ISNUMBER($L254), MAX($G$50:G253)+1,0)</f>
        <v>0</v>
      </c>
      <c r="H254" s="13"/>
      <c r="I254" s="67"/>
      <c r="J254" s="67"/>
      <c r="K254" s="80" t="str">
        <f t="shared" si="8"/>
        <v>CDAVG</v>
      </c>
      <c r="L254" s="80" t="str">
        <f ca="1">IF(ISNUMBER(FIND("(",$I254)), "", _xll.IMDP("IR", $K254, $L$50, WORKDAY('CD|CP 발행사'!$C$4,-1)) )</f>
        <v/>
      </c>
    </row>
    <row r="255" spans="7:12">
      <c r="G255">
        <f ca="1">IF( ISNUMBER($L255), MAX($G$50:G254)+1,0)</f>
        <v>0</v>
      </c>
      <c r="H255" s="13"/>
      <c r="I255" s="67"/>
      <c r="J255" s="67"/>
      <c r="K255" s="80" t="str">
        <f t="shared" si="8"/>
        <v>CDAVG</v>
      </c>
      <c r="L255" s="80" t="str">
        <f ca="1">IF(ISNUMBER(FIND("(",$I255)), "", _xll.IMDP("IR", $K255, $L$50, WORKDAY('CD|CP 발행사'!$C$4,-1)) )</f>
        <v/>
      </c>
    </row>
    <row r="256" spans="7:12">
      <c r="G256">
        <f ca="1">IF( ISNUMBER($L256), MAX($G$50:G255)+1,0)</f>
        <v>0</v>
      </c>
      <c r="H256" s="13"/>
      <c r="I256" s="67"/>
      <c r="J256" s="67"/>
      <c r="K256" s="80" t="str">
        <f t="shared" si="8"/>
        <v>CDAVG</v>
      </c>
      <c r="L256" s="80" t="str">
        <f ca="1">IF(ISNUMBER(FIND("(",$I256)), "", _xll.IMDP("IR", $K256, $L$50, WORKDAY('CD|CP 발행사'!$C$4,-1)) )</f>
        <v/>
      </c>
    </row>
    <row r="257" spans="7:12">
      <c r="G257">
        <f ca="1">IF( ISNUMBER($L257), MAX($G$50:G256)+1,0)</f>
        <v>0</v>
      </c>
      <c r="H257" s="13"/>
      <c r="I257" s="67"/>
      <c r="J257" s="67"/>
      <c r="K257" s="80" t="str">
        <f t="shared" si="8"/>
        <v>CDAVG</v>
      </c>
      <c r="L257" s="80" t="str">
        <f ca="1">IF(ISNUMBER(FIND("(",$I257)), "", _xll.IMDP("IR", $K257, $L$50, WORKDAY('CD|CP 발행사'!$C$4,-1)) )</f>
        <v/>
      </c>
    </row>
    <row r="258" spans="7:12">
      <c r="G258">
        <f ca="1">IF( ISNUMBER($L258), MAX($G$50:G257)+1,0)</f>
        <v>0</v>
      </c>
      <c r="H258" s="13"/>
      <c r="I258" s="67"/>
      <c r="J258" s="67"/>
      <c r="K258" s="80" t="str">
        <f t="shared" si="8"/>
        <v>CDAVG</v>
      </c>
      <c r="L258" s="80" t="str">
        <f ca="1">IF(ISNUMBER(FIND("(",$I258)), "", _xll.IMDP("IR", $K258, $L$50, WORKDAY('CD|CP 발행사'!$C$4,-1)) )</f>
        <v/>
      </c>
    </row>
    <row r="259" spans="7:12">
      <c r="G259">
        <f ca="1">IF( ISNUMBER($L259), MAX($G$50:G258)+1,0)</f>
        <v>0</v>
      </c>
      <c r="H259" s="13"/>
      <c r="I259" s="67"/>
      <c r="J259" s="67"/>
      <c r="K259" s="80" t="str">
        <f t="shared" si="8"/>
        <v>CDAVG</v>
      </c>
      <c r="L259" s="80" t="str">
        <f ca="1">IF(ISNUMBER(FIND("(",$I259)), "", _xll.IMDP("IR", $K259, $L$50, WORKDAY('CD|CP 발행사'!$C$4,-1)) )</f>
        <v/>
      </c>
    </row>
    <row r="260" spans="7:12">
      <c r="G260">
        <f ca="1">IF( ISNUMBER($L260), MAX($G$50:G259)+1,0)</f>
        <v>0</v>
      </c>
      <c r="H260" s="13"/>
      <c r="I260" s="67"/>
      <c r="J260" s="67"/>
      <c r="K260" s="80" t="str">
        <f t="shared" si="8"/>
        <v>CDAVG</v>
      </c>
      <c r="L260" s="80" t="str">
        <f ca="1">IF(ISNUMBER(FIND("(",$I260)), "", _xll.IMDP("IR", $K260, $L$50, WORKDAY('CD|CP 발행사'!$C$4,-1)) )</f>
        <v/>
      </c>
    </row>
    <row r="261" spans="7:12">
      <c r="G261">
        <f ca="1">IF( ISNUMBER($L261), MAX($G$50:G260)+1,0)</f>
        <v>0</v>
      </c>
      <c r="H261" s="13"/>
      <c r="I261" s="67"/>
      <c r="J261" s="67"/>
      <c r="K261" s="80" t="str">
        <f t="shared" si="8"/>
        <v>CDAVG</v>
      </c>
      <c r="L261" s="80" t="str">
        <f ca="1">IF(ISNUMBER(FIND("(",$I261)), "", _xll.IMDP("IR", $K261, $L$50, WORKDAY('CD|CP 발행사'!$C$4,-1)) )</f>
        <v/>
      </c>
    </row>
    <row r="262" spans="7:12">
      <c r="G262">
        <f ca="1">IF( ISNUMBER($L262), MAX($G$50:G261)+1,0)</f>
        <v>0</v>
      </c>
      <c r="H262" s="13"/>
      <c r="I262" s="67"/>
      <c r="J262" s="67"/>
      <c r="K262" s="80" t="str">
        <f t="shared" si="8"/>
        <v>CDAVG</v>
      </c>
      <c r="L262" s="80" t="str">
        <f ca="1">IF(ISNUMBER(FIND("(",$I262)), "", _xll.IMDP("IR", $K262, $L$50, WORKDAY('CD|CP 발행사'!$C$4,-1)) )</f>
        <v/>
      </c>
    </row>
    <row r="263" spans="7:12">
      <c r="G263">
        <f ca="1">IF( ISNUMBER($L263), MAX($G$50:G262)+1,0)</f>
        <v>0</v>
      </c>
      <c r="H263" s="13"/>
      <c r="I263" s="67"/>
      <c r="J263" s="67"/>
      <c r="K263" s="80" t="str">
        <f t="shared" si="8"/>
        <v>CDAVG</v>
      </c>
      <c r="L263" s="80" t="str">
        <f ca="1">IF(ISNUMBER(FIND("(",$I263)), "", _xll.IMDP("IR", $K263, $L$50, WORKDAY('CD|CP 발행사'!$C$4,-1)) )</f>
        <v/>
      </c>
    </row>
    <row r="264" spans="7:12">
      <c r="G264">
        <f ca="1">IF( ISNUMBER($L264), MAX($G$50:G263)+1,0)</f>
        <v>0</v>
      </c>
      <c r="H264" s="13"/>
      <c r="I264" s="67"/>
      <c r="J264" s="67"/>
      <c r="K264" s="80" t="str">
        <f t="shared" si="8"/>
        <v>CDAVG</v>
      </c>
      <c r="L264" s="80" t="str">
        <f ca="1">IF(ISNUMBER(FIND("(",$I264)), "", _xll.IMDP("IR", $K264, $L$50, WORKDAY('CD|CP 발행사'!$C$4,-1)) )</f>
        <v/>
      </c>
    </row>
    <row r="265" spans="7:12">
      <c r="G265">
        <f ca="1">IF( ISNUMBER($L265), MAX($G$50:G264)+1,0)</f>
        <v>0</v>
      </c>
      <c r="H265" s="13"/>
      <c r="I265" s="67"/>
      <c r="J265" s="67"/>
      <c r="K265" s="80" t="str">
        <f t="shared" si="8"/>
        <v>CDAVG</v>
      </c>
      <c r="L265" s="80" t="str">
        <f ca="1">IF(ISNUMBER(FIND("(",$I265)), "", _xll.IMDP("IR", $K265, $L$50, WORKDAY('CD|CP 발행사'!$C$4,-1)) )</f>
        <v/>
      </c>
    </row>
    <row r="266" spans="7:12">
      <c r="G266">
        <f ca="1">IF( ISNUMBER($L266), MAX($G$50:G265)+1,0)</f>
        <v>0</v>
      </c>
      <c r="H266" s="13"/>
      <c r="I266" s="67"/>
      <c r="J266" s="67"/>
      <c r="K266" s="80" t="str">
        <f t="shared" si="8"/>
        <v>CDAVG</v>
      </c>
      <c r="L266" s="80" t="str">
        <f ca="1">IF(ISNUMBER(FIND("(",$I266)), "", _xll.IMDP("IR", $K266, $L$50, WORKDAY('CD|CP 발행사'!$C$4,-1)) )</f>
        <v/>
      </c>
    </row>
    <row r="267" spans="7:12">
      <c r="G267">
        <f ca="1">IF( ISNUMBER($L267), MAX($G$50:G266)+1,0)</f>
        <v>0</v>
      </c>
      <c r="H267" s="13"/>
      <c r="I267" s="67"/>
      <c r="J267" s="67"/>
      <c r="K267" s="80" t="str">
        <f t="shared" si="8"/>
        <v>CDAVG</v>
      </c>
      <c r="L267" s="80" t="str">
        <f ca="1">IF(ISNUMBER(FIND("(",$I267)), "", _xll.IMDP("IR", $K267, $L$50, WORKDAY('CD|CP 발행사'!$C$4,-1)) )</f>
        <v/>
      </c>
    </row>
    <row r="268" spans="7:12">
      <c r="G268">
        <f ca="1">IF( ISNUMBER($L268), MAX($G$50:G267)+1,0)</f>
        <v>0</v>
      </c>
      <c r="H268" s="13"/>
      <c r="I268" s="67"/>
      <c r="J268" s="67"/>
      <c r="K268" s="80" t="str">
        <f t="shared" si="8"/>
        <v>CDAVG</v>
      </c>
      <c r="L268" s="80" t="str">
        <f ca="1">IF(ISNUMBER(FIND("(",$I268)), "", _xll.IMDP("IR", $K268, $L$50, WORKDAY('CD|CP 발행사'!$C$4,-1)) )</f>
        <v/>
      </c>
    </row>
    <row r="269" spans="7:12">
      <c r="G269">
        <f ca="1">IF( ISNUMBER($L269), MAX($G$50:G268)+1,0)</f>
        <v>0</v>
      </c>
      <c r="H269" s="13"/>
      <c r="I269" s="67"/>
      <c r="J269" s="67"/>
      <c r="K269" s="80" t="str">
        <f t="shared" si="8"/>
        <v>CDAVG</v>
      </c>
      <c r="L269" s="80" t="str">
        <f ca="1">IF(ISNUMBER(FIND("(",$I269)), "", _xll.IMDP("IR", $K269, $L$50, WORKDAY('CD|CP 발행사'!$C$4,-1)) )</f>
        <v/>
      </c>
    </row>
    <row r="270" spans="7:12">
      <c r="G270">
        <f ca="1">IF( ISNUMBER($L270), MAX($G$50:G269)+1,0)</f>
        <v>0</v>
      </c>
      <c r="H270" s="13"/>
      <c r="I270" s="67"/>
      <c r="J270" s="67"/>
      <c r="K270" s="80" t="str">
        <f t="shared" si="8"/>
        <v>CDAVG</v>
      </c>
      <c r="L270" s="80" t="str">
        <f ca="1">IF(ISNUMBER(FIND("(",$I270)), "", _xll.IMDP("IR", $K270, $L$50, WORKDAY('CD|CP 발행사'!$C$4,-1)) )</f>
        <v/>
      </c>
    </row>
    <row r="271" spans="7:12">
      <c r="G271">
        <f ca="1">IF( ISNUMBER($L271), MAX($G$50:G270)+1,0)</f>
        <v>0</v>
      </c>
      <c r="H271" s="13"/>
      <c r="I271" s="67"/>
      <c r="J271" s="67"/>
      <c r="K271" s="80" t="str">
        <f t="shared" si="8"/>
        <v>CDAVG</v>
      </c>
      <c r="L271" s="80" t="str">
        <f ca="1">IF(ISNUMBER(FIND("(",$I271)), "", _xll.IMDP("IR", $K271, $L$50, WORKDAY('CD|CP 발행사'!$C$4,-1)) )</f>
        <v/>
      </c>
    </row>
    <row r="272" spans="7:12">
      <c r="G272">
        <f ca="1">IF( ISNUMBER($L272), MAX($G$50:G271)+1,0)</f>
        <v>0</v>
      </c>
      <c r="H272" s="13"/>
      <c r="I272" s="67"/>
      <c r="J272" s="67"/>
      <c r="K272" s="80" t="str">
        <f t="shared" si="8"/>
        <v>CDAVG</v>
      </c>
      <c r="L272" s="80" t="str">
        <f ca="1">IF(ISNUMBER(FIND("(",$I272)), "", _xll.IMDP("IR", $K272, $L$50, WORKDAY('CD|CP 발행사'!$C$4,-1)) )</f>
        <v/>
      </c>
    </row>
    <row r="273" spans="7:12">
      <c r="G273">
        <f ca="1">IF( ISNUMBER($L273), MAX($G$50:G272)+1,0)</f>
        <v>0</v>
      </c>
      <c r="H273" s="13"/>
      <c r="I273" s="67"/>
      <c r="J273" s="67"/>
      <c r="K273" s="80" t="str">
        <f t="shared" si="8"/>
        <v>CDAVG</v>
      </c>
      <c r="L273" s="80" t="str">
        <f ca="1">IF(ISNUMBER(FIND("(",$I273)), "", _xll.IMDP("IR", $K273, $L$50, WORKDAY('CD|CP 발행사'!$C$4,-1)) )</f>
        <v/>
      </c>
    </row>
    <row r="274" spans="7:12">
      <c r="G274">
        <f ca="1">IF( ISNUMBER($L274), MAX($G$50:G273)+1,0)</f>
        <v>0</v>
      </c>
      <c r="H274" s="13"/>
      <c r="I274" s="67"/>
      <c r="J274" s="67"/>
      <c r="K274" s="80" t="str">
        <f t="shared" si="8"/>
        <v>CDAVG</v>
      </c>
      <c r="L274" s="80" t="str">
        <f ca="1">IF(ISNUMBER(FIND("(",$I274)), "", _xll.IMDP("IR", $K274, $L$50, WORKDAY('CD|CP 발행사'!$C$4,-1)) )</f>
        <v/>
      </c>
    </row>
    <row r="275" spans="7:12">
      <c r="G275">
        <f ca="1">IF( ISNUMBER($L275), MAX($G$50:G274)+1,0)</f>
        <v>0</v>
      </c>
      <c r="H275" s="13"/>
      <c r="I275" s="67"/>
      <c r="J275" s="67"/>
      <c r="K275" s="80" t="str">
        <f t="shared" si="8"/>
        <v>CDAVG</v>
      </c>
      <c r="L275" s="80" t="str">
        <f ca="1">IF(ISNUMBER(FIND("(",$I275)), "", _xll.IMDP("IR", $K275, $L$50, WORKDAY('CD|CP 발행사'!$C$4,-1)) )</f>
        <v/>
      </c>
    </row>
    <row r="276" spans="7:12">
      <c r="G276">
        <f ca="1">IF( ISNUMBER($L276), MAX($G$50:G275)+1,0)</f>
        <v>0</v>
      </c>
      <c r="H276" s="13"/>
      <c r="I276" s="67"/>
      <c r="J276" s="67"/>
      <c r="K276" s="80" t="str">
        <f t="shared" si="8"/>
        <v>CDAVG</v>
      </c>
      <c r="L276" s="80" t="str">
        <f ca="1">IF(ISNUMBER(FIND("(",$I276)), "", _xll.IMDP("IR", $K276, $L$50, WORKDAY('CD|CP 발행사'!$C$4,-1)) )</f>
        <v/>
      </c>
    </row>
    <row r="277" spans="7:12">
      <c r="G277">
        <f ca="1">IF( ISNUMBER($L277), MAX($G$50:G276)+1,0)</f>
        <v>0</v>
      </c>
      <c r="H277" s="13"/>
      <c r="I277" s="67"/>
      <c r="J277" s="67"/>
      <c r="K277" s="80" t="str">
        <f t="shared" si="8"/>
        <v>CDAVG</v>
      </c>
      <c r="L277" s="80" t="str">
        <f ca="1">IF(ISNUMBER(FIND("(",$I277)), "", _xll.IMDP("IR", $K277, $L$50, WORKDAY('CD|CP 발행사'!$C$4,-1)) )</f>
        <v/>
      </c>
    </row>
    <row r="278" spans="7:12">
      <c r="G278">
        <f ca="1">IF( ISNUMBER($L278), MAX($G$50:G277)+1,0)</f>
        <v>0</v>
      </c>
      <c r="H278" s="13"/>
      <c r="I278" s="67"/>
      <c r="J278" s="67"/>
      <c r="K278" s="80" t="str">
        <f t="shared" si="8"/>
        <v>CDAVG</v>
      </c>
      <c r="L278" s="80" t="str">
        <f ca="1">IF(ISNUMBER(FIND("(",$I278)), "", _xll.IMDP("IR", $K278, $L$50, WORKDAY('CD|CP 발행사'!$C$4,-1)) )</f>
        <v/>
      </c>
    </row>
    <row r="279" spans="7:12">
      <c r="G279">
        <f ca="1">IF( ISNUMBER($L279), MAX($G$50:G278)+1,0)</f>
        <v>0</v>
      </c>
      <c r="H279" s="13"/>
      <c r="I279" s="67"/>
      <c r="J279" s="67"/>
      <c r="K279" s="80" t="str">
        <f t="shared" si="8"/>
        <v>CDAVG</v>
      </c>
      <c r="L279" s="80" t="str">
        <f ca="1">IF(ISNUMBER(FIND("(",$I279)), "", _xll.IMDP("IR", $K279, $L$50, WORKDAY('CD|CP 발행사'!$C$4,-1)) )</f>
        <v/>
      </c>
    </row>
    <row r="280" spans="7:12">
      <c r="G280">
        <f ca="1">IF( ISNUMBER($L280), MAX($G$50:G279)+1,0)</f>
        <v>0</v>
      </c>
      <c r="H280" s="13"/>
      <c r="I280" s="67"/>
      <c r="J280" s="67"/>
      <c r="K280" s="80" t="str">
        <f t="shared" si="8"/>
        <v>CDAVG</v>
      </c>
      <c r="L280" s="80" t="str">
        <f ca="1">IF(ISNUMBER(FIND("(",$I280)), "", _xll.IMDP("IR", $K280, $L$50, WORKDAY('CD|CP 발행사'!$C$4,-1)) )</f>
        <v/>
      </c>
    </row>
    <row r="281" spans="7:12">
      <c r="G281">
        <f ca="1">IF( ISNUMBER($L281), MAX($G$50:G280)+1,0)</f>
        <v>0</v>
      </c>
      <c r="H281" s="13"/>
      <c r="I281" s="67"/>
      <c r="J281" s="67"/>
      <c r="K281" s="80" t="str">
        <f t="shared" si="8"/>
        <v>CDAVG</v>
      </c>
      <c r="L281" s="80" t="str">
        <f ca="1">IF(ISNUMBER(FIND("(",$I281)), "", _xll.IMDP("IR", $K281, $L$50, WORKDAY('CD|CP 발행사'!$C$4,-1)) )</f>
        <v/>
      </c>
    </row>
    <row r="282" spans="7:12">
      <c r="G282">
        <f ca="1">IF( ISNUMBER($L282), MAX($G$50:G281)+1,0)</f>
        <v>0</v>
      </c>
      <c r="H282" s="13"/>
      <c r="I282" s="67"/>
      <c r="J282" s="67"/>
      <c r="K282" s="80" t="str">
        <f t="shared" si="8"/>
        <v>CDAVG</v>
      </c>
      <c r="L282" s="80" t="str">
        <f ca="1">IF(ISNUMBER(FIND("(",$I282)), "", _xll.IMDP("IR", $K282, $L$50, WORKDAY('CD|CP 발행사'!$C$4,-1)) )</f>
        <v/>
      </c>
    </row>
    <row r="283" spans="7:12">
      <c r="G283">
        <f ca="1">IF( ISNUMBER($L283), MAX($G$50:G282)+1,0)</f>
        <v>0</v>
      </c>
      <c r="H283" s="13"/>
      <c r="I283" s="67"/>
      <c r="J283" s="67"/>
      <c r="K283" s="80" t="str">
        <f t="shared" si="8"/>
        <v>CDAVG</v>
      </c>
      <c r="L283" s="80" t="str">
        <f ca="1">IF(ISNUMBER(FIND("(",$I283)), "", _xll.IMDP("IR", $K283, $L$50, WORKDAY('CD|CP 발행사'!$C$4,-1)) )</f>
        <v/>
      </c>
    </row>
    <row r="284" spans="7:12">
      <c r="G284">
        <f ca="1">IF( ISNUMBER($L284), MAX($G$50:G283)+1,0)</f>
        <v>0</v>
      </c>
      <c r="H284" s="13"/>
      <c r="I284" s="67"/>
      <c r="J284" s="67"/>
      <c r="K284" s="80" t="str">
        <f t="shared" si="8"/>
        <v>CDAVG</v>
      </c>
      <c r="L284" s="80" t="str">
        <f ca="1">IF(ISNUMBER(FIND("(",$I284)), "", _xll.IMDP("IR", $K284, $L$50, WORKDAY('CD|CP 발행사'!$C$4,-1)) )</f>
        <v/>
      </c>
    </row>
    <row r="285" spans="7:12">
      <c r="G285">
        <f ca="1">IF( ISNUMBER($L285), MAX($G$50:G284)+1,0)</f>
        <v>0</v>
      </c>
      <c r="H285" s="13"/>
      <c r="I285" s="67"/>
      <c r="J285" s="67"/>
      <c r="K285" s="80" t="str">
        <f t="shared" si="8"/>
        <v>CDAVG</v>
      </c>
      <c r="L285" s="80" t="str">
        <f ca="1">IF(ISNUMBER(FIND("(",$I285)), "", _xll.IMDP("IR", $K285, $L$50, WORKDAY('CD|CP 발행사'!$C$4,-1)) )</f>
        <v/>
      </c>
    </row>
    <row r="286" spans="7:12">
      <c r="G286">
        <f ca="1">IF( ISNUMBER($L286), MAX($G$50:G285)+1,0)</f>
        <v>0</v>
      </c>
      <c r="H286" s="13"/>
      <c r="I286" s="67"/>
      <c r="J286" s="67"/>
      <c r="K286" s="80" t="str">
        <f t="shared" si="8"/>
        <v>CDAVG</v>
      </c>
      <c r="L286" s="80" t="str">
        <f ca="1">IF(ISNUMBER(FIND("(",$I286)), "", _xll.IMDP("IR", $K286, $L$50, WORKDAY('CD|CP 발행사'!$C$4,-1)) )</f>
        <v/>
      </c>
    </row>
    <row r="287" spans="7:12">
      <c r="G287">
        <f ca="1">IF( ISNUMBER($L287), MAX($G$50:G286)+1,0)</f>
        <v>0</v>
      </c>
      <c r="H287" s="13"/>
      <c r="I287" s="67"/>
      <c r="J287" s="67"/>
      <c r="K287" s="80" t="str">
        <f t="shared" si="8"/>
        <v>CDAVG</v>
      </c>
      <c r="L287" s="80" t="str">
        <f ca="1">IF(ISNUMBER(FIND("(",$I287)), "", _xll.IMDP("IR", $K287, $L$50, WORKDAY('CD|CP 발행사'!$C$4,-1)) )</f>
        <v/>
      </c>
    </row>
    <row r="288" spans="7:12">
      <c r="G288">
        <f ca="1">IF( ISNUMBER($L288), MAX($G$50:G287)+1,0)</f>
        <v>0</v>
      </c>
      <c r="H288" s="13"/>
      <c r="I288" s="67"/>
      <c r="J288" s="67"/>
      <c r="K288" s="80" t="str">
        <f t="shared" si="8"/>
        <v>CDAVG</v>
      </c>
      <c r="L288" s="80" t="str">
        <f ca="1">IF(ISNUMBER(FIND("(",$I288)), "", _xll.IMDP("IR", $K288, $L$50, WORKDAY('CD|CP 발행사'!$C$4,-1)) )</f>
        <v/>
      </c>
    </row>
    <row r="289" spans="7:12">
      <c r="G289">
        <f ca="1">IF( ISNUMBER($L289), MAX($G$50:G288)+1,0)</f>
        <v>0</v>
      </c>
      <c r="H289" s="13"/>
      <c r="I289" s="67"/>
      <c r="J289" s="67"/>
      <c r="K289" s="80" t="str">
        <f t="shared" si="8"/>
        <v>CDAVG</v>
      </c>
      <c r="L289" s="80" t="str">
        <f ca="1">IF(ISNUMBER(FIND("(",$I289)), "", _xll.IMDP("IR", $K289, $L$50, WORKDAY('CD|CP 발행사'!$C$4,-1)) )</f>
        <v/>
      </c>
    </row>
    <row r="290" spans="7:12">
      <c r="G290">
        <f ca="1">IF( ISNUMBER($L290), MAX($G$50:G289)+1,0)</f>
        <v>0</v>
      </c>
      <c r="H290" s="13"/>
      <c r="I290" s="67"/>
      <c r="J290" s="67"/>
      <c r="K290" s="80" t="str">
        <f t="shared" si="8"/>
        <v>CDAVG</v>
      </c>
      <c r="L290" s="80" t="str">
        <f ca="1">IF(ISNUMBER(FIND("(",$I290)), "", _xll.IMDP("IR", $K290, $L$50, WORKDAY('CD|CP 발행사'!$C$4,-1)) )</f>
        <v/>
      </c>
    </row>
    <row r="291" spans="7:12">
      <c r="G291">
        <f ca="1">IF( ISNUMBER($L291), MAX($G$50:G290)+1,0)</f>
        <v>0</v>
      </c>
      <c r="H291" s="13"/>
      <c r="I291" s="67"/>
      <c r="J291" s="67"/>
      <c r="K291" s="80" t="str">
        <f t="shared" si="8"/>
        <v>CDAVG</v>
      </c>
      <c r="L291" s="80" t="str">
        <f ca="1">IF(ISNUMBER(FIND("(",$I291)), "", _xll.IMDP("IR", $K291, $L$50, WORKDAY('CD|CP 발행사'!$C$4,-1)) )</f>
        <v/>
      </c>
    </row>
    <row r="292" spans="7:12">
      <c r="G292">
        <f ca="1">IF( ISNUMBER($L292), MAX($G$50:G291)+1,0)</f>
        <v>0</v>
      </c>
      <c r="H292" s="13"/>
      <c r="I292" s="67"/>
      <c r="J292" s="67"/>
      <c r="K292" s="80" t="str">
        <f t="shared" si="8"/>
        <v>CDAVG</v>
      </c>
      <c r="L292" s="80" t="str">
        <f ca="1">IF(ISNUMBER(FIND("(",$I292)), "", _xll.IMDP("IR", $K292, $L$50, WORKDAY('CD|CP 발행사'!$C$4,-1)) )</f>
        <v/>
      </c>
    </row>
    <row r="293" spans="7:12">
      <c r="G293">
        <f ca="1">IF( ISNUMBER($L293), MAX($G$50:G292)+1,0)</f>
        <v>0</v>
      </c>
      <c r="H293" s="13"/>
      <c r="I293" s="67"/>
      <c r="J293" s="67"/>
      <c r="K293" s="80" t="str">
        <f t="shared" si="8"/>
        <v>CDAVG</v>
      </c>
      <c r="L293" s="80" t="str">
        <f ca="1">IF(ISNUMBER(FIND("(",$I293)), "", _xll.IMDP("IR", $K293, $L$50, WORKDAY('CD|CP 발행사'!$C$4,-1)) )</f>
        <v/>
      </c>
    </row>
    <row r="294" spans="7:12">
      <c r="G294">
        <f ca="1">IF( ISNUMBER($L294), MAX($G$50:G293)+1,0)</f>
        <v>0</v>
      </c>
      <c r="H294" s="13"/>
      <c r="I294" s="67"/>
      <c r="J294" s="67"/>
      <c r="K294" s="80" t="str">
        <f t="shared" si="8"/>
        <v>CDAVG</v>
      </c>
      <c r="L294" s="80" t="str">
        <f ca="1">IF(ISNUMBER(FIND("(",$I294)), "", _xll.IMDP("IR", $K294, $L$50, WORKDAY('CD|CP 발행사'!$C$4,-1)) )</f>
        <v/>
      </c>
    </row>
    <row r="295" spans="7:12">
      <c r="G295">
        <f ca="1">IF( ISNUMBER($L295), MAX($G$50:G294)+1,0)</f>
        <v>0</v>
      </c>
      <c r="H295" s="13"/>
      <c r="I295" s="67"/>
      <c r="J295" s="67"/>
      <c r="K295" s="80" t="str">
        <f t="shared" si="8"/>
        <v>CDAVG</v>
      </c>
      <c r="L295" s="80" t="str">
        <f ca="1">IF(ISNUMBER(FIND("(",$I295)), "", _xll.IMDP("IR", $K295, $L$50, WORKDAY('CD|CP 발행사'!$C$4,-1)) )</f>
        <v/>
      </c>
    </row>
    <row r="296" spans="7:12">
      <c r="G296">
        <f ca="1">IF( ISNUMBER($L296), MAX($G$50:G295)+1,0)</f>
        <v>0</v>
      </c>
      <c r="H296" s="13"/>
      <c r="I296" s="67"/>
      <c r="J296" s="67"/>
      <c r="K296" s="80" t="str">
        <f t="shared" si="8"/>
        <v>CDAVG</v>
      </c>
      <c r="L296" s="80" t="str">
        <f ca="1">IF(ISNUMBER(FIND("(",$I296)), "", _xll.IMDP("IR", $K296, $L$50, WORKDAY('CD|CP 발행사'!$C$4,-1)) )</f>
        <v/>
      </c>
    </row>
    <row r="297" spans="7:12">
      <c r="G297">
        <f ca="1">IF( ISNUMBER($L297), MAX($G$50:G296)+1,0)</f>
        <v>0</v>
      </c>
      <c r="H297" s="13"/>
      <c r="I297" s="67"/>
      <c r="J297" s="67"/>
      <c r="K297" s="80" t="str">
        <f t="shared" si="8"/>
        <v>CDAVG</v>
      </c>
      <c r="L297" s="80" t="str">
        <f ca="1">IF(ISNUMBER(FIND("(",$I297)), "", _xll.IMDP("IR", $K297, $L$50, WORKDAY('CD|CP 발행사'!$C$4,-1)) )</f>
        <v/>
      </c>
    </row>
    <row r="298" spans="7:12">
      <c r="G298">
        <f ca="1">IF( ISNUMBER($L298), MAX($G$50:G297)+1,0)</f>
        <v>0</v>
      </c>
      <c r="H298" s="13"/>
      <c r="I298" s="67"/>
      <c r="J298" s="67"/>
      <c r="K298" s="80" t="str">
        <f t="shared" si="8"/>
        <v>CDAVG</v>
      </c>
      <c r="L298" s="80" t="str">
        <f ca="1">IF(ISNUMBER(FIND("(",$I298)), "", _xll.IMDP("IR", $K298, $L$50, WORKDAY('CD|CP 발행사'!$C$4,-1)) )</f>
        <v/>
      </c>
    </row>
    <row r="299" spans="7:12">
      <c r="G299">
        <f ca="1">IF( ISNUMBER($L299), MAX($G$50:G298)+1,0)</f>
        <v>0</v>
      </c>
      <c r="H299" s="13"/>
      <c r="I299" s="67"/>
      <c r="J299" s="67"/>
      <c r="K299" s="80" t="str">
        <f t="shared" si="8"/>
        <v>CDAVG</v>
      </c>
      <c r="L299" s="80" t="str">
        <f ca="1">IF(ISNUMBER(FIND("(",$I299)), "", _xll.IMDP("IR", $K299, $L$50, WORKDAY('CD|CP 발행사'!$C$4,-1)) )</f>
        <v/>
      </c>
    </row>
    <row r="300" spans="7:12">
      <c r="G300">
        <f ca="1">IF( ISNUMBER($L300), MAX($G$50:G299)+1,0)</f>
        <v>0</v>
      </c>
      <c r="H300" s="13"/>
      <c r="I300" s="67"/>
      <c r="J300" s="67"/>
      <c r="K300" s="80" t="str">
        <f t="shared" si="8"/>
        <v>CDAVG</v>
      </c>
      <c r="L300" s="80" t="str">
        <f ca="1">IF(ISNUMBER(FIND("(",$I300)), "", _xll.IMDP("IR", $K300, $L$50, WORKDAY('CD|CP 발행사'!$C$4,-1)) )</f>
        <v/>
      </c>
    </row>
    <row r="301" spans="7:12">
      <c r="G301">
        <f ca="1">IF( ISNUMBER($L301), MAX($G$50:G300)+1,0)</f>
        <v>0</v>
      </c>
      <c r="H301" s="13"/>
      <c r="I301" s="67"/>
      <c r="J301" s="67"/>
      <c r="K301" s="80" t="str">
        <f t="shared" si="8"/>
        <v>CDAVG</v>
      </c>
      <c r="L301" s="80" t="str">
        <f ca="1">IF(ISNUMBER(FIND("(",$I301)), "", _xll.IMDP("IR", $K301, $L$50, WORKDAY('CD|CP 발행사'!$C$4,-1)) )</f>
        <v/>
      </c>
    </row>
    <row r="302" spans="7:12">
      <c r="G302">
        <f ca="1">IF( ISNUMBER($L302), MAX($G$50:G301)+1,0)</f>
        <v>0</v>
      </c>
      <c r="H302" s="13"/>
      <c r="I302" s="67"/>
      <c r="J302" s="67"/>
      <c r="K302" s="80" t="str">
        <f t="shared" si="8"/>
        <v>CDAVG</v>
      </c>
      <c r="L302" s="80" t="str">
        <f ca="1">IF(ISNUMBER(FIND("(",$I302)), "", _xll.IMDP("IR", $K302, $L$50, WORKDAY('CD|CP 발행사'!$C$4,-1)) )</f>
        <v/>
      </c>
    </row>
    <row r="303" spans="7:12">
      <c r="G303">
        <f ca="1">IF( ISNUMBER($L303), MAX($G$50:G302)+1,0)</f>
        <v>0</v>
      </c>
      <c r="H303" s="13"/>
      <c r="I303" s="67"/>
      <c r="J303" s="67"/>
      <c r="K303" s="80" t="str">
        <f t="shared" si="8"/>
        <v>CDAVG</v>
      </c>
      <c r="L303" s="80" t="str">
        <f ca="1">IF(ISNUMBER(FIND("(",$I303)), "", _xll.IMDP("IR", $K303, $L$50, WORKDAY('CD|CP 발행사'!$C$4,-1)) )</f>
        <v/>
      </c>
    </row>
    <row r="304" spans="7:12">
      <c r="G304">
        <f ca="1">IF( ISNUMBER($L304), MAX($G$50:G303)+1,0)</f>
        <v>0</v>
      </c>
      <c r="H304" s="13"/>
      <c r="I304" s="67"/>
      <c r="J304" s="67"/>
      <c r="K304" s="80" t="str">
        <f t="shared" si="8"/>
        <v>CDAVG</v>
      </c>
      <c r="L304" s="80" t="str">
        <f ca="1">IF(ISNUMBER(FIND("(",$I304)), "", _xll.IMDP("IR", $K304, $L$50, WORKDAY('CD|CP 발행사'!$C$4,-1)) )</f>
        <v/>
      </c>
    </row>
    <row r="305" spans="7:12">
      <c r="G305">
        <f ca="1">IF( ISNUMBER($L305), MAX($G$50:G304)+1,0)</f>
        <v>0</v>
      </c>
      <c r="H305" s="13"/>
      <c r="I305" s="67"/>
      <c r="J305" s="67"/>
      <c r="K305" s="80" t="str">
        <f t="shared" si="8"/>
        <v>CDAVG</v>
      </c>
      <c r="L305" s="80" t="str">
        <f ca="1">IF(ISNUMBER(FIND("(",$I305)), "", _xll.IMDP("IR", $K305, $L$50, WORKDAY('CD|CP 발행사'!$C$4,-1)) )</f>
        <v/>
      </c>
    </row>
    <row r="306" spans="7:12">
      <c r="G306">
        <f ca="1">IF( ISNUMBER($L306), MAX($G$50:G305)+1,0)</f>
        <v>0</v>
      </c>
      <c r="H306" s="13"/>
      <c r="I306" s="67"/>
      <c r="J306" s="67"/>
      <c r="K306" s="80" t="str">
        <f t="shared" si="8"/>
        <v>CDAVG</v>
      </c>
      <c r="L306" s="80" t="str">
        <f ca="1">IF(ISNUMBER(FIND("(",$I306)), "", _xll.IMDP("IR", $K306, $L$50, WORKDAY('CD|CP 발행사'!$C$4,-1)) )</f>
        <v/>
      </c>
    </row>
    <row r="307" spans="7:12">
      <c r="G307">
        <f ca="1">IF( ISNUMBER($L307), MAX($G$50:G306)+1,0)</f>
        <v>0</v>
      </c>
      <c r="H307" s="13"/>
      <c r="I307" s="67"/>
      <c r="J307" s="67"/>
      <c r="K307" s="80" t="str">
        <f t="shared" ref="K307:K370" si="9">$K$49&amp;$H307</f>
        <v>CDAVG</v>
      </c>
      <c r="L307" s="80" t="str">
        <f ca="1">IF(ISNUMBER(FIND("(",$I307)), "", _xll.IMDP("IR", $K307, $L$50, WORKDAY('CD|CP 발행사'!$C$4,-1)) )</f>
        <v/>
      </c>
    </row>
    <row r="308" spans="7:12">
      <c r="G308">
        <f ca="1">IF( ISNUMBER($L308), MAX($G$50:G307)+1,0)</f>
        <v>0</v>
      </c>
      <c r="H308" s="13"/>
      <c r="I308" s="67"/>
      <c r="J308" s="67"/>
      <c r="K308" s="80" t="str">
        <f t="shared" si="9"/>
        <v>CDAVG</v>
      </c>
      <c r="L308" s="80" t="str">
        <f ca="1">IF(ISNUMBER(FIND("(",$I308)), "", _xll.IMDP("IR", $K308, $L$50, WORKDAY('CD|CP 발행사'!$C$4,-1)) )</f>
        <v/>
      </c>
    </row>
    <row r="309" spans="7:12">
      <c r="G309">
        <f ca="1">IF( ISNUMBER($L309), MAX($G$50:G308)+1,0)</f>
        <v>0</v>
      </c>
      <c r="H309" s="13"/>
      <c r="I309" s="67"/>
      <c r="J309" s="67"/>
      <c r="K309" s="80" t="str">
        <f t="shared" si="9"/>
        <v>CDAVG</v>
      </c>
      <c r="L309" s="80" t="str">
        <f ca="1">IF(ISNUMBER(FIND("(",$I309)), "", _xll.IMDP("IR", $K309, $L$50, WORKDAY('CD|CP 발행사'!$C$4,-1)) )</f>
        <v/>
      </c>
    </row>
    <row r="310" spans="7:12">
      <c r="G310">
        <f ca="1">IF( ISNUMBER($L310), MAX($G$50:G309)+1,0)</f>
        <v>0</v>
      </c>
      <c r="H310" s="13"/>
      <c r="I310" s="67"/>
      <c r="J310" s="67"/>
      <c r="K310" s="80" t="str">
        <f t="shared" si="9"/>
        <v>CDAVG</v>
      </c>
      <c r="L310" s="80" t="str">
        <f ca="1">IF(ISNUMBER(FIND("(",$I310)), "", _xll.IMDP("IR", $K310, $L$50, WORKDAY('CD|CP 발행사'!$C$4,-1)) )</f>
        <v/>
      </c>
    </row>
    <row r="311" spans="7:12">
      <c r="G311">
        <f ca="1">IF( ISNUMBER($L311), MAX($G$50:G310)+1,0)</f>
        <v>0</v>
      </c>
      <c r="H311" s="13"/>
      <c r="I311" s="67"/>
      <c r="J311" s="67"/>
      <c r="K311" s="80" t="str">
        <f t="shared" si="9"/>
        <v>CDAVG</v>
      </c>
      <c r="L311" s="80" t="str">
        <f ca="1">IF(ISNUMBER(FIND("(",$I311)), "", _xll.IMDP("IR", $K311, $L$50, WORKDAY('CD|CP 발행사'!$C$4,-1)) )</f>
        <v/>
      </c>
    </row>
    <row r="312" spans="7:12">
      <c r="G312">
        <f ca="1">IF( ISNUMBER($L312), MAX($G$50:G311)+1,0)</f>
        <v>0</v>
      </c>
      <c r="H312" s="13"/>
      <c r="I312" s="67"/>
      <c r="J312" s="67"/>
      <c r="K312" s="80" t="str">
        <f t="shared" si="9"/>
        <v>CDAVG</v>
      </c>
      <c r="L312" s="80" t="str">
        <f ca="1">IF(ISNUMBER(FIND("(",$I312)), "", _xll.IMDP("IR", $K312, $L$50, WORKDAY('CD|CP 발행사'!$C$4,-1)) )</f>
        <v/>
      </c>
    </row>
    <row r="313" spans="7:12">
      <c r="G313">
        <f ca="1">IF( ISNUMBER($L313), MAX($G$50:G312)+1,0)</f>
        <v>0</v>
      </c>
      <c r="H313" s="13"/>
      <c r="I313" s="67"/>
      <c r="J313" s="67"/>
      <c r="K313" s="80" t="str">
        <f t="shared" si="9"/>
        <v>CDAVG</v>
      </c>
      <c r="L313" s="80" t="str">
        <f ca="1">IF(ISNUMBER(FIND("(",$I313)), "", _xll.IMDP("IR", $K313, $L$50, WORKDAY('CD|CP 발행사'!$C$4,-1)) )</f>
        <v/>
      </c>
    </row>
    <row r="314" spans="7:12">
      <c r="G314">
        <f ca="1">IF( ISNUMBER($L314), MAX($G$50:G313)+1,0)</f>
        <v>0</v>
      </c>
      <c r="H314" s="13"/>
      <c r="I314" s="67"/>
      <c r="J314" s="67"/>
      <c r="K314" s="80" t="str">
        <f t="shared" si="9"/>
        <v>CDAVG</v>
      </c>
      <c r="L314" s="80" t="str">
        <f ca="1">IF(ISNUMBER(FIND("(",$I314)), "", _xll.IMDP("IR", $K314, $L$50, WORKDAY('CD|CP 발행사'!$C$4,-1)) )</f>
        <v/>
      </c>
    </row>
    <row r="315" spans="7:12">
      <c r="G315">
        <f ca="1">IF( ISNUMBER($L315), MAX($G$50:G314)+1,0)</f>
        <v>0</v>
      </c>
      <c r="H315" s="13"/>
      <c r="I315" s="67"/>
      <c r="J315" s="67"/>
      <c r="K315" s="80" t="str">
        <f t="shared" si="9"/>
        <v>CDAVG</v>
      </c>
      <c r="L315" s="80" t="str">
        <f ca="1">IF(ISNUMBER(FIND("(",$I315)), "", _xll.IMDP("IR", $K315, $L$50, WORKDAY('CD|CP 발행사'!$C$4,-1)) )</f>
        <v/>
      </c>
    </row>
    <row r="316" spans="7:12">
      <c r="G316">
        <f ca="1">IF( ISNUMBER($L316), MAX($G$50:G315)+1,0)</f>
        <v>0</v>
      </c>
      <c r="H316" s="13"/>
      <c r="I316" s="67"/>
      <c r="J316" s="67"/>
      <c r="K316" s="80" t="str">
        <f t="shared" si="9"/>
        <v>CDAVG</v>
      </c>
      <c r="L316" s="80" t="str">
        <f ca="1">IF(ISNUMBER(FIND("(",$I316)), "", _xll.IMDP("IR", $K316, $L$50, WORKDAY('CD|CP 발행사'!$C$4,-1)) )</f>
        <v/>
      </c>
    </row>
    <row r="317" spans="7:12">
      <c r="G317">
        <f ca="1">IF( ISNUMBER($L317), MAX($G$50:G316)+1,0)</f>
        <v>0</v>
      </c>
      <c r="H317" s="13"/>
      <c r="I317" s="67"/>
      <c r="J317" s="67"/>
      <c r="K317" s="80" t="str">
        <f t="shared" si="9"/>
        <v>CDAVG</v>
      </c>
      <c r="L317" s="80" t="str">
        <f ca="1">IF(ISNUMBER(FIND("(",$I317)), "", _xll.IMDP("IR", $K317, $L$50, WORKDAY('CD|CP 발행사'!$C$4,-1)) )</f>
        <v/>
      </c>
    </row>
    <row r="318" spans="7:12">
      <c r="G318">
        <f ca="1">IF( ISNUMBER($L318), MAX($G$50:G317)+1,0)</f>
        <v>0</v>
      </c>
      <c r="H318" s="13"/>
      <c r="I318" s="67"/>
      <c r="J318" s="67"/>
      <c r="K318" s="80" t="str">
        <f t="shared" si="9"/>
        <v>CDAVG</v>
      </c>
      <c r="L318" s="80" t="str">
        <f ca="1">IF(ISNUMBER(FIND("(",$I318)), "", _xll.IMDP("IR", $K318, $L$50, WORKDAY('CD|CP 발행사'!$C$4,-1)) )</f>
        <v/>
      </c>
    </row>
    <row r="319" spans="7:12">
      <c r="G319">
        <f ca="1">IF( ISNUMBER($L319), MAX($G$50:G318)+1,0)</f>
        <v>0</v>
      </c>
      <c r="H319" s="13"/>
      <c r="I319" s="67"/>
      <c r="J319" s="67"/>
      <c r="K319" s="80" t="str">
        <f t="shared" si="9"/>
        <v>CDAVG</v>
      </c>
      <c r="L319" s="80" t="str">
        <f ca="1">IF(ISNUMBER(FIND("(",$I319)), "", _xll.IMDP("IR", $K319, $L$50, WORKDAY('CD|CP 발행사'!$C$4,-1)) )</f>
        <v/>
      </c>
    </row>
    <row r="320" spans="7:12">
      <c r="G320">
        <f ca="1">IF( ISNUMBER($L320), MAX($G$50:G319)+1,0)</f>
        <v>0</v>
      </c>
      <c r="H320" s="13"/>
      <c r="I320" s="67"/>
      <c r="J320" s="67"/>
      <c r="K320" s="80" t="str">
        <f t="shared" si="9"/>
        <v>CDAVG</v>
      </c>
      <c r="L320" s="80" t="str">
        <f ca="1">IF(ISNUMBER(FIND("(",$I320)), "", _xll.IMDP("IR", $K320, $L$50, WORKDAY('CD|CP 발행사'!$C$4,-1)) )</f>
        <v/>
      </c>
    </row>
    <row r="321" spans="7:12">
      <c r="G321">
        <f ca="1">IF( ISNUMBER($L321), MAX($G$50:G320)+1,0)</f>
        <v>0</v>
      </c>
      <c r="H321" s="13"/>
      <c r="I321" s="67"/>
      <c r="J321" s="67"/>
      <c r="K321" s="80" t="str">
        <f t="shared" si="9"/>
        <v>CDAVG</v>
      </c>
      <c r="L321" s="80" t="str">
        <f ca="1">IF(ISNUMBER(FIND("(",$I321)), "", _xll.IMDP("IR", $K321, $L$50, WORKDAY('CD|CP 발행사'!$C$4,-1)) )</f>
        <v/>
      </c>
    </row>
    <row r="322" spans="7:12">
      <c r="G322">
        <f ca="1">IF( ISNUMBER($L322), MAX($G$50:G321)+1,0)</f>
        <v>0</v>
      </c>
      <c r="H322" s="13"/>
      <c r="I322" s="67"/>
      <c r="J322" s="67"/>
      <c r="K322" s="80" t="str">
        <f t="shared" si="9"/>
        <v>CDAVG</v>
      </c>
      <c r="L322" s="80" t="str">
        <f ca="1">IF(ISNUMBER(FIND("(",$I322)), "", _xll.IMDP("IR", $K322, $L$50, WORKDAY('CD|CP 발행사'!$C$4,-1)) )</f>
        <v/>
      </c>
    </row>
    <row r="323" spans="7:12">
      <c r="G323">
        <f ca="1">IF( ISNUMBER($L323), MAX($G$50:G322)+1,0)</f>
        <v>0</v>
      </c>
      <c r="H323" s="13"/>
      <c r="I323" s="67"/>
      <c r="J323" s="67"/>
      <c r="K323" s="80" t="str">
        <f t="shared" si="9"/>
        <v>CDAVG</v>
      </c>
      <c r="L323" s="80" t="str">
        <f ca="1">IF(ISNUMBER(FIND("(",$I323)), "", _xll.IMDP("IR", $K323, $L$50, WORKDAY('CD|CP 발행사'!$C$4,-1)) )</f>
        <v/>
      </c>
    </row>
    <row r="324" spans="7:12">
      <c r="G324">
        <f ca="1">IF( ISNUMBER($L324), MAX($G$50:G323)+1,0)</f>
        <v>0</v>
      </c>
      <c r="H324" s="13"/>
      <c r="I324" s="67"/>
      <c r="J324" s="67"/>
      <c r="K324" s="80" t="str">
        <f t="shared" si="9"/>
        <v>CDAVG</v>
      </c>
      <c r="L324" s="80" t="str">
        <f ca="1">IF(ISNUMBER(FIND("(",$I324)), "", _xll.IMDP("IR", $K324, $L$50, WORKDAY('CD|CP 발행사'!$C$4,-1)) )</f>
        <v/>
      </c>
    </row>
    <row r="325" spans="7:12">
      <c r="G325">
        <f ca="1">IF( ISNUMBER($L325), MAX($G$50:G324)+1,0)</f>
        <v>0</v>
      </c>
      <c r="H325" s="13"/>
      <c r="I325" s="67"/>
      <c r="J325" s="67"/>
      <c r="K325" s="80" t="str">
        <f t="shared" si="9"/>
        <v>CDAVG</v>
      </c>
      <c r="L325" s="80" t="str">
        <f ca="1">IF(ISNUMBER(FIND("(",$I325)), "", _xll.IMDP("IR", $K325, $L$50, WORKDAY('CD|CP 발행사'!$C$4,-1)) )</f>
        <v/>
      </c>
    </row>
    <row r="326" spans="7:12">
      <c r="G326">
        <f ca="1">IF( ISNUMBER($L326), MAX($G$50:G325)+1,0)</f>
        <v>0</v>
      </c>
      <c r="H326" s="13"/>
      <c r="I326" s="67"/>
      <c r="J326" s="67"/>
      <c r="K326" s="80" t="str">
        <f t="shared" si="9"/>
        <v>CDAVG</v>
      </c>
      <c r="L326" s="80" t="str">
        <f ca="1">IF(ISNUMBER(FIND("(",$I326)), "", _xll.IMDP("IR", $K326, $L$50, WORKDAY('CD|CP 발행사'!$C$4,-1)) )</f>
        <v/>
      </c>
    </row>
    <row r="327" spans="7:12">
      <c r="G327">
        <f ca="1">IF( ISNUMBER($L327), MAX($G$50:G326)+1,0)</f>
        <v>0</v>
      </c>
      <c r="H327" s="13"/>
      <c r="I327" s="67"/>
      <c r="J327" s="67"/>
      <c r="K327" s="80" t="str">
        <f t="shared" si="9"/>
        <v>CDAVG</v>
      </c>
      <c r="L327" s="80" t="str">
        <f ca="1">IF(ISNUMBER(FIND("(",$I327)), "", _xll.IMDP("IR", $K327, $L$50, WORKDAY('CD|CP 발행사'!$C$4,-1)) )</f>
        <v/>
      </c>
    </row>
    <row r="328" spans="7:12">
      <c r="G328">
        <f ca="1">IF( ISNUMBER($L328), MAX($G$50:G327)+1,0)</f>
        <v>0</v>
      </c>
      <c r="H328" s="13"/>
      <c r="I328" s="67"/>
      <c r="J328" s="67"/>
      <c r="K328" s="80" t="str">
        <f t="shared" si="9"/>
        <v>CDAVG</v>
      </c>
      <c r="L328" s="80" t="str">
        <f ca="1">IF(ISNUMBER(FIND("(",$I328)), "", _xll.IMDP("IR", $K328, $L$50, WORKDAY('CD|CP 발행사'!$C$4,-1)) )</f>
        <v/>
      </c>
    </row>
    <row r="329" spans="7:12">
      <c r="G329">
        <f ca="1">IF( ISNUMBER($L329), MAX($G$50:G328)+1,0)</f>
        <v>0</v>
      </c>
      <c r="H329" s="13"/>
      <c r="I329" s="67"/>
      <c r="J329" s="67"/>
      <c r="K329" s="80" t="str">
        <f t="shared" si="9"/>
        <v>CDAVG</v>
      </c>
      <c r="L329" s="80" t="str">
        <f ca="1">IF(ISNUMBER(FIND("(",$I329)), "", _xll.IMDP("IR", $K329, $L$50, WORKDAY('CD|CP 발행사'!$C$4,-1)) )</f>
        <v/>
      </c>
    </row>
    <row r="330" spans="7:12">
      <c r="G330">
        <f ca="1">IF( ISNUMBER($L330), MAX($G$50:G329)+1,0)</f>
        <v>0</v>
      </c>
      <c r="H330" s="13"/>
      <c r="I330" s="67"/>
      <c r="J330" s="67"/>
      <c r="K330" s="80" t="str">
        <f t="shared" si="9"/>
        <v>CDAVG</v>
      </c>
      <c r="L330" s="80" t="str">
        <f ca="1">IF(ISNUMBER(FIND("(",$I330)), "", _xll.IMDP("IR", $K330, $L$50, WORKDAY('CD|CP 발행사'!$C$4,-1)) )</f>
        <v/>
      </c>
    </row>
    <row r="331" spans="7:12">
      <c r="G331">
        <f ca="1">IF( ISNUMBER($L331), MAX($G$50:G330)+1,0)</f>
        <v>0</v>
      </c>
      <c r="H331" s="13"/>
      <c r="I331" s="67"/>
      <c r="J331" s="67"/>
      <c r="K331" s="80" t="str">
        <f t="shared" si="9"/>
        <v>CDAVG</v>
      </c>
      <c r="L331" s="80" t="str">
        <f ca="1">IF(ISNUMBER(FIND("(",$I331)), "", _xll.IMDP("IR", $K331, $L$50, WORKDAY('CD|CP 발행사'!$C$4,-1)) )</f>
        <v/>
      </c>
    </row>
    <row r="332" spans="7:12">
      <c r="G332">
        <f ca="1">IF( ISNUMBER($L332), MAX($G$50:G331)+1,0)</f>
        <v>0</v>
      </c>
      <c r="H332" s="13"/>
      <c r="I332" s="67"/>
      <c r="J332" s="67"/>
      <c r="K332" s="80" t="str">
        <f t="shared" si="9"/>
        <v>CDAVG</v>
      </c>
      <c r="L332" s="80" t="str">
        <f ca="1">IF(ISNUMBER(FIND("(",$I332)), "", _xll.IMDP("IR", $K332, $L$50, WORKDAY('CD|CP 발행사'!$C$4,-1)) )</f>
        <v/>
      </c>
    </row>
    <row r="333" spans="7:12">
      <c r="G333">
        <f ca="1">IF( ISNUMBER($L333), MAX($G$50:G332)+1,0)</f>
        <v>0</v>
      </c>
      <c r="H333" s="13"/>
      <c r="I333" s="67"/>
      <c r="J333" s="67"/>
      <c r="K333" s="80" t="str">
        <f t="shared" si="9"/>
        <v>CDAVG</v>
      </c>
      <c r="L333" s="80" t="str">
        <f ca="1">IF(ISNUMBER(FIND("(",$I333)), "", _xll.IMDP("IR", $K333, $L$50, WORKDAY('CD|CP 발행사'!$C$4,-1)) )</f>
        <v/>
      </c>
    </row>
    <row r="334" spans="7:12">
      <c r="G334">
        <f ca="1">IF( ISNUMBER($L334), MAX($G$50:G333)+1,0)</f>
        <v>0</v>
      </c>
      <c r="H334" s="13"/>
      <c r="I334" s="67"/>
      <c r="J334" s="67"/>
      <c r="K334" s="80" t="str">
        <f t="shared" si="9"/>
        <v>CDAVG</v>
      </c>
      <c r="L334" s="80" t="str">
        <f ca="1">IF(ISNUMBER(FIND("(",$I334)), "", _xll.IMDP("IR", $K334, $L$50, WORKDAY('CD|CP 발행사'!$C$4,-1)) )</f>
        <v/>
      </c>
    </row>
    <row r="335" spans="7:12">
      <c r="G335">
        <f ca="1">IF( ISNUMBER($L335), MAX($G$50:G334)+1,0)</f>
        <v>0</v>
      </c>
      <c r="H335" s="13"/>
      <c r="I335" s="67"/>
      <c r="J335" s="67"/>
      <c r="K335" s="80" t="str">
        <f t="shared" si="9"/>
        <v>CDAVG</v>
      </c>
      <c r="L335" s="80" t="str">
        <f ca="1">IF(ISNUMBER(FIND("(",$I335)), "", _xll.IMDP("IR", $K335, $L$50, WORKDAY('CD|CP 발행사'!$C$4,-1)) )</f>
        <v/>
      </c>
    </row>
    <row r="336" spans="7:12">
      <c r="G336">
        <f ca="1">IF( ISNUMBER($L336), MAX($G$50:G335)+1,0)</f>
        <v>0</v>
      </c>
      <c r="H336" s="13"/>
      <c r="I336" s="67"/>
      <c r="J336" s="67"/>
      <c r="K336" s="80" t="str">
        <f t="shared" si="9"/>
        <v>CDAVG</v>
      </c>
      <c r="L336" s="80" t="str">
        <f ca="1">IF(ISNUMBER(FIND("(",$I336)), "", _xll.IMDP("IR", $K336, $L$50, WORKDAY('CD|CP 발행사'!$C$4,-1)) )</f>
        <v/>
      </c>
    </row>
    <row r="337" spans="7:12">
      <c r="G337">
        <f ca="1">IF( ISNUMBER($L337), MAX($G$50:G336)+1,0)</f>
        <v>0</v>
      </c>
      <c r="H337" s="13"/>
      <c r="I337" s="67"/>
      <c r="J337" s="67"/>
      <c r="K337" s="80" t="str">
        <f t="shared" si="9"/>
        <v>CDAVG</v>
      </c>
      <c r="L337" s="80" t="str">
        <f ca="1">IF(ISNUMBER(FIND("(",$I337)), "", _xll.IMDP("IR", $K337, $L$50, WORKDAY('CD|CP 발행사'!$C$4,-1)) )</f>
        <v/>
      </c>
    </row>
    <row r="338" spans="7:12">
      <c r="G338">
        <f ca="1">IF( ISNUMBER($L338), MAX($G$50:G337)+1,0)</f>
        <v>0</v>
      </c>
      <c r="H338" s="13"/>
      <c r="I338" s="67"/>
      <c r="J338" s="67"/>
      <c r="K338" s="80" t="str">
        <f t="shared" si="9"/>
        <v>CDAVG</v>
      </c>
      <c r="L338" s="80" t="str">
        <f ca="1">IF(ISNUMBER(FIND("(",$I338)), "", _xll.IMDP("IR", $K338, $L$50, WORKDAY('CD|CP 발행사'!$C$4,-1)) )</f>
        <v/>
      </c>
    </row>
    <row r="339" spans="7:12">
      <c r="G339">
        <f ca="1">IF( ISNUMBER($L339), MAX($G$50:G338)+1,0)</f>
        <v>0</v>
      </c>
      <c r="H339" s="13"/>
      <c r="I339" s="67"/>
      <c r="J339" s="67"/>
      <c r="K339" s="80" t="str">
        <f t="shared" si="9"/>
        <v>CDAVG</v>
      </c>
      <c r="L339" s="80" t="str">
        <f ca="1">IF(ISNUMBER(FIND("(",$I339)), "", _xll.IMDP("IR", $K339, $L$50, WORKDAY('CD|CP 발행사'!$C$4,-1)) )</f>
        <v/>
      </c>
    </row>
    <row r="340" spans="7:12">
      <c r="G340">
        <f ca="1">IF( ISNUMBER($L340), MAX($G$50:G339)+1,0)</f>
        <v>0</v>
      </c>
      <c r="H340" s="13"/>
      <c r="I340" s="67"/>
      <c r="J340" s="67"/>
      <c r="K340" s="80" t="str">
        <f t="shared" si="9"/>
        <v>CDAVG</v>
      </c>
      <c r="L340" s="80" t="str">
        <f ca="1">IF(ISNUMBER(FIND("(",$I340)), "", _xll.IMDP("IR", $K340, $L$50, WORKDAY('CD|CP 발행사'!$C$4,-1)) )</f>
        <v/>
      </c>
    </row>
    <row r="341" spans="7:12">
      <c r="G341">
        <f ca="1">IF( ISNUMBER($L341), MAX($G$50:G340)+1,0)</f>
        <v>0</v>
      </c>
      <c r="H341" s="13"/>
      <c r="I341" s="67"/>
      <c r="J341" s="67"/>
      <c r="K341" s="80" t="str">
        <f t="shared" si="9"/>
        <v>CDAVG</v>
      </c>
      <c r="L341" s="80" t="str">
        <f ca="1">IF(ISNUMBER(FIND("(",$I341)), "", _xll.IMDP("IR", $K341, $L$50, WORKDAY('CD|CP 발행사'!$C$4,-1)) )</f>
        <v/>
      </c>
    </row>
    <row r="342" spans="7:12">
      <c r="G342">
        <f ca="1">IF( ISNUMBER($L342), MAX($G$50:G341)+1,0)</f>
        <v>0</v>
      </c>
      <c r="H342" s="13"/>
      <c r="I342" s="67"/>
      <c r="J342" s="67"/>
      <c r="K342" s="80" t="str">
        <f t="shared" si="9"/>
        <v>CDAVG</v>
      </c>
      <c r="L342" s="80" t="str">
        <f ca="1">IF(ISNUMBER(FIND("(",$I342)), "", _xll.IMDP("IR", $K342, $L$50, WORKDAY('CD|CP 발행사'!$C$4,-1)) )</f>
        <v/>
      </c>
    </row>
    <row r="343" spans="7:12">
      <c r="G343">
        <f ca="1">IF( ISNUMBER($L343), MAX($G$50:G342)+1,0)</f>
        <v>0</v>
      </c>
      <c r="H343" s="13"/>
      <c r="I343" s="67"/>
      <c r="J343" s="67"/>
      <c r="K343" s="80" t="str">
        <f t="shared" si="9"/>
        <v>CDAVG</v>
      </c>
      <c r="L343" s="80" t="str">
        <f ca="1">IF(ISNUMBER(FIND("(",$I343)), "", _xll.IMDP("IR", $K343, $L$50, WORKDAY('CD|CP 발행사'!$C$4,-1)) )</f>
        <v/>
      </c>
    </row>
    <row r="344" spans="7:12">
      <c r="G344">
        <f ca="1">IF( ISNUMBER($L344), MAX($G$50:G343)+1,0)</f>
        <v>0</v>
      </c>
      <c r="H344" s="13"/>
      <c r="I344" s="67"/>
      <c r="J344" s="67"/>
      <c r="K344" s="80" t="str">
        <f t="shared" si="9"/>
        <v>CDAVG</v>
      </c>
      <c r="L344" s="80" t="str">
        <f ca="1">IF(ISNUMBER(FIND("(",$I344)), "", _xll.IMDP("IR", $K344, $L$50, WORKDAY('CD|CP 발행사'!$C$4,-1)) )</f>
        <v/>
      </c>
    </row>
    <row r="345" spans="7:12">
      <c r="G345">
        <f ca="1">IF( ISNUMBER($L345), MAX($G$50:G344)+1,0)</f>
        <v>0</v>
      </c>
      <c r="H345" s="13"/>
      <c r="I345" s="67"/>
      <c r="J345" s="67"/>
      <c r="K345" s="80" t="str">
        <f t="shared" si="9"/>
        <v>CDAVG</v>
      </c>
      <c r="L345" s="80" t="str">
        <f ca="1">IF(ISNUMBER(FIND("(",$I345)), "", _xll.IMDP("IR", $K345, $L$50, WORKDAY('CD|CP 발행사'!$C$4,-1)) )</f>
        <v/>
      </c>
    </row>
    <row r="346" spans="7:12">
      <c r="G346">
        <f ca="1">IF( ISNUMBER($L346), MAX($G$50:G345)+1,0)</f>
        <v>0</v>
      </c>
      <c r="H346" s="13"/>
      <c r="I346" s="67"/>
      <c r="J346" s="67"/>
      <c r="K346" s="80" t="str">
        <f t="shared" si="9"/>
        <v>CDAVG</v>
      </c>
      <c r="L346" s="80" t="str">
        <f ca="1">IF(ISNUMBER(FIND("(",$I346)), "", _xll.IMDP("IR", $K346, $L$50, WORKDAY('CD|CP 발행사'!$C$4,-1)) )</f>
        <v/>
      </c>
    </row>
    <row r="347" spans="7:12">
      <c r="G347">
        <f ca="1">IF( ISNUMBER($L347), MAX($G$50:G346)+1,0)</f>
        <v>0</v>
      </c>
      <c r="H347" s="13"/>
      <c r="I347" s="67"/>
      <c r="J347" s="67"/>
      <c r="K347" s="80" t="str">
        <f t="shared" si="9"/>
        <v>CDAVG</v>
      </c>
      <c r="L347" s="80" t="str">
        <f ca="1">IF(ISNUMBER(FIND("(",$I347)), "", _xll.IMDP("IR", $K347, $L$50, WORKDAY('CD|CP 발행사'!$C$4,-1)) )</f>
        <v/>
      </c>
    </row>
    <row r="348" spans="7:12">
      <c r="G348">
        <f ca="1">IF( ISNUMBER($L348), MAX($G$50:G347)+1,0)</f>
        <v>0</v>
      </c>
      <c r="H348" s="13"/>
      <c r="I348" s="67"/>
      <c r="J348" s="67"/>
      <c r="K348" s="80" t="str">
        <f t="shared" si="9"/>
        <v>CDAVG</v>
      </c>
      <c r="L348" s="80" t="str">
        <f ca="1">IF(ISNUMBER(FIND("(",$I348)), "", _xll.IMDP("IR", $K348, $L$50, WORKDAY('CD|CP 발행사'!$C$4,-1)) )</f>
        <v/>
      </c>
    </row>
    <row r="349" spans="7:12">
      <c r="G349">
        <f ca="1">IF( ISNUMBER($L349), MAX($G$50:G348)+1,0)</f>
        <v>0</v>
      </c>
      <c r="H349" s="13"/>
      <c r="I349" s="67"/>
      <c r="J349" s="67"/>
      <c r="K349" s="80" t="str">
        <f t="shared" si="9"/>
        <v>CDAVG</v>
      </c>
      <c r="L349" s="80" t="str">
        <f ca="1">IF(ISNUMBER(FIND("(",$I349)), "", _xll.IMDP("IR", $K349, $L$50, WORKDAY('CD|CP 발행사'!$C$4,-1)) )</f>
        <v/>
      </c>
    </row>
    <row r="350" spans="7:12">
      <c r="G350">
        <f ca="1">IF( ISNUMBER($L350), MAX($G$50:G349)+1,0)</f>
        <v>0</v>
      </c>
      <c r="H350" s="13"/>
      <c r="I350" s="67"/>
      <c r="J350" s="67"/>
      <c r="K350" s="80" t="str">
        <f t="shared" si="9"/>
        <v>CDAVG</v>
      </c>
      <c r="L350" s="80" t="str">
        <f ca="1">IF(ISNUMBER(FIND("(",$I350)), "", _xll.IMDP("IR", $K350, $L$50, WORKDAY('CD|CP 발행사'!$C$4,-1)) )</f>
        <v/>
      </c>
    </row>
    <row r="351" spans="7:12">
      <c r="G351">
        <f ca="1">IF( ISNUMBER($L351), MAX($G$50:G350)+1,0)</f>
        <v>0</v>
      </c>
      <c r="H351" s="13"/>
      <c r="I351" s="67"/>
      <c r="J351" s="67"/>
      <c r="K351" s="80" t="str">
        <f t="shared" si="9"/>
        <v>CDAVG</v>
      </c>
      <c r="L351" s="80" t="str">
        <f ca="1">IF(ISNUMBER(FIND("(",$I351)), "", _xll.IMDP("IR", $K351, $L$50, WORKDAY('CD|CP 발행사'!$C$4,-1)) )</f>
        <v/>
      </c>
    </row>
    <row r="352" spans="7:12">
      <c r="G352">
        <f ca="1">IF( ISNUMBER($L352), MAX($G$50:G351)+1,0)</f>
        <v>0</v>
      </c>
      <c r="H352" s="13"/>
      <c r="I352" s="67"/>
      <c r="J352" s="67"/>
      <c r="K352" s="80" t="str">
        <f t="shared" si="9"/>
        <v>CDAVG</v>
      </c>
      <c r="L352" s="80" t="str">
        <f ca="1">IF(ISNUMBER(FIND("(",$I352)), "", _xll.IMDP("IR", $K352, $L$50, WORKDAY('CD|CP 발행사'!$C$4,-1)) )</f>
        <v/>
      </c>
    </row>
    <row r="353" spans="7:12">
      <c r="G353">
        <f ca="1">IF( ISNUMBER($L353), MAX($G$50:G352)+1,0)</f>
        <v>0</v>
      </c>
      <c r="H353" s="13"/>
      <c r="I353" s="67"/>
      <c r="J353" s="67"/>
      <c r="K353" s="80" t="str">
        <f t="shared" si="9"/>
        <v>CDAVG</v>
      </c>
      <c r="L353" s="80" t="str">
        <f ca="1">IF(ISNUMBER(FIND("(",$I353)), "", _xll.IMDP("IR", $K353, $L$50, WORKDAY('CD|CP 발행사'!$C$4,-1)) )</f>
        <v/>
      </c>
    </row>
    <row r="354" spans="7:12">
      <c r="G354">
        <f ca="1">IF( ISNUMBER($L354), MAX($G$50:G353)+1,0)</f>
        <v>0</v>
      </c>
      <c r="H354" s="13"/>
      <c r="I354" s="67"/>
      <c r="J354" s="67"/>
      <c r="K354" s="80" t="str">
        <f t="shared" si="9"/>
        <v>CDAVG</v>
      </c>
      <c r="L354" s="80" t="str">
        <f ca="1">IF(ISNUMBER(FIND("(",$I354)), "", _xll.IMDP("IR", $K354, $L$50, WORKDAY('CD|CP 발행사'!$C$4,-1)) )</f>
        <v/>
      </c>
    </row>
    <row r="355" spans="7:12">
      <c r="G355">
        <f ca="1">IF( ISNUMBER($L355), MAX($G$50:G354)+1,0)</f>
        <v>0</v>
      </c>
      <c r="H355" s="13"/>
      <c r="I355" s="67"/>
      <c r="J355" s="67"/>
      <c r="K355" s="80" t="str">
        <f t="shared" si="9"/>
        <v>CDAVG</v>
      </c>
      <c r="L355" s="80" t="str">
        <f ca="1">IF(ISNUMBER(FIND("(",$I355)), "", _xll.IMDP("IR", $K355, $L$50, WORKDAY('CD|CP 발행사'!$C$4,-1)) )</f>
        <v/>
      </c>
    </row>
    <row r="356" spans="7:12">
      <c r="G356">
        <f ca="1">IF( ISNUMBER($L356), MAX($G$50:G355)+1,0)</f>
        <v>0</v>
      </c>
      <c r="H356" s="13"/>
      <c r="I356" s="67"/>
      <c r="J356" s="67"/>
      <c r="K356" s="80" t="str">
        <f t="shared" si="9"/>
        <v>CDAVG</v>
      </c>
      <c r="L356" s="80" t="str">
        <f ca="1">IF(ISNUMBER(FIND("(",$I356)), "", _xll.IMDP("IR", $K356, $L$50, WORKDAY('CD|CP 발행사'!$C$4,-1)) )</f>
        <v/>
      </c>
    </row>
    <row r="357" spans="7:12">
      <c r="G357">
        <f ca="1">IF( ISNUMBER($L357), MAX($G$50:G356)+1,0)</f>
        <v>0</v>
      </c>
      <c r="H357" s="13"/>
      <c r="I357" s="67"/>
      <c r="J357" s="67"/>
      <c r="K357" s="80" t="str">
        <f t="shared" si="9"/>
        <v>CDAVG</v>
      </c>
      <c r="L357" s="80" t="str">
        <f ca="1">IF(ISNUMBER(FIND("(",$I357)), "", _xll.IMDP("IR", $K357, $L$50, WORKDAY('CD|CP 발행사'!$C$4,-1)) )</f>
        <v/>
      </c>
    </row>
    <row r="358" spans="7:12">
      <c r="G358">
        <f ca="1">IF( ISNUMBER($L358), MAX($G$50:G357)+1,0)</f>
        <v>0</v>
      </c>
      <c r="H358" s="13"/>
      <c r="I358" s="67"/>
      <c r="J358" s="67"/>
      <c r="K358" s="80" t="str">
        <f t="shared" si="9"/>
        <v>CDAVG</v>
      </c>
      <c r="L358" s="80" t="str">
        <f ca="1">IF(ISNUMBER(FIND("(",$I358)), "", _xll.IMDP("IR", $K358, $L$50, WORKDAY('CD|CP 발행사'!$C$4,-1)) )</f>
        <v/>
      </c>
    </row>
    <row r="359" spans="7:12">
      <c r="G359">
        <f ca="1">IF( ISNUMBER($L359), MAX($G$50:G358)+1,0)</f>
        <v>0</v>
      </c>
      <c r="H359" s="13"/>
      <c r="I359" s="67"/>
      <c r="J359" s="67"/>
      <c r="K359" s="80" t="str">
        <f t="shared" si="9"/>
        <v>CDAVG</v>
      </c>
      <c r="L359" s="80" t="str">
        <f ca="1">IF(ISNUMBER(FIND("(",$I359)), "", _xll.IMDP("IR", $K359, $L$50, WORKDAY('CD|CP 발행사'!$C$4,-1)) )</f>
        <v/>
      </c>
    </row>
    <row r="360" spans="7:12">
      <c r="G360">
        <f ca="1">IF( ISNUMBER($L360), MAX($G$50:G359)+1,0)</f>
        <v>0</v>
      </c>
      <c r="H360" s="13"/>
      <c r="I360" s="67"/>
      <c r="J360" s="67"/>
      <c r="K360" s="80" t="str">
        <f t="shared" si="9"/>
        <v>CDAVG</v>
      </c>
      <c r="L360" s="80" t="str">
        <f ca="1">IF(ISNUMBER(FIND("(",$I360)), "", _xll.IMDP("IR", $K360, $L$50, WORKDAY('CD|CP 발행사'!$C$4,-1)) )</f>
        <v/>
      </c>
    </row>
    <row r="361" spans="7:12">
      <c r="G361">
        <f ca="1">IF( ISNUMBER($L361), MAX($G$50:G360)+1,0)</f>
        <v>0</v>
      </c>
      <c r="H361" s="13"/>
      <c r="I361" s="67"/>
      <c r="J361" s="67"/>
      <c r="K361" s="80" t="str">
        <f t="shared" si="9"/>
        <v>CDAVG</v>
      </c>
      <c r="L361" s="80" t="str">
        <f ca="1">IF(ISNUMBER(FIND("(",$I361)), "", _xll.IMDP("IR", $K361, $L$50, WORKDAY('CD|CP 발행사'!$C$4,-1)) )</f>
        <v/>
      </c>
    </row>
    <row r="362" spans="7:12">
      <c r="G362">
        <f ca="1">IF( ISNUMBER($L362), MAX($G$50:G361)+1,0)</f>
        <v>0</v>
      </c>
      <c r="H362" s="13"/>
      <c r="I362" s="67"/>
      <c r="J362" s="67"/>
      <c r="K362" s="80" t="str">
        <f t="shared" si="9"/>
        <v>CDAVG</v>
      </c>
      <c r="L362" s="80" t="str">
        <f ca="1">IF(ISNUMBER(FIND("(",$I362)), "", _xll.IMDP("IR", $K362, $L$50, WORKDAY('CD|CP 발행사'!$C$4,-1)) )</f>
        <v/>
      </c>
    </row>
    <row r="363" spans="7:12">
      <c r="G363">
        <f ca="1">IF( ISNUMBER($L363), MAX($G$50:G362)+1,0)</f>
        <v>0</v>
      </c>
      <c r="H363" s="13"/>
      <c r="I363" s="67"/>
      <c r="J363" s="67"/>
      <c r="K363" s="80" t="str">
        <f t="shared" si="9"/>
        <v>CDAVG</v>
      </c>
      <c r="L363" s="80" t="str">
        <f ca="1">IF(ISNUMBER(FIND("(",$I363)), "", _xll.IMDP("IR", $K363, $L$50, WORKDAY('CD|CP 발행사'!$C$4,-1)) )</f>
        <v/>
      </c>
    </row>
    <row r="364" spans="7:12">
      <c r="G364">
        <f ca="1">IF( ISNUMBER($L364), MAX($G$50:G363)+1,0)</f>
        <v>0</v>
      </c>
      <c r="H364" s="13"/>
      <c r="I364" s="67"/>
      <c r="J364" s="67"/>
      <c r="K364" s="80" t="str">
        <f t="shared" si="9"/>
        <v>CDAVG</v>
      </c>
      <c r="L364" s="80" t="str">
        <f ca="1">IF(ISNUMBER(FIND("(",$I364)), "", _xll.IMDP("IR", $K364, $L$50, WORKDAY('CD|CP 발행사'!$C$4,-1)) )</f>
        <v/>
      </c>
    </row>
    <row r="365" spans="7:12">
      <c r="G365">
        <f ca="1">IF( ISNUMBER($L365), MAX($G$50:G364)+1,0)</f>
        <v>0</v>
      </c>
      <c r="H365" s="13"/>
      <c r="I365" s="67"/>
      <c r="J365" s="67"/>
      <c r="K365" s="80" t="str">
        <f t="shared" si="9"/>
        <v>CDAVG</v>
      </c>
      <c r="L365" s="80" t="str">
        <f ca="1">IF(ISNUMBER(FIND("(",$I365)), "", _xll.IMDP("IR", $K365, $L$50, WORKDAY('CD|CP 발행사'!$C$4,-1)) )</f>
        <v/>
      </c>
    </row>
    <row r="366" spans="7:12">
      <c r="G366">
        <f ca="1">IF( ISNUMBER($L366), MAX($G$50:G365)+1,0)</f>
        <v>0</v>
      </c>
      <c r="H366" s="13"/>
      <c r="I366" s="67"/>
      <c r="J366" s="67"/>
      <c r="K366" s="80" t="str">
        <f t="shared" si="9"/>
        <v>CDAVG</v>
      </c>
      <c r="L366" s="80" t="str">
        <f ca="1">IF(ISNUMBER(FIND("(",$I366)), "", _xll.IMDP("IR", $K366, $L$50, WORKDAY('CD|CP 발행사'!$C$4,-1)) )</f>
        <v/>
      </c>
    </row>
    <row r="367" spans="7:12">
      <c r="G367">
        <f ca="1">IF( ISNUMBER($L367), MAX($G$50:G366)+1,0)</f>
        <v>0</v>
      </c>
      <c r="H367" s="13"/>
      <c r="I367" s="67"/>
      <c r="J367" s="67"/>
      <c r="K367" s="80" t="str">
        <f t="shared" si="9"/>
        <v>CDAVG</v>
      </c>
      <c r="L367" s="80" t="str">
        <f ca="1">IF(ISNUMBER(FIND("(",$I367)), "", _xll.IMDP("IR", $K367, $L$50, WORKDAY('CD|CP 발행사'!$C$4,-1)) )</f>
        <v/>
      </c>
    </row>
    <row r="368" spans="7:12">
      <c r="G368">
        <f ca="1">IF( ISNUMBER($L368), MAX($G$50:G367)+1,0)</f>
        <v>0</v>
      </c>
      <c r="H368" s="13"/>
      <c r="I368" s="67"/>
      <c r="J368" s="67"/>
      <c r="K368" s="80" t="str">
        <f t="shared" si="9"/>
        <v>CDAVG</v>
      </c>
      <c r="L368" s="80" t="str">
        <f ca="1">IF(ISNUMBER(FIND("(",$I368)), "", _xll.IMDP("IR", $K368, $L$50, WORKDAY('CD|CP 발행사'!$C$4,-1)) )</f>
        <v/>
      </c>
    </row>
    <row r="369" spans="7:12">
      <c r="G369">
        <f ca="1">IF( ISNUMBER($L369), MAX($G$50:G368)+1,0)</f>
        <v>0</v>
      </c>
      <c r="H369" s="13"/>
      <c r="I369" s="67"/>
      <c r="J369" s="67"/>
      <c r="K369" s="80" t="str">
        <f t="shared" si="9"/>
        <v>CDAVG</v>
      </c>
      <c r="L369" s="80" t="str">
        <f ca="1">IF(ISNUMBER(FIND("(",$I369)), "", _xll.IMDP("IR", $K369, $L$50, WORKDAY('CD|CP 발행사'!$C$4,-1)) )</f>
        <v/>
      </c>
    </row>
    <row r="370" spans="7:12">
      <c r="G370">
        <f ca="1">IF( ISNUMBER($L370), MAX($G$50:G369)+1,0)</f>
        <v>0</v>
      </c>
      <c r="H370" s="13"/>
      <c r="I370" s="67"/>
      <c r="J370" s="67"/>
      <c r="K370" s="80" t="str">
        <f t="shared" si="9"/>
        <v>CDAVG</v>
      </c>
      <c r="L370" s="80" t="str">
        <f ca="1">IF(ISNUMBER(FIND("(",$I370)), "", _xll.IMDP("IR", $K370, $L$50, WORKDAY('CD|CP 발행사'!$C$4,-1)) )</f>
        <v/>
      </c>
    </row>
    <row r="371" spans="7:12">
      <c r="G371">
        <f ca="1">IF( ISNUMBER($L371), MAX($G$50:G370)+1,0)</f>
        <v>0</v>
      </c>
      <c r="H371" s="13"/>
      <c r="I371" s="67"/>
      <c r="J371" s="67"/>
      <c r="K371" s="80" t="str">
        <f t="shared" ref="K371:K434" si="10">$K$49&amp;$H371</f>
        <v>CDAVG</v>
      </c>
      <c r="L371" s="80" t="str">
        <f ca="1">IF(ISNUMBER(FIND("(",$I371)), "", _xll.IMDP("IR", $K371, $L$50, WORKDAY('CD|CP 발행사'!$C$4,-1)) )</f>
        <v/>
      </c>
    </row>
    <row r="372" spans="7:12">
      <c r="G372">
        <f ca="1">IF( ISNUMBER($L372), MAX($G$50:G371)+1,0)</f>
        <v>0</v>
      </c>
      <c r="H372" s="13"/>
      <c r="I372" s="67"/>
      <c r="J372" s="67"/>
      <c r="K372" s="80" t="str">
        <f t="shared" si="10"/>
        <v>CDAVG</v>
      </c>
      <c r="L372" s="80" t="str">
        <f ca="1">IF(ISNUMBER(FIND("(",$I372)), "", _xll.IMDP("IR", $K372, $L$50, WORKDAY('CD|CP 발행사'!$C$4,-1)) )</f>
        <v/>
      </c>
    </row>
    <row r="373" spans="7:12">
      <c r="G373">
        <f ca="1">IF( ISNUMBER($L373), MAX($G$50:G372)+1,0)</f>
        <v>0</v>
      </c>
      <c r="H373" s="13"/>
      <c r="I373" s="67"/>
      <c r="J373" s="67"/>
      <c r="K373" s="80" t="str">
        <f t="shared" si="10"/>
        <v>CDAVG</v>
      </c>
      <c r="L373" s="80" t="str">
        <f ca="1">IF(ISNUMBER(FIND("(",$I373)), "", _xll.IMDP("IR", $K373, $L$50, WORKDAY('CD|CP 발행사'!$C$4,-1)) )</f>
        <v/>
      </c>
    </row>
    <row r="374" spans="7:12">
      <c r="G374">
        <f ca="1">IF( ISNUMBER($L374), MAX($G$50:G373)+1,0)</f>
        <v>0</v>
      </c>
      <c r="H374" s="13"/>
      <c r="I374" s="67"/>
      <c r="J374" s="67"/>
      <c r="K374" s="80" t="str">
        <f t="shared" si="10"/>
        <v>CDAVG</v>
      </c>
      <c r="L374" s="80" t="str">
        <f ca="1">IF(ISNUMBER(FIND("(",$I374)), "", _xll.IMDP("IR", $K374, $L$50, WORKDAY('CD|CP 발행사'!$C$4,-1)) )</f>
        <v/>
      </c>
    </row>
    <row r="375" spans="7:12">
      <c r="G375">
        <f ca="1">IF( ISNUMBER($L375), MAX($G$50:G374)+1,0)</f>
        <v>0</v>
      </c>
      <c r="H375" s="13"/>
      <c r="I375" s="67"/>
      <c r="J375" s="67"/>
      <c r="K375" s="80" t="str">
        <f t="shared" si="10"/>
        <v>CDAVG</v>
      </c>
      <c r="L375" s="80" t="str">
        <f ca="1">IF(ISNUMBER(FIND("(",$I375)), "", _xll.IMDP("IR", $K375, $L$50, WORKDAY('CD|CP 발행사'!$C$4,-1)) )</f>
        <v/>
      </c>
    </row>
    <row r="376" spans="7:12">
      <c r="G376">
        <f ca="1">IF( ISNUMBER($L376), MAX($G$50:G375)+1,0)</f>
        <v>0</v>
      </c>
      <c r="H376" s="13"/>
      <c r="I376" s="67"/>
      <c r="J376" s="67"/>
      <c r="K376" s="80" t="str">
        <f t="shared" si="10"/>
        <v>CDAVG</v>
      </c>
      <c r="L376" s="80" t="str">
        <f ca="1">IF(ISNUMBER(FIND("(",$I376)), "", _xll.IMDP("IR", $K376, $L$50, WORKDAY('CD|CP 발행사'!$C$4,-1)) )</f>
        <v/>
      </c>
    </row>
    <row r="377" spans="7:12">
      <c r="G377">
        <f ca="1">IF( ISNUMBER($L377), MAX($G$50:G376)+1,0)</f>
        <v>0</v>
      </c>
      <c r="H377" s="13"/>
      <c r="I377" s="67"/>
      <c r="J377" s="67"/>
      <c r="K377" s="80" t="str">
        <f t="shared" si="10"/>
        <v>CDAVG</v>
      </c>
      <c r="L377" s="80" t="str">
        <f ca="1">IF(ISNUMBER(FIND("(",$I377)), "", _xll.IMDP("IR", $K377, $L$50, WORKDAY('CD|CP 발행사'!$C$4,-1)) )</f>
        <v/>
      </c>
    </row>
    <row r="378" spans="7:12">
      <c r="G378">
        <f ca="1">IF( ISNUMBER($L378), MAX($G$50:G377)+1,0)</f>
        <v>0</v>
      </c>
      <c r="H378" s="13"/>
      <c r="I378" s="67"/>
      <c r="J378" s="67"/>
      <c r="K378" s="80" t="str">
        <f t="shared" si="10"/>
        <v>CDAVG</v>
      </c>
      <c r="L378" s="80" t="str">
        <f ca="1">IF(ISNUMBER(FIND("(",$I378)), "", _xll.IMDP("IR", $K378, $L$50, WORKDAY('CD|CP 발행사'!$C$4,-1)) )</f>
        <v/>
      </c>
    </row>
    <row r="379" spans="7:12">
      <c r="G379">
        <f ca="1">IF( ISNUMBER($L379), MAX($G$50:G378)+1,0)</f>
        <v>0</v>
      </c>
      <c r="H379" s="13"/>
      <c r="I379" s="67"/>
      <c r="J379" s="67"/>
      <c r="K379" s="80" t="str">
        <f t="shared" si="10"/>
        <v>CDAVG</v>
      </c>
      <c r="L379" s="80" t="str">
        <f ca="1">IF(ISNUMBER(FIND("(",$I379)), "", _xll.IMDP("IR", $K379, $L$50, WORKDAY('CD|CP 발행사'!$C$4,-1)) )</f>
        <v/>
      </c>
    </row>
    <row r="380" spans="7:12">
      <c r="G380">
        <f ca="1">IF( ISNUMBER($L380), MAX($G$50:G379)+1,0)</f>
        <v>0</v>
      </c>
      <c r="H380" s="13"/>
      <c r="I380" s="67"/>
      <c r="J380" s="67"/>
      <c r="K380" s="80" t="str">
        <f t="shared" si="10"/>
        <v>CDAVG</v>
      </c>
      <c r="L380" s="80" t="str">
        <f ca="1">IF(ISNUMBER(FIND("(",$I380)), "", _xll.IMDP("IR", $K380, $L$50, WORKDAY('CD|CP 발행사'!$C$4,-1)) )</f>
        <v/>
      </c>
    </row>
    <row r="381" spans="7:12">
      <c r="G381">
        <f ca="1">IF( ISNUMBER($L381), MAX($G$50:G380)+1,0)</f>
        <v>0</v>
      </c>
      <c r="H381" s="13"/>
      <c r="I381" s="67"/>
      <c r="J381" s="67"/>
      <c r="K381" s="80" t="str">
        <f t="shared" si="10"/>
        <v>CDAVG</v>
      </c>
      <c r="L381" s="80" t="str">
        <f ca="1">IF(ISNUMBER(FIND("(",$I381)), "", _xll.IMDP("IR", $K381, $L$50, WORKDAY('CD|CP 발행사'!$C$4,-1)) )</f>
        <v/>
      </c>
    </row>
    <row r="382" spans="7:12">
      <c r="G382">
        <f ca="1">IF( ISNUMBER($L382), MAX($G$50:G381)+1,0)</f>
        <v>0</v>
      </c>
      <c r="H382" s="13"/>
      <c r="I382" s="67"/>
      <c r="J382" s="67"/>
      <c r="K382" s="80" t="str">
        <f t="shared" si="10"/>
        <v>CDAVG</v>
      </c>
      <c r="L382" s="80" t="str">
        <f ca="1">IF(ISNUMBER(FIND("(",$I382)), "", _xll.IMDP("IR", $K382, $L$50, WORKDAY('CD|CP 발행사'!$C$4,-1)) )</f>
        <v/>
      </c>
    </row>
    <row r="383" spans="7:12">
      <c r="G383">
        <f ca="1">IF( ISNUMBER($L383), MAX($G$50:G382)+1,0)</f>
        <v>0</v>
      </c>
      <c r="H383" s="13"/>
      <c r="I383" s="67"/>
      <c r="J383" s="67"/>
      <c r="K383" s="80" t="str">
        <f t="shared" si="10"/>
        <v>CDAVG</v>
      </c>
      <c r="L383" s="80" t="str">
        <f ca="1">IF(ISNUMBER(FIND("(",$I383)), "", _xll.IMDP("IR", $K383, $L$50, WORKDAY('CD|CP 발행사'!$C$4,-1)) )</f>
        <v/>
      </c>
    </row>
    <row r="384" spans="7:12">
      <c r="G384">
        <f ca="1">IF( ISNUMBER($L384), MAX($G$50:G383)+1,0)</f>
        <v>0</v>
      </c>
      <c r="H384" s="13"/>
      <c r="I384" s="67"/>
      <c r="J384" s="67"/>
      <c r="K384" s="80" t="str">
        <f t="shared" si="10"/>
        <v>CDAVG</v>
      </c>
      <c r="L384" s="80" t="str">
        <f ca="1">IF(ISNUMBER(FIND("(",$I384)), "", _xll.IMDP("IR", $K384, $L$50, WORKDAY('CD|CP 발행사'!$C$4,-1)) )</f>
        <v/>
      </c>
    </row>
    <row r="385" spans="7:12">
      <c r="G385">
        <f ca="1">IF( ISNUMBER($L385), MAX($G$50:G384)+1,0)</f>
        <v>0</v>
      </c>
      <c r="H385" s="13"/>
      <c r="I385" s="67"/>
      <c r="J385" s="67"/>
      <c r="K385" s="80" t="str">
        <f t="shared" si="10"/>
        <v>CDAVG</v>
      </c>
      <c r="L385" s="80" t="str">
        <f ca="1">IF(ISNUMBER(FIND("(",$I385)), "", _xll.IMDP("IR", $K385, $L$50, WORKDAY('CD|CP 발행사'!$C$4,-1)) )</f>
        <v/>
      </c>
    </row>
    <row r="386" spans="7:12">
      <c r="G386">
        <f ca="1">IF( ISNUMBER($L386), MAX($G$50:G385)+1,0)</f>
        <v>0</v>
      </c>
      <c r="H386" s="13"/>
      <c r="I386" s="67"/>
      <c r="J386" s="67"/>
      <c r="K386" s="80" t="str">
        <f t="shared" si="10"/>
        <v>CDAVG</v>
      </c>
      <c r="L386" s="80" t="str">
        <f ca="1">IF(ISNUMBER(FIND("(",$I386)), "", _xll.IMDP("IR", $K386, $L$50, WORKDAY('CD|CP 발행사'!$C$4,-1)) )</f>
        <v/>
      </c>
    </row>
    <row r="387" spans="7:12">
      <c r="G387">
        <f ca="1">IF( ISNUMBER($L387), MAX($G$50:G386)+1,0)</f>
        <v>0</v>
      </c>
      <c r="H387" s="13"/>
      <c r="I387" s="67"/>
      <c r="J387" s="67"/>
      <c r="K387" s="80" t="str">
        <f t="shared" si="10"/>
        <v>CDAVG</v>
      </c>
      <c r="L387" s="80" t="str">
        <f ca="1">IF(ISNUMBER(FIND("(",$I387)), "", _xll.IMDP("IR", $K387, $L$50, WORKDAY('CD|CP 발행사'!$C$4,-1)) )</f>
        <v/>
      </c>
    </row>
    <row r="388" spans="7:12">
      <c r="G388">
        <f ca="1">IF( ISNUMBER($L388), MAX($G$50:G387)+1,0)</f>
        <v>0</v>
      </c>
      <c r="H388" s="13"/>
      <c r="I388" s="67"/>
      <c r="J388" s="67"/>
      <c r="K388" s="80" t="str">
        <f t="shared" si="10"/>
        <v>CDAVG</v>
      </c>
      <c r="L388" s="80" t="str">
        <f ca="1">IF(ISNUMBER(FIND("(",$I388)), "", _xll.IMDP("IR", $K388, $L$50, WORKDAY('CD|CP 발행사'!$C$4,-1)) )</f>
        <v/>
      </c>
    </row>
    <row r="389" spans="7:12">
      <c r="G389">
        <f ca="1">IF( ISNUMBER($L389), MAX($G$50:G388)+1,0)</f>
        <v>0</v>
      </c>
      <c r="H389" s="13"/>
      <c r="I389" s="67"/>
      <c r="J389" s="67"/>
      <c r="K389" s="80" t="str">
        <f t="shared" si="10"/>
        <v>CDAVG</v>
      </c>
      <c r="L389" s="80" t="str">
        <f ca="1">IF(ISNUMBER(FIND("(",$I389)), "", _xll.IMDP("IR", $K389, $L$50, WORKDAY('CD|CP 발행사'!$C$4,-1)) )</f>
        <v/>
      </c>
    </row>
    <row r="390" spans="7:12">
      <c r="G390">
        <f ca="1">IF( ISNUMBER($L390), MAX($G$50:G389)+1,0)</f>
        <v>0</v>
      </c>
      <c r="H390" s="13"/>
      <c r="I390" s="67"/>
      <c r="J390" s="67"/>
      <c r="K390" s="80" t="str">
        <f t="shared" si="10"/>
        <v>CDAVG</v>
      </c>
      <c r="L390" s="80" t="str">
        <f ca="1">IF(ISNUMBER(FIND("(",$I390)), "", _xll.IMDP("IR", $K390, $L$50, WORKDAY('CD|CP 발행사'!$C$4,-1)) )</f>
        <v/>
      </c>
    </row>
    <row r="391" spans="7:12">
      <c r="G391">
        <f ca="1">IF( ISNUMBER($L391), MAX($G$50:G390)+1,0)</f>
        <v>0</v>
      </c>
      <c r="H391" s="13"/>
      <c r="I391" s="67"/>
      <c r="J391" s="67"/>
      <c r="K391" s="80" t="str">
        <f t="shared" si="10"/>
        <v>CDAVG</v>
      </c>
      <c r="L391" s="80" t="str">
        <f ca="1">IF(ISNUMBER(FIND("(",$I391)), "", _xll.IMDP("IR", $K391, $L$50, WORKDAY('CD|CP 발행사'!$C$4,-1)) )</f>
        <v/>
      </c>
    </row>
    <row r="392" spans="7:12">
      <c r="G392">
        <f ca="1">IF( ISNUMBER($L392), MAX($G$50:G391)+1,0)</f>
        <v>0</v>
      </c>
      <c r="H392" s="13"/>
      <c r="I392" s="67"/>
      <c r="J392" s="67"/>
      <c r="K392" s="80" t="str">
        <f t="shared" si="10"/>
        <v>CDAVG</v>
      </c>
      <c r="L392" s="80" t="str">
        <f ca="1">IF(ISNUMBER(FIND("(",$I392)), "", _xll.IMDP("IR", $K392, $L$50, WORKDAY('CD|CP 발행사'!$C$4,-1)) )</f>
        <v/>
      </c>
    </row>
    <row r="393" spans="7:12">
      <c r="G393">
        <f ca="1">IF( ISNUMBER($L393), MAX($G$50:G392)+1,0)</f>
        <v>0</v>
      </c>
      <c r="H393" s="13"/>
      <c r="I393" s="67"/>
      <c r="J393" s="67"/>
      <c r="K393" s="80" t="str">
        <f t="shared" si="10"/>
        <v>CDAVG</v>
      </c>
      <c r="L393" s="80" t="str">
        <f ca="1">IF(ISNUMBER(FIND("(",$I393)), "", _xll.IMDP("IR", $K393, $L$50, WORKDAY('CD|CP 발행사'!$C$4,-1)) )</f>
        <v/>
      </c>
    </row>
    <row r="394" spans="7:12">
      <c r="G394">
        <f ca="1">IF( ISNUMBER($L394), MAX($G$50:G393)+1,0)</f>
        <v>0</v>
      </c>
      <c r="H394" s="13"/>
      <c r="I394" s="67"/>
      <c r="J394" s="67"/>
      <c r="K394" s="80" t="str">
        <f t="shared" si="10"/>
        <v>CDAVG</v>
      </c>
      <c r="L394" s="80" t="str">
        <f ca="1">IF(ISNUMBER(FIND("(",$I394)), "", _xll.IMDP("IR", $K394, $L$50, WORKDAY('CD|CP 발행사'!$C$4,-1)) )</f>
        <v/>
      </c>
    </row>
    <row r="395" spans="7:12">
      <c r="G395">
        <f ca="1">IF( ISNUMBER($L395), MAX($G$50:G394)+1,0)</f>
        <v>0</v>
      </c>
      <c r="H395" s="13"/>
      <c r="I395" s="67"/>
      <c r="J395" s="67"/>
      <c r="K395" s="80" t="str">
        <f t="shared" si="10"/>
        <v>CDAVG</v>
      </c>
      <c r="L395" s="80" t="str">
        <f ca="1">IF(ISNUMBER(FIND("(",$I395)), "", _xll.IMDP("IR", $K395, $L$50, WORKDAY('CD|CP 발행사'!$C$4,-1)) )</f>
        <v/>
      </c>
    </row>
    <row r="396" spans="7:12">
      <c r="G396">
        <f ca="1">IF( ISNUMBER($L396), MAX($G$50:G395)+1,0)</f>
        <v>0</v>
      </c>
      <c r="H396" s="13"/>
      <c r="I396" s="67"/>
      <c r="J396" s="67"/>
      <c r="K396" s="80" t="str">
        <f t="shared" si="10"/>
        <v>CDAVG</v>
      </c>
      <c r="L396" s="80" t="str">
        <f ca="1">IF(ISNUMBER(FIND("(",$I396)), "", _xll.IMDP("IR", $K396, $L$50, WORKDAY('CD|CP 발행사'!$C$4,-1)) )</f>
        <v/>
      </c>
    </row>
    <row r="397" spans="7:12">
      <c r="G397">
        <f ca="1">IF( ISNUMBER($L397), MAX($G$50:G396)+1,0)</f>
        <v>0</v>
      </c>
      <c r="H397" s="13"/>
      <c r="I397" s="67"/>
      <c r="J397" s="67"/>
      <c r="K397" s="80" t="str">
        <f t="shared" si="10"/>
        <v>CDAVG</v>
      </c>
      <c r="L397" s="80" t="str">
        <f ca="1">IF(ISNUMBER(FIND("(",$I397)), "", _xll.IMDP("IR", $K397, $L$50, WORKDAY('CD|CP 발행사'!$C$4,-1)) )</f>
        <v/>
      </c>
    </row>
    <row r="398" spans="7:12">
      <c r="G398">
        <f ca="1">IF( ISNUMBER($L398), MAX($G$50:G397)+1,0)</f>
        <v>0</v>
      </c>
      <c r="H398" s="13"/>
      <c r="I398" s="67"/>
      <c r="J398" s="67"/>
      <c r="K398" s="80" t="str">
        <f t="shared" si="10"/>
        <v>CDAVG</v>
      </c>
      <c r="L398" s="80" t="str">
        <f ca="1">IF(ISNUMBER(FIND("(",$I398)), "", _xll.IMDP("IR", $K398, $L$50, WORKDAY('CD|CP 발행사'!$C$4,-1)) )</f>
        <v/>
      </c>
    </row>
    <row r="399" spans="7:12">
      <c r="G399">
        <f ca="1">IF( ISNUMBER($L399), MAX($G$50:G398)+1,0)</f>
        <v>0</v>
      </c>
      <c r="H399" s="13"/>
      <c r="I399" s="67"/>
      <c r="J399" s="67"/>
      <c r="K399" s="80" t="str">
        <f t="shared" si="10"/>
        <v>CDAVG</v>
      </c>
      <c r="L399" s="80" t="str">
        <f ca="1">IF(ISNUMBER(FIND("(",$I399)), "", _xll.IMDP("IR", $K399, $L$50, WORKDAY('CD|CP 발행사'!$C$4,-1)) )</f>
        <v/>
      </c>
    </row>
    <row r="400" spans="7:12">
      <c r="G400">
        <f ca="1">IF( ISNUMBER($L400), MAX($G$50:G399)+1,0)</f>
        <v>0</v>
      </c>
      <c r="H400" s="13"/>
      <c r="I400" s="67"/>
      <c r="J400" s="67"/>
      <c r="K400" s="80" t="str">
        <f t="shared" si="10"/>
        <v>CDAVG</v>
      </c>
      <c r="L400" s="80" t="str">
        <f ca="1">IF(ISNUMBER(FIND("(",$I400)), "", _xll.IMDP("IR", $K400, $L$50, WORKDAY('CD|CP 발행사'!$C$4,-1)) )</f>
        <v/>
      </c>
    </row>
    <row r="401" spans="7:12">
      <c r="G401">
        <f ca="1">IF( ISNUMBER($L401), MAX($G$50:G400)+1,0)</f>
        <v>0</v>
      </c>
      <c r="H401" s="13"/>
      <c r="I401" s="67"/>
      <c r="J401" s="67"/>
      <c r="K401" s="80" t="str">
        <f t="shared" si="10"/>
        <v>CDAVG</v>
      </c>
      <c r="L401" s="80" t="str">
        <f ca="1">IF(ISNUMBER(FIND("(",$I401)), "", _xll.IMDP("IR", $K401, $L$50, WORKDAY('CD|CP 발행사'!$C$4,-1)) )</f>
        <v/>
      </c>
    </row>
    <row r="402" spans="7:12">
      <c r="G402">
        <f ca="1">IF( ISNUMBER($L402), MAX($G$50:G401)+1,0)</f>
        <v>0</v>
      </c>
      <c r="H402" s="13"/>
      <c r="I402" s="67"/>
      <c r="J402" s="67"/>
      <c r="K402" s="80" t="str">
        <f t="shared" si="10"/>
        <v>CDAVG</v>
      </c>
      <c r="L402" s="80" t="str">
        <f ca="1">IF(ISNUMBER(FIND("(",$I402)), "", _xll.IMDP("IR", $K402, $L$50, WORKDAY('CD|CP 발행사'!$C$4,-1)) )</f>
        <v/>
      </c>
    </row>
    <row r="403" spans="7:12">
      <c r="G403">
        <f ca="1">IF( ISNUMBER($L403), MAX($G$50:G402)+1,0)</f>
        <v>0</v>
      </c>
      <c r="H403" s="13"/>
      <c r="I403" s="67"/>
      <c r="J403" s="67"/>
      <c r="K403" s="80" t="str">
        <f t="shared" si="10"/>
        <v>CDAVG</v>
      </c>
      <c r="L403" s="80" t="str">
        <f ca="1">IF(ISNUMBER(FIND("(",$I403)), "", _xll.IMDP("IR", $K403, $L$50, WORKDAY('CD|CP 발행사'!$C$4,-1)) )</f>
        <v/>
      </c>
    </row>
    <row r="404" spans="7:12">
      <c r="G404">
        <f ca="1">IF( ISNUMBER($L404), MAX($G$50:G403)+1,0)</f>
        <v>0</v>
      </c>
      <c r="H404" s="13"/>
      <c r="I404" s="67"/>
      <c r="J404" s="67"/>
      <c r="K404" s="80" t="str">
        <f t="shared" si="10"/>
        <v>CDAVG</v>
      </c>
      <c r="L404" s="80" t="str">
        <f ca="1">IF(ISNUMBER(FIND("(",$I404)), "", _xll.IMDP("IR", $K404, $L$50, WORKDAY('CD|CP 발행사'!$C$4,-1)) )</f>
        <v/>
      </c>
    </row>
    <row r="405" spans="7:12">
      <c r="G405">
        <f ca="1">IF( ISNUMBER($L405), MAX($G$50:G404)+1,0)</f>
        <v>0</v>
      </c>
      <c r="H405" s="13"/>
      <c r="I405" s="67"/>
      <c r="J405" s="67"/>
      <c r="K405" s="80" t="str">
        <f t="shared" si="10"/>
        <v>CDAVG</v>
      </c>
      <c r="L405" s="80" t="str">
        <f ca="1">IF(ISNUMBER(FIND("(",$I405)), "", _xll.IMDP("IR", $K405, $L$50, WORKDAY('CD|CP 발행사'!$C$4,-1)) )</f>
        <v/>
      </c>
    </row>
    <row r="406" spans="7:12">
      <c r="G406">
        <f ca="1">IF( ISNUMBER($L406), MAX($G$50:G405)+1,0)</f>
        <v>0</v>
      </c>
      <c r="H406" s="13"/>
      <c r="I406" s="67"/>
      <c r="J406" s="67"/>
      <c r="K406" s="80" t="str">
        <f t="shared" si="10"/>
        <v>CDAVG</v>
      </c>
      <c r="L406" s="80" t="str">
        <f ca="1">IF(ISNUMBER(FIND("(",$I406)), "", _xll.IMDP("IR", $K406, $L$50, WORKDAY('CD|CP 발행사'!$C$4,-1)) )</f>
        <v/>
      </c>
    </row>
    <row r="407" spans="7:12">
      <c r="G407">
        <f ca="1">IF( ISNUMBER($L407), MAX($G$50:G406)+1,0)</f>
        <v>0</v>
      </c>
      <c r="H407" s="13"/>
      <c r="I407" s="67"/>
      <c r="J407" s="67"/>
      <c r="K407" s="80" t="str">
        <f t="shared" si="10"/>
        <v>CDAVG</v>
      </c>
      <c r="L407" s="80" t="str">
        <f ca="1">IF(ISNUMBER(FIND("(",$I407)), "", _xll.IMDP("IR", $K407, $L$50, WORKDAY('CD|CP 발행사'!$C$4,-1)) )</f>
        <v/>
      </c>
    </row>
    <row r="408" spans="7:12">
      <c r="G408">
        <f ca="1">IF( ISNUMBER($L408), MAX($G$50:G407)+1,0)</f>
        <v>0</v>
      </c>
      <c r="H408" s="13"/>
      <c r="I408" s="67"/>
      <c r="J408" s="67"/>
      <c r="K408" s="80" t="str">
        <f t="shared" si="10"/>
        <v>CDAVG</v>
      </c>
      <c r="L408" s="80" t="str">
        <f ca="1">IF(ISNUMBER(FIND("(",$I408)), "", _xll.IMDP("IR", $K408, $L$50, WORKDAY('CD|CP 발행사'!$C$4,-1)) )</f>
        <v/>
      </c>
    </row>
    <row r="409" spans="7:12">
      <c r="G409">
        <f ca="1">IF( ISNUMBER($L409), MAX($G$50:G408)+1,0)</f>
        <v>0</v>
      </c>
      <c r="H409" s="13"/>
      <c r="I409" s="67"/>
      <c r="J409" s="67"/>
      <c r="K409" s="80" t="str">
        <f t="shared" si="10"/>
        <v>CDAVG</v>
      </c>
      <c r="L409" s="80" t="str">
        <f ca="1">IF(ISNUMBER(FIND("(",$I409)), "", _xll.IMDP("IR", $K409, $L$50, WORKDAY('CD|CP 발행사'!$C$4,-1)) )</f>
        <v/>
      </c>
    </row>
    <row r="410" spans="7:12">
      <c r="G410">
        <f ca="1">IF( ISNUMBER($L410), MAX($G$50:G409)+1,0)</f>
        <v>0</v>
      </c>
      <c r="H410" s="13"/>
      <c r="I410" s="67"/>
      <c r="J410" s="67"/>
      <c r="K410" s="80" t="str">
        <f t="shared" si="10"/>
        <v>CDAVG</v>
      </c>
      <c r="L410" s="80" t="str">
        <f ca="1">IF(ISNUMBER(FIND("(",$I410)), "", _xll.IMDP("IR", $K410, $L$50, WORKDAY('CD|CP 발행사'!$C$4,-1)) )</f>
        <v/>
      </c>
    </row>
    <row r="411" spans="7:12">
      <c r="G411">
        <f ca="1">IF( ISNUMBER($L411), MAX($G$50:G410)+1,0)</f>
        <v>0</v>
      </c>
      <c r="H411" s="13"/>
      <c r="I411" s="67"/>
      <c r="J411" s="67"/>
      <c r="K411" s="80" t="str">
        <f t="shared" si="10"/>
        <v>CDAVG</v>
      </c>
      <c r="L411" s="80" t="str">
        <f ca="1">IF(ISNUMBER(FIND("(",$I411)), "", _xll.IMDP("IR", $K411, $L$50, WORKDAY('CD|CP 발행사'!$C$4,-1)) )</f>
        <v/>
      </c>
    </row>
    <row r="412" spans="7:12">
      <c r="G412">
        <f ca="1">IF( ISNUMBER($L412), MAX($G$50:G411)+1,0)</f>
        <v>0</v>
      </c>
      <c r="H412" s="13"/>
      <c r="I412" s="67"/>
      <c r="J412" s="67"/>
      <c r="K412" s="80" t="str">
        <f t="shared" si="10"/>
        <v>CDAVG</v>
      </c>
      <c r="L412" s="80" t="str">
        <f ca="1">IF(ISNUMBER(FIND("(",$I412)), "", _xll.IMDP("IR", $K412, $L$50, WORKDAY('CD|CP 발행사'!$C$4,-1)) )</f>
        <v/>
      </c>
    </row>
    <row r="413" spans="7:12">
      <c r="G413">
        <f ca="1">IF( ISNUMBER($L413), MAX($G$50:G412)+1,0)</f>
        <v>0</v>
      </c>
      <c r="H413" s="13"/>
      <c r="I413" s="67"/>
      <c r="J413" s="67"/>
      <c r="K413" s="80" t="str">
        <f t="shared" si="10"/>
        <v>CDAVG</v>
      </c>
      <c r="L413" s="80" t="str">
        <f ca="1">IF(ISNUMBER(FIND("(",$I413)), "", _xll.IMDP("IR", $K413, $L$50, WORKDAY('CD|CP 발행사'!$C$4,-1)) )</f>
        <v/>
      </c>
    </row>
    <row r="414" spans="7:12">
      <c r="G414">
        <f ca="1">IF( ISNUMBER($L414), MAX($G$50:G413)+1,0)</f>
        <v>0</v>
      </c>
      <c r="H414" s="13"/>
      <c r="I414" s="67"/>
      <c r="J414" s="67"/>
      <c r="K414" s="80" t="str">
        <f t="shared" si="10"/>
        <v>CDAVG</v>
      </c>
      <c r="L414" s="80" t="str">
        <f ca="1">IF(ISNUMBER(FIND("(",$I414)), "", _xll.IMDP("IR", $K414, $L$50, WORKDAY('CD|CP 발행사'!$C$4,-1)) )</f>
        <v/>
      </c>
    </row>
    <row r="415" spans="7:12">
      <c r="G415">
        <f ca="1">IF( ISNUMBER($L415), MAX($G$50:G414)+1,0)</f>
        <v>0</v>
      </c>
      <c r="H415" s="13"/>
      <c r="I415" s="67"/>
      <c r="J415" s="67"/>
      <c r="K415" s="80" t="str">
        <f t="shared" si="10"/>
        <v>CDAVG</v>
      </c>
      <c r="L415" s="80" t="str">
        <f ca="1">IF(ISNUMBER(FIND("(",$I415)), "", _xll.IMDP("IR", $K415, $L$50, WORKDAY('CD|CP 발행사'!$C$4,-1)) )</f>
        <v/>
      </c>
    </row>
    <row r="416" spans="7:12">
      <c r="G416">
        <f ca="1">IF( ISNUMBER($L416), MAX($G$50:G415)+1,0)</f>
        <v>0</v>
      </c>
      <c r="H416" s="13"/>
      <c r="I416" s="67"/>
      <c r="J416" s="67"/>
      <c r="K416" s="80" t="str">
        <f t="shared" si="10"/>
        <v>CDAVG</v>
      </c>
      <c r="L416" s="80" t="str">
        <f ca="1">IF(ISNUMBER(FIND("(",$I416)), "", _xll.IMDP("IR", $K416, $L$50, WORKDAY('CD|CP 발행사'!$C$4,-1)) )</f>
        <v/>
      </c>
    </row>
    <row r="417" spans="7:12">
      <c r="G417">
        <f ca="1">IF( ISNUMBER($L417), MAX($G$50:G416)+1,0)</f>
        <v>0</v>
      </c>
      <c r="H417" s="13"/>
      <c r="I417" s="67"/>
      <c r="J417" s="67"/>
      <c r="K417" s="80" t="str">
        <f t="shared" si="10"/>
        <v>CDAVG</v>
      </c>
      <c r="L417" s="80" t="str">
        <f ca="1">IF(ISNUMBER(FIND("(",$I417)), "", _xll.IMDP("IR", $K417, $L$50, WORKDAY('CD|CP 발행사'!$C$4,-1)) )</f>
        <v/>
      </c>
    </row>
    <row r="418" spans="7:12">
      <c r="G418">
        <f ca="1">IF( ISNUMBER($L418), MAX($G$50:G417)+1,0)</f>
        <v>0</v>
      </c>
      <c r="H418" s="13"/>
      <c r="I418" s="67"/>
      <c r="J418" s="67"/>
      <c r="K418" s="80" t="str">
        <f t="shared" si="10"/>
        <v>CDAVG</v>
      </c>
      <c r="L418" s="80" t="str">
        <f ca="1">IF(ISNUMBER(FIND("(",$I418)), "", _xll.IMDP("IR", $K418, $L$50, WORKDAY('CD|CP 발행사'!$C$4,-1)) )</f>
        <v/>
      </c>
    </row>
    <row r="419" spans="7:12">
      <c r="G419">
        <f ca="1">IF( ISNUMBER($L419), MAX($G$50:G418)+1,0)</f>
        <v>0</v>
      </c>
      <c r="H419" s="13"/>
      <c r="I419" s="67"/>
      <c r="J419" s="67"/>
      <c r="K419" s="80" t="str">
        <f t="shared" si="10"/>
        <v>CDAVG</v>
      </c>
      <c r="L419" s="80" t="str">
        <f ca="1">IF(ISNUMBER(FIND("(",$I419)), "", _xll.IMDP("IR", $K419, $L$50, WORKDAY('CD|CP 발행사'!$C$4,-1)) )</f>
        <v/>
      </c>
    </row>
    <row r="420" spans="7:12">
      <c r="G420">
        <f ca="1">IF( ISNUMBER($L420), MAX($G$50:G419)+1,0)</f>
        <v>0</v>
      </c>
      <c r="H420" s="13"/>
      <c r="I420" s="67"/>
      <c r="J420" s="67"/>
      <c r="K420" s="80" t="str">
        <f t="shared" si="10"/>
        <v>CDAVG</v>
      </c>
      <c r="L420" s="80" t="str">
        <f ca="1">IF(ISNUMBER(FIND("(",$I420)), "", _xll.IMDP("IR", $K420, $L$50, WORKDAY('CD|CP 발행사'!$C$4,-1)) )</f>
        <v/>
      </c>
    </row>
    <row r="421" spans="7:12">
      <c r="G421">
        <f ca="1">IF( ISNUMBER($L421), MAX($G$50:G420)+1,0)</f>
        <v>0</v>
      </c>
      <c r="H421" s="13"/>
      <c r="I421" s="67"/>
      <c r="J421" s="67"/>
      <c r="K421" s="80" t="str">
        <f t="shared" si="10"/>
        <v>CDAVG</v>
      </c>
      <c r="L421" s="80" t="str">
        <f ca="1">IF(ISNUMBER(FIND("(",$I421)), "", _xll.IMDP("IR", $K421, $L$50, WORKDAY('CD|CP 발행사'!$C$4,-1)) )</f>
        <v/>
      </c>
    </row>
    <row r="422" spans="7:12">
      <c r="G422">
        <f ca="1">IF( ISNUMBER($L422), MAX($G$50:G421)+1,0)</f>
        <v>0</v>
      </c>
      <c r="H422" s="13"/>
      <c r="I422" s="67"/>
      <c r="J422" s="67"/>
      <c r="K422" s="80" t="str">
        <f t="shared" si="10"/>
        <v>CDAVG</v>
      </c>
      <c r="L422" s="80" t="str">
        <f ca="1">IF(ISNUMBER(FIND("(",$I422)), "", _xll.IMDP("IR", $K422, $L$50, WORKDAY('CD|CP 발행사'!$C$4,-1)) )</f>
        <v/>
      </c>
    </row>
    <row r="423" spans="7:12">
      <c r="G423">
        <f ca="1">IF( ISNUMBER($L423), MAX($G$50:G422)+1,0)</f>
        <v>0</v>
      </c>
      <c r="H423" s="13"/>
      <c r="I423" s="67"/>
      <c r="J423" s="67"/>
      <c r="K423" s="80" t="str">
        <f t="shared" si="10"/>
        <v>CDAVG</v>
      </c>
      <c r="L423" s="80" t="str">
        <f ca="1">IF(ISNUMBER(FIND("(",$I423)), "", _xll.IMDP("IR", $K423, $L$50, WORKDAY('CD|CP 발행사'!$C$4,-1)) )</f>
        <v/>
      </c>
    </row>
    <row r="424" spans="7:12">
      <c r="G424">
        <f ca="1">IF( ISNUMBER($L424), MAX($G$50:G423)+1,0)</f>
        <v>0</v>
      </c>
      <c r="H424" s="13"/>
      <c r="I424" s="67"/>
      <c r="J424" s="67"/>
      <c r="K424" s="80" t="str">
        <f t="shared" si="10"/>
        <v>CDAVG</v>
      </c>
      <c r="L424" s="80" t="str">
        <f ca="1">IF(ISNUMBER(FIND("(",$I424)), "", _xll.IMDP("IR", $K424, $L$50, WORKDAY('CD|CP 발행사'!$C$4,-1)) )</f>
        <v/>
      </c>
    </row>
    <row r="425" spans="7:12">
      <c r="G425">
        <f ca="1">IF( ISNUMBER($L425), MAX($G$50:G424)+1,0)</f>
        <v>0</v>
      </c>
      <c r="H425" s="13"/>
      <c r="I425" s="67"/>
      <c r="J425" s="67"/>
      <c r="K425" s="80" t="str">
        <f t="shared" si="10"/>
        <v>CDAVG</v>
      </c>
      <c r="L425" s="80" t="str">
        <f ca="1">IF(ISNUMBER(FIND("(",$I425)), "", _xll.IMDP("IR", $K425, $L$50, WORKDAY('CD|CP 발행사'!$C$4,-1)) )</f>
        <v/>
      </c>
    </row>
    <row r="426" spans="7:12">
      <c r="G426">
        <f ca="1">IF( ISNUMBER($L426), MAX($G$50:G425)+1,0)</f>
        <v>0</v>
      </c>
      <c r="H426" s="13"/>
      <c r="I426" s="67"/>
      <c r="J426" s="67"/>
      <c r="K426" s="80" t="str">
        <f t="shared" si="10"/>
        <v>CDAVG</v>
      </c>
      <c r="L426" s="80" t="str">
        <f ca="1">IF(ISNUMBER(FIND("(",$I426)), "", _xll.IMDP("IR", $K426, $L$50, WORKDAY('CD|CP 발행사'!$C$4,-1)) )</f>
        <v/>
      </c>
    </row>
    <row r="427" spans="7:12">
      <c r="G427">
        <f ca="1">IF( ISNUMBER($L427), MAX($G$50:G426)+1,0)</f>
        <v>0</v>
      </c>
      <c r="H427" s="13"/>
      <c r="I427" s="67"/>
      <c r="J427" s="67"/>
      <c r="K427" s="80" t="str">
        <f t="shared" si="10"/>
        <v>CDAVG</v>
      </c>
      <c r="L427" s="80" t="str">
        <f ca="1">IF(ISNUMBER(FIND("(",$I427)), "", _xll.IMDP("IR", $K427, $L$50, WORKDAY('CD|CP 발행사'!$C$4,-1)) )</f>
        <v/>
      </c>
    </row>
    <row r="428" spans="7:12">
      <c r="G428">
        <f ca="1">IF( ISNUMBER($L428), MAX($G$50:G427)+1,0)</f>
        <v>0</v>
      </c>
      <c r="H428" s="13"/>
      <c r="I428" s="67"/>
      <c r="J428" s="67"/>
      <c r="K428" s="80" t="str">
        <f t="shared" si="10"/>
        <v>CDAVG</v>
      </c>
      <c r="L428" s="80" t="str">
        <f ca="1">IF(ISNUMBER(FIND("(",$I428)), "", _xll.IMDP("IR", $K428, $L$50, WORKDAY('CD|CP 발행사'!$C$4,-1)) )</f>
        <v/>
      </c>
    </row>
    <row r="429" spans="7:12">
      <c r="G429">
        <f ca="1">IF( ISNUMBER($L429), MAX($G$50:G428)+1,0)</f>
        <v>0</v>
      </c>
      <c r="H429" s="13"/>
      <c r="I429" s="67"/>
      <c r="J429" s="67"/>
      <c r="K429" s="80" t="str">
        <f t="shared" si="10"/>
        <v>CDAVG</v>
      </c>
      <c r="L429" s="80" t="str">
        <f ca="1">IF(ISNUMBER(FIND("(",$I429)), "", _xll.IMDP("IR", $K429, $L$50, WORKDAY('CD|CP 발행사'!$C$4,-1)) )</f>
        <v/>
      </c>
    </row>
    <row r="430" spans="7:12">
      <c r="G430">
        <f ca="1">IF( ISNUMBER($L430), MAX($G$50:G429)+1,0)</f>
        <v>0</v>
      </c>
      <c r="H430" s="13"/>
      <c r="I430" s="67"/>
      <c r="J430" s="67"/>
      <c r="K430" s="80" t="str">
        <f t="shared" si="10"/>
        <v>CDAVG</v>
      </c>
      <c r="L430" s="80" t="str">
        <f ca="1">IF(ISNUMBER(FIND("(",$I430)), "", _xll.IMDP("IR", $K430, $L$50, WORKDAY('CD|CP 발행사'!$C$4,-1)) )</f>
        <v/>
      </c>
    </row>
    <row r="431" spans="7:12">
      <c r="G431">
        <f ca="1">IF( ISNUMBER($L431), MAX($G$50:G430)+1,0)</f>
        <v>0</v>
      </c>
      <c r="H431" s="13"/>
      <c r="I431" s="67"/>
      <c r="J431" s="67"/>
      <c r="K431" s="80" t="str">
        <f t="shared" si="10"/>
        <v>CDAVG</v>
      </c>
      <c r="L431" s="80" t="str">
        <f ca="1">IF(ISNUMBER(FIND("(",$I431)), "", _xll.IMDP("IR", $K431, $L$50, WORKDAY('CD|CP 발행사'!$C$4,-1)) )</f>
        <v/>
      </c>
    </row>
    <row r="432" spans="7:12">
      <c r="G432">
        <f ca="1">IF( ISNUMBER($L432), MAX($G$50:G431)+1,0)</f>
        <v>0</v>
      </c>
      <c r="H432" s="13"/>
      <c r="I432" s="67"/>
      <c r="J432" s="67"/>
      <c r="K432" s="80" t="str">
        <f t="shared" si="10"/>
        <v>CDAVG</v>
      </c>
      <c r="L432" s="80" t="str">
        <f ca="1">IF(ISNUMBER(FIND("(",$I432)), "", _xll.IMDP("IR", $K432, $L$50, WORKDAY('CD|CP 발행사'!$C$4,-1)) )</f>
        <v/>
      </c>
    </row>
    <row r="433" spans="7:12">
      <c r="G433">
        <f ca="1">IF( ISNUMBER($L433), MAX($G$50:G432)+1,0)</f>
        <v>0</v>
      </c>
      <c r="H433" s="13"/>
      <c r="I433" s="67"/>
      <c r="J433" s="67"/>
      <c r="K433" s="80" t="str">
        <f t="shared" si="10"/>
        <v>CDAVG</v>
      </c>
      <c r="L433" s="80" t="str">
        <f ca="1">IF(ISNUMBER(FIND("(",$I433)), "", _xll.IMDP("IR", $K433, $L$50, WORKDAY('CD|CP 발행사'!$C$4,-1)) )</f>
        <v/>
      </c>
    </row>
    <row r="434" spans="7:12">
      <c r="G434">
        <f ca="1">IF( ISNUMBER($L434), MAX($G$50:G433)+1,0)</f>
        <v>0</v>
      </c>
      <c r="H434" s="13"/>
      <c r="I434" s="67"/>
      <c r="J434" s="67"/>
      <c r="K434" s="80" t="str">
        <f t="shared" si="10"/>
        <v>CDAVG</v>
      </c>
      <c r="L434" s="80" t="str">
        <f ca="1">IF(ISNUMBER(FIND("(",$I434)), "", _xll.IMDP("IR", $K434, $L$50, WORKDAY('CD|CP 발행사'!$C$4,-1)) )</f>
        <v/>
      </c>
    </row>
    <row r="435" spans="7:12">
      <c r="G435">
        <f ca="1">IF( ISNUMBER($L435), MAX($G$50:G434)+1,0)</f>
        <v>0</v>
      </c>
      <c r="H435" s="13"/>
      <c r="I435" s="67"/>
      <c r="J435" s="67"/>
      <c r="K435" s="80" t="str">
        <f t="shared" ref="K435:K498" si="11">$K$49&amp;$H435</f>
        <v>CDAVG</v>
      </c>
      <c r="L435" s="80" t="str">
        <f ca="1">IF(ISNUMBER(FIND("(",$I435)), "", _xll.IMDP("IR", $K435, $L$50, WORKDAY('CD|CP 발행사'!$C$4,-1)) )</f>
        <v/>
      </c>
    </row>
    <row r="436" spans="7:12">
      <c r="G436">
        <f ca="1">IF( ISNUMBER($L436), MAX($G$50:G435)+1,0)</f>
        <v>0</v>
      </c>
      <c r="H436" s="13"/>
      <c r="I436" s="67"/>
      <c r="J436" s="67"/>
      <c r="K436" s="80" t="str">
        <f t="shared" si="11"/>
        <v>CDAVG</v>
      </c>
      <c r="L436" s="80" t="str">
        <f ca="1">IF(ISNUMBER(FIND("(",$I436)), "", _xll.IMDP("IR", $K436, $L$50, WORKDAY('CD|CP 발행사'!$C$4,-1)) )</f>
        <v/>
      </c>
    </row>
    <row r="437" spans="7:12">
      <c r="G437">
        <f ca="1">IF( ISNUMBER($L437), MAX($G$50:G436)+1,0)</f>
        <v>0</v>
      </c>
      <c r="H437" s="13"/>
      <c r="I437" s="67"/>
      <c r="J437" s="67"/>
      <c r="K437" s="80" t="str">
        <f t="shared" si="11"/>
        <v>CDAVG</v>
      </c>
      <c r="L437" s="80" t="str">
        <f ca="1">IF(ISNUMBER(FIND("(",$I437)), "", _xll.IMDP("IR", $K437, $L$50, WORKDAY('CD|CP 발행사'!$C$4,-1)) )</f>
        <v/>
      </c>
    </row>
    <row r="438" spans="7:12">
      <c r="G438">
        <f ca="1">IF( ISNUMBER($L438), MAX($G$50:G437)+1,0)</f>
        <v>0</v>
      </c>
      <c r="H438" s="13"/>
      <c r="I438" s="67"/>
      <c r="J438" s="67"/>
      <c r="K438" s="80" t="str">
        <f t="shared" si="11"/>
        <v>CDAVG</v>
      </c>
      <c r="L438" s="80" t="str">
        <f ca="1">IF(ISNUMBER(FIND("(",$I438)), "", _xll.IMDP("IR", $K438, $L$50, WORKDAY('CD|CP 발행사'!$C$4,-1)) )</f>
        <v/>
      </c>
    </row>
    <row r="439" spans="7:12">
      <c r="G439">
        <f ca="1">IF( ISNUMBER($L439), MAX($G$50:G438)+1,0)</f>
        <v>0</v>
      </c>
      <c r="H439" s="13"/>
      <c r="I439" s="67"/>
      <c r="J439" s="67"/>
      <c r="K439" s="80" t="str">
        <f t="shared" si="11"/>
        <v>CDAVG</v>
      </c>
      <c r="L439" s="80" t="str">
        <f ca="1">IF(ISNUMBER(FIND("(",$I439)), "", _xll.IMDP("IR", $K439, $L$50, WORKDAY('CD|CP 발행사'!$C$4,-1)) )</f>
        <v/>
      </c>
    </row>
    <row r="440" spans="7:12">
      <c r="G440">
        <f ca="1">IF( ISNUMBER($L440), MAX($G$50:G439)+1,0)</f>
        <v>0</v>
      </c>
      <c r="H440" s="13"/>
      <c r="I440" s="67"/>
      <c r="J440" s="67"/>
      <c r="K440" s="80" t="str">
        <f t="shared" si="11"/>
        <v>CDAVG</v>
      </c>
      <c r="L440" s="80" t="str">
        <f ca="1">IF(ISNUMBER(FIND("(",$I440)), "", _xll.IMDP("IR", $K440, $L$50, WORKDAY('CD|CP 발행사'!$C$4,-1)) )</f>
        <v/>
      </c>
    </row>
    <row r="441" spans="7:12">
      <c r="G441">
        <f ca="1">IF( ISNUMBER($L441), MAX($G$50:G440)+1,0)</f>
        <v>0</v>
      </c>
      <c r="H441" s="13"/>
      <c r="I441" s="67"/>
      <c r="J441" s="67"/>
      <c r="K441" s="80" t="str">
        <f t="shared" si="11"/>
        <v>CDAVG</v>
      </c>
      <c r="L441" s="80" t="str">
        <f ca="1">IF(ISNUMBER(FIND("(",$I441)), "", _xll.IMDP("IR", $K441, $L$50, WORKDAY('CD|CP 발행사'!$C$4,-1)) )</f>
        <v/>
      </c>
    </row>
    <row r="442" spans="7:12">
      <c r="G442">
        <f ca="1">IF( ISNUMBER($L442), MAX($G$50:G441)+1,0)</f>
        <v>0</v>
      </c>
      <c r="H442" s="13"/>
      <c r="I442" s="67"/>
      <c r="J442" s="67"/>
      <c r="K442" s="80" t="str">
        <f t="shared" si="11"/>
        <v>CDAVG</v>
      </c>
      <c r="L442" s="80" t="str">
        <f ca="1">IF(ISNUMBER(FIND("(",$I442)), "", _xll.IMDP("IR", $K442, $L$50, WORKDAY('CD|CP 발행사'!$C$4,-1)) )</f>
        <v/>
      </c>
    </row>
    <row r="443" spans="7:12">
      <c r="G443">
        <f ca="1">IF( ISNUMBER($L443), MAX($G$50:G442)+1,0)</f>
        <v>0</v>
      </c>
      <c r="H443" s="13"/>
      <c r="I443" s="67"/>
      <c r="J443" s="67"/>
      <c r="K443" s="80" t="str">
        <f t="shared" si="11"/>
        <v>CDAVG</v>
      </c>
      <c r="L443" s="80" t="str">
        <f ca="1">IF(ISNUMBER(FIND("(",$I443)), "", _xll.IMDP("IR", $K443, $L$50, WORKDAY('CD|CP 발행사'!$C$4,-1)) )</f>
        <v/>
      </c>
    </row>
    <row r="444" spans="7:12">
      <c r="G444">
        <f ca="1">IF( ISNUMBER($L444), MAX($G$50:G443)+1,0)</f>
        <v>0</v>
      </c>
      <c r="H444" s="13"/>
      <c r="I444" s="67"/>
      <c r="J444" s="67"/>
      <c r="K444" s="80" t="str">
        <f t="shared" si="11"/>
        <v>CDAVG</v>
      </c>
      <c r="L444" s="80" t="str">
        <f ca="1">IF(ISNUMBER(FIND("(",$I444)), "", _xll.IMDP("IR", $K444, $L$50, WORKDAY('CD|CP 발행사'!$C$4,-1)) )</f>
        <v/>
      </c>
    </row>
    <row r="445" spans="7:12">
      <c r="G445">
        <f ca="1">IF( ISNUMBER($L445), MAX($G$50:G444)+1,0)</f>
        <v>0</v>
      </c>
      <c r="H445" s="13"/>
      <c r="I445" s="67"/>
      <c r="J445" s="67"/>
      <c r="K445" s="80" t="str">
        <f t="shared" si="11"/>
        <v>CDAVG</v>
      </c>
      <c r="L445" s="80" t="str">
        <f ca="1">IF(ISNUMBER(FIND("(",$I445)), "", _xll.IMDP("IR", $K445, $L$50, WORKDAY('CD|CP 발행사'!$C$4,-1)) )</f>
        <v/>
      </c>
    </row>
    <row r="446" spans="7:12">
      <c r="G446">
        <f ca="1">IF( ISNUMBER($L446), MAX($G$50:G445)+1,0)</f>
        <v>0</v>
      </c>
      <c r="H446" s="13"/>
      <c r="I446" s="67"/>
      <c r="J446" s="67"/>
      <c r="K446" s="80" t="str">
        <f t="shared" si="11"/>
        <v>CDAVG</v>
      </c>
      <c r="L446" s="80" t="str">
        <f ca="1">IF(ISNUMBER(FIND("(",$I446)), "", _xll.IMDP("IR", $K446, $L$50, WORKDAY('CD|CP 발행사'!$C$4,-1)) )</f>
        <v/>
      </c>
    </row>
    <row r="447" spans="7:12">
      <c r="G447">
        <f ca="1">IF( ISNUMBER($L447), MAX($G$50:G446)+1,0)</f>
        <v>0</v>
      </c>
      <c r="H447" s="13"/>
      <c r="I447" s="67"/>
      <c r="J447" s="67"/>
      <c r="K447" s="80" t="str">
        <f t="shared" si="11"/>
        <v>CDAVG</v>
      </c>
      <c r="L447" s="80" t="str">
        <f ca="1">IF(ISNUMBER(FIND("(",$I447)), "", _xll.IMDP("IR", $K447, $L$50, WORKDAY('CD|CP 발행사'!$C$4,-1)) )</f>
        <v/>
      </c>
    </row>
    <row r="448" spans="7:12">
      <c r="G448">
        <f ca="1">IF( ISNUMBER($L448), MAX($G$50:G447)+1,0)</f>
        <v>0</v>
      </c>
      <c r="H448" s="13"/>
      <c r="I448" s="67"/>
      <c r="J448" s="67"/>
      <c r="K448" s="80" t="str">
        <f t="shared" si="11"/>
        <v>CDAVG</v>
      </c>
      <c r="L448" s="80" t="str">
        <f ca="1">IF(ISNUMBER(FIND("(",$I448)), "", _xll.IMDP("IR", $K448, $L$50, WORKDAY('CD|CP 발행사'!$C$4,-1)) )</f>
        <v/>
      </c>
    </row>
    <row r="449" spans="7:12">
      <c r="G449">
        <f ca="1">IF( ISNUMBER($L449), MAX($G$50:G448)+1,0)</f>
        <v>0</v>
      </c>
      <c r="H449" s="13"/>
      <c r="I449" s="67"/>
      <c r="J449" s="67"/>
      <c r="K449" s="80" t="str">
        <f t="shared" si="11"/>
        <v>CDAVG</v>
      </c>
      <c r="L449" s="80" t="str">
        <f ca="1">IF(ISNUMBER(FIND("(",$I449)), "", _xll.IMDP("IR", $K449, $L$50, WORKDAY('CD|CP 발행사'!$C$4,-1)) )</f>
        <v/>
      </c>
    </row>
    <row r="450" spans="7:12">
      <c r="G450">
        <f ca="1">IF( ISNUMBER($L450), MAX($G$50:G449)+1,0)</f>
        <v>0</v>
      </c>
      <c r="H450" s="13"/>
      <c r="I450" s="67"/>
      <c r="J450" s="67"/>
      <c r="K450" s="80" t="str">
        <f t="shared" si="11"/>
        <v>CDAVG</v>
      </c>
      <c r="L450" s="80" t="str">
        <f ca="1">IF(ISNUMBER(FIND("(",$I450)), "", _xll.IMDP("IR", $K450, $L$50, WORKDAY('CD|CP 발행사'!$C$4,-1)) )</f>
        <v/>
      </c>
    </row>
    <row r="451" spans="7:12">
      <c r="G451">
        <f ca="1">IF( ISNUMBER($L451), MAX($G$50:G450)+1,0)</f>
        <v>0</v>
      </c>
      <c r="H451" s="13"/>
      <c r="I451" s="67"/>
      <c r="J451" s="67"/>
      <c r="K451" s="80" t="str">
        <f t="shared" si="11"/>
        <v>CDAVG</v>
      </c>
      <c r="L451" s="80" t="str">
        <f ca="1">IF(ISNUMBER(FIND("(",$I451)), "", _xll.IMDP("IR", $K451, $L$50, WORKDAY('CD|CP 발행사'!$C$4,-1)) )</f>
        <v/>
      </c>
    </row>
    <row r="452" spans="7:12">
      <c r="G452">
        <f ca="1">IF( ISNUMBER($L452), MAX($G$50:G451)+1,0)</f>
        <v>0</v>
      </c>
      <c r="H452" s="13"/>
      <c r="I452" s="67"/>
      <c r="J452" s="67"/>
      <c r="K452" s="80" t="str">
        <f t="shared" si="11"/>
        <v>CDAVG</v>
      </c>
      <c r="L452" s="80" t="str">
        <f ca="1">IF(ISNUMBER(FIND("(",$I452)), "", _xll.IMDP("IR", $K452, $L$50, WORKDAY('CD|CP 발행사'!$C$4,-1)) )</f>
        <v/>
      </c>
    </row>
    <row r="453" spans="7:12">
      <c r="G453">
        <f ca="1">IF( ISNUMBER($L453), MAX($G$50:G452)+1,0)</f>
        <v>0</v>
      </c>
      <c r="H453" s="13"/>
      <c r="I453" s="67"/>
      <c r="J453" s="67"/>
      <c r="K453" s="80" t="str">
        <f t="shared" si="11"/>
        <v>CDAVG</v>
      </c>
      <c r="L453" s="80" t="str">
        <f ca="1">IF(ISNUMBER(FIND("(",$I453)), "", _xll.IMDP("IR", $K453, $L$50, WORKDAY('CD|CP 발행사'!$C$4,-1)) )</f>
        <v/>
      </c>
    </row>
    <row r="454" spans="7:12">
      <c r="G454">
        <f ca="1">IF( ISNUMBER($L454), MAX($G$50:G453)+1,0)</f>
        <v>0</v>
      </c>
      <c r="H454" s="13"/>
      <c r="I454" s="67"/>
      <c r="J454" s="67"/>
      <c r="K454" s="80" t="str">
        <f t="shared" si="11"/>
        <v>CDAVG</v>
      </c>
      <c r="L454" s="80" t="str">
        <f ca="1">IF(ISNUMBER(FIND("(",$I454)), "", _xll.IMDP("IR", $K454, $L$50, WORKDAY('CD|CP 발행사'!$C$4,-1)) )</f>
        <v/>
      </c>
    </row>
    <row r="455" spans="7:12">
      <c r="G455">
        <f ca="1">IF( ISNUMBER($L455), MAX($G$50:G454)+1,0)</f>
        <v>0</v>
      </c>
      <c r="H455" s="13"/>
      <c r="I455" s="67"/>
      <c r="J455" s="67"/>
      <c r="K455" s="80" t="str">
        <f t="shared" si="11"/>
        <v>CDAVG</v>
      </c>
      <c r="L455" s="80" t="str">
        <f ca="1">IF(ISNUMBER(FIND("(",$I455)), "", _xll.IMDP("IR", $K455, $L$50, WORKDAY('CD|CP 발행사'!$C$4,-1)) )</f>
        <v/>
      </c>
    </row>
    <row r="456" spans="7:12">
      <c r="G456">
        <f ca="1">IF( ISNUMBER($L456), MAX($G$50:G455)+1,0)</f>
        <v>0</v>
      </c>
      <c r="H456" s="13"/>
      <c r="I456" s="67"/>
      <c r="J456" s="67"/>
      <c r="K456" s="80" t="str">
        <f t="shared" si="11"/>
        <v>CDAVG</v>
      </c>
      <c r="L456" s="80" t="str">
        <f ca="1">IF(ISNUMBER(FIND("(",$I456)), "", _xll.IMDP("IR", $K456, $L$50, WORKDAY('CD|CP 발행사'!$C$4,-1)) )</f>
        <v/>
      </c>
    </row>
    <row r="457" spans="7:12">
      <c r="G457">
        <f ca="1">IF( ISNUMBER($L457), MAX($G$50:G456)+1,0)</f>
        <v>0</v>
      </c>
      <c r="H457" s="13"/>
      <c r="I457" s="67"/>
      <c r="J457" s="67"/>
      <c r="K457" s="80" t="str">
        <f t="shared" si="11"/>
        <v>CDAVG</v>
      </c>
      <c r="L457" s="80" t="str">
        <f ca="1">IF(ISNUMBER(FIND("(",$I457)), "", _xll.IMDP("IR", $K457, $L$50, WORKDAY('CD|CP 발행사'!$C$4,-1)) )</f>
        <v/>
      </c>
    </row>
    <row r="458" spans="7:12">
      <c r="G458">
        <f ca="1">IF( ISNUMBER($L458), MAX($G$50:G457)+1,0)</f>
        <v>0</v>
      </c>
      <c r="H458" s="13"/>
      <c r="I458" s="67"/>
      <c r="J458" s="67"/>
      <c r="K458" s="80" t="str">
        <f t="shared" si="11"/>
        <v>CDAVG</v>
      </c>
      <c r="L458" s="80" t="str">
        <f ca="1">IF(ISNUMBER(FIND("(",$I458)), "", _xll.IMDP("IR", $K458, $L$50, WORKDAY('CD|CP 발행사'!$C$4,-1)) )</f>
        <v/>
      </c>
    </row>
    <row r="459" spans="7:12">
      <c r="G459">
        <f ca="1">IF( ISNUMBER($L459), MAX($G$50:G458)+1,0)</f>
        <v>0</v>
      </c>
      <c r="H459" s="13"/>
      <c r="I459" s="67"/>
      <c r="J459" s="67"/>
      <c r="K459" s="80" t="str">
        <f t="shared" si="11"/>
        <v>CDAVG</v>
      </c>
      <c r="L459" s="80" t="str">
        <f ca="1">IF(ISNUMBER(FIND("(",$I459)), "", _xll.IMDP("IR", $K459, $L$50, WORKDAY('CD|CP 발행사'!$C$4,-1)) )</f>
        <v/>
      </c>
    </row>
    <row r="460" spans="7:12">
      <c r="G460">
        <f ca="1">IF( ISNUMBER($L460), MAX($G$50:G459)+1,0)</f>
        <v>0</v>
      </c>
      <c r="H460" s="13"/>
      <c r="I460" s="67"/>
      <c r="J460" s="67"/>
      <c r="K460" s="80" t="str">
        <f t="shared" si="11"/>
        <v>CDAVG</v>
      </c>
      <c r="L460" s="80" t="str">
        <f ca="1">IF(ISNUMBER(FIND("(",$I460)), "", _xll.IMDP("IR", $K460, $L$50, WORKDAY('CD|CP 발행사'!$C$4,-1)) )</f>
        <v/>
      </c>
    </row>
    <row r="461" spans="7:12">
      <c r="G461">
        <f ca="1">IF( ISNUMBER($L461), MAX($G$50:G460)+1,0)</f>
        <v>0</v>
      </c>
      <c r="H461" s="13"/>
      <c r="I461" s="67"/>
      <c r="J461" s="67"/>
      <c r="K461" s="80" t="str">
        <f t="shared" si="11"/>
        <v>CDAVG</v>
      </c>
      <c r="L461" s="80" t="str">
        <f ca="1">IF(ISNUMBER(FIND("(",$I461)), "", _xll.IMDP("IR", $K461, $L$50, WORKDAY('CD|CP 발행사'!$C$4,-1)) )</f>
        <v/>
      </c>
    </row>
    <row r="462" spans="7:12">
      <c r="G462">
        <f ca="1">IF( ISNUMBER($L462), MAX($G$50:G461)+1,0)</f>
        <v>0</v>
      </c>
      <c r="H462" s="13"/>
      <c r="I462" s="67"/>
      <c r="J462" s="67"/>
      <c r="K462" s="80" t="str">
        <f t="shared" si="11"/>
        <v>CDAVG</v>
      </c>
      <c r="L462" s="80" t="str">
        <f ca="1">IF(ISNUMBER(FIND("(",$I462)), "", _xll.IMDP("IR", $K462, $L$50, WORKDAY('CD|CP 발행사'!$C$4,-1)) )</f>
        <v/>
      </c>
    </row>
    <row r="463" spans="7:12">
      <c r="G463">
        <f ca="1">IF( ISNUMBER($L463), MAX($G$50:G462)+1,0)</f>
        <v>0</v>
      </c>
      <c r="H463" s="13"/>
      <c r="I463" s="67"/>
      <c r="J463" s="67"/>
      <c r="K463" s="80" t="str">
        <f t="shared" si="11"/>
        <v>CDAVG</v>
      </c>
      <c r="L463" s="80" t="str">
        <f ca="1">IF(ISNUMBER(FIND("(",$I463)), "", _xll.IMDP("IR", $K463, $L$50, WORKDAY('CD|CP 발행사'!$C$4,-1)) )</f>
        <v/>
      </c>
    </row>
    <row r="464" spans="7:12">
      <c r="G464">
        <f ca="1">IF( ISNUMBER($L464), MAX($G$50:G463)+1,0)</f>
        <v>0</v>
      </c>
      <c r="H464" s="13"/>
      <c r="I464" s="67"/>
      <c r="J464" s="67"/>
      <c r="K464" s="80" t="str">
        <f t="shared" si="11"/>
        <v>CDAVG</v>
      </c>
      <c r="L464" s="80" t="str">
        <f ca="1">IF(ISNUMBER(FIND("(",$I464)), "", _xll.IMDP("IR", $K464, $L$50, WORKDAY('CD|CP 발행사'!$C$4,-1)) )</f>
        <v/>
      </c>
    </row>
    <row r="465" spans="7:12">
      <c r="G465">
        <f ca="1">IF( ISNUMBER($L465), MAX($G$50:G464)+1,0)</f>
        <v>0</v>
      </c>
      <c r="H465" s="13"/>
      <c r="I465" s="67"/>
      <c r="J465" s="67"/>
      <c r="K465" s="80" t="str">
        <f t="shared" si="11"/>
        <v>CDAVG</v>
      </c>
      <c r="L465" s="80" t="str">
        <f ca="1">IF(ISNUMBER(FIND("(",$I465)), "", _xll.IMDP("IR", $K465, $L$50, WORKDAY('CD|CP 발행사'!$C$4,-1)) )</f>
        <v/>
      </c>
    </row>
    <row r="466" spans="7:12">
      <c r="G466">
        <f ca="1">IF( ISNUMBER($L466), MAX($G$50:G465)+1,0)</f>
        <v>0</v>
      </c>
      <c r="H466" s="13"/>
      <c r="I466" s="67"/>
      <c r="J466" s="67"/>
      <c r="K466" s="80" t="str">
        <f t="shared" si="11"/>
        <v>CDAVG</v>
      </c>
      <c r="L466" s="80" t="str">
        <f ca="1">IF(ISNUMBER(FIND("(",$I466)), "", _xll.IMDP("IR", $K466, $L$50, WORKDAY('CD|CP 발행사'!$C$4,-1)) )</f>
        <v/>
      </c>
    </row>
    <row r="467" spans="7:12">
      <c r="G467">
        <f ca="1">IF( ISNUMBER($L467), MAX($G$50:G466)+1,0)</f>
        <v>0</v>
      </c>
      <c r="H467" s="13"/>
      <c r="I467" s="67"/>
      <c r="J467" s="67"/>
      <c r="K467" s="80" t="str">
        <f t="shared" si="11"/>
        <v>CDAVG</v>
      </c>
      <c r="L467" s="80" t="str">
        <f ca="1">IF(ISNUMBER(FIND("(",$I467)), "", _xll.IMDP("IR", $K467, $L$50, WORKDAY('CD|CP 발행사'!$C$4,-1)) )</f>
        <v/>
      </c>
    </row>
    <row r="468" spans="7:12">
      <c r="G468">
        <f ca="1">IF( ISNUMBER($L468), MAX($G$50:G467)+1,0)</f>
        <v>0</v>
      </c>
      <c r="H468" s="13"/>
      <c r="I468" s="67"/>
      <c r="J468" s="67"/>
      <c r="K468" s="80" t="str">
        <f t="shared" si="11"/>
        <v>CDAVG</v>
      </c>
      <c r="L468" s="80" t="str">
        <f ca="1">IF(ISNUMBER(FIND("(",$I468)), "", _xll.IMDP("IR", $K468, $L$50, WORKDAY('CD|CP 발행사'!$C$4,-1)) )</f>
        <v/>
      </c>
    </row>
    <row r="469" spans="7:12">
      <c r="G469">
        <f ca="1">IF( ISNUMBER($L469), MAX($G$50:G468)+1,0)</f>
        <v>0</v>
      </c>
      <c r="H469" s="13"/>
      <c r="I469" s="67"/>
      <c r="J469" s="67"/>
      <c r="K469" s="80" t="str">
        <f t="shared" si="11"/>
        <v>CDAVG</v>
      </c>
      <c r="L469" s="80" t="str">
        <f ca="1">IF(ISNUMBER(FIND("(",$I469)), "", _xll.IMDP("IR", $K469, $L$50, WORKDAY('CD|CP 발행사'!$C$4,-1)) )</f>
        <v/>
      </c>
    </row>
    <row r="470" spans="7:12">
      <c r="G470">
        <f ca="1">IF( ISNUMBER($L470), MAX($G$50:G469)+1,0)</f>
        <v>0</v>
      </c>
      <c r="H470" s="13"/>
      <c r="I470" s="67"/>
      <c r="J470" s="67"/>
      <c r="K470" s="80" t="str">
        <f t="shared" si="11"/>
        <v>CDAVG</v>
      </c>
      <c r="L470" s="80" t="str">
        <f ca="1">IF(ISNUMBER(FIND("(",$I470)), "", _xll.IMDP("IR", $K470, $L$50, WORKDAY('CD|CP 발행사'!$C$4,-1)) )</f>
        <v/>
      </c>
    </row>
    <row r="471" spans="7:12">
      <c r="G471">
        <f ca="1">IF( ISNUMBER($L471), MAX($G$50:G470)+1,0)</f>
        <v>0</v>
      </c>
      <c r="H471" s="13"/>
      <c r="I471" s="67"/>
      <c r="J471" s="67"/>
      <c r="K471" s="80" t="str">
        <f t="shared" si="11"/>
        <v>CDAVG</v>
      </c>
      <c r="L471" s="80" t="str">
        <f ca="1">IF(ISNUMBER(FIND("(",$I471)), "", _xll.IMDP("IR", $K471, $L$50, WORKDAY('CD|CP 발행사'!$C$4,-1)) )</f>
        <v/>
      </c>
    </row>
    <row r="472" spans="7:12">
      <c r="G472">
        <f ca="1">IF( ISNUMBER($L472), MAX($G$50:G471)+1,0)</f>
        <v>0</v>
      </c>
      <c r="H472" s="13"/>
      <c r="I472" s="67"/>
      <c r="J472" s="67"/>
      <c r="K472" s="80" t="str">
        <f t="shared" si="11"/>
        <v>CDAVG</v>
      </c>
      <c r="L472" s="80" t="str">
        <f ca="1">IF(ISNUMBER(FIND("(",$I472)), "", _xll.IMDP("IR", $K472, $L$50, WORKDAY('CD|CP 발행사'!$C$4,-1)) )</f>
        <v/>
      </c>
    </row>
    <row r="473" spans="7:12">
      <c r="G473">
        <f ca="1">IF( ISNUMBER($L473), MAX($G$50:G472)+1,0)</f>
        <v>0</v>
      </c>
      <c r="H473" s="13"/>
      <c r="I473" s="67"/>
      <c r="J473" s="67"/>
      <c r="K473" s="80" t="str">
        <f t="shared" si="11"/>
        <v>CDAVG</v>
      </c>
      <c r="L473" s="80" t="str">
        <f ca="1">IF(ISNUMBER(FIND("(",$I473)), "", _xll.IMDP("IR", $K473, $L$50, WORKDAY('CD|CP 발행사'!$C$4,-1)) )</f>
        <v/>
      </c>
    </row>
    <row r="474" spans="7:12">
      <c r="G474">
        <f ca="1">IF( ISNUMBER($L474), MAX($G$50:G473)+1,0)</f>
        <v>0</v>
      </c>
      <c r="H474" s="13"/>
      <c r="I474" s="67"/>
      <c r="J474" s="67"/>
      <c r="K474" s="80" t="str">
        <f t="shared" si="11"/>
        <v>CDAVG</v>
      </c>
      <c r="L474" s="80" t="str">
        <f ca="1">IF(ISNUMBER(FIND("(",$I474)), "", _xll.IMDP("IR", $K474, $L$50, WORKDAY('CD|CP 발행사'!$C$4,-1)) )</f>
        <v/>
      </c>
    </row>
    <row r="475" spans="7:12">
      <c r="G475">
        <f ca="1">IF( ISNUMBER($L475), MAX($G$50:G474)+1,0)</f>
        <v>0</v>
      </c>
      <c r="H475" s="13"/>
      <c r="I475" s="67"/>
      <c r="J475" s="67"/>
      <c r="K475" s="80" t="str">
        <f t="shared" si="11"/>
        <v>CDAVG</v>
      </c>
      <c r="L475" s="80" t="str">
        <f ca="1">IF(ISNUMBER(FIND("(",$I475)), "", _xll.IMDP("IR", $K475, $L$50, WORKDAY('CD|CP 발행사'!$C$4,-1)) )</f>
        <v/>
      </c>
    </row>
    <row r="476" spans="7:12">
      <c r="G476">
        <f ca="1">IF( ISNUMBER($L476), MAX($G$50:G475)+1,0)</f>
        <v>0</v>
      </c>
      <c r="H476" s="13"/>
      <c r="I476" s="67"/>
      <c r="J476" s="67"/>
      <c r="K476" s="80" t="str">
        <f t="shared" si="11"/>
        <v>CDAVG</v>
      </c>
      <c r="L476" s="80" t="str">
        <f ca="1">IF(ISNUMBER(FIND("(",$I476)), "", _xll.IMDP("IR", $K476, $L$50, WORKDAY('CD|CP 발행사'!$C$4,-1)) )</f>
        <v/>
      </c>
    </row>
    <row r="477" spans="7:12">
      <c r="G477">
        <f ca="1">IF( ISNUMBER($L477), MAX($G$50:G476)+1,0)</f>
        <v>0</v>
      </c>
      <c r="H477" s="13"/>
      <c r="I477" s="67"/>
      <c r="J477" s="67"/>
      <c r="K477" s="80" t="str">
        <f t="shared" si="11"/>
        <v>CDAVG</v>
      </c>
      <c r="L477" s="80" t="str">
        <f ca="1">IF(ISNUMBER(FIND("(",$I477)), "", _xll.IMDP("IR", $K477, $L$50, WORKDAY('CD|CP 발행사'!$C$4,-1)) )</f>
        <v/>
      </c>
    </row>
    <row r="478" spans="7:12">
      <c r="G478">
        <f ca="1">IF( ISNUMBER($L478), MAX($G$50:G477)+1,0)</f>
        <v>0</v>
      </c>
      <c r="H478" s="13"/>
      <c r="I478" s="67"/>
      <c r="J478" s="67"/>
      <c r="K478" s="80" t="str">
        <f t="shared" si="11"/>
        <v>CDAVG</v>
      </c>
      <c r="L478" s="80" t="str">
        <f ca="1">IF(ISNUMBER(FIND("(",$I478)), "", _xll.IMDP("IR", $K478, $L$50, WORKDAY('CD|CP 발행사'!$C$4,-1)) )</f>
        <v/>
      </c>
    </row>
    <row r="479" spans="7:12">
      <c r="G479">
        <f ca="1">IF( ISNUMBER($L479), MAX($G$50:G478)+1,0)</f>
        <v>0</v>
      </c>
      <c r="H479" s="13"/>
      <c r="I479" s="67"/>
      <c r="J479" s="67"/>
      <c r="K479" s="80" t="str">
        <f t="shared" si="11"/>
        <v>CDAVG</v>
      </c>
      <c r="L479" s="80" t="str">
        <f ca="1">IF(ISNUMBER(FIND("(",$I479)), "", _xll.IMDP("IR", $K479, $L$50, WORKDAY('CD|CP 발행사'!$C$4,-1)) )</f>
        <v/>
      </c>
    </row>
    <row r="480" spans="7:12">
      <c r="G480">
        <f ca="1">IF( ISNUMBER($L480), MAX($G$50:G479)+1,0)</f>
        <v>0</v>
      </c>
      <c r="H480" s="13"/>
      <c r="I480" s="67"/>
      <c r="J480" s="67"/>
      <c r="K480" s="80" t="str">
        <f t="shared" si="11"/>
        <v>CDAVG</v>
      </c>
      <c r="L480" s="80" t="str">
        <f ca="1">IF(ISNUMBER(FIND("(",$I480)), "", _xll.IMDP("IR", $K480, $L$50, WORKDAY('CD|CP 발행사'!$C$4,-1)) )</f>
        <v/>
      </c>
    </row>
    <row r="481" spans="7:12">
      <c r="G481">
        <f ca="1">IF( ISNUMBER($L481), MAX($G$50:G480)+1,0)</f>
        <v>0</v>
      </c>
      <c r="H481" s="13"/>
      <c r="I481" s="67"/>
      <c r="J481" s="67"/>
      <c r="K481" s="80" t="str">
        <f t="shared" si="11"/>
        <v>CDAVG</v>
      </c>
      <c r="L481" s="80" t="str">
        <f ca="1">IF(ISNUMBER(FIND("(",$I481)), "", _xll.IMDP("IR", $K481, $L$50, WORKDAY('CD|CP 발행사'!$C$4,-1)) )</f>
        <v/>
      </c>
    </row>
    <row r="482" spans="7:12">
      <c r="G482">
        <f ca="1">IF( ISNUMBER($L482), MAX($G$50:G481)+1,0)</f>
        <v>0</v>
      </c>
      <c r="H482" s="13"/>
      <c r="I482" s="67"/>
      <c r="J482" s="67"/>
      <c r="K482" s="80" t="str">
        <f t="shared" si="11"/>
        <v>CDAVG</v>
      </c>
      <c r="L482" s="80" t="str">
        <f ca="1">IF(ISNUMBER(FIND("(",$I482)), "", _xll.IMDP("IR", $K482, $L$50, WORKDAY('CD|CP 발행사'!$C$4,-1)) )</f>
        <v/>
      </c>
    </row>
    <row r="483" spans="7:12">
      <c r="G483">
        <f ca="1">IF( ISNUMBER($L483), MAX($G$50:G482)+1,0)</f>
        <v>0</v>
      </c>
      <c r="H483" s="13"/>
      <c r="I483" s="67"/>
      <c r="J483" s="67"/>
      <c r="K483" s="80" t="str">
        <f t="shared" si="11"/>
        <v>CDAVG</v>
      </c>
      <c r="L483" s="80" t="str">
        <f ca="1">IF(ISNUMBER(FIND("(",$I483)), "", _xll.IMDP("IR", $K483, $L$50, WORKDAY('CD|CP 발행사'!$C$4,-1)) )</f>
        <v/>
      </c>
    </row>
    <row r="484" spans="7:12">
      <c r="G484">
        <f ca="1">IF( ISNUMBER($L484), MAX($G$50:G483)+1,0)</f>
        <v>0</v>
      </c>
      <c r="H484" s="13"/>
      <c r="I484" s="67"/>
      <c r="J484" s="67"/>
      <c r="K484" s="80" t="str">
        <f t="shared" si="11"/>
        <v>CDAVG</v>
      </c>
      <c r="L484" s="80" t="str">
        <f ca="1">IF(ISNUMBER(FIND("(",$I484)), "", _xll.IMDP("IR", $K484, $L$50, WORKDAY('CD|CP 발행사'!$C$4,-1)) )</f>
        <v/>
      </c>
    </row>
    <row r="485" spans="7:12">
      <c r="G485">
        <f ca="1">IF( ISNUMBER($L485), MAX($G$50:G484)+1,0)</f>
        <v>0</v>
      </c>
      <c r="H485" s="13"/>
      <c r="I485" s="67"/>
      <c r="J485" s="67"/>
      <c r="K485" s="80" t="str">
        <f t="shared" si="11"/>
        <v>CDAVG</v>
      </c>
      <c r="L485" s="80" t="str">
        <f ca="1">IF(ISNUMBER(FIND("(",$I485)), "", _xll.IMDP("IR", $K485, $L$50, WORKDAY('CD|CP 발행사'!$C$4,-1)) )</f>
        <v/>
      </c>
    </row>
    <row r="486" spans="7:12">
      <c r="G486">
        <f ca="1">IF( ISNUMBER($L486), MAX($G$50:G485)+1,0)</f>
        <v>0</v>
      </c>
      <c r="H486" s="13"/>
      <c r="I486" s="67"/>
      <c r="J486" s="67"/>
      <c r="K486" s="80" t="str">
        <f t="shared" si="11"/>
        <v>CDAVG</v>
      </c>
      <c r="L486" s="80" t="str">
        <f ca="1">IF(ISNUMBER(FIND("(",$I486)), "", _xll.IMDP("IR", $K486, $L$50, WORKDAY('CD|CP 발행사'!$C$4,-1)) )</f>
        <v/>
      </c>
    </row>
    <row r="487" spans="7:12">
      <c r="G487">
        <f ca="1">IF( ISNUMBER($L487), MAX($G$50:G486)+1,0)</f>
        <v>0</v>
      </c>
      <c r="H487" s="13"/>
      <c r="I487" s="67"/>
      <c r="J487" s="67"/>
      <c r="K487" s="80" t="str">
        <f t="shared" si="11"/>
        <v>CDAVG</v>
      </c>
      <c r="L487" s="80" t="str">
        <f ca="1">IF(ISNUMBER(FIND("(",$I487)), "", _xll.IMDP("IR", $K487, $L$50, WORKDAY('CD|CP 발행사'!$C$4,-1)) )</f>
        <v/>
      </c>
    </row>
    <row r="488" spans="7:12">
      <c r="G488">
        <f ca="1">IF( ISNUMBER($L488), MAX($G$50:G487)+1,0)</f>
        <v>0</v>
      </c>
      <c r="H488" s="13"/>
      <c r="I488" s="67"/>
      <c r="J488" s="67"/>
      <c r="K488" s="80" t="str">
        <f t="shared" si="11"/>
        <v>CDAVG</v>
      </c>
      <c r="L488" s="80" t="str">
        <f ca="1">IF(ISNUMBER(FIND("(",$I488)), "", _xll.IMDP("IR", $K488, $L$50, WORKDAY('CD|CP 발행사'!$C$4,-1)) )</f>
        <v/>
      </c>
    </row>
    <row r="489" spans="7:12">
      <c r="G489">
        <f ca="1">IF( ISNUMBER($L489), MAX($G$50:G488)+1,0)</f>
        <v>0</v>
      </c>
      <c r="H489" s="13"/>
      <c r="I489" s="67"/>
      <c r="J489" s="67"/>
      <c r="K489" s="80" t="str">
        <f t="shared" si="11"/>
        <v>CDAVG</v>
      </c>
      <c r="L489" s="80" t="str">
        <f ca="1">IF(ISNUMBER(FIND("(",$I489)), "", _xll.IMDP("IR", $K489, $L$50, WORKDAY('CD|CP 발행사'!$C$4,-1)) )</f>
        <v/>
      </c>
    </row>
    <row r="490" spans="7:12">
      <c r="G490">
        <f ca="1">IF( ISNUMBER($L490), MAX($G$50:G489)+1,0)</f>
        <v>0</v>
      </c>
      <c r="H490" s="13"/>
      <c r="I490" s="67"/>
      <c r="J490" s="67"/>
      <c r="K490" s="80" t="str">
        <f t="shared" si="11"/>
        <v>CDAVG</v>
      </c>
      <c r="L490" s="80" t="str">
        <f ca="1">IF(ISNUMBER(FIND("(",$I490)), "", _xll.IMDP("IR", $K490, $L$50, WORKDAY('CD|CP 발행사'!$C$4,-1)) )</f>
        <v/>
      </c>
    </row>
    <row r="491" spans="7:12">
      <c r="G491">
        <f ca="1">IF( ISNUMBER($L491), MAX($G$50:G490)+1,0)</f>
        <v>0</v>
      </c>
      <c r="H491" s="13"/>
      <c r="I491" s="67"/>
      <c r="J491" s="67"/>
      <c r="K491" s="80" t="str">
        <f t="shared" si="11"/>
        <v>CDAVG</v>
      </c>
      <c r="L491" s="80" t="str">
        <f ca="1">IF(ISNUMBER(FIND("(",$I491)), "", _xll.IMDP("IR", $K491, $L$50, WORKDAY('CD|CP 발행사'!$C$4,-1)) )</f>
        <v/>
      </c>
    </row>
    <row r="492" spans="7:12">
      <c r="G492">
        <f ca="1">IF( ISNUMBER($L492), MAX($G$50:G491)+1,0)</f>
        <v>0</v>
      </c>
      <c r="H492" s="13"/>
      <c r="I492" s="67"/>
      <c r="J492" s="67"/>
      <c r="K492" s="80" t="str">
        <f t="shared" si="11"/>
        <v>CDAVG</v>
      </c>
      <c r="L492" s="80" t="str">
        <f ca="1">IF(ISNUMBER(FIND("(",$I492)), "", _xll.IMDP("IR", $K492, $L$50, WORKDAY('CD|CP 발행사'!$C$4,-1)) )</f>
        <v/>
      </c>
    </row>
    <row r="493" spans="7:12">
      <c r="G493">
        <f ca="1">IF( ISNUMBER($L493), MAX($G$50:G492)+1,0)</f>
        <v>0</v>
      </c>
      <c r="H493" s="13"/>
      <c r="I493" s="67"/>
      <c r="J493" s="67"/>
      <c r="K493" s="80" t="str">
        <f t="shared" si="11"/>
        <v>CDAVG</v>
      </c>
      <c r="L493" s="80" t="str">
        <f ca="1">IF(ISNUMBER(FIND("(",$I493)), "", _xll.IMDP("IR", $K493, $L$50, WORKDAY('CD|CP 발행사'!$C$4,-1)) )</f>
        <v/>
      </c>
    </row>
    <row r="494" spans="7:12">
      <c r="G494">
        <f ca="1">IF( ISNUMBER($L494), MAX($G$50:G493)+1,0)</f>
        <v>0</v>
      </c>
      <c r="H494" s="13"/>
      <c r="I494" s="67"/>
      <c r="J494" s="67"/>
      <c r="K494" s="80" t="str">
        <f t="shared" si="11"/>
        <v>CDAVG</v>
      </c>
      <c r="L494" s="80" t="str">
        <f ca="1">IF(ISNUMBER(FIND("(",$I494)), "", _xll.IMDP("IR", $K494, $L$50, WORKDAY('CD|CP 발행사'!$C$4,-1)) )</f>
        <v/>
      </c>
    </row>
    <row r="495" spans="7:12">
      <c r="G495">
        <f ca="1">IF( ISNUMBER($L495), MAX($G$50:G494)+1,0)</f>
        <v>0</v>
      </c>
      <c r="H495" s="13"/>
      <c r="I495" s="67"/>
      <c r="J495" s="67"/>
      <c r="K495" s="80" t="str">
        <f t="shared" si="11"/>
        <v>CDAVG</v>
      </c>
      <c r="L495" s="80" t="str">
        <f ca="1">IF(ISNUMBER(FIND("(",$I495)), "", _xll.IMDP("IR", $K495, $L$50, WORKDAY('CD|CP 발행사'!$C$4,-1)) )</f>
        <v/>
      </c>
    </row>
    <row r="496" spans="7:12">
      <c r="G496">
        <f ca="1">IF( ISNUMBER($L496), MAX($G$50:G495)+1,0)</f>
        <v>0</v>
      </c>
      <c r="H496" s="13"/>
      <c r="I496" s="67"/>
      <c r="J496" s="67"/>
      <c r="K496" s="80" t="str">
        <f t="shared" si="11"/>
        <v>CDAVG</v>
      </c>
      <c r="L496" s="80" t="str">
        <f ca="1">IF(ISNUMBER(FIND("(",$I496)), "", _xll.IMDP("IR", $K496, $L$50, WORKDAY('CD|CP 발행사'!$C$4,-1)) )</f>
        <v/>
      </c>
    </row>
    <row r="497" spans="7:12">
      <c r="G497">
        <f ca="1">IF( ISNUMBER($L497), MAX($G$50:G496)+1,0)</f>
        <v>0</v>
      </c>
      <c r="H497" s="13"/>
      <c r="I497" s="67"/>
      <c r="J497" s="67"/>
      <c r="K497" s="80" t="str">
        <f t="shared" si="11"/>
        <v>CDAVG</v>
      </c>
      <c r="L497" s="80" t="str">
        <f ca="1">IF(ISNUMBER(FIND("(",$I497)), "", _xll.IMDP("IR", $K497, $L$50, WORKDAY('CD|CP 발행사'!$C$4,-1)) )</f>
        <v/>
      </c>
    </row>
    <row r="498" spans="7:12">
      <c r="G498">
        <f ca="1">IF( ISNUMBER($L498), MAX($G$50:G497)+1,0)</f>
        <v>0</v>
      </c>
      <c r="H498" s="13"/>
      <c r="I498" s="67"/>
      <c r="J498" s="67"/>
      <c r="K498" s="80" t="str">
        <f t="shared" si="11"/>
        <v>CDAVG</v>
      </c>
      <c r="L498" s="80" t="str">
        <f ca="1">IF(ISNUMBER(FIND("(",$I498)), "", _xll.IMDP("IR", $K498, $L$50, WORKDAY('CD|CP 발행사'!$C$4,-1)) )</f>
        <v/>
      </c>
    </row>
    <row r="499" spans="7:12">
      <c r="G499">
        <f ca="1">IF( ISNUMBER($L499), MAX($G$50:G498)+1,0)</f>
        <v>0</v>
      </c>
      <c r="H499" s="13"/>
      <c r="I499" s="67"/>
      <c r="J499" s="67"/>
      <c r="K499" s="80" t="str">
        <f t="shared" ref="K499:K562" si="12">$K$49&amp;$H499</f>
        <v>CDAVG</v>
      </c>
      <c r="L499" s="80" t="str">
        <f ca="1">IF(ISNUMBER(FIND("(",$I499)), "", _xll.IMDP("IR", $K499, $L$50, WORKDAY('CD|CP 발행사'!$C$4,-1)) )</f>
        <v/>
      </c>
    </row>
    <row r="500" spans="7:12">
      <c r="G500">
        <f ca="1">IF( ISNUMBER($L500), MAX($G$50:G499)+1,0)</f>
        <v>0</v>
      </c>
      <c r="H500" s="13"/>
      <c r="I500" s="67"/>
      <c r="J500" s="67"/>
      <c r="K500" s="80" t="str">
        <f t="shared" si="12"/>
        <v>CDAVG</v>
      </c>
      <c r="L500" s="80" t="str">
        <f ca="1">IF(ISNUMBER(FIND("(",$I500)), "", _xll.IMDP("IR", $K500, $L$50, WORKDAY('CD|CP 발행사'!$C$4,-1)) )</f>
        <v/>
      </c>
    </row>
    <row r="501" spans="7:12">
      <c r="G501">
        <f ca="1">IF( ISNUMBER($L501), MAX($G$50:G500)+1,0)</f>
        <v>0</v>
      </c>
      <c r="H501" s="13"/>
      <c r="I501" s="67"/>
      <c r="J501" s="67"/>
      <c r="K501" s="80" t="str">
        <f t="shared" si="12"/>
        <v>CDAVG</v>
      </c>
      <c r="L501" s="80" t="str">
        <f ca="1">IF(ISNUMBER(FIND("(",$I501)), "", _xll.IMDP("IR", $K501, $L$50, WORKDAY('CD|CP 발행사'!$C$4,-1)) )</f>
        <v/>
      </c>
    </row>
    <row r="502" spans="7:12">
      <c r="G502">
        <f ca="1">IF( ISNUMBER($L502), MAX($G$50:G501)+1,0)</f>
        <v>0</v>
      </c>
      <c r="H502" s="13"/>
      <c r="I502" s="67"/>
      <c r="J502" s="67"/>
      <c r="K502" s="80" t="str">
        <f t="shared" si="12"/>
        <v>CDAVG</v>
      </c>
      <c r="L502" s="80" t="str">
        <f ca="1">IF(ISNUMBER(FIND("(",$I502)), "", _xll.IMDP("IR", $K502, $L$50, WORKDAY('CD|CP 발행사'!$C$4,-1)) )</f>
        <v/>
      </c>
    </row>
    <row r="503" spans="7:12">
      <c r="G503">
        <f ca="1">IF( ISNUMBER($L503), MAX($G$50:G502)+1,0)</f>
        <v>0</v>
      </c>
      <c r="H503" s="13"/>
      <c r="I503" s="67"/>
      <c r="J503" s="67"/>
      <c r="K503" s="80" t="str">
        <f t="shared" si="12"/>
        <v>CDAVG</v>
      </c>
      <c r="L503" s="80" t="str">
        <f ca="1">IF(ISNUMBER(FIND("(",$I503)), "", _xll.IMDP("IR", $K503, $L$50, WORKDAY('CD|CP 발행사'!$C$4,-1)) )</f>
        <v/>
      </c>
    </row>
    <row r="504" spans="7:12">
      <c r="G504">
        <f ca="1">IF( ISNUMBER($L504), MAX($G$50:G503)+1,0)</f>
        <v>0</v>
      </c>
      <c r="H504" s="13"/>
      <c r="I504" s="67"/>
      <c r="J504" s="67"/>
      <c r="K504" s="80" t="str">
        <f t="shared" si="12"/>
        <v>CDAVG</v>
      </c>
      <c r="L504" s="80" t="str">
        <f ca="1">IF(ISNUMBER(FIND("(",$I504)), "", _xll.IMDP("IR", $K504, $L$50, WORKDAY('CD|CP 발행사'!$C$4,-1)) )</f>
        <v/>
      </c>
    </row>
    <row r="505" spans="7:12">
      <c r="G505">
        <f ca="1">IF( ISNUMBER($L505), MAX($G$50:G504)+1,0)</f>
        <v>0</v>
      </c>
      <c r="H505" s="13"/>
      <c r="I505" s="67"/>
      <c r="J505" s="67"/>
      <c r="K505" s="80" t="str">
        <f t="shared" si="12"/>
        <v>CDAVG</v>
      </c>
      <c r="L505" s="80" t="str">
        <f ca="1">IF(ISNUMBER(FIND("(",$I505)), "", _xll.IMDP("IR", $K505, $L$50, WORKDAY('CD|CP 발행사'!$C$4,-1)) )</f>
        <v/>
      </c>
    </row>
    <row r="506" spans="7:12">
      <c r="G506">
        <f ca="1">IF( ISNUMBER($L506), MAX($G$50:G505)+1,0)</f>
        <v>0</v>
      </c>
      <c r="H506" s="13"/>
      <c r="I506" s="67"/>
      <c r="J506" s="67"/>
      <c r="K506" s="80" t="str">
        <f t="shared" si="12"/>
        <v>CDAVG</v>
      </c>
      <c r="L506" s="80" t="str">
        <f ca="1">IF(ISNUMBER(FIND("(",$I506)), "", _xll.IMDP("IR", $K506, $L$50, WORKDAY('CD|CP 발행사'!$C$4,-1)) )</f>
        <v/>
      </c>
    </row>
    <row r="507" spans="7:12">
      <c r="G507">
        <f ca="1">IF( ISNUMBER($L507), MAX($G$50:G506)+1,0)</f>
        <v>0</v>
      </c>
      <c r="H507" s="13"/>
      <c r="I507" s="67"/>
      <c r="J507" s="67"/>
      <c r="K507" s="80" t="str">
        <f t="shared" si="12"/>
        <v>CDAVG</v>
      </c>
      <c r="L507" s="80" t="str">
        <f ca="1">IF(ISNUMBER(FIND("(",$I507)), "", _xll.IMDP("IR", $K507, $L$50, WORKDAY('CD|CP 발행사'!$C$4,-1)) )</f>
        <v/>
      </c>
    </row>
    <row r="508" spans="7:12">
      <c r="G508">
        <f ca="1">IF( ISNUMBER($L508), MAX($G$50:G507)+1,0)</f>
        <v>0</v>
      </c>
      <c r="H508" s="13"/>
      <c r="I508" s="67"/>
      <c r="J508" s="67"/>
      <c r="K508" s="80" t="str">
        <f t="shared" si="12"/>
        <v>CDAVG</v>
      </c>
      <c r="L508" s="80" t="str">
        <f ca="1">IF(ISNUMBER(FIND("(",$I508)), "", _xll.IMDP("IR", $K508, $L$50, WORKDAY('CD|CP 발행사'!$C$4,-1)) )</f>
        <v/>
      </c>
    </row>
    <row r="509" spans="7:12">
      <c r="G509">
        <f ca="1">IF( ISNUMBER($L509), MAX($G$50:G508)+1,0)</f>
        <v>0</v>
      </c>
      <c r="H509" s="13"/>
      <c r="I509" s="67"/>
      <c r="J509" s="67"/>
      <c r="K509" s="80" t="str">
        <f t="shared" si="12"/>
        <v>CDAVG</v>
      </c>
      <c r="L509" s="80" t="str">
        <f ca="1">IF(ISNUMBER(FIND("(",$I509)), "", _xll.IMDP("IR", $K509, $L$50, WORKDAY('CD|CP 발행사'!$C$4,-1)) )</f>
        <v/>
      </c>
    </row>
    <row r="510" spans="7:12">
      <c r="G510">
        <f ca="1">IF( ISNUMBER($L510), MAX($G$50:G509)+1,0)</f>
        <v>0</v>
      </c>
      <c r="H510" s="13"/>
      <c r="I510" s="67"/>
      <c r="J510" s="67"/>
      <c r="K510" s="80" t="str">
        <f t="shared" si="12"/>
        <v>CDAVG</v>
      </c>
      <c r="L510" s="80" t="str">
        <f ca="1">IF(ISNUMBER(FIND("(",$I510)), "", _xll.IMDP("IR", $K510, $L$50, WORKDAY('CD|CP 발행사'!$C$4,-1)) )</f>
        <v/>
      </c>
    </row>
    <row r="511" spans="7:12">
      <c r="G511">
        <f ca="1">IF( ISNUMBER($L511), MAX($G$50:G510)+1,0)</f>
        <v>0</v>
      </c>
      <c r="H511" s="13"/>
      <c r="I511" s="67"/>
      <c r="J511" s="67"/>
      <c r="K511" s="80" t="str">
        <f t="shared" si="12"/>
        <v>CDAVG</v>
      </c>
      <c r="L511" s="80" t="str">
        <f ca="1">IF(ISNUMBER(FIND("(",$I511)), "", _xll.IMDP("IR", $K511, $L$50, WORKDAY('CD|CP 발행사'!$C$4,-1)) )</f>
        <v/>
      </c>
    </row>
    <row r="512" spans="7:12">
      <c r="G512">
        <f ca="1">IF( ISNUMBER($L512), MAX($G$50:G511)+1,0)</f>
        <v>0</v>
      </c>
      <c r="H512" s="13"/>
      <c r="I512" s="67"/>
      <c r="J512" s="67"/>
      <c r="K512" s="80" t="str">
        <f t="shared" si="12"/>
        <v>CDAVG</v>
      </c>
      <c r="L512" s="80" t="str">
        <f ca="1">IF(ISNUMBER(FIND("(",$I512)), "", _xll.IMDP("IR", $K512, $L$50, WORKDAY('CD|CP 발행사'!$C$4,-1)) )</f>
        <v/>
      </c>
    </row>
    <row r="513" spans="7:12">
      <c r="G513">
        <f ca="1">IF( ISNUMBER($L513), MAX($G$50:G512)+1,0)</f>
        <v>0</v>
      </c>
      <c r="H513" s="13"/>
      <c r="I513" s="67"/>
      <c r="J513" s="67"/>
      <c r="K513" s="80" t="str">
        <f t="shared" si="12"/>
        <v>CDAVG</v>
      </c>
      <c r="L513" s="80" t="str">
        <f ca="1">IF(ISNUMBER(FIND("(",$I513)), "", _xll.IMDP("IR", $K513, $L$50, WORKDAY('CD|CP 발행사'!$C$4,-1)) )</f>
        <v/>
      </c>
    </row>
    <row r="514" spans="7:12">
      <c r="G514">
        <f ca="1">IF( ISNUMBER($L514), MAX($G$50:G513)+1,0)</f>
        <v>0</v>
      </c>
      <c r="H514" s="13"/>
      <c r="I514" s="67"/>
      <c r="J514" s="67"/>
      <c r="K514" s="80" t="str">
        <f t="shared" si="12"/>
        <v>CDAVG</v>
      </c>
      <c r="L514" s="80" t="str">
        <f ca="1">IF(ISNUMBER(FIND("(",$I514)), "", _xll.IMDP("IR", $K514, $L$50, WORKDAY('CD|CP 발행사'!$C$4,-1)) )</f>
        <v/>
      </c>
    </row>
    <row r="515" spans="7:12">
      <c r="G515">
        <f ca="1">IF( ISNUMBER($L515), MAX($G$50:G514)+1,0)</f>
        <v>0</v>
      </c>
      <c r="H515" s="13"/>
      <c r="I515" s="67"/>
      <c r="J515" s="67"/>
      <c r="K515" s="80" t="str">
        <f t="shared" si="12"/>
        <v>CDAVG</v>
      </c>
      <c r="L515" s="80" t="str">
        <f ca="1">IF(ISNUMBER(FIND("(",$I515)), "", _xll.IMDP("IR", $K515, $L$50, WORKDAY('CD|CP 발행사'!$C$4,-1)) )</f>
        <v/>
      </c>
    </row>
    <row r="516" spans="7:12">
      <c r="G516">
        <f ca="1">IF( ISNUMBER($L516), MAX($G$50:G515)+1,0)</f>
        <v>0</v>
      </c>
      <c r="H516" s="13"/>
      <c r="I516" s="67"/>
      <c r="J516" s="67"/>
      <c r="K516" s="80" t="str">
        <f t="shared" si="12"/>
        <v>CDAVG</v>
      </c>
      <c r="L516" s="80" t="str">
        <f ca="1">IF(ISNUMBER(FIND("(",$I516)), "", _xll.IMDP("IR", $K516, $L$50, WORKDAY('CD|CP 발행사'!$C$4,-1)) )</f>
        <v/>
      </c>
    </row>
    <row r="517" spans="7:12">
      <c r="G517">
        <f ca="1">IF( ISNUMBER($L517), MAX($G$50:G516)+1,0)</f>
        <v>0</v>
      </c>
      <c r="H517" s="13"/>
      <c r="I517" s="67"/>
      <c r="J517" s="67"/>
      <c r="K517" s="80" t="str">
        <f t="shared" si="12"/>
        <v>CDAVG</v>
      </c>
      <c r="L517" s="80" t="str">
        <f ca="1">IF(ISNUMBER(FIND("(",$I517)), "", _xll.IMDP("IR", $K517, $L$50, WORKDAY('CD|CP 발행사'!$C$4,-1)) )</f>
        <v/>
      </c>
    </row>
    <row r="518" spans="7:12">
      <c r="G518">
        <f ca="1">IF( ISNUMBER($L518), MAX($G$50:G517)+1,0)</f>
        <v>0</v>
      </c>
      <c r="H518" s="13"/>
      <c r="I518" s="67"/>
      <c r="J518" s="67"/>
      <c r="K518" s="80" t="str">
        <f t="shared" si="12"/>
        <v>CDAVG</v>
      </c>
      <c r="L518" s="80" t="str">
        <f ca="1">IF(ISNUMBER(FIND("(",$I518)), "", _xll.IMDP("IR", $K518, $L$50, WORKDAY('CD|CP 발행사'!$C$4,-1)) )</f>
        <v/>
      </c>
    </row>
    <row r="519" spans="7:12">
      <c r="G519">
        <f ca="1">IF( ISNUMBER($L519), MAX($G$50:G518)+1,0)</f>
        <v>0</v>
      </c>
      <c r="H519" s="13"/>
      <c r="I519" s="67"/>
      <c r="J519" s="67"/>
      <c r="K519" s="80" t="str">
        <f t="shared" si="12"/>
        <v>CDAVG</v>
      </c>
      <c r="L519" s="80" t="str">
        <f ca="1">IF(ISNUMBER(FIND("(",$I519)), "", _xll.IMDP("IR", $K519, $L$50, WORKDAY('CD|CP 발행사'!$C$4,-1)) )</f>
        <v/>
      </c>
    </row>
    <row r="520" spans="7:12">
      <c r="G520">
        <f ca="1">IF( ISNUMBER($L520), MAX($G$50:G519)+1,0)</f>
        <v>0</v>
      </c>
      <c r="H520" s="13"/>
      <c r="I520" s="67"/>
      <c r="J520" s="67"/>
      <c r="K520" s="80" t="str">
        <f t="shared" si="12"/>
        <v>CDAVG</v>
      </c>
      <c r="L520" s="80" t="str">
        <f ca="1">IF(ISNUMBER(FIND("(",$I520)), "", _xll.IMDP("IR", $K520, $L$50, WORKDAY('CD|CP 발행사'!$C$4,-1)) )</f>
        <v/>
      </c>
    </row>
    <row r="521" spans="7:12">
      <c r="G521">
        <f ca="1">IF( ISNUMBER($L521), MAX($G$50:G520)+1,0)</f>
        <v>0</v>
      </c>
      <c r="H521" s="13"/>
      <c r="I521" s="67"/>
      <c r="J521" s="67"/>
      <c r="K521" s="80" t="str">
        <f t="shared" si="12"/>
        <v>CDAVG</v>
      </c>
      <c r="L521" s="80" t="str">
        <f ca="1">IF(ISNUMBER(FIND("(",$I521)), "", _xll.IMDP("IR", $K521, $L$50, WORKDAY('CD|CP 발행사'!$C$4,-1)) )</f>
        <v/>
      </c>
    </row>
    <row r="522" spans="7:12">
      <c r="G522">
        <f ca="1">IF( ISNUMBER($L522), MAX($G$50:G521)+1,0)</f>
        <v>0</v>
      </c>
      <c r="H522" s="13"/>
      <c r="I522" s="67"/>
      <c r="J522" s="67"/>
      <c r="K522" s="80" t="str">
        <f t="shared" si="12"/>
        <v>CDAVG</v>
      </c>
      <c r="L522" s="80" t="str">
        <f ca="1">IF(ISNUMBER(FIND("(",$I522)), "", _xll.IMDP("IR", $K522, $L$50, WORKDAY('CD|CP 발행사'!$C$4,-1)) )</f>
        <v/>
      </c>
    </row>
    <row r="523" spans="7:12">
      <c r="G523">
        <f ca="1">IF( ISNUMBER($L523), MAX($G$50:G522)+1,0)</f>
        <v>0</v>
      </c>
      <c r="H523" s="13"/>
      <c r="I523" s="67"/>
      <c r="J523" s="67"/>
      <c r="K523" s="80" t="str">
        <f t="shared" si="12"/>
        <v>CDAVG</v>
      </c>
      <c r="L523" s="80" t="str">
        <f ca="1">IF(ISNUMBER(FIND("(",$I523)), "", _xll.IMDP("IR", $K523, $L$50, WORKDAY('CD|CP 발행사'!$C$4,-1)) )</f>
        <v/>
      </c>
    </row>
    <row r="524" spans="7:12">
      <c r="G524">
        <f ca="1">IF( ISNUMBER($L524), MAX($G$50:G523)+1,0)</f>
        <v>0</v>
      </c>
      <c r="H524" s="13"/>
      <c r="I524" s="67"/>
      <c r="J524" s="67"/>
      <c r="K524" s="80" t="str">
        <f t="shared" si="12"/>
        <v>CDAVG</v>
      </c>
      <c r="L524" s="80" t="str">
        <f ca="1">IF(ISNUMBER(FIND("(",$I524)), "", _xll.IMDP("IR", $K524, $L$50, WORKDAY('CD|CP 발행사'!$C$4,-1)) )</f>
        <v/>
      </c>
    </row>
    <row r="525" spans="7:12">
      <c r="G525">
        <f ca="1">IF( ISNUMBER($L525), MAX($G$50:G524)+1,0)</f>
        <v>0</v>
      </c>
      <c r="H525" s="13"/>
      <c r="I525" s="67"/>
      <c r="J525" s="67"/>
      <c r="K525" s="80" t="str">
        <f t="shared" si="12"/>
        <v>CDAVG</v>
      </c>
      <c r="L525" s="80" t="str">
        <f ca="1">IF(ISNUMBER(FIND("(",$I525)), "", _xll.IMDP("IR", $K525, $L$50, WORKDAY('CD|CP 발행사'!$C$4,-1)) )</f>
        <v/>
      </c>
    </row>
    <row r="526" spans="7:12">
      <c r="G526">
        <f ca="1">IF( ISNUMBER($L526), MAX($G$50:G525)+1,0)</f>
        <v>0</v>
      </c>
      <c r="H526" s="13"/>
      <c r="I526" s="67"/>
      <c r="J526" s="67"/>
      <c r="K526" s="80" t="str">
        <f t="shared" si="12"/>
        <v>CDAVG</v>
      </c>
      <c r="L526" s="80" t="str">
        <f ca="1">IF(ISNUMBER(FIND("(",$I526)), "", _xll.IMDP("IR", $K526, $L$50, WORKDAY('CD|CP 발행사'!$C$4,-1)) )</f>
        <v/>
      </c>
    </row>
    <row r="527" spans="7:12">
      <c r="G527">
        <f ca="1">IF( ISNUMBER($L527), MAX($G$50:G526)+1,0)</f>
        <v>0</v>
      </c>
      <c r="H527" s="13"/>
      <c r="I527" s="67"/>
      <c r="J527" s="67"/>
      <c r="K527" s="80" t="str">
        <f t="shared" si="12"/>
        <v>CDAVG</v>
      </c>
      <c r="L527" s="80" t="str">
        <f ca="1">IF(ISNUMBER(FIND("(",$I527)), "", _xll.IMDP("IR", $K527, $L$50, WORKDAY('CD|CP 발행사'!$C$4,-1)) )</f>
        <v/>
      </c>
    </row>
    <row r="528" spans="7:12">
      <c r="G528">
        <f ca="1">IF( ISNUMBER($L528), MAX($G$50:G527)+1,0)</f>
        <v>0</v>
      </c>
      <c r="H528" s="13"/>
      <c r="I528" s="67"/>
      <c r="J528" s="67"/>
      <c r="K528" s="80" t="str">
        <f t="shared" si="12"/>
        <v>CDAVG</v>
      </c>
      <c r="L528" s="80" t="str">
        <f ca="1">IF(ISNUMBER(FIND("(",$I528)), "", _xll.IMDP("IR", $K528, $L$50, WORKDAY('CD|CP 발행사'!$C$4,-1)) )</f>
        <v/>
      </c>
    </row>
    <row r="529" spans="7:12">
      <c r="G529">
        <f ca="1">IF( ISNUMBER($L529), MAX($G$50:G528)+1,0)</f>
        <v>0</v>
      </c>
      <c r="H529" s="13"/>
      <c r="I529" s="67"/>
      <c r="J529" s="67"/>
      <c r="K529" s="80" t="str">
        <f t="shared" si="12"/>
        <v>CDAVG</v>
      </c>
      <c r="L529" s="80" t="str">
        <f ca="1">IF(ISNUMBER(FIND("(",$I529)), "", _xll.IMDP("IR", $K529, $L$50, WORKDAY('CD|CP 발행사'!$C$4,-1)) )</f>
        <v/>
      </c>
    </row>
    <row r="530" spans="7:12">
      <c r="G530">
        <f ca="1">IF( ISNUMBER($L530), MAX($G$50:G529)+1,0)</f>
        <v>0</v>
      </c>
      <c r="H530" s="13"/>
      <c r="I530" s="67"/>
      <c r="J530" s="67"/>
      <c r="K530" s="80" t="str">
        <f t="shared" si="12"/>
        <v>CDAVG</v>
      </c>
      <c r="L530" s="80" t="str">
        <f ca="1">IF(ISNUMBER(FIND("(",$I530)), "", _xll.IMDP("IR", $K530, $L$50, WORKDAY('CD|CP 발행사'!$C$4,-1)) )</f>
        <v/>
      </c>
    </row>
    <row r="531" spans="7:12">
      <c r="G531">
        <f ca="1">IF( ISNUMBER($L531), MAX($G$50:G530)+1,0)</f>
        <v>0</v>
      </c>
      <c r="H531" s="13"/>
      <c r="I531" s="67"/>
      <c r="J531" s="67"/>
      <c r="K531" s="80" t="str">
        <f t="shared" si="12"/>
        <v>CDAVG</v>
      </c>
      <c r="L531" s="80" t="str">
        <f ca="1">IF(ISNUMBER(FIND("(",$I531)), "", _xll.IMDP("IR", $K531, $L$50, WORKDAY('CD|CP 발행사'!$C$4,-1)) )</f>
        <v/>
      </c>
    </row>
    <row r="532" spans="7:12">
      <c r="G532">
        <f ca="1">IF( ISNUMBER($L532), MAX($G$50:G531)+1,0)</f>
        <v>0</v>
      </c>
      <c r="H532" s="13"/>
      <c r="I532" s="67"/>
      <c r="J532" s="67"/>
      <c r="K532" s="80" t="str">
        <f t="shared" si="12"/>
        <v>CDAVG</v>
      </c>
      <c r="L532" s="80" t="str">
        <f ca="1">IF(ISNUMBER(FIND("(",$I532)), "", _xll.IMDP("IR", $K532, $L$50, WORKDAY('CD|CP 발행사'!$C$4,-1)) )</f>
        <v/>
      </c>
    </row>
    <row r="533" spans="7:12">
      <c r="G533">
        <f ca="1">IF( ISNUMBER($L533), MAX($G$50:G532)+1,0)</f>
        <v>0</v>
      </c>
      <c r="H533" s="13"/>
      <c r="I533" s="67"/>
      <c r="J533" s="67"/>
      <c r="K533" s="80" t="str">
        <f t="shared" si="12"/>
        <v>CDAVG</v>
      </c>
      <c r="L533" s="80" t="str">
        <f ca="1">IF(ISNUMBER(FIND("(",$I533)), "", _xll.IMDP("IR", $K533, $L$50, WORKDAY('CD|CP 발행사'!$C$4,-1)) )</f>
        <v/>
      </c>
    </row>
    <row r="534" spans="7:12">
      <c r="G534">
        <f ca="1">IF( ISNUMBER($L534), MAX($G$50:G533)+1,0)</f>
        <v>0</v>
      </c>
      <c r="H534" s="13"/>
      <c r="I534" s="67"/>
      <c r="J534" s="67"/>
      <c r="K534" s="80" t="str">
        <f t="shared" si="12"/>
        <v>CDAVG</v>
      </c>
      <c r="L534" s="80" t="str">
        <f ca="1">IF(ISNUMBER(FIND("(",$I534)), "", _xll.IMDP("IR", $K534, $L$50, WORKDAY('CD|CP 발행사'!$C$4,-1)) )</f>
        <v/>
      </c>
    </row>
    <row r="535" spans="7:12">
      <c r="G535">
        <f ca="1">IF( ISNUMBER($L535), MAX($G$50:G534)+1,0)</f>
        <v>0</v>
      </c>
      <c r="H535" s="13"/>
      <c r="I535" s="67"/>
      <c r="J535" s="67"/>
      <c r="K535" s="80" t="str">
        <f t="shared" si="12"/>
        <v>CDAVG</v>
      </c>
      <c r="L535" s="80" t="str">
        <f ca="1">IF(ISNUMBER(FIND("(",$I535)), "", _xll.IMDP("IR", $K535, $L$50, WORKDAY('CD|CP 발행사'!$C$4,-1)) )</f>
        <v/>
      </c>
    </row>
    <row r="536" spans="7:12">
      <c r="G536">
        <f ca="1">IF( ISNUMBER($L536), MAX($G$50:G535)+1,0)</f>
        <v>0</v>
      </c>
      <c r="H536" s="13"/>
      <c r="I536" s="67"/>
      <c r="J536" s="67"/>
      <c r="K536" s="80" t="str">
        <f t="shared" si="12"/>
        <v>CDAVG</v>
      </c>
      <c r="L536" s="80" t="str">
        <f ca="1">IF(ISNUMBER(FIND("(",$I536)), "", _xll.IMDP("IR", $K536, $L$50, WORKDAY('CD|CP 발행사'!$C$4,-1)) )</f>
        <v/>
      </c>
    </row>
    <row r="537" spans="7:12">
      <c r="G537">
        <f ca="1">IF( ISNUMBER($L537), MAX($G$50:G536)+1,0)</f>
        <v>0</v>
      </c>
      <c r="H537" s="13"/>
      <c r="I537" s="67"/>
      <c r="J537" s="67"/>
      <c r="K537" s="80" t="str">
        <f t="shared" si="12"/>
        <v>CDAVG</v>
      </c>
      <c r="L537" s="80" t="str">
        <f ca="1">IF(ISNUMBER(FIND("(",$I537)), "", _xll.IMDP("IR", $K537, $L$50, WORKDAY('CD|CP 발행사'!$C$4,-1)) )</f>
        <v/>
      </c>
    </row>
    <row r="538" spans="7:12">
      <c r="G538">
        <f ca="1">IF( ISNUMBER($L538), MAX($G$50:G537)+1,0)</f>
        <v>0</v>
      </c>
      <c r="H538" s="13"/>
      <c r="I538" s="67"/>
      <c r="J538" s="67"/>
      <c r="K538" s="80" t="str">
        <f t="shared" si="12"/>
        <v>CDAVG</v>
      </c>
      <c r="L538" s="80" t="str">
        <f ca="1">IF(ISNUMBER(FIND("(",$I538)), "", _xll.IMDP("IR", $K538, $L$50, WORKDAY('CD|CP 발행사'!$C$4,-1)) )</f>
        <v/>
      </c>
    </row>
    <row r="539" spans="7:12">
      <c r="G539">
        <f ca="1">IF( ISNUMBER($L539), MAX($G$50:G538)+1,0)</f>
        <v>0</v>
      </c>
      <c r="H539" s="13"/>
      <c r="I539" s="67"/>
      <c r="J539" s="67"/>
      <c r="K539" s="80" t="str">
        <f t="shared" si="12"/>
        <v>CDAVG</v>
      </c>
      <c r="L539" s="80" t="str">
        <f ca="1">IF(ISNUMBER(FIND("(",$I539)), "", _xll.IMDP("IR", $K539, $L$50, WORKDAY('CD|CP 발행사'!$C$4,-1)) )</f>
        <v/>
      </c>
    </row>
    <row r="540" spans="7:12">
      <c r="G540">
        <f ca="1">IF( ISNUMBER($L540), MAX($G$50:G539)+1,0)</f>
        <v>0</v>
      </c>
      <c r="H540" s="13"/>
      <c r="I540" s="67"/>
      <c r="J540" s="67"/>
      <c r="K540" s="80" t="str">
        <f t="shared" si="12"/>
        <v>CDAVG</v>
      </c>
      <c r="L540" s="80" t="str">
        <f ca="1">IF(ISNUMBER(FIND("(",$I540)), "", _xll.IMDP("IR", $K540, $L$50, WORKDAY('CD|CP 발행사'!$C$4,-1)) )</f>
        <v/>
      </c>
    </row>
    <row r="541" spans="7:12">
      <c r="G541">
        <f ca="1">IF( ISNUMBER($L541), MAX($G$50:G540)+1,0)</f>
        <v>0</v>
      </c>
      <c r="H541" s="13"/>
      <c r="I541" s="67"/>
      <c r="J541" s="67"/>
      <c r="K541" s="80" t="str">
        <f t="shared" si="12"/>
        <v>CDAVG</v>
      </c>
      <c r="L541" s="80" t="str">
        <f ca="1">IF(ISNUMBER(FIND("(",$I541)), "", _xll.IMDP("IR", $K541, $L$50, WORKDAY('CD|CP 발행사'!$C$4,-1)) )</f>
        <v/>
      </c>
    </row>
    <row r="542" spans="7:12">
      <c r="G542">
        <f ca="1">IF( ISNUMBER($L542), MAX($G$50:G541)+1,0)</f>
        <v>0</v>
      </c>
      <c r="H542" s="13"/>
      <c r="I542" s="67"/>
      <c r="J542" s="67"/>
      <c r="K542" s="80" t="str">
        <f t="shared" si="12"/>
        <v>CDAVG</v>
      </c>
      <c r="L542" s="80" t="str">
        <f ca="1">IF(ISNUMBER(FIND("(",$I542)), "", _xll.IMDP("IR", $K542, $L$50, WORKDAY('CD|CP 발행사'!$C$4,-1)) )</f>
        <v/>
      </c>
    </row>
    <row r="543" spans="7:12">
      <c r="G543">
        <f ca="1">IF( ISNUMBER($L543), MAX($G$50:G542)+1,0)</f>
        <v>0</v>
      </c>
      <c r="H543" s="13"/>
      <c r="I543" s="67"/>
      <c r="J543" s="67"/>
      <c r="K543" s="80" t="str">
        <f t="shared" si="12"/>
        <v>CDAVG</v>
      </c>
      <c r="L543" s="80" t="str">
        <f ca="1">IF(ISNUMBER(FIND("(",$I543)), "", _xll.IMDP("IR", $K543, $L$50, WORKDAY('CD|CP 발행사'!$C$4,-1)) )</f>
        <v/>
      </c>
    </row>
    <row r="544" spans="7:12">
      <c r="G544">
        <f ca="1">IF( ISNUMBER($L544), MAX($G$50:G543)+1,0)</f>
        <v>0</v>
      </c>
      <c r="H544" s="13"/>
      <c r="I544" s="67"/>
      <c r="J544" s="67"/>
      <c r="K544" s="80" t="str">
        <f t="shared" si="12"/>
        <v>CDAVG</v>
      </c>
      <c r="L544" s="80" t="str">
        <f ca="1">IF(ISNUMBER(FIND("(",$I544)), "", _xll.IMDP("IR", $K544, $L$50, WORKDAY('CD|CP 발행사'!$C$4,-1)) )</f>
        <v/>
      </c>
    </row>
    <row r="545" spans="7:12">
      <c r="G545">
        <f ca="1">IF( ISNUMBER($L545), MAX($G$50:G544)+1,0)</f>
        <v>0</v>
      </c>
      <c r="H545" s="13"/>
      <c r="I545" s="67"/>
      <c r="J545" s="67"/>
      <c r="K545" s="80" t="str">
        <f t="shared" si="12"/>
        <v>CDAVG</v>
      </c>
      <c r="L545" s="80" t="str">
        <f ca="1">IF(ISNUMBER(FIND("(",$I545)), "", _xll.IMDP("IR", $K545, $L$50, WORKDAY('CD|CP 발행사'!$C$4,-1)) )</f>
        <v/>
      </c>
    </row>
    <row r="546" spans="7:12">
      <c r="G546">
        <f ca="1">IF( ISNUMBER($L546), MAX($G$50:G545)+1,0)</f>
        <v>0</v>
      </c>
      <c r="H546" s="13"/>
      <c r="I546" s="67"/>
      <c r="J546" s="67"/>
      <c r="K546" s="80" t="str">
        <f t="shared" si="12"/>
        <v>CDAVG</v>
      </c>
      <c r="L546" s="80" t="str">
        <f ca="1">IF(ISNUMBER(FIND("(",$I546)), "", _xll.IMDP("IR", $K546, $L$50, WORKDAY('CD|CP 발행사'!$C$4,-1)) )</f>
        <v/>
      </c>
    </row>
    <row r="547" spans="7:12">
      <c r="G547">
        <f ca="1">IF( ISNUMBER($L547), MAX($G$50:G546)+1,0)</f>
        <v>0</v>
      </c>
      <c r="H547" s="13"/>
      <c r="I547" s="67"/>
      <c r="J547" s="67"/>
      <c r="K547" s="80" t="str">
        <f t="shared" si="12"/>
        <v>CDAVG</v>
      </c>
      <c r="L547" s="80" t="str">
        <f ca="1">IF(ISNUMBER(FIND("(",$I547)), "", _xll.IMDP("IR", $K547, $L$50, WORKDAY('CD|CP 발행사'!$C$4,-1)) )</f>
        <v/>
      </c>
    </row>
    <row r="548" spans="7:12">
      <c r="G548">
        <f ca="1">IF( ISNUMBER($L548), MAX($G$50:G547)+1,0)</f>
        <v>0</v>
      </c>
      <c r="H548" s="13"/>
      <c r="I548" s="67"/>
      <c r="J548" s="67"/>
      <c r="K548" s="80" t="str">
        <f t="shared" si="12"/>
        <v>CDAVG</v>
      </c>
      <c r="L548" s="80" t="str">
        <f ca="1">IF(ISNUMBER(FIND("(",$I548)), "", _xll.IMDP("IR", $K548, $L$50, WORKDAY('CD|CP 발행사'!$C$4,-1)) )</f>
        <v/>
      </c>
    </row>
    <row r="549" spans="7:12">
      <c r="G549">
        <f ca="1">IF( ISNUMBER($L549), MAX($G$50:G548)+1,0)</f>
        <v>0</v>
      </c>
      <c r="H549" s="13"/>
      <c r="I549" s="67"/>
      <c r="J549" s="67"/>
      <c r="K549" s="80" t="str">
        <f t="shared" si="12"/>
        <v>CDAVG</v>
      </c>
      <c r="L549" s="80" t="str">
        <f ca="1">IF(ISNUMBER(FIND("(",$I549)), "", _xll.IMDP("IR", $K549, $L$50, WORKDAY('CD|CP 발행사'!$C$4,-1)) )</f>
        <v/>
      </c>
    </row>
    <row r="550" spans="7:12">
      <c r="G550">
        <f ca="1">IF( ISNUMBER($L550), MAX($G$50:G549)+1,0)</f>
        <v>0</v>
      </c>
      <c r="H550" s="13"/>
      <c r="I550" s="67"/>
      <c r="J550" s="67"/>
      <c r="K550" s="80" t="str">
        <f t="shared" si="12"/>
        <v>CDAVG</v>
      </c>
      <c r="L550" s="80" t="str">
        <f ca="1">IF(ISNUMBER(FIND("(",$I550)), "", _xll.IMDP("IR", $K550, $L$50, WORKDAY('CD|CP 발행사'!$C$4,-1)) )</f>
        <v/>
      </c>
    </row>
    <row r="551" spans="7:12">
      <c r="G551">
        <f ca="1">IF( ISNUMBER($L551), MAX($G$50:G550)+1,0)</f>
        <v>0</v>
      </c>
      <c r="H551" s="13"/>
      <c r="I551" s="67"/>
      <c r="J551" s="67"/>
      <c r="K551" s="80" t="str">
        <f t="shared" si="12"/>
        <v>CDAVG</v>
      </c>
      <c r="L551" s="80" t="str">
        <f ca="1">IF(ISNUMBER(FIND("(",$I551)), "", _xll.IMDP("IR", $K551, $L$50, WORKDAY('CD|CP 발행사'!$C$4,-1)) )</f>
        <v/>
      </c>
    </row>
    <row r="552" spans="7:12">
      <c r="G552">
        <f ca="1">IF( ISNUMBER($L552), MAX($G$50:G551)+1,0)</f>
        <v>0</v>
      </c>
      <c r="H552" s="13"/>
      <c r="I552" s="67"/>
      <c r="J552" s="67"/>
      <c r="K552" s="80" t="str">
        <f t="shared" si="12"/>
        <v>CDAVG</v>
      </c>
      <c r="L552" s="80" t="str">
        <f ca="1">IF(ISNUMBER(FIND("(",$I552)), "", _xll.IMDP("IR", $K552, $L$50, WORKDAY('CD|CP 발행사'!$C$4,-1)) )</f>
        <v/>
      </c>
    </row>
    <row r="553" spans="7:12">
      <c r="G553">
        <f ca="1">IF( ISNUMBER($L553), MAX($G$50:G552)+1,0)</f>
        <v>0</v>
      </c>
      <c r="H553" s="13"/>
      <c r="I553" s="67"/>
      <c r="J553" s="67"/>
      <c r="K553" s="80" t="str">
        <f t="shared" si="12"/>
        <v>CDAVG</v>
      </c>
      <c r="L553" s="80" t="str">
        <f ca="1">IF(ISNUMBER(FIND("(",$I553)), "", _xll.IMDP("IR", $K553, $L$50, WORKDAY('CD|CP 발행사'!$C$4,-1)) )</f>
        <v/>
      </c>
    </row>
    <row r="554" spans="7:12">
      <c r="G554">
        <f ca="1">IF( ISNUMBER($L554), MAX($G$50:G553)+1,0)</f>
        <v>0</v>
      </c>
      <c r="H554" s="13"/>
      <c r="I554" s="67"/>
      <c r="J554" s="67"/>
      <c r="K554" s="80" t="str">
        <f t="shared" si="12"/>
        <v>CDAVG</v>
      </c>
      <c r="L554" s="80" t="str">
        <f ca="1">IF(ISNUMBER(FIND("(",$I554)), "", _xll.IMDP("IR", $K554, $L$50, WORKDAY('CD|CP 발행사'!$C$4,-1)) )</f>
        <v/>
      </c>
    </row>
    <row r="555" spans="7:12">
      <c r="G555">
        <f ca="1">IF( ISNUMBER($L555), MAX($G$50:G554)+1,0)</f>
        <v>0</v>
      </c>
      <c r="H555" s="13"/>
      <c r="I555" s="67"/>
      <c r="J555" s="67"/>
      <c r="K555" s="80" t="str">
        <f t="shared" si="12"/>
        <v>CDAVG</v>
      </c>
      <c r="L555" s="80" t="str">
        <f ca="1">IF(ISNUMBER(FIND("(",$I555)), "", _xll.IMDP("IR", $K555, $L$50, WORKDAY('CD|CP 발행사'!$C$4,-1)) )</f>
        <v/>
      </c>
    </row>
    <row r="556" spans="7:12">
      <c r="G556">
        <f ca="1">IF( ISNUMBER($L556), MAX($G$50:G555)+1,0)</f>
        <v>0</v>
      </c>
      <c r="H556" s="13"/>
      <c r="I556" s="67"/>
      <c r="J556" s="67"/>
      <c r="K556" s="80" t="str">
        <f t="shared" si="12"/>
        <v>CDAVG</v>
      </c>
      <c r="L556" s="80" t="str">
        <f ca="1">IF(ISNUMBER(FIND("(",$I556)), "", _xll.IMDP("IR", $K556, $L$50, WORKDAY('CD|CP 발행사'!$C$4,-1)) )</f>
        <v/>
      </c>
    </row>
    <row r="557" spans="7:12">
      <c r="G557">
        <f ca="1">IF( ISNUMBER($L557), MAX($G$50:G556)+1,0)</f>
        <v>0</v>
      </c>
      <c r="H557" s="13"/>
      <c r="I557" s="67"/>
      <c r="J557" s="67"/>
      <c r="K557" s="80" t="str">
        <f t="shared" si="12"/>
        <v>CDAVG</v>
      </c>
      <c r="L557" s="80" t="str">
        <f ca="1">IF(ISNUMBER(FIND("(",$I557)), "", _xll.IMDP("IR", $K557, $L$50, WORKDAY('CD|CP 발행사'!$C$4,-1)) )</f>
        <v/>
      </c>
    </row>
    <row r="558" spans="7:12">
      <c r="G558">
        <f ca="1">IF( ISNUMBER($L558), MAX($G$50:G557)+1,0)</f>
        <v>0</v>
      </c>
      <c r="H558" s="13"/>
      <c r="I558" s="67"/>
      <c r="J558" s="67"/>
      <c r="K558" s="80" t="str">
        <f t="shared" si="12"/>
        <v>CDAVG</v>
      </c>
      <c r="L558" s="80" t="str">
        <f ca="1">IF(ISNUMBER(FIND("(",$I558)), "", _xll.IMDP("IR", $K558, $L$50, WORKDAY('CD|CP 발행사'!$C$4,-1)) )</f>
        <v/>
      </c>
    </row>
    <row r="559" spans="7:12">
      <c r="G559">
        <f ca="1">IF( ISNUMBER($L559), MAX($G$50:G558)+1,0)</f>
        <v>0</v>
      </c>
      <c r="H559" s="13"/>
      <c r="I559" s="67"/>
      <c r="J559" s="67"/>
      <c r="K559" s="80" t="str">
        <f t="shared" si="12"/>
        <v>CDAVG</v>
      </c>
      <c r="L559" s="80" t="str">
        <f ca="1">IF(ISNUMBER(FIND("(",$I559)), "", _xll.IMDP("IR", $K559, $L$50, WORKDAY('CD|CP 발행사'!$C$4,-1)) )</f>
        <v/>
      </c>
    </row>
    <row r="560" spans="7:12">
      <c r="G560">
        <f ca="1">IF( ISNUMBER($L560), MAX($G$50:G559)+1,0)</f>
        <v>0</v>
      </c>
      <c r="H560" s="13"/>
      <c r="I560" s="67"/>
      <c r="J560" s="67"/>
      <c r="K560" s="80" t="str">
        <f t="shared" si="12"/>
        <v>CDAVG</v>
      </c>
      <c r="L560" s="80" t="str">
        <f ca="1">IF(ISNUMBER(FIND("(",$I560)), "", _xll.IMDP("IR", $K560, $L$50, WORKDAY('CD|CP 발행사'!$C$4,-1)) )</f>
        <v/>
      </c>
    </row>
    <row r="561" spans="7:12">
      <c r="G561">
        <f ca="1">IF( ISNUMBER($L561), MAX($G$50:G560)+1,0)</f>
        <v>0</v>
      </c>
      <c r="H561" s="13"/>
      <c r="I561" s="67"/>
      <c r="J561" s="67"/>
      <c r="K561" s="80" t="str">
        <f t="shared" si="12"/>
        <v>CDAVG</v>
      </c>
      <c r="L561" s="80" t="str">
        <f ca="1">IF(ISNUMBER(FIND("(",$I561)), "", _xll.IMDP("IR", $K561, $L$50, WORKDAY('CD|CP 발행사'!$C$4,-1)) )</f>
        <v/>
      </c>
    </row>
    <row r="562" spans="7:12">
      <c r="G562">
        <f ca="1">IF( ISNUMBER($L562), MAX($G$50:G561)+1,0)</f>
        <v>0</v>
      </c>
      <c r="H562" s="13"/>
      <c r="I562" s="67"/>
      <c r="J562" s="67"/>
      <c r="K562" s="80" t="str">
        <f t="shared" si="12"/>
        <v>CDAVG</v>
      </c>
      <c r="L562" s="80" t="str">
        <f ca="1">IF(ISNUMBER(FIND("(",$I562)), "", _xll.IMDP("IR", $K562, $L$50, WORKDAY('CD|CP 발행사'!$C$4,-1)) )</f>
        <v/>
      </c>
    </row>
    <row r="563" spans="7:12">
      <c r="G563">
        <f ca="1">IF( ISNUMBER($L563), MAX($G$50:G562)+1,0)</f>
        <v>0</v>
      </c>
      <c r="H563" s="13"/>
      <c r="I563" s="67"/>
      <c r="J563" s="67"/>
      <c r="K563" s="80" t="str">
        <f t="shared" ref="K563:K626" si="13">$K$49&amp;$H563</f>
        <v>CDAVG</v>
      </c>
      <c r="L563" s="80" t="str">
        <f ca="1">IF(ISNUMBER(FIND("(",$I563)), "", _xll.IMDP("IR", $K563, $L$50, WORKDAY('CD|CP 발행사'!$C$4,-1)) )</f>
        <v/>
      </c>
    </row>
    <row r="564" spans="7:12">
      <c r="G564">
        <f ca="1">IF( ISNUMBER($L564), MAX($G$50:G563)+1,0)</f>
        <v>0</v>
      </c>
      <c r="H564" s="13"/>
      <c r="I564" s="67"/>
      <c r="J564" s="67"/>
      <c r="K564" s="80" t="str">
        <f t="shared" si="13"/>
        <v>CDAVG</v>
      </c>
      <c r="L564" s="80" t="str">
        <f ca="1">IF(ISNUMBER(FIND("(",$I564)), "", _xll.IMDP("IR", $K564, $L$50, WORKDAY('CD|CP 발행사'!$C$4,-1)) )</f>
        <v/>
      </c>
    </row>
    <row r="565" spans="7:12">
      <c r="G565">
        <f ca="1">IF( ISNUMBER($L565), MAX($G$50:G564)+1,0)</f>
        <v>0</v>
      </c>
      <c r="H565" s="13"/>
      <c r="I565" s="67"/>
      <c r="J565" s="67"/>
      <c r="K565" s="80" t="str">
        <f t="shared" si="13"/>
        <v>CDAVG</v>
      </c>
      <c r="L565" s="80" t="str">
        <f ca="1">IF(ISNUMBER(FIND("(",$I565)), "", _xll.IMDP("IR", $K565, $L$50, WORKDAY('CD|CP 발행사'!$C$4,-1)) )</f>
        <v/>
      </c>
    </row>
    <row r="566" spans="7:12">
      <c r="G566">
        <f ca="1">IF( ISNUMBER($L566), MAX($G$50:G565)+1,0)</f>
        <v>0</v>
      </c>
      <c r="H566" s="13"/>
      <c r="I566" s="67"/>
      <c r="J566" s="67"/>
      <c r="K566" s="80" t="str">
        <f t="shared" si="13"/>
        <v>CDAVG</v>
      </c>
      <c r="L566" s="80" t="str">
        <f ca="1">IF(ISNUMBER(FIND("(",$I566)), "", _xll.IMDP("IR", $K566, $L$50, WORKDAY('CD|CP 발행사'!$C$4,-1)) )</f>
        <v/>
      </c>
    </row>
    <row r="567" spans="7:12">
      <c r="G567">
        <f ca="1">IF( ISNUMBER($L567), MAX($G$50:G566)+1,0)</f>
        <v>0</v>
      </c>
      <c r="H567" s="13"/>
      <c r="I567" s="67"/>
      <c r="J567" s="67"/>
      <c r="K567" s="80" t="str">
        <f t="shared" si="13"/>
        <v>CDAVG</v>
      </c>
      <c r="L567" s="80" t="str">
        <f ca="1">IF(ISNUMBER(FIND("(",$I567)), "", _xll.IMDP("IR", $K567, $L$50, WORKDAY('CD|CP 발행사'!$C$4,-1)) )</f>
        <v/>
      </c>
    </row>
    <row r="568" spans="7:12">
      <c r="G568">
        <f ca="1">IF( ISNUMBER($L568), MAX($G$50:G567)+1,0)</f>
        <v>0</v>
      </c>
      <c r="H568" s="13"/>
      <c r="I568" s="67"/>
      <c r="J568" s="67"/>
      <c r="K568" s="80" t="str">
        <f t="shared" si="13"/>
        <v>CDAVG</v>
      </c>
      <c r="L568" s="80" t="str">
        <f ca="1">IF(ISNUMBER(FIND("(",$I568)), "", _xll.IMDP("IR", $K568, $L$50, WORKDAY('CD|CP 발행사'!$C$4,-1)) )</f>
        <v/>
      </c>
    </row>
    <row r="569" spans="7:12">
      <c r="G569">
        <f ca="1">IF( ISNUMBER($L569), MAX($G$50:G568)+1,0)</f>
        <v>0</v>
      </c>
      <c r="H569" s="13"/>
      <c r="I569" s="67"/>
      <c r="J569" s="67"/>
      <c r="K569" s="80" t="str">
        <f t="shared" si="13"/>
        <v>CDAVG</v>
      </c>
      <c r="L569" s="80" t="str">
        <f ca="1">IF(ISNUMBER(FIND("(",$I569)), "", _xll.IMDP("IR", $K569, $L$50, WORKDAY('CD|CP 발행사'!$C$4,-1)) )</f>
        <v/>
      </c>
    </row>
    <row r="570" spans="7:12">
      <c r="G570">
        <f ca="1">IF( ISNUMBER($L570), MAX($G$50:G569)+1,0)</f>
        <v>0</v>
      </c>
      <c r="H570" s="13"/>
      <c r="I570" s="67"/>
      <c r="J570" s="67"/>
      <c r="K570" s="80" t="str">
        <f t="shared" si="13"/>
        <v>CDAVG</v>
      </c>
      <c r="L570" s="80" t="str">
        <f ca="1">IF(ISNUMBER(FIND("(",$I570)), "", _xll.IMDP("IR", $K570, $L$50, WORKDAY('CD|CP 발행사'!$C$4,-1)) )</f>
        <v/>
      </c>
    </row>
    <row r="571" spans="7:12">
      <c r="G571">
        <f ca="1">IF( ISNUMBER($L571), MAX($G$50:G570)+1,0)</f>
        <v>0</v>
      </c>
      <c r="H571" s="13"/>
      <c r="I571" s="67"/>
      <c r="J571" s="67"/>
      <c r="K571" s="80" t="str">
        <f t="shared" si="13"/>
        <v>CDAVG</v>
      </c>
      <c r="L571" s="80" t="str">
        <f ca="1">IF(ISNUMBER(FIND("(",$I571)), "", _xll.IMDP("IR", $K571, $L$50, WORKDAY('CD|CP 발행사'!$C$4,-1)) )</f>
        <v/>
      </c>
    </row>
    <row r="572" spans="7:12">
      <c r="G572">
        <f ca="1">IF( ISNUMBER($L572), MAX($G$50:G571)+1,0)</f>
        <v>0</v>
      </c>
      <c r="H572" s="13"/>
      <c r="I572" s="67"/>
      <c r="J572" s="67"/>
      <c r="K572" s="80" t="str">
        <f t="shared" si="13"/>
        <v>CDAVG</v>
      </c>
      <c r="L572" s="80" t="str">
        <f ca="1">IF(ISNUMBER(FIND("(",$I572)), "", _xll.IMDP("IR", $K572, $L$50, WORKDAY('CD|CP 발행사'!$C$4,-1)) )</f>
        <v/>
      </c>
    </row>
    <row r="573" spans="7:12">
      <c r="G573">
        <f ca="1">IF( ISNUMBER($L573), MAX($G$50:G572)+1,0)</f>
        <v>0</v>
      </c>
      <c r="H573" s="13"/>
      <c r="I573" s="67"/>
      <c r="J573" s="67"/>
      <c r="K573" s="80" t="str">
        <f t="shared" si="13"/>
        <v>CDAVG</v>
      </c>
      <c r="L573" s="80" t="str">
        <f ca="1">IF(ISNUMBER(FIND("(",$I573)), "", _xll.IMDP("IR", $K573, $L$50, WORKDAY('CD|CP 발행사'!$C$4,-1)) )</f>
        <v/>
      </c>
    </row>
    <row r="574" spans="7:12">
      <c r="G574">
        <f ca="1">IF( ISNUMBER($L574), MAX($G$50:G573)+1,0)</f>
        <v>0</v>
      </c>
      <c r="H574" s="13"/>
      <c r="I574" s="67"/>
      <c r="J574" s="67"/>
      <c r="K574" s="80" t="str">
        <f t="shared" si="13"/>
        <v>CDAVG</v>
      </c>
      <c r="L574" s="80" t="str">
        <f ca="1">IF(ISNUMBER(FIND("(",$I574)), "", _xll.IMDP("IR", $K574, $L$50, WORKDAY('CD|CP 발행사'!$C$4,-1)) )</f>
        <v/>
      </c>
    </row>
    <row r="575" spans="7:12">
      <c r="G575">
        <f ca="1">IF( ISNUMBER($L575), MAX($G$50:G574)+1,0)</f>
        <v>0</v>
      </c>
      <c r="H575" s="13"/>
      <c r="I575" s="67"/>
      <c r="J575" s="67"/>
      <c r="K575" s="80" t="str">
        <f t="shared" si="13"/>
        <v>CDAVG</v>
      </c>
      <c r="L575" s="80" t="str">
        <f ca="1">IF(ISNUMBER(FIND("(",$I575)), "", _xll.IMDP("IR", $K575, $L$50, WORKDAY('CD|CP 발행사'!$C$4,-1)) )</f>
        <v/>
      </c>
    </row>
    <row r="576" spans="7:12">
      <c r="G576">
        <f ca="1">IF( ISNUMBER($L576), MAX($G$50:G575)+1,0)</f>
        <v>0</v>
      </c>
      <c r="H576" s="13"/>
      <c r="I576" s="67"/>
      <c r="J576" s="67"/>
      <c r="K576" s="80" t="str">
        <f t="shared" si="13"/>
        <v>CDAVG</v>
      </c>
      <c r="L576" s="80" t="str">
        <f ca="1">IF(ISNUMBER(FIND("(",$I576)), "", _xll.IMDP("IR", $K576, $L$50, WORKDAY('CD|CP 발행사'!$C$4,-1)) )</f>
        <v/>
      </c>
    </row>
    <row r="577" spans="7:12">
      <c r="G577">
        <f ca="1">IF( ISNUMBER($L577), MAX($G$50:G576)+1,0)</f>
        <v>0</v>
      </c>
      <c r="H577" s="13"/>
      <c r="I577" s="67"/>
      <c r="J577" s="67"/>
      <c r="K577" s="80" t="str">
        <f t="shared" si="13"/>
        <v>CDAVG</v>
      </c>
      <c r="L577" s="80" t="str">
        <f ca="1">IF(ISNUMBER(FIND("(",$I577)), "", _xll.IMDP("IR", $K577, $L$50, WORKDAY('CD|CP 발행사'!$C$4,-1)) )</f>
        <v/>
      </c>
    </row>
    <row r="578" spans="7:12">
      <c r="G578">
        <f ca="1">IF( ISNUMBER($L578), MAX($G$50:G577)+1,0)</f>
        <v>0</v>
      </c>
      <c r="H578" s="13"/>
      <c r="I578" s="67"/>
      <c r="J578" s="67"/>
      <c r="K578" s="80" t="str">
        <f t="shared" si="13"/>
        <v>CDAVG</v>
      </c>
      <c r="L578" s="80" t="str">
        <f ca="1">IF(ISNUMBER(FIND("(",$I578)), "", _xll.IMDP("IR", $K578, $L$50, WORKDAY('CD|CP 발행사'!$C$4,-1)) )</f>
        <v/>
      </c>
    </row>
    <row r="579" spans="7:12">
      <c r="G579">
        <f ca="1">IF( ISNUMBER($L579), MAX($G$50:G578)+1,0)</f>
        <v>0</v>
      </c>
      <c r="H579" s="13"/>
      <c r="I579" s="67"/>
      <c r="J579" s="67"/>
      <c r="K579" s="80" t="str">
        <f t="shared" si="13"/>
        <v>CDAVG</v>
      </c>
      <c r="L579" s="80" t="str">
        <f ca="1">IF(ISNUMBER(FIND("(",$I579)), "", _xll.IMDP("IR", $K579, $L$50, WORKDAY('CD|CP 발행사'!$C$4,-1)) )</f>
        <v/>
      </c>
    </row>
    <row r="580" spans="7:12">
      <c r="G580">
        <f ca="1">IF( ISNUMBER($L580), MAX($G$50:G579)+1,0)</f>
        <v>0</v>
      </c>
      <c r="H580" s="13"/>
      <c r="I580" s="67"/>
      <c r="J580" s="67"/>
      <c r="K580" s="80" t="str">
        <f t="shared" si="13"/>
        <v>CDAVG</v>
      </c>
      <c r="L580" s="80" t="str">
        <f ca="1">IF(ISNUMBER(FIND("(",$I580)), "", _xll.IMDP("IR", $K580, $L$50, WORKDAY('CD|CP 발행사'!$C$4,-1)) )</f>
        <v/>
      </c>
    </row>
    <row r="581" spans="7:12">
      <c r="G581">
        <f ca="1">IF( ISNUMBER($L581), MAX($G$50:G580)+1,0)</f>
        <v>0</v>
      </c>
      <c r="H581" s="13"/>
      <c r="I581" s="67"/>
      <c r="J581" s="67"/>
      <c r="K581" s="80" t="str">
        <f t="shared" si="13"/>
        <v>CDAVG</v>
      </c>
      <c r="L581" s="80" t="str">
        <f ca="1">IF(ISNUMBER(FIND("(",$I581)), "", _xll.IMDP("IR", $K581, $L$50, WORKDAY('CD|CP 발행사'!$C$4,-1)) )</f>
        <v/>
      </c>
    </row>
    <row r="582" spans="7:12">
      <c r="G582">
        <f ca="1">IF( ISNUMBER($L582), MAX($G$50:G581)+1,0)</f>
        <v>0</v>
      </c>
      <c r="H582" s="13"/>
      <c r="I582" s="67"/>
      <c r="J582" s="67"/>
      <c r="K582" s="80" t="str">
        <f t="shared" si="13"/>
        <v>CDAVG</v>
      </c>
      <c r="L582" s="80" t="str">
        <f ca="1">IF(ISNUMBER(FIND("(",$I582)), "", _xll.IMDP("IR", $K582, $L$50, WORKDAY('CD|CP 발행사'!$C$4,-1)) )</f>
        <v/>
      </c>
    </row>
    <row r="583" spans="7:12">
      <c r="G583">
        <f ca="1">IF( ISNUMBER($L583), MAX($G$50:G582)+1,0)</f>
        <v>0</v>
      </c>
      <c r="H583" s="13"/>
      <c r="I583" s="67"/>
      <c r="J583" s="67"/>
      <c r="K583" s="80" t="str">
        <f t="shared" si="13"/>
        <v>CDAVG</v>
      </c>
      <c r="L583" s="80" t="str">
        <f ca="1">IF(ISNUMBER(FIND("(",$I583)), "", _xll.IMDP("IR", $K583, $L$50, WORKDAY('CD|CP 발행사'!$C$4,-1)) )</f>
        <v/>
      </c>
    </row>
    <row r="584" spans="7:12">
      <c r="G584">
        <f ca="1">IF( ISNUMBER($L584), MAX($G$50:G583)+1,0)</f>
        <v>0</v>
      </c>
      <c r="H584" s="13"/>
      <c r="I584" s="67"/>
      <c r="J584" s="67"/>
      <c r="K584" s="80" t="str">
        <f t="shared" si="13"/>
        <v>CDAVG</v>
      </c>
      <c r="L584" s="80" t="str">
        <f ca="1">IF(ISNUMBER(FIND("(",$I584)), "", _xll.IMDP("IR", $K584, $L$50, WORKDAY('CD|CP 발행사'!$C$4,-1)) )</f>
        <v/>
      </c>
    </row>
    <row r="585" spans="7:12">
      <c r="G585">
        <f ca="1">IF( ISNUMBER($L585), MAX($G$50:G584)+1,0)</f>
        <v>0</v>
      </c>
      <c r="H585" s="13"/>
      <c r="I585" s="67"/>
      <c r="J585" s="67"/>
      <c r="K585" s="80" t="str">
        <f t="shared" si="13"/>
        <v>CDAVG</v>
      </c>
      <c r="L585" s="80" t="str">
        <f ca="1">IF(ISNUMBER(FIND("(",$I585)), "", _xll.IMDP("IR", $K585, $L$50, WORKDAY('CD|CP 발행사'!$C$4,-1)) )</f>
        <v/>
      </c>
    </row>
    <row r="586" spans="7:12">
      <c r="G586">
        <f ca="1">IF( ISNUMBER($L586), MAX($G$50:G585)+1,0)</f>
        <v>0</v>
      </c>
      <c r="H586" s="13"/>
      <c r="I586" s="67"/>
      <c r="J586" s="67"/>
      <c r="K586" s="80" t="str">
        <f t="shared" si="13"/>
        <v>CDAVG</v>
      </c>
      <c r="L586" s="80" t="str">
        <f ca="1">IF(ISNUMBER(FIND("(",$I586)), "", _xll.IMDP("IR", $K586, $L$50, WORKDAY('CD|CP 발행사'!$C$4,-1)) )</f>
        <v/>
      </c>
    </row>
    <row r="587" spans="7:12">
      <c r="G587">
        <f ca="1">IF( ISNUMBER($L587), MAX($G$50:G586)+1,0)</f>
        <v>0</v>
      </c>
      <c r="H587" s="13"/>
      <c r="I587" s="67"/>
      <c r="J587" s="67"/>
      <c r="K587" s="80" t="str">
        <f t="shared" si="13"/>
        <v>CDAVG</v>
      </c>
      <c r="L587" s="80" t="str">
        <f ca="1">IF(ISNUMBER(FIND("(",$I587)), "", _xll.IMDP("IR", $K587, $L$50, WORKDAY('CD|CP 발행사'!$C$4,-1)) )</f>
        <v/>
      </c>
    </row>
    <row r="588" spans="7:12">
      <c r="G588">
        <f ca="1">IF( ISNUMBER($L588), MAX($G$50:G587)+1,0)</f>
        <v>0</v>
      </c>
      <c r="H588" s="13"/>
      <c r="I588" s="67"/>
      <c r="J588" s="67"/>
      <c r="K588" s="80" t="str">
        <f t="shared" si="13"/>
        <v>CDAVG</v>
      </c>
      <c r="L588" s="80" t="str">
        <f ca="1">IF(ISNUMBER(FIND("(",$I588)), "", _xll.IMDP("IR", $K588, $L$50, WORKDAY('CD|CP 발행사'!$C$4,-1)) )</f>
        <v/>
      </c>
    </row>
    <row r="589" spans="7:12">
      <c r="G589">
        <f ca="1">IF( ISNUMBER($L589), MAX($G$50:G588)+1,0)</f>
        <v>0</v>
      </c>
      <c r="H589" s="13"/>
      <c r="I589" s="67"/>
      <c r="J589" s="67"/>
      <c r="K589" s="80" t="str">
        <f t="shared" si="13"/>
        <v>CDAVG</v>
      </c>
      <c r="L589" s="80" t="str">
        <f ca="1">IF(ISNUMBER(FIND("(",$I589)), "", _xll.IMDP("IR", $K589, $L$50, WORKDAY('CD|CP 발행사'!$C$4,-1)) )</f>
        <v/>
      </c>
    </row>
    <row r="590" spans="7:12">
      <c r="G590">
        <f ca="1">IF( ISNUMBER($L590), MAX($G$50:G589)+1,0)</f>
        <v>0</v>
      </c>
      <c r="H590" s="13"/>
      <c r="I590" s="67"/>
      <c r="J590" s="67"/>
      <c r="K590" s="80" t="str">
        <f t="shared" si="13"/>
        <v>CDAVG</v>
      </c>
      <c r="L590" s="80" t="str">
        <f ca="1">IF(ISNUMBER(FIND("(",$I590)), "", _xll.IMDP("IR", $K590, $L$50, WORKDAY('CD|CP 발행사'!$C$4,-1)) )</f>
        <v/>
      </c>
    </row>
    <row r="591" spans="7:12">
      <c r="G591">
        <f ca="1">IF( ISNUMBER($L591), MAX($G$50:G590)+1,0)</f>
        <v>0</v>
      </c>
      <c r="H591" s="13"/>
      <c r="I591" s="67"/>
      <c r="J591" s="67"/>
      <c r="K591" s="80" t="str">
        <f t="shared" si="13"/>
        <v>CDAVG</v>
      </c>
      <c r="L591" s="80" t="str">
        <f ca="1">IF(ISNUMBER(FIND("(",$I591)), "", _xll.IMDP("IR", $K591, $L$50, WORKDAY('CD|CP 발행사'!$C$4,-1)) )</f>
        <v/>
      </c>
    </row>
    <row r="592" spans="7:12">
      <c r="G592">
        <f ca="1">IF( ISNUMBER($L592), MAX($G$50:G591)+1,0)</f>
        <v>0</v>
      </c>
      <c r="H592" s="13"/>
      <c r="I592" s="67"/>
      <c r="J592" s="67"/>
      <c r="K592" s="80" t="str">
        <f t="shared" si="13"/>
        <v>CDAVG</v>
      </c>
      <c r="L592" s="80" t="str">
        <f ca="1">IF(ISNUMBER(FIND("(",$I592)), "", _xll.IMDP("IR", $K592, $L$50, WORKDAY('CD|CP 발행사'!$C$4,-1)) )</f>
        <v/>
      </c>
    </row>
    <row r="593" spans="7:12">
      <c r="G593">
        <f ca="1">IF( ISNUMBER($L593), MAX($G$50:G592)+1,0)</f>
        <v>0</v>
      </c>
      <c r="H593" s="13"/>
      <c r="I593" s="67"/>
      <c r="J593" s="67"/>
      <c r="K593" s="80" t="str">
        <f t="shared" si="13"/>
        <v>CDAVG</v>
      </c>
      <c r="L593" s="80" t="str">
        <f ca="1">IF(ISNUMBER(FIND("(",$I593)), "", _xll.IMDP("IR", $K593, $L$50, WORKDAY('CD|CP 발행사'!$C$4,-1)) )</f>
        <v/>
      </c>
    </row>
    <row r="594" spans="7:12">
      <c r="G594">
        <f ca="1">IF( ISNUMBER($L594), MAX($G$50:G593)+1,0)</f>
        <v>0</v>
      </c>
      <c r="H594" s="13"/>
      <c r="I594" s="67"/>
      <c r="J594" s="67"/>
      <c r="K594" s="80" t="str">
        <f t="shared" si="13"/>
        <v>CDAVG</v>
      </c>
      <c r="L594" s="80" t="str">
        <f ca="1">IF(ISNUMBER(FIND("(",$I594)), "", _xll.IMDP("IR", $K594, $L$50, WORKDAY('CD|CP 발행사'!$C$4,-1)) )</f>
        <v/>
      </c>
    </row>
    <row r="595" spans="7:12">
      <c r="G595">
        <f ca="1">IF( ISNUMBER($L595), MAX($G$50:G594)+1,0)</f>
        <v>0</v>
      </c>
      <c r="H595" s="13"/>
      <c r="I595" s="67"/>
      <c r="J595" s="67"/>
      <c r="K595" s="80" t="str">
        <f t="shared" si="13"/>
        <v>CDAVG</v>
      </c>
      <c r="L595" s="80" t="str">
        <f ca="1">IF(ISNUMBER(FIND("(",$I595)), "", _xll.IMDP("IR", $K595, $L$50, WORKDAY('CD|CP 발행사'!$C$4,-1)) )</f>
        <v/>
      </c>
    </row>
    <row r="596" spans="7:12">
      <c r="G596">
        <f ca="1">IF( ISNUMBER($L596), MAX($G$50:G595)+1,0)</f>
        <v>0</v>
      </c>
      <c r="H596" s="13"/>
      <c r="I596" s="67"/>
      <c r="J596" s="67"/>
      <c r="K596" s="80" t="str">
        <f t="shared" si="13"/>
        <v>CDAVG</v>
      </c>
      <c r="L596" s="80" t="str">
        <f ca="1">IF(ISNUMBER(FIND("(",$I596)), "", _xll.IMDP("IR", $K596, $L$50, WORKDAY('CD|CP 발행사'!$C$4,-1)) )</f>
        <v/>
      </c>
    </row>
    <row r="597" spans="7:12">
      <c r="G597">
        <f ca="1">IF( ISNUMBER($L597), MAX($G$50:G596)+1,0)</f>
        <v>0</v>
      </c>
      <c r="H597" s="13"/>
      <c r="I597" s="67"/>
      <c r="J597" s="67"/>
      <c r="K597" s="80" t="str">
        <f t="shared" si="13"/>
        <v>CDAVG</v>
      </c>
      <c r="L597" s="80" t="str">
        <f ca="1">IF(ISNUMBER(FIND("(",$I597)), "", _xll.IMDP("IR", $K597, $L$50, WORKDAY('CD|CP 발행사'!$C$4,-1)) )</f>
        <v/>
      </c>
    </row>
    <row r="598" spans="7:12">
      <c r="G598">
        <f ca="1">IF( ISNUMBER($L598), MAX($G$50:G597)+1,0)</f>
        <v>0</v>
      </c>
      <c r="H598" s="13"/>
      <c r="I598" s="67"/>
      <c r="J598" s="67"/>
      <c r="K598" s="80" t="str">
        <f t="shared" si="13"/>
        <v>CDAVG</v>
      </c>
      <c r="L598" s="80" t="str">
        <f ca="1">IF(ISNUMBER(FIND("(",$I598)), "", _xll.IMDP("IR", $K598, $L$50, WORKDAY('CD|CP 발행사'!$C$4,-1)) )</f>
        <v/>
      </c>
    </row>
    <row r="599" spans="7:12">
      <c r="G599">
        <f ca="1">IF( ISNUMBER($L599), MAX($G$50:G598)+1,0)</f>
        <v>0</v>
      </c>
      <c r="H599" s="13"/>
      <c r="I599" s="67"/>
      <c r="J599" s="67"/>
      <c r="K599" s="80" t="str">
        <f t="shared" si="13"/>
        <v>CDAVG</v>
      </c>
      <c r="L599" s="80" t="str">
        <f ca="1">IF(ISNUMBER(FIND("(",$I599)), "", _xll.IMDP("IR", $K599, $L$50, WORKDAY('CD|CP 발행사'!$C$4,-1)) )</f>
        <v/>
      </c>
    </row>
    <row r="600" spans="7:12">
      <c r="G600">
        <f ca="1">IF( ISNUMBER($L600), MAX($G$50:G599)+1,0)</f>
        <v>0</v>
      </c>
      <c r="H600" s="13"/>
      <c r="I600" s="67"/>
      <c r="J600" s="67"/>
      <c r="K600" s="80" t="str">
        <f t="shared" si="13"/>
        <v>CDAVG</v>
      </c>
      <c r="L600" s="80" t="str">
        <f ca="1">IF(ISNUMBER(FIND("(",$I600)), "", _xll.IMDP("IR", $K600, $L$50, WORKDAY('CD|CP 발행사'!$C$4,-1)) )</f>
        <v/>
      </c>
    </row>
    <row r="601" spans="7:12">
      <c r="G601">
        <f ca="1">IF( ISNUMBER($L601), MAX($G$50:G600)+1,0)</f>
        <v>0</v>
      </c>
      <c r="H601" s="13"/>
      <c r="I601" s="67"/>
      <c r="J601" s="67"/>
      <c r="K601" s="80" t="str">
        <f t="shared" si="13"/>
        <v>CDAVG</v>
      </c>
      <c r="L601" s="80" t="str">
        <f ca="1">IF(ISNUMBER(FIND("(",$I601)), "", _xll.IMDP("IR", $K601, $L$50, WORKDAY('CD|CP 발행사'!$C$4,-1)) )</f>
        <v/>
      </c>
    </row>
    <row r="602" spans="7:12">
      <c r="G602">
        <f ca="1">IF( ISNUMBER($L602), MAX($G$50:G601)+1,0)</f>
        <v>0</v>
      </c>
      <c r="H602" s="13"/>
      <c r="I602" s="67"/>
      <c r="J602" s="67"/>
      <c r="K602" s="80" t="str">
        <f t="shared" si="13"/>
        <v>CDAVG</v>
      </c>
      <c r="L602" s="80" t="str">
        <f ca="1">IF(ISNUMBER(FIND("(",$I602)), "", _xll.IMDP("IR", $K602, $L$50, WORKDAY('CD|CP 발행사'!$C$4,-1)) )</f>
        <v/>
      </c>
    </row>
    <row r="603" spans="7:12">
      <c r="G603">
        <f ca="1">IF( ISNUMBER($L603), MAX($G$50:G602)+1,0)</f>
        <v>0</v>
      </c>
      <c r="H603" s="13"/>
      <c r="I603" s="67"/>
      <c r="J603" s="67"/>
      <c r="K603" s="80" t="str">
        <f t="shared" si="13"/>
        <v>CDAVG</v>
      </c>
      <c r="L603" s="80" t="str">
        <f ca="1">IF(ISNUMBER(FIND("(",$I603)), "", _xll.IMDP("IR", $K603, $L$50, WORKDAY('CD|CP 발행사'!$C$4,-1)) )</f>
        <v/>
      </c>
    </row>
    <row r="604" spans="7:12">
      <c r="G604">
        <f ca="1">IF( ISNUMBER($L604), MAX($G$50:G603)+1,0)</f>
        <v>0</v>
      </c>
      <c r="H604" s="13"/>
      <c r="I604" s="67"/>
      <c r="J604" s="67"/>
      <c r="K604" s="80" t="str">
        <f t="shared" si="13"/>
        <v>CDAVG</v>
      </c>
      <c r="L604" s="80" t="str">
        <f ca="1">IF(ISNUMBER(FIND("(",$I604)), "", _xll.IMDP("IR", $K604, $L$50, WORKDAY('CD|CP 발행사'!$C$4,-1)) )</f>
        <v/>
      </c>
    </row>
    <row r="605" spans="7:12">
      <c r="G605">
        <f ca="1">IF( ISNUMBER($L605), MAX($G$50:G604)+1,0)</f>
        <v>0</v>
      </c>
      <c r="H605" s="13"/>
      <c r="I605" s="67"/>
      <c r="J605" s="67"/>
      <c r="K605" s="80" t="str">
        <f t="shared" si="13"/>
        <v>CDAVG</v>
      </c>
      <c r="L605" s="80" t="str">
        <f ca="1">IF(ISNUMBER(FIND("(",$I605)), "", _xll.IMDP("IR", $K605, $L$50, WORKDAY('CD|CP 발행사'!$C$4,-1)) )</f>
        <v/>
      </c>
    </row>
    <row r="606" spans="7:12">
      <c r="G606">
        <f ca="1">IF( ISNUMBER($L606), MAX($G$50:G605)+1,0)</f>
        <v>0</v>
      </c>
      <c r="H606" s="13"/>
      <c r="I606" s="67"/>
      <c r="J606" s="67"/>
      <c r="K606" s="80" t="str">
        <f t="shared" si="13"/>
        <v>CDAVG</v>
      </c>
      <c r="L606" s="80" t="str">
        <f ca="1">IF(ISNUMBER(FIND("(",$I606)), "", _xll.IMDP("IR", $K606, $L$50, WORKDAY('CD|CP 발행사'!$C$4,-1)) )</f>
        <v/>
      </c>
    </row>
    <row r="607" spans="7:12">
      <c r="G607">
        <f ca="1">IF( ISNUMBER($L607), MAX($G$50:G606)+1,0)</f>
        <v>0</v>
      </c>
      <c r="H607" s="13"/>
      <c r="I607" s="67"/>
      <c r="J607" s="67"/>
      <c r="K607" s="80" t="str">
        <f t="shared" si="13"/>
        <v>CDAVG</v>
      </c>
      <c r="L607" s="80" t="str">
        <f ca="1">IF(ISNUMBER(FIND("(",$I607)), "", _xll.IMDP("IR", $K607, $L$50, WORKDAY('CD|CP 발행사'!$C$4,-1)) )</f>
        <v/>
      </c>
    </row>
    <row r="608" spans="7:12">
      <c r="G608">
        <f ca="1">IF( ISNUMBER($L608), MAX($G$50:G607)+1,0)</f>
        <v>0</v>
      </c>
      <c r="H608" s="13"/>
      <c r="I608" s="67"/>
      <c r="J608" s="67"/>
      <c r="K608" s="80" t="str">
        <f t="shared" si="13"/>
        <v>CDAVG</v>
      </c>
      <c r="L608" s="80" t="str">
        <f ca="1">IF(ISNUMBER(FIND("(",$I608)), "", _xll.IMDP("IR", $K608, $L$50, WORKDAY('CD|CP 발행사'!$C$4,-1)) )</f>
        <v/>
      </c>
    </row>
    <row r="609" spans="7:12">
      <c r="G609">
        <f ca="1">IF( ISNUMBER($L609), MAX($G$50:G608)+1,0)</f>
        <v>0</v>
      </c>
      <c r="H609" s="13"/>
      <c r="I609" s="67"/>
      <c r="J609" s="67"/>
      <c r="K609" s="80" t="str">
        <f t="shared" si="13"/>
        <v>CDAVG</v>
      </c>
      <c r="L609" s="80" t="str">
        <f ca="1">IF(ISNUMBER(FIND("(",$I609)), "", _xll.IMDP("IR", $K609, $L$50, WORKDAY('CD|CP 발행사'!$C$4,-1)) )</f>
        <v/>
      </c>
    </row>
    <row r="610" spans="7:12">
      <c r="G610">
        <f ca="1">IF( ISNUMBER($L610), MAX($G$50:G609)+1,0)</f>
        <v>0</v>
      </c>
      <c r="H610" s="13"/>
      <c r="I610" s="67"/>
      <c r="J610" s="67"/>
      <c r="K610" s="80" t="str">
        <f t="shared" si="13"/>
        <v>CDAVG</v>
      </c>
      <c r="L610" s="80" t="str">
        <f ca="1">IF(ISNUMBER(FIND("(",$I610)), "", _xll.IMDP("IR", $K610, $L$50, WORKDAY('CD|CP 발행사'!$C$4,-1)) )</f>
        <v/>
      </c>
    </row>
    <row r="611" spans="7:12">
      <c r="G611">
        <f ca="1">IF( ISNUMBER($L611), MAX($G$50:G610)+1,0)</f>
        <v>0</v>
      </c>
      <c r="H611" s="13"/>
      <c r="I611" s="67"/>
      <c r="J611" s="67"/>
      <c r="K611" s="80" t="str">
        <f t="shared" si="13"/>
        <v>CDAVG</v>
      </c>
      <c r="L611" s="80" t="str">
        <f ca="1">IF(ISNUMBER(FIND("(",$I611)), "", _xll.IMDP("IR", $K611, $L$50, WORKDAY('CD|CP 발행사'!$C$4,-1)) )</f>
        <v/>
      </c>
    </row>
    <row r="612" spans="7:12">
      <c r="G612">
        <f ca="1">IF( ISNUMBER($L612), MAX($G$50:G611)+1,0)</f>
        <v>0</v>
      </c>
      <c r="H612" s="13"/>
      <c r="I612" s="67"/>
      <c r="J612" s="67"/>
      <c r="K612" s="80" t="str">
        <f t="shared" si="13"/>
        <v>CDAVG</v>
      </c>
      <c r="L612" s="80" t="str">
        <f ca="1">IF(ISNUMBER(FIND("(",$I612)), "", _xll.IMDP("IR", $K612, $L$50, WORKDAY('CD|CP 발행사'!$C$4,-1)) )</f>
        <v/>
      </c>
    </row>
    <row r="613" spans="7:12">
      <c r="G613">
        <f ca="1">IF( ISNUMBER($L613), MAX($G$50:G612)+1,0)</f>
        <v>0</v>
      </c>
      <c r="H613" s="13"/>
      <c r="I613" s="67"/>
      <c r="J613" s="67"/>
      <c r="K613" s="80" t="str">
        <f t="shared" si="13"/>
        <v>CDAVG</v>
      </c>
      <c r="L613" s="80" t="str">
        <f ca="1">IF(ISNUMBER(FIND("(",$I613)), "", _xll.IMDP("IR", $K613, $L$50, WORKDAY('CD|CP 발행사'!$C$4,-1)) )</f>
        <v/>
      </c>
    </row>
    <row r="614" spans="7:12">
      <c r="G614">
        <f ca="1">IF( ISNUMBER($L614), MAX($G$50:G613)+1,0)</f>
        <v>0</v>
      </c>
      <c r="H614" s="13"/>
      <c r="I614" s="67"/>
      <c r="J614" s="67"/>
      <c r="K614" s="80" t="str">
        <f t="shared" si="13"/>
        <v>CDAVG</v>
      </c>
      <c r="L614" s="80" t="str">
        <f ca="1">IF(ISNUMBER(FIND("(",$I614)), "", _xll.IMDP("IR", $K614, $L$50, WORKDAY('CD|CP 발행사'!$C$4,-1)) )</f>
        <v/>
      </c>
    </row>
    <row r="615" spans="7:12">
      <c r="G615">
        <f ca="1">IF( ISNUMBER($L615), MAX($G$50:G614)+1,0)</f>
        <v>0</v>
      </c>
      <c r="H615" s="13"/>
      <c r="I615" s="67"/>
      <c r="J615" s="67"/>
      <c r="K615" s="80" t="str">
        <f t="shared" si="13"/>
        <v>CDAVG</v>
      </c>
      <c r="L615" s="80" t="str">
        <f ca="1">IF(ISNUMBER(FIND("(",$I615)), "", _xll.IMDP("IR", $K615, $L$50, WORKDAY('CD|CP 발행사'!$C$4,-1)) )</f>
        <v/>
      </c>
    </row>
    <row r="616" spans="7:12">
      <c r="G616">
        <f ca="1">IF( ISNUMBER($L616), MAX($G$50:G615)+1,0)</f>
        <v>0</v>
      </c>
      <c r="H616" s="13"/>
      <c r="I616" s="67"/>
      <c r="J616" s="67"/>
      <c r="K616" s="80" t="str">
        <f t="shared" si="13"/>
        <v>CDAVG</v>
      </c>
      <c r="L616" s="80" t="str">
        <f ca="1">IF(ISNUMBER(FIND("(",$I616)), "", _xll.IMDP("IR", $K616, $L$50, WORKDAY('CD|CP 발행사'!$C$4,-1)) )</f>
        <v/>
      </c>
    </row>
    <row r="617" spans="7:12">
      <c r="G617">
        <f ca="1">IF( ISNUMBER($L617), MAX($G$50:G616)+1,0)</f>
        <v>0</v>
      </c>
      <c r="H617" s="13"/>
      <c r="I617" s="67"/>
      <c r="J617" s="67"/>
      <c r="K617" s="80" t="str">
        <f t="shared" si="13"/>
        <v>CDAVG</v>
      </c>
      <c r="L617" s="80" t="str">
        <f ca="1">IF(ISNUMBER(FIND("(",$I617)), "", _xll.IMDP("IR", $K617, $L$50, WORKDAY('CD|CP 발행사'!$C$4,-1)) )</f>
        <v/>
      </c>
    </row>
    <row r="618" spans="7:12">
      <c r="G618">
        <f ca="1">IF( ISNUMBER($L618), MAX($G$50:G617)+1,0)</f>
        <v>0</v>
      </c>
      <c r="H618" s="13"/>
      <c r="I618" s="67"/>
      <c r="J618" s="67"/>
      <c r="K618" s="80" t="str">
        <f t="shared" si="13"/>
        <v>CDAVG</v>
      </c>
      <c r="L618" s="80" t="str">
        <f ca="1">IF(ISNUMBER(FIND("(",$I618)), "", _xll.IMDP("IR", $K618, $L$50, WORKDAY('CD|CP 발행사'!$C$4,-1)) )</f>
        <v/>
      </c>
    </row>
    <row r="619" spans="7:12">
      <c r="G619">
        <f ca="1">IF( ISNUMBER($L619), MAX($G$50:G618)+1,0)</f>
        <v>0</v>
      </c>
      <c r="H619" s="13"/>
      <c r="I619" s="67"/>
      <c r="J619" s="67"/>
      <c r="K619" s="80" t="str">
        <f t="shared" si="13"/>
        <v>CDAVG</v>
      </c>
      <c r="L619" s="80" t="str">
        <f ca="1">IF(ISNUMBER(FIND("(",$I619)), "", _xll.IMDP("IR", $K619, $L$50, WORKDAY('CD|CP 발행사'!$C$4,-1)) )</f>
        <v/>
      </c>
    </row>
    <row r="620" spans="7:12">
      <c r="G620">
        <f ca="1">IF( ISNUMBER($L620), MAX($G$50:G619)+1,0)</f>
        <v>0</v>
      </c>
      <c r="H620" s="13"/>
      <c r="I620" s="67"/>
      <c r="J620" s="67"/>
      <c r="K620" s="80" t="str">
        <f t="shared" si="13"/>
        <v>CDAVG</v>
      </c>
      <c r="L620" s="80" t="str">
        <f ca="1">IF(ISNUMBER(FIND("(",$I620)), "", _xll.IMDP("IR", $K620, $L$50, WORKDAY('CD|CP 발행사'!$C$4,-1)) )</f>
        <v/>
      </c>
    </row>
    <row r="621" spans="7:12">
      <c r="G621">
        <f ca="1">IF( ISNUMBER($L621), MAX($G$50:G620)+1,0)</f>
        <v>0</v>
      </c>
      <c r="H621" s="13"/>
      <c r="I621" s="67"/>
      <c r="J621" s="67"/>
      <c r="K621" s="80" t="str">
        <f t="shared" si="13"/>
        <v>CDAVG</v>
      </c>
      <c r="L621" s="80" t="str">
        <f ca="1">IF(ISNUMBER(FIND("(",$I621)), "", _xll.IMDP("IR", $K621, $L$50, WORKDAY('CD|CP 발행사'!$C$4,-1)) )</f>
        <v/>
      </c>
    </row>
    <row r="622" spans="7:12">
      <c r="G622">
        <f ca="1">IF( ISNUMBER($L622), MAX($G$50:G621)+1,0)</f>
        <v>0</v>
      </c>
      <c r="H622" s="13"/>
      <c r="I622" s="67"/>
      <c r="J622" s="67"/>
      <c r="K622" s="80" t="str">
        <f t="shared" si="13"/>
        <v>CDAVG</v>
      </c>
      <c r="L622" s="80" t="str">
        <f ca="1">IF(ISNUMBER(FIND("(",$I622)), "", _xll.IMDP("IR", $K622, $L$50, WORKDAY('CD|CP 발행사'!$C$4,-1)) )</f>
        <v/>
      </c>
    </row>
    <row r="623" spans="7:12">
      <c r="G623">
        <f ca="1">IF( ISNUMBER($L623), MAX($G$50:G622)+1,0)</f>
        <v>0</v>
      </c>
      <c r="H623" s="13"/>
      <c r="I623" s="67"/>
      <c r="J623" s="67"/>
      <c r="K623" s="80" t="str">
        <f t="shared" si="13"/>
        <v>CDAVG</v>
      </c>
      <c r="L623" s="80" t="str">
        <f ca="1">IF(ISNUMBER(FIND("(",$I623)), "", _xll.IMDP("IR", $K623, $L$50, WORKDAY('CD|CP 발행사'!$C$4,-1)) )</f>
        <v/>
      </c>
    </row>
    <row r="624" spans="7:12">
      <c r="G624">
        <f ca="1">IF( ISNUMBER($L624), MAX($G$50:G623)+1,0)</f>
        <v>0</v>
      </c>
      <c r="H624" s="13"/>
      <c r="I624" s="67"/>
      <c r="J624" s="67"/>
      <c r="K624" s="80" t="str">
        <f t="shared" si="13"/>
        <v>CDAVG</v>
      </c>
      <c r="L624" s="80" t="str">
        <f ca="1">IF(ISNUMBER(FIND("(",$I624)), "", _xll.IMDP("IR", $K624, $L$50, WORKDAY('CD|CP 발행사'!$C$4,-1)) )</f>
        <v/>
      </c>
    </row>
    <row r="625" spans="7:12">
      <c r="G625">
        <f ca="1">IF( ISNUMBER($L625), MAX($G$50:G624)+1,0)</f>
        <v>0</v>
      </c>
      <c r="H625" s="13"/>
      <c r="I625" s="67"/>
      <c r="J625" s="67"/>
      <c r="K625" s="80" t="str">
        <f t="shared" si="13"/>
        <v>CDAVG</v>
      </c>
      <c r="L625" s="80" t="str">
        <f ca="1">IF(ISNUMBER(FIND("(",$I625)), "", _xll.IMDP("IR", $K625, $L$50, WORKDAY('CD|CP 발행사'!$C$4,-1)) )</f>
        <v/>
      </c>
    </row>
    <row r="626" spans="7:12">
      <c r="G626">
        <f ca="1">IF( ISNUMBER($L626), MAX($G$50:G625)+1,0)</f>
        <v>0</v>
      </c>
      <c r="H626" s="13"/>
      <c r="I626" s="67"/>
      <c r="J626" s="67"/>
      <c r="K626" s="80" t="str">
        <f t="shared" si="13"/>
        <v>CDAVG</v>
      </c>
      <c r="L626" s="80" t="str">
        <f ca="1">IF(ISNUMBER(FIND("(",$I626)), "", _xll.IMDP("IR", $K626, $L$50, WORKDAY('CD|CP 발행사'!$C$4,-1)) )</f>
        <v/>
      </c>
    </row>
    <row r="627" spans="7:12">
      <c r="G627">
        <f ca="1">IF( ISNUMBER($L627), MAX($G$50:G626)+1,0)</f>
        <v>0</v>
      </c>
      <c r="H627" s="13"/>
      <c r="I627" s="67"/>
      <c r="J627" s="67"/>
      <c r="K627" s="80" t="str">
        <f t="shared" ref="K627:K690" si="14">$K$49&amp;$H627</f>
        <v>CDAVG</v>
      </c>
      <c r="L627" s="80" t="str">
        <f ca="1">IF(ISNUMBER(FIND("(",$I627)), "", _xll.IMDP("IR", $K627, $L$50, WORKDAY('CD|CP 발행사'!$C$4,-1)) )</f>
        <v/>
      </c>
    </row>
    <row r="628" spans="7:12">
      <c r="G628">
        <f ca="1">IF( ISNUMBER($L628), MAX($G$50:G627)+1,0)</f>
        <v>0</v>
      </c>
      <c r="H628" s="13"/>
      <c r="I628" s="67"/>
      <c r="J628" s="67"/>
      <c r="K628" s="80" t="str">
        <f t="shared" si="14"/>
        <v>CDAVG</v>
      </c>
      <c r="L628" s="80" t="str">
        <f ca="1">IF(ISNUMBER(FIND("(",$I628)), "", _xll.IMDP("IR", $K628, $L$50, WORKDAY('CD|CP 발행사'!$C$4,-1)) )</f>
        <v/>
      </c>
    </row>
    <row r="629" spans="7:12">
      <c r="G629">
        <f ca="1">IF( ISNUMBER($L629), MAX($G$50:G628)+1,0)</f>
        <v>0</v>
      </c>
      <c r="H629" s="13"/>
      <c r="I629" s="67"/>
      <c r="J629" s="67"/>
      <c r="K629" s="80" t="str">
        <f t="shared" si="14"/>
        <v>CDAVG</v>
      </c>
      <c r="L629" s="80" t="str">
        <f ca="1">IF(ISNUMBER(FIND("(",$I629)), "", _xll.IMDP("IR", $K629, $L$50, WORKDAY('CD|CP 발행사'!$C$4,-1)) )</f>
        <v/>
      </c>
    </row>
    <row r="630" spans="7:12">
      <c r="G630">
        <f ca="1">IF( ISNUMBER($L630), MAX($G$50:G629)+1,0)</f>
        <v>0</v>
      </c>
      <c r="H630" s="13"/>
      <c r="I630" s="67"/>
      <c r="J630" s="67"/>
      <c r="K630" s="80" t="str">
        <f t="shared" si="14"/>
        <v>CDAVG</v>
      </c>
      <c r="L630" s="80" t="str">
        <f ca="1">IF(ISNUMBER(FIND("(",$I630)), "", _xll.IMDP("IR", $K630, $L$50, WORKDAY('CD|CP 발행사'!$C$4,-1)) )</f>
        <v/>
      </c>
    </row>
    <row r="631" spans="7:12">
      <c r="G631">
        <f ca="1">IF( ISNUMBER($L631), MAX($G$50:G630)+1,0)</f>
        <v>0</v>
      </c>
      <c r="H631" s="13"/>
      <c r="I631" s="67"/>
      <c r="J631" s="67"/>
      <c r="K631" s="80" t="str">
        <f t="shared" si="14"/>
        <v>CDAVG</v>
      </c>
      <c r="L631" s="80" t="str">
        <f ca="1">IF(ISNUMBER(FIND("(",$I631)), "", _xll.IMDP("IR", $K631, $L$50, WORKDAY('CD|CP 발행사'!$C$4,-1)) )</f>
        <v/>
      </c>
    </row>
    <row r="632" spans="7:12">
      <c r="G632">
        <f ca="1">IF( ISNUMBER($L632), MAX($G$50:G631)+1,0)</f>
        <v>0</v>
      </c>
      <c r="H632" s="13"/>
      <c r="I632" s="67"/>
      <c r="J632" s="67"/>
      <c r="K632" s="80" t="str">
        <f t="shared" si="14"/>
        <v>CDAVG</v>
      </c>
      <c r="L632" s="80" t="str">
        <f ca="1">IF(ISNUMBER(FIND("(",$I632)), "", _xll.IMDP("IR", $K632, $L$50, WORKDAY('CD|CP 발행사'!$C$4,-1)) )</f>
        <v/>
      </c>
    </row>
    <row r="633" spans="7:12">
      <c r="G633">
        <f ca="1">IF( ISNUMBER($L633), MAX($G$50:G632)+1,0)</f>
        <v>0</v>
      </c>
      <c r="H633" s="13"/>
      <c r="I633" s="67"/>
      <c r="J633" s="67"/>
      <c r="K633" s="80" t="str">
        <f t="shared" si="14"/>
        <v>CDAVG</v>
      </c>
      <c r="L633" s="80" t="str">
        <f ca="1">IF(ISNUMBER(FIND("(",$I633)), "", _xll.IMDP("IR", $K633, $L$50, WORKDAY('CD|CP 발행사'!$C$4,-1)) )</f>
        <v/>
      </c>
    </row>
    <row r="634" spans="7:12">
      <c r="G634">
        <f ca="1">IF( ISNUMBER($L634), MAX($G$50:G633)+1,0)</f>
        <v>0</v>
      </c>
      <c r="H634" s="13"/>
      <c r="I634" s="67"/>
      <c r="J634" s="67"/>
      <c r="K634" s="80" t="str">
        <f t="shared" si="14"/>
        <v>CDAVG</v>
      </c>
      <c r="L634" s="80" t="str">
        <f ca="1">IF(ISNUMBER(FIND("(",$I634)), "", _xll.IMDP("IR", $K634, $L$50, WORKDAY('CD|CP 발행사'!$C$4,-1)) )</f>
        <v/>
      </c>
    </row>
    <row r="635" spans="7:12">
      <c r="G635">
        <f ca="1">IF( ISNUMBER($L635), MAX($G$50:G634)+1,0)</f>
        <v>0</v>
      </c>
      <c r="H635" s="13"/>
      <c r="I635" s="67"/>
      <c r="J635" s="67"/>
      <c r="K635" s="80" t="str">
        <f t="shared" si="14"/>
        <v>CDAVG</v>
      </c>
      <c r="L635" s="80" t="str">
        <f ca="1">IF(ISNUMBER(FIND("(",$I635)), "", _xll.IMDP("IR", $K635, $L$50, WORKDAY('CD|CP 발행사'!$C$4,-1)) )</f>
        <v/>
      </c>
    </row>
    <row r="636" spans="7:12">
      <c r="G636">
        <f ca="1">IF( ISNUMBER($L636), MAX($G$50:G635)+1,0)</f>
        <v>0</v>
      </c>
      <c r="H636" s="13"/>
      <c r="I636" s="67"/>
      <c r="J636" s="67"/>
      <c r="K636" s="80" t="str">
        <f t="shared" si="14"/>
        <v>CDAVG</v>
      </c>
      <c r="L636" s="80" t="str">
        <f ca="1">IF(ISNUMBER(FIND("(",$I636)), "", _xll.IMDP("IR", $K636, $L$50, WORKDAY('CD|CP 발행사'!$C$4,-1)) )</f>
        <v/>
      </c>
    </row>
    <row r="637" spans="7:12">
      <c r="G637">
        <f ca="1">IF( ISNUMBER($L637), MAX($G$50:G636)+1,0)</f>
        <v>0</v>
      </c>
      <c r="H637" s="13"/>
      <c r="I637" s="67"/>
      <c r="J637" s="67"/>
      <c r="K637" s="80" t="str">
        <f t="shared" si="14"/>
        <v>CDAVG</v>
      </c>
      <c r="L637" s="80" t="str">
        <f ca="1">IF(ISNUMBER(FIND("(",$I637)), "", _xll.IMDP("IR", $K637, $L$50, WORKDAY('CD|CP 발행사'!$C$4,-1)) )</f>
        <v/>
      </c>
    </row>
    <row r="638" spans="7:12">
      <c r="G638">
        <f ca="1">IF( ISNUMBER($L638), MAX($G$50:G637)+1,0)</f>
        <v>0</v>
      </c>
      <c r="H638" s="13"/>
      <c r="I638" s="67"/>
      <c r="J638" s="67"/>
      <c r="K638" s="80" t="str">
        <f t="shared" si="14"/>
        <v>CDAVG</v>
      </c>
      <c r="L638" s="80" t="str">
        <f ca="1">IF(ISNUMBER(FIND("(",$I638)), "", _xll.IMDP("IR", $K638, $L$50, WORKDAY('CD|CP 발행사'!$C$4,-1)) )</f>
        <v/>
      </c>
    </row>
    <row r="639" spans="7:12">
      <c r="G639">
        <f ca="1">IF( ISNUMBER($L639), MAX($G$50:G638)+1,0)</f>
        <v>0</v>
      </c>
      <c r="H639" s="13"/>
      <c r="I639" s="67"/>
      <c r="J639" s="67"/>
      <c r="K639" s="80" t="str">
        <f t="shared" si="14"/>
        <v>CDAVG</v>
      </c>
      <c r="L639" s="80" t="str">
        <f ca="1">IF(ISNUMBER(FIND("(",$I639)), "", _xll.IMDP("IR", $K639, $L$50, WORKDAY('CD|CP 발행사'!$C$4,-1)) )</f>
        <v/>
      </c>
    </row>
    <row r="640" spans="7:12">
      <c r="G640">
        <f ca="1">IF( ISNUMBER($L640), MAX($G$50:G639)+1,0)</f>
        <v>0</v>
      </c>
      <c r="H640" s="13"/>
      <c r="I640" s="67"/>
      <c r="J640" s="67"/>
      <c r="K640" s="80" t="str">
        <f t="shared" si="14"/>
        <v>CDAVG</v>
      </c>
      <c r="L640" s="80" t="str">
        <f ca="1">IF(ISNUMBER(FIND("(",$I640)), "", _xll.IMDP("IR", $K640, $L$50, WORKDAY('CD|CP 발행사'!$C$4,-1)) )</f>
        <v/>
      </c>
    </row>
    <row r="641" spans="7:12">
      <c r="G641">
        <f ca="1">IF( ISNUMBER($L641), MAX($G$50:G640)+1,0)</f>
        <v>0</v>
      </c>
      <c r="H641" s="13"/>
      <c r="I641" s="67"/>
      <c r="J641" s="67"/>
      <c r="K641" s="80" t="str">
        <f t="shared" si="14"/>
        <v>CDAVG</v>
      </c>
      <c r="L641" s="80" t="str">
        <f ca="1">IF(ISNUMBER(FIND("(",$I641)), "", _xll.IMDP("IR", $K641, $L$50, WORKDAY('CD|CP 발행사'!$C$4,-1)) )</f>
        <v/>
      </c>
    </row>
    <row r="642" spans="7:12">
      <c r="G642">
        <f ca="1">IF( ISNUMBER($L642), MAX($G$50:G641)+1,0)</f>
        <v>0</v>
      </c>
      <c r="H642" s="13"/>
      <c r="I642" s="67"/>
      <c r="J642" s="67"/>
      <c r="K642" s="80" t="str">
        <f t="shared" si="14"/>
        <v>CDAVG</v>
      </c>
      <c r="L642" s="80" t="str">
        <f ca="1">IF(ISNUMBER(FIND("(",$I642)), "", _xll.IMDP("IR", $K642, $L$50, WORKDAY('CD|CP 발행사'!$C$4,-1)) )</f>
        <v/>
      </c>
    </row>
    <row r="643" spans="7:12">
      <c r="G643">
        <f ca="1">IF( ISNUMBER($L643), MAX($G$50:G642)+1,0)</f>
        <v>0</v>
      </c>
      <c r="H643" s="13"/>
      <c r="I643" s="67"/>
      <c r="J643" s="67"/>
      <c r="K643" s="80" t="str">
        <f t="shared" si="14"/>
        <v>CDAVG</v>
      </c>
      <c r="L643" s="80" t="str">
        <f ca="1">IF(ISNUMBER(FIND("(",$I643)), "", _xll.IMDP("IR", $K643, $L$50, WORKDAY('CD|CP 발행사'!$C$4,-1)) )</f>
        <v/>
      </c>
    </row>
    <row r="644" spans="7:12">
      <c r="G644">
        <f ca="1">IF( ISNUMBER($L644), MAX($G$50:G643)+1,0)</f>
        <v>0</v>
      </c>
      <c r="H644" s="13"/>
      <c r="I644" s="67"/>
      <c r="J644" s="67"/>
      <c r="K644" s="80" t="str">
        <f t="shared" si="14"/>
        <v>CDAVG</v>
      </c>
      <c r="L644" s="80" t="str">
        <f ca="1">IF(ISNUMBER(FIND("(",$I644)), "", _xll.IMDP("IR", $K644, $L$50, WORKDAY('CD|CP 발행사'!$C$4,-1)) )</f>
        <v/>
      </c>
    </row>
    <row r="645" spans="7:12">
      <c r="G645">
        <f ca="1">IF( ISNUMBER($L645), MAX($G$50:G644)+1,0)</f>
        <v>0</v>
      </c>
      <c r="H645" s="13"/>
      <c r="I645" s="67"/>
      <c r="J645" s="67"/>
      <c r="K645" s="80" t="str">
        <f t="shared" si="14"/>
        <v>CDAVG</v>
      </c>
      <c r="L645" s="80" t="str">
        <f ca="1">IF(ISNUMBER(FIND("(",$I645)), "", _xll.IMDP("IR", $K645, $L$50, WORKDAY('CD|CP 발행사'!$C$4,-1)) )</f>
        <v/>
      </c>
    </row>
    <row r="646" spans="7:12">
      <c r="G646">
        <f ca="1">IF( ISNUMBER($L646), MAX($G$50:G645)+1,0)</f>
        <v>0</v>
      </c>
      <c r="H646" s="13"/>
      <c r="I646" s="67"/>
      <c r="J646" s="67"/>
      <c r="K646" s="80" t="str">
        <f t="shared" si="14"/>
        <v>CDAVG</v>
      </c>
      <c r="L646" s="80" t="str">
        <f ca="1">IF(ISNUMBER(FIND("(",$I646)), "", _xll.IMDP("IR", $K646, $L$50, WORKDAY('CD|CP 발행사'!$C$4,-1)) )</f>
        <v/>
      </c>
    </row>
    <row r="647" spans="7:12">
      <c r="G647">
        <f ca="1">IF( ISNUMBER($L647), MAX($G$50:G646)+1,0)</f>
        <v>0</v>
      </c>
      <c r="H647" s="13"/>
      <c r="I647" s="67"/>
      <c r="J647" s="67"/>
      <c r="K647" s="80" t="str">
        <f t="shared" si="14"/>
        <v>CDAVG</v>
      </c>
      <c r="L647" s="80" t="str">
        <f ca="1">IF(ISNUMBER(FIND("(",$I647)), "", _xll.IMDP("IR", $K647, $L$50, WORKDAY('CD|CP 발행사'!$C$4,-1)) )</f>
        <v/>
      </c>
    </row>
    <row r="648" spans="7:12">
      <c r="G648">
        <f ca="1">IF( ISNUMBER($L648), MAX($G$50:G647)+1,0)</f>
        <v>0</v>
      </c>
      <c r="H648" s="13"/>
      <c r="I648" s="67"/>
      <c r="J648" s="67"/>
      <c r="K648" s="80" t="str">
        <f t="shared" si="14"/>
        <v>CDAVG</v>
      </c>
      <c r="L648" s="80" t="str">
        <f ca="1">IF(ISNUMBER(FIND("(",$I648)), "", _xll.IMDP("IR", $K648, $L$50, WORKDAY('CD|CP 발행사'!$C$4,-1)) )</f>
        <v/>
      </c>
    </row>
    <row r="649" spans="7:12">
      <c r="G649">
        <f ca="1">IF( ISNUMBER($L649), MAX($G$50:G648)+1,0)</f>
        <v>0</v>
      </c>
      <c r="H649" s="13"/>
      <c r="I649" s="67"/>
      <c r="J649" s="67"/>
      <c r="K649" s="80" t="str">
        <f t="shared" si="14"/>
        <v>CDAVG</v>
      </c>
      <c r="L649" s="80" t="str">
        <f ca="1">IF(ISNUMBER(FIND("(",$I649)), "", _xll.IMDP("IR", $K649, $L$50, WORKDAY('CD|CP 발행사'!$C$4,-1)) )</f>
        <v/>
      </c>
    </row>
    <row r="650" spans="7:12">
      <c r="G650">
        <f ca="1">IF( ISNUMBER($L650), MAX($G$50:G649)+1,0)</f>
        <v>0</v>
      </c>
      <c r="H650" s="13"/>
      <c r="I650" s="67"/>
      <c r="J650" s="67"/>
      <c r="K650" s="80" t="str">
        <f t="shared" si="14"/>
        <v>CDAVG</v>
      </c>
      <c r="L650" s="80" t="str">
        <f ca="1">IF(ISNUMBER(FIND("(",$I650)), "", _xll.IMDP("IR", $K650, $L$50, WORKDAY('CD|CP 발행사'!$C$4,-1)) )</f>
        <v/>
      </c>
    </row>
    <row r="651" spans="7:12">
      <c r="G651">
        <f ca="1">IF( ISNUMBER($L651), MAX($G$50:G650)+1,0)</f>
        <v>0</v>
      </c>
      <c r="H651" s="13"/>
      <c r="I651" s="67"/>
      <c r="J651" s="67"/>
      <c r="K651" s="80" t="str">
        <f t="shared" si="14"/>
        <v>CDAVG</v>
      </c>
      <c r="L651" s="80" t="str">
        <f ca="1">IF(ISNUMBER(FIND("(",$I651)), "", _xll.IMDP("IR", $K651, $L$50, WORKDAY('CD|CP 발행사'!$C$4,-1)) )</f>
        <v/>
      </c>
    </row>
    <row r="652" spans="7:12">
      <c r="G652">
        <f ca="1">IF( ISNUMBER($L652), MAX($G$50:G651)+1,0)</f>
        <v>0</v>
      </c>
      <c r="H652" s="13"/>
      <c r="I652" s="67"/>
      <c r="J652" s="67"/>
      <c r="K652" s="80" t="str">
        <f t="shared" si="14"/>
        <v>CDAVG</v>
      </c>
      <c r="L652" s="80" t="str">
        <f ca="1">IF(ISNUMBER(FIND("(",$I652)), "", _xll.IMDP("IR", $K652, $L$50, WORKDAY('CD|CP 발행사'!$C$4,-1)) )</f>
        <v/>
      </c>
    </row>
    <row r="653" spans="7:12">
      <c r="G653">
        <f ca="1">IF( ISNUMBER($L653), MAX($G$50:G652)+1,0)</f>
        <v>0</v>
      </c>
      <c r="H653" s="13"/>
      <c r="I653" s="67"/>
      <c r="J653" s="67"/>
      <c r="K653" s="80" t="str">
        <f t="shared" si="14"/>
        <v>CDAVG</v>
      </c>
      <c r="L653" s="80" t="str">
        <f ca="1">IF(ISNUMBER(FIND("(",$I653)), "", _xll.IMDP("IR", $K653, $L$50, WORKDAY('CD|CP 발행사'!$C$4,-1)) )</f>
        <v/>
      </c>
    </row>
    <row r="654" spans="7:12">
      <c r="G654">
        <f ca="1">IF( ISNUMBER($L654), MAX($G$50:G653)+1,0)</f>
        <v>0</v>
      </c>
      <c r="H654" s="13"/>
      <c r="I654" s="67"/>
      <c r="J654" s="67"/>
      <c r="K654" s="80" t="str">
        <f t="shared" si="14"/>
        <v>CDAVG</v>
      </c>
      <c r="L654" s="80" t="str">
        <f ca="1">IF(ISNUMBER(FIND("(",$I654)), "", _xll.IMDP("IR", $K654, $L$50, WORKDAY('CD|CP 발행사'!$C$4,-1)) )</f>
        <v/>
      </c>
    </row>
    <row r="655" spans="7:12">
      <c r="G655">
        <f ca="1">IF( ISNUMBER($L655), MAX($G$50:G654)+1,0)</f>
        <v>0</v>
      </c>
      <c r="H655" s="13"/>
      <c r="I655" s="67"/>
      <c r="J655" s="67"/>
      <c r="K655" s="80" t="str">
        <f t="shared" si="14"/>
        <v>CDAVG</v>
      </c>
      <c r="L655" s="80" t="str">
        <f ca="1">IF(ISNUMBER(FIND("(",$I655)), "", _xll.IMDP("IR", $K655, $L$50, WORKDAY('CD|CP 발행사'!$C$4,-1)) )</f>
        <v/>
      </c>
    </row>
    <row r="656" spans="7:12">
      <c r="G656">
        <f ca="1">IF( ISNUMBER($L656), MAX($G$50:G655)+1,0)</f>
        <v>0</v>
      </c>
      <c r="H656" s="13"/>
      <c r="I656" s="67"/>
      <c r="J656" s="67"/>
      <c r="K656" s="80" t="str">
        <f t="shared" si="14"/>
        <v>CDAVG</v>
      </c>
      <c r="L656" s="80" t="str">
        <f ca="1">IF(ISNUMBER(FIND("(",$I656)), "", _xll.IMDP("IR", $K656, $L$50, WORKDAY('CD|CP 발행사'!$C$4,-1)) )</f>
        <v/>
      </c>
    </row>
    <row r="657" spans="7:12">
      <c r="G657">
        <f ca="1">IF( ISNUMBER($L657), MAX($G$50:G656)+1,0)</f>
        <v>0</v>
      </c>
      <c r="H657" s="13"/>
      <c r="I657" s="67"/>
      <c r="J657" s="67"/>
      <c r="K657" s="80" t="str">
        <f t="shared" si="14"/>
        <v>CDAVG</v>
      </c>
      <c r="L657" s="80" t="str">
        <f ca="1">IF(ISNUMBER(FIND("(",$I657)), "", _xll.IMDP("IR", $K657, $L$50, WORKDAY('CD|CP 발행사'!$C$4,-1)) )</f>
        <v/>
      </c>
    </row>
    <row r="658" spans="7:12">
      <c r="G658">
        <f ca="1">IF( ISNUMBER($L658), MAX($G$50:G657)+1,0)</f>
        <v>0</v>
      </c>
      <c r="H658" s="13"/>
      <c r="I658" s="67"/>
      <c r="J658" s="67"/>
      <c r="K658" s="80" t="str">
        <f t="shared" si="14"/>
        <v>CDAVG</v>
      </c>
      <c r="L658" s="80" t="str">
        <f ca="1">IF(ISNUMBER(FIND("(",$I658)), "", _xll.IMDP("IR", $K658, $L$50, WORKDAY('CD|CP 발행사'!$C$4,-1)) )</f>
        <v/>
      </c>
    </row>
    <row r="659" spans="7:12">
      <c r="G659">
        <f ca="1">IF( ISNUMBER($L659), MAX($G$50:G658)+1,0)</f>
        <v>0</v>
      </c>
      <c r="H659" s="13"/>
      <c r="I659" s="67"/>
      <c r="J659" s="67"/>
      <c r="K659" s="80" t="str">
        <f t="shared" si="14"/>
        <v>CDAVG</v>
      </c>
      <c r="L659" s="80" t="str">
        <f ca="1">IF(ISNUMBER(FIND("(",$I659)), "", _xll.IMDP("IR", $K659, $L$50, WORKDAY('CD|CP 발행사'!$C$4,-1)) )</f>
        <v/>
      </c>
    </row>
    <row r="660" spans="7:12">
      <c r="G660">
        <f ca="1">IF( ISNUMBER($L660), MAX($G$50:G659)+1,0)</f>
        <v>0</v>
      </c>
      <c r="H660" s="13"/>
      <c r="I660" s="67"/>
      <c r="J660" s="67"/>
      <c r="K660" s="80" t="str">
        <f t="shared" si="14"/>
        <v>CDAVG</v>
      </c>
      <c r="L660" s="80" t="str">
        <f ca="1">IF(ISNUMBER(FIND("(",$I660)), "", _xll.IMDP("IR", $K660, $L$50, WORKDAY('CD|CP 발행사'!$C$4,-1)) )</f>
        <v/>
      </c>
    </row>
    <row r="661" spans="7:12">
      <c r="G661">
        <f ca="1">IF( ISNUMBER($L661), MAX($G$50:G660)+1,0)</f>
        <v>0</v>
      </c>
      <c r="H661" s="13"/>
      <c r="I661" s="67"/>
      <c r="J661" s="67"/>
      <c r="K661" s="80" t="str">
        <f t="shared" si="14"/>
        <v>CDAVG</v>
      </c>
      <c r="L661" s="80" t="str">
        <f ca="1">IF(ISNUMBER(FIND("(",$I661)), "", _xll.IMDP("IR", $K661, $L$50, WORKDAY('CD|CP 발행사'!$C$4,-1)) )</f>
        <v/>
      </c>
    </row>
    <row r="662" spans="7:12">
      <c r="G662">
        <f ca="1">IF( ISNUMBER($L662), MAX($G$50:G661)+1,0)</f>
        <v>0</v>
      </c>
      <c r="H662" s="13"/>
      <c r="I662" s="67"/>
      <c r="J662" s="67"/>
      <c r="K662" s="80" t="str">
        <f t="shared" si="14"/>
        <v>CDAVG</v>
      </c>
      <c r="L662" s="80" t="str">
        <f ca="1">IF(ISNUMBER(FIND("(",$I662)), "", _xll.IMDP("IR", $K662, $L$50, WORKDAY('CD|CP 발행사'!$C$4,-1)) )</f>
        <v/>
      </c>
    </row>
    <row r="663" spans="7:12">
      <c r="G663">
        <f ca="1">IF( ISNUMBER($L663), MAX($G$50:G662)+1,0)</f>
        <v>0</v>
      </c>
      <c r="H663" s="13"/>
      <c r="I663" s="67"/>
      <c r="J663" s="67"/>
      <c r="K663" s="80" t="str">
        <f t="shared" si="14"/>
        <v>CDAVG</v>
      </c>
      <c r="L663" s="80" t="str">
        <f ca="1">IF(ISNUMBER(FIND("(",$I663)), "", _xll.IMDP("IR", $K663, $L$50, WORKDAY('CD|CP 발행사'!$C$4,-1)) )</f>
        <v/>
      </c>
    </row>
    <row r="664" spans="7:12">
      <c r="G664">
        <f ca="1">IF( ISNUMBER($L664), MAX($G$50:G663)+1,0)</f>
        <v>0</v>
      </c>
      <c r="H664" s="13"/>
      <c r="I664" s="67"/>
      <c r="J664" s="67"/>
      <c r="K664" s="80" t="str">
        <f t="shared" si="14"/>
        <v>CDAVG</v>
      </c>
      <c r="L664" s="80" t="str">
        <f ca="1">IF(ISNUMBER(FIND("(",$I664)), "", _xll.IMDP("IR", $K664, $L$50, WORKDAY('CD|CP 발행사'!$C$4,-1)) )</f>
        <v/>
      </c>
    </row>
    <row r="665" spans="7:12">
      <c r="G665">
        <f ca="1">IF( ISNUMBER($L665), MAX($G$50:G664)+1,0)</f>
        <v>0</v>
      </c>
      <c r="H665" s="13"/>
      <c r="I665" s="67"/>
      <c r="J665" s="67"/>
      <c r="K665" s="80" t="str">
        <f t="shared" si="14"/>
        <v>CDAVG</v>
      </c>
      <c r="L665" s="80" t="str">
        <f ca="1">IF(ISNUMBER(FIND("(",$I665)), "", _xll.IMDP("IR", $K665, $L$50, WORKDAY('CD|CP 발행사'!$C$4,-1)) )</f>
        <v/>
      </c>
    </row>
    <row r="666" spans="7:12">
      <c r="G666">
        <f ca="1">IF( ISNUMBER($L666), MAX($G$50:G665)+1,0)</f>
        <v>0</v>
      </c>
      <c r="H666" s="13"/>
      <c r="I666" s="67"/>
      <c r="J666" s="67"/>
      <c r="K666" s="80" t="str">
        <f t="shared" si="14"/>
        <v>CDAVG</v>
      </c>
      <c r="L666" s="80" t="str">
        <f ca="1">IF(ISNUMBER(FIND("(",$I666)), "", _xll.IMDP("IR", $K666, $L$50, WORKDAY('CD|CP 발행사'!$C$4,-1)) )</f>
        <v/>
      </c>
    </row>
    <row r="667" spans="7:12">
      <c r="G667">
        <f ca="1">IF( ISNUMBER($L667), MAX($G$50:G666)+1,0)</f>
        <v>0</v>
      </c>
      <c r="H667" s="13"/>
      <c r="I667" s="67"/>
      <c r="J667" s="67"/>
      <c r="K667" s="80" t="str">
        <f t="shared" si="14"/>
        <v>CDAVG</v>
      </c>
      <c r="L667" s="80" t="str">
        <f ca="1">IF(ISNUMBER(FIND("(",$I667)), "", _xll.IMDP("IR", $K667, $L$50, WORKDAY('CD|CP 발행사'!$C$4,-1)) )</f>
        <v/>
      </c>
    </row>
    <row r="668" spans="7:12">
      <c r="G668">
        <f ca="1">IF( ISNUMBER($L668), MAX($G$50:G667)+1,0)</f>
        <v>0</v>
      </c>
      <c r="H668" s="13"/>
      <c r="I668" s="67"/>
      <c r="J668" s="67"/>
      <c r="K668" s="80" t="str">
        <f t="shared" si="14"/>
        <v>CDAVG</v>
      </c>
      <c r="L668" s="80" t="str">
        <f ca="1">IF(ISNUMBER(FIND("(",$I668)), "", _xll.IMDP("IR", $K668, $L$50, WORKDAY('CD|CP 발행사'!$C$4,-1)) )</f>
        <v/>
      </c>
    </row>
    <row r="669" spans="7:12">
      <c r="G669">
        <f ca="1">IF( ISNUMBER($L669), MAX($G$50:G668)+1,0)</f>
        <v>0</v>
      </c>
      <c r="H669" s="13"/>
      <c r="I669" s="67"/>
      <c r="J669" s="67"/>
      <c r="K669" s="80" t="str">
        <f t="shared" si="14"/>
        <v>CDAVG</v>
      </c>
      <c r="L669" s="80" t="str">
        <f ca="1">IF(ISNUMBER(FIND("(",$I669)), "", _xll.IMDP("IR", $K669, $L$50, WORKDAY('CD|CP 발행사'!$C$4,-1)) )</f>
        <v/>
      </c>
    </row>
    <row r="670" spans="7:12">
      <c r="G670">
        <f ca="1">IF( ISNUMBER($L670), MAX($G$50:G669)+1,0)</f>
        <v>0</v>
      </c>
      <c r="H670" s="13"/>
      <c r="I670" s="67"/>
      <c r="J670" s="67"/>
      <c r="K670" s="80" t="str">
        <f t="shared" si="14"/>
        <v>CDAVG</v>
      </c>
      <c r="L670" s="80" t="str">
        <f ca="1">IF(ISNUMBER(FIND("(",$I670)), "", _xll.IMDP("IR", $K670, $L$50, WORKDAY('CD|CP 발행사'!$C$4,-1)) )</f>
        <v/>
      </c>
    </row>
    <row r="671" spans="7:12">
      <c r="G671">
        <f ca="1">IF( ISNUMBER($L671), MAX($G$50:G670)+1,0)</f>
        <v>0</v>
      </c>
      <c r="H671" s="13"/>
      <c r="I671" s="67"/>
      <c r="J671" s="67"/>
      <c r="K671" s="80" t="str">
        <f t="shared" si="14"/>
        <v>CDAVG</v>
      </c>
      <c r="L671" s="80" t="str">
        <f ca="1">IF(ISNUMBER(FIND("(",$I671)), "", _xll.IMDP("IR", $K671, $L$50, WORKDAY('CD|CP 발행사'!$C$4,-1)) )</f>
        <v/>
      </c>
    </row>
    <row r="672" spans="7:12">
      <c r="G672">
        <f ca="1">IF( ISNUMBER($L672), MAX($G$50:G671)+1,0)</f>
        <v>0</v>
      </c>
      <c r="H672" s="13"/>
      <c r="I672" s="67"/>
      <c r="J672" s="67"/>
      <c r="K672" s="80" t="str">
        <f t="shared" si="14"/>
        <v>CDAVG</v>
      </c>
      <c r="L672" s="80" t="str">
        <f ca="1">IF(ISNUMBER(FIND("(",$I672)), "", _xll.IMDP("IR", $K672, $L$50, WORKDAY('CD|CP 발행사'!$C$4,-1)) )</f>
        <v/>
      </c>
    </row>
    <row r="673" spans="7:12">
      <c r="G673">
        <f ca="1">IF( ISNUMBER($L673), MAX($G$50:G672)+1,0)</f>
        <v>0</v>
      </c>
      <c r="H673" s="13"/>
      <c r="I673" s="67"/>
      <c r="J673" s="67"/>
      <c r="K673" s="80" t="str">
        <f t="shared" si="14"/>
        <v>CDAVG</v>
      </c>
      <c r="L673" s="80" t="str">
        <f ca="1">IF(ISNUMBER(FIND("(",$I673)), "", _xll.IMDP("IR", $K673, $L$50, WORKDAY('CD|CP 발행사'!$C$4,-1)) )</f>
        <v/>
      </c>
    </row>
    <row r="674" spans="7:12">
      <c r="G674">
        <f ca="1">IF( ISNUMBER($L674), MAX($G$50:G673)+1,0)</f>
        <v>0</v>
      </c>
      <c r="H674" s="13"/>
      <c r="I674" s="67"/>
      <c r="J674" s="67"/>
      <c r="K674" s="80" t="str">
        <f t="shared" si="14"/>
        <v>CDAVG</v>
      </c>
      <c r="L674" s="80" t="str">
        <f ca="1">IF(ISNUMBER(FIND("(",$I674)), "", _xll.IMDP("IR", $K674, $L$50, WORKDAY('CD|CP 발행사'!$C$4,-1)) )</f>
        <v/>
      </c>
    </row>
    <row r="675" spans="7:12">
      <c r="G675">
        <f ca="1">IF( ISNUMBER($L675), MAX($G$50:G674)+1,0)</f>
        <v>0</v>
      </c>
      <c r="H675" s="13"/>
      <c r="I675" s="67"/>
      <c r="J675" s="67"/>
      <c r="K675" s="80" t="str">
        <f t="shared" si="14"/>
        <v>CDAVG</v>
      </c>
      <c r="L675" s="80" t="str">
        <f ca="1">IF(ISNUMBER(FIND("(",$I675)), "", _xll.IMDP("IR", $K675, $L$50, WORKDAY('CD|CP 발행사'!$C$4,-1)) )</f>
        <v/>
      </c>
    </row>
    <row r="676" spans="7:12">
      <c r="G676">
        <f ca="1">IF( ISNUMBER($L676), MAX($G$50:G675)+1,0)</f>
        <v>0</v>
      </c>
      <c r="H676" s="13"/>
      <c r="I676" s="67"/>
      <c r="J676" s="67"/>
      <c r="K676" s="80" t="str">
        <f t="shared" si="14"/>
        <v>CDAVG</v>
      </c>
      <c r="L676" s="80" t="str">
        <f ca="1">IF(ISNUMBER(FIND("(",$I676)), "", _xll.IMDP("IR", $K676, $L$50, WORKDAY('CD|CP 발행사'!$C$4,-1)) )</f>
        <v/>
      </c>
    </row>
    <row r="677" spans="7:12">
      <c r="G677">
        <f ca="1">IF( ISNUMBER($L677), MAX($G$50:G676)+1,0)</f>
        <v>0</v>
      </c>
      <c r="H677" s="13"/>
      <c r="I677" s="67"/>
      <c r="J677" s="67"/>
      <c r="K677" s="80" t="str">
        <f t="shared" si="14"/>
        <v>CDAVG</v>
      </c>
      <c r="L677" s="80" t="str">
        <f ca="1">IF(ISNUMBER(FIND("(",$I677)), "", _xll.IMDP("IR", $K677, $L$50, WORKDAY('CD|CP 발행사'!$C$4,-1)) )</f>
        <v/>
      </c>
    </row>
    <row r="678" spans="7:12">
      <c r="G678">
        <f ca="1">IF( ISNUMBER($L678), MAX($G$50:G677)+1,0)</f>
        <v>0</v>
      </c>
      <c r="H678" s="13"/>
      <c r="I678" s="67"/>
      <c r="J678" s="67"/>
      <c r="K678" s="80" t="str">
        <f t="shared" si="14"/>
        <v>CDAVG</v>
      </c>
      <c r="L678" s="80" t="str">
        <f ca="1">IF(ISNUMBER(FIND("(",$I678)), "", _xll.IMDP("IR", $K678, $L$50, WORKDAY('CD|CP 발행사'!$C$4,-1)) )</f>
        <v/>
      </c>
    </row>
    <row r="679" spans="7:12">
      <c r="G679">
        <f ca="1">IF( ISNUMBER($L679), MAX($G$50:G678)+1,0)</f>
        <v>0</v>
      </c>
      <c r="H679" s="13"/>
      <c r="I679" s="67"/>
      <c r="J679" s="67"/>
      <c r="K679" s="80" t="str">
        <f t="shared" si="14"/>
        <v>CDAVG</v>
      </c>
      <c r="L679" s="80" t="str">
        <f ca="1">IF(ISNUMBER(FIND("(",$I679)), "", _xll.IMDP("IR", $K679, $L$50, WORKDAY('CD|CP 발행사'!$C$4,-1)) )</f>
        <v/>
      </c>
    </row>
    <row r="680" spans="7:12">
      <c r="G680">
        <f ca="1">IF( ISNUMBER($L680), MAX($G$50:G679)+1,0)</f>
        <v>0</v>
      </c>
      <c r="H680" s="13"/>
      <c r="I680" s="67"/>
      <c r="J680" s="67"/>
      <c r="K680" s="80" t="str">
        <f t="shared" si="14"/>
        <v>CDAVG</v>
      </c>
      <c r="L680" s="80" t="str">
        <f ca="1">IF(ISNUMBER(FIND("(",$I680)), "", _xll.IMDP("IR", $K680, $L$50, WORKDAY('CD|CP 발행사'!$C$4,-1)) )</f>
        <v/>
      </c>
    </row>
    <row r="681" spans="7:12">
      <c r="G681">
        <f ca="1">IF( ISNUMBER($L681), MAX($G$50:G680)+1,0)</f>
        <v>0</v>
      </c>
      <c r="H681" s="13"/>
      <c r="I681" s="67"/>
      <c r="J681" s="67"/>
      <c r="K681" s="80" t="str">
        <f t="shared" si="14"/>
        <v>CDAVG</v>
      </c>
      <c r="L681" s="80" t="str">
        <f ca="1">IF(ISNUMBER(FIND("(",$I681)), "", _xll.IMDP("IR", $K681, $L$50, WORKDAY('CD|CP 발행사'!$C$4,-1)) )</f>
        <v/>
      </c>
    </row>
    <row r="682" spans="7:12">
      <c r="G682">
        <f ca="1">IF( ISNUMBER($L682), MAX($G$50:G681)+1,0)</f>
        <v>0</v>
      </c>
      <c r="H682" s="13"/>
      <c r="I682" s="67"/>
      <c r="J682" s="67"/>
      <c r="K682" s="80" t="str">
        <f t="shared" si="14"/>
        <v>CDAVG</v>
      </c>
      <c r="L682" s="80" t="str">
        <f ca="1">IF(ISNUMBER(FIND("(",$I682)), "", _xll.IMDP("IR", $K682, $L$50, WORKDAY('CD|CP 발행사'!$C$4,-1)) )</f>
        <v/>
      </c>
    </row>
    <row r="683" spans="7:12">
      <c r="G683">
        <f ca="1">IF( ISNUMBER($L683), MAX($G$50:G682)+1,0)</f>
        <v>0</v>
      </c>
      <c r="H683" s="13"/>
      <c r="I683" s="67"/>
      <c r="J683" s="67"/>
      <c r="K683" s="80" t="str">
        <f t="shared" si="14"/>
        <v>CDAVG</v>
      </c>
      <c r="L683" s="80" t="str">
        <f ca="1">IF(ISNUMBER(FIND("(",$I683)), "", _xll.IMDP("IR", $K683, $L$50, WORKDAY('CD|CP 발행사'!$C$4,-1)) )</f>
        <v/>
      </c>
    </row>
    <row r="684" spans="7:12">
      <c r="G684">
        <f ca="1">IF( ISNUMBER($L684), MAX($G$50:G683)+1,0)</f>
        <v>0</v>
      </c>
      <c r="H684" s="13"/>
      <c r="I684" s="67"/>
      <c r="J684" s="67"/>
      <c r="K684" s="80" t="str">
        <f t="shared" si="14"/>
        <v>CDAVG</v>
      </c>
      <c r="L684" s="80" t="str">
        <f ca="1">IF(ISNUMBER(FIND("(",$I684)), "", _xll.IMDP("IR", $K684, $L$50, WORKDAY('CD|CP 발행사'!$C$4,-1)) )</f>
        <v/>
      </c>
    </row>
    <row r="685" spans="7:12">
      <c r="G685">
        <f ca="1">IF( ISNUMBER($L685), MAX($G$50:G684)+1,0)</f>
        <v>0</v>
      </c>
      <c r="H685" s="13"/>
      <c r="I685" s="67"/>
      <c r="J685" s="67"/>
      <c r="K685" s="80" t="str">
        <f t="shared" si="14"/>
        <v>CDAVG</v>
      </c>
      <c r="L685" s="80" t="str">
        <f ca="1">IF(ISNUMBER(FIND("(",$I685)), "", _xll.IMDP("IR", $K685, $L$50, WORKDAY('CD|CP 발행사'!$C$4,-1)) )</f>
        <v/>
      </c>
    </row>
    <row r="686" spans="7:12">
      <c r="G686">
        <f ca="1">IF( ISNUMBER($L686), MAX($G$50:G685)+1,0)</f>
        <v>0</v>
      </c>
      <c r="H686" s="13"/>
      <c r="I686" s="67"/>
      <c r="J686" s="67"/>
      <c r="K686" s="80" t="str">
        <f t="shared" si="14"/>
        <v>CDAVG</v>
      </c>
      <c r="L686" s="80" t="str">
        <f ca="1">IF(ISNUMBER(FIND("(",$I686)), "", _xll.IMDP("IR", $K686, $L$50, WORKDAY('CD|CP 발행사'!$C$4,-1)) )</f>
        <v/>
      </c>
    </row>
    <row r="687" spans="7:12">
      <c r="G687">
        <f ca="1">IF( ISNUMBER($L687), MAX($G$50:G686)+1,0)</f>
        <v>0</v>
      </c>
      <c r="H687" s="13"/>
      <c r="I687" s="67"/>
      <c r="J687" s="67"/>
      <c r="K687" s="80" t="str">
        <f t="shared" si="14"/>
        <v>CDAVG</v>
      </c>
      <c r="L687" s="80" t="str">
        <f ca="1">IF(ISNUMBER(FIND("(",$I687)), "", _xll.IMDP("IR", $K687, $L$50, WORKDAY('CD|CP 발행사'!$C$4,-1)) )</f>
        <v/>
      </c>
    </row>
    <row r="688" spans="7:12">
      <c r="G688">
        <f ca="1">IF( ISNUMBER($L688), MAX($G$50:G687)+1,0)</f>
        <v>0</v>
      </c>
      <c r="H688" s="13"/>
      <c r="I688" s="67"/>
      <c r="J688" s="67"/>
      <c r="K688" s="80" t="str">
        <f t="shared" si="14"/>
        <v>CDAVG</v>
      </c>
      <c r="L688" s="80" t="str">
        <f ca="1">IF(ISNUMBER(FIND("(",$I688)), "", _xll.IMDP("IR", $K688, $L$50, WORKDAY('CD|CP 발행사'!$C$4,-1)) )</f>
        <v/>
      </c>
    </row>
    <row r="689" spans="7:12">
      <c r="G689">
        <f ca="1">IF( ISNUMBER($L689), MAX($G$50:G688)+1,0)</f>
        <v>0</v>
      </c>
      <c r="H689" s="13"/>
      <c r="I689" s="67"/>
      <c r="J689" s="67"/>
      <c r="K689" s="80" t="str">
        <f t="shared" si="14"/>
        <v>CDAVG</v>
      </c>
      <c r="L689" s="80" t="str">
        <f ca="1">IF(ISNUMBER(FIND("(",$I689)), "", _xll.IMDP("IR", $K689, $L$50, WORKDAY('CD|CP 발행사'!$C$4,-1)) )</f>
        <v/>
      </c>
    </row>
    <row r="690" spans="7:12">
      <c r="G690">
        <f ca="1">IF( ISNUMBER($L690), MAX($G$50:G689)+1,0)</f>
        <v>0</v>
      </c>
      <c r="H690" s="13"/>
      <c r="I690" s="67"/>
      <c r="J690" s="67"/>
      <c r="K690" s="80" t="str">
        <f t="shared" si="14"/>
        <v>CDAVG</v>
      </c>
      <c r="L690" s="80" t="str">
        <f ca="1">IF(ISNUMBER(FIND("(",$I690)), "", _xll.IMDP("IR", $K690, $L$50, WORKDAY('CD|CP 발행사'!$C$4,-1)) )</f>
        <v/>
      </c>
    </row>
    <row r="691" spans="7:12">
      <c r="G691">
        <f ca="1">IF( ISNUMBER($L691), MAX($G$50:G690)+1,0)</f>
        <v>0</v>
      </c>
      <c r="H691" s="13"/>
      <c r="I691" s="67"/>
      <c r="J691" s="67"/>
      <c r="K691" s="80" t="str">
        <f t="shared" ref="K691:K754" si="15">$K$49&amp;$H691</f>
        <v>CDAVG</v>
      </c>
      <c r="L691" s="80" t="str">
        <f ca="1">IF(ISNUMBER(FIND("(",$I691)), "", _xll.IMDP("IR", $K691, $L$50, WORKDAY('CD|CP 발행사'!$C$4,-1)) )</f>
        <v/>
      </c>
    </row>
    <row r="692" spans="7:12">
      <c r="G692">
        <f ca="1">IF( ISNUMBER($L692), MAX($G$50:G691)+1,0)</f>
        <v>0</v>
      </c>
      <c r="H692" s="13"/>
      <c r="I692" s="67"/>
      <c r="J692" s="67"/>
      <c r="K692" s="80" t="str">
        <f t="shared" si="15"/>
        <v>CDAVG</v>
      </c>
      <c r="L692" s="80" t="str">
        <f ca="1">IF(ISNUMBER(FIND("(",$I692)), "", _xll.IMDP("IR", $K692, $L$50, WORKDAY('CD|CP 발행사'!$C$4,-1)) )</f>
        <v/>
      </c>
    </row>
    <row r="693" spans="7:12">
      <c r="G693">
        <f ca="1">IF( ISNUMBER($L693), MAX($G$50:G692)+1,0)</f>
        <v>0</v>
      </c>
      <c r="H693" s="13"/>
      <c r="I693" s="67"/>
      <c r="J693" s="67"/>
      <c r="K693" s="80" t="str">
        <f t="shared" si="15"/>
        <v>CDAVG</v>
      </c>
      <c r="L693" s="80" t="str">
        <f ca="1">IF(ISNUMBER(FIND("(",$I693)), "", _xll.IMDP("IR", $K693, $L$50, WORKDAY('CD|CP 발행사'!$C$4,-1)) )</f>
        <v/>
      </c>
    </row>
    <row r="694" spans="7:12">
      <c r="G694">
        <f ca="1">IF( ISNUMBER($L694), MAX($G$50:G693)+1,0)</f>
        <v>0</v>
      </c>
      <c r="H694" s="13"/>
      <c r="I694" s="67"/>
      <c r="J694" s="67"/>
      <c r="K694" s="80" t="str">
        <f t="shared" si="15"/>
        <v>CDAVG</v>
      </c>
      <c r="L694" s="80" t="str">
        <f ca="1">IF(ISNUMBER(FIND("(",$I694)), "", _xll.IMDP("IR", $K694, $L$50, WORKDAY('CD|CP 발행사'!$C$4,-1)) )</f>
        <v/>
      </c>
    </row>
    <row r="695" spans="7:12">
      <c r="G695">
        <f ca="1">IF( ISNUMBER($L695), MAX($G$50:G694)+1,0)</f>
        <v>0</v>
      </c>
      <c r="H695" s="13"/>
      <c r="I695" s="67"/>
      <c r="J695" s="67"/>
      <c r="K695" s="80" t="str">
        <f t="shared" si="15"/>
        <v>CDAVG</v>
      </c>
      <c r="L695" s="80" t="str">
        <f ca="1">IF(ISNUMBER(FIND("(",$I695)), "", _xll.IMDP("IR", $K695, $L$50, WORKDAY('CD|CP 발행사'!$C$4,-1)) )</f>
        <v/>
      </c>
    </row>
    <row r="696" spans="7:12">
      <c r="G696">
        <f ca="1">IF( ISNUMBER($L696), MAX($G$50:G695)+1,0)</f>
        <v>0</v>
      </c>
      <c r="H696" s="13"/>
      <c r="I696" s="67"/>
      <c r="J696" s="67"/>
      <c r="K696" s="80" t="str">
        <f t="shared" si="15"/>
        <v>CDAVG</v>
      </c>
      <c r="L696" s="80" t="str">
        <f ca="1">IF(ISNUMBER(FIND("(",$I696)), "", _xll.IMDP("IR", $K696, $L$50, WORKDAY('CD|CP 발행사'!$C$4,-1)) )</f>
        <v/>
      </c>
    </row>
    <row r="697" spans="7:12">
      <c r="G697">
        <f ca="1">IF( ISNUMBER($L697), MAX($G$50:G696)+1,0)</f>
        <v>0</v>
      </c>
      <c r="H697" s="13"/>
      <c r="I697" s="67"/>
      <c r="J697" s="67"/>
      <c r="K697" s="80" t="str">
        <f t="shared" si="15"/>
        <v>CDAVG</v>
      </c>
      <c r="L697" s="80" t="str">
        <f ca="1">IF(ISNUMBER(FIND("(",$I697)), "", _xll.IMDP("IR", $K697, $L$50, WORKDAY('CD|CP 발행사'!$C$4,-1)) )</f>
        <v/>
      </c>
    </row>
    <row r="698" spans="7:12">
      <c r="G698">
        <f ca="1">IF( ISNUMBER($L698), MAX($G$50:G697)+1,0)</f>
        <v>0</v>
      </c>
      <c r="H698" s="13"/>
      <c r="I698" s="67"/>
      <c r="J698" s="67"/>
      <c r="K698" s="80" t="str">
        <f t="shared" si="15"/>
        <v>CDAVG</v>
      </c>
      <c r="L698" s="80" t="str">
        <f ca="1">IF(ISNUMBER(FIND("(",$I698)), "", _xll.IMDP("IR", $K698, $L$50, WORKDAY('CD|CP 발행사'!$C$4,-1)) )</f>
        <v/>
      </c>
    </row>
    <row r="699" spans="7:12">
      <c r="G699">
        <f ca="1">IF( ISNUMBER($L699), MAX($G$50:G698)+1,0)</f>
        <v>0</v>
      </c>
      <c r="H699" s="13"/>
      <c r="I699" s="67"/>
      <c r="J699" s="67"/>
      <c r="K699" s="80" t="str">
        <f t="shared" si="15"/>
        <v>CDAVG</v>
      </c>
      <c r="L699" s="80" t="str">
        <f ca="1">IF(ISNUMBER(FIND("(",$I699)), "", _xll.IMDP("IR", $K699, $L$50, WORKDAY('CD|CP 발행사'!$C$4,-1)) )</f>
        <v/>
      </c>
    </row>
    <row r="700" spans="7:12">
      <c r="G700">
        <f ca="1">IF( ISNUMBER($L700), MAX($G$50:G699)+1,0)</f>
        <v>0</v>
      </c>
      <c r="H700" s="13"/>
      <c r="I700" s="67"/>
      <c r="J700" s="67"/>
      <c r="K700" s="80" t="str">
        <f t="shared" si="15"/>
        <v>CDAVG</v>
      </c>
      <c r="L700" s="80" t="str">
        <f ca="1">IF(ISNUMBER(FIND("(",$I700)), "", _xll.IMDP("IR", $K700, $L$50, WORKDAY('CD|CP 발행사'!$C$4,-1)) )</f>
        <v/>
      </c>
    </row>
    <row r="701" spans="7:12">
      <c r="G701">
        <f ca="1">IF( ISNUMBER($L701), MAX($G$50:G700)+1,0)</f>
        <v>0</v>
      </c>
      <c r="H701" s="13"/>
      <c r="I701" s="67"/>
      <c r="J701" s="67"/>
      <c r="K701" s="80" t="str">
        <f t="shared" si="15"/>
        <v>CDAVG</v>
      </c>
      <c r="L701" s="80" t="str">
        <f ca="1">IF(ISNUMBER(FIND("(",$I701)), "", _xll.IMDP("IR", $K701, $L$50, WORKDAY('CD|CP 발행사'!$C$4,-1)) )</f>
        <v/>
      </c>
    </row>
    <row r="702" spans="7:12">
      <c r="G702">
        <f ca="1">IF( ISNUMBER($L702), MAX($G$50:G701)+1,0)</f>
        <v>0</v>
      </c>
      <c r="H702" s="13"/>
      <c r="I702" s="67"/>
      <c r="J702" s="67"/>
      <c r="K702" s="80" t="str">
        <f t="shared" si="15"/>
        <v>CDAVG</v>
      </c>
      <c r="L702" s="80" t="str">
        <f ca="1">IF(ISNUMBER(FIND("(",$I702)), "", _xll.IMDP("IR", $K702, $L$50, WORKDAY('CD|CP 발행사'!$C$4,-1)) )</f>
        <v/>
      </c>
    </row>
    <row r="703" spans="7:12">
      <c r="G703">
        <f ca="1">IF( ISNUMBER($L703), MAX($G$50:G702)+1,0)</f>
        <v>0</v>
      </c>
      <c r="H703" s="13"/>
      <c r="I703" s="67"/>
      <c r="J703" s="67"/>
      <c r="K703" s="80" t="str">
        <f t="shared" si="15"/>
        <v>CDAVG</v>
      </c>
      <c r="L703" s="80" t="str">
        <f ca="1">IF(ISNUMBER(FIND("(",$I703)), "", _xll.IMDP("IR", $K703, $L$50, WORKDAY('CD|CP 발행사'!$C$4,-1)) )</f>
        <v/>
      </c>
    </row>
    <row r="704" spans="7:12">
      <c r="G704">
        <f ca="1">IF( ISNUMBER($L704), MAX($G$50:G703)+1,0)</f>
        <v>0</v>
      </c>
      <c r="H704" s="13"/>
      <c r="I704" s="67"/>
      <c r="J704" s="67"/>
      <c r="K704" s="80" t="str">
        <f t="shared" si="15"/>
        <v>CDAVG</v>
      </c>
      <c r="L704" s="80" t="str">
        <f ca="1">IF(ISNUMBER(FIND("(",$I704)), "", _xll.IMDP("IR", $K704, $L$50, WORKDAY('CD|CP 발행사'!$C$4,-1)) )</f>
        <v/>
      </c>
    </row>
    <row r="705" spans="7:12">
      <c r="G705">
        <f ca="1">IF( ISNUMBER($L705), MAX($G$50:G704)+1,0)</f>
        <v>0</v>
      </c>
      <c r="H705" s="13"/>
      <c r="I705" s="67"/>
      <c r="J705" s="67"/>
      <c r="K705" s="80" t="str">
        <f t="shared" si="15"/>
        <v>CDAVG</v>
      </c>
      <c r="L705" s="80" t="str">
        <f ca="1">IF(ISNUMBER(FIND("(",$I705)), "", _xll.IMDP("IR", $K705, $L$50, WORKDAY('CD|CP 발행사'!$C$4,-1)) )</f>
        <v/>
      </c>
    </row>
    <row r="706" spans="7:12">
      <c r="G706">
        <f ca="1">IF( ISNUMBER($L706), MAX($G$50:G705)+1,0)</f>
        <v>0</v>
      </c>
      <c r="H706" s="13"/>
      <c r="I706" s="67"/>
      <c r="J706" s="67"/>
      <c r="K706" s="80" t="str">
        <f t="shared" si="15"/>
        <v>CDAVG</v>
      </c>
      <c r="L706" s="80" t="str">
        <f ca="1">IF(ISNUMBER(FIND("(",$I706)), "", _xll.IMDP("IR", $K706, $L$50, WORKDAY('CD|CP 발행사'!$C$4,-1)) )</f>
        <v/>
      </c>
    </row>
    <row r="707" spans="7:12">
      <c r="G707">
        <f ca="1">IF( ISNUMBER($L707), MAX($G$50:G706)+1,0)</f>
        <v>0</v>
      </c>
      <c r="H707" s="13"/>
      <c r="I707" s="67"/>
      <c r="J707" s="67"/>
      <c r="K707" s="80" t="str">
        <f t="shared" si="15"/>
        <v>CDAVG</v>
      </c>
      <c r="L707" s="80" t="str">
        <f ca="1">IF(ISNUMBER(FIND("(",$I707)), "", _xll.IMDP("IR", $K707, $L$50, WORKDAY('CD|CP 발행사'!$C$4,-1)) )</f>
        <v/>
      </c>
    </row>
    <row r="708" spans="7:12">
      <c r="G708">
        <f ca="1">IF( ISNUMBER($L708), MAX($G$50:G707)+1,0)</f>
        <v>0</v>
      </c>
      <c r="H708" s="13"/>
      <c r="I708" s="67"/>
      <c r="J708" s="67"/>
      <c r="K708" s="80" t="str">
        <f t="shared" si="15"/>
        <v>CDAVG</v>
      </c>
      <c r="L708" s="80" t="str">
        <f ca="1">IF(ISNUMBER(FIND("(",$I708)), "", _xll.IMDP("IR", $K708, $L$50, WORKDAY('CD|CP 발행사'!$C$4,-1)) )</f>
        <v/>
      </c>
    </row>
    <row r="709" spans="7:12">
      <c r="G709">
        <f ca="1">IF( ISNUMBER($L709), MAX($G$50:G708)+1,0)</f>
        <v>0</v>
      </c>
      <c r="H709" s="13"/>
      <c r="I709" s="67"/>
      <c r="J709" s="67"/>
      <c r="K709" s="80" t="str">
        <f t="shared" si="15"/>
        <v>CDAVG</v>
      </c>
      <c r="L709" s="80" t="str">
        <f ca="1">IF(ISNUMBER(FIND("(",$I709)), "", _xll.IMDP("IR", $K709, $L$50, WORKDAY('CD|CP 발행사'!$C$4,-1)) )</f>
        <v/>
      </c>
    </row>
    <row r="710" spans="7:12">
      <c r="G710">
        <f ca="1">IF( ISNUMBER($L710), MAX($G$50:G709)+1,0)</f>
        <v>0</v>
      </c>
      <c r="H710" s="13"/>
      <c r="I710" s="67"/>
      <c r="J710" s="67"/>
      <c r="K710" s="80" t="str">
        <f t="shared" si="15"/>
        <v>CDAVG</v>
      </c>
      <c r="L710" s="80" t="str">
        <f ca="1">IF(ISNUMBER(FIND("(",$I710)), "", _xll.IMDP("IR", $K710, $L$50, WORKDAY('CD|CP 발행사'!$C$4,-1)) )</f>
        <v/>
      </c>
    </row>
    <row r="711" spans="7:12">
      <c r="G711">
        <f ca="1">IF( ISNUMBER($L711), MAX($G$50:G710)+1,0)</f>
        <v>0</v>
      </c>
      <c r="H711" s="13"/>
      <c r="I711" s="67"/>
      <c r="J711" s="67"/>
      <c r="K711" s="80" t="str">
        <f t="shared" si="15"/>
        <v>CDAVG</v>
      </c>
      <c r="L711" s="80" t="str">
        <f ca="1">IF(ISNUMBER(FIND("(",$I711)), "", _xll.IMDP("IR", $K711, $L$50, WORKDAY('CD|CP 발행사'!$C$4,-1)) )</f>
        <v/>
      </c>
    </row>
    <row r="712" spans="7:12">
      <c r="G712">
        <f ca="1">IF( ISNUMBER($L712), MAX($G$50:G711)+1,0)</f>
        <v>0</v>
      </c>
      <c r="H712" s="13"/>
      <c r="I712" s="67"/>
      <c r="J712" s="67"/>
      <c r="K712" s="80" t="str">
        <f t="shared" si="15"/>
        <v>CDAVG</v>
      </c>
      <c r="L712" s="80" t="str">
        <f ca="1">IF(ISNUMBER(FIND("(",$I712)), "", _xll.IMDP("IR", $K712, $L$50, WORKDAY('CD|CP 발행사'!$C$4,-1)) )</f>
        <v/>
      </c>
    </row>
    <row r="713" spans="7:12">
      <c r="G713">
        <f ca="1">IF( ISNUMBER($L713), MAX($G$50:G712)+1,0)</f>
        <v>0</v>
      </c>
      <c r="H713" s="13"/>
      <c r="I713" s="67"/>
      <c r="J713" s="67"/>
      <c r="K713" s="80" t="str">
        <f t="shared" si="15"/>
        <v>CDAVG</v>
      </c>
      <c r="L713" s="80" t="str">
        <f ca="1">IF(ISNUMBER(FIND("(",$I713)), "", _xll.IMDP("IR", $K713, $L$50, WORKDAY('CD|CP 발행사'!$C$4,-1)) )</f>
        <v/>
      </c>
    </row>
    <row r="714" spans="7:12">
      <c r="G714">
        <f ca="1">IF( ISNUMBER($L714), MAX($G$50:G713)+1,0)</f>
        <v>0</v>
      </c>
      <c r="H714" s="13"/>
      <c r="I714" s="67"/>
      <c r="J714" s="67"/>
      <c r="K714" s="80" t="str">
        <f t="shared" si="15"/>
        <v>CDAVG</v>
      </c>
      <c r="L714" s="80" t="str">
        <f ca="1">IF(ISNUMBER(FIND("(",$I714)), "", _xll.IMDP("IR", $K714, $L$50, WORKDAY('CD|CP 발행사'!$C$4,-1)) )</f>
        <v/>
      </c>
    </row>
    <row r="715" spans="7:12">
      <c r="G715">
        <f ca="1">IF( ISNUMBER($L715), MAX($G$50:G714)+1,0)</f>
        <v>0</v>
      </c>
      <c r="H715" s="13"/>
      <c r="I715" s="67"/>
      <c r="J715" s="67"/>
      <c r="K715" s="80" t="str">
        <f t="shared" si="15"/>
        <v>CDAVG</v>
      </c>
      <c r="L715" s="80" t="str">
        <f ca="1">IF(ISNUMBER(FIND("(",$I715)), "", _xll.IMDP("IR", $K715, $L$50, WORKDAY('CD|CP 발행사'!$C$4,-1)) )</f>
        <v/>
      </c>
    </row>
    <row r="716" spans="7:12">
      <c r="G716">
        <f ca="1">IF( ISNUMBER($L716), MAX($G$50:G715)+1,0)</f>
        <v>0</v>
      </c>
      <c r="H716" s="13"/>
      <c r="I716" s="67"/>
      <c r="J716" s="67"/>
      <c r="K716" s="80" t="str">
        <f t="shared" si="15"/>
        <v>CDAVG</v>
      </c>
      <c r="L716" s="80" t="str">
        <f ca="1">IF(ISNUMBER(FIND("(",$I716)), "", _xll.IMDP("IR", $K716, $L$50, WORKDAY('CD|CP 발행사'!$C$4,-1)) )</f>
        <v/>
      </c>
    </row>
    <row r="717" spans="7:12">
      <c r="G717">
        <f ca="1">IF( ISNUMBER($L717), MAX($G$50:G716)+1,0)</f>
        <v>0</v>
      </c>
      <c r="H717" s="13"/>
      <c r="I717" s="67"/>
      <c r="J717" s="67"/>
      <c r="K717" s="80" t="str">
        <f t="shared" si="15"/>
        <v>CDAVG</v>
      </c>
      <c r="L717" s="80" t="str">
        <f ca="1">IF(ISNUMBER(FIND("(",$I717)), "", _xll.IMDP("IR", $K717, $L$50, WORKDAY('CD|CP 발행사'!$C$4,-1)) )</f>
        <v/>
      </c>
    </row>
    <row r="718" spans="7:12">
      <c r="G718">
        <f ca="1">IF( ISNUMBER($L718), MAX($G$50:G717)+1,0)</f>
        <v>0</v>
      </c>
      <c r="H718" s="13"/>
      <c r="I718" s="67"/>
      <c r="J718" s="67"/>
      <c r="K718" s="80" t="str">
        <f t="shared" si="15"/>
        <v>CDAVG</v>
      </c>
      <c r="L718" s="80" t="str">
        <f ca="1">IF(ISNUMBER(FIND("(",$I718)), "", _xll.IMDP("IR", $K718, $L$50, WORKDAY('CD|CP 발행사'!$C$4,-1)) )</f>
        <v/>
      </c>
    </row>
    <row r="719" spans="7:12">
      <c r="G719">
        <f ca="1">IF( ISNUMBER($L719), MAX($G$50:G718)+1,0)</f>
        <v>0</v>
      </c>
      <c r="H719" s="13"/>
      <c r="I719" s="67"/>
      <c r="J719" s="67"/>
      <c r="K719" s="80" t="str">
        <f t="shared" si="15"/>
        <v>CDAVG</v>
      </c>
      <c r="L719" s="80" t="str">
        <f ca="1">IF(ISNUMBER(FIND("(",$I719)), "", _xll.IMDP("IR", $K719, $L$50, WORKDAY('CD|CP 발행사'!$C$4,-1)) )</f>
        <v/>
      </c>
    </row>
    <row r="720" spans="7:12">
      <c r="G720">
        <f ca="1">IF( ISNUMBER($L720), MAX($G$50:G719)+1,0)</f>
        <v>0</v>
      </c>
      <c r="H720" s="13"/>
      <c r="I720" s="67"/>
      <c r="J720" s="67"/>
      <c r="K720" s="80" t="str">
        <f t="shared" si="15"/>
        <v>CDAVG</v>
      </c>
      <c r="L720" s="80" t="str">
        <f ca="1">IF(ISNUMBER(FIND("(",$I720)), "", _xll.IMDP("IR", $K720, $L$50, WORKDAY('CD|CP 발행사'!$C$4,-1)) )</f>
        <v/>
      </c>
    </row>
    <row r="721" spans="7:12">
      <c r="G721">
        <f ca="1">IF( ISNUMBER($L721), MAX($G$50:G720)+1,0)</f>
        <v>0</v>
      </c>
      <c r="H721" s="13"/>
      <c r="I721" s="67"/>
      <c r="J721" s="67"/>
      <c r="K721" s="80" t="str">
        <f t="shared" si="15"/>
        <v>CDAVG</v>
      </c>
      <c r="L721" s="80" t="str">
        <f ca="1">IF(ISNUMBER(FIND("(",$I721)), "", _xll.IMDP("IR", $K721, $L$50, WORKDAY('CD|CP 발행사'!$C$4,-1)) )</f>
        <v/>
      </c>
    </row>
    <row r="722" spans="7:12">
      <c r="G722">
        <f ca="1">IF( ISNUMBER($L722), MAX($G$50:G721)+1,0)</f>
        <v>0</v>
      </c>
      <c r="H722" s="13"/>
      <c r="I722" s="67"/>
      <c r="J722" s="67"/>
      <c r="K722" s="80" t="str">
        <f t="shared" si="15"/>
        <v>CDAVG</v>
      </c>
      <c r="L722" s="80" t="str">
        <f ca="1">IF(ISNUMBER(FIND("(",$I722)), "", _xll.IMDP("IR", $K722, $L$50, WORKDAY('CD|CP 발행사'!$C$4,-1)) )</f>
        <v/>
      </c>
    </row>
    <row r="723" spans="7:12">
      <c r="G723">
        <f ca="1">IF( ISNUMBER($L723), MAX($G$50:G722)+1,0)</f>
        <v>0</v>
      </c>
      <c r="H723" s="13"/>
      <c r="I723" s="67"/>
      <c r="J723" s="67"/>
      <c r="K723" s="80" t="str">
        <f t="shared" si="15"/>
        <v>CDAVG</v>
      </c>
      <c r="L723" s="80" t="str">
        <f ca="1">IF(ISNUMBER(FIND("(",$I723)), "", _xll.IMDP("IR", $K723, $L$50, WORKDAY('CD|CP 발행사'!$C$4,-1)) )</f>
        <v/>
      </c>
    </row>
    <row r="724" spans="7:12">
      <c r="G724">
        <f ca="1">IF( ISNUMBER($L724), MAX($G$50:G723)+1,0)</f>
        <v>0</v>
      </c>
      <c r="H724" s="13"/>
      <c r="I724" s="67"/>
      <c r="J724" s="67"/>
      <c r="K724" s="80" t="str">
        <f t="shared" si="15"/>
        <v>CDAVG</v>
      </c>
      <c r="L724" s="80" t="str">
        <f ca="1">IF(ISNUMBER(FIND("(",$I724)), "", _xll.IMDP("IR", $K724, $L$50, WORKDAY('CD|CP 발행사'!$C$4,-1)) )</f>
        <v/>
      </c>
    </row>
    <row r="725" spans="7:12">
      <c r="G725">
        <f ca="1">IF( ISNUMBER($L725), MAX($G$50:G724)+1,0)</f>
        <v>0</v>
      </c>
      <c r="H725" s="13"/>
      <c r="I725" s="67"/>
      <c r="J725" s="67"/>
      <c r="K725" s="80" t="str">
        <f t="shared" si="15"/>
        <v>CDAVG</v>
      </c>
      <c r="L725" s="80" t="str">
        <f ca="1">IF(ISNUMBER(FIND("(",$I725)), "", _xll.IMDP("IR", $K725, $L$50, WORKDAY('CD|CP 발행사'!$C$4,-1)) )</f>
        <v/>
      </c>
    </row>
    <row r="726" spans="7:12">
      <c r="G726">
        <f ca="1">IF( ISNUMBER($L726), MAX($G$50:G725)+1,0)</f>
        <v>0</v>
      </c>
      <c r="H726" s="13"/>
      <c r="I726" s="67"/>
      <c r="J726" s="67"/>
      <c r="K726" s="80" t="str">
        <f t="shared" si="15"/>
        <v>CDAVG</v>
      </c>
      <c r="L726" s="80" t="str">
        <f ca="1">IF(ISNUMBER(FIND("(",$I726)), "", _xll.IMDP("IR", $K726, $L$50, WORKDAY('CD|CP 발행사'!$C$4,-1)) )</f>
        <v/>
      </c>
    </row>
    <row r="727" spans="7:12">
      <c r="G727">
        <f ca="1">IF( ISNUMBER($L727), MAX($G$50:G726)+1,0)</f>
        <v>0</v>
      </c>
      <c r="H727" s="13"/>
      <c r="I727" s="67"/>
      <c r="J727" s="67"/>
      <c r="K727" s="80" t="str">
        <f t="shared" si="15"/>
        <v>CDAVG</v>
      </c>
      <c r="L727" s="80" t="str">
        <f ca="1">IF(ISNUMBER(FIND("(",$I727)), "", _xll.IMDP("IR", $K727, $L$50, WORKDAY('CD|CP 발행사'!$C$4,-1)) )</f>
        <v/>
      </c>
    </row>
    <row r="728" spans="7:12">
      <c r="G728">
        <f ca="1">IF( ISNUMBER($L728), MAX($G$50:G727)+1,0)</f>
        <v>0</v>
      </c>
      <c r="H728" s="13"/>
      <c r="I728" s="67"/>
      <c r="J728" s="67"/>
      <c r="K728" s="80" t="str">
        <f t="shared" si="15"/>
        <v>CDAVG</v>
      </c>
      <c r="L728" s="80" t="str">
        <f ca="1">IF(ISNUMBER(FIND("(",$I728)), "", _xll.IMDP("IR", $K728, $L$50, WORKDAY('CD|CP 발행사'!$C$4,-1)) )</f>
        <v/>
      </c>
    </row>
    <row r="729" spans="7:12">
      <c r="G729">
        <f ca="1">IF( ISNUMBER($L729), MAX($G$50:G728)+1,0)</f>
        <v>0</v>
      </c>
      <c r="H729" s="13"/>
      <c r="I729" s="67"/>
      <c r="J729" s="67"/>
      <c r="K729" s="80" t="str">
        <f t="shared" si="15"/>
        <v>CDAVG</v>
      </c>
      <c r="L729" s="80" t="str">
        <f ca="1">IF(ISNUMBER(FIND("(",$I729)), "", _xll.IMDP("IR", $K729, $L$50, WORKDAY('CD|CP 발행사'!$C$4,-1)) )</f>
        <v/>
      </c>
    </row>
    <row r="730" spans="7:12">
      <c r="G730">
        <f ca="1">IF( ISNUMBER($L730), MAX($G$50:G729)+1,0)</f>
        <v>0</v>
      </c>
      <c r="H730" s="13"/>
      <c r="I730" s="67"/>
      <c r="J730" s="67"/>
      <c r="K730" s="80" t="str">
        <f t="shared" si="15"/>
        <v>CDAVG</v>
      </c>
      <c r="L730" s="80" t="str">
        <f ca="1">IF(ISNUMBER(FIND("(",$I730)), "", _xll.IMDP("IR", $K730, $L$50, WORKDAY('CD|CP 발행사'!$C$4,-1)) )</f>
        <v/>
      </c>
    </row>
    <row r="731" spans="7:12">
      <c r="G731">
        <f ca="1">IF( ISNUMBER($L731), MAX($G$50:G730)+1,0)</f>
        <v>0</v>
      </c>
      <c r="H731" s="13"/>
      <c r="I731" s="67"/>
      <c r="J731" s="67"/>
      <c r="K731" s="80" t="str">
        <f t="shared" si="15"/>
        <v>CDAVG</v>
      </c>
      <c r="L731" s="80" t="str">
        <f ca="1">IF(ISNUMBER(FIND("(",$I731)), "", _xll.IMDP("IR", $K731, $L$50, WORKDAY('CD|CP 발행사'!$C$4,-1)) )</f>
        <v/>
      </c>
    </row>
    <row r="732" spans="7:12">
      <c r="G732">
        <f ca="1">IF( ISNUMBER($L732), MAX($G$50:G731)+1,0)</f>
        <v>0</v>
      </c>
      <c r="H732" s="13"/>
      <c r="I732" s="67"/>
      <c r="J732" s="67"/>
      <c r="K732" s="80" t="str">
        <f t="shared" si="15"/>
        <v>CDAVG</v>
      </c>
      <c r="L732" s="80" t="str">
        <f ca="1">IF(ISNUMBER(FIND("(",$I732)), "", _xll.IMDP("IR", $K732, $L$50, WORKDAY('CD|CP 발행사'!$C$4,-1)) )</f>
        <v/>
      </c>
    </row>
    <row r="733" spans="7:12">
      <c r="G733">
        <f ca="1">IF( ISNUMBER($L733), MAX($G$50:G732)+1,0)</f>
        <v>0</v>
      </c>
      <c r="H733" s="13"/>
      <c r="I733" s="67"/>
      <c r="J733" s="67"/>
      <c r="K733" s="80" t="str">
        <f t="shared" si="15"/>
        <v>CDAVG</v>
      </c>
      <c r="L733" s="80" t="str">
        <f ca="1">IF(ISNUMBER(FIND("(",$I733)), "", _xll.IMDP("IR", $K733, $L$50, WORKDAY('CD|CP 발행사'!$C$4,-1)) )</f>
        <v/>
      </c>
    </row>
    <row r="734" spans="7:12">
      <c r="G734">
        <f ca="1">IF( ISNUMBER($L734), MAX($G$50:G733)+1,0)</f>
        <v>0</v>
      </c>
      <c r="H734" s="13"/>
      <c r="I734" s="67"/>
      <c r="J734" s="67"/>
      <c r="K734" s="80" t="str">
        <f t="shared" si="15"/>
        <v>CDAVG</v>
      </c>
      <c r="L734" s="80" t="str">
        <f ca="1">IF(ISNUMBER(FIND("(",$I734)), "", _xll.IMDP("IR", $K734, $L$50, WORKDAY('CD|CP 발행사'!$C$4,-1)) )</f>
        <v/>
      </c>
    </row>
    <row r="735" spans="7:12">
      <c r="G735">
        <f ca="1">IF( ISNUMBER($L735), MAX($G$50:G734)+1,0)</f>
        <v>0</v>
      </c>
      <c r="H735" s="13"/>
      <c r="I735" s="67"/>
      <c r="J735" s="67"/>
      <c r="K735" s="80" t="str">
        <f t="shared" si="15"/>
        <v>CDAVG</v>
      </c>
      <c r="L735" s="80" t="str">
        <f ca="1">IF(ISNUMBER(FIND("(",$I735)), "", _xll.IMDP("IR", $K735, $L$50, WORKDAY('CD|CP 발행사'!$C$4,-1)) )</f>
        <v/>
      </c>
    </row>
    <row r="736" spans="7:12">
      <c r="G736">
        <f ca="1">IF( ISNUMBER($L736), MAX($G$50:G735)+1,0)</f>
        <v>0</v>
      </c>
      <c r="H736" s="13"/>
      <c r="I736" s="67"/>
      <c r="J736" s="67"/>
      <c r="K736" s="80" t="str">
        <f t="shared" si="15"/>
        <v>CDAVG</v>
      </c>
      <c r="L736" s="80" t="str">
        <f ca="1">IF(ISNUMBER(FIND("(",$I736)), "", _xll.IMDP("IR", $K736, $L$50, WORKDAY('CD|CP 발행사'!$C$4,-1)) )</f>
        <v/>
      </c>
    </row>
    <row r="737" spans="7:12">
      <c r="G737">
        <f ca="1">IF( ISNUMBER($L737), MAX($G$50:G736)+1,0)</f>
        <v>0</v>
      </c>
      <c r="H737" s="13"/>
      <c r="I737" s="67"/>
      <c r="J737" s="67"/>
      <c r="K737" s="80" t="str">
        <f t="shared" si="15"/>
        <v>CDAVG</v>
      </c>
      <c r="L737" s="80" t="str">
        <f ca="1">IF(ISNUMBER(FIND("(",$I737)), "", _xll.IMDP("IR", $K737, $L$50, WORKDAY('CD|CP 발행사'!$C$4,-1)) )</f>
        <v/>
      </c>
    </row>
    <row r="738" spans="7:12">
      <c r="G738">
        <f ca="1">IF( ISNUMBER($L738), MAX($G$50:G737)+1,0)</f>
        <v>0</v>
      </c>
      <c r="H738" s="13"/>
      <c r="I738" s="67"/>
      <c r="J738" s="67"/>
      <c r="K738" s="80" t="str">
        <f t="shared" si="15"/>
        <v>CDAVG</v>
      </c>
      <c r="L738" s="80" t="str">
        <f ca="1">IF(ISNUMBER(FIND("(",$I738)), "", _xll.IMDP("IR", $K738, $L$50, WORKDAY('CD|CP 발행사'!$C$4,-1)) )</f>
        <v/>
      </c>
    </row>
    <row r="739" spans="7:12">
      <c r="G739">
        <f ca="1">IF( ISNUMBER($L739), MAX($G$50:G738)+1,0)</f>
        <v>0</v>
      </c>
      <c r="H739" s="13"/>
      <c r="I739" s="67"/>
      <c r="J739" s="67"/>
      <c r="K739" s="80" t="str">
        <f t="shared" si="15"/>
        <v>CDAVG</v>
      </c>
      <c r="L739" s="80" t="str">
        <f ca="1">IF(ISNUMBER(FIND("(",$I739)), "", _xll.IMDP("IR", $K739, $L$50, WORKDAY('CD|CP 발행사'!$C$4,-1)) )</f>
        <v/>
      </c>
    </row>
    <row r="740" spans="7:12">
      <c r="G740">
        <f ca="1">IF( ISNUMBER($L740), MAX($G$50:G739)+1,0)</f>
        <v>0</v>
      </c>
      <c r="H740" s="13"/>
      <c r="I740" s="67"/>
      <c r="J740" s="67"/>
      <c r="K740" s="80" t="str">
        <f t="shared" si="15"/>
        <v>CDAVG</v>
      </c>
      <c r="L740" s="80" t="str">
        <f ca="1">IF(ISNUMBER(FIND("(",$I740)), "", _xll.IMDP("IR", $K740, $L$50, WORKDAY('CD|CP 발행사'!$C$4,-1)) )</f>
        <v/>
      </c>
    </row>
    <row r="741" spans="7:12">
      <c r="G741">
        <f ca="1">IF( ISNUMBER($L741), MAX($G$50:G740)+1,0)</f>
        <v>0</v>
      </c>
      <c r="H741" s="13"/>
      <c r="I741" s="67"/>
      <c r="J741" s="67"/>
      <c r="K741" s="80" t="str">
        <f t="shared" si="15"/>
        <v>CDAVG</v>
      </c>
      <c r="L741" s="80" t="str">
        <f ca="1">IF(ISNUMBER(FIND("(",$I741)), "", _xll.IMDP("IR", $K741, $L$50, WORKDAY('CD|CP 발행사'!$C$4,-1)) )</f>
        <v/>
      </c>
    </row>
    <row r="742" spans="7:12">
      <c r="G742">
        <f ca="1">IF( ISNUMBER($L742), MAX($G$50:G741)+1,0)</f>
        <v>0</v>
      </c>
      <c r="H742" s="13"/>
      <c r="I742" s="67"/>
      <c r="J742" s="67"/>
      <c r="K742" s="80" t="str">
        <f t="shared" si="15"/>
        <v>CDAVG</v>
      </c>
      <c r="L742" s="80" t="str">
        <f ca="1">IF(ISNUMBER(FIND("(",$I742)), "", _xll.IMDP("IR", $K742, $L$50, WORKDAY('CD|CP 발행사'!$C$4,-1)) )</f>
        <v/>
      </c>
    </row>
    <row r="743" spans="7:12">
      <c r="G743">
        <f ca="1">IF( ISNUMBER($L743), MAX($G$50:G742)+1,0)</f>
        <v>0</v>
      </c>
      <c r="H743" s="13"/>
      <c r="I743" s="67"/>
      <c r="J743" s="67"/>
      <c r="K743" s="80" t="str">
        <f t="shared" si="15"/>
        <v>CDAVG</v>
      </c>
      <c r="L743" s="80" t="str">
        <f ca="1">IF(ISNUMBER(FIND("(",$I743)), "", _xll.IMDP("IR", $K743, $L$50, WORKDAY('CD|CP 발행사'!$C$4,-1)) )</f>
        <v/>
      </c>
    </row>
    <row r="744" spans="7:12">
      <c r="G744">
        <f ca="1">IF( ISNUMBER($L744), MAX($G$50:G743)+1,0)</f>
        <v>0</v>
      </c>
      <c r="H744" s="13"/>
      <c r="I744" s="67"/>
      <c r="J744" s="67"/>
      <c r="K744" s="80" t="str">
        <f t="shared" si="15"/>
        <v>CDAVG</v>
      </c>
      <c r="L744" s="80" t="str">
        <f ca="1">IF(ISNUMBER(FIND("(",$I744)), "", _xll.IMDP("IR", $K744, $L$50, WORKDAY('CD|CP 발행사'!$C$4,-1)) )</f>
        <v/>
      </c>
    </row>
    <row r="745" spans="7:12">
      <c r="G745">
        <f ca="1">IF( ISNUMBER($L745), MAX($G$50:G744)+1,0)</f>
        <v>0</v>
      </c>
      <c r="H745" s="13"/>
      <c r="I745" s="67"/>
      <c r="J745" s="67"/>
      <c r="K745" s="80" t="str">
        <f t="shared" si="15"/>
        <v>CDAVG</v>
      </c>
      <c r="L745" s="80" t="str">
        <f ca="1">IF(ISNUMBER(FIND("(",$I745)), "", _xll.IMDP("IR", $K745, $L$50, WORKDAY('CD|CP 발행사'!$C$4,-1)) )</f>
        <v/>
      </c>
    </row>
    <row r="746" spans="7:12">
      <c r="G746">
        <f ca="1">IF( ISNUMBER($L746), MAX($G$50:G745)+1,0)</f>
        <v>0</v>
      </c>
      <c r="H746" s="13"/>
      <c r="I746" s="67"/>
      <c r="J746" s="67"/>
      <c r="K746" s="80" t="str">
        <f t="shared" si="15"/>
        <v>CDAVG</v>
      </c>
      <c r="L746" s="80" t="str">
        <f ca="1">IF(ISNUMBER(FIND("(",$I746)), "", _xll.IMDP("IR", $K746, $L$50, WORKDAY('CD|CP 발행사'!$C$4,-1)) )</f>
        <v/>
      </c>
    </row>
    <row r="747" spans="7:12">
      <c r="G747">
        <f ca="1">IF( ISNUMBER($L747), MAX($G$50:G746)+1,0)</f>
        <v>0</v>
      </c>
      <c r="H747" s="13"/>
      <c r="I747" s="67"/>
      <c r="J747" s="67"/>
      <c r="K747" s="80" t="str">
        <f t="shared" si="15"/>
        <v>CDAVG</v>
      </c>
      <c r="L747" s="80" t="str">
        <f ca="1">IF(ISNUMBER(FIND("(",$I747)), "", _xll.IMDP("IR", $K747, $L$50, WORKDAY('CD|CP 발행사'!$C$4,-1)) )</f>
        <v/>
      </c>
    </row>
    <row r="748" spans="7:12">
      <c r="G748">
        <f ca="1">IF( ISNUMBER($L748), MAX($G$50:G747)+1,0)</f>
        <v>0</v>
      </c>
      <c r="H748" s="13"/>
      <c r="I748" s="67"/>
      <c r="J748" s="67"/>
      <c r="K748" s="80" t="str">
        <f t="shared" si="15"/>
        <v>CDAVG</v>
      </c>
      <c r="L748" s="80" t="str">
        <f ca="1">IF(ISNUMBER(FIND("(",$I748)), "", _xll.IMDP("IR", $K748, $L$50, WORKDAY('CD|CP 발행사'!$C$4,-1)) )</f>
        <v/>
      </c>
    </row>
    <row r="749" spans="7:12">
      <c r="G749">
        <f ca="1">IF( ISNUMBER($L749), MAX($G$50:G748)+1,0)</f>
        <v>0</v>
      </c>
      <c r="H749" s="13"/>
      <c r="I749" s="67"/>
      <c r="J749" s="67"/>
      <c r="K749" s="80" t="str">
        <f t="shared" si="15"/>
        <v>CDAVG</v>
      </c>
      <c r="L749" s="80" t="str">
        <f ca="1">IF(ISNUMBER(FIND("(",$I749)), "", _xll.IMDP("IR", $K749, $L$50, WORKDAY('CD|CP 발행사'!$C$4,-1)) )</f>
        <v/>
      </c>
    </row>
    <row r="750" spans="7:12">
      <c r="G750">
        <f ca="1">IF( ISNUMBER($L750), MAX($G$50:G749)+1,0)</f>
        <v>0</v>
      </c>
      <c r="H750" s="13"/>
      <c r="I750" s="67"/>
      <c r="J750" s="67"/>
      <c r="K750" s="80" t="str">
        <f t="shared" si="15"/>
        <v>CDAVG</v>
      </c>
      <c r="L750" s="80" t="str">
        <f ca="1">IF(ISNUMBER(FIND("(",$I750)), "", _xll.IMDP("IR", $K750, $L$50, WORKDAY('CD|CP 발행사'!$C$4,-1)) )</f>
        <v/>
      </c>
    </row>
    <row r="751" spans="7:12">
      <c r="G751">
        <f ca="1">IF( ISNUMBER($L751), MAX($G$50:G750)+1,0)</f>
        <v>0</v>
      </c>
      <c r="H751" s="13"/>
      <c r="I751" s="67"/>
      <c r="J751" s="67"/>
      <c r="K751" s="80" t="str">
        <f t="shared" si="15"/>
        <v>CDAVG</v>
      </c>
      <c r="L751" s="80" t="str">
        <f ca="1">IF(ISNUMBER(FIND("(",$I751)), "", _xll.IMDP("IR", $K751, $L$50, WORKDAY('CD|CP 발행사'!$C$4,-1)) )</f>
        <v/>
      </c>
    </row>
    <row r="752" spans="7:12">
      <c r="G752">
        <f ca="1">IF( ISNUMBER($L752), MAX($G$50:G751)+1,0)</f>
        <v>0</v>
      </c>
      <c r="H752" s="13"/>
      <c r="I752" s="67"/>
      <c r="J752" s="67"/>
      <c r="K752" s="80" t="str">
        <f t="shared" si="15"/>
        <v>CDAVG</v>
      </c>
      <c r="L752" s="80" t="str">
        <f ca="1">IF(ISNUMBER(FIND("(",$I752)), "", _xll.IMDP("IR", $K752, $L$50, WORKDAY('CD|CP 발행사'!$C$4,-1)) )</f>
        <v/>
      </c>
    </row>
    <row r="753" spans="7:12">
      <c r="G753">
        <f ca="1">IF( ISNUMBER($L753), MAX($G$50:G752)+1,0)</f>
        <v>0</v>
      </c>
      <c r="H753" s="13"/>
      <c r="I753" s="67"/>
      <c r="J753" s="67"/>
      <c r="K753" s="80" t="str">
        <f t="shared" si="15"/>
        <v>CDAVG</v>
      </c>
      <c r="L753" s="80" t="str">
        <f ca="1">IF(ISNUMBER(FIND("(",$I753)), "", _xll.IMDP("IR", $K753, $L$50, WORKDAY('CD|CP 발행사'!$C$4,-1)) )</f>
        <v/>
      </c>
    </row>
    <row r="754" spans="7:12">
      <c r="G754">
        <f ca="1">IF( ISNUMBER($L754), MAX($G$50:G753)+1,0)</f>
        <v>0</v>
      </c>
      <c r="H754" s="13"/>
      <c r="I754" s="67"/>
      <c r="J754" s="67"/>
      <c r="K754" s="80" t="str">
        <f t="shared" si="15"/>
        <v>CDAVG</v>
      </c>
      <c r="L754" s="80" t="str">
        <f ca="1">IF(ISNUMBER(FIND("(",$I754)), "", _xll.IMDP("IR", $K754, $L$50, WORKDAY('CD|CP 발행사'!$C$4,-1)) )</f>
        <v/>
      </c>
    </row>
    <row r="755" spans="7:12">
      <c r="G755">
        <f ca="1">IF( ISNUMBER($L755), MAX($G$50:G754)+1,0)</f>
        <v>0</v>
      </c>
      <c r="H755" s="13"/>
      <c r="I755" s="67"/>
      <c r="J755" s="67"/>
      <c r="K755" s="80" t="str">
        <f t="shared" ref="K755:K818" si="16">$K$49&amp;$H755</f>
        <v>CDAVG</v>
      </c>
      <c r="L755" s="80" t="str">
        <f ca="1">IF(ISNUMBER(FIND("(",$I755)), "", _xll.IMDP("IR", $K755, $L$50, WORKDAY('CD|CP 발행사'!$C$4,-1)) )</f>
        <v/>
      </c>
    </row>
    <row r="756" spans="7:12">
      <c r="G756">
        <f ca="1">IF( ISNUMBER($L756), MAX($G$50:G755)+1,0)</f>
        <v>0</v>
      </c>
      <c r="H756" s="13"/>
      <c r="I756" s="67"/>
      <c r="J756" s="67"/>
      <c r="K756" s="80" t="str">
        <f t="shared" si="16"/>
        <v>CDAVG</v>
      </c>
      <c r="L756" s="80" t="str">
        <f ca="1">IF(ISNUMBER(FIND("(",$I756)), "", _xll.IMDP("IR", $K756, $L$50, WORKDAY('CD|CP 발행사'!$C$4,-1)) )</f>
        <v/>
      </c>
    </row>
    <row r="757" spans="7:12">
      <c r="G757">
        <f ca="1">IF( ISNUMBER($L757), MAX($G$50:G756)+1,0)</f>
        <v>0</v>
      </c>
      <c r="H757" s="13"/>
      <c r="I757" s="67"/>
      <c r="J757" s="67"/>
      <c r="K757" s="80" t="str">
        <f t="shared" si="16"/>
        <v>CDAVG</v>
      </c>
      <c r="L757" s="80" t="str">
        <f ca="1">IF(ISNUMBER(FIND("(",$I757)), "", _xll.IMDP("IR", $K757, $L$50, WORKDAY('CD|CP 발행사'!$C$4,-1)) )</f>
        <v/>
      </c>
    </row>
    <row r="758" spans="7:12">
      <c r="G758">
        <f ca="1">IF( ISNUMBER($L758), MAX($G$50:G757)+1,0)</f>
        <v>0</v>
      </c>
      <c r="H758" s="13"/>
      <c r="I758" s="67"/>
      <c r="J758" s="67"/>
      <c r="K758" s="80" t="str">
        <f t="shared" si="16"/>
        <v>CDAVG</v>
      </c>
      <c r="L758" s="80" t="str">
        <f ca="1">IF(ISNUMBER(FIND("(",$I758)), "", _xll.IMDP("IR", $K758, $L$50, WORKDAY('CD|CP 발행사'!$C$4,-1)) )</f>
        <v/>
      </c>
    </row>
    <row r="759" spans="7:12">
      <c r="G759">
        <f ca="1">IF( ISNUMBER($L759), MAX($G$50:G758)+1,0)</f>
        <v>0</v>
      </c>
      <c r="H759" s="13"/>
      <c r="I759" s="67"/>
      <c r="J759" s="67"/>
      <c r="K759" s="80" t="str">
        <f t="shared" si="16"/>
        <v>CDAVG</v>
      </c>
      <c r="L759" s="80" t="str">
        <f ca="1">IF(ISNUMBER(FIND("(",$I759)), "", _xll.IMDP("IR", $K759, $L$50, WORKDAY('CD|CP 발행사'!$C$4,-1)) )</f>
        <v/>
      </c>
    </row>
    <row r="760" spans="7:12">
      <c r="G760">
        <f ca="1">IF( ISNUMBER($L760), MAX($G$50:G759)+1,0)</f>
        <v>0</v>
      </c>
      <c r="H760" s="13"/>
      <c r="I760" s="67"/>
      <c r="J760" s="67"/>
      <c r="K760" s="80" t="str">
        <f t="shared" si="16"/>
        <v>CDAVG</v>
      </c>
      <c r="L760" s="80" t="str">
        <f ca="1">IF(ISNUMBER(FIND("(",$I760)), "", _xll.IMDP("IR", $K760, $L$50, WORKDAY('CD|CP 발행사'!$C$4,-1)) )</f>
        <v/>
      </c>
    </row>
    <row r="761" spans="7:12">
      <c r="G761">
        <f ca="1">IF( ISNUMBER($L761), MAX($G$50:G760)+1,0)</f>
        <v>0</v>
      </c>
      <c r="H761" s="13"/>
      <c r="I761" s="67"/>
      <c r="J761" s="67"/>
      <c r="K761" s="80" t="str">
        <f t="shared" si="16"/>
        <v>CDAVG</v>
      </c>
      <c r="L761" s="80" t="str">
        <f ca="1">IF(ISNUMBER(FIND("(",$I761)), "", _xll.IMDP("IR", $K761, $L$50, WORKDAY('CD|CP 발행사'!$C$4,-1)) )</f>
        <v/>
      </c>
    </row>
    <row r="762" spans="7:12">
      <c r="G762">
        <f ca="1">IF( ISNUMBER($L762), MAX($G$50:G761)+1,0)</f>
        <v>0</v>
      </c>
      <c r="H762" s="13"/>
      <c r="I762" s="67"/>
      <c r="J762" s="67"/>
      <c r="K762" s="80" t="str">
        <f t="shared" si="16"/>
        <v>CDAVG</v>
      </c>
      <c r="L762" s="80" t="str">
        <f ca="1">IF(ISNUMBER(FIND("(",$I762)), "", _xll.IMDP("IR", $K762, $L$50, WORKDAY('CD|CP 발행사'!$C$4,-1)) )</f>
        <v/>
      </c>
    </row>
    <row r="763" spans="7:12">
      <c r="G763">
        <f ca="1">IF( ISNUMBER($L763), MAX($G$50:G762)+1,0)</f>
        <v>0</v>
      </c>
      <c r="H763" s="13"/>
      <c r="I763" s="67"/>
      <c r="J763" s="67"/>
      <c r="K763" s="80" t="str">
        <f t="shared" si="16"/>
        <v>CDAVG</v>
      </c>
      <c r="L763" s="80" t="str">
        <f ca="1">IF(ISNUMBER(FIND("(",$I763)), "", _xll.IMDP("IR", $K763, $L$50, WORKDAY('CD|CP 발행사'!$C$4,-1)) )</f>
        <v/>
      </c>
    </row>
    <row r="764" spans="7:12">
      <c r="G764">
        <f ca="1">IF( ISNUMBER($L764), MAX($G$50:G763)+1,0)</f>
        <v>0</v>
      </c>
      <c r="H764" s="13"/>
      <c r="I764" s="67"/>
      <c r="J764" s="67"/>
      <c r="K764" s="80" t="str">
        <f t="shared" si="16"/>
        <v>CDAVG</v>
      </c>
      <c r="L764" s="80" t="str">
        <f ca="1">IF(ISNUMBER(FIND("(",$I764)), "", _xll.IMDP("IR", $K764, $L$50, WORKDAY('CD|CP 발행사'!$C$4,-1)) )</f>
        <v/>
      </c>
    </row>
    <row r="765" spans="7:12">
      <c r="G765">
        <f ca="1">IF( ISNUMBER($L765), MAX($G$50:G764)+1,0)</f>
        <v>0</v>
      </c>
      <c r="H765" s="13"/>
      <c r="I765" s="67"/>
      <c r="J765" s="67"/>
      <c r="K765" s="80" t="str">
        <f t="shared" si="16"/>
        <v>CDAVG</v>
      </c>
      <c r="L765" s="80" t="str">
        <f ca="1">IF(ISNUMBER(FIND("(",$I765)), "", _xll.IMDP("IR", $K765, $L$50, WORKDAY('CD|CP 발행사'!$C$4,-1)) )</f>
        <v/>
      </c>
    </row>
    <row r="766" spans="7:12">
      <c r="G766">
        <f ca="1">IF( ISNUMBER($L766), MAX($G$50:G765)+1,0)</f>
        <v>0</v>
      </c>
      <c r="H766" s="13"/>
      <c r="I766" s="67"/>
      <c r="J766" s="67"/>
      <c r="K766" s="80" t="str">
        <f t="shared" si="16"/>
        <v>CDAVG</v>
      </c>
      <c r="L766" s="80" t="str">
        <f ca="1">IF(ISNUMBER(FIND("(",$I766)), "", _xll.IMDP("IR", $K766, $L$50, WORKDAY('CD|CP 발행사'!$C$4,-1)) )</f>
        <v/>
      </c>
    </row>
    <row r="767" spans="7:12">
      <c r="G767">
        <f ca="1">IF( ISNUMBER($L767), MAX($G$50:G766)+1,0)</f>
        <v>0</v>
      </c>
      <c r="H767" s="13"/>
      <c r="I767" s="67"/>
      <c r="J767" s="67"/>
      <c r="K767" s="80" t="str">
        <f t="shared" si="16"/>
        <v>CDAVG</v>
      </c>
      <c r="L767" s="80" t="str">
        <f ca="1">IF(ISNUMBER(FIND("(",$I767)), "", _xll.IMDP("IR", $K767, $L$50, WORKDAY('CD|CP 발행사'!$C$4,-1)) )</f>
        <v/>
      </c>
    </row>
    <row r="768" spans="7:12">
      <c r="G768">
        <f ca="1">IF( ISNUMBER($L768), MAX($G$50:G767)+1,0)</f>
        <v>0</v>
      </c>
      <c r="H768" s="13"/>
      <c r="I768" s="67"/>
      <c r="J768" s="67"/>
      <c r="K768" s="80" t="str">
        <f t="shared" si="16"/>
        <v>CDAVG</v>
      </c>
      <c r="L768" s="80" t="str">
        <f ca="1">IF(ISNUMBER(FIND("(",$I768)), "", _xll.IMDP("IR", $K768, $L$50, WORKDAY('CD|CP 발행사'!$C$4,-1)) )</f>
        <v/>
      </c>
    </row>
    <row r="769" spans="7:12">
      <c r="G769">
        <f ca="1">IF( ISNUMBER($L769), MAX($G$50:G768)+1,0)</f>
        <v>0</v>
      </c>
      <c r="H769" s="13"/>
      <c r="I769" s="67"/>
      <c r="J769" s="67"/>
      <c r="K769" s="80" t="str">
        <f t="shared" si="16"/>
        <v>CDAVG</v>
      </c>
      <c r="L769" s="80" t="str">
        <f ca="1">IF(ISNUMBER(FIND("(",$I769)), "", _xll.IMDP("IR", $K769, $L$50, WORKDAY('CD|CP 발행사'!$C$4,-1)) )</f>
        <v/>
      </c>
    </row>
    <row r="770" spans="7:12">
      <c r="G770">
        <f ca="1">IF( ISNUMBER($L770), MAX($G$50:G769)+1,0)</f>
        <v>0</v>
      </c>
      <c r="H770" s="13"/>
      <c r="I770" s="67"/>
      <c r="J770" s="67"/>
      <c r="K770" s="80" t="str">
        <f t="shared" si="16"/>
        <v>CDAVG</v>
      </c>
      <c r="L770" s="80" t="str">
        <f ca="1">IF(ISNUMBER(FIND("(",$I770)), "", _xll.IMDP("IR", $K770, $L$50, WORKDAY('CD|CP 발행사'!$C$4,-1)) )</f>
        <v/>
      </c>
    </row>
    <row r="771" spans="7:12">
      <c r="G771">
        <f ca="1">IF( ISNUMBER($L771), MAX($G$50:G770)+1,0)</f>
        <v>0</v>
      </c>
      <c r="H771" s="13"/>
      <c r="I771" s="67"/>
      <c r="J771" s="67"/>
      <c r="K771" s="80" t="str">
        <f t="shared" si="16"/>
        <v>CDAVG</v>
      </c>
      <c r="L771" s="80" t="str">
        <f ca="1">IF(ISNUMBER(FIND("(",$I771)), "", _xll.IMDP("IR", $K771, $L$50, WORKDAY('CD|CP 발행사'!$C$4,-1)) )</f>
        <v/>
      </c>
    </row>
    <row r="772" spans="7:12">
      <c r="G772">
        <f ca="1">IF( ISNUMBER($L772), MAX($G$50:G771)+1,0)</f>
        <v>0</v>
      </c>
      <c r="H772" s="13"/>
      <c r="I772" s="67"/>
      <c r="J772" s="67"/>
      <c r="K772" s="80" t="str">
        <f t="shared" si="16"/>
        <v>CDAVG</v>
      </c>
      <c r="L772" s="80" t="str">
        <f ca="1">IF(ISNUMBER(FIND("(",$I772)), "", _xll.IMDP("IR", $K772, $L$50, WORKDAY('CD|CP 발행사'!$C$4,-1)) )</f>
        <v/>
      </c>
    </row>
    <row r="773" spans="7:12">
      <c r="G773">
        <f ca="1">IF( ISNUMBER($L773), MAX($G$50:G772)+1,0)</f>
        <v>0</v>
      </c>
      <c r="H773" s="13"/>
      <c r="I773" s="67"/>
      <c r="J773" s="67"/>
      <c r="K773" s="80" t="str">
        <f t="shared" si="16"/>
        <v>CDAVG</v>
      </c>
      <c r="L773" s="80" t="str">
        <f ca="1">IF(ISNUMBER(FIND("(",$I773)), "", _xll.IMDP("IR", $K773, $L$50, WORKDAY('CD|CP 발행사'!$C$4,-1)) )</f>
        <v/>
      </c>
    </row>
    <row r="774" spans="7:12">
      <c r="G774">
        <f ca="1">IF( ISNUMBER($L774), MAX($G$50:G773)+1,0)</f>
        <v>0</v>
      </c>
      <c r="H774" s="13"/>
      <c r="I774" s="67"/>
      <c r="J774" s="67"/>
      <c r="K774" s="80" t="str">
        <f t="shared" si="16"/>
        <v>CDAVG</v>
      </c>
      <c r="L774" s="80" t="str">
        <f ca="1">IF(ISNUMBER(FIND("(",$I774)), "", _xll.IMDP("IR", $K774, $L$50, WORKDAY('CD|CP 발행사'!$C$4,-1)) )</f>
        <v/>
      </c>
    </row>
    <row r="775" spans="7:12">
      <c r="G775">
        <f ca="1">IF( ISNUMBER($L775), MAX($G$50:G774)+1,0)</f>
        <v>0</v>
      </c>
      <c r="H775" s="13"/>
      <c r="I775" s="67"/>
      <c r="J775" s="67"/>
      <c r="K775" s="80" t="str">
        <f t="shared" si="16"/>
        <v>CDAVG</v>
      </c>
      <c r="L775" s="80" t="str">
        <f ca="1">IF(ISNUMBER(FIND("(",$I775)), "", _xll.IMDP("IR", $K775, $L$50, WORKDAY('CD|CP 발행사'!$C$4,-1)) )</f>
        <v/>
      </c>
    </row>
    <row r="776" spans="7:12">
      <c r="G776">
        <f ca="1">IF( ISNUMBER($L776), MAX($G$50:G775)+1,0)</f>
        <v>0</v>
      </c>
      <c r="H776" s="13"/>
      <c r="I776" s="67"/>
      <c r="J776" s="67"/>
      <c r="K776" s="80" t="str">
        <f t="shared" si="16"/>
        <v>CDAVG</v>
      </c>
      <c r="L776" s="80" t="str">
        <f ca="1">IF(ISNUMBER(FIND("(",$I776)), "", _xll.IMDP("IR", $K776, $L$50, WORKDAY('CD|CP 발행사'!$C$4,-1)) )</f>
        <v/>
      </c>
    </row>
    <row r="777" spans="7:12">
      <c r="G777">
        <f ca="1">IF( ISNUMBER($L777), MAX($G$50:G776)+1,0)</f>
        <v>0</v>
      </c>
      <c r="H777" s="13"/>
      <c r="I777" s="67"/>
      <c r="J777" s="67"/>
      <c r="K777" s="80" t="str">
        <f t="shared" si="16"/>
        <v>CDAVG</v>
      </c>
      <c r="L777" s="80" t="str">
        <f ca="1">IF(ISNUMBER(FIND("(",$I777)), "", _xll.IMDP("IR", $K777, $L$50, WORKDAY('CD|CP 발행사'!$C$4,-1)) )</f>
        <v/>
      </c>
    </row>
    <row r="778" spans="7:12">
      <c r="G778">
        <f ca="1">IF( ISNUMBER($L778), MAX($G$50:G777)+1,0)</f>
        <v>0</v>
      </c>
      <c r="H778" s="13"/>
      <c r="I778" s="67"/>
      <c r="J778" s="67"/>
      <c r="K778" s="80" t="str">
        <f t="shared" si="16"/>
        <v>CDAVG</v>
      </c>
      <c r="L778" s="80" t="str">
        <f ca="1">IF(ISNUMBER(FIND("(",$I778)), "", _xll.IMDP("IR", $K778, $L$50, WORKDAY('CD|CP 발행사'!$C$4,-1)) )</f>
        <v/>
      </c>
    </row>
    <row r="779" spans="7:12">
      <c r="G779">
        <f ca="1">IF( ISNUMBER($L779), MAX($G$50:G778)+1,0)</f>
        <v>0</v>
      </c>
      <c r="H779" s="13"/>
      <c r="I779" s="67"/>
      <c r="J779" s="67"/>
      <c r="K779" s="80" t="str">
        <f t="shared" si="16"/>
        <v>CDAVG</v>
      </c>
      <c r="L779" s="80" t="str">
        <f ca="1">IF(ISNUMBER(FIND("(",$I779)), "", _xll.IMDP("IR", $K779, $L$50, WORKDAY('CD|CP 발행사'!$C$4,-1)) )</f>
        <v/>
      </c>
    </row>
    <row r="780" spans="7:12">
      <c r="G780">
        <f ca="1">IF( ISNUMBER($L780), MAX($G$50:G779)+1,0)</f>
        <v>0</v>
      </c>
      <c r="H780" s="13"/>
      <c r="I780" s="67"/>
      <c r="J780" s="67"/>
      <c r="K780" s="80" t="str">
        <f t="shared" si="16"/>
        <v>CDAVG</v>
      </c>
      <c r="L780" s="80" t="str">
        <f ca="1">IF(ISNUMBER(FIND("(",$I780)), "", _xll.IMDP("IR", $K780, $L$50, WORKDAY('CD|CP 발행사'!$C$4,-1)) )</f>
        <v/>
      </c>
    </row>
    <row r="781" spans="7:12">
      <c r="G781">
        <f ca="1">IF( ISNUMBER($L781), MAX($G$50:G780)+1,0)</f>
        <v>0</v>
      </c>
      <c r="H781" s="13"/>
      <c r="I781" s="67"/>
      <c r="J781" s="67"/>
      <c r="K781" s="80" t="str">
        <f t="shared" si="16"/>
        <v>CDAVG</v>
      </c>
      <c r="L781" s="80" t="str">
        <f ca="1">IF(ISNUMBER(FIND("(",$I781)), "", _xll.IMDP("IR", $K781, $L$50, WORKDAY('CD|CP 발행사'!$C$4,-1)) )</f>
        <v/>
      </c>
    </row>
    <row r="782" spans="7:12">
      <c r="G782">
        <f ca="1">IF( ISNUMBER($L782), MAX($G$50:G781)+1,0)</f>
        <v>0</v>
      </c>
      <c r="H782" s="13"/>
      <c r="I782" s="67"/>
      <c r="J782" s="67"/>
      <c r="K782" s="80" t="str">
        <f t="shared" si="16"/>
        <v>CDAVG</v>
      </c>
      <c r="L782" s="80" t="str">
        <f ca="1">IF(ISNUMBER(FIND("(",$I782)), "", _xll.IMDP("IR", $K782, $L$50, WORKDAY('CD|CP 발행사'!$C$4,-1)) )</f>
        <v/>
      </c>
    </row>
    <row r="783" spans="7:12">
      <c r="G783">
        <f ca="1">IF( ISNUMBER($L783), MAX($G$50:G782)+1,0)</f>
        <v>0</v>
      </c>
      <c r="H783" s="13"/>
      <c r="I783" s="67"/>
      <c r="J783" s="67"/>
      <c r="K783" s="80" t="str">
        <f t="shared" si="16"/>
        <v>CDAVG</v>
      </c>
      <c r="L783" s="80" t="str">
        <f ca="1">IF(ISNUMBER(FIND("(",$I783)), "", _xll.IMDP("IR", $K783, $L$50, WORKDAY('CD|CP 발행사'!$C$4,-1)) )</f>
        <v/>
      </c>
    </row>
    <row r="784" spans="7:12">
      <c r="G784">
        <f ca="1">IF( ISNUMBER($L784), MAX($G$50:G783)+1,0)</f>
        <v>0</v>
      </c>
      <c r="H784" s="13"/>
      <c r="I784" s="67"/>
      <c r="J784" s="67"/>
      <c r="K784" s="80" t="str">
        <f t="shared" si="16"/>
        <v>CDAVG</v>
      </c>
      <c r="L784" s="80" t="str">
        <f ca="1">IF(ISNUMBER(FIND("(",$I784)), "", _xll.IMDP("IR", $K784, $L$50, WORKDAY('CD|CP 발행사'!$C$4,-1)) )</f>
        <v/>
      </c>
    </row>
    <row r="785" spans="7:12">
      <c r="G785">
        <f ca="1">IF( ISNUMBER($L785), MAX($G$50:G784)+1,0)</f>
        <v>0</v>
      </c>
      <c r="H785" s="13"/>
      <c r="I785" s="67"/>
      <c r="J785" s="67"/>
      <c r="K785" s="80" t="str">
        <f t="shared" si="16"/>
        <v>CDAVG</v>
      </c>
      <c r="L785" s="80" t="str">
        <f ca="1">IF(ISNUMBER(FIND("(",$I785)), "", _xll.IMDP("IR", $K785, $L$50, WORKDAY('CD|CP 발행사'!$C$4,-1)) )</f>
        <v/>
      </c>
    </row>
    <row r="786" spans="7:12">
      <c r="G786">
        <f ca="1">IF( ISNUMBER($L786), MAX($G$50:G785)+1,0)</f>
        <v>0</v>
      </c>
      <c r="H786" s="13"/>
      <c r="I786" s="67"/>
      <c r="J786" s="67"/>
      <c r="K786" s="80" t="str">
        <f t="shared" si="16"/>
        <v>CDAVG</v>
      </c>
      <c r="L786" s="80" t="str">
        <f ca="1">IF(ISNUMBER(FIND("(",$I786)), "", _xll.IMDP("IR", $K786, $L$50, WORKDAY('CD|CP 발행사'!$C$4,-1)) )</f>
        <v/>
      </c>
    </row>
    <row r="787" spans="7:12">
      <c r="G787">
        <f ca="1">IF( ISNUMBER($L787), MAX($G$50:G786)+1,0)</f>
        <v>0</v>
      </c>
      <c r="H787" s="13"/>
      <c r="I787" s="67"/>
      <c r="J787" s="67"/>
      <c r="K787" s="80" t="str">
        <f t="shared" si="16"/>
        <v>CDAVG</v>
      </c>
      <c r="L787" s="80" t="str">
        <f ca="1">IF(ISNUMBER(FIND("(",$I787)), "", _xll.IMDP("IR", $K787, $L$50, WORKDAY('CD|CP 발행사'!$C$4,-1)) )</f>
        <v/>
      </c>
    </row>
    <row r="788" spans="7:12">
      <c r="G788">
        <f ca="1">IF( ISNUMBER($L788), MAX($G$50:G787)+1,0)</f>
        <v>0</v>
      </c>
      <c r="H788" s="13"/>
      <c r="I788" s="67"/>
      <c r="J788" s="67"/>
      <c r="K788" s="80" t="str">
        <f t="shared" si="16"/>
        <v>CDAVG</v>
      </c>
      <c r="L788" s="80" t="str">
        <f ca="1">IF(ISNUMBER(FIND("(",$I788)), "", _xll.IMDP("IR", $K788, $L$50, WORKDAY('CD|CP 발행사'!$C$4,-1)) )</f>
        <v/>
      </c>
    </row>
    <row r="789" spans="7:12">
      <c r="G789">
        <f ca="1">IF( ISNUMBER($L789), MAX($G$50:G788)+1,0)</f>
        <v>0</v>
      </c>
      <c r="H789" s="13"/>
      <c r="I789" s="67"/>
      <c r="J789" s="67"/>
      <c r="K789" s="80" t="str">
        <f t="shared" si="16"/>
        <v>CDAVG</v>
      </c>
      <c r="L789" s="80" t="str">
        <f ca="1">IF(ISNUMBER(FIND("(",$I789)), "", _xll.IMDP("IR", $K789, $L$50, WORKDAY('CD|CP 발행사'!$C$4,-1)) )</f>
        <v/>
      </c>
    </row>
    <row r="790" spans="7:12">
      <c r="G790">
        <f ca="1">IF( ISNUMBER($L790), MAX($G$50:G789)+1,0)</f>
        <v>0</v>
      </c>
      <c r="H790" s="13"/>
      <c r="I790" s="67"/>
      <c r="J790" s="67"/>
      <c r="K790" s="80" t="str">
        <f t="shared" si="16"/>
        <v>CDAVG</v>
      </c>
      <c r="L790" s="80" t="str">
        <f ca="1">IF(ISNUMBER(FIND("(",$I790)), "", _xll.IMDP("IR", $K790, $L$50, WORKDAY('CD|CP 발행사'!$C$4,-1)) )</f>
        <v/>
      </c>
    </row>
    <row r="791" spans="7:12">
      <c r="G791">
        <f ca="1">IF( ISNUMBER($L791), MAX($G$50:G790)+1,0)</f>
        <v>0</v>
      </c>
      <c r="H791" s="13"/>
      <c r="I791" s="67"/>
      <c r="J791" s="67"/>
      <c r="K791" s="80" t="str">
        <f t="shared" si="16"/>
        <v>CDAVG</v>
      </c>
      <c r="L791" s="80" t="str">
        <f ca="1">IF(ISNUMBER(FIND("(",$I791)), "", _xll.IMDP("IR", $K791, $L$50, WORKDAY('CD|CP 발행사'!$C$4,-1)) )</f>
        <v/>
      </c>
    </row>
    <row r="792" spans="7:12">
      <c r="G792">
        <f ca="1">IF( ISNUMBER($L792), MAX($G$50:G791)+1,0)</f>
        <v>0</v>
      </c>
      <c r="H792" s="13"/>
      <c r="I792" s="67"/>
      <c r="J792" s="67"/>
      <c r="K792" s="80" t="str">
        <f t="shared" si="16"/>
        <v>CDAVG</v>
      </c>
      <c r="L792" s="80" t="str">
        <f ca="1">IF(ISNUMBER(FIND("(",$I792)), "", _xll.IMDP("IR", $K792, $L$50, WORKDAY('CD|CP 발행사'!$C$4,-1)) )</f>
        <v/>
      </c>
    </row>
    <row r="793" spans="7:12">
      <c r="G793">
        <f ca="1">IF( ISNUMBER($L793), MAX($G$50:G792)+1,0)</f>
        <v>0</v>
      </c>
      <c r="H793" s="13"/>
      <c r="I793" s="67"/>
      <c r="J793" s="67"/>
      <c r="K793" s="80" t="str">
        <f t="shared" si="16"/>
        <v>CDAVG</v>
      </c>
      <c r="L793" s="80" t="str">
        <f ca="1">IF(ISNUMBER(FIND("(",$I793)), "", _xll.IMDP("IR", $K793, $L$50, WORKDAY('CD|CP 발행사'!$C$4,-1)) )</f>
        <v/>
      </c>
    </row>
    <row r="794" spans="7:12">
      <c r="G794">
        <f ca="1">IF( ISNUMBER($L794), MAX($G$50:G793)+1,0)</f>
        <v>0</v>
      </c>
      <c r="H794" s="13"/>
      <c r="I794" s="67"/>
      <c r="J794" s="67"/>
      <c r="K794" s="80" t="str">
        <f t="shared" si="16"/>
        <v>CDAVG</v>
      </c>
      <c r="L794" s="80" t="str">
        <f ca="1">IF(ISNUMBER(FIND("(",$I794)), "", _xll.IMDP("IR", $K794, $L$50, WORKDAY('CD|CP 발행사'!$C$4,-1)) )</f>
        <v/>
      </c>
    </row>
    <row r="795" spans="7:12">
      <c r="G795">
        <f ca="1">IF( ISNUMBER($L795), MAX($G$50:G794)+1,0)</f>
        <v>0</v>
      </c>
      <c r="H795" s="13"/>
      <c r="I795" s="67"/>
      <c r="J795" s="67"/>
      <c r="K795" s="80" t="str">
        <f t="shared" si="16"/>
        <v>CDAVG</v>
      </c>
      <c r="L795" s="80" t="str">
        <f ca="1">IF(ISNUMBER(FIND("(",$I795)), "", _xll.IMDP("IR", $K795, $L$50, WORKDAY('CD|CP 발행사'!$C$4,-1)) )</f>
        <v/>
      </c>
    </row>
    <row r="796" spans="7:12">
      <c r="G796">
        <f ca="1">IF( ISNUMBER($L796), MAX($G$50:G795)+1,0)</f>
        <v>0</v>
      </c>
      <c r="H796" s="13"/>
      <c r="I796" s="67"/>
      <c r="J796" s="67"/>
      <c r="K796" s="80" t="str">
        <f t="shared" si="16"/>
        <v>CDAVG</v>
      </c>
      <c r="L796" s="80" t="str">
        <f ca="1">IF(ISNUMBER(FIND("(",$I796)), "", _xll.IMDP("IR", $K796, $L$50, WORKDAY('CD|CP 발행사'!$C$4,-1)) )</f>
        <v/>
      </c>
    </row>
    <row r="797" spans="7:12">
      <c r="G797">
        <f ca="1">IF( ISNUMBER($L797), MAX($G$50:G796)+1,0)</f>
        <v>0</v>
      </c>
      <c r="H797" s="13"/>
      <c r="I797" s="67"/>
      <c r="J797" s="67"/>
      <c r="K797" s="80" t="str">
        <f t="shared" si="16"/>
        <v>CDAVG</v>
      </c>
      <c r="L797" s="80" t="str">
        <f ca="1">IF(ISNUMBER(FIND("(",$I797)), "", _xll.IMDP("IR", $K797, $L$50, WORKDAY('CD|CP 발행사'!$C$4,-1)) )</f>
        <v/>
      </c>
    </row>
    <row r="798" spans="7:12">
      <c r="G798">
        <f ca="1">IF( ISNUMBER($L798), MAX($G$50:G797)+1,0)</f>
        <v>0</v>
      </c>
      <c r="H798" s="13"/>
      <c r="I798" s="67"/>
      <c r="J798" s="67"/>
      <c r="K798" s="80" t="str">
        <f t="shared" si="16"/>
        <v>CDAVG</v>
      </c>
      <c r="L798" s="80" t="str">
        <f ca="1">IF(ISNUMBER(FIND("(",$I798)), "", _xll.IMDP("IR", $K798, $L$50, WORKDAY('CD|CP 발행사'!$C$4,-1)) )</f>
        <v/>
      </c>
    </row>
    <row r="799" spans="7:12">
      <c r="G799">
        <f ca="1">IF( ISNUMBER($L799), MAX($G$50:G798)+1,0)</f>
        <v>0</v>
      </c>
      <c r="H799" s="13"/>
      <c r="I799" s="67"/>
      <c r="J799" s="67"/>
      <c r="K799" s="80" t="str">
        <f t="shared" si="16"/>
        <v>CDAVG</v>
      </c>
      <c r="L799" s="80" t="str">
        <f ca="1">IF(ISNUMBER(FIND("(",$I799)), "", _xll.IMDP("IR", $K799, $L$50, WORKDAY('CD|CP 발행사'!$C$4,-1)) )</f>
        <v/>
      </c>
    </row>
    <row r="800" spans="7:12">
      <c r="G800">
        <f ca="1">IF( ISNUMBER($L800), MAX($G$50:G799)+1,0)</f>
        <v>0</v>
      </c>
      <c r="H800" s="13"/>
      <c r="I800" s="67"/>
      <c r="J800" s="67"/>
      <c r="K800" s="80" t="str">
        <f t="shared" si="16"/>
        <v>CDAVG</v>
      </c>
      <c r="L800" s="80" t="str">
        <f ca="1">IF(ISNUMBER(FIND("(",$I800)), "", _xll.IMDP("IR", $K800, $L$50, WORKDAY('CD|CP 발행사'!$C$4,-1)) )</f>
        <v/>
      </c>
    </row>
    <row r="801" spans="7:12">
      <c r="G801">
        <f ca="1">IF( ISNUMBER($L801), MAX($G$50:G800)+1,0)</f>
        <v>0</v>
      </c>
      <c r="H801" s="13"/>
      <c r="I801" s="67"/>
      <c r="J801" s="67"/>
      <c r="K801" s="80" t="str">
        <f t="shared" si="16"/>
        <v>CDAVG</v>
      </c>
      <c r="L801" s="80" t="str">
        <f ca="1">IF(ISNUMBER(FIND("(",$I801)), "", _xll.IMDP("IR", $K801, $L$50, WORKDAY('CD|CP 발행사'!$C$4,-1)) )</f>
        <v/>
      </c>
    </row>
    <row r="802" spans="7:12">
      <c r="G802">
        <f ca="1">IF( ISNUMBER($L802), MAX($G$50:G801)+1,0)</f>
        <v>0</v>
      </c>
      <c r="H802" s="13"/>
      <c r="I802" s="67"/>
      <c r="J802" s="67"/>
      <c r="K802" s="80" t="str">
        <f t="shared" si="16"/>
        <v>CDAVG</v>
      </c>
      <c r="L802" s="80" t="str">
        <f ca="1">IF(ISNUMBER(FIND("(",$I802)), "", _xll.IMDP("IR", $K802, $L$50, WORKDAY('CD|CP 발행사'!$C$4,-1)) )</f>
        <v/>
      </c>
    </row>
    <row r="803" spans="7:12">
      <c r="G803">
        <f ca="1">IF( ISNUMBER($L803), MAX($G$50:G802)+1,0)</f>
        <v>0</v>
      </c>
      <c r="H803" s="13"/>
      <c r="I803" s="67"/>
      <c r="J803" s="67"/>
      <c r="K803" s="80" t="str">
        <f t="shared" si="16"/>
        <v>CDAVG</v>
      </c>
      <c r="L803" s="80" t="str">
        <f ca="1">IF(ISNUMBER(FIND("(",$I803)), "", _xll.IMDP("IR", $K803, $L$50, WORKDAY('CD|CP 발행사'!$C$4,-1)) )</f>
        <v/>
      </c>
    </row>
    <row r="804" spans="7:12">
      <c r="G804">
        <f ca="1">IF( ISNUMBER($L804), MAX($G$50:G803)+1,0)</f>
        <v>0</v>
      </c>
      <c r="H804" s="13"/>
      <c r="I804" s="67"/>
      <c r="J804" s="67"/>
      <c r="K804" s="80" t="str">
        <f t="shared" si="16"/>
        <v>CDAVG</v>
      </c>
      <c r="L804" s="80" t="str">
        <f ca="1">IF(ISNUMBER(FIND("(",$I804)), "", _xll.IMDP("IR", $K804, $L$50, WORKDAY('CD|CP 발행사'!$C$4,-1)) )</f>
        <v/>
      </c>
    </row>
    <row r="805" spans="7:12">
      <c r="G805">
        <f ca="1">IF( ISNUMBER($L805), MAX($G$50:G804)+1,0)</f>
        <v>0</v>
      </c>
      <c r="H805" s="13"/>
      <c r="I805" s="67"/>
      <c r="J805" s="67"/>
      <c r="K805" s="80" t="str">
        <f t="shared" si="16"/>
        <v>CDAVG</v>
      </c>
      <c r="L805" s="80" t="str">
        <f ca="1">IF(ISNUMBER(FIND("(",$I805)), "", _xll.IMDP("IR", $K805, $L$50, WORKDAY('CD|CP 발행사'!$C$4,-1)) )</f>
        <v/>
      </c>
    </row>
    <row r="806" spans="7:12">
      <c r="G806">
        <f ca="1">IF( ISNUMBER($L806), MAX($G$50:G805)+1,0)</f>
        <v>0</v>
      </c>
      <c r="H806" s="13"/>
      <c r="I806" s="67"/>
      <c r="J806" s="67"/>
      <c r="K806" s="80" t="str">
        <f t="shared" si="16"/>
        <v>CDAVG</v>
      </c>
      <c r="L806" s="80" t="str">
        <f ca="1">IF(ISNUMBER(FIND("(",$I806)), "", _xll.IMDP("IR", $K806, $L$50, WORKDAY('CD|CP 발행사'!$C$4,-1)) )</f>
        <v/>
      </c>
    </row>
    <row r="807" spans="7:12">
      <c r="G807">
        <f ca="1">IF( ISNUMBER($L807), MAX($G$50:G806)+1,0)</f>
        <v>0</v>
      </c>
      <c r="H807" s="13"/>
      <c r="I807" s="67"/>
      <c r="J807" s="67"/>
      <c r="K807" s="80" t="str">
        <f t="shared" si="16"/>
        <v>CDAVG</v>
      </c>
      <c r="L807" s="80" t="str">
        <f ca="1">IF(ISNUMBER(FIND("(",$I807)), "", _xll.IMDP("IR", $K807, $L$50, WORKDAY('CD|CP 발행사'!$C$4,-1)) )</f>
        <v/>
      </c>
    </row>
    <row r="808" spans="7:12">
      <c r="G808">
        <f ca="1">IF( ISNUMBER($L808), MAX($G$50:G807)+1,0)</f>
        <v>0</v>
      </c>
      <c r="H808" s="13"/>
      <c r="I808" s="67"/>
      <c r="J808" s="67"/>
      <c r="K808" s="80" t="str">
        <f t="shared" si="16"/>
        <v>CDAVG</v>
      </c>
      <c r="L808" s="80" t="str">
        <f ca="1">IF(ISNUMBER(FIND("(",$I808)), "", _xll.IMDP("IR", $K808, $L$50, WORKDAY('CD|CP 발행사'!$C$4,-1)) )</f>
        <v/>
      </c>
    </row>
    <row r="809" spans="7:12">
      <c r="G809">
        <f ca="1">IF( ISNUMBER($L809), MAX($G$50:G808)+1,0)</f>
        <v>0</v>
      </c>
      <c r="H809" s="13"/>
      <c r="I809" s="67"/>
      <c r="J809" s="67"/>
      <c r="K809" s="80" t="str">
        <f t="shared" si="16"/>
        <v>CDAVG</v>
      </c>
      <c r="L809" s="80" t="str">
        <f ca="1">IF(ISNUMBER(FIND("(",$I809)), "", _xll.IMDP("IR", $K809, $L$50, WORKDAY('CD|CP 발행사'!$C$4,-1)) )</f>
        <v/>
      </c>
    </row>
    <row r="810" spans="7:12">
      <c r="G810">
        <f ca="1">IF( ISNUMBER($L810), MAX($G$50:G809)+1,0)</f>
        <v>0</v>
      </c>
      <c r="H810" s="13"/>
      <c r="I810" s="67"/>
      <c r="J810" s="67"/>
      <c r="K810" s="80" t="str">
        <f t="shared" si="16"/>
        <v>CDAVG</v>
      </c>
      <c r="L810" s="80" t="str">
        <f ca="1">IF(ISNUMBER(FIND("(",$I810)), "", _xll.IMDP("IR", $K810, $L$50, WORKDAY('CD|CP 발행사'!$C$4,-1)) )</f>
        <v/>
      </c>
    </row>
    <row r="811" spans="7:12">
      <c r="G811">
        <f ca="1">IF( ISNUMBER($L811), MAX($G$50:G810)+1,0)</f>
        <v>0</v>
      </c>
      <c r="H811" s="13"/>
      <c r="I811" s="67"/>
      <c r="J811" s="67"/>
      <c r="K811" s="80" t="str">
        <f t="shared" si="16"/>
        <v>CDAVG</v>
      </c>
      <c r="L811" s="80" t="str">
        <f ca="1">IF(ISNUMBER(FIND("(",$I811)), "", _xll.IMDP("IR", $K811, $L$50, WORKDAY('CD|CP 발행사'!$C$4,-1)) )</f>
        <v/>
      </c>
    </row>
    <row r="812" spans="7:12">
      <c r="G812">
        <f ca="1">IF( ISNUMBER($L812), MAX($G$50:G811)+1,0)</f>
        <v>0</v>
      </c>
      <c r="H812" s="13"/>
      <c r="I812" s="67"/>
      <c r="J812" s="67"/>
      <c r="K812" s="80" t="str">
        <f t="shared" si="16"/>
        <v>CDAVG</v>
      </c>
      <c r="L812" s="80" t="str">
        <f ca="1">IF(ISNUMBER(FIND("(",$I812)), "", _xll.IMDP("IR", $K812, $L$50, WORKDAY('CD|CP 발행사'!$C$4,-1)) )</f>
        <v/>
      </c>
    </row>
    <row r="813" spans="7:12">
      <c r="G813">
        <f ca="1">IF( ISNUMBER($L813), MAX($G$50:G812)+1,0)</f>
        <v>0</v>
      </c>
      <c r="H813" s="13"/>
      <c r="I813" s="67"/>
      <c r="J813" s="67"/>
      <c r="K813" s="80" t="str">
        <f t="shared" si="16"/>
        <v>CDAVG</v>
      </c>
      <c r="L813" s="80" t="str">
        <f ca="1">IF(ISNUMBER(FIND("(",$I813)), "", _xll.IMDP("IR", $K813, $L$50, WORKDAY('CD|CP 발행사'!$C$4,-1)) )</f>
        <v/>
      </c>
    </row>
    <row r="814" spans="7:12">
      <c r="G814">
        <f ca="1">IF( ISNUMBER($L814), MAX($G$50:G813)+1,0)</f>
        <v>0</v>
      </c>
      <c r="H814" s="13"/>
      <c r="I814" s="67"/>
      <c r="J814" s="67"/>
      <c r="K814" s="80" t="str">
        <f t="shared" si="16"/>
        <v>CDAVG</v>
      </c>
      <c r="L814" s="80" t="str">
        <f ca="1">IF(ISNUMBER(FIND("(",$I814)), "", _xll.IMDP("IR", $K814, $L$50, WORKDAY('CD|CP 발행사'!$C$4,-1)) )</f>
        <v/>
      </c>
    </row>
    <row r="815" spans="7:12">
      <c r="G815">
        <f ca="1">IF( ISNUMBER($L815), MAX($G$50:G814)+1,0)</f>
        <v>0</v>
      </c>
      <c r="H815" s="13"/>
      <c r="I815" s="67"/>
      <c r="J815" s="67"/>
      <c r="K815" s="80" t="str">
        <f t="shared" si="16"/>
        <v>CDAVG</v>
      </c>
      <c r="L815" s="80" t="str">
        <f ca="1">IF(ISNUMBER(FIND("(",$I815)), "", _xll.IMDP("IR", $K815, $L$50, WORKDAY('CD|CP 발행사'!$C$4,-1)) )</f>
        <v/>
      </c>
    </row>
    <row r="816" spans="7:12">
      <c r="G816">
        <f ca="1">IF( ISNUMBER($L816), MAX($G$50:G815)+1,0)</f>
        <v>0</v>
      </c>
      <c r="H816" s="13"/>
      <c r="I816" s="67"/>
      <c r="J816" s="67"/>
      <c r="K816" s="80" t="str">
        <f t="shared" si="16"/>
        <v>CDAVG</v>
      </c>
      <c r="L816" s="80" t="str">
        <f ca="1">IF(ISNUMBER(FIND("(",$I816)), "", _xll.IMDP("IR", $K816, $L$50, WORKDAY('CD|CP 발행사'!$C$4,-1)) )</f>
        <v/>
      </c>
    </row>
    <row r="817" spans="7:12">
      <c r="G817">
        <f ca="1">IF( ISNUMBER($L817), MAX($G$50:G816)+1,0)</f>
        <v>0</v>
      </c>
      <c r="H817" s="13"/>
      <c r="I817" s="67"/>
      <c r="J817" s="67"/>
      <c r="K817" s="80" t="str">
        <f t="shared" si="16"/>
        <v>CDAVG</v>
      </c>
      <c r="L817" s="80" t="str">
        <f ca="1">IF(ISNUMBER(FIND("(",$I817)), "", _xll.IMDP("IR", $K817, $L$50, WORKDAY('CD|CP 발행사'!$C$4,-1)) )</f>
        <v/>
      </c>
    </row>
    <row r="818" spans="7:12">
      <c r="G818">
        <f ca="1">IF( ISNUMBER($L818), MAX($G$50:G817)+1,0)</f>
        <v>0</v>
      </c>
      <c r="H818" s="13"/>
      <c r="I818" s="67"/>
      <c r="J818" s="67"/>
      <c r="K818" s="80" t="str">
        <f t="shared" si="16"/>
        <v>CDAVG</v>
      </c>
      <c r="L818" s="80" t="str">
        <f ca="1">IF(ISNUMBER(FIND("(",$I818)), "", _xll.IMDP("IR", $K818, $L$50, WORKDAY('CD|CP 발행사'!$C$4,-1)) )</f>
        <v/>
      </c>
    </row>
    <row r="819" spans="7:12">
      <c r="G819">
        <f ca="1">IF( ISNUMBER($L819), MAX($G$50:G818)+1,0)</f>
        <v>0</v>
      </c>
      <c r="H819" s="13"/>
      <c r="I819" s="67"/>
      <c r="J819" s="67"/>
      <c r="K819" s="80" t="str">
        <f t="shared" ref="K819:K882" si="17">$K$49&amp;$H819</f>
        <v>CDAVG</v>
      </c>
      <c r="L819" s="80" t="str">
        <f ca="1">IF(ISNUMBER(FIND("(",$I819)), "", _xll.IMDP("IR", $K819, $L$50, WORKDAY('CD|CP 발행사'!$C$4,-1)) )</f>
        <v/>
      </c>
    </row>
    <row r="820" spans="7:12">
      <c r="G820">
        <f ca="1">IF( ISNUMBER($L820), MAX($G$50:G819)+1,0)</f>
        <v>0</v>
      </c>
      <c r="H820" s="13"/>
      <c r="I820" s="67"/>
      <c r="J820" s="67"/>
      <c r="K820" s="80" t="str">
        <f t="shared" si="17"/>
        <v>CDAVG</v>
      </c>
      <c r="L820" s="80" t="str">
        <f ca="1">IF(ISNUMBER(FIND("(",$I820)), "", _xll.IMDP("IR", $K820, $L$50, WORKDAY('CD|CP 발행사'!$C$4,-1)) )</f>
        <v/>
      </c>
    </row>
    <row r="821" spans="7:12">
      <c r="G821">
        <f ca="1">IF( ISNUMBER($L821), MAX($G$50:G820)+1,0)</f>
        <v>0</v>
      </c>
      <c r="H821" s="13"/>
      <c r="I821" s="67"/>
      <c r="J821" s="67"/>
      <c r="K821" s="80" t="str">
        <f t="shared" si="17"/>
        <v>CDAVG</v>
      </c>
      <c r="L821" s="80" t="str">
        <f ca="1">IF(ISNUMBER(FIND("(",$I821)), "", _xll.IMDP("IR", $K821, $L$50, WORKDAY('CD|CP 발행사'!$C$4,-1)) )</f>
        <v/>
      </c>
    </row>
    <row r="822" spans="7:12">
      <c r="G822">
        <f ca="1">IF( ISNUMBER($L822), MAX($G$50:G821)+1,0)</f>
        <v>0</v>
      </c>
      <c r="H822" s="13"/>
      <c r="I822" s="67"/>
      <c r="J822" s="67"/>
      <c r="K822" s="80" t="str">
        <f t="shared" si="17"/>
        <v>CDAVG</v>
      </c>
      <c r="L822" s="80" t="str">
        <f ca="1">IF(ISNUMBER(FIND("(",$I822)), "", _xll.IMDP("IR", $K822, $L$50, WORKDAY('CD|CP 발행사'!$C$4,-1)) )</f>
        <v/>
      </c>
    </row>
    <row r="823" spans="7:12">
      <c r="G823">
        <f ca="1">IF( ISNUMBER($L823), MAX($G$50:G822)+1,0)</f>
        <v>0</v>
      </c>
      <c r="H823" s="13"/>
      <c r="I823" s="67"/>
      <c r="J823" s="67"/>
      <c r="K823" s="80" t="str">
        <f t="shared" si="17"/>
        <v>CDAVG</v>
      </c>
      <c r="L823" s="80" t="str">
        <f ca="1">IF(ISNUMBER(FIND("(",$I823)), "", _xll.IMDP("IR", $K823, $L$50, WORKDAY('CD|CP 발행사'!$C$4,-1)) )</f>
        <v/>
      </c>
    </row>
    <row r="824" spans="7:12">
      <c r="G824">
        <f ca="1">IF( ISNUMBER($L824), MAX($G$50:G823)+1,0)</f>
        <v>0</v>
      </c>
      <c r="H824" s="13"/>
      <c r="I824" s="67"/>
      <c r="J824" s="67"/>
      <c r="K824" s="80" t="str">
        <f t="shared" si="17"/>
        <v>CDAVG</v>
      </c>
      <c r="L824" s="80" t="str">
        <f ca="1">IF(ISNUMBER(FIND("(",$I824)), "", _xll.IMDP("IR", $K824, $L$50, WORKDAY('CD|CP 발행사'!$C$4,-1)) )</f>
        <v/>
      </c>
    </row>
    <row r="825" spans="7:12">
      <c r="G825">
        <f ca="1">IF( ISNUMBER($L825), MAX($G$50:G824)+1,0)</f>
        <v>0</v>
      </c>
      <c r="H825" s="13"/>
      <c r="I825" s="67"/>
      <c r="J825" s="67"/>
      <c r="K825" s="80" t="str">
        <f t="shared" si="17"/>
        <v>CDAVG</v>
      </c>
      <c r="L825" s="80" t="str">
        <f ca="1">IF(ISNUMBER(FIND("(",$I825)), "", _xll.IMDP("IR", $K825, $L$50, WORKDAY('CD|CP 발행사'!$C$4,-1)) )</f>
        <v/>
      </c>
    </row>
    <row r="826" spans="7:12">
      <c r="G826">
        <f ca="1">IF( ISNUMBER($L826), MAX($G$50:G825)+1,0)</f>
        <v>0</v>
      </c>
      <c r="H826" s="13"/>
      <c r="I826" s="67"/>
      <c r="J826" s="67"/>
      <c r="K826" s="80" t="str">
        <f t="shared" si="17"/>
        <v>CDAVG</v>
      </c>
      <c r="L826" s="80" t="str">
        <f ca="1">IF(ISNUMBER(FIND("(",$I826)), "", _xll.IMDP("IR", $K826, $L$50, WORKDAY('CD|CP 발행사'!$C$4,-1)) )</f>
        <v/>
      </c>
    </row>
    <row r="827" spans="7:12">
      <c r="G827">
        <f ca="1">IF( ISNUMBER($L827), MAX($G$50:G826)+1,0)</f>
        <v>0</v>
      </c>
      <c r="H827" s="13"/>
      <c r="I827" s="67"/>
      <c r="J827" s="67"/>
      <c r="K827" s="80" t="str">
        <f t="shared" si="17"/>
        <v>CDAVG</v>
      </c>
      <c r="L827" s="80" t="str">
        <f ca="1">IF(ISNUMBER(FIND("(",$I827)), "", _xll.IMDP("IR", $K827, $L$50, WORKDAY('CD|CP 발행사'!$C$4,-1)) )</f>
        <v/>
      </c>
    </row>
    <row r="828" spans="7:12">
      <c r="G828">
        <f ca="1">IF( ISNUMBER($L828), MAX($G$50:G827)+1,0)</f>
        <v>0</v>
      </c>
      <c r="H828" s="13"/>
      <c r="I828" s="67"/>
      <c r="J828" s="67"/>
      <c r="K828" s="80" t="str">
        <f t="shared" si="17"/>
        <v>CDAVG</v>
      </c>
      <c r="L828" s="80" t="str">
        <f ca="1">IF(ISNUMBER(FIND("(",$I828)), "", _xll.IMDP("IR", $K828, $L$50, WORKDAY('CD|CP 발행사'!$C$4,-1)) )</f>
        <v/>
      </c>
    </row>
    <row r="829" spans="7:12">
      <c r="G829">
        <f ca="1">IF( ISNUMBER($L829), MAX($G$50:G828)+1,0)</f>
        <v>0</v>
      </c>
      <c r="H829" s="13"/>
      <c r="I829" s="67"/>
      <c r="J829" s="67"/>
      <c r="K829" s="80" t="str">
        <f t="shared" si="17"/>
        <v>CDAVG</v>
      </c>
      <c r="L829" s="80" t="str">
        <f ca="1">IF(ISNUMBER(FIND("(",$I829)), "", _xll.IMDP("IR", $K829, $L$50, WORKDAY('CD|CP 발행사'!$C$4,-1)) )</f>
        <v/>
      </c>
    </row>
    <row r="830" spans="7:12">
      <c r="G830">
        <f ca="1">IF( ISNUMBER($L830), MAX($G$50:G829)+1,0)</f>
        <v>0</v>
      </c>
      <c r="H830" s="13"/>
      <c r="I830" s="67"/>
      <c r="J830" s="67"/>
      <c r="K830" s="80" t="str">
        <f t="shared" si="17"/>
        <v>CDAVG</v>
      </c>
      <c r="L830" s="80" t="str">
        <f ca="1">IF(ISNUMBER(FIND("(",$I830)), "", _xll.IMDP("IR", $K830, $L$50, WORKDAY('CD|CP 발행사'!$C$4,-1)) )</f>
        <v/>
      </c>
    </row>
    <row r="831" spans="7:12">
      <c r="G831">
        <f ca="1">IF( ISNUMBER($L831), MAX($G$50:G830)+1,0)</f>
        <v>0</v>
      </c>
      <c r="H831" s="13"/>
      <c r="I831" s="67"/>
      <c r="J831" s="67"/>
      <c r="K831" s="80" t="str">
        <f t="shared" si="17"/>
        <v>CDAVG</v>
      </c>
      <c r="L831" s="80" t="str">
        <f ca="1">IF(ISNUMBER(FIND("(",$I831)), "", _xll.IMDP("IR", $K831, $L$50, WORKDAY('CD|CP 발행사'!$C$4,-1)) )</f>
        <v/>
      </c>
    </row>
    <row r="832" spans="7:12">
      <c r="G832">
        <f ca="1">IF( ISNUMBER($L832), MAX($G$50:G831)+1,0)</f>
        <v>0</v>
      </c>
      <c r="H832" s="13"/>
      <c r="I832" s="67"/>
      <c r="J832" s="67"/>
      <c r="K832" s="80" t="str">
        <f t="shared" si="17"/>
        <v>CDAVG</v>
      </c>
      <c r="L832" s="80" t="str">
        <f ca="1">IF(ISNUMBER(FIND("(",$I832)), "", _xll.IMDP("IR", $K832, $L$50, WORKDAY('CD|CP 발행사'!$C$4,-1)) )</f>
        <v/>
      </c>
    </row>
    <row r="833" spans="7:12">
      <c r="G833">
        <f ca="1">IF( ISNUMBER($L833), MAX($G$50:G832)+1,0)</f>
        <v>0</v>
      </c>
      <c r="H833" s="13"/>
      <c r="I833" s="67"/>
      <c r="J833" s="67"/>
      <c r="K833" s="80" t="str">
        <f t="shared" si="17"/>
        <v>CDAVG</v>
      </c>
      <c r="L833" s="80" t="str">
        <f ca="1">IF(ISNUMBER(FIND("(",$I833)), "", _xll.IMDP("IR", $K833, $L$50, WORKDAY('CD|CP 발행사'!$C$4,-1)) )</f>
        <v/>
      </c>
    </row>
    <row r="834" spans="7:12">
      <c r="G834">
        <f ca="1">IF( ISNUMBER($L834), MAX($G$50:G833)+1,0)</f>
        <v>0</v>
      </c>
      <c r="H834" s="13"/>
      <c r="I834" s="67"/>
      <c r="J834" s="67"/>
      <c r="K834" s="80" t="str">
        <f t="shared" si="17"/>
        <v>CDAVG</v>
      </c>
      <c r="L834" s="80" t="str">
        <f ca="1">IF(ISNUMBER(FIND("(",$I834)), "", _xll.IMDP("IR", $K834, $L$50, WORKDAY('CD|CP 발행사'!$C$4,-1)) )</f>
        <v/>
      </c>
    </row>
    <row r="835" spans="7:12">
      <c r="G835">
        <f ca="1">IF( ISNUMBER($L835), MAX($G$50:G834)+1,0)</f>
        <v>0</v>
      </c>
      <c r="H835" s="13"/>
      <c r="I835" s="67"/>
      <c r="J835" s="67"/>
      <c r="K835" s="80" t="str">
        <f t="shared" si="17"/>
        <v>CDAVG</v>
      </c>
      <c r="L835" s="80" t="str">
        <f ca="1">IF(ISNUMBER(FIND("(",$I835)), "", _xll.IMDP("IR", $K835, $L$50, WORKDAY('CD|CP 발행사'!$C$4,-1)) )</f>
        <v/>
      </c>
    </row>
    <row r="836" spans="7:12">
      <c r="G836">
        <f ca="1">IF( ISNUMBER($L836), MAX($G$50:G835)+1,0)</f>
        <v>0</v>
      </c>
      <c r="H836" s="13"/>
      <c r="I836" s="67"/>
      <c r="J836" s="67"/>
      <c r="K836" s="80" t="str">
        <f t="shared" si="17"/>
        <v>CDAVG</v>
      </c>
      <c r="L836" s="80" t="str">
        <f ca="1">IF(ISNUMBER(FIND("(",$I836)), "", _xll.IMDP("IR", $K836, $L$50, WORKDAY('CD|CP 발행사'!$C$4,-1)) )</f>
        <v/>
      </c>
    </row>
    <row r="837" spans="7:12">
      <c r="G837">
        <f ca="1">IF( ISNUMBER($L837), MAX($G$50:G836)+1,0)</f>
        <v>0</v>
      </c>
      <c r="H837" s="13"/>
      <c r="I837" s="67"/>
      <c r="J837" s="67"/>
      <c r="K837" s="80" t="str">
        <f t="shared" si="17"/>
        <v>CDAVG</v>
      </c>
      <c r="L837" s="80" t="str">
        <f ca="1">IF(ISNUMBER(FIND("(",$I837)), "", _xll.IMDP("IR", $K837, $L$50, WORKDAY('CD|CP 발행사'!$C$4,-1)) )</f>
        <v/>
      </c>
    </row>
    <row r="838" spans="7:12">
      <c r="G838">
        <f ca="1">IF( ISNUMBER($L838), MAX($G$50:G837)+1,0)</f>
        <v>0</v>
      </c>
      <c r="H838" s="13"/>
      <c r="I838" s="67"/>
      <c r="J838" s="67"/>
      <c r="K838" s="80" t="str">
        <f t="shared" si="17"/>
        <v>CDAVG</v>
      </c>
      <c r="L838" s="80" t="str">
        <f ca="1">IF(ISNUMBER(FIND("(",$I838)), "", _xll.IMDP("IR", $K838, $L$50, WORKDAY('CD|CP 발행사'!$C$4,-1)) )</f>
        <v/>
      </c>
    </row>
    <row r="839" spans="7:12">
      <c r="G839">
        <f ca="1">IF( ISNUMBER($L839), MAX($G$50:G838)+1,0)</f>
        <v>0</v>
      </c>
      <c r="H839" s="13"/>
      <c r="I839" s="67"/>
      <c r="J839" s="67"/>
      <c r="K839" s="80" t="str">
        <f t="shared" si="17"/>
        <v>CDAVG</v>
      </c>
      <c r="L839" s="80" t="str">
        <f ca="1">IF(ISNUMBER(FIND("(",$I839)), "", _xll.IMDP("IR", $K839, $L$50, WORKDAY('CD|CP 발행사'!$C$4,-1)) )</f>
        <v/>
      </c>
    </row>
    <row r="840" spans="7:12">
      <c r="G840">
        <f ca="1">IF( ISNUMBER($L840), MAX($G$50:G839)+1,0)</f>
        <v>0</v>
      </c>
      <c r="H840" s="13"/>
      <c r="I840" s="67"/>
      <c r="J840" s="67"/>
      <c r="K840" s="80" t="str">
        <f t="shared" si="17"/>
        <v>CDAVG</v>
      </c>
      <c r="L840" s="80" t="str">
        <f ca="1">IF(ISNUMBER(FIND("(",$I840)), "", _xll.IMDP("IR", $K840, $L$50, WORKDAY('CD|CP 발행사'!$C$4,-1)) )</f>
        <v/>
      </c>
    </row>
    <row r="841" spans="7:12">
      <c r="G841">
        <f ca="1">IF( ISNUMBER($L841), MAX($G$50:G840)+1,0)</f>
        <v>0</v>
      </c>
      <c r="H841" s="13"/>
      <c r="I841" s="67"/>
      <c r="J841" s="67"/>
      <c r="K841" s="80" t="str">
        <f t="shared" si="17"/>
        <v>CDAVG</v>
      </c>
      <c r="L841" s="80" t="str">
        <f ca="1">IF(ISNUMBER(FIND("(",$I841)), "", _xll.IMDP("IR", $K841, $L$50, WORKDAY('CD|CP 발행사'!$C$4,-1)) )</f>
        <v/>
      </c>
    </row>
    <row r="842" spans="7:12">
      <c r="G842">
        <f ca="1">IF( ISNUMBER($L842), MAX($G$50:G841)+1,0)</f>
        <v>0</v>
      </c>
      <c r="H842" s="13"/>
      <c r="I842" s="67"/>
      <c r="J842" s="67"/>
      <c r="K842" s="80" t="str">
        <f t="shared" si="17"/>
        <v>CDAVG</v>
      </c>
      <c r="L842" s="80" t="str">
        <f ca="1">IF(ISNUMBER(FIND("(",$I842)), "", _xll.IMDP("IR", $K842, $L$50, WORKDAY('CD|CP 발행사'!$C$4,-1)) )</f>
        <v/>
      </c>
    </row>
    <row r="843" spans="7:12">
      <c r="G843">
        <f ca="1">IF( ISNUMBER($L843), MAX($G$50:G842)+1,0)</f>
        <v>0</v>
      </c>
      <c r="H843" s="13"/>
      <c r="I843" s="67"/>
      <c r="J843" s="67"/>
      <c r="K843" s="80" t="str">
        <f t="shared" si="17"/>
        <v>CDAVG</v>
      </c>
      <c r="L843" s="80" t="str">
        <f ca="1">IF(ISNUMBER(FIND("(",$I843)), "", _xll.IMDP("IR", $K843, $L$50, WORKDAY('CD|CP 발행사'!$C$4,-1)) )</f>
        <v/>
      </c>
    </row>
    <row r="844" spans="7:12">
      <c r="G844">
        <f ca="1">IF( ISNUMBER($L844), MAX($G$50:G843)+1,0)</f>
        <v>0</v>
      </c>
      <c r="H844" s="13"/>
      <c r="I844" s="67"/>
      <c r="J844" s="67"/>
      <c r="K844" s="80" t="str">
        <f t="shared" si="17"/>
        <v>CDAVG</v>
      </c>
      <c r="L844" s="80" t="str">
        <f ca="1">IF(ISNUMBER(FIND("(",$I844)), "", _xll.IMDP("IR", $K844, $L$50, WORKDAY('CD|CP 발행사'!$C$4,-1)) )</f>
        <v/>
      </c>
    </row>
    <row r="845" spans="7:12">
      <c r="G845">
        <f ca="1">IF( ISNUMBER($L845), MAX($G$50:G844)+1,0)</f>
        <v>0</v>
      </c>
      <c r="H845" s="13"/>
      <c r="I845" s="67"/>
      <c r="J845" s="67"/>
      <c r="K845" s="80" t="str">
        <f t="shared" si="17"/>
        <v>CDAVG</v>
      </c>
      <c r="L845" s="80" t="str">
        <f ca="1">IF(ISNUMBER(FIND("(",$I845)), "", _xll.IMDP("IR", $K845, $L$50, WORKDAY('CD|CP 발행사'!$C$4,-1)) )</f>
        <v/>
      </c>
    </row>
    <row r="846" spans="7:12">
      <c r="G846">
        <f ca="1">IF( ISNUMBER($L846), MAX($G$50:G845)+1,0)</f>
        <v>0</v>
      </c>
      <c r="H846" s="13"/>
      <c r="I846" s="67"/>
      <c r="J846" s="67"/>
      <c r="K846" s="80" t="str">
        <f t="shared" si="17"/>
        <v>CDAVG</v>
      </c>
      <c r="L846" s="80" t="str">
        <f ca="1">IF(ISNUMBER(FIND("(",$I846)), "", _xll.IMDP("IR", $K846, $L$50, WORKDAY('CD|CP 발행사'!$C$4,-1)) )</f>
        <v/>
      </c>
    </row>
    <row r="847" spans="7:12">
      <c r="G847">
        <f ca="1">IF( ISNUMBER($L847), MAX($G$50:G846)+1,0)</f>
        <v>0</v>
      </c>
      <c r="H847" s="13"/>
      <c r="I847" s="67"/>
      <c r="J847" s="67"/>
      <c r="K847" s="80" t="str">
        <f t="shared" si="17"/>
        <v>CDAVG</v>
      </c>
      <c r="L847" s="80" t="str">
        <f ca="1">IF(ISNUMBER(FIND("(",$I847)), "", _xll.IMDP("IR", $K847, $L$50, WORKDAY('CD|CP 발행사'!$C$4,-1)) )</f>
        <v/>
      </c>
    </row>
    <row r="848" spans="7:12">
      <c r="G848">
        <f ca="1">IF( ISNUMBER($L848), MAX($G$50:G847)+1,0)</f>
        <v>0</v>
      </c>
      <c r="H848" s="13"/>
      <c r="I848" s="67"/>
      <c r="J848" s="67"/>
      <c r="K848" s="80" t="str">
        <f t="shared" si="17"/>
        <v>CDAVG</v>
      </c>
      <c r="L848" s="80" t="str">
        <f ca="1">IF(ISNUMBER(FIND("(",$I848)), "", _xll.IMDP("IR", $K848, $L$50, WORKDAY('CD|CP 발행사'!$C$4,-1)) )</f>
        <v/>
      </c>
    </row>
    <row r="849" spans="7:12">
      <c r="G849">
        <f ca="1">IF( ISNUMBER($L849), MAX($G$50:G848)+1,0)</f>
        <v>0</v>
      </c>
      <c r="H849" s="13"/>
      <c r="I849" s="67"/>
      <c r="J849" s="67"/>
      <c r="K849" s="80" t="str">
        <f t="shared" si="17"/>
        <v>CDAVG</v>
      </c>
      <c r="L849" s="80" t="str">
        <f ca="1">IF(ISNUMBER(FIND("(",$I849)), "", _xll.IMDP("IR", $K849, $L$50, WORKDAY('CD|CP 발행사'!$C$4,-1)) )</f>
        <v/>
      </c>
    </row>
    <row r="850" spans="7:12">
      <c r="G850">
        <f ca="1">IF( ISNUMBER($L850), MAX($G$50:G849)+1,0)</f>
        <v>0</v>
      </c>
      <c r="H850" s="13"/>
      <c r="I850" s="67"/>
      <c r="J850" s="67"/>
      <c r="K850" s="80" t="str">
        <f t="shared" si="17"/>
        <v>CDAVG</v>
      </c>
      <c r="L850" s="80" t="str">
        <f ca="1">IF(ISNUMBER(FIND("(",$I850)), "", _xll.IMDP("IR", $K850, $L$50, WORKDAY('CD|CP 발행사'!$C$4,-1)) )</f>
        <v/>
      </c>
    </row>
    <row r="851" spans="7:12">
      <c r="G851">
        <f ca="1">IF( ISNUMBER($L851), MAX($G$50:G850)+1,0)</f>
        <v>0</v>
      </c>
      <c r="H851" s="13"/>
      <c r="I851" s="67"/>
      <c r="J851" s="67"/>
      <c r="K851" s="80" t="str">
        <f t="shared" si="17"/>
        <v>CDAVG</v>
      </c>
      <c r="L851" s="80" t="str">
        <f ca="1">IF(ISNUMBER(FIND("(",$I851)), "", _xll.IMDP("IR", $K851, $L$50, WORKDAY('CD|CP 발행사'!$C$4,-1)) )</f>
        <v/>
      </c>
    </row>
    <row r="852" spans="7:12">
      <c r="G852">
        <f ca="1">IF( ISNUMBER($L852), MAX($G$50:G851)+1,0)</f>
        <v>0</v>
      </c>
      <c r="H852" s="13"/>
      <c r="I852" s="67"/>
      <c r="J852" s="67"/>
      <c r="K852" s="80" t="str">
        <f t="shared" si="17"/>
        <v>CDAVG</v>
      </c>
      <c r="L852" s="80" t="str">
        <f ca="1">IF(ISNUMBER(FIND("(",$I852)), "", _xll.IMDP("IR", $K852, $L$50, WORKDAY('CD|CP 발행사'!$C$4,-1)) )</f>
        <v/>
      </c>
    </row>
    <row r="853" spans="7:12">
      <c r="G853">
        <f ca="1">IF( ISNUMBER($L853), MAX($G$50:G852)+1,0)</f>
        <v>0</v>
      </c>
      <c r="H853" s="13"/>
      <c r="I853" s="67"/>
      <c r="J853" s="67"/>
      <c r="K853" s="80" t="str">
        <f t="shared" si="17"/>
        <v>CDAVG</v>
      </c>
      <c r="L853" s="80" t="str">
        <f ca="1">IF(ISNUMBER(FIND("(",$I853)), "", _xll.IMDP("IR", $K853, $L$50, WORKDAY('CD|CP 발행사'!$C$4,-1)) )</f>
        <v/>
      </c>
    </row>
    <row r="854" spans="7:12">
      <c r="G854">
        <f ca="1">IF( ISNUMBER($L854), MAX($G$50:G853)+1,0)</f>
        <v>0</v>
      </c>
      <c r="H854" s="13"/>
      <c r="I854" s="67"/>
      <c r="J854" s="67"/>
      <c r="K854" s="80" t="str">
        <f t="shared" si="17"/>
        <v>CDAVG</v>
      </c>
      <c r="L854" s="80" t="str">
        <f ca="1">IF(ISNUMBER(FIND("(",$I854)), "", _xll.IMDP("IR", $K854, $L$50, WORKDAY('CD|CP 발행사'!$C$4,-1)) )</f>
        <v/>
      </c>
    </row>
    <row r="855" spans="7:12">
      <c r="G855">
        <f ca="1">IF( ISNUMBER($L855), MAX($G$50:G854)+1,0)</f>
        <v>0</v>
      </c>
      <c r="H855" s="13"/>
      <c r="I855" s="67"/>
      <c r="J855" s="67"/>
      <c r="K855" s="80" t="str">
        <f t="shared" si="17"/>
        <v>CDAVG</v>
      </c>
      <c r="L855" s="80" t="str">
        <f ca="1">IF(ISNUMBER(FIND("(",$I855)), "", _xll.IMDP("IR", $K855, $L$50, WORKDAY('CD|CP 발행사'!$C$4,-1)) )</f>
        <v/>
      </c>
    </row>
    <row r="856" spans="7:12">
      <c r="G856">
        <f ca="1">IF( ISNUMBER($L856), MAX($G$50:G855)+1,0)</f>
        <v>0</v>
      </c>
      <c r="H856" s="13"/>
      <c r="I856" s="67"/>
      <c r="J856" s="67"/>
      <c r="K856" s="80" t="str">
        <f t="shared" si="17"/>
        <v>CDAVG</v>
      </c>
      <c r="L856" s="80" t="str">
        <f ca="1">IF(ISNUMBER(FIND("(",$I856)), "", _xll.IMDP("IR", $K856, $L$50, WORKDAY('CD|CP 발행사'!$C$4,-1)) )</f>
        <v/>
      </c>
    </row>
    <row r="857" spans="7:12">
      <c r="G857">
        <f ca="1">IF( ISNUMBER($L857), MAX($G$50:G856)+1,0)</f>
        <v>0</v>
      </c>
      <c r="H857" s="13"/>
      <c r="I857" s="67"/>
      <c r="J857" s="67"/>
      <c r="K857" s="80" t="str">
        <f t="shared" si="17"/>
        <v>CDAVG</v>
      </c>
      <c r="L857" s="80" t="str">
        <f ca="1">IF(ISNUMBER(FIND("(",$I857)), "", _xll.IMDP("IR", $K857, $L$50, WORKDAY('CD|CP 발행사'!$C$4,-1)) )</f>
        <v/>
      </c>
    </row>
    <row r="858" spans="7:12">
      <c r="G858">
        <f ca="1">IF( ISNUMBER($L858), MAX($G$50:G857)+1,0)</f>
        <v>0</v>
      </c>
      <c r="H858" s="13"/>
      <c r="I858" s="67"/>
      <c r="J858" s="67"/>
      <c r="K858" s="80" t="str">
        <f t="shared" si="17"/>
        <v>CDAVG</v>
      </c>
      <c r="L858" s="80" t="str">
        <f ca="1">IF(ISNUMBER(FIND("(",$I858)), "", _xll.IMDP("IR", $K858, $L$50, WORKDAY('CD|CP 발행사'!$C$4,-1)) )</f>
        <v/>
      </c>
    </row>
    <row r="859" spans="7:12">
      <c r="G859">
        <f ca="1">IF( ISNUMBER($L859), MAX($G$50:G858)+1,0)</f>
        <v>0</v>
      </c>
      <c r="H859" s="13"/>
      <c r="I859" s="67"/>
      <c r="J859" s="67"/>
      <c r="K859" s="80" t="str">
        <f t="shared" si="17"/>
        <v>CDAVG</v>
      </c>
      <c r="L859" s="80" t="str">
        <f ca="1">IF(ISNUMBER(FIND("(",$I859)), "", _xll.IMDP("IR", $K859, $L$50, WORKDAY('CD|CP 발행사'!$C$4,-1)) )</f>
        <v/>
      </c>
    </row>
    <row r="860" spans="7:12">
      <c r="G860">
        <f ca="1">IF( ISNUMBER($L860), MAX($G$50:G859)+1,0)</f>
        <v>0</v>
      </c>
      <c r="H860" s="13"/>
      <c r="I860" s="67"/>
      <c r="J860" s="67"/>
      <c r="K860" s="80" t="str">
        <f t="shared" si="17"/>
        <v>CDAVG</v>
      </c>
      <c r="L860" s="80" t="str">
        <f ca="1">IF(ISNUMBER(FIND("(",$I860)), "", _xll.IMDP("IR", $K860, $L$50, WORKDAY('CD|CP 발행사'!$C$4,-1)) )</f>
        <v/>
      </c>
    </row>
    <row r="861" spans="7:12">
      <c r="G861">
        <f ca="1">IF( ISNUMBER($L861), MAX($G$50:G860)+1,0)</f>
        <v>0</v>
      </c>
      <c r="H861" s="13"/>
      <c r="I861" s="67"/>
      <c r="J861" s="67"/>
      <c r="K861" s="80" t="str">
        <f t="shared" si="17"/>
        <v>CDAVG</v>
      </c>
      <c r="L861" s="80" t="str">
        <f ca="1">IF(ISNUMBER(FIND("(",$I861)), "", _xll.IMDP("IR", $K861, $L$50, WORKDAY('CD|CP 발행사'!$C$4,-1)) )</f>
        <v/>
      </c>
    </row>
    <row r="862" spans="7:12">
      <c r="G862">
        <f ca="1">IF( ISNUMBER($L862), MAX($G$50:G861)+1,0)</f>
        <v>0</v>
      </c>
      <c r="H862" s="13"/>
      <c r="I862" s="67"/>
      <c r="J862" s="67"/>
      <c r="K862" s="80" t="str">
        <f t="shared" si="17"/>
        <v>CDAVG</v>
      </c>
      <c r="L862" s="80" t="str">
        <f ca="1">IF(ISNUMBER(FIND("(",$I862)), "", _xll.IMDP("IR", $K862, $L$50, WORKDAY('CD|CP 발행사'!$C$4,-1)) )</f>
        <v/>
      </c>
    </row>
    <row r="863" spans="7:12">
      <c r="G863">
        <f ca="1">IF( ISNUMBER($L863), MAX($G$50:G862)+1,0)</f>
        <v>0</v>
      </c>
      <c r="H863" s="13"/>
      <c r="I863" s="67"/>
      <c r="J863" s="67"/>
      <c r="K863" s="80" t="str">
        <f t="shared" si="17"/>
        <v>CDAVG</v>
      </c>
      <c r="L863" s="80" t="str">
        <f ca="1">IF(ISNUMBER(FIND("(",$I863)), "", _xll.IMDP("IR", $K863, $L$50, WORKDAY('CD|CP 발행사'!$C$4,-1)) )</f>
        <v/>
      </c>
    </row>
    <row r="864" spans="7:12">
      <c r="G864">
        <f ca="1">IF( ISNUMBER($L864), MAX($G$50:G863)+1,0)</f>
        <v>0</v>
      </c>
      <c r="H864" s="13"/>
      <c r="I864" s="67"/>
      <c r="J864" s="67"/>
      <c r="K864" s="80" t="str">
        <f t="shared" si="17"/>
        <v>CDAVG</v>
      </c>
      <c r="L864" s="80" t="str">
        <f ca="1">IF(ISNUMBER(FIND("(",$I864)), "", _xll.IMDP("IR", $K864, $L$50, WORKDAY('CD|CP 발행사'!$C$4,-1)) )</f>
        <v/>
      </c>
    </row>
    <row r="865" spans="7:12">
      <c r="G865">
        <f ca="1">IF( ISNUMBER($L865), MAX($G$50:G864)+1,0)</f>
        <v>0</v>
      </c>
      <c r="H865" s="13"/>
      <c r="I865" s="67"/>
      <c r="J865" s="67"/>
      <c r="K865" s="80" t="str">
        <f t="shared" si="17"/>
        <v>CDAVG</v>
      </c>
      <c r="L865" s="80" t="str">
        <f ca="1">IF(ISNUMBER(FIND("(",$I865)), "", _xll.IMDP("IR", $K865, $L$50, WORKDAY('CD|CP 발행사'!$C$4,-1)) )</f>
        <v/>
      </c>
    </row>
    <row r="866" spans="7:12">
      <c r="G866">
        <f ca="1">IF( ISNUMBER($L866), MAX($G$50:G865)+1,0)</f>
        <v>0</v>
      </c>
      <c r="H866" s="13"/>
      <c r="I866" s="67"/>
      <c r="J866" s="67"/>
      <c r="K866" s="80" t="str">
        <f t="shared" si="17"/>
        <v>CDAVG</v>
      </c>
      <c r="L866" s="80" t="str">
        <f ca="1">IF(ISNUMBER(FIND("(",$I866)), "", _xll.IMDP("IR", $K866, $L$50, WORKDAY('CD|CP 발행사'!$C$4,-1)) )</f>
        <v/>
      </c>
    </row>
    <row r="867" spans="7:12">
      <c r="G867">
        <f ca="1">IF( ISNUMBER($L867), MAX($G$50:G866)+1,0)</f>
        <v>0</v>
      </c>
      <c r="H867" s="13"/>
      <c r="I867" s="67"/>
      <c r="J867" s="67"/>
      <c r="K867" s="80" t="str">
        <f t="shared" si="17"/>
        <v>CDAVG</v>
      </c>
      <c r="L867" s="80" t="str">
        <f ca="1">IF(ISNUMBER(FIND("(",$I867)), "", _xll.IMDP("IR", $K867, $L$50, WORKDAY('CD|CP 발행사'!$C$4,-1)) )</f>
        <v/>
      </c>
    </row>
    <row r="868" spans="7:12">
      <c r="G868">
        <f ca="1">IF( ISNUMBER($L868), MAX($G$50:G867)+1,0)</f>
        <v>0</v>
      </c>
      <c r="H868" s="13"/>
      <c r="I868" s="67"/>
      <c r="J868" s="67"/>
      <c r="K868" s="80" t="str">
        <f t="shared" si="17"/>
        <v>CDAVG</v>
      </c>
      <c r="L868" s="80" t="str">
        <f ca="1">IF(ISNUMBER(FIND("(",$I868)), "", _xll.IMDP("IR", $K868, $L$50, WORKDAY('CD|CP 발행사'!$C$4,-1)) )</f>
        <v/>
      </c>
    </row>
    <row r="869" spans="7:12">
      <c r="G869">
        <f ca="1">IF( ISNUMBER($L869), MAX($G$50:G868)+1,0)</f>
        <v>0</v>
      </c>
      <c r="H869" s="13"/>
      <c r="I869" s="67"/>
      <c r="J869" s="67"/>
      <c r="K869" s="80" t="str">
        <f t="shared" si="17"/>
        <v>CDAVG</v>
      </c>
      <c r="L869" s="80" t="str">
        <f ca="1">IF(ISNUMBER(FIND("(",$I869)), "", _xll.IMDP("IR", $K869, $L$50, WORKDAY('CD|CP 발행사'!$C$4,-1)) )</f>
        <v/>
      </c>
    </row>
    <row r="870" spans="7:12">
      <c r="G870">
        <f ca="1">IF( ISNUMBER($L870), MAX($G$50:G869)+1,0)</f>
        <v>0</v>
      </c>
      <c r="H870" s="13"/>
      <c r="I870" s="67"/>
      <c r="J870" s="67"/>
      <c r="K870" s="80" t="str">
        <f t="shared" si="17"/>
        <v>CDAVG</v>
      </c>
      <c r="L870" s="80" t="str">
        <f ca="1">IF(ISNUMBER(FIND("(",$I870)), "", _xll.IMDP("IR", $K870, $L$50, WORKDAY('CD|CP 발행사'!$C$4,-1)) )</f>
        <v/>
      </c>
    </row>
    <row r="871" spans="7:12">
      <c r="G871">
        <f ca="1">IF( ISNUMBER($L871), MAX($G$50:G870)+1,0)</f>
        <v>0</v>
      </c>
      <c r="H871" s="13"/>
      <c r="I871" s="67"/>
      <c r="J871" s="67"/>
      <c r="K871" s="80" t="str">
        <f t="shared" si="17"/>
        <v>CDAVG</v>
      </c>
      <c r="L871" s="80" t="str">
        <f ca="1">IF(ISNUMBER(FIND("(",$I871)), "", _xll.IMDP("IR", $K871, $L$50, WORKDAY('CD|CP 발행사'!$C$4,-1)) )</f>
        <v/>
      </c>
    </row>
    <row r="872" spans="7:12">
      <c r="G872">
        <f ca="1">IF( ISNUMBER($L872), MAX($G$50:G871)+1,0)</f>
        <v>0</v>
      </c>
      <c r="H872" s="13"/>
      <c r="I872" s="67"/>
      <c r="J872" s="67"/>
      <c r="K872" s="80" t="str">
        <f t="shared" si="17"/>
        <v>CDAVG</v>
      </c>
      <c r="L872" s="80" t="str">
        <f ca="1">IF(ISNUMBER(FIND("(",$I872)), "", _xll.IMDP("IR", $K872, $L$50, WORKDAY('CD|CP 발행사'!$C$4,-1)) )</f>
        <v/>
      </c>
    </row>
    <row r="873" spans="7:12">
      <c r="G873">
        <f ca="1">IF( ISNUMBER($L873), MAX($G$50:G872)+1,0)</f>
        <v>0</v>
      </c>
      <c r="H873" s="13"/>
      <c r="I873" s="67"/>
      <c r="J873" s="67"/>
      <c r="K873" s="80" t="str">
        <f t="shared" si="17"/>
        <v>CDAVG</v>
      </c>
      <c r="L873" s="80" t="str">
        <f ca="1">IF(ISNUMBER(FIND("(",$I873)), "", _xll.IMDP("IR", $K873, $L$50, WORKDAY('CD|CP 발행사'!$C$4,-1)) )</f>
        <v/>
      </c>
    </row>
    <row r="874" spans="7:12">
      <c r="G874">
        <f ca="1">IF( ISNUMBER($L874), MAX($G$50:G873)+1,0)</f>
        <v>0</v>
      </c>
      <c r="H874" s="13"/>
      <c r="I874" s="67"/>
      <c r="J874" s="67"/>
      <c r="K874" s="80" t="str">
        <f t="shared" si="17"/>
        <v>CDAVG</v>
      </c>
      <c r="L874" s="80" t="str">
        <f ca="1">IF(ISNUMBER(FIND("(",$I874)), "", _xll.IMDP("IR", $K874, $L$50, WORKDAY('CD|CP 발행사'!$C$4,-1)) )</f>
        <v/>
      </c>
    </row>
    <row r="875" spans="7:12">
      <c r="G875">
        <f ca="1">IF( ISNUMBER($L875), MAX($G$50:G874)+1,0)</f>
        <v>0</v>
      </c>
      <c r="H875" s="13"/>
      <c r="I875" s="67"/>
      <c r="J875" s="67"/>
      <c r="K875" s="80" t="str">
        <f t="shared" si="17"/>
        <v>CDAVG</v>
      </c>
      <c r="L875" s="80" t="str">
        <f ca="1">IF(ISNUMBER(FIND("(",$I875)), "", _xll.IMDP("IR", $K875, $L$50, WORKDAY('CD|CP 발행사'!$C$4,-1)) )</f>
        <v/>
      </c>
    </row>
    <row r="876" spans="7:12">
      <c r="G876">
        <f ca="1">IF( ISNUMBER($L876), MAX($G$50:G875)+1,0)</f>
        <v>0</v>
      </c>
      <c r="H876" s="13"/>
      <c r="I876" s="67"/>
      <c r="J876" s="67"/>
      <c r="K876" s="80" t="str">
        <f t="shared" si="17"/>
        <v>CDAVG</v>
      </c>
      <c r="L876" s="80" t="str">
        <f ca="1">IF(ISNUMBER(FIND("(",$I876)), "", _xll.IMDP("IR", $K876, $L$50, WORKDAY('CD|CP 발행사'!$C$4,-1)) )</f>
        <v/>
      </c>
    </row>
    <row r="877" spans="7:12">
      <c r="G877">
        <f ca="1">IF( ISNUMBER($L877), MAX($G$50:G876)+1,0)</f>
        <v>0</v>
      </c>
      <c r="H877" s="13"/>
      <c r="I877" s="67"/>
      <c r="J877" s="67"/>
      <c r="K877" s="80" t="str">
        <f t="shared" si="17"/>
        <v>CDAVG</v>
      </c>
      <c r="L877" s="80" t="str">
        <f ca="1">IF(ISNUMBER(FIND("(",$I877)), "", _xll.IMDP("IR", $K877, $L$50, WORKDAY('CD|CP 발행사'!$C$4,-1)) )</f>
        <v/>
      </c>
    </row>
    <row r="878" spans="7:12">
      <c r="G878">
        <f ca="1">IF( ISNUMBER($L878), MAX($G$50:G877)+1,0)</f>
        <v>0</v>
      </c>
      <c r="H878" s="13"/>
      <c r="I878" s="67"/>
      <c r="J878" s="67"/>
      <c r="K878" s="80" t="str">
        <f t="shared" si="17"/>
        <v>CDAVG</v>
      </c>
      <c r="L878" s="80" t="str">
        <f ca="1">IF(ISNUMBER(FIND("(",$I878)), "", _xll.IMDP("IR", $K878, $L$50, WORKDAY('CD|CP 발행사'!$C$4,-1)) )</f>
        <v/>
      </c>
    </row>
    <row r="879" spans="7:12">
      <c r="G879">
        <f ca="1">IF( ISNUMBER($L879), MAX($G$50:G878)+1,0)</f>
        <v>0</v>
      </c>
      <c r="H879" s="13"/>
      <c r="I879" s="67"/>
      <c r="J879" s="67"/>
      <c r="K879" s="80" t="str">
        <f t="shared" si="17"/>
        <v>CDAVG</v>
      </c>
      <c r="L879" s="80" t="str">
        <f ca="1">IF(ISNUMBER(FIND("(",$I879)), "", _xll.IMDP("IR", $K879, $L$50, WORKDAY('CD|CP 발행사'!$C$4,-1)) )</f>
        <v/>
      </c>
    </row>
    <row r="880" spans="7:12">
      <c r="G880">
        <f ca="1">IF( ISNUMBER($L880), MAX($G$50:G879)+1,0)</f>
        <v>0</v>
      </c>
      <c r="H880" s="13"/>
      <c r="I880" s="67"/>
      <c r="J880" s="67"/>
      <c r="K880" s="80" t="str">
        <f t="shared" si="17"/>
        <v>CDAVG</v>
      </c>
      <c r="L880" s="80" t="str">
        <f ca="1">IF(ISNUMBER(FIND("(",$I880)), "", _xll.IMDP("IR", $K880, $L$50, WORKDAY('CD|CP 발행사'!$C$4,-1)) )</f>
        <v/>
      </c>
    </row>
    <row r="881" spans="7:12">
      <c r="G881">
        <f ca="1">IF( ISNUMBER($L881), MAX($G$50:G880)+1,0)</f>
        <v>0</v>
      </c>
      <c r="H881" s="13"/>
      <c r="I881" s="67"/>
      <c r="J881" s="67"/>
      <c r="K881" s="80" t="str">
        <f t="shared" si="17"/>
        <v>CDAVG</v>
      </c>
      <c r="L881" s="80" t="str">
        <f ca="1">IF(ISNUMBER(FIND("(",$I881)), "", _xll.IMDP("IR", $K881, $L$50, WORKDAY('CD|CP 발행사'!$C$4,-1)) )</f>
        <v/>
      </c>
    </row>
    <row r="882" spans="7:12">
      <c r="G882">
        <f ca="1">IF( ISNUMBER($L882), MAX($G$50:G881)+1,0)</f>
        <v>0</v>
      </c>
      <c r="H882" s="13"/>
      <c r="I882" s="67"/>
      <c r="J882" s="67"/>
      <c r="K882" s="80" t="str">
        <f t="shared" si="17"/>
        <v>CDAVG</v>
      </c>
      <c r="L882" s="80" t="str">
        <f ca="1">IF(ISNUMBER(FIND("(",$I882)), "", _xll.IMDP("IR", $K882, $L$50, WORKDAY('CD|CP 발행사'!$C$4,-1)) )</f>
        <v/>
      </c>
    </row>
    <row r="883" spans="7:12">
      <c r="G883">
        <f ca="1">IF( ISNUMBER($L883), MAX($G$50:G882)+1,0)</f>
        <v>0</v>
      </c>
      <c r="H883" s="13"/>
      <c r="I883" s="67"/>
      <c r="J883" s="67"/>
      <c r="K883" s="80" t="str">
        <f t="shared" ref="K883:K946" si="18">$K$49&amp;$H883</f>
        <v>CDAVG</v>
      </c>
      <c r="L883" s="80" t="str">
        <f ca="1">IF(ISNUMBER(FIND("(",$I883)), "", _xll.IMDP("IR", $K883, $L$50, WORKDAY('CD|CP 발행사'!$C$4,-1)) )</f>
        <v/>
      </c>
    </row>
    <row r="884" spans="7:12">
      <c r="G884">
        <f ca="1">IF( ISNUMBER($L884), MAX($G$50:G883)+1,0)</f>
        <v>0</v>
      </c>
      <c r="H884" s="13"/>
      <c r="I884" s="67"/>
      <c r="J884" s="67"/>
      <c r="K884" s="80" t="str">
        <f t="shared" si="18"/>
        <v>CDAVG</v>
      </c>
      <c r="L884" s="80" t="str">
        <f ca="1">IF(ISNUMBER(FIND("(",$I884)), "", _xll.IMDP("IR", $K884, $L$50, WORKDAY('CD|CP 발행사'!$C$4,-1)) )</f>
        <v/>
      </c>
    </row>
    <row r="885" spans="7:12">
      <c r="G885">
        <f ca="1">IF( ISNUMBER($L885), MAX($G$50:G884)+1,0)</f>
        <v>0</v>
      </c>
      <c r="H885" s="13"/>
      <c r="I885" s="67"/>
      <c r="J885" s="67"/>
      <c r="K885" s="80" t="str">
        <f t="shared" si="18"/>
        <v>CDAVG</v>
      </c>
      <c r="L885" s="80" t="str">
        <f ca="1">IF(ISNUMBER(FIND("(",$I885)), "", _xll.IMDP("IR", $K885, $L$50, WORKDAY('CD|CP 발행사'!$C$4,-1)) )</f>
        <v/>
      </c>
    </row>
    <row r="886" spans="7:12">
      <c r="G886">
        <f ca="1">IF( ISNUMBER($L886), MAX($G$50:G885)+1,0)</f>
        <v>0</v>
      </c>
      <c r="H886" s="13"/>
      <c r="I886" s="67"/>
      <c r="J886" s="67"/>
      <c r="K886" s="80" t="str">
        <f t="shared" si="18"/>
        <v>CDAVG</v>
      </c>
      <c r="L886" s="80" t="str">
        <f ca="1">IF(ISNUMBER(FIND("(",$I886)), "", _xll.IMDP("IR", $K886, $L$50, WORKDAY('CD|CP 발행사'!$C$4,-1)) )</f>
        <v/>
      </c>
    </row>
    <row r="887" spans="7:12">
      <c r="G887">
        <f ca="1">IF( ISNUMBER($L887), MAX($G$50:G886)+1,0)</f>
        <v>0</v>
      </c>
      <c r="H887" s="13"/>
      <c r="I887" s="67"/>
      <c r="J887" s="67"/>
      <c r="K887" s="80" t="str">
        <f t="shared" si="18"/>
        <v>CDAVG</v>
      </c>
      <c r="L887" s="80" t="str">
        <f ca="1">IF(ISNUMBER(FIND("(",$I887)), "", _xll.IMDP("IR", $K887, $L$50, WORKDAY('CD|CP 발행사'!$C$4,-1)) )</f>
        <v/>
      </c>
    </row>
    <row r="888" spans="7:12">
      <c r="G888">
        <f ca="1">IF( ISNUMBER($L888), MAX($G$50:G887)+1,0)</f>
        <v>0</v>
      </c>
      <c r="H888" s="13"/>
      <c r="I888" s="67"/>
      <c r="J888" s="67"/>
      <c r="K888" s="80" t="str">
        <f t="shared" si="18"/>
        <v>CDAVG</v>
      </c>
      <c r="L888" s="80" t="str">
        <f ca="1">IF(ISNUMBER(FIND("(",$I888)), "", _xll.IMDP("IR", $K888, $L$50, WORKDAY('CD|CP 발행사'!$C$4,-1)) )</f>
        <v/>
      </c>
    </row>
    <row r="889" spans="7:12">
      <c r="G889">
        <f ca="1">IF( ISNUMBER($L889), MAX($G$50:G888)+1,0)</f>
        <v>0</v>
      </c>
      <c r="H889" s="13"/>
      <c r="I889" s="67"/>
      <c r="J889" s="67"/>
      <c r="K889" s="80" t="str">
        <f t="shared" si="18"/>
        <v>CDAVG</v>
      </c>
      <c r="L889" s="80" t="str">
        <f ca="1">IF(ISNUMBER(FIND("(",$I889)), "", _xll.IMDP("IR", $K889, $L$50, WORKDAY('CD|CP 발행사'!$C$4,-1)) )</f>
        <v/>
      </c>
    </row>
    <row r="890" spans="7:12">
      <c r="G890">
        <f ca="1">IF( ISNUMBER($L890), MAX($G$50:G889)+1,0)</f>
        <v>0</v>
      </c>
      <c r="H890" s="13"/>
      <c r="I890" s="67"/>
      <c r="J890" s="67"/>
      <c r="K890" s="80" t="str">
        <f t="shared" si="18"/>
        <v>CDAVG</v>
      </c>
      <c r="L890" s="80" t="str">
        <f ca="1">IF(ISNUMBER(FIND("(",$I890)), "", _xll.IMDP("IR", $K890, $L$50, WORKDAY('CD|CP 발행사'!$C$4,-1)) )</f>
        <v/>
      </c>
    </row>
    <row r="891" spans="7:12">
      <c r="G891">
        <f ca="1">IF( ISNUMBER($L891), MAX($G$50:G890)+1,0)</f>
        <v>0</v>
      </c>
      <c r="H891" s="13"/>
      <c r="I891" s="67"/>
      <c r="J891" s="67"/>
      <c r="K891" s="80" t="str">
        <f t="shared" si="18"/>
        <v>CDAVG</v>
      </c>
      <c r="L891" s="80" t="str">
        <f ca="1">IF(ISNUMBER(FIND("(",$I891)), "", _xll.IMDP("IR", $K891, $L$50, WORKDAY('CD|CP 발행사'!$C$4,-1)) )</f>
        <v/>
      </c>
    </row>
    <row r="892" spans="7:12">
      <c r="G892">
        <f ca="1">IF( ISNUMBER($L892), MAX($G$50:G891)+1,0)</f>
        <v>0</v>
      </c>
      <c r="H892" s="13"/>
      <c r="I892" s="67"/>
      <c r="J892" s="67"/>
      <c r="K892" s="80" t="str">
        <f t="shared" si="18"/>
        <v>CDAVG</v>
      </c>
      <c r="L892" s="80" t="str">
        <f ca="1">IF(ISNUMBER(FIND("(",$I892)), "", _xll.IMDP("IR", $K892, $L$50, WORKDAY('CD|CP 발행사'!$C$4,-1)) )</f>
        <v/>
      </c>
    </row>
    <row r="893" spans="7:12">
      <c r="G893">
        <f ca="1">IF( ISNUMBER($L893), MAX($G$50:G892)+1,0)</f>
        <v>0</v>
      </c>
      <c r="H893" s="13"/>
      <c r="I893" s="67"/>
      <c r="J893" s="67"/>
      <c r="K893" s="80" t="str">
        <f t="shared" si="18"/>
        <v>CDAVG</v>
      </c>
      <c r="L893" s="80" t="str">
        <f ca="1">IF(ISNUMBER(FIND("(",$I893)), "", _xll.IMDP("IR", $K893, $L$50, WORKDAY('CD|CP 발행사'!$C$4,-1)) )</f>
        <v/>
      </c>
    </row>
    <row r="894" spans="7:12">
      <c r="G894">
        <f ca="1">IF( ISNUMBER($L894), MAX($G$50:G893)+1,0)</f>
        <v>0</v>
      </c>
      <c r="H894" s="13"/>
      <c r="I894" s="67"/>
      <c r="J894" s="67"/>
      <c r="K894" s="80" t="str">
        <f t="shared" si="18"/>
        <v>CDAVG</v>
      </c>
      <c r="L894" s="80" t="str">
        <f ca="1">IF(ISNUMBER(FIND("(",$I894)), "", _xll.IMDP("IR", $K894, $L$50, WORKDAY('CD|CP 발행사'!$C$4,-1)) )</f>
        <v/>
      </c>
    </row>
    <row r="895" spans="7:12">
      <c r="G895">
        <f ca="1">IF( ISNUMBER($L895), MAX($G$50:G894)+1,0)</f>
        <v>0</v>
      </c>
      <c r="H895" s="13"/>
      <c r="I895" s="67"/>
      <c r="J895" s="67"/>
      <c r="K895" s="80" t="str">
        <f t="shared" si="18"/>
        <v>CDAVG</v>
      </c>
      <c r="L895" s="80" t="str">
        <f ca="1">IF(ISNUMBER(FIND("(",$I895)), "", _xll.IMDP("IR", $K895, $L$50, WORKDAY('CD|CP 발행사'!$C$4,-1)) )</f>
        <v/>
      </c>
    </row>
    <row r="896" spans="7:12">
      <c r="G896">
        <f ca="1">IF( ISNUMBER($L896), MAX($G$50:G895)+1,0)</f>
        <v>0</v>
      </c>
      <c r="H896" s="13"/>
      <c r="I896" s="67"/>
      <c r="J896" s="67"/>
      <c r="K896" s="80" t="str">
        <f t="shared" si="18"/>
        <v>CDAVG</v>
      </c>
      <c r="L896" s="80" t="str">
        <f ca="1">IF(ISNUMBER(FIND("(",$I896)), "", _xll.IMDP("IR", $K896, $L$50, WORKDAY('CD|CP 발행사'!$C$4,-1)) )</f>
        <v/>
      </c>
    </row>
    <row r="897" spans="7:12">
      <c r="G897">
        <f ca="1">IF( ISNUMBER($L897), MAX($G$50:G896)+1,0)</f>
        <v>0</v>
      </c>
      <c r="H897" s="13"/>
      <c r="I897" s="67"/>
      <c r="J897" s="67"/>
      <c r="K897" s="80" t="str">
        <f t="shared" si="18"/>
        <v>CDAVG</v>
      </c>
      <c r="L897" s="80" t="str">
        <f ca="1">IF(ISNUMBER(FIND("(",$I897)), "", _xll.IMDP("IR", $K897, $L$50, WORKDAY('CD|CP 발행사'!$C$4,-1)) )</f>
        <v/>
      </c>
    </row>
    <row r="898" spans="7:12">
      <c r="G898">
        <f ca="1">IF( ISNUMBER($L898), MAX($G$50:G897)+1,0)</f>
        <v>0</v>
      </c>
      <c r="H898" s="13"/>
      <c r="I898" s="67"/>
      <c r="J898" s="67"/>
      <c r="K898" s="80" t="str">
        <f t="shared" si="18"/>
        <v>CDAVG</v>
      </c>
      <c r="L898" s="80" t="str">
        <f ca="1">IF(ISNUMBER(FIND("(",$I898)), "", _xll.IMDP("IR", $K898, $L$50, WORKDAY('CD|CP 발행사'!$C$4,-1)) )</f>
        <v/>
      </c>
    </row>
    <row r="899" spans="7:12">
      <c r="G899">
        <f ca="1">IF( ISNUMBER($L899), MAX($G$50:G898)+1,0)</f>
        <v>0</v>
      </c>
      <c r="H899" s="13"/>
      <c r="I899" s="67"/>
      <c r="J899" s="67"/>
      <c r="K899" s="80" t="str">
        <f t="shared" si="18"/>
        <v>CDAVG</v>
      </c>
      <c r="L899" s="80" t="str">
        <f ca="1">IF(ISNUMBER(FIND("(",$I899)), "", _xll.IMDP("IR", $K899, $L$50, WORKDAY('CD|CP 발행사'!$C$4,-1)) )</f>
        <v/>
      </c>
    </row>
    <row r="900" spans="7:12">
      <c r="G900">
        <f ca="1">IF( ISNUMBER($L900), MAX($G$50:G899)+1,0)</f>
        <v>0</v>
      </c>
      <c r="H900" s="13"/>
      <c r="I900" s="67"/>
      <c r="J900" s="67"/>
      <c r="K900" s="80" t="str">
        <f t="shared" si="18"/>
        <v>CDAVG</v>
      </c>
      <c r="L900" s="80" t="str">
        <f ca="1">IF(ISNUMBER(FIND("(",$I900)), "", _xll.IMDP("IR", $K900, $L$50, WORKDAY('CD|CP 발행사'!$C$4,-1)) )</f>
        <v/>
      </c>
    </row>
    <row r="901" spans="7:12">
      <c r="G901">
        <f ca="1">IF( ISNUMBER($L901), MAX($G$50:G900)+1,0)</f>
        <v>0</v>
      </c>
      <c r="H901" s="13"/>
      <c r="I901" s="67"/>
      <c r="J901" s="67"/>
      <c r="K901" s="80" t="str">
        <f t="shared" si="18"/>
        <v>CDAVG</v>
      </c>
      <c r="L901" s="80" t="str">
        <f ca="1">IF(ISNUMBER(FIND("(",$I901)), "", _xll.IMDP("IR", $K901, $L$50, WORKDAY('CD|CP 발행사'!$C$4,-1)) )</f>
        <v/>
      </c>
    </row>
    <row r="902" spans="7:12">
      <c r="G902">
        <f ca="1">IF( ISNUMBER($L902), MAX($G$50:G901)+1,0)</f>
        <v>0</v>
      </c>
      <c r="H902" s="13"/>
      <c r="I902" s="67"/>
      <c r="J902" s="67"/>
      <c r="K902" s="80" t="str">
        <f t="shared" si="18"/>
        <v>CDAVG</v>
      </c>
      <c r="L902" s="80" t="str">
        <f ca="1">IF(ISNUMBER(FIND("(",$I902)), "", _xll.IMDP("IR", $K902, $L$50, WORKDAY('CD|CP 발행사'!$C$4,-1)) )</f>
        <v/>
      </c>
    </row>
    <row r="903" spans="7:12">
      <c r="G903">
        <f ca="1">IF( ISNUMBER($L903), MAX($G$50:G902)+1,0)</f>
        <v>0</v>
      </c>
      <c r="H903" s="13"/>
      <c r="I903" s="67"/>
      <c r="J903" s="67"/>
      <c r="K903" s="80" t="str">
        <f t="shared" si="18"/>
        <v>CDAVG</v>
      </c>
      <c r="L903" s="80" t="str">
        <f ca="1">IF(ISNUMBER(FIND("(",$I903)), "", _xll.IMDP("IR", $K903, $L$50, WORKDAY('CD|CP 발행사'!$C$4,-1)) )</f>
        <v/>
      </c>
    </row>
    <row r="904" spans="7:12">
      <c r="G904">
        <f ca="1">IF( ISNUMBER($L904), MAX($G$50:G903)+1,0)</f>
        <v>0</v>
      </c>
      <c r="H904" s="13"/>
      <c r="I904" s="67"/>
      <c r="J904" s="67"/>
      <c r="K904" s="80" t="str">
        <f t="shared" si="18"/>
        <v>CDAVG</v>
      </c>
      <c r="L904" s="80" t="str">
        <f ca="1">IF(ISNUMBER(FIND("(",$I904)), "", _xll.IMDP("IR", $K904, $L$50, WORKDAY('CD|CP 발행사'!$C$4,-1)) )</f>
        <v/>
      </c>
    </row>
    <row r="905" spans="7:12">
      <c r="G905">
        <f ca="1">IF( ISNUMBER($L905), MAX($G$50:G904)+1,0)</f>
        <v>0</v>
      </c>
      <c r="H905" s="13"/>
      <c r="I905" s="67"/>
      <c r="J905" s="67"/>
      <c r="K905" s="80" t="str">
        <f t="shared" si="18"/>
        <v>CDAVG</v>
      </c>
      <c r="L905" s="80" t="str">
        <f ca="1">IF(ISNUMBER(FIND("(",$I905)), "", _xll.IMDP("IR", $K905, $L$50, WORKDAY('CD|CP 발행사'!$C$4,-1)) )</f>
        <v/>
      </c>
    </row>
    <row r="906" spans="7:12">
      <c r="G906">
        <f ca="1">IF( ISNUMBER($L906), MAX($G$50:G905)+1,0)</f>
        <v>0</v>
      </c>
      <c r="H906" s="13"/>
      <c r="I906" s="67"/>
      <c r="J906" s="67"/>
      <c r="K906" s="80" t="str">
        <f t="shared" si="18"/>
        <v>CDAVG</v>
      </c>
      <c r="L906" s="80" t="str">
        <f ca="1">IF(ISNUMBER(FIND("(",$I906)), "", _xll.IMDP("IR", $K906, $L$50, WORKDAY('CD|CP 발행사'!$C$4,-1)) )</f>
        <v/>
      </c>
    </row>
    <row r="907" spans="7:12">
      <c r="G907">
        <f ca="1">IF( ISNUMBER($L907), MAX($G$50:G906)+1,0)</f>
        <v>0</v>
      </c>
      <c r="H907" s="13"/>
      <c r="I907" s="67"/>
      <c r="J907" s="67"/>
      <c r="K907" s="80" t="str">
        <f t="shared" si="18"/>
        <v>CDAVG</v>
      </c>
      <c r="L907" s="80" t="str">
        <f ca="1">IF(ISNUMBER(FIND("(",$I907)), "", _xll.IMDP("IR", $K907, $L$50, WORKDAY('CD|CP 발행사'!$C$4,-1)) )</f>
        <v/>
      </c>
    </row>
    <row r="908" spans="7:12">
      <c r="G908">
        <f ca="1">IF( ISNUMBER($L908), MAX($G$50:G907)+1,0)</f>
        <v>0</v>
      </c>
      <c r="H908" s="13"/>
      <c r="I908" s="67"/>
      <c r="J908" s="67"/>
      <c r="K908" s="80" t="str">
        <f t="shared" si="18"/>
        <v>CDAVG</v>
      </c>
      <c r="L908" s="80" t="str">
        <f ca="1">IF(ISNUMBER(FIND("(",$I908)), "", _xll.IMDP("IR", $K908, $L$50, WORKDAY('CD|CP 발행사'!$C$4,-1)) )</f>
        <v/>
      </c>
    </row>
    <row r="909" spans="7:12">
      <c r="G909">
        <f ca="1">IF( ISNUMBER($L909), MAX($G$50:G908)+1,0)</f>
        <v>0</v>
      </c>
      <c r="H909" s="13"/>
      <c r="I909" s="67"/>
      <c r="J909" s="67"/>
      <c r="K909" s="80" t="str">
        <f t="shared" si="18"/>
        <v>CDAVG</v>
      </c>
      <c r="L909" s="80" t="str">
        <f ca="1">IF(ISNUMBER(FIND("(",$I909)), "", _xll.IMDP("IR", $K909, $L$50, WORKDAY('CD|CP 발행사'!$C$4,-1)) )</f>
        <v/>
      </c>
    </row>
    <row r="910" spans="7:12">
      <c r="G910">
        <f ca="1">IF( ISNUMBER($L910), MAX($G$50:G909)+1,0)</f>
        <v>0</v>
      </c>
      <c r="H910" s="13"/>
      <c r="I910" s="67"/>
      <c r="J910" s="67"/>
      <c r="K910" s="80" t="str">
        <f t="shared" si="18"/>
        <v>CDAVG</v>
      </c>
      <c r="L910" s="80" t="str">
        <f ca="1">IF(ISNUMBER(FIND("(",$I910)), "", _xll.IMDP("IR", $K910, $L$50, WORKDAY('CD|CP 발행사'!$C$4,-1)) )</f>
        <v/>
      </c>
    </row>
    <row r="911" spans="7:12">
      <c r="G911">
        <f ca="1">IF( ISNUMBER($L911), MAX($G$50:G910)+1,0)</f>
        <v>0</v>
      </c>
      <c r="H911" s="13"/>
      <c r="I911" s="67"/>
      <c r="J911" s="67"/>
      <c r="K911" s="80" t="str">
        <f t="shared" si="18"/>
        <v>CDAVG</v>
      </c>
      <c r="L911" s="80" t="str">
        <f ca="1">IF(ISNUMBER(FIND("(",$I911)), "", _xll.IMDP("IR", $K911, $L$50, WORKDAY('CD|CP 발행사'!$C$4,-1)) )</f>
        <v/>
      </c>
    </row>
    <row r="912" spans="7:12">
      <c r="G912">
        <f ca="1">IF( ISNUMBER($L912), MAX($G$50:G911)+1,0)</f>
        <v>0</v>
      </c>
      <c r="H912" s="13"/>
      <c r="I912" s="67"/>
      <c r="J912" s="67"/>
      <c r="K912" s="80" t="str">
        <f t="shared" si="18"/>
        <v>CDAVG</v>
      </c>
      <c r="L912" s="80" t="str">
        <f ca="1">IF(ISNUMBER(FIND("(",$I912)), "", _xll.IMDP("IR", $K912, $L$50, WORKDAY('CD|CP 발행사'!$C$4,-1)) )</f>
        <v/>
      </c>
    </row>
    <row r="913" spans="7:12">
      <c r="G913">
        <f ca="1">IF( ISNUMBER($L913), MAX($G$50:G912)+1,0)</f>
        <v>0</v>
      </c>
      <c r="H913" s="13"/>
      <c r="I913" s="67"/>
      <c r="J913" s="67"/>
      <c r="K913" s="80" t="str">
        <f t="shared" si="18"/>
        <v>CDAVG</v>
      </c>
      <c r="L913" s="80" t="str">
        <f ca="1">IF(ISNUMBER(FIND("(",$I913)), "", _xll.IMDP("IR", $K913, $L$50, WORKDAY('CD|CP 발행사'!$C$4,-1)) )</f>
        <v/>
      </c>
    </row>
    <row r="914" spans="7:12">
      <c r="G914">
        <f ca="1">IF( ISNUMBER($L914), MAX($G$50:G913)+1,0)</f>
        <v>0</v>
      </c>
      <c r="H914" s="13"/>
      <c r="I914" s="67"/>
      <c r="J914" s="67"/>
      <c r="K914" s="80" t="str">
        <f t="shared" si="18"/>
        <v>CDAVG</v>
      </c>
      <c r="L914" s="80" t="str">
        <f ca="1">IF(ISNUMBER(FIND("(",$I914)), "", _xll.IMDP("IR", $K914, $L$50, WORKDAY('CD|CP 발행사'!$C$4,-1)) )</f>
        <v/>
      </c>
    </row>
    <row r="915" spans="7:12">
      <c r="G915">
        <f ca="1">IF( ISNUMBER($L915), MAX($G$50:G914)+1,0)</f>
        <v>0</v>
      </c>
      <c r="H915" s="13"/>
      <c r="I915" s="67"/>
      <c r="J915" s="67"/>
      <c r="K915" s="80" t="str">
        <f t="shared" si="18"/>
        <v>CDAVG</v>
      </c>
      <c r="L915" s="80" t="str">
        <f ca="1">IF(ISNUMBER(FIND("(",$I915)), "", _xll.IMDP("IR", $K915, $L$50, WORKDAY('CD|CP 발행사'!$C$4,-1)) )</f>
        <v/>
      </c>
    </row>
    <row r="916" spans="7:12">
      <c r="G916">
        <f ca="1">IF( ISNUMBER($L916), MAX($G$50:G915)+1,0)</f>
        <v>0</v>
      </c>
      <c r="H916" s="13"/>
      <c r="I916" s="67"/>
      <c r="J916" s="67"/>
      <c r="K916" s="80" t="str">
        <f t="shared" si="18"/>
        <v>CDAVG</v>
      </c>
      <c r="L916" s="80" t="str">
        <f ca="1">IF(ISNUMBER(FIND("(",$I916)), "", _xll.IMDP("IR", $K916, $L$50, WORKDAY('CD|CP 발행사'!$C$4,-1)) )</f>
        <v/>
      </c>
    </row>
    <row r="917" spans="7:12">
      <c r="G917">
        <f ca="1">IF( ISNUMBER($L917), MAX($G$50:G916)+1,0)</f>
        <v>0</v>
      </c>
      <c r="H917" s="13"/>
      <c r="I917" s="67"/>
      <c r="J917" s="67"/>
      <c r="K917" s="80" t="str">
        <f t="shared" si="18"/>
        <v>CDAVG</v>
      </c>
      <c r="L917" s="80" t="str">
        <f ca="1">IF(ISNUMBER(FIND("(",$I917)), "", _xll.IMDP("IR", $K917, $L$50, WORKDAY('CD|CP 발행사'!$C$4,-1)) )</f>
        <v/>
      </c>
    </row>
    <row r="918" spans="7:12">
      <c r="G918">
        <f ca="1">IF( ISNUMBER($L918), MAX($G$50:G917)+1,0)</f>
        <v>0</v>
      </c>
      <c r="H918" s="13"/>
      <c r="I918" s="67"/>
      <c r="J918" s="67"/>
      <c r="K918" s="80" t="str">
        <f t="shared" si="18"/>
        <v>CDAVG</v>
      </c>
      <c r="L918" s="80" t="str">
        <f ca="1">IF(ISNUMBER(FIND("(",$I918)), "", _xll.IMDP("IR", $K918, $L$50, WORKDAY('CD|CP 발행사'!$C$4,-1)) )</f>
        <v/>
      </c>
    </row>
    <row r="919" spans="7:12">
      <c r="G919">
        <f ca="1">IF( ISNUMBER($L919), MAX($G$50:G918)+1,0)</f>
        <v>0</v>
      </c>
      <c r="H919" s="13"/>
      <c r="I919" s="67"/>
      <c r="J919" s="67"/>
      <c r="K919" s="80" t="str">
        <f t="shared" si="18"/>
        <v>CDAVG</v>
      </c>
      <c r="L919" s="80" t="str">
        <f ca="1">IF(ISNUMBER(FIND("(",$I919)), "", _xll.IMDP("IR", $K919, $L$50, WORKDAY('CD|CP 발행사'!$C$4,-1)) )</f>
        <v/>
      </c>
    </row>
    <row r="920" spans="7:12">
      <c r="G920">
        <f ca="1">IF( ISNUMBER($L920), MAX($G$50:G919)+1,0)</f>
        <v>0</v>
      </c>
      <c r="H920" s="13"/>
      <c r="I920" s="67"/>
      <c r="J920" s="67"/>
      <c r="K920" s="80" t="str">
        <f t="shared" si="18"/>
        <v>CDAVG</v>
      </c>
      <c r="L920" s="80" t="str">
        <f ca="1">IF(ISNUMBER(FIND("(",$I920)), "", _xll.IMDP("IR", $K920, $L$50, WORKDAY('CD|CP 발행사'!$C$4,-1)) )</f>
        <v/>
      </c>
    </row>
    <row r="921" spans="7:12">
      <c r="G921">
        <f ca="1">IF( ISNUMBER($L921), MAX($G$50:G920)+1,0)</f>
        <v>0</v>
      </c>
      <c r="H921" s="13"/>
      <c r="I921" s="67"/>
      <c r="J921" s="67"/>
      <c r="K921" s="80" t="str">
        <f t="shared" si="18"/>
        <v>CDAVG</v>
      </c>
      <c r="L921" s="80" t="str">
        <f ca="1">IF(ISNUMBER(FIND("(",$I921)), "", _xll.IMDP("IR", $K921, $L$50, WORKDAY('CD|CP 발행사'!$C$4,-1)) )</f>
        <v/>
      </c>
    </row>
    <row r="922" spans="7:12">
      <c r="G922">
        <f ca="1">IF( ISNUMBER($L922), MAX($G$50:G921)+1,0)</f>
        <v>0</v>
      </c>
      <c r="H922" s="13"/>
      <c r="I922" s="67"/>
      <c r="J922" s="67"/>
      <c r="K922" s="80" t="str">
        <f t="shared" si="18"/>
        <v>CDAVG</v>
      </c>
      <c r="L922" s="80" t="str">
        <f ca="1">IF(ISNUMBER(FIND("(",$I922)), "", _xll.IMDP("IR", $K922, $L$50, WORKDAY('CD|CP 발행사'!$C$4,-1)) )</f>
        <v/>
      </c>
    </row>
    <row r="923" spans="7:12">
      <c r="G923">
        <f ca="1">IF( ISNUMBER($L923), MAX($G$50:G922)+1,0)</f>
        <v>0</v>
      </c>
      <c r="H923" s="13"/>
      <c r="I923" s="67"/>
      <c r="J923" s="67"/>
      <c r="K923" s="80" t="str">
        <f t="shared" si="18"/>
        <v>CDAVG</v>
      </c>
      <c r="L923" s="80" t="str">
        <f ca="1">IF(ISNUMBER(FIND("(",$I923)), "", _xll.IMDP("IR", $K923, $L$50, WORKDAY('CD|CP 발행사'!$C$4,-1)) )</f>
        <v/>
      </c>
    </row>
    <row r="924" spans="7:12">
      <c r="G924">
        <f ca="1">IF( ISNUMBER($L924), MAX($G$50:G923)+1,0)</f>
        <v>0</v>
      </c>
      <c r="H924" s="13"/>
      <c r="I924" s="67"/>
      <c r="J924" s="67"/>
      <c r="K924" s="80" t="str">
        <f t="shared" si="18"/>
        <v>CDAVG</v>
      </c>
      <c r="L924" s="80" t="str">
        <f ca="1">IF(ISNUMBER(FIND("(",$I924)), "", _xll.IMDP("IR", $K924, $L$50, WORKDAY('CD|CP 발행사'!$C$4,-1)) )</f>
        <v/>
      </c>
    </row>
    <row r="925" spans="7:12">
      <c r="G925">
        <f ca="1">IF( ISNUMBER($L925), MAX($G$50:G924)+1,0)</f>
        <v>0</v>
      </c>
      <c r="H925" s="13"/>
      <c r="I925" s="67"/>
      <c r="J925" s="67"/>
      <c r="K925" s="80" t="str">
        <f t="shared" si="18"/>
        <v>CDAVG</v>
      </c>
      <c r="L925" s="80" t="str">
        <f ca="1">IF(ISNUMBER(FIND("(",$I925)), "", _xll.IMDP("IR", $K925, $L$50, WORKDAY('CD|CP 발행사'!$C$4,-1)) )</f>
        <v/>
      </c>
    </row>
    <row r="926" spans="7:12">
      <c r="G926">
        <f ca="1">IF( ISNUMBER($L926), MAX($G$50:G925)+1,0)</f>
        <v>0</v>
      </c>
      <c r="H926" s="13"/>
      <c r="I926" s="67"/>
      <c r="J926" s="67"/>
      <c r="K926" s="80" t="str">
        <f t="shared" si="18"/>
        <v>CDAVG</v>
      </c>
      <c r="L926" s="80" t="str">
        <f ca="1">IF(ISNUMBER(FIND("(",$I926)), "", _xll.IMDP("IR", $K926, $L$50, WORKDAY('CD|CP 발행사'!$C$4,-1)) )</f>
        <v/>
      </c>
    </row>
    <row r="927" spans="7:12">
      <c r="G927">
        <f ca="1">IF( ISNUMBER($L927), MAX($G$50:G926)+1,0)</f>
        <v>0</v>
      </c>
      <c r="H927" s="13"/>
      <c r="I927" s="67"/>
      <c r="J927" s="67"/>
      <c r="K927" s="80" t="str">
        <f t="shared" si="18"/>
        <v>CDAVG</v>
      </c>
      <c r="L927" s="80" t="str">
        <f ca="1">IF(ISNUMBER(FIND("(",$I927)), "", _xll.IMDP("IR", $K927, $L$50, WORKDAY('CD|CP 발행사'!$C$4,-1)) )</f>
        <v/>
      </c>
    </row>
    <row r="928" spans="7:12">
      <c r="G928">
        <f ca="1">IF( ISNUMBER($L928), MAX($G$50:G927)+1,0)</f>
        <v>0</v>
      </c>
      <c r="H928" s="13"/>
      <c r="I928" s="67"/>
      <c r="J928" s="67"/>
      <c r="K928" s="80" t="str">
        <f t="shared" si="18"/>
        <v>CDAVG</v>
      </c>
      <c r="L928" s="80" t="str">
        <f ca="1">IF(ISNUMBER(FIND("(",$I928)), "", _xll.IMDP("IR", $K928, $L$50, WORKDAY('CD|CP 발행사'!$C$4,-1)) )</f>
        <v/>
      </c>
    </row>
    <row r="929" spans="7:12">
      <c r="G929">
        <f ca="1">IF( ISNUMBER($L929), MAX($G$50:G928)+1,0)</f>
        <v>0</v>
      </c>
      <c r="H929" s="13"/>
      <c r="I929" s="67"/>
      <c r="J929" s="67"/>
      <c r="K929" s="80" t="str">
        <f t="shared" si="18"/>
        <v>CDAVG</v>
      </c>
      <c r="L929" s="80" t="str">
        <f ca="1">IF(ISNUMBER(FIND("(",$I929)), "", _xll.IMDP("IR", $K929, $L$50, WORKDAY('CD|CP 발행사'!$C$4,-1)) )</f>
        <v/>
      </c>
    </row>
    <row r="930" spans="7:12">
      <c r="G930">
        <f ca="1">IF( ISNUMBER($L930), MAX($G$50:G929)+1,0)</f>
        <v>0</v>
      </c>
      <c r="H930" s="13"/>
      <c r="I930" s="67"/>
      <c r="J930" s="67"/>
      <c r="K930" s="80" t="str">
        <f t="shared" si="18"/>
        <v>CDAVG</v>
      </c>
      <c r="L930" s="80" t="str">
        <f ca="1">IF(ISNUMBER(FIND("(",$I930)), "", _xll.IMDP("IR", $K930, $L$50, WORKDAY('CD|CP 발행사'!$C$4,-1)) )</f>
        <v/>
      </c>
    </row>
    <row r="931" spans="7:12">
      <c r="G931">
        <f ca="1">IF( ISNUMBER($L931), MAX($G$50:G930)+1,0)</f>
        <v>0</v>
      </c>
      <c r="H931" s="13"/>
      <c r="I931" s="67"/>
      <c r="J931" s="67"/>
      <c r="K931" s="80" t="str">
        <f t="shared" si="18"/>
        <v>CDAVG</v>
      </c>
      <c r="L931" s="80" t="str">
        <f ca="1">IF(ISNUMBER(FIND("(",$I931)), "", _xll.IMDP("IR", $K931, $L$50, WORKDAY('CD|CP 발행사'!$C$4,-1)) )</f>
        <v/>
      </c>
    </row>
    <row r="932" spans="7:12">
      <c r="G932">
        <f ca="1">IF( ISNUMBER($L932), MAX($G$50:G931)+1,0)</f>
        <v>0</v>
      </c>
      <c r="H932" s="13"/>
      <c r="I932" s="67"/>
      <c r="J932" s="67"/>
      <c r="K932" s="80" t="str">
        <f t="shared" si="18"/>
        <v>CDAVG</v>
      </c>
      <c r="L932" s="80" t="str">
        <f ca="1">IF(ISNUMBER(FIND("(",$I932)), "", _xll.IMDP("IR", $K932, $L$50, WORKDAY('CD|CP 발행사'!$C$4,-1)) )</f>
        <v/>
      </c>
    </row>
    <row r="933" spans="7:12">
      <c r="G933">
        <f ca="1">IF( ISNUMBER($L933), MAX($G$50:G932)+1,0)</f>
        <v>0</v>
      </c>
      <c r="H933" s="13"/>
      <c r="I933" s="67"/>
      <c r="J933" s="67"/>
      <c r="K933" s="80" t="str">
        <f t="shared" si="18"/>
        <v>CDAVG</v>
      </c>
      <c r="L933" s="80" t="str">
        <f ca="1">IF(ISNUMBER(FIND("(",$I933)), "", _xll.IMDP("IR", $K933, $L$50, WORKDAY('CD|CP 발행사'!$C$4,-1)) )</f>
        <v/>
      </c>
    </row>
    <row r="934" spans="7:12">
      <c r="G934">
        <f ca="1">IF( ISNUMBER($L934), MAX($G$50:G933)+1,0)</f>
        <v>0</v>
      </c>
      <c r="H934" s="13"/>
      <c r="I934" s="67"/>
      <c r="J934" s="67"/>
      <c r="K934" s="80" t="str">
        <f t="shared" si="18"/>
        <v>CDAVG</v>
      </c>
      <c r="L934" s="80" t="str">
        <f ca="1">IF(ISNUMBER(FIND("(",$I934)), "", _xll.IMDP("IR", $K934, $L$50, WORKDAY('CD|CP 발행사'!$C$4,-1)) )</f>
        <v/>
      </c>
    </row>
    <row r="935" spans="7:12">
      <c r="G935">
        <f ca="1">IF( ISNUMBER($L935), MAX($G$50:G934)+1,0)</f>
        <v>0</v>
      </c>
      <c r="H935" s="13"/>
      <c r="I935" s="67"/>
      <c r="J935" s="67"/>
      <c r="K935" s="80" t="str">
        <f t="shared" si="18"/>
        <v>CDAVG</v>
      </c>
      <c r="L935" s="80" t="str">
        <f ca="1">IF(ISNUMBER(FIND("(",$I935)), "", _xll.IMDP("IR", $K935, $L$50, WORKDAY('CD|CP 발행사'!$C$4,-1)) )</f>
        <v/>
      </c>
    </row>
    <row r="936" spans="7:12">
      <c r="G936">
        <f ca="1">IF( ISNUMBER($L936), MAX($G$50:G935)+1,0)</f>
        <v>0</v>
      </c>
      <c r="H936" s="13"/>
      <c r="I936" s="67"/>
      <c r="J936" s="67"/>
      <c r="K936" s="80" t="str">
        <f t="shared" si="18"/>
        <v>CDAVG</v>
      </c>
      <c r="L936" s="80" t="str">
        <f ca="1">IF(ISNUMBER(FIND("(",$I936)), "", _xll.IMDP("IR", $K936, $L$50, WORKDAY('CD|CP 발행사'!$C$4,-1)) )</f>
        <v/>
      </c>
    </row>
    <row r="937" spans="7:12">
      <c r="G937">
        <f ca="1">IF( ISNUMBER($L937), MAX($G$50:G936)+1,0)</f>
        <v>0</v>
      </c>
      <c r="H937" s="13"/>
      <c r="I937" s="67"/>
      <c r="J937" s="67"/>
      <c r="K937" s="80" t="str">
        <f t="shared" si="18"/>
        <v>CDAVG</v>
      </c>
      <c r="L937" s="80" t="str">
        <f ca="1">IF(ISNUMBER(FIND("(",$I937)), "", _xll.IMDP("IR", $K937, $L$50, WORKDAY('CD|CP 발행사'!$C$4,-1)) )</f>
        <v/>
      </c>
    </row>
    <row r="938" spans="7:12">
      <c r="G938">
        <f ca="1">IF( ISNUMBER($L938), MAX($G$50:G937)+1,0)</f>
        <v>0</v>
      </c>
      <c r="H938" s="13"/>
      <c r="I938" s="67"/>
      <c r="J938" s="67"/>
      <c r="K938" s="80" t="str">
        <f t="shared" si="18"/>
        <v>CDAVG</v>
      </c>
      <c r="L938" s="80" t="str">
        <f ca="1">IF(ISNUMBER(FIND("(",$I938)), "", _xll.IMDP("IR", $K938, $L$50, WORKDAY('CD|CP 발행사'!$C$4,-1)) )</f>
        <v/>
      </c>
    </row>
    <row r="939" spans="7:12">
      <c r="G939">
        <f ca="1">IF( ISNUMBER($L939), MAX($G$50:G938)+1,0)</f>
        <v>0</v>
      </c>
      <c r="H939" s="13"/>
      <c r="I939" s="67"/>
      <c r="J939" s="67"/>
      <c r="K939" s="80" t="str">
        <f t="shared" si="18"/>
        <v>CDAVG</v>
      </c>
      <c r="L939" s="80" t="str">
        <f ca="1">IF(ISNUMBER(FIND("(",$I939)), "", _xll.IMDP("IR", $K939, $L$50, WORKDAY('CD|CP 발행사'!$C$4,-1)) )</f>
        <v/>
      </c>
    </row>
    <row r="940" spans="7:12">
      <c r="G940">
        <f ca="1">IF( ISNUMBER($L940), MAX($G$50:G939)+1,0)</f>
        <v>0</v>
      </c>
      <c r="H940" s="13"/>
      <c r="I940" s="67"/>
      <c r="J940" s="67"/>
      <c r="K940" s="80" t="str">
        <f t="shared" si="18"/>
        <v>CDAVG</v>
      </c>
      <c r="L940" s="80" t="str">
        <f ca="1">IF(ISNUMBER(FIND("(",$I940)), "", _xll.IMDP("IR", $K940, $L$50, WORKDAY('CD|CP 발행사'!$C$4,-1)) )</f>
        <v/>
      </c>
    </row>
    <row r="941" spans="7:12">
      <c r="G941">
        <f ca="1">IF( ISNUMBER($L941), MAX($G$50:G940)+1,0)</f>
        <v>0</v>
      </c>
      <c r="H941" s="13"/>
      <c r="I941" s="67"/>
      <c r="J941" s="67"/>
      <c r="K941" s="80" t="str">
        <f t="shared" si="18"/>
        <v>CDAVG</v>
      </c>
      <c r="L941" s="80" t="str">
        <f ca="1">IF(ISNUMBER(FIND("(",$I941)), "", _xll.IMDP("IR", $K941, $L$50, WORKDAY('CD|CP 발행사'!$C$4,-1)) )</f>
        <v/>
      </c>
    </row>
    <row r="942" spans="7:12">
      <c r="G942">
        <f ca="1">IF( ISNUMBER($L942), MAX($G$50:G941)+1,0)</f>
        <v>0</v>
      </c>
      <c r="H942" s="13"/>
      <c r="I942" s="67"/>
      <c r="J942" s="67"/>
      <c r="K942" s="80" t="str">
        <f t="shared" si="18"/>
        <v>CDAVG</v>
      </c>
      <c r="L942" s="80" t="str">
        <f ca="1">IF(ISNUMBER(FIND("(",$I942)), "", _xll.IMDP("IR", $K942, $L$50, WORKDAY('CD|CP 발행사'!$C$4,-1)) )</f>
        <v/>
      </c>
    </row>
    <row r="943" spans="7:12">
      <c r="G943">
        <f ca="1">IF( ISNUMBER($L943), MAX($G$50:G942)+1,0)</f>
        <v>0</v>
      </c>
      <c r="H943" s="13"/>
      <c r="I943" s="67"/>
      <c r="J943" s="67"/>
      <c r="K943" s="80" t="str">
        <f t="shared" si="18"/>
        <v>CDAVG</v>
      </c>
      <c r="L943" s="80" t="str">
        <f ca="1">IF(ISNUMBER(FIND("(",$I943)), "", _xll.IMDP("IR", $K943, $L$50, WORKDAY('CD|CP 발행사'!$C$4,-1)) )</f>
        <v/>
      </c>
    </row>
    <row r="944" spans="7:12">
      <c r="G944">
        <f ca="1">IF( ISNUMBER($L944), MAX($G$50:G943)+1,0)</f>
        <v>0</v>
      </c>
      <c r="H944" s="13"/>
      <c r="I944" s="67"/>
      <c r="J944" s="67"/>
      <c r="K944" s="80" t="str">
        <f t="shared" si="18"/>
        <v>CDAVG</v>
      </c>
      <c r="L944" s="80" t="str">
        <f ca="1">IF(ISNUMBER(FIND("(",$I944)), "", _xll.IMDP("IR", $K944, $L$50, WORKDAY('CD|CP 발행사'!$C$4,-1)) )</f>
        <v/>
      </c>
    </row>
    <row r="945" spans="7:12">
      <c r="G945">
        <f ca="1">IF( ISNUMBER($L945), MAX($G$50:G944)+1,0)</f>
        <v>0</v>
      </c>
      <c r="H945" s="13"/>
      <c r="I945" s="67"/>
      <c r="J945" s="67"/>
      <c r="K945" s="80" t="str">
        <f t="shared" si="18"/>
        <v>CDAVG</v>
      </c>
      <c r="L945" s="80" t="str">
        <f ca="1">IF(ISNUMBER(FIND("(",$I945)), "", _xll.IMDP("IR", $K945, $L$50, WORKDAY('CD|CP 발행사'!$C$4,-1)) )</f>
        <v/>
      </c>
    </row>
    <row r="946" spans="7:12">
      <c r="G946">
        <f ca="1">IF( ISNUMBER($L946), MAX($G$50:G945)+1,0)</f>
        <v>0</v>
      </c>
      <c r="H946" s="13"/>
      <c r="I946" s="67"/>
      <c r="J946" s="67"/>
      <c r="K946" s="80" t="str">
        <f t="shared" si="18"/>
        <v>CDAVG</v>
      </c>
      <c r="L946" s="80" t="str">
        <f ca="1">IF(ISNUMBER(FIND("(",$I946)), "", _xll.IMDP("IR", $K946, $L$50, WORKDAY('CD|CP 발행사'!$C$4,-1)) )</f>
        <v/>
      </c>
    </row>
    <row r="947" spans="7:12">
      <c r="G947">
        <f ca="1">IF( ISNUMBER($L947), MAX($G$50:G946)+1,0)</f>
        <v>0</v>
      </c>
      <c r="H947" s="13"/>
      <c r="I947" s="67"/>
      <c r="J947" s="67"/>
      <c r="K947" s="80" t="str">
        <f t="shared" ref="K947:K1010" si="19">$K$49&amp;$H947</f>
        <v>CDAVG</v>
      </c>
      <c r="L947" s="80" t="str">
        <f ca="1">IF(ISNUMBER(FIND("(",$I947)), "", _xll.IMDP("IR", $K947, $L$50, WORKDAY('CD|CP 발행사'!$C$4,-1)) )</f>
        <v/>
      </c>
    </row>
    <row r="948" spans="7:12">
      <c r="G948">
        <f ca="1">IF( ISNUMBER($L948), MAX($G$50:G947)+1,0)</f>
        <v>0</v>
      </c>
      <c r="H948" s="13"/>
      <c r="I948" s="67"/>
      <c r="J948" s="67"/>
      <c r="K948" s="80" t="str">
        <f t="shared" si="19"/>
        <v>CDAVG</v>
      </c>
      <c r="L948" s="80" t="str">
        <f ca="1">IF(ISNUMBER(FIND("(",$I948)), "", _xll.IMDP("IR", $K948, $L$50, WORKDAY('CD|CP 발행사'!$C$4,-1)) )</f>
        <v/>
      </c>
    </row>
    <row r="949" spans="7:12">
      <c r="G949">
        <f ca="1">IF( ISNUMBER($L949), MAX($G$50:G948)+1,0)</f>
        <v>0</v>
      </c>
      <c r="H949" s="13"/>
      <c r="I949" s="67"/>
      <c r="J949" s="67"/>
      <c r="K949" s="80" t="str">
        <f t="shared" si="19"/>
        <v>CDAVG</v>
      </c>
      <c r="L949" s="80" t="str">
        <f ca="1">IF(ISNUMBER(FIND("(",$I949)), "", _xll.IMDP("IR", $K949, $L$50, WORKDAY('CD|CP 발행사'!$C$4,-1)) )</f>
        <v/>
      </c>
    </row>
    <row r="950" spans="7:12">
      <c r="G950">
        <f ca="1">IF( ISNUMBER($L950), MAX($G$50:G949)+1,0)</f>
        <v>0</v>
      </c>
      <c r="H950" s="13"/>
      <c r="I950" s="67"/>
      <c r="J950" s="67"/>
      <c r="K950" s="80" t="str">
        <f t="shared" si="19"/>
        <v>CDAVG</v>
      </c>
      <c r="L950" s="80" t="str">
        <f ca="1">IF(ISNUMBER(FIND("(",$I950)), "", _xll.IMDP("IR", $K950, $L$50, WORKDAY('CD|CP 발행사'!$C$4,-1)) )</f>
        <v/>
      </c>
    </row>
    <row r="951" spans="7:12">
      <c r="G951">
        <f ca="1">IF( ISNUMBER($L951), MAX($G$50:G950)+1,0)</f>
        <v>0</v>
      </c>
      <c r="H951" s="13"/>
      <c r="I951" s="67"/>
      <c r="J951" s="67"/>
      <c r="K951" s="80" t="str">
        <f t="shared" si="19"/>
        <v>CDAVG</v>
      </c>
      <c r="L951" s="80" t="str">
        <f ca="1">IF(ISNUMBER(FIND("(",$I951)), "", _xll.IMDP("IR", $K951, $L$50, WORKDAY('CD|CP 발행사'!$C$4,-1)) )</f>
        <v/>
      </c>
    </row>
    <row r="952" spans="7:12">
      <c r="G952">
        <f ca="1">IF( ISNUMBER($L952), MAX($G$50:G951)+1,0)</f>
        <v>0</v>
      </c>
      <c r="H952" s="13"/>
      <c r="I952" s="67"/>
      <c r="J952" s="67"/>
      <c r="K952" s="80" t="str">
        <f t="shared" si="19"/>
        <v>CDAVG</v>
      </c>
      <c r="L952" s="80" t="str">
        <f ca="1">IF(ISNUMBER(FIND("(",$I952)), "", _xll.IMDP("IR", $K952, $L$50, WORKDAY('CD|CP 발행사'!$C$4,-1)) )</f>
        <v/>
      </c>
    </row>
    <row r="953" spans="7:12">
      <c r="G953">
        <f ca="1">IF( ISNUMBER($L953), MAX($G$50:G952)+1,0)</f>
        <v>0</v>
      </c>
      <c r="H953" s="13"/>
      <c r="I953" s="67"/>
      <c r="J953" s="67"/>
      <c r="K953" s="80" t="str">
        <f t="shared" si="19"/>
        <v>CDAVG</v>
      </c>
      <c r="L953" s="80" t="str">
        <f ca="1">IF(ISNUMBER(FIND("(",$I953)), "", _xll.IMDP("IR", $K953, $L$50, WORKDAY('CD|CP 발행사'!$C$4,-1)) )</f>
        <v/>
      </c>
    </row>
    <row r="954" spans="7:12">
      <c r="G954">
        <f ca="1">IF( ISNUMBER($L954), MAX($G$50:G953)+1,0)</f>
        <v>0</v>
      </c>
      <c r="H954" s="13"/>
      <c r="I954" s="67"/>
      <c r="J954" s="67"/>
      <c r="K954" s="80" t="str">
        <f t="shared" si="19"/>
        <v>CDAVG</v>
      </c>
      <c r="L954" s="80" t="str">
        <f ca="1">IF(ISNUMBER(FIND("(",$I954)), "", _xll.IMDP("IR", $K954, $L$50, WORKDAY('CD|CP 발행사'!$C$4,-1)) )</f>
        <v/>
      </c>
    </row>
    <row r="955" spans="7:12">
      <c r="G955">
        <f ca="1">IF( ISNUMBER($L955), MAX($G$50:G954)+1,0)</f>
        <v>0</v>
      </c>
      <c r="H955" s="13"/>
      <c r="I955" s="67"/>
      <c r="J955" s="67"/>
      <c r="K955" s="80" t="str">
        <f t="shared" si="19"/>
        <v>CDAVG</v>
      </c>
      <c r="L955" s="80" t="str">
        <f ca="1">IF(ISNUMBER(FIND("(",$I955)), "", _xll.IMDP("IR", $K955, $L$50, WORKDAY('CD|CP 발행사'!$C$4,-1)) )</f>
        <v/>
      </c>
    </row>
    <row r="956" spans="7:12">
      <c r="G956">
        <f ca="1">IF( ISNUMBER($L956), MAX($G$50:G955)+1,0)</f>
        <v>0</v>
      </c>
      <c r="H956" s="13"/>
      <c r="I956" s="67"/>
      <c r="J956" s="67"/>
      <c r="K956" s="80" t="str">
        <f t="shared" si="19"/>
        <v>CDAVG</v>
      </c>
      <c r="L956" s="80" t="str">
        <f ca="1">IF(ISNUMBER(FIND("(",$I956)), "", _xll.IMDP("IR", $K956, $L$50, WORKDAY('CD|CP 발행사'!$C$4,-1)) )</f>
        <v/>
      </c>
    </row>
    <row r="957" spans="7:12">
      <c r="G957">
        <f ca="1">IF( ISNUMBER($L957), MAX($G$50:G956)+1,0)</f>
        <v>0</v>
      </c>
      <c r="H957" s="13"/>
      <c r="I957" s="67"/>
      <c r="J957" s="67"/>
      <c r="K957" s="80" t="str">
        <f t="shared" si="19"/>
        <v>CDAVG</v>
      </c>
      <c r="L957" s="80" t="str">
        <f ca="1">IF(ISNUMBER(FIND("(",$I957)), "", _xll.IMDP("IR", $K957, $L$50, WORKDAY('CD|CP 발행사'!$C$4,-1)) )</f>
        <v/>
      </c>
    </row>
    <row r="958" spans="7:12">
      <c r="G958">
        <f ca="1">IF( ISNUMBER($L958), MAX($G$50:G957)+1,0)</f>
        <v>0</v>
      </c>
      <c r="H958" s="13"/>
      <c r="I958" s="67"/>
      <c r="J958" s="67"/>
      <c r="K958" s="80" t="str">
        <f t="shared" si="19"/>
        <v>CDAVG</v>
      </c>
      <c r="L958" s="80" t="str">
        <f ca="1">IF(ISNUMBER(FIND("(",$I958)), "", _xll.IMDP("IR", $K958, $L$50, WORKDAY('CD|CP 발행사'!$C$4,-1)) )</f>
        <v/>
      </c>
    </row>
    <row r="959" spans="7:12">
      <c r="G959">
        <f ca="1">IF( ISNUMBER($L959), MAX($G$50:G958)+1,0)</f>
        <v>0</v>
      </c>
      <c r="H959" s="13"/>
      <c r="I959" s="67"/>
      <c r="J959" s="67"/>
      <c r="K959" s="80" t="str">
        <f t="shared" si="19"/>
        <v>CDAVG</v>
      </c>
      <c r="L959" s="80" t="str">
        <f ca="1">IF(ISNUMBER(FIND("(",$I959)), "", _xll.IMDP("IR", $K959, $L$50, WORKDAY('CD|CP 발행사'!$C$4,-1)) )</f>
        <v/>
      </c>
    </row>
    <row r="960" spans="7:12">
      <c r="G960">
        <f ca="1">IF( ISNUMBER($L960), MAX($G$50:G959)+1,0)</f>
        <v>0</v>
      </c>
      <c r="H960" s="13"/>
      <c r="I960" s="67"/>
      <c r="J960" s="67"/>
      <c r="K960" s="80" t="str">
        <f t="shared" si="19"/>
        <v>CDAVG</v>
      </c>
      <c r="L960" s="80" t="str">
        <f ca="1">IF(ISNUMBER(FIND("(",$I960)), "", _xll.IMDP("IR", $K960, $L$50, WORKDAY('CD|CP 발행사'!$C$4,-1)) )</f>
        <v/>
      </c>
    </row>
    <row r="961" spans="7:12">
      <c r="G961">
        <f ca="1">IF( ISNUMBER($L961), MAX($G$50:G960)+1,0)</f>
        <v>0</v>
      </c>
      <c r="H961" s="13"/>
      <c r="I961" s="67"/>
      <c r="J961" s="67"/>
      <c r="K961" s="80" t="str">
        <f t="shared" si="19"/>
        <v>CDAVG</v>
      </c>
      <c r="L961" s="80" t="str">
        <f ca="1">IF(ISNUMBER(FIND("(",$I961)), "", _xll.IMDP("IR", $K961, $L$50, WORKDAY('CD|CP 발행사'!$C$4,-1)) )</f>
        <v/>
      </c>
    </row>
    <row r="962" spans="7:12">
      <c r="G962">
        <f ca="1">IF( ISNUMBER($L962), MAX($G$50:G961)+1,0)</f>
        <v>0</v>
      </c>
      <c r="H962" s="13"/>
      <c r="I962" s="67"/>
      <c r="J962" s="67"/>
      <c r="K962" s="80" t="str">
        <f t="shared" si="19"/>
        <v>CDAVG</v>
      </c>
      <c r="L962" s="80" t="str">
        <f ca="1">IF(ISNUMBER(FIND("(",$I962)), "", _xll.IMDP("IR", $K962, $L$50, WORKDAY('CD|CP 발행사'!$C$4,-1)) )</f>
        <v/>
      </c>
    </row>
    <row r="963" spans="7:12">
      <c r="G963">
        <f ca="1">IF( ISNUMBER($L963), MAX($G$50:G962)+1,0)</f>
        <v>0</v>
      </c>
      <c r="H963" s="13"/>
      <c r="I963" s="67"/>
      <c r="J963" s="67"/>
      <c r="K963" s="80" t="str">
        <f t="shared" si="19"/>
        <v>CDAVG</v>
      </c>
      <c r="L963" s="80" t="str">
        <f ca="1">IF(ISNUMBER(FIND("(",$I963)), "", _xll.IMDP("IR", $K963, $L$50, WORKDAY('CD|CP 발행사'!$C$4,-1)) )</f>
        <v/>
      </c>
    </row>
    <row r="964" spans="7:12">
      <c r="G964">
        <f ca="1">IF( ISNUMBER($L964), MAX($G$50:G963)+1,0)</f>
        <v>0</v>
      </c>
      <c r="H964" s="13"/>
      <c r="I964" s="67"/>
      <c r="J964" s="67"/>
      <c r="K964" s="80" t="str">
        <f t="shared" si="19"/>
        <v>CDAVG</v>
      </c>
      <c r="L964" s="80" t="str">
        <f ca="1">IF(ISNUMBER(FIND("(",$I964)), "", _xll.IMDP("IR", $K964, $L$50, WORKDAY('CD|CP 발행사'!$C$4,-1)) )</f>
        <v/>
      </c>
    </row>
    <row r="965" spans="7:12">
      <c r="G965">
        <f ca="1">IF( ISNUMBER($L965), MAX($G$50:G964)+1,0)</f>
        <v>0</v>
      </c>
      <c r="H965" s="13"/>
      <c r="I965" s="67"/>
      <c r="J965" s="67"/>
      <c r="K965" s="80" t="str">
        <f t="shared" si="19"/>
        <v>CDAVG</v>
      </c>
      <c r="L965" s="80" t="str">
        <f ca="1">IF(ISNUMBER(FIND("(",$I965)), "", _xll.IMDP("IR", $K965, $L$50, WORKDAY('CD|CP 발행사'!$C$4,-1)) )</f>
        <v/>
      </c>
    </row>
    <row r="966" spans="7:12">
      <c r="G966">
        <f ca="1">IF( ISNUMBER($L966), MAX($G$50:G965)+1,0)</f>
        <v>0</v>
      </c>
      <c r="H966" s="13"/>
      <c r="I966" s="67"/>
      <c r="J966" s="67"/>
      <c r="K966" s="80" t="str">
        <f t="shared" si="19"/>
        <v>CDAVG</v>
      </c>
      <c r="L966" s="80" t="str">
        <f ca="1">IF(ISNUMBER(FIND("(",$I966)), "", _xll.IMDP("IR", $K966, $L$50, WORKDAY('CD|CP 발행사'!$C$4,-1)) )</f>
        <v/>
      </c>
    </row>
    <row r="967" spans="7:12">
      <c r="G967">
        <f ca="1">IF( ISNUMBER($L967), MAX($G$50:G966)+1,0)</f>
        <v>0</v>
      </c>
      <c r="H967" s="13"/>
      <c r="I967" s="67"/>
      <c r="J967" s="67"/>
      <c r="K967" s="80" t="str">
        <f t="shared" si="19"/>
        <v>CDAVG</v>
      </c>
      <c r="L967" s="80" t="str">
        <f ca="1">IF(ISNUMBER(FIND("(",$I967)), "", _xll.IMDP("IR", $K967, $L$50, WORKDAY('CD|CP 발행사'!$C$4,-1)) )</f>
        <v/>
      </c>
    </row>
    <row r="968" spans="7:12">
      <c r="G968">
        <f ca="1">IF( ISNUMBER($L968), MAX($G$50:G967)+1,0)</f>
        <v>0</v>
      </c>
      <c r="H968" s="13"/>
      <c r="I968" s="67"/>
      <c r="J968" s="67"/>
      <c r="K968" s="80" t="str">
        <f t="shared" si="19"/>
        <v>CDAVG</v>
      </c>
      <c r="L968" s="80" t="str">
        <f ca="1">IF(ISNUMBER(FIND("(",$I968)), "", _xll.IMDP("IR", $K968, $L$50, WORKDAY('CD|CP 발행사'!$C$4,-1)) )</f>
        <v/>
      </c>
    </row>
    <row r="969" spans="7:12">
      <c r="G969">
        <f ca="1">IF( ISNUMBER($L969), MAX($G$50:G968)+1,0)</f>
        <v>0</v>
      </c>
      <c r="H969" s="13"/>
      <c r="I969" s="67"/>
      <c r="J969" s="67"/>
      <c r="K969" s="80" t="str">
        <f t="shared" si="19"/>
        <v>CDAVG</v>
      </c>
      <c r="L969" s="80" t="str">
        <f ca="1">IF(ISNUMBER(FIND("(",$I969)), "", _xll.IMDP("IR", $K969, $L$50, WORKDAY('CD|CP 발행사'!$C$4,-1)) )</f>
        <v/>
      </c>
    </row>
    <row r="970" spans="7:12">
      <c r="G970">
        <f ca="1">IF( ISNUMBER($L970), MAX($G$50:G969)+1,0)</f>
        <v>0</v>
      </c>
      <c r="H970" s="13"/>
      <c r="I970" s="67"/>
      <c r="J970" s="67"/>
      <c r="K970" s="80" t="str">
        <f t="shared" si="19"/>
        <v>CDAVG</v>
      </c>
      <c r="L970" s="80" t="str">
        <f ca="1">IF(ISNUMBER(FIND("(",$I970)), "", _xll.IMDP("IR", $K970, $L$50, WORKDAY('CD|CP 발행사'!$C$4,-1)) )</f>
        <v/>
      </c>
    </row>
    <row r="971" spans="7:12">
      <c r="G971">
        <f ca="1">IF( ISNUMBER($L971), MAX($G$50:G970)+1,0)</f>
        <v>0</v>
      </c>
      <c r="H971" s="13"/>
      <c r="I971" s="67"/>
      <c r="J971" s="67"/>
      <c r="K971" s="80" t="str">
        <f t="shared" si="19"/>
        <v>CDAVG</v>
      </c>
      <c r="L971" s="80" t="str">
        <f ca="1">IF(ISNUMBER(FIND("(",$I971)), "", _xll.IMDP("IR", $K971, $L$50, WORKDAY('CD|CP 발행사'!$C$4,-1)) )</f>
        <v/>
      </c>
    </row>
    <row r="972" spans="7:12">
      <c r="G972">
        <f ca="1">IF( ISNUMBER($L972), MAX($G$50:G971)+1,0)</f>
        <v>0</v>
      </c>
      <c r="H972" s="13"/>
      <c r="I972" s="67"/>
      <c r="J972" s="67"/>
      <c r="K972" s="80" t="str">
        <f t="shared" si="19"/>
        <v>CDAVG</v>
      </c>
      <c r="L972" s="80" t="str">
        <f ca="1">IF(ISNUMBER(FIND("(",$I972)), "", _xll.IMDP("IR", $K972, $L$50, WORKDAY('CD|CP 발행사'!$C$4,-1)) )</f>
        <v/>
      </c>
    </row>
    <row r="973" spans="7:12">
      <c r="G973">
        <f ca="1">IF( ISNUMBER($L973), MAX($G$50:G972)+1,0)</f>
        <v>0</v>
      </c>
      <c r="H973" s="13"/>
      <c r="I973" s="67"/>
      <c r="J973" s="67"/>
      <c r="K973" s="80" t="str">
        <f t="shared" si="19"/>
        <v>CDAVG</v>
      </c>
      <c r="L973" s="80" t="str">
        <f ca="1">IF(ISNUMBER(FIND("(",$I973)), "", _xll.IMDP("IR", $K973, $L$50, WORKDAY('CD|CP 발행사'!$C$4,-1)) )</f>
        <v/>
      </c>
    </row>
    <row r="974" spans="7:12">
      <c r="G974">
        <f ca="1">IF( ISNUMBER($L974), MAX($G$50:G973)+1,0)</f>
        <v>0</v>
      </c>
      <c r="H974" s="13"/>
      <c r="I974" s="67"/>
      <c r="J974" s="67"/>
      <c r="K974" s="80" t="str">
        <f t="shared" si="19"/>
        <v>CDAVG</v>
      </c>
      <c r="L974" s="80" t="str">
        <f ca="1">IF(ISNUMBER(FIND("(",$I974)), "", _xll.IMDP("IR", $K974, $L$50, WORKDAY('CD|CP 발행사'!$C$4,-1)) )</f>
        <v/>
      </c>
    </row>
    <row r="975" spans="7:12">
      <c r="G975">
        <f ca="1">IF( ISNUMBER($L975), MAX($G$50:G974)+1,0)</f>
        <v>0</v>
      </c>
      <c r="H975" s="13"/>
      <c r="I975" s="67"/>
      <c r="J975" s="67"/>
      <c r="K975" s="80" t="str">
        <f t="shared" si="19"/>
        <v>CDAVG</v>
      </c>
      <c r="L975" s="80" t="str">
        <f ca="1">IF(ISNUMBER(FIND("(",$I975)), "", _xll.IMDP("IR", $K975, $L$50, WORKDAY('CD|CP 발행사'!$C$4,-1)) )</f>
        <v/>
      </c>
    </row>
    <row r="976" spans="7:12">
      <c r="G976">
        <f ca="1">IF( ISNUMBER($L976), MAX($G$50:G975)+1,0)</f>
        <v>0</v>
      </c>
      <c r="H976" s="13"/>
      <c r="I976" s="67"/>
      <c r="J976" s="67"/>
      <c r="K976" s="80" t="str">
        <f t="shared" si="19"/>
        <v>CDAVG</v>
      </c>
      <c r="L976" s="80" t="str">
        <f ca="1">IF(ISNUMBER(FIND("(",$I976)), "", _xll.IMDP("IR", $K976, $L$50, WORKDAY('CD|CP 발행사'!$C$4,-1)) )</f>
        <v/>
      </c>
    </row>
    <row r="977" spans="7:12">
      <c r="G977">
        <f ca="1">IF( ISNUMBER($L977), MAX($G$50:G976)+1,0)</f>
        <v>0</v>
      </c>
      <c r="H977" s="13"/>
      <c r="I977" s="67"/>
      <c r="J977" s="67"/>
      <c r="K977" s="80" t="str">
        <f t="shared" si="19"/>
        <v>CDAVG</v>
      </c>
      <c r="L977" s="80" t="str">
        <f ca="1">IF(ISNUMBER(FIND("(",$I977)), "", _xll.IMDP("IR", $K977, $L$50, WORKDAY('CD|CP 발행사'!$C$4,-1)) )</f>
        <v/>
      </c>
    </row>
    <row r="978" spans="7:12">
      <c r="G978">
        <f ca="1">IF( ISNUMBER($L978), MAX($G$50:G977)+1,0)</f>
        <v>0</v>
      </c>
      <c r="H978" s="13"/>
      <c r="I978" s="67"/>
      <c r="J978" s="67"/>
      <c r="K978" s="80" t="str">
        <f t="shared" si="19"/>
        <v>CDAVG</v>
      </c>
      <c r="L978" s="80" t="str">
        <f ca="1">IF(ISNUMBER(FIND("(",$I978)), "", _xll.IMDP("IR", $K978, $L$50, WORKDAY('CD|CP 발행사'!$C$4,-1)) )</f>
        <v/>
      </c>
    </row>
    <row r="979" spans="7:12">
      <c r="G979">
        <f ca="1">IF( ISNUMBER($L979), MAX($G$50:G978)+1,0)</f>
        <v>0</v>
      </c>
      <c r="H979" s="13"/>
      <c r="I979" s="67"/>
      <c r="J979" s="67"/>
      <c r="K979" s="80" t="str">
        <f t="shared" si="19"/>
        <v>CDAVG</v>
      </c>
      <c r="L979" s="80" t="str">
        <f ca="1">IF(ISNUMBER(FIND("(",$I979)), "", _xll.IMDP("IR", $K979, $L$50, WORKDAY('CD|CP 발행사'!$C$4,-1)) )</f>
        <v/>
      </c>
    </row>
    <row r="980" spans="7:12">
      <c r="G980">
        <f ca="1">IF( ISNUMBER($L980), MAX($G$50:G979)+1,0)</f>
        <v>0</v>
      </c>
      <c r="H980" s="13"/>
      <c r="I980" s="67"/>
      <c r="J980" s="67"/>
      <c r="K980" s="80" t="str">
        <f t="shared" si="19"/>
        <v>CDAVG</v>
      </c>
      <c r="L980" s="80" t="str">
        <f ca="1">IF(ISNUMBER(FIND("(",$I980)), "", _xll.IMDP("IR", $K980, $L$50, WORKDAY('CD|CP 발행사'!$C$4,-1)) )</f>
        <v/>
      </c>
    </row>
    <row r="981" spans="7:12">
      <c r="G981">
        <f ca="1">IF( ISNUMBER($L981), MAX($G$50:G980)+1,0)</f>
        <v>0</v>
      </c>
      <c r="H981" s="13"/>
      <c r="I981" s="67"/>
      <c r="J981" s="67"/>
      <c r="K981" s="80" t="str">
        <f t="shared" si="19"/>
        <v>CDAVG</v>
      </c>
      <c r="L981" s="80" t="str">
        <f ca="1">IF(ISNUMBER(FIND("(",$I981)), "", _xll.IMDP("IR", $K981, $L$50, WORKDAY('CD|CP 발행사'!$C$4,-1)) )</f>
        <v/>
      </c>
    </row>
    <row r="982" spans="7:12">
      <c r="G982">
        <f ca="1">IF( ISNUMBER($L982), MAX($G$50:G981)+1,0)</f>
        <v>0</v>
      </c>
      <c r="H982" s="13"/>
      <c r="I982" s="67"/>
      <c r="J982" s="67"/>
      <c r="K982" s="80" t="str">
        <f t="shared" si="19"/>
        <v>CDAVG</v>
      </c>
      <c r="L982" s="80" t="str">
        <f ca="1">IF(ISNUMBER(FIND("(",$I982)), "", _xll.IMDP("IR", $K982, $L$50, WORKDAY('CD|CP 발행사'!$C$4,-1)) )</f>
        <v/>
      </c>
    </row>
    <row r="983" spans="7:12">
      <c r="G983">
        <f ca="1">IF( ISNUMBER($L983), MAX($G$50:G982)+1,0)</f>
        <v>0</v>
      </c>
      <c r="H983" s="13"/>
      <c r="I983" s="67"/>
      <c r="J983" s="67"/>
      <c r="K983" s="80" t="str">
        <f t="shared" si="19"/>
        <v>CDAVG</v>
      </c>
      <c r="L983" s="80" t="str">
        <f ca="1">IF(ISNUMBER(FIND("(",$I983)), "", _xll.IMDP("IR", $K983, $L$50, WORKDAY('CD|CP 발행사'!$C$4,-1)) )</f>
        <v/>
      </c>
    </row>
    <row r="984" spans="7:12">
      <c r="G984">
        <f ca="1">IF( ISNUMBER($L984), MAX($G$50:G983)+1,0)</f>
        <v>0</v>
      </c>
      <c r="H984" s="13"/>
      <c r="I984" s="67"/>
      <c r="J984" s="67"/>
      <c r="K984" s="80" t="str">
        <f t="shared" si="19"/>
        <v>CDAVG</v>
      </c>
      <c r="L984" s="80" t="str">
        <f ca="1">IF(ISNUMBER(FIND("(",$I984)), "", _xll.IMDP("IR", $K984, $L$50, WORKDAY('CD|CP 발행사'!$C$4,-1)) )</f>
        <v/>
      </c>
    </row>
    <row r="985" spans="7:12">
      <c r="G985">
        <f ca="1">IF( ISNUMBER($L985), MAX($G$50:G984)+1,0)</f>
        <v>0</v>
      </c>
      <c r="H985" s="13"/>
      <c r="I985" s="67"/>
      <c r="J985" s="67"/>
      <c r="K985" s="80" t="str">
        <f t="shared" si="19"/>
        <v>CDAVG</v>
      </c>
      <c r="L985" s="80" t="str">
        <f ca="1">IF(ISNUMBER(FIND("(",$I985)), "", _xll.IMDP("IR", $K985, $L$50, WORKDAY('CD|CP 발행사'!$C$4,-1)) )</f>
        <v/>
      </c>
    </row>
    <row r="986" spans="7:12">
      <c r="G986">
        <f ca="1">IF( ISNUMBER($L986), MAX($G$50:G985)+1,0)</f>
        <v>0</v>
      </c>
      <c r="H986" s="13"/>
      <c r="I986" s="67"/>
      <c r="J986" s="67"/>
      <c r="K986" s="80" t="str">
        <f t="shared" si="19"/>
        <v>CDAVG</v>
      </c>
      <c r="L986" s="80" t="str">
        <f ca="1">IF(ISNUMBER(FIND("(",$I986)), "", _xll.IMDP("IR", $K986, $L$50, WORKDAY('CD|CP 발행사'!$C$4,-1)) )</f>
        <v/>
      </c>
    </row>
    <row r="987" spans="7:12">
      <c r="G987">
        <f ca="1">IF( ISNUMBER($L987), MAX($G$50:G986)+1,0)</f>
        <v>0</v>
      </c>
      <c r="H987" s="13"/>
      <c r="I987" s="67"/>
      <c r="J987" s="67"/>
      <c r="K987" s="80" t="str">
        <f t="shared" si="19"/>
        <v>CDAVG</v>
      </c>
      <c r="L987" s="80" t="str">
        <f ca="1">IF(ISNUMBER(FIND("(",$I987)), "", _xll.IMDP("IR", $K987, $L$50, WORKDAY('CD|CP 발행사'!$C$4,-1)) )</f>
        <v/>
      </c>
    </row>
    <row r="988" spans="7:12">
      <c r="G988">
        <f ca="1">IF( ISNUMBER($L988), MAX($G$50:G987)+1,0)</f>
        <v>0</v>
      </c>
      <c r="H988" s="13"/>
      <c r="I988" s="67"/>
      <c r="J988" s="67"/>
      <c r="K988" s="80" t="str">
        <f t="shared" si="19"/>
        <v>CDAVG</v>
      </c>
      <c r="L988" s="80" t="str">
        <f ca="1">IF(ISNUMBER(FIND("(",$I988)), "", _xll.IMDP("IR", $K988, $L$50, WORKDAY('CD|CP 발행사'!$C$4,-1)) )</f>
        <v/>
      </c>
    </row>
    <row r="989" spans="7:12">
      <c r="G989">
        <f ca="1">IF( ISNUMBER($L989), MAX($G$50:G988)+1,0)</f>
        <v>0</v>
      </c>
      <c r="H989" s="13"/>
      <c r="I989" s="67"/>
      <c r="J989" s="67"/>
      <c r="K989" s="80" t="str">
        <f t="shared" si="19"/>
        <v>CDAVG</v>
      </c>
      <c r="L989" s="80" t="str">
        <f ca="1">IF(ISNUMBER(FIND("(",$I989)), "", _xll.IMDP("IR", $K989, $L$50, WORKDAY('CD|CP 발행사'!$C$4,-1)) )</f>
        <v/>
      </c>
    </row>
    <row r="990" spans="7:12">
      <c r="G990">
        <f ca="1">IF( ISNUMBER($L990), MAX($G$50:G989)+1,0)</f>
        <v>0</v>
      </c>
      <c r="H990" s="13"/>
      <c r="I990" s="67"/>
      <c r="J990" s="67"/>
      <c r="K990" s="80" t="str">
        <f t="shared" si="19"/>
        <v>CDAVG</v>
      </c>
      <c r="L990" s="80" t="str">
        <f ca="1">IF(ISNUMBER(FIND("(",$I990)), "", _xll.IMDP("IR", $K990, $L$50, WORKDAY('CD|CP 발행사'!$C$4,-1)) )</f>
        <v/>
      </c>
    </row>
    <row r="991" spans="7:12">
      <c r="G991">
        <f ca="1">IF( ISNUMBER($L991), MAX($G$50:G990)+1,0)</f>
        <v>0</v>
      </c>
      <c r="H991" s="13"/>
      <c r="I991" s="67"/>
      <c r="J991" s="67"/>
      <c r="K991" s="80" t="str">
        <f t="shared" si="19"/>
        <v>CDAVG</v>
      </c>
      <c r="L991" s="80" t="str">
        <f ca="1">IF(ISNUMBER(FIND("(",$I991)), "", _xll.IMDP("IR", $K991, $L$50, WORKDAY('CD|CP 발행사'!$C$4,-1)) )</f>
        <v/>
      </c>
    </row>
    <row r="992" spans="7:12">
      <c r="G992">
        <f ca="1">IF( ISNUMBER($L992), MAX($G$50:G991)+1,0)</f>
        <v>0</v>
      </c>
      <c r="H992" s="13"/>
      <c r="I992" s="67"/>
      <c r="J992" s="67"/>
      <c r="K992" s="80" t="str">
        <f t="shared" si="19"/>
        <v>CDAVG</v>
      </c>
      <c r="L992" s="80" t="str">
        <f ca="1">IF(ISNUMBER(FIND("(",$I992)), "", _xll.IMDP("IR", $K992, $L$50, WORKDAY('CD|CP 발행사'!$C$4,-1)) )</f>
        <v/>
      </c>
    </row>
    <row r="993" spans="7:12">
      <c r="G993">
        <f ca="1">IF( ISNUMBER($L993), MAX($G$50:G992)+1,0)</f>
        <v>0</v>
      </c>
      <c r="H993" s="13"/>
      <c r="I993" s="67"/>
      <c r="J993" s="67"/>
      <c r="K993" s="80" t="str">
        <f t="shared" si="19"/>
        <v>CDAVG</v>
      </c>
      <c r="L993" s="80" t="str">
        <f ca="1">IF(ISNUMBER(FIND("(",$I993)), "", _xll.IMDP("IR", $K993, $L$50, WORKDAY('CD|CP 발행사'!$C$4,-1)) )</f>
        <v/>
      </c>
    </row>
    <row r="994" spans="7:12">
      <c r="G994">
        <f ca="1">IF( ISNUMBER($L994), MAX($G$50:G993)+1,0)</f>
        <v>0</v>
      </c>
      <c r="H994" s="13"/>
      <c r="I994" s="67"/>
      <c r="J994" s="67"/>
      <c r="K994" s="80" t="str">
        <f t="shared" si="19"/>
        <v>CDAVG</v>
      </c>
      <c r="L994" s="80" t="str">
        <f ca="1">IF(ISNUMBER(FIND("(",$I994)), "", _xll.IMDP("IR", $K994, $L$50, WORKDAY('CD|CP 발행사'!$C$4,-1)) )</f>
        <v/>
      </c>
    </row>
    <row r="995" spans="7:12">
      <c r="G995">
        <f ca="1">IF( ISNUMBER($L995), MAX($G$50:G994)+1,0)</f>
        <v>0</v>
      </c>
      <c r="H995" s="13"/>
      <c r="I995" s="67"/>
      <c r="J995" s="67"/>
      <c r="K995" s="80" t="str">
        <f t="shared" si="19"/>
        <v>CDAVG</v>
      </c>
      <c r="L995" s="80" t="str">
        <f ca="1">IF(ISNUMBER(FIND("(",$I995)), "", _xll.IMDP("IR", $K995, $L$50, WORKDAY('CD|CP 발행사'!$C$4,-1)) )</f>
        <v/>
      </c>
    </row>
    <row r="996" spans="7:12">
      <c r="G996">
        <f ca="1">IF( ISNUMBER($L996), MAX($G$50:G995)+1,0)</f>
        <v>0</v>
      </c>
      <c r="H996" s="13"/>
      <c r="I996" s="67"/>
      <c r="J996" s="67"/>
      <c r="K996" s="80" t="str">
        <f t="shared" si="19"/>
        <v>CDAVG</v>
      </c>
      <c r="L996" s="80" t="str">
        <f ca="1">IF(ISNUMBER(FIND("(",$I996)), "", _xll.IMDP("IR", $K996, $L$50, WORKDAY('CD|CP 발행사'!$C$4,-1)) )</f>
        <v/>
      </c>
    </row>
    <row r="997" spans="7:12">
      <c r="G997">
        <f ca="1">IF( ISNUMBER($L997), MAX($G$50:G996)+1,0)</f>
        <v>0</v>
      </c>
      <c r="H997" s="13"/>
      <c r="I997" s="67"/>
      <c r="J997" s="67"/>
      <c r="K997" s="80" t="str">
        <f t="shared" si="19"/>
        <v>CDAVG</v>
      </c>
      <c r="L997" s="80" t="str">
        <f ca="1">IF(ISNUMBER(FIND("(",$I997)), "", _xll.IMDP("IR", $K997, $L$50, WORKDAY('CD|CP 발행사'!$C$4,-1)) )</f>
        <v/>
      </c>
    </row>
    <row r="998" spans="7:12">
      <c r="G998">
        <f ca="1">IF( ISNUMBER($L998), MAX($G$50:G997)+1,0)</f>
        <v>0</v>
      </c>
      <c r="H998" s="13"/>
      <c r="I998" s="67"/>
      <c r="J998" s="67"/>
      <c r="K998" s="80" t="str">
        <f t="shared" si="19"/>
        <v>CDAVG</v>
      </c>
      <c r="L998" s="80" t="str">
        <f ca="1">IF(ISNUMBER(FIND("(",$I998)), "", _xll.IMDP("IR", $K998, $L$50, WORKDAY('CD|CP 발행사'!$C$4,-1)) )</f>
        <v/>
      </c>
    </row>
    <row r="999" spans="7:12">
      <c r="G999">
        <f ca="1">IF( ISNUMBER($L999), MAX($G$50:G998)+1,0)</f>
        <v>0</v>
      </c>
      <c r="H999" s="13"/>
      <c r="I999" s="67"/>
      <c r="J999" s="67"/>
      <c r="K999" s="80" t="str">
        <f t="shared" si="19"/>
        <v>CDAVG</v>
      </c>
      <c r="L999" s="80" t="str">
        <f ca="1">IF(ISNUMBER(FIND("(",$I999)), "", _xll.IMDP("IR", $K999, $L$50, WORKDAY('CD|CP 발행사'!$C$4,-1)) )</f>
        <v/>
      </c>
    </row>
    <row r="1000" spans="7:12">
      <c r="G1000">
        <f ca="1">IF( ISNUMBER($L1000), MAX($G$50:G999)+1,0)</f>
        <v>0</v>
      </c>
      <c r="H1000" s="13"/>
      <c r="I1000" s="67"/>
      <c r="J1000" s="67"/>
      <c r="K1000" s="80" t="str">
        <f t="shared" si="19"/>
        <v>CDAVG</v>
      </c>
      <c r="L1000" s="80" t="str">
        <f ca="1">IF(ISNUMBER(FIND("(",$I1000)), "", _xll.IMDP("IR", $K1000, $L$50, WORKDAY('CD|CP 발행사'!$C$4,-1)) )</f>
        <v/>
      </c>
    </row>
    <row r="1001" spans="7:12">
      <c r="G1001">
        <f ca="1">IF( ISNUMBER($L1001), MAX($G$50:G1000)+1,0)</f>
        <v>0</v>
      </c>
      <c r="H1001" s="13"/>
      <c r="I1001" s="67"/>
      <c r="J1001" s="67"/>
      <c r="K1001" s="80" t="str">
        <f t="shared" si="19"/>
        <v>CDAVG</v>
      </c>
      <c r="L1001" s="80" t="str">
        <f ca="1">IF(ISNUMBER(FIND("(",$I1001)), "", _xll.IMDP("IR", $K1001, $L$50, WORKDAY('CD|CP 발행사'!$C$4,-1)) )</f>
        <v/>
      </c>
    </row>
    <row r="1002" spans="7:12">
      <c r="G1002">
        <f ca="1">IF( ISNUMBER($L1002), MAX($G$50:G1001)+1,0)</f>
        <v>0</v>
      </c>
      <c r="H1002" s="13"/>
      <c r="I1002" s="67"/>
      <c r="J1002" s="67"/>
      <c r="K1002" s="80" t="str">
        <f t="shared" si="19"/>
        <v>CDAVG</v>
      </c>
      <c r="L1002" s="80" t="str">
        <f ca="1">IF(ISNUMBER(FIND("(",$I1002)), "", _xll.IMDP("IR", $K1002, $L$50, WORKDAY('CD|CP 발행사'!$C$4,-1)) )</f>
        <v/>
      </c>
    </row>
    <row r="1003" spans="7:12">
      <c r="G1003">
        <f ca="1">IF( ISNUMBER($L1003), MAX($G$50:G1002)+1,0)</f>
        <v>0</v>
      </c>
      <c r="H1003" s="13"/>
      <c r="I1003" s="67"/>
      <c r="J1003" s="67"/>
      <c r="K1003" s="80" t="str">
        <f t="shared" si="19"/>
        <v>CDAVG</v>
      </c>
      <c r="L1003" s="80" t="str">
        <f ca="1">IF(ISNUMBER(FIND("(",$I1003)), "", _xll.IMDP("IR", $K1003, $L$50, WORKDAY('CD|CP 발행사'!$C$4,-1)) )</f>
        <v/>
      </c>
    </row>
    <row r="1004" spans="7:12">
      <c r="G1004">
        <f ca="1">IF( ISNUMBER($L1004), MAX($G$50:G1003)+1,0)</f>
        <v>0</v>
      </c>
      <c r="H1004" s="13"/>
      <c r="I1004" s="67"/>
      <c r="J1004" s="67"/>
      <c r="K1004" s="80" t="str">
        <f t="shared" si="19"/>
        <v>CDAVG</v>
      </c>
      <c r="L1004" s="80" t="str">
        <f ca="1">IF(ISNUMBER(FIND("(",$I1004)), "", _xll.IMDP("IR", $K1004, $L$50, WORKDAY('CD|CP 발행사'!$C$4,-1)) )</f>
        <v/>
      </c>
    </row>
    <row r="1005" spans="7:12">
      <c r="G1005">
        <f ca="1">IF( ISNUMBER($L1005), MAX($G$50:G1004)+1,0)</f>
        <v>0</v>
      </c>
      <c r="H1005" s="13"/>
      <c r="I1005" s="67"/>
      <c r="J1005" s="67"/>
      <c r="K1005" s="80" t="str">
        <f t="shared" si="19"/>
        <v>CDAVG</v>
      </c>
      <c r="L1005" s="80" t="str">
        <f ca="1">IF(ISNUMBER(FIND("(",$I1005)), "", _xll.IMDP("IR", $K1005, $L$50, WORKDAY('CD|CP 발행사'!$C$4,-1)) )</f>
        <v/>
      </c>
    </row>
    <row r="1006" spans="7:12">
      <c r="G1006">
        <f ca="1">IF( ISNUMBER($L1006), MAX($G$50:G1005)+1,0)</f>
        <v>0</v>
      </c>
      <c r="H1006" s="13"/>
      <c r="I1006" s="67"/>
      <c r="J1006" s="67"/>
      <c r="K1006" s="80" t="str">
        <f t="shared" si="19"/>
        <v>CDAVG</v>
      </c>
      <c r="L1006" s="80" t="str">
        <f ca="1">IF(ISNUMBER(FIND("(",$I1006)), "", _xll.IMDP("IR", $K1006, $L$50, WORKDAY('CD|CP 발행사'!$C$4,-1)) )</f>
        <v/>
      </c>
    </row>
    <row r="1007" spans="7:12">
      <c r="G1007">
        <f ca="1">IF( ISNUMBER($L1007), MAX($G$50:G1006)+1,0)</f>
        <v>0</v>
      </c>
      <c r="H1007" s="13"/>
      <c r="I1007" s="67"/>
      <c r="J1007" s="67"/>
      <c r="K1007" s="80" t="str">
        <f t="shared" si="19"/>
        <v>CDAVG</v>
      </c>
      <c r="L1007" s="80" t="str">
        <f ca="1">IF(ISNUMBER(FIND("(",$I1007)), "", _xll.IMDP("IR", $K1007, $L$50, WORKDAY('CD|CP 발행사'!$C$4,-1)) )</f>
        <v/>
      </c>
    </row>
    <row r="1008" spans="7:12">
      <c r="G1008">
        <f ca="1">IF( ISNUMBER($L1008), MAX($G$50:G1007)+1,0)</f>
        <v>0</v>
      </c>
      <c r="H1008" s="13"/>
      <c r="I1008" s="67"/>
      <c r="J1008" s="67"/>
      <c r="K1008" s="80" t="str">
        <f t="shared" si="19"/>
        <v>CDAVG</v>
      </c>
      <c r="L1008" s="80" t="str">
        <f ca="1">IF(ISNUMBER(FIND("(",$I1008)), "", _xll.IMDP("IR", $K1008, $L$50, WORKDAY('CD|CP 발행사'!$C$4,-1)) )</f>
        <v/>
      </c>
    </row>
    <row r="1009" spans="7:12">
      <c r="G1009">
        <f ca="1">IF( ISNUMBER($L1009), MAX($G$50:G1008)+1,0)</f>
        <v>0</v>
      </c>
      <c r="H1009" s="13"/>
      <c r="I1009" s="67"/>
      <c r="J1009" s="67"/>
      <c r="K1009" s="80" t="str">
        <f t="shared" si="19"/>
        <v>CDAVG</v>
      </c>
      <c r="L1009" s="80" t="str">
        <f ca="1">IF(ISNUMBER(FIND("(",$I1009)), "", _xll.IMDP("IR", $K1009, $L$50, WORKDAY('CD|CP 발행사'!$C$4,-1)) )</f>
        <v/>
      </c>
    </row>
    <row r="1010" spans="7:12">
      <c r="G1010">
        <f ca="1">IF( ISNUMBER($L1010), MAX($G$50:G1009)+1,0)</f>
        <v>0</v>
      </c>
      <c r="H1010" s="13"/>
      <c r="I1010" s="67"/>
      <c r="J1010" s="67"/>
      <c r="K1010" s="80" t="str">
        <f t="shared" si="19"/>
        <v>CDAVG</v>
      </c>
      <c r="L1010" s="80" t="str">
        <f ca="1">IF(ISNUMBER(FIND("(",$I1010)), "", _xll.IMDP("IR", $K1010, $L$50, WORKDAY('CD|CP 발행사'!$C$4,-1)) )</f>
        <v/>
      </c>
    </row>
    <row r="1011" spans="7:12">
      <c r="G1011">
        <f ca="1">IF( ISNUMBER($L1011), MAX($G$50:G1010)+1,0)</f>
        <v>0</v>
      </c>
      <c r="H1011" s="13"/>
      <c r="I1011" s="67"/>
      <c r="J1011" s="67"/>
      <c r="K1011" s="80" t="str">
        <f t="shared" ref="K1011:K1074" si="20">$K$49&amp;$H1011</f>
        <v>CDAVG</v>
      </c>
      <c r="L1011" s="80" t="str">
        <f ca="1">IF(ISNUMBER(FIND("(",$I1011)), "", _xll.IMDP("IR", $K1011, $L$50, WORKDAY('CD|CP 발행사'!$C$4,-1)) )</f>
        <v/>
      </c>
    </row>
    <row r="1012" spans="7:12">
      <c r="G1012">
        <f ca="1">IF( ISNUMBER($L1012), MAX($G$50:G1011)+1,0)</f>
        <v>0</v>
      </c>
      <c r="H1012" s="13"/>
      <c r="I1012" s="67"/>
      <c r="J1012" s="67"/>
      <c r="K1012" s="80" t="str">
        <f t="shared" si="20"/>
        <v>CDAVG</v>
      </c>
      <c r="L1012" s="80" t="str">
        <f ca="1">IF(ISNUMBER(FIND("(",$I1012)), "", _xll.IMDP("IR", $K1012, $L$50, WORKDAY('CD|CP 발행사'!$C$4,-1)) )</f>
        <v/>
      </c>
    </row>
    <row r="1013" spans="7:12">
      <c r="G1013">
        <f ca="1">IF( ISNUMBER($L1013), MAX($G$50:G1012)+1,0)</f>
        <v>0</v>
      </c>
      <c r="H1013" s="13"/>
      <c r="I1013" s="67"/>
      <c r="J1013" s="67"/>
      <c r="K1013" s="80" t="str">
        <f t="shared" si="20"/>
        <v>CDAVG</v>
      </c>
      <c r="L1013" s="80" t="str">
        <f ca="1">IF(ISNUMBER(FIND("(",$I1013)), "", _xll.IMDP("IR", $K1013, $L$50, WORKDAY('CD|CP 발행사'!$C$4,-1)) )</f>
        <v/>
      </c>
    </row>
    <row r="1014" spans="7:12">
      <c r="G1014">
        <f ca="1">IF( ISNUMBER($L1014), MAX($G$50:G1013)+1,0)</f>
        <v>0</v>
      </c>
      <c r="H1014" s="13"/>
      <c r="I1014" s="67"/>
      <c r="J1014" s="67"/>
      <c r="K1014" s="80" t="str">
        <f t="shared" si="20"/>
        <v>CDAVG</v>
      </c>
      <c r="L1014" s="80" t="str">
        <f ca="1">IF(ISNUMBER(FIND("(",$I1014)), "", _xll.IMDP("IR", $K1014, $L$50, WORKDAY('CD|CP 발행사'!$C$4,-1)) )</f>
        <v/>
      </c>
    </row>
    <row r="1015" spans="7:12">
      <c r="G1015">
        <f ca="1">IF( ISNUMBER($L1015), MAX($G$50:G1014)+1,0)</f>
        <v>0</v>
      </c>
      <c r="H1015" s="13"/>
      <c r="I1015" s="67"/>
      <c r="J1015" s="67"/>
      <c r="K1015" s="80" t="str">
        <f t="shared" si="20"/>
        <v>CDAVG</v>
      </c>
      <c r="L1015" s="80" t="str">
        <f ca="1">IF(ISNUMBER(FIND("(",$I1015)), "", _xll.IMDP("IR", $K1015, $L$50, WORKDAY('CD|CP 발행사'!$C$4,-1)) )</f>
        <v/>
      </c>
    </row>
    <row r="1016" spans="7:12">
      <c r="G1016">
        <f ca="1">IF( ISNUMBER($L1016), MAX($G$50:G1015)+1,0)</f>
        <v>0</v>
      </c>
      <c r="H1016" s="13"/>
      <c r="I1016" s="67"/>
      <c r="J1016" s="67"/>
      <c r="K1016" s="80" t="str">
        <f t="shared" si="20"/>
        <v>CDAVG</v>
      </c>
      <c r="L1016" s="80" t="str">
        <f ca="1">IF(ISNUMBER(FIND("(",$I1016)), "", _xll.IMDP("IR", $K1016, $L$50, WORKDAY('CD|CP 발행사'!$C$4,-1)) )</f>
        <v/>
      </c>
    </row>
    <row r="1017" spans="7:12">
      <c r="G1017">
        <f ca="1">IF( ISNUMBER($L1017), MAX($G$50:G1016)+1,0)</f>
        <v>0</v>
      </c>
      <c r="H1017" s="13"/>
      <c r="I1017" s="67"/>
      <c r="J1017" s="67"/>
      <c r="K1017" s="80" t="str">
        <f t="shared" si="20"/>
        <v>CDAVG</v>
      </c>
      <c r="L1017" s="80" t="str">
        <f ca="1">IF(ISNUMBER(FIND("(",$I1017)), "", _xll.IMDP("IR", $K1017, $L$50, WORKDAY('CD|CP 발행사'!$C$4,-1)) )</f>
        <v/>
      </c>
    </row>
    <row r="1018" spans="7:12">
      <c r="G1018">
        <f ca="1">IF( ISNUMBER($L1018), MAX($G$50:G1017)+1,0)</f>
        <v>0</v>
      </c>
      <c r="H1018" s="13"/>
      <c r="I1018" s="67"/>
      <c r="J1018" s="67"/>
      <c r="K1018" s="80" t="str">
        <f t="shared" si="20"/>
        <v>CDAVG</v>
      </c>
      <c r="L1018" s="80" t="str">
        <f ca="1">IF(ISNUMBER(FIND("(",$I1018)), "", _xll.IMDP("IR", $K1018, $L$50, WORKDAY('CD|CP 발행사'!$C$4,-1)) )</f>
        <v/>
      </c>
    </row>
    <row r="1019" spans="7:12">
      <c r="G1019">
        <f ca="1">IF( ISNUMBER($L1019), MAX($G$50:G1018)+1,0)</f>
        <v>0</v>
      </c>
      <c r="H1019" s="13"/>
      <c r="I1019" s="67"/>
      <c r="J1019" s="67"/>
      <c r="K1019" s="80" t="str">
        <f t="shared" si="20"/>
        <v>CDAVG</v>
      </c>
      <c r="L1019" s="80" t="str">
        <f ca="1">IF(ISNUMBER(FIND("(",$I1019)), "", _xll.IMDP("IR", $K1019, $L$50, WORKDAY('CD|CP 발행사'!$C$4,-1)) )</f>
        <v/>
      </c>
    </row>
    <row r="1020" spans="7:12">
      <c r="G1020">
        <f ca="1">IF( ISNUMBER($L1020), MAX($G$50:G1019)+1,0)</f>
        <v>0</v>
      </c>
      <c r="H1020" s="13"/>
      <c r="I1020" s="67"/>
      <c r="J1020" s="67"/>
      <c r="K1020" s="80" t="str">
        <f t="shared" si="20"/>
        <v>CDAVG</v>
      </c>
      <c r="L1020" s="80" t="str">
        <f ca="1">IF(ISNUMBER(FIND("(",$I1020)), "", _xll.IMDP("IR", $K1020, $L$50, WORKDAY('CD|CP 발행사'!$C$4,-1)) )</f>
        <v/>
      </c>
    </row>
    <row r="1021" spans="7:12">
      <c r="G1021">
        <f ca="1">IF( ISNUMBER($L1021), MAX($G$50:G1020)+1,0)</f>
        <v>0</v>
      </c>
      <c r="H1021" s="13"/>
      <c r="I1021" s="67"/>
      <c r="J1021" s="67"/>
      <c r="K1021" s="80" t="str">
        <f t="shared" si="20"/>
        <v>CDAVG</v>
      </c>
      <c r="L1021" s="80" t="str">
        <f ca="1">IF(ISNUMBER(FIND("(",$I1021)), "", _xll.IMDP("IR", $K1021, $L$50, WORKDAY('CD|CP 발행사'!$C$4,-1)) )</f>
        <v/>
      </c>
    </row>
    <row r="1022" spans="7:12">
      <c r="G1022">
        <f ca="1">IF( ISNUMBER($L1022), MAX($G$50:G1021)+1,0)</f>
        <v>0</v>
      </c>
      <c r="H1022" s="13"/>
      <c r="I1022" s="67"/>
      <c r="J1022" s="67"/>
      <c r="K1022" s="80" t="str">
        <f t="shared" si="20"/>
        <v>CDAVG</v>
      </c>
      <c r="L1022" s="80" t="str">
        <f ca="1">IF(ISNUMBER(FIND("(",$I1022)), "", _xll.IMDP("IR", $K1022, $L$50, WORKDAY('CD|CP 발행사'!$C$4,-1)) )</f>
        <v/>
      </c>
    </row>
    <row r="1023" spans="7:12">
      <c r="G1023">
        <f ca="1">IF( ISNUMBER($L1023), MAX($G$50:G1022)+1,0)</f>
        <v>0</v>
      </c>
      <c r="H1023" s="13"/>
      <c r="I1023" s="67"/>
      <c r="J1023" s="67"/>
      <c r="K1023" s="80" t="str">
        <f t="shared" si="20"/>
        <v>CDAVG</v>
      </c>
      <c r="L1023" s="80" t="str">
        <f ca="1">IF(ISNUMBER(FIND("(",$I1023)), "", _xll.IMDP("IR", $K1023, $L$50, WORKDAY('CD|CP 발행사'!$C$4,-1)) )</f>
        <v/>
      </c>
    </row>
    <row r="1024" spans="7:12">
      <c r="G1024">
        <f ca="1">IF( ISNUMBER($L1024), MAX($G$50:G1023)+1,0)</f>
        <v>0</v>
      </c>
      <c r="H1024" s="13"/>
      <c r="I1024" s="67"/>
      <c r="J1024" s="67"/>
      <c r="K1024" s="80" t="str">
        <f t="shared" si="20"/>
        <v>CDAVG</v>
      </c>
      <c r="L1024" s="80" t="str">
        <f ca="1">IF(ISNUMBER(FIND("(",$I1024)), "", _xll.IMDP("IR", $K1024, $L$50, WORKDAY('CD|CP 발행사'!$C$4,-1)) )</f>
        <v/>
      </c>
    </row>
    <row r="1025" spans="7:12">
      <c r="G1025">
        <f ca="1">IF( ISNUMBER($L1025), MAX($G$50:G1024)+1,0)</f>
        <v>0</v>
      </c>
      <c r="H1025" s="13"/>
      <c r="I1025" s="67"/>
      <c r="J1025" s="67"/>
      <c r="K1025" s="80" t="str">
        <f t="shared" si="20"/>
        <v>CDAVG</v>
      </c>
      <c r="L1025" s="80" t="str">
        <f ca="1">IF(ISNUMBER(FIND("(",$I1025)), "", _xll.IMDP("IR", $K1025, $L$50, WORKDAY('CD|CP 발행사'!$C$4,-1)) )</f>
        <v/>
      </c>
    </row>
    <row r="1026" spans="7:12">
      <c r="G1026">
        <f ca="1">IF( ISNUMBER($L1026), MAX($G$50:G1025)+1,0)</f>
        <v>0</v>
      </c>
      <c r="H1026" s="13"/>
      <c r="I1026" s="67"/>
      <c r="J1026" s="67"/>
      <c r="K1026" s="80" t="str">
        <f t="shared" si="20"/>
        <v>CDAVG</v>
      </c>
      <c r="L1026" s="80" t="str">
        <f ca="1">IF(ISNUMBER(FIND("(",$I1026)), "", _xll.IMDP("IR", $K1026, $L$50, WORKDAY('CD|CP 발행사'!$C$4,-1)) )</f>
        <v/>
      </c>
    </row>
    <row r="1027" spans="7:12">
      <c r="G1027">
        <f ca="1">IF( ISNUMBER($L1027), MAX($G$50:G1026)+1,0)</f>
        <v>0</v>
      </c>
      <c r="H1027" s="13"/>
      <c r="I1027" s="67"/>
      <c r="J1027" s="67"/>
      <c r="K1027" s="80" t="str">
        <f t="shared" si="20"/>
        <v>CDAVG</v>
      </c>
      <c r="L1027" s="80" t="str">
        <f ca="1">IF(ISNUMBER(FIND("(",$I1027)), "", _xll.IMDP("IR", $K1027, $L$50, WORKDAY('CD|CP 발행사'!$C$4,-1)) )</f>
        <v/>
      </c>
    </row>
    <row r="1028" spans="7:12">
      <c r="G1028">
        <f ca="1">IF( ISNUMBER($L1028), MAX($G$50:G1027)+1,0)</f>
        <v>0</v>
      </c>
      <c r="H1028" s="13"/>
      <c r="I1028" s="67"/>
      <c r="J1028" s="67"/>
      <c r="K1028" s="80" t="str">
        <f t="shared" si="20"/>
        <v>CDAVG</v>
      </c>
      <c r="L1028" s="80" t="str">
        <f ca="1">IF(ISNUMBER(FIND("(",$I1028)), "", _xll.IMDP("IR", $K1028, $L$50, WORKDAY('CD|CP 발행사'!$C$4,-1)) )</f>
        <v/>
      </c>
    </row>
    <row r="1029" spans="7:12">
      <c r="G1029">
        <f ca="1">IF( ISNUMBER($L1029), MAX($G$50:G1028)+1,0)</f>
        <v>0</v>
      </c>
      <c r="H1029" s="13"/>
      <c r="I1029" s="67"/>
      <c r="J1029" s="67"/>
      <c r="K1029" s="80" t="str">
        <f t="shared" si="20"/>
        <v>CDAVG</v>
      </c>
      <c r="L1029" s="80" t="str">
        <f ca="1">IF(ISNUMBER(FIND("(",$I1029)), "", _xll.IMDP("IR", $K1029, $L$50, WORKDAY('CD|CP 발행사'!$C$4,-1)) )</f>
        <v/>
      </c>
    </row>
    <row r="1030" spans="7:12">
      <c r="G1030">
        <f ca="1">IF( ISNUMBER($L1030), MAX($G$50:G1029)+1,0)</f>
        <v>0</v>
      </c>
      <c r="H1030" s="13"/>
      <c r="I1030" s="67"/>
      <c r="J1030" s="67"/>
      <c r="K1030" s="80" t="str">
        <f t="shared" si="20"/>
        <v>CDAVG</v>
      </c>
      <c r="L1030" s="80" t="str">
        <f ca="1">IF(ISNUMBER(FIND("(",$I1030)), "", _xll.IMDP("IR", $K1030, $L$50, WORKDAY('CD|CP 발행사'!$C$4,-1)) )</f>
        <v/>
      </c>
    </row>
    <row r="1031" spans="7:12">
      <c r="G1031">
        <f ca="1">IF( ISNUMBER($L1031), MAX($G$50:G1030)+1,0)</f>
        <v>0</v>
      </c>
      <c r="H1031" s="13"/>
      <c r="I1031" s="67"/>
      <c r="J1031" s="67"/>
      <c r="K1031" s="80" t="str">
        <f t="shared" si="20"/>
        <v>CDAVG</v>
      </c>
      <c r="L1031" s="80" t="str">
        <f ca="1">IF(ISNUMBER(FIND("(",$I1031)), "", _xll.IMDP("IR", $K1031, $L$50, WORKDAY('CD|CP 발행사'!$C$4,-1)) )</f>
        <v/>
      </c>
    </row>
    <row r="1032" spans="7:12">
      <c r="G1032">
        <f ca="1">IF( ISNUMBER($L1032), MAX($G$50:G1031)+1,0)</f>
        <v>0</v>
      </c>
      <c r="H1032" s="13"/>
      <c r="I1032" s="67"/>
      <c r="J1032" s="67"/>
      <c r="K1032" s="80" t="str">
        <f t="shared" si="20"/>
        <v>CDAVG</v>
      </c>
      <c r="L1032" s="80" t="str">
        <f ca="1">IF(ISNUMBER(FIND("(",$I1032)), "", _xll.IMDP("IR", $K1032, $L$50, WORKDAY('CD|CP 발행사'!$C$4,-1)) )</f>
        <v/>
      </c>
    </row>
    <row r="1033" spans="7:12">
      <c r="G1033">
        <f ca="1">IF( ISNUMBER($L1033), MAX($G$50:G1032)+1,0)</f>
        <v>0</v>
      </c>
      <c r="H1033" s="13"/>
      <c r="I1033" s="67"/>
      <c r="J1033" s="67"/>
      <c r="K1033" s="80" t="str">
        <f t="shared" si="20"/>
        <v>CDAVG</v>
      </c>
      <c r="L1033" s="80" t="str">
        <f ca="1">IF(ISNUMBER(FIND("(",$I1033)), "", _xll.IMDP("IR", $K1033, $L$50, WORKDAY('CD|CP 발행사'!$C$4,-1)) )</f>
        <v/>
      </c>
    </row>
    <row r="1034" spans="7:12">
      <c r="G1034">
        <f ca="1">IF( ISNUMBER($L1034), MAX($G$50:G1033)+1,0)</f>
        <v>0</v>
      </c>
      <c r="H1034" s="13"/>
      <c r="I1034" s="67"/>
      <c r="J1034" s="67"/>
      <c r="K1034" s="80" t="str">
        <f t="shared" si="20"/>
        <v>CDAVG</v>
      </c>
      <c r="L1034" s="80" t="str">
        <f ca="1">IF(ISNUMBER(FIND("(",$I1034)), "", _xll.IMDP("IR", $K1034, $L$50, WORKDAY('CD|CP 발행사'!$C$4,-1)) )</f>
        <v/>
      </c>
    </row>
    <row r="1035" spans="7:12">
      <c r="G1035">
        <f ca="1">IF( ISNUMBER($L1035), MAX($G$50:G1034)+1,0)</f>
        <v>0</v>
      </c>
      <c r="H1035" s="13"/>
      <c r="I1035" s="67"/>
      <c r="J1035" s="67"/>
      <c r="K1035" s="80" t="str">
        <f t="shared" si="20"/>
        <v>CDAVG</v>
      </c>
      <c r="L1035" s="80" t="str">
        <f ca="1">IF(ISNUMBER(FIND("(",$I1035)), "", _xll.IMDP("IR", $K1035, $L$50, WORKDAY('CD|CP 발행사'!$C$4,-1)) )</f>
        <v/>
      </c>
    </row>
    <row r="1036" spans="7:12">
      <c r="G1036">
        <f ca="1">IF( ISNUMBER($L1036), MAX($G$50:G1035)+1,0)</f>
        <v>0</v>
      </c>
      <c r="H1036" s="13"/>
      <c r="I1036" s="67"/>
      <c r="J1036" s="67"/>
      <c r="K1036" s="80" t="str">
        <f t="shared" si="20"/>
        <v>CDAVG</v>
      </c>
      <c r="L1036" s="80" t="str">
        <f ca="1">IF(ISNUMBER(FIND("(",$I1036)), "", _xll.IMDP("IR", $K1036, $L$50, WORKDAY('CD|CP 발행사'!$C$4,-1)) )</f>
        <v/>
      </c>
    </row>
    <row r="1037" spans="7:12">
      <c r="G1037">
        <f ca="1">IF( ISNUMBER($L1037), MAX($G$50:G1036)+1,0)</f>
        <v>0</v>
      </c>
      <c r="H1037" s="13"/>
      <c r="I1037" s="67"/>
      <c r="J1037" s="67"/>
      <c r="K1037" s="80" t="str">
        <f t="shared" si="20"/>
        <v>CDAVG</v>
      </c>
      <c r="L1037" s="80" t="str">
        <f ca="1">IF(ISNUMBER(FIND("(",$I1037)), "", _xll.IMDP("IR", $K1037, $L$50, WORKDAY('CD|CP 발행사'!$C$4,-1)) )</f>
        <v/>
      </c>
    </row>
    <row r="1038" spans="7:12">
      <c r="G1038">
        <f ca="1">IF( ISNUMBER($L1038), MAX($G$50:G1037)+1,0)</f>
        <v>0</v>
      </c>
      <c r="H1038" s="13"/>
      <c r="I1038" s="67"/>
      <c r="J1038" s="67"/>
      <c r="K1038" s="80" t="str">
        <f t="shared" si="20"/>
        <v>CDAVG</v>
      </c>
      <c r="L1038" s="80" t="str">
        <f ca="1">IF(ISNUMBER(FIND("(",$I1038)), "", _xll.IMDP("IR", $K1038, $L$50, WORKDAY('CD|CP 발행사'!$C$4,-1)) )</f>
        <v/>
      </c>
    </row>
    <row r="1039" spans="7:12">
      <c r="G1039">
        <f ca="1">IF( ISNUMBER($L1039), MAX($G$50:G1038)+1,0)</f>
        <v>0</v>
      </c>
      <c r="H1039" s="13"/>
      <c r="I1039" s="67"/>
      <c r="J1039" s="67"/>
      <c r="K1039" s="80" t="str">
        <f t="shared" si="20"/>
        <v>CDAVG</v>
      </c>
      <c r="L1039" s="80" t="str">
        <f ca="1">IF(ISNUMBER(FIND("(",$I1039)), "", _xll.IMDP("IR", $K1039, $L$50, WORKDAY('CD|CP 발행사'!$C$4,-1)) )</f>
        <v/>
      </c>
    </row>
    <row r="1040" spans="7:12">
      <c r="G1040">
        <f ca="1">IF( ISNUMBER($L1040), MAX($G$50:G1039)+1,0)</f>
        <v>0</v>
      </c>
      <c r="H1040" s="13"/>
      <c r="I1040" s="67"/>
      <c r="J1040" s="67"/>
      <c r="K1040" s="80" t="str">
        <f t="shared" si="20"/>
        <v>CDAVG</v>
      </c>
      <c r="L1040" s="80" t="str">
        <f ca="1">IF(ISNUMBER(FIND("(",$I1040)), "", _xll.IMDP("IR", $K1040, $L$50, WORKDAY('CD|CP 발행사'!$C$4,-1)) )</f>
        <v/>
      </c>
    </row>
    <row r="1041" spans="7:12">
      <c r="G1041">
        <f ca="1">IF( ISNUMBER($L1041), MAX($G$50:G1040)+1,0)</f>
        <v>0</v>
      </c>
      <c r="H1041" s="13"/>
      <c r="I1041" s="67"/>
      <c r="J1041" s="67"/>
      <c r="K1041" s="80" t="str">
        <f t="shared" si="20"/>
        <v>CDAVG</v>
      </c>
      <c r="L1041" s="80" t="str">
        <f ca="1">IF(ISNUMBER(FIND("(",$I1041)), "", _xll.IMDP("IR", $K1041, $L$50, WORKDAY('CD|CP 발행사'!$C$4,-1)) )</f>
        <v/>
      </c>
    </row>
    <row r="1042" spans="7:12">
      <c r="G1042">
        <f ca="1">IF( ISNUMBER($L1042), MAX($G$50:G1041)+1,0)</f>
        <v>0</v>
      </c>
      <c r="H1042" s="13"/>
      <c r="I1042" s="67"/>
      <c r="J1042" s="67"/>
      <c r="K1042" s="80" t="str">
        <f t="shared" si="20"/>
        <v>CDAVG</v>
      </c>
      <c r="L1042" s="80" t="str">
        <f ca="1">IF(ISNUMBER(FIND("(",$I1042)), "", _xll.IMDP("IR", $K1042, $L$50, WORKDAY('CD|CP 발행사'!$C$4,-1)) )</f>
        <v/>
      </c>
    </row>
    <row r="1043" spans="7:12">
      <c r="G1043">
        <f ca="1">IF( ISNUMBER($L1043), MAX($G$50:G1042)+1,0)</f>
        <v>0</v>
      </c>
      <c r="H1043" s="13"/>
      <c r="I1043" s="67"/>
      <c r="J1043" s="67"/>
      <c r="K1043" s="80" t="str">
        <f t="shared" si="20"/>
        <v>CDAVG</v>
      </c>
      <c r="L1043" s="80" t="str">
        <f ca="1">IF(ISNUMBER(FIND("(",$I1043)), "", _xll.IMDP("IR", $K1043, $L$50, WORKDAY('CD|CP 발행사'!$C$4,-1)) )</f>
        <v/>
      </c>
    </row>
    <row r="1044" spans="7:12">
      <c r="G1044">
        <f ca="1">IF( ISNUMBER($L1044), MAX($G$50:G1043)+1,0)</f>
        <v>0</v>
      </c>
      <c r="H1044" s="13"/>
      <c r="I1044" s="67"/>
      <c r="J1044" s="67"/>
      <c r="K1044" s="80" t="str">
        <f t="shared" si="20"/>
        <v>CDAVG</v>
      </c>
      <c r="L1044" s="80" t="str">
        <f ca="1">IF(ISNUMBER(FIND("(",$I1044)), "", _xll.IMDP("IR", $K1044, $L$50, WORKDAY('CD|CP 발행사'!$C$4,-1)) )</f>
        <v/>
      </c>
    </row>
    <row r="1045" spans="7:12">
      <c r="G1045">
        <f ca="1">IF( ISNUMBER($L1045), MAX($G$50:G1044)+1,0)</f>
        <v>0</v>
      </c>
      <c r="H1045" s="13"/>
      <c r="I1045" s="67"/>
      <c r="J1045" s="67"/>
      <c r="K1045" s="80" t="str">
        <f t="shared" si="20"/>
        <v>CDAVG</v>
      </c>
      <c r="L1045" s="80" t="str">
        <f ca="1">IF(ISNUMBER(FIND("(",$I1045)), "", _xll.IMDP("IR", $K1045, $L$50, WORKDAY('CD|CP 발행사'!$C$4,-1)) )</f>
        <v/>
      </c>
    </row>
    <row r="1046" spans="7:12">
      <c r="G1046">
        <f ca="1">IF( ISNUMBER($L1046), MAX($G$50:G1045)+1,0)</f>
        <v>0</v>
      </c>
      <c r="H1046" s="13"/>
      <c r="I1046" s="67"/>
      <c r="J1046" s="67"/>
      <c r="K1046" s="80" t="str">
        <f t="shared" si="20"/>
        <v>CDAVG</v>
      </c>
      <c r="L1046" s="80" t="str">
        <f ca="1">IF(ISNUMBER(FIND("(",$I1046)), "", _xll.IMDP("IR", $K1046, $L$50, WORKDAY('CD|CP 발행사'!$C$4,-1)) )</f>
        <v/>
      </c>
    </row>
    <row r="1047" spans="7:12">
      <c r="G1047">
        <f ca="1">IF( ISNUMBER($L1047), MAX($G$50:G1046)+1,0)</f>
        <v>0</v>
      </c>
      <c r="H1047" s="13"/>
      <c r="I1047" s="67"/>
      <c r="J1047" s="67"/>
      <c r="K1047" s="80" t="str">
        <f t="shared" si="20"/>
        <v>CDAVG</v>
      </c>
      <c r="L1047" s="80" t="str">
        <f ca="1">IF(ISNUMBER(FIND("(",$I1047)), "", _xll.IMDP("IR", $K1047, $L$50, WORKDAY('CD|CP 발행사'!$C$4,-1)) )</f>
        <v/>
      </c>
    </row>
    <row r="1048" spans="7:12">
      <c r="G1048">
        <f ca="1">IF( ISNUMBER($L1048), MAX($G$50:G1047)+1,0)</f>
        <v>0</v>
      </c>
      <c r="H1048" s="13"/>
      <c r="I1048" s="67"/>
      <c r="J1048" s="67"/>
      <c r="K1048" s="80" t="str">
        <f t="shared" si="20"/>
        <v>CDAVG</v>
      </c>
      <c r="L1048" s="80" t="str">
        <f ca="1">IF(ISNUMBER(FIND("(",$I1048)), "", _xll.IMDP("IR", $K1048, $L$50, WORKDAY('CD|CP 발행사'!$C$4,-1)) )</f>
        <v/>
      </c>
    </row>
    <row r="1049" spans="7:12">
      <c r="G1049">
        <f ca="1">IF( ISNUMBER($L1049), MAX($G$50:G1048)+1,0)</f>
        <v>0</v>
      </c>
      <c r="H1049" s="13"/>
      <c r="I1049" s="67"/>
      <c r="J1049" s="67"/>
      <c r="K1049" s="80" t="str">
        <f t="shared" si="20"/>
        <v>CDAVG</v>
      </c>
      <c r="L1049" s="80" t="str">
        <f ca="1">IF(ISNUMBER(FIND("(",$I1049)), "", _xll.IMDP("IR", $K1049, $L$50, WORKDAY('CD|CP 발행사'!$C$4,-1)) )</f>
        <v/>
      </c>
    </row>
    <row r="1050" spans="7:12">
      <c r="G1050">
        <f ca="1">IF( ISNUMBER($L1050), MAX($G$50:G1049)+1,0)</f>
        <v>0</v>
      </c>
      <c r="H1050" s="13"/>
      <c r="I1050" s="67"/>
      <c r="J1050" s="67"/>
      <c r="K1050" s="80" t="str">
        <f t="shared" si="20"/>
        <v>CDAVG</v>
      </c>
      <c r="L1050" s="80" t="str">
        <f ca="1">IF(ISNUMBER(FIND("(",$I1050)), "", _xll.IMDP("IR", $K1050, $L$50, WORKDAY('CD|CP 발행사'!$C$4,-1)) )</f>
        <v/>
      </c>
    </row>
    <row r="1051" spans="7:12">
      <c r="G1051">
        <f ca="1">IF( ISNUMBER($L1051), MAX($G$50:G1050)+1,0)</f>
        <v>0</v>
      </c>
      <c r="H1051" s="13"/>
      <c r="I1051" s="67"/>
      <c r="J1051" s="67"/>
      <c r="K1051" s="80" t="str">
        <f t="shared" si="20"/>
        <v>CDAVG</v>
      </c>
      <c r="L1051" s="80" t="str">
        <f ca="1">IF(ISNUMBER(FIND("(",$I1051)), "", _xll.IMDP("IR", $K1051, $L$50, WORKDAY('CD|CP 발행사'!$C$4,-1)) )</f>
        <v/>
      </c>
    </row>
    <row r="1052" spans="7:12">
      <c r="G1052">
        <f ca="1">IF( ISNUMBER($L1052), MAX($G$50:G1051)+1,0)</f>
        <v>0</v>
      </c>
      <c r="H1052" s="13"/>
      <c r="I1052" s="67"/>
      <c r="J1052" s="67"/>
      <c r="K1052" s="80" t="str">
        <f t="shared" si="20"/>
        <v>CDAVG</v>
      </c>
      <c r="L1052" s="80" t="str">
        <f ca="1">IF(ISNUMBER(FIND("(",$I1052)), "", _xll.IMDP("IR", $K1052, $L$50, WORKDAY('CD|CP 발행사'!$C$4,-1)) )</f>
        <v/>
      </c>
    </row>
    <row r="1053" spans="7:12">
      <c r="G1053">
        <f ca="1">IF( ISNUMBER($L1053), MAX($G$50:G1052)+1,0)</f>
        <v>0</v>
      </c>
      <c r="H1053" s="13"/>
      <c r="I1053" s="67"/>
      <c r="J1053" s="67"/>
      <c r="K1053" s="80" t="str">
        <f t="shared" si="20"/>
        <v>CDAVG</v>
      </c>
      <c r="L1053" s="80" t="str">
        <f ca="1">IF(ISNUMBER(FIND("(",$I1053)), "", _xll.IMDP("IR", $K1053, $L$50, WORKDAY('CD|CP 발행사'!$C$4,-1)) )</f>
        <v/>
      </c>
    </row>
    <row r="1054" spans="7:12">
      <c r="G1054">
        <f ca="1">IF( ISNUMBER($L1054), MAX($G$50:G1053)+1,0)</f>
        <v>0</v>
      </c>
      <c r="H1054" s="13"/>
      <c r="I1054" s="67"/>
      <c r="J1054" s="67"/>
      <c r="K1054" s="80" t="str">
        <f t="shared" si="20"/>
        <v>CDAVG</v>
      </c>
      <c r="L1054" s="80" t="str">
        <f ca="1">IF(ISNUMBER(FIND("(",$I1054)), "", _xll.IMDP("IR", $K1054, $L$50, WORKDAY('CD|CP 발행사'!$C$4,-1)) )</f>
        <v/>
      </c>
    </row>
    <row r="1055" spans="7:12">
      <c r="G1055">
        <f ca="1">IF( ISNUMBER($L1055), MAX($G$50:G1054)+1,0)</f>
        <v>0</v>
      </c>
      <c r="H1055" s="13"/>
      <c r="I1055" s="67"/>
      <c r="J1055" s="67"/>
      <c r="K1055" s="80" t="str">
        <f t="shared" si="20"/>
        <v>CDAVG</v>
      </c>
      <c r="L1055" s="80" t="str">
        <f ca="1">IF(ISNUMBER(FIND("(",$I1055)), "", _xll.IMDP("IR", $K1055, $L$50, WORKDAY('CD|CP 발행사'!$C$4,-1)) )</f>
        <v/>
      </c>
    </row>
    <row r="1056" spans="7:12">
      <c r="G1056">
        <f ca="1">IF( ISNUMBER($L1056), MAX($G$50:G1055)+1,0)</f>
        <v>0</v>
      </c>
      <c r="H1056" s="13"/>
      <c r="I1056" s="67"/>
      <c r="J1056" s="67"/>
      <c r="K1056" s="80" t="str">
        <f t="shared" si="20"/>
        <v>CDAVG</v>
      </c>
      <c r="L1056" s="80" t="str">
        <f ca="1">IF(ISNUMBER(FIND("(",$I1056)), "", _xll.IMDP("IR", $K1056, $L$50, WORKDAY('CD|CP 발행사'!$C$4,-1)) )</f>
        <v/>
      </c>
    </row>
    <row r="1057" spans="7:12">
      <c r="G1057">
        <f ca="1">IF( ISNUMBER($L1057), MAX($G$50:G1056)+1,0)</f>
        <v>0</v>
      </c>
      <c r="H1057" s="13"/>
      <c r="I1057" s="67"/>
      <c r="J1057" s="67"/>
      <c r="K1057" s="80" t="str">
        <f t="shared" si="20"/>
        <v>CDAVG</v>
      </c>
      <c r="L1057" s="80" t="str">
        <f ca="1">IF(ISNUMBER(FIND("(",$I1057)), "", _xll.IMDP("IR", $K1057, $L$50, WORKDAY('CD|CP 발행사'!$C$4,-1)) )</f>
        <v/>
      </c>
    </row>
    <row r="1058" spans="7:12">
      <c r="G1058">
        <f ca="1">IF( ISNUMBER($L1058), MAX($G$50:G1057)+1,0)</f>
        <v>0</v>
      </c>
      <c r="H1058" s="13"/>
      <c r="I1058" s="67"/>
      <c r="J1058" s="67"/>
      <c r="K1058" s="80" t="str">
        <f t="shared" si="20"/>
        <v>CDAVG</v>
      </c>
      <c r="L1058" s="80" t="str">
        <f ca="1">IF(ISNUMBER(FIND("(",$I1058)), "", _xll.IMDP("IR", $K1058, $L$50, WORKDAY('CD|CP 발행사'!$C$4,-1)) )</f>
        <v/>
      </c>
    </row>
    <row r="1059" spans="7:12">
      <c r="G1059">
        <f ca="1">IF( ISNUMBER($L1059), MAX($G$50:G1058)+1,0)</f>
        <v>0</v>
      </c>
      <c r="H1059" s="13"/>
      <c r="I1059" s="67"/>
      <c r="J1059" s="67"/>
      <c r="K1059" s="80" t="str">
        <f t="shared" si="20"/>
        <v>CDAVG</v>
      </c>
      <c r="L1059" s="80" t="str">
        <f ca="1">IF(ISNUMBER(FIND("(",$I1059)), "", _xll.IMDP("IR", $K1059, $L$50, WORKDAY('CD|CP 발행사'!$C$4,-1)) )</f>
        <v/>
      </c>
    </row>
    <row r="1060" spans="7:12">
      <c r="G1060">
        <f ca="1">IF( ISNUMBER($L1060), MAX($G$50:G1059)+1,0)</f>
        <v>0</v>
      </c>
      <c r="H1060" s="13"/>
      <c r="I1060" s="67"/>
      <c r="J1060" s="67"/>
      <c r="K1060" s="80" t="str">
        <f t="shared" si="20"/>
        <v>CDAVG</v>
      </c>
      <c r="L1060" s="80" t="str">
        <f ca="1">IF(ISNUMBER(FIND("(",$I1060)), "", _xll.IMDP("IR", $K1060, $L$50, WORKDAY('CD|CP 발행사'!$C$4,-1)) )</f>
        <v/>
      </c>
    </row>
    <row r="1061" spans="7:12">
      <c r="G1061">
        <f ca="1">IF( ISNUMBER($L1061), MAX($G$50:G1060)+1,0)</f>
        <v>0</v>
      </c>
      <c r="H1061" s="13"/>
      <c r="I1061" s="67"/>
      <c r="J1061" s="67"/>
      <c r="K1061" s="80" t="str">
        <f t="shared" si="20"/>
        <v>CDAVG</v>
      </c>
      <c r="L1061" s="80" t="str">
        <f ca="1">IF(ISNUMBER(FIND("(",$I1061)), "", _xll.IMDP("IR", $K1061, $L$50, WORKDAY('CD|CP 발행사'!$C$4,-1)) )</f>
        <v/>
      </c>
    </row>
    <row r="1062" spans="7:12">
      <c r="G1062">
        <f ca="1">IF( ISNUMBER($L1062), MAX($G$50:G1061)+1,0)</f>
        <v>0</v>
      </c>
      <c r="H1062" s="13"/>
      <c r="I1062" s="67"/>
      <c r="J1062" s="67"/>
      <c r="K1062" s="80" t="str">
        <f t="shared" si="20"/>
        <v>CDAVG</v>
      </c>
      <c r="L1062" s="80" t="str">
        <f ca="1">IF(ISNUMBER(FIND("(",$I1062)), "", _xll.IMDP("IR", $K1062, $L$50, WORKDAY('CD|CP 발행사'!$C$4,-1)) )</f>
        <v/>
      </c>
    </row>
    <row r="1063" spans="7:12">
      <c r="G1063">
        <f ca="1">IF( ISNUMBER($L1063), MAX($G$50:G1062)+1,0)</f>
        <v>0</v>
      </c>
      <c r="H1063" s="13"/>
      <c r="I1063" s="67"/>
      <c r="J1063" s="67"/>
      <c r="K1063" s="80" t="str">
        <f t="shared" si="20"/>
        <v>CDAVG</v>
      </c>
      <c r="L1063" s="80" t="str">
        <f ca="1">IF(ISNUMBER(FIND("(",$I1063)), "", _xll.IMDP("IR", $K1063, $L$50, WORKDAY('CD|CP 발행사'!$C$4,-1)) )</f>
        <v/>
      </c>
    </row>
    <row r="1064" spans="7:12">
      <c r="G1064">
        <f ca="1">IF( ISNUMBER($L1064), MAX($G$50:G1063)+1,0)</f>
        <v>0</v>
      </c>
      <c r="H1064" s="13"/>
      <c r="I1064" s="67"/>
      <c r="J1064" s="67"/>
      <c r="K1064" s="80" t="str">
        <f t="shared" si="20"/>
        <v>CDAVG</v>
      </c>
      <c r="L1064" s="80" t="str">
        <f ca="1">IF(ISNUMBER(FIND("(",$I1064)), "", _xll.IMDP("IR", $K1064, $L$50, WORKDAY('CD|CP 발행사'!$C$4,-1)) )</f>
        <v/>
      </c>
    </row>
    <row r="1065" spans="7:12">
      <c r="G1065">
        <f ca="1">IF( ISNUMBER($L1065), MAX($G$50:G1064)+1,0)</f>
        <v>0</v>
      </c>
      <c r="H1065" s="13"/>
      <c r="I1065" s="67"/>
      <c r="J1065" s="67"/>
      <c r="K1065" s="80" t="str">
        <f t="shared" si="20"/>
        <v>CDAVG</v>
      </c>
      <c r="L1065" s="80" t="str">
        <f ca="1">IF(ISNUMBER(FIND("(",$I1065)), "", _xll.IMDP("IR", $K1065, $L$50, WORKDAY('CD|CP 발행사'!$C$4,-1)) )</f>
        <v/>
      </c>
    </row>
    <row r="1066" spans="7:12">
      <c r="G1066">
        <f ca="1">IF( ISNUMBER($L1066), MAX($G$50:G1065)+1,0)</f>
        <v>0</v>
      </c>
      <c r="H1066" s="13"/>
      <c r="I1066" s="67"/>
      <c r="J1066" s="67"/>
      <c r="K1066" s="80" t="str">
        <f t="shared" si="20"/>
        <v>CDAVG</v>
      </c>
      <c r="L1066" s="80" t="str">
        <f ca="1">IF(ISNUMBER(FIND("(",$I1066)), "", _xll.IMDP("IR", $K1066, $L$50, WORKDAY('CD|CP 발행사'!$C$4,-1)) )</f>
        <v/>
      </c>
    </row>
    <row r="1067" spans="7:12">
      <c r="G1067">
        <f ca="1">IF( ISNUMBER($L1067), MAX($G$50:G1066)+1,0)</f>
        <v>0</v>
      </c>
      <c r="H1067" s="13"/>
      <c r="I1067" s="67"/>
      <c r="J1067" s="67"/>
      <c r="K1067" s="80" t="str">
        <f t="shared" si="20"/>
        <v>CDAVG</v>
      </c>
      <c r="L1067" s="80" t="str">
        <f ca="1">IF(ISNUMBER(FIND("(",$I1067)), "", _xll.IMDP("IR", $K1067, $L$50, WORKDAY('CD|CP 발행사'!$C$4,-1)) )</f>
        <v/>
      </c>
    </row>
    <row r="1068" spans="7:12">
      <c r="G1068">
        <f ca="1">IF( ISNUMBER($L1068), MAX($G$50:G1067)+1,0)</f>
        <v>0</v>
      </c>
      <c r="H1068" s="13"/>
      <c r="I1068" s="67"/>
      <c r="J1068" s="67"/>
      <c r="K1068" s="80" t="str">
        <f t="shared" si="20"/>
        <v>CDAVG</v>
      </c>
      <c r="L1068" s="80" t="str">
        <f ca="1">IF(ISNUMBER(FIND("(",$I1068)), "", _xll.IMDP("IR", $K1068, $L$50, WORKDAY('CD|CP 발행사'!$C$4,-1)) )</f>
        <v/>
      </c>
    </row>
    <row r="1069" spans="7:12">
      <c r="G1069">
        <f ca="1">IF( ISNUMBER($L1069), MAX($G$50:G1068)+1,0)</f>
        <v>0</v>
      </c>
      <c r="H1069" s="13"/>
      <c r="I1069" s="67"/>
      <c r="J1069" s="67"/>
      <c r="K1069" s="80" t="str">
        <f t="shared" si="20"/>
        <v>CDAVG</v>
      </c>
      <c r="L1069" s="80" t="str">
        <f ca="1">IF(ISNUMBER(FIND("(",$I1069)), "", _xll.IMDP("IR", $K1069, $L$50, WORKDAY('CD|CP 발행사'!$C$4,-1)) )</f>
        <v/>
      </c>
    </row>
    <row r="1070" spans="7:12">
      <c r="G1070">
        <f ca="1">IF( ISNUMBER($L1070), MAX($G$50:G1069)+1,0)</f>
        <v>0</v>
      </c>
      <c r="H1070" s="13"/>
      <c r="I1070" s="67"/>
      <c r="J1070" s="67"/>
      <c r="K1070" s="80" t="str">
        <f t="shared" si="20"/>
        <v>CDAVG</v>
      </c>
      <c r="L1070" s="80" t="str">
        <f ca="1">IF(ISNUMBER(FIND("(",$I1070)), "", _xll.IMDP("IR", $K1070, $L$50, WORKDAY('CD|CP 발행사'!$C$4,-1)) )</f>
        <v/>
      </c>
    </row>
    <row r="1071" spans="7:12">
      <c r="G1071">
        <f ca="1">IF( ISNUMBER($L1071), MAX($G$50:G1070)+1,0)</f>
        <v>0</v>
      </c>
      <c r="H1071" s="13"/>
      <c r="I1071" s="67"/>
      <c r="J1071" s="67"/>
      <c r="K1071" s="80" t="str">
        <f t="shared" si="20"/>
        <v>CDAVG</v>
      </c>
      <c r="L1071" s="80" t="str">
        <f ca="1">IF(ISNUMBER(FIND("(",$I1071)), "", _xll.IMDP("IR", $K1071, $L$50, WORKDAY('CD|CP 발행사'!$C$4,-1)) )</f>
        <v/>
      </c>
    </row>
    <row r="1072" spans="7:12">
      <c r="G1072">
        <f ca="1">IF( ISNUMBER($L1072), MAX($G$50:G1071)+1,0)</f>
        <v>0</v>
      </c>
      <c r="H1072" s="13"/>
      <c r="I1072" s="67"/>
      <c r="J1072" s="67"/>
      <c r="K1072" s="80" t="str">
        <f t="shared" si="20"/>
        <v>CDAVG</v>
      </c>
      <c r="L1072" s="80" t="str">
        <f ca="1">IF(ISNUMBER(FIND("(",$I1072)), "", _xll.IMDP("IR", $K1072, $L$50, WORKDAY('CD|CP 발행사'!$C$4,-1)) )</f>
        <v/>
      </c>
    </row>
    <row r="1073" spans="7:12">
      <c r="G1073">
        <f ca="1">IF( ISNUMBER($L1073), MAX($G$50:G1072)+1,0)</f>
        <v>0</v>
      </c>
      <c r="H1073" s="13"/>
      <c r="I1073" s="67"/>
      <c r="J1073" s="67"/>
      <c r="K1073" s="80" t="str">
        <f t="shared" si="20"/>
        <v>CDAVG</v>
      </c>
      <c r="L1073" s="80" t="str">
        <f ca="1">IF(ISNUMBER(FIND("(",$I1073)), "", _xll.IMDP("IR", $K1073, $L$50, WORKDAY('CD|CP 발행사'!$C$4,-1)) )</f>
        <v/>
      </c>
    </row>
    <row r="1074" spans="7:12">
      <c r="G1074">
        <f ca="1">IF( ISNUMBER($L1074), MAX($G$50:G1073)+1,0)</f>
        <v>0</v>
      </c>
      <c r="H1074" s="13"/>
      <c r="I1074" s="67"/>
      <c r="J1074" s="67"/>
      <c r="K1074" s="80" t="str">
        <f t="shared" si="20"/>
        <v>CDAVG</v>
      </c>
      <c r="L1074" s="80" t="str">
        <f ca="1">IF(ISNUMBER(FIND("(",$I1074)), "", _xll.IMDP("IR", $K1074, $L$50, WORKDAY('CD|CP 발행사'!$C$4,-1)) )</f>
        <v/>
      </c>
    </row>
    <row r="1075" spans="7:12">
      <c r="G1075">
        <f ca="1">IF( ISNUMBER($L1075), MAX($G$50:G1074)+1,0)</f>
        <v>0</v>
      </c>
      <c r="H1075" s="13"/>
      <c r="I1075" s="67"/>
      <c r="J1075" s="67"/>
      <c r="K1075" s="80" t="str">
        <f t="shared" ref="K1075:K1138" si="21">$K$49&amp;$H1075</f>
        <v>CDAVG</v>
      </c>
      <c r="L1075" s="80" t="str">
        <f ca="1">IF(ISNUMBER(FIND("(",$I1075)), "", _xll.IMDP("IR", $K1075, $L$50, WORKDAY('CD|CP 발행사'!$C$4,-1)) )</f>
        <v/>
      </c>
    </row>
    <row r="1076" spans="7:12">
      <c r="G1076">
        <f ca="1">IF( ISNUMBER($L1076), MAX($G$50:G1075)+1,0)</f>
        <v>0</v>
      </c>
      <c r="H1076" s="13"/>
      <c r="I1076" s="67"/>
      <c r="J1076" s="67"/>
      <c r="K1076" s="80" t="str">
        <f t="shared" si="21"/>
        <v>CDAVG</v>
      </c>
      <c r="L1076" s="80" t="str">
        <f ca="1">IF(ISNUMBER(FIND("(",$I1076)), "", _xll.IMDP("IR", $K1076, $L$50, WORKDAY('CD|CP 발행사'!$C$4,-1)) )</f>
        <v/>
      </c>
    </row>
    <row r="1077" spans="7:12">
      <c r="G1077">
        <f ca="1">IF( ISNUMBER($L1077), MAX($G$50:G1076)+1,0)</f>
        <v>0</v>
      </c>
      <c r="H1077" s="13"/>
      <c r="I1077" s="67"/>
      <c r="J1077" s="67"/>
      <c r="K1077" s="80" t="str">
        <f t="shared" si="21"/>
        <v>CDAVG</v>
      </c>
      <c r="L1077" s="80" t="str">
        <f ca="1">IF(ISNUMBER(FIND("(",$I1077)), "", _xll.IMDP("IR", $K1077, $L$50, WORKDAY('CD|CP 발행사'!$C$4,-1)) )</f>
        <v/>
      </c>
    </row>
    <row r="1078" spans="7:12">
      <c r="G1078">
        <f ca="1">IF( ISNUMBER($L1078), MAX($G$50:G1077)+1,0)</f>
        <v>0</v>
      </c>
      <c r="H1078" s="13"/>
      <c r="I1078" s="67"/>
      <c r="J1078" s="67"/>
      <c r="K1078" s="80" t="str">
        <f t="shared" si="21"/>
        <v>CDAVG</v>
      </c>
      <c r="L1078" s="80" t="str">
        <f ca="1">IF(ISNUMBER(FIND("(",$I1078)), "", _xll.IMDP("IR", $K1078, $L$50, WORKDAY('CD|CP 발행사'!$C$4,-1)) )</f>
        <v/>
      </c>
    </row>
    <row r="1079" spans="7:12">
      <c r="G1079">
        <f ca="1">IF( ISNUMBER($L1079), MAX($G$50:G1078)+1,0)</f>
        <v>0</v>
      </c>
      <c r="H1079" s="13"/>
      <c r="I1079" s="67"/>
      <c r="J1079" s="67"/>
      <c r="K1079" s="80" t="str">
        <f t="shared" si="21"/>
        <v>CDAVG</v>
      </c>
      <c r="L1079" s="80" t="str">
        <f ca="1">IF(ISNUMBER(FIND("(",$I1079)), "", _xll.IMDP("IR", $K1079, $L$50, WORKDAY('CD|CP 발행사'!$C$4,-1)) )</f>
        <v/>
      </c>
    </row>
    <row r="1080" spans="7:12">
      <c r="G1080">
        <f ca="1">IF( ISNUMBER($L1080), MAX($G$50:G1079)+1,0)</f>
        <v>0</v>
      </c>
      <c r="H1080" s="13"/>
      <c r="I1080" s="67"/>
      <c r="J1080" s="67"/>
      <c r="K1080" s="80" t="str">
        <f t="shared" si="21"/>
        <v>CDAVG</v>
      </c>
      <c r="L1080" s="80" t="str">
        <f ca="1">IF(ISNUMBER(FIND("(",$I1080)), "", _xll.IMDP("IR", $K1080, $L$50, WORKDAY('CD|CP 발행사'!$C$4,-1)) )</f>
        <v/>
      </c>
    </row>
    <row r="1081" spans="7:12">
      <c r="G1081">
        <f ca="1">IF( ISNUMBER($L1081), MAX($G$50:G1080)+1,0)</f>
        <v>0</v>
      </c>
      <c r="H1081" s="13"/>
      <c r="I1081" s="67"/>
      <c r="J1081" s="67"/>
      <c r="K1081" s="80" t="str">
        <f t="shared" si="21"/>
        <v>CDAVG</v>
      </c>
      <c r="L1081" s="80" t="str">
        <f ca="1">IF(ISNUMBER(FIND("(",$I1081)), "", _xll.IMDP("IR", $K1081, $L$50, WORKDAY('CD|CP 발행사'!$C$4,-1)) )</f>
        <v/>
      </c>
    </row>
    <row r="1082" spans="7:12">
      <c r="G1082">
        <f ca="1">IF( ISNUMBER($L1082), MAX($G$50:G1081)+1,0)</f>
        <v>0</v>
      </c>
      <c r="H1082" s="13"/>
      <c r="I1082" s="67"/>
      <c r="J1082" s="67"/>
      <c r="K1082" s="80" t="str">
        <f t="shared" si="21"/>
        <v>CDAVG</v>
      </c>
      <c r="L1082" s="80" t="str">
        <f ca="1">IF(ISNUMBER(FIND("(",$I1082)), "", _xll.IMDP("IR", $K1082, $L$50, WORKDAY('CD|CP 발행사'!$C$4,-1)) )</f>
        <v/>
      </c>
    </row>
    <row r="1083" spans="7:12">
      <c r="G1083">
        <f ca="1">IF( ISNUMBER($L1083), MAX($G$50:G1082)+1,0)</f>
        <v>0</v>
      </c>
      <c r="H1083" s="13"/>
      <c r="I1083" s="67"/>
      <c r="J1083" s="67"/>
      <c r="K1083" s="80" t="str">
        <f t="shared" si="21"/>
        <v>CDAVG</v>
      </c>
      <c r="L1083" s="80" t="str">
        <f ca="1">IF(ISNUMBER(FIND("(",$I1083)), "", _xll.IMDP("IR", $K1083, $L$50, WORKDAY('CD|CP 발행사'!$C$4,-1)) )</f>
        <v/>
      </c>
    </row>
    <row r="1084" spans="7:12">
      <c r="G1084">
        <f ca="1">IF( ISNUMBER($L1084), MAX($G$50:G1083)+1,0)</f>
        <v>0</v>
      </c>
      <c r="H1084" s="13"/>
      <c r="I1084" s="67"/>
      <c r="J1084" s="67"/>
      <c r="K1084" s="80" t="str">
        <f t="shared" si="21"/>
        <v>CDAVG</v>
      </c>
      <c r="L1084" s="80" t="str">
        <f ca="1">IF(ISNUMBER(FIND("(",$I1084)), "", _xll.IMDP("IR", $K1084, $L$50, WORKDAY('CD|CP 발행사'!$C$4,-1)) )</f>
        <v/>
      </c>
    </row>
    <row r="1085" spans="7:12">
      <c r="G1085">
        <f ca="1">IF( ISNUMBER($L1085), MAX($G$50:G1084)+1,0)</f>
        <v>0</v>
      </c>
      <c r="H1085" s="13"/>
      <c r="I1085" s="67"/>
      <c r="J1085" s="67"/>
      <c r="K1085" s="80" t="str">
        <f t="shared" si="21"/>
        <v>CDAVG</v>
      </c>
      <c r="L1085" s="80" t="str">
        <f ca="1">IF(ISNUMBER(FIND("(",$I1085)), "", _xll.IMDP("IR", $K1085, $L$50, WORKDAY('CD|CP 발행사'!$C$4,-1)) )</f>
        <v/>
      </c>
    </row>
    <row r="1086" spans="7:12">
      <c r="G1086">
        <f ca="1">IF( ISNUMBER($L1086), MAX($G$50:G1085)+1,0)</f>
        <v>0</v>
      </c>
      <c r="H1086" s="13"/>
      <c r="I1086" s="67"/>
      <c r="J1086" s="67"/>
      <c r="K1086" s="80" t="str">
        <f t="shared" si="21"/>
        <v>CDAVG</v>
      </c>
      <c r="L1086" s="80" t="str">
        <f ca="1">IF(ISNUMBER(FIND("(",$I1086)), "", _xll.IMDP("IR", $K1086, $L$50, WORKDAY('CD|CP 발행사'!$C$4,-1)) )</f>
        <v/>
      </c>
    </row>
    <row r="1087" spans="7:12">
      <c r="G1087">
        <f ca="1">IF( ISNUMBER($L1087), MAX($G$50:G1086)+1,0)</f>
        <v>0</v>
      </c>
      <c r="H1087" s="13"/>
      <c r="I1087" s="67"/>
      <c r="J1087" s="67"/>
      <c r="K1087" s="80" t="str">
        <f t="shared" si="21"/>
        <v>CDAVG</v>
      </c>
      <c r="L1087" s="80" t="str">
        <f ca="1">IF(ISNUMBER(FIND("(",$I1087)), "", _xll.IMDP("IR", $K1087, $L$50, WORKDAY('CD|CP 발행사'!$C$4,-1)) )</f>
        <v/>
      </c>
    </row>
    <row r="1088" spans="7:12">
      <c r="G1088">
        <f ca="1">IF( ISNUMBER($L1088), MAX($G$50:G1087)+1,0)</f>
        <v>0</v>
      </c>
      <c r="H1088" s="13"/>
      <c r="I1088" s="67"/>
      <c r="J1088" s="67"/>
      <c r="K1088" s="80" t="str">
        <f t="shared" si="21"/>
        <v>CDAVG</v>
      </c>
      <c r="L1088" s="80" t="str">
        <f ca="1">IF(ISNUMBER(FIND("(",$I1088)), "", _xll.IMDP("IR", $K1088, $L$50, WORKDAY('CD|CP 발행사'!$C$4,-1)) )</f>
        <v/>
      </c>
    </row>
    <row r="1089" spans="7:12">
      <c r="G1089">
        <f ca="1">IF( ISNUMBER($L1089), MAX($G$50:G1088)+1,0)</f>
        <v>0</v>
      </c>
      <c r="H1089" s="13"/>
      <c r="I1089" s="67"/>
      <c r="J1089" s="67"/>
      <c r="K1089" s="80" t="str">
        <f t="shared" si="21"/>
        <v>CDAVG</v>
      </c>
      <c r="L1089" s="80" t="str">
        <f ca="1">IF(ISNUMBER(FIND("(",$I1089)), "", _xll.IMDP("IR", $K1089, $L$50, WORKDAY('CD|CP 발행사'!$C$4,-1)) )</f>
        <v/>
      </c>
    </row>
    <row r="1090" spans="7:12">
      <c r="G1090">
        <f ca="1">IF( ISNUMBER($L1090), MAX($G$50:G1089)+1,0)</f>
        <v>0</v>
      </c>
      <c r="H1090" s="13"/>
      <c r="I1090" s="67"/>
      <c r="J1090" s="67"/>
      <c r="K1090" s="80" t="str">
        <f t="shared" si="21"/>
        <v>CDAVG</v>
      </c>
      <c r="L1090" s="80" t="str">
        <f ca="1">IF(ISNUMBER(FIND("(",$I1090)), "", _xll.IMDP("IR", $K1090, $L$50, WORKDAY('CD|CP 발행사'!$C$4,-1)) )</f>
        <v/>
      </c>
    </row>
    <row r="1091" spans="7:12">
      <c r="G1091">
        <f ca="1">IF( ISNUMBER($L1091), MAX($G$50:G1090)+1,0)</f>
        <v>0</v>
      </c>
      <c r="H1091" s="13"/>
      <c r="I1091" s="67"/>
      <c r="J1091" s="67"/>
      <c r="K1091" s="80" t="str">
        <f t="shared" si="21"/>
        <v>CDAVG</v>
      </c>
      <c r="L1091" s="80" t="str">
        <f ca="1">IF(ISNUMBER(FIND("(",$I1091)), "", _xll.IMDP("IR", $K1091, $L$50, WORKDAY('CD|CP 발행사'!$C$4,-1)) )</f>
        <v/>
      </c>
    </row>
    <row r="1092" spans="7:12">
      <c r="G1092">
        <f ca="1">IF( ISNUMBER($L1092), MAX($G$50:G1091)+1,0)</f>
        <v>0</v>
      </c>
      <c r="H1092" s="13"/>
      <c r="I1092" s="67"/>
      <c r="J1092" s="67"/>
      <c r="K1092" s="80" t="str">
        <f t="shared" si="21"/>
        <v>CDAVG</v>
      </c>
      <c r="L1092" s="80" t="str">
        <f ca="1">IF(ISNUMBER(FIND("(",$I1092)), "", _xll.IMDP("IR", $K1092, $L$50, WORKDAY('CD|CP 발행사'!$C$4,-1)) )</f>
        <v/>
      </c>
    </row>
    <row r="1093" spans="7:12">
      <c r="G1093">
        <f ca="1">IF( ISNUMBER($L1093), MAX($G$50:G1092)+1,0)</f>
        <v>0</v>
      </c>
      <c r="H1093" s="13"/>
      <c r="I1093" s="67"/>
      <c r="J1093" s="67"/>
      <c r="K1093" s="80" t="str">
        <f t="shared" si="21"/>
        <v>CDAVG</v>
      </c>
      <c r="L1093" s="80" t="str">
        <f ca="1">IF(ISNUMBER(FIND("(",$I1093)), "", _xll.IMDP("IR", $K1093, $L$50, WORKDAY('CD|CP 발행사'!$C$4,-1)) )</f>
        <v/>
      </c>
    </row>
    <row r="1094" spans="7:12">
      <c r="G1094">
        <f ca="1">IF( ISNUMBER($L1094), MAX($G$50:G1093)+1,0)</f>
        <v>0</v>
      </c>
      <c r="H1094" s="13"/>
      <c r="I1094" s="67"/>
      <c r="J1094" s="67"/>
      <c r="K1094" s="80" t="str">
        <f t="shared" si="21"/>
        <v>CDAVG</v>
      </c>
      <c r="L1094" s="80" t="str">
        <f ca="1">IF(ISNUMBER(FIND("(",$I1094)), "", _xll.IMDP("IR", $K1094, $L$50, WORKDAY('CD|CP 발행사'!$C$4,-1)) )</f>
        <v/>
      </c>
    </row>
    <row r="1095" spans="7:12">
      <c r="G1095">
        <f ca="1">IF( ISNUMBER($L1095), MAX($G$50:G1094)+1,0)</f>
        <v>0</v>
      </c>
      <c r="H1095" s="13"/>
      <c r="I1095" s="67"/>
      <c r="J1095" s="67"/>
      <c r="K1095" s="80" t="str">
        <f t="shared" si="21"/>
        <v>CDAVG</v>
      </c>
      <c r="L1095" s="80" t="str">
        <f ca="1">IF(ISNUMBER(FIND("(",$I1095)), "", _xll.IMDP("IR", $K1095, $L$50, WORKDAY('CD|CP 발행사'!$C$4,-1)) )</f>
        <v/>
      </c>
    </row>
    <row r="1096" spans="7:12">
      <c r="G1096">
        <f ca="1">IF( ISNUMBER($L1096), MAX($G$50:G1095)+1,0)</f>
        <v>0</v>
      </c>
      <c r="H1096" s="13"/>
      <c r="I1096" s="67"/>
      <c r="J1096" s="67"/>
      <c r="K1096" s="80" t="str">
        <f t="shared" si="21"/>
        <v>CDAVG</v>
      </c>
      <c r="L1096" s="80" t="str">
        <f ca="1">IF(ISNUMBER(FIND("(",$I1096)), "", _xll.IMDP("IR", $K1096, $L$50, WORKDAY('CD|CP 발행사'!$C$4,-1)) )</f>
        <v/>
      </c>
    </row>
    <row r="1097" spans="7:12">
      <c r="G1097">
        <f ca="1">IF( ISNUMBER($L1097), MAX($G$50:G1096)+1,0)</f>
        <v>0</v>
      </c>
      <c r="H1097" s="13"/>
      <c r="I1097" s="67"/>
      <c r="J1097" s="67"/>
      <c r="K1097" s="80" t="str">
        <f t="shared" si="21"/>
        <v>CDAVG</v>
      </c>
      <c r="L1097" s="80" t="str">
        <f ca="1">IF(ISNUMBER(FIND("(",$I1097)), "", _xll.IMDP("IR", $K1097, $L$50, WORKDAY('CD|CP 발행사'!$C$4,-1)) )</f>
        <v/>
      </c>
    </row>
    <row r="1098" spans="7:12">
      <c r="G1098">
        <f ca="1">IF( ISNUMBER($L1098), MAX($G$50:G1097)+1,0)</f>
        <v>0</v>
      </c>
      <c r="H1098" s="13"/>
      <c r="I1098" s="67"/>
      <c r="J1098" s="67"/>
      <c r="K1098" s="80" t="str">
        <f t="shared" si="21"/>
        <v>CDAVG</v>
      </c>
      <c r="L1098" s="80" t="str">
        <f ca="1">IF(ISNUMBER(FIND("(",$I1098)), "", _xll.IMDP("IR", $K1098, $L$50, WORKDAY('CD|CP 발행사'!$C$4,-1)) )</f>
        <v/>
      </c>
    </row>
    <row r="1099" spans="7:12">
      <c r="G1099">
        <f ca="1">IF( ISNUMBER($L1099), MAX($G$50:G1098)+1,0)</f>
        <v>0</v>
      </c>
      <c r="H1099" s="13"/>
      <c r="I1099" s="67"/>
      <c r="J1099" s="67"/>
      <c r="K1099" s="80" t="str">
        <f t="shared" si="21"/>
        <v>CDAVG</v>
      </c>
      <c r="L1099" s="80" t="str">
        <f ca="1">IF(ISNUMBER(FIND("(",$I1099)), "", _xll.IMDP("IR", $K1099, $L$50, WORKDAY('CD|CP 발행사'!$C$4,-1)) )</f>
        <v/>
      </c>
    </row>
    <row r="1100" spans="7:12">
      <c r="G1100">
        <f ca="1">IF( ISNUMBER($L1100), MAX($G$50:G1099)+1,0)</f>
        <v>0</v>
      </c>
      <c r="H1100" s="13"/>
      <c r="I1100" s="67"/>
      <c r="J1100" s="67"/>
      <c r="K1100" s="80" t="str">
        <f t="shared" si="21"/>
        <v>CDAVG</v>
      </c>
      <c r="L1100" s="80" t="str">
        <f ca="1">IF(ISNUMBER(FIND("(",$I1100)), "", _xll.IMDP("IR", $K1100, $L$50, WORKDAY('CD|CP 발행사'!$C$4,-1)) )</f>
        <v/>
      </c>
    </row>
    <row r="1101" spans="7:12">
      <c r="G1101">
        <f ca="1">IF( ISNUMBER($L1101), MAX($G$50:G1100)+1,0)</f>
        <v>0</v>
      </c>
      <c r="H1101" s="13"/>
      <c r="I1101" s="67"/>
      <c r="J1101" s="67"/>
      <c r="K1101" s="80" t="str">
        <f t="shared" si="21"/>
        <v>CDAVG</v>
      </c>
      <c r="L1101" s="80" t="str">
        <f ca="1">IF(ISNUMBER(FIND("(",$I1101)), "", _xll.IMDP("IR", $K1101, $L$50, WORKDAY('CD|CP 발행사'!$C$4,-1)) )</f>
        <v/>
      </c>
    </row>
    <row r="1102" spans="7:12">
      <c r="G1102">
        <f ca="1">IF( ISNUMBER($L1102), MAX($G$50:G1101)+1,0)</f>
        <v>0</v>
      </c>
      <c r="H1102" s="13"/>
      <c r="I1102" s="67"/>
      <c r="J1102" s="67"/>
      <c r="K1102" s="80" t="str">
        <f t="shared" si="21"/>
        <v>CDAVG</v>
      </c>
      <c r="L1102" s="80" t="str">
        <f ca="1">IF(ISNUMBER(FIND("(",$I1102)), "", _xll.IMDP("IR", $K1102, $L$50, WORKDAY('CD|CP 발행사'!$C$4,-1)) )</f>
        <v/>
      </c>
    </row>
    <row r="1103" spans="7:12">
      <c r="G1103">
        <f ca="1">IF( ISNUMBER($L1103), MAX($G$50:G1102)+1,0)</f>
        <v>0</v>
      </c>
      <c r="H1103" s="13"/>
      <c r="I1103" s="67"/>
      <c r="J1103" s="67"/>
      <c r="K1103" s="80" t="str">
        <f t="shared" si="21"/>
        <v>CDAVG</v>
      </c>
      <c r="L1103" s="80" t="str">
        <f ca="1">IF(ISNUMBER(FIND("(",$I1103)), "", _xll.IMDP("IR", $K1103, $L$50, WORKDAY('CD|CP 발행사'!$C$4,-1)) )</f>
        <v/>
      </c>
    </row>
    <row r="1104" spans="7:12">
      <c r="G1104">
        <f ca="1">IF( ISNUMBER($L1104), MAX($G$50:G1103)+1,0)</f>
        <v>0</v>
      </c>
      <c r="H1104" s="13"/>
      <c r="I1104" s="67"/>
      <c r="J1104" s="67"/>
      <c r="K1104" s="80" t="str">
        <f t="shared" si="21"/>
        <v>CDAVG</v>
      </c>
      <c r="L1104" s="80" t="str">
        <f ca="1">IF(ISNUMBER(FIND("(",$I1104)), "", _xll.IMDP("IR", $K1104, $L$50, WORKDAY('CD|CP 발행사'!$C$4,-1)) )</f>
        <v/>
      </c>
    </row>
    <row r="1105" spans="7:12">
      <c r="G1105">
        <f ca="1">IF( ISNUMBER($L1105), MAX($G$50:G1104)+1,0)</f>
        <v>0</v>
      </c>
      <c r="H1105" s="13"/>
      <c r="I1105" s="67"/>
      <c r="J1105" s="67"/>
      <c r="K1105" s="80" t="str">
        <f t="shared" si="21"/>
        <v>CDAVG</v>
      </c>
      <c r="L1105" s="80" t="str">
        <f ca="1">IF(ISNUMBER(FIND("(",$I1105)), "", _xll.IMDP("IR", $K1105, $L$50, WORKDAY('CD|CP 발행사'!$C$4,-1)) )</f>
        <v/>
      </c>
    </row>
    <row r="1106" spans="7:12">
      <c r="G1106">
        <f ca="1">IF( ISNUMBER($L1106), MAX($G$50:G1105)+1,0)</f>
        <v>0</v>
      </c>
      <c r="H1106" s="13"/>
      <c r="I1106" s="67"/>
      <c r="J1106" s="67"/>
      <c r="K1106" s="80" t="str">
        <f t="shared" si="21"/>
        <v>CDAVG</v>
      </c>
      <c r="L1106" s="80" t="str">
        <f ca="1">IF(ISNUMBER(FIND("(",$I1106)), "", _xll.IMDP("IR", $K1106, $L$50, WORKDAY('CD|CP 발행사'!$C$4,-1)) )</f>
        <v/>
      </c>
    </row>
    <row r="1107" spans="7:12">
      <c r="G1107">
        <f ca="1">IF( ISNUMBER($L1107), MAX($G$50:G1106)+1,0)</f>
        <v>0</v>
      </c>
      <c r="H1107" s="13"/>
      <c r="I1107" s="67"/>
      <c r="J1107" s="67"/>
      <c r="K1107" s="80" t="str">
        <f t="shared" si="21"/>
        <v>CDAVG</v>
      </c>
      <c r="L1107" s="80" t="str">
        <f ca="1">IF(ISNUMBER(FIND("(",$I1107)), "", _xll.IMDP("IR", $K1107, $L$50, WORKDAY('CD|CP 발행사'!$C$4,-1)) )</f>
        <v/>
      </c>
    </row>
    <row r="1108" spans="7:12">
      <c r="G1108">
        <f ca="1">IF( ISNUMBER($L1108), MAX($G$50:G1107)+1,0)</f>
        <v>0</v>
      </c>
      <c r="H1108" s="13"/>
      <c r="I1108" s="67"/>
      <c r="J1108" s="67"/>
      <c r="K1108" s="80" t="str">
        <f t="shared" si="21"/>
        <v>CDAVG</v>
      </c>
      <c r="L1108" s="80" t="str">
        <f ca="1">IF(ISNUMBER(FIND("(",$I1108)), "", _xll.IMDP("IR", $K1108, $L$50, WORKDAY('CD|CP 발행사'!$C$4,-1)) )</f>
        <v/>
      </c>
    </row>
    <row r="1109" spans="7:12">
      <c r="G1109">
        <f ca="1">IF( ISNUMBER($L1109), MAX($G$50:G1108)+1,0)</f>
        <v>0</v>
      </c>
      <c r="H1109" s="13"/>
      <c r="I1109" s="67"/>
      <c r="J1109" s="67"/>
      <c r="K1109" s="80" t="str">
        <f t="shared" si="21"/>
        <v>CDAVG</v>
      </c>
      <c r="L1109" s="80" t="str">
        <f ca="1">IF(ISNUMBER(FIND("(",$I1109)), "", _xll.IMDP("IR", $K1109, $L$50, WORKDAY('CD|CP 발행사'!$C$4,-1)) )</f>
        <v/>
      </c>
    </row>
    <row r="1110" spans="7:12">
      <c r="G1110">
        <f ca="1">IF( ISNUMBER($L1110), MAX($G$50:G1109)+1,0)</f>
        <v>0</v>
      </c>
      <c r="H1110" s="13"/>
      <c r="I1110" s="67"/>
      <c r="J1110" s="67"/>
      <c r="K1110" s="80" t="str">
        <f t="shared" si="21"/>
        <v>CDAVG</v>
      </c>
      <c r="L1110" s="80" t="str">
        <f ca="1">IF(ISNUMBER(FIND("(",$I1110)), "", _xll.IMDP("IR", $K1110, $L$50, WORKDAY('CD|CP 발행사'!$C$4,-1)) )</f>
        <v/>
      </c>
    </row>
    <row r="1111" spans="7:12">
      <c r="G1111">
        <f ca="1">IF( ISNUMBER($L1111), MAX($G$50:G1110)+1,0)</f>
        <v>0</v>
      </c>
      <c r="H1111" s="13"/>
      <c r="I1111" s="67"/>
      <c r="J1111" s="67"/>
      <c r="K1111" s="80" t="str">
        <f t="shared" si="21"/>
        <v>CDAVG</v>
      </c>
      <c r="L1111" s="80" t="str">
        <f ca="1">IF(ISNUMBER(FIND("(",$I1111)), "", _xll.IMDP("IR", $K1111, $L$50, WORKDAY('CD|CP 발행사'!$C$4,-1)) )</f>
        <v/>
      </c>
    </row>
    <row r="1112" spans="7:12">
      <c r="G1112">
        <f ca="1">IF( ISNUMBER($L1112), MAX($G$50:G1111)+1,0)</f>
        <v>0</v>
      </c>
      <c r="H1112" s="13"/>
      <c r="I1112" s="67"/>
      <c r="J1112" s="67"/>
      <c r="K1112" s="80" t="str">
        <f t="shared" si="21"/>
        <v>CDAVG</v>
      </c>
      <c r="L1112" s="80" t="str">
        <f ca="1">IF(ISNUMBER(FIND("(",$I1112)), "", _xll.IMDP("IR", $K1112, $L$50, WORKDAY('CD|CP 발행사'!$C$4,-1)) )</f>
        <v/>
      </c>
    </row>
    <row r="1113" spans="7:12">
      <c r="G1113">
        <f ca="1">IF( ISNUMBER($L1113), MAX($G$50:G1112)+1,0)</f>
        <v>0</v>
      </c>
      <c r="H1113" s="13"/>
      <c r="I1113" s="67"/>
      <c r="J1113" s="67"/>
      <c r="K1113" s="80" t="str">
        <f t="shared" si="21"/>
        <v>CDAVG</v>
      </c>
      <c r="L1113" s="80" t="str">
        <f ca="1">IF(ISNUMBER(FIND("(",$I1113)), "", _xll.IMDP("IR", $K1113, $L$50, WORKDAY('CD|CP 발행사'!$C$4,-1)) )</f>
        <v/>
      </c>
    </row>
    <row r="1114" spans="7:12">
      <c r="G1114">
        <f ca="1">IF( ISNUMBER($L1114), MAX($G$50:G1113)+1,0)</f>
        <v>0</v>
      </c>
      <c r="H1114" s="13"/>
      <c r="I1114" s="67"/>
      <c r="J1114" s="67"/>
      <c r="K1114" s="80" t="str">
        <f t="shared" si="21"/>
        <v>CDAVG</v>
      </c>
      <c r="L1114" s="80" t="str">
        <f ca="1">IF(ISNUMBER(FIND("(",$I1114)), "", _xll.IMDP("IR", $K1114, $L$50, WORKDAY('CD|CP 발행사'!$C$4,-1)) )</f>
        <v/>
      </c>
    </row>
    <row r="1115" spans="7:12">
      <c r="G1115">
        <f ca="1">IF( ISNUMBER($L1115), MAX($G$50:G1114)+1,0)</f>
        <v>0</v>
      </c>
      <c r="H1115" s="13"/>
      <c r="I1115" s="67"/>
      <c r="J1115" s="67"/>
      <c r="K1115" s="80" t="str">
        <f t="shared" si="21"/>
        <v>CDAVG</v>
      </c>
      <c r="L1115" s="80" t="str">
        <f ca="1">IF(ISNUMBER(FIND("(",$I1115)), "", _xll.IMDP("IR", $K1115, $L$50, WORKDAY('CD|CP 발행사'!$C$4,-1)) )</f>
        <v/>
      </c>
    </row>
    <row r="1116" spans="7:12">
      <c r="G1116">
        <f ca="1">IF( ISNUMBER($L1116), MAX($G$50:G1115)+1,0)</f>
        <v>0</v>
      </c>
      <c r="H1116" s="13"/>
      <c r="I1116" s="67"/>
      <c r="J1116" s="67"/>
      <c r="K1116" s="80" t="str">
        <f t="shared" si="21"/>
        <v>CDAVG</v>
      </c>
      <c r="L1116" s="80" t="str">
        <f ca="1">IF(ISNUMBER(FIND("(",$I1116)), "", _xll.IMDP("IR", $K1116, $L$50, WORKDAY('CD|CP 발행사'!$C$4,-1)) )</f>
        <v/>
      </c>
    </row>
    <row r="1117" spans="7:12">
      <c r="G1117">
        <f ca="1">IF( ISNUMBER($L1117), MAX($G$50:G1116)+1,0)</f>
        <v>0</v>
      </c>
      <c r="H1117" s="13"/>
      <c r="I1117" s="67"/>
      <c r="J1117" s="67"/>
      <c r="K1117" s="80" t="str">
        <f t="shared" si="21"/>
        <v>CDAVG</v>
      </c>
      <c r="L1117" s="80" t="str">
        <f ca="1">IF(ISNUMBER(FIND("(",$I1117)), "", _xll.IMDP("IR", $K1117, $L$50, WORKDAY('CD|CP 발행사'!$C$4,-1)) )</f>
        <v/>
      </c>
    </row>
    <row r="1118" spans="7:12">
      <c r="G1118">
        <f ca="1">IF( ISNUMBER($L1118), MAX($G$50:G1117)+1,0)</f>
        <v>0</v>
      </c>
      <c r="H1118" s="13"/>
      <c r="I1118" s="67"/>
      <c r="J1118" s="67"/>
      <c r="K1118" s="80" t="str">
        <f t="shared" si="21"/>
        <v>CDAVG</v>
      </c>
      <c r="L1118" s="80" t="str">
        <f ca="1">IF(ISNUMBER(FIND("(",$I1118)), "", _xll.IMDP("IR", $K1118, $L$50, WORKDAY('CD|CP 발행사'!$C$4,-1)) )</f>
        <v/>
      </c>
    </row>
    <row r="1119" spans="7:12">
      <c r="G1119">
        <f ca="1">IF( ISNUMBER($L1119), MAX($G$50:G1118)+1,0)</f>
        <v>0</v>
      </c>
      <c r="H1119" s="13"/>
      <c r="I1119" s="67"/>
      <c r="J1119" s="67"/>
      <c r="K1119" s="80" t="str">
        <f t="shared" si="21"/>
        <v>CDAVG</v>
      </c>
      <c r="L1119" s="80" t="str">
        <f ca="1">IF(ISNUMBER(FIND("(",$I1119)), "", _xll.IMDP("IR", $K1119, $L$50, WORKDAY('CD|CP 발행사'!$C$4,-1)) )</f>
        <v/>
      </c>
    </row>
    <row r="1120" spans="7:12">
      <c r="G1120">
        <f ca="1">IF( ISNUMBER($L1120), MAX($G$50:G1119)+1,0)</f>
        <v>0</v>
      </c>
      <c r="H1120" s="13"/>
      <c r="I1120" s="67"/>
      <c r="J1120" s="67"/>
      <c r="K1120" s="80" t="str">
        <f t="shared" si="21"/>
        <v>CDAVG</v>
      </c>
      <c r="L1120" s="80" t="str">
        <f ca="1">IF(ISNUMBER(FIND("(",$I1120)), "", _xll.IMDP("IR", $K1120, $L$50, WORKDAY('CD|CP 발행사'!$C$4,-1)) )</f>
        <v/>
      </c>
    </row>
    <row r="1121" spans="7:12">
      <c r="G1121">
        <f ca="1">IF( ISNUMBER($L1121), MAX($G$50:G1120)+1,0)</f>
        <v>0</v>
      </c>
      <c r="H1121" s="13"/>
      <c r="I1121" s="67"/>
      <c r="J1121" s="67"/>
      <c r="K1121" s="80" t="str">
        <f t="shared" si="21"/>
        <v>CDAVG</v>
      </c>
      <c r="L1121" s="80" t="str">
        <f ca="1">IF(ISNUMBER(FIND("(",$I1121)), "", _xll.IMDP("IR", $K1121, $L$50, WORKDAY('CD|CP 발행사'!$C$4,-1)) )</f>
        <v/>
      </c>
    </row>
    <row r="1122" spans="7:12">
      <c r="G1122">
        <f ca="1">IF( ISNUMBER($L1122), MAX($G$50:G1121)+1,0)</f>
        <v>0</v>
      </c>
      <c r="H1122" s="13"/>
      <c r="I1122" s="67"/>
      <c r="J1122" s="67"/>
      <c r="K1122" s="80" t="str">
        <f t="shared" si="21"/>
        <v>CDAVG</v>
      </c>
      <c r="L1122" s="80" t="str">
        <f ca="1">IF(ISNUMBER(FIND("(",$I1122)), "", _xll.IMDP("IR", $K1122, $L$50, WORKDAY('CD|CP 발행사'!$C$4,-1)) )</f>
        <v/>
      </c>
    </row>
    <row r="1123" spans="7:12">
      <c r="G1123">
        <f ca="1">IF( ISNUMBER($L1123), MAX($G$50:G1122)+1,0)</f>
        <v>0</v>
      </c>
      <c r="H1123" s="13"/>
      <c r="I1123" s="67"/>
      <c r="J1123" s="67"/>
      <c r="K1123" s="80" t="str">
        <f t="shared" si="21"/>
        <v>CDAVG</v>
      </c>
      <c r="L1123" s="80" t="str">
        <f ca="1">IF(ISNUMBER(FIND("(",$I1123)), "", _xll.IMDP("IR", $K1123, $L$50, WORKDAY('CD|CP 발행사'!$C$4,-1)) )</f>
        <v/>
      </c>
    </row>
    <row r="1124" spans="7:12">
      <c r="G1124">
        <f ca="1">IF( ISNUMBER($L1124), MAX($G$50:G1123)+1,0)</f>
        <v>0</v>
      </c>
      <c r="H1124" s="13"/>
      <c r="I1124" s="67"/>
      <c r="J1124" s="67"/>
      <c r="K1124" s="80" t="str">
        <f t="shared" si="21"/>
        <v>CDAVG</v>
      </c>
      <c r="L1124" s="80" t="str">
        <f ca="1">IF(ISNUMBER(FIND("(",$I1124)), "", _xll.IMDP("IR", $K1124, $L$50, WORKDAY('CD|CP 발행사'!$C$4,-1)) )</f>
        <v/>
      </c>
    </row>
    <row r="1125" spans="7:12">
      <c r="G1125">
        <f ca="1">IF( ISNUMBER($L1125), MAX($G$50:G1124)+1,0)</f>
        <v>0</v>
      </c>
      <c r="H1125" s="13"/>
      <c r="I1125" s="67"/>
      <c r="J1125" s="67"/>
      <c r="K1125" s="80" t="str">
        <f t="shared" si="21"/>
        <v>CDAVG</v>
      </c>
      <c r="L1125" s="80" t="str">
        <f ca="1">IF(ISNUMBER(FIND("(",$I1125)), "", _xll.IMDP("IR", $K1125, $L$50, WORKDAY('CD|CP 발행사'!$C$4,-1)) )</f>
        <v/>
      </c>
    </row>
    <row r="1126" spans="7:12">
      <c r="G1126">
        <f ca="1">IF( ISNUMBER($L1126), MAX($G$50:G1125)+1,0)</f>
        <v>0</v>
      </c>
      <c r="H1126" s="13"/>
      <c r="I1126" s="67"/>
      <c r="J1126" s="67"/>
      <c r="K1126" s="80" t="str">
        <f t="shared" si="21"/>
        <v>CDAVG</v>
      </c>
      <c r="L1126" s="80" t="str">
        <f ca="1">IF(ISNUMBER(FIND("(",$I1126)), "", _xll.IMDP("IR", $K1126, $L$50, WORKDAY('CD|CP 발행사'!$C$4,-1)) )</f>
        <v/>
      </c>
    </row>
    <row r="1127" spans="7:12">
      <c r="G1127">
        <f ca="1">IF( ISNUMBER($L1127), MAX($G$50:G1126)+1,0)</f>
        <v>0</v>
      </c>
      <c r="H1127" s="13"/>
      <c r="I1127" s="67"/>
      <c r="J1127" s="67"/>
      <c r="K1127" s="80" t="str">
        <f t="shared" si="21"/>
        <v>CDAVG</v>
      </c>
      <c r="L1127" s="80" t="str">
        <f ca="1">IF(ISNUMBER(FIND("(",$I1127)), "", _xll.IMDP("IR", $K1127, $L$50, WORKDAY('CD|CP 발행사'!$C$4,-1)) )</f>
        <v/>
      </c>
    </row>
    <row r="1128" spans="7:12">
      <c r="G1128">
        <f ca="1">IF( ISNUMBER($L1128), MAX($G$50:G1127)+1,0)</f>
        <v>0</v>
      </c>
      <c r="H1128" s="13"/>
      <c r="I1128" s="67"/>
      <c r="J1128" s="67"/>
      <c r="K1128" s="80" t="str">
        <f t="shared" si="21"/>
        <v>CDAVG</v>
      </c>
      <c r="L1128" s="80" t="str">
        <f ca="1">IF(ISNUMBER(FIND("(",$I1128)), "", _xll.IMDP("IR", $K1128, $L$50, WORKDAY('CD|CP 발행사'!$C$4,-1)) )</f>
        <v/>
      </c>
    </row>
    <row r="1129" spans="7:12">
      <c r="G1129">
        <f ca="1">IF( ISNUMBER($L1129), MAX($G$50:G1128)+1,0)</f>
        <v>0</v>
      </c>
      <c r="H1129" s="13"/>
      <c r="I1129" s="67"/>
      <c r="J1129" s="67"/>
      <c r="K1129" s="80" t="str">
        <f t="shared" si="21"/>
        <v>CDAVG</v>
      </c>
      <c r="L1129" s="80" t="str">
        <f ca="1">IF(ISNUMBER(FIND("(",$I1129)), "", _xll.IMDP("IR", $K1129, $L$50, WORKDAY('CD|CP 발행사'!$C$4,-1)) )</f>
        <v/>
      </c>
    </row>
    <row r="1130" spans="7:12">
      <c r="G1130">
        <f ca="1">IF( ISNUMBER($L1130), MAX($G$50:G1129)+1,0)</f>
        <v>0</v>
      </c>
      <c r="H1130" s="13"/>
      <c r="I1130" s="67"/>
      <c r="J1130" s="67"/>
      <c r="K1130" s="80" t="str">
        <f t="shared" si="21"/>
        <v>CDAVG</v>
      </c>
      <c r="L1130" s="80" t="str">
        <f ca="1">IF(ISNUMBER(FIND("(",$I1130)), "", _xll.IMDP("IR", $K1130, $L$50, WORKDAY('CD|CP 발행사'!$C$4,-1)) )</f>
        <v/>
      </c>
    </row>
    <row r="1131" spans="7:12">
      <c r="G1131">
        <f ca="1">IF( ISNUMBER($L1131), MAX($G$50:G1130)+1,0)</f>
        <v>0</v>
      </c>
      <c r="H1131" s="13"/>
      <c r="I1131" s="67"/>
      <c r="J1131" s="67"/>
      <c r="K1131" s="80" t="str">
        <f t="shared" si="21"/>
        <v>CDAVG</v>
      </c>
      <c r="L1131" s="80" t="str">
        <f ca="1">IF(ISNUMBER(FIND("(",$I1131)), "", _xll.IMDP("IR", $K1131, $L$50, WORKDAY('CD|CP 발행사'!$C$4,-1)) )</f>
        <v/>
      </c>
    </row>
    <row r="1132" spans="7:12">
      <c r="G1132">
        <f ca="1">IF( ISNUMBER($L1132), MAX($G$50:G1131)+1,0)</f>
        <v>0</v>
      </c>
      <c r="H1132" s="13"/>
      <c r="I1132" s="67"/>
      <c r="J1132" s="67"/>
      <c r="K1132" s="80" t="str">
        <f t="shared" si="21"/>
        <v>CDAVG</v>
      </c>
      <c r="L1132" s="80" t="str">
        <f ca="1">IF(ISNUMBER(FIND("(",$I1132)), "", _xll.IMDP("IR", $K1132, $L$50, WORKDAY('CD|CP 발행사'!$C$4,-1)) )</f>
        <v/>
      </c>
    </row>
    <row r="1133" spans="7:12">
      <c r="G1133">
        <f ca="1">IF( ISNUMBER($L1133), MAX($G$50:G1132)+1,0)</f>
        <v>0</v>
      </c>
      <c r="H1133" s="13"/>
      <c r="I1133" s="67"/>
      <c r="J1133" s="67"/>
      <c r="K1133" s="80" t="str">
        <f t="shared" si="21"/>
        <v>CDAVG</v>
      </c>
      <c r="L1133" s="80" t="str">
        <f ca="1">IF(ISNUMBER(FIND("(",$I1133)), "", _xll.IMDP("IR", $K1133, $L$50, WORKDAY('CD|CP 발행사'!$C$4,-1)) )</f>
        <v/>
      </c>
    </row>
    <row r="1134" spans="7:12">
      <c r="G1134">
        <f ca="1">IF( ISNUMBER($L1134), MAX($G$50:G1133)+1,0)</f>
        <v>0</v>
      </c>
      <c r="H1134" s="13"/>
      <c r="I1134" s="67"/>
      <c r="J1134" s="67"/>
      <c r="K1134" s="80" t="str">
        <f t="shared" si="21"/>
        <v>CDAVG</v>
      </c>
      <c r="L1134" s="80" t="str">
        <f ca="1">IF(ISNUMBER(FIND("(",$I1134)), "", _xll.IMDP("IR", $K1134, $L$50, WORKDAY('CD|CP 발행사'!$C$4,-1)) )</f>
        <v/>
      </c>
    </row>
    <row r="1135" spans="7:12">
      <c r="G1135">
        <f ca="1">IF( ISNUMBER($L1135), MAX($G$50:G1134)+1,0)</f>
        <v>0</v>
      </c>
      <c r="H1135" s="13"/>
      <c r="I1135" s="67"/>
      <c r="J1135" s="67"/>
      <c r="K1135" s="80" t="str">
        <f t="shared" si="21"/>
        <v>CDAVG</v>
      </c>
      <c r="L1135" s="80" t="str">
        <f ca="1">IF(ISNUMBER(FIND("(",$I1135)), "", _xll.IMDP("IR", $K1135, $L$50, WORKDAY('CD|CP 발행사'!$C$4,-1)) )</f>
        <v/>
      </c>
    </row>
    <row r="1136" spans="7:12">
      <c r="G1136">
        <f ca="1">IF( ISNUMBER($L1136), MAX($G$50:G1135)+1,0)</f>
        <v>0</v>
      </c>
      <c r="H1136" s="13"/>
      <c r="I1136" s="67"/>
      <c r="J1136" s="67"/>
      <c r="K1136" s="80" t="str">
        <f t="shared" si="21"/>
        <v>CDAVG</v>
      </c>
      <c r="L1136" s="80" t="str">
        <f ca="1">IF(ISNUMBER(FIND("(",$I1136)), "", _xll.IMDP("IR", $K1136, $L$50, WORKDAY('CD|CP 발행사'!$C$4,-1)) )</f>
        <v/>
      </c>
    </row>
    <row r="1137" spans="7:12">
      <c r="G1137">
        <f ca="1">IF( ISNUMBER($L1137), MAX($G$50:G1136)+1,0)</f>
        <v>0</v>
      </c>
      <c r="H1137" s="13"/>
      <c r="I1137" s="67"/>
      <c r="J1137" s="67"/>
      <c r="K1137" s="80" t="str">
        <f t="shared" si="21"/>
        <v>CDAVG</v>
      </c>
      <c r="L1137" s="80" t="str">
        <f ca="1">IF(ISNUMBER(FIND("(",$I1137)), "", _xll.IMDP("IR", $K1137, $L$50, WORKDAY('CD|CP 발행사'!$C$4,-1)) )</f>
        <v/>
      </c>
    </row>
    <row r="1138" spans="7:12">
      <c r="G1138">
        <f ca="1">IF( ISNUMBER($L1138), MAX($G$50:G1137)+1,0)</f>
        <v>0</v>
      </c>
      <c r="H1138" s="13"/>
      <c r="I1138" s="67"/>
      <c r="J1138" s="67"/>
      <c r="K1138" s="80" t="str">
        <f t="shared" si="21"/>
        <v>CDAVG</v>
      </c>
      <c r="L1138" s="80" t="str">
        <f ca="1">IF(ISNUMBER(FIND("(",$I1138)), "", _xll.IMDP("IR", $K1138, $L$50, WORKDAY('CD|CP 발행사'!$C$4,-1)) )</f>
        <v/>
      </c>
    </row>
    <row r="1139" spans="7:12">
      <c r="G1139">
        <f ca="1">IF( ISNUMBER($L1139), MAX($G$50:G1138)+1,0)</f>
        <v>0</v>
      </c>
      <c r="H1139" s="13"/>
      <c r="I1139" s="67"/>
      <c r="J1139" s="67"/>
      <c r="K1139" s="80" t="str">
        <f t="shared" ref="K1139:K1202" si="22">$K$49&amp;$H1139</f>
        <v>CDAVG</v>
      </c>
      <c r="L1139" s="80" t="str">
        <f ca="1">IF(ISNUMBER(FIND("(",$I1139)), "", _xll.IMDP("IR", $K1139, $L$50, WORKDAY('CD|CP 발행사'!$C$4,-1)) )</f>
        <v/>
      </c>
    </row>
    <row r="1140" spans="7:12">
      <c r="G1140">
        <f ca="1">IF( ISNUMBER($L1140), MAX($G$50:G1139)+1,0)</f>
        <v>0</v>
      </c>
      <c r="H1140" s="13"/>
      <c r="I1140" s="67"/>
      <c r="J1140" s="67"/>
      <c r="K1140" s="80" t="str">
        <f t="shared" si="22"/>
        <v>CDAVG</v>
      </c>
      <c r="L1140" s="80" t="str">
        <f ca="1">IF(ISNUMBER(FIND("(",$I1140)), "", _xll.IMDP("IR", $K1140, $L$50, WORKDAY('CD|CP 발행사'!$C$4,-1)) )</f>
        <v/>
      </c>
    </row>
    <row r="1141" spans="7:12">
      <c r="G1141">
        <f ca="1">IF( ISNUMBER($L1141), MAX($G$50:G1140)+1,0)</f>
        <v>0</v>
      </c>
      <c r="H1141" s="13"/>
      <c r="I1141" s="67"/>
      <c r="J1141" s="67"/>
      <c r="K1141" s="80" t="str">
        <f t="shared" si="22"/>
        <v>CDAVG</v>
      </c>
      <c r="L1141" s="80" t="str">
        <f ca="1">IF(ISNUMBER(FIND("(",$I1141)), "", _xll.IMDP("IR", $K1141, $L$50, WORKDAY('CD|CP 발행사'!$C$4,-1)) )</f>
        <v/>
      </c>
    </row>
    <row r="1142" spans="7:12">
      <c r="G1142">
        <f ca="1">IF( ISNUMBER($L1142), MAX($G$50:G1141)+1,0)</f>
        <v>0</v>
      </c>
      <c r="H1142" s="13"/>
      <c r="I1142" s="67"/>
      <c r="J1142" s="67"/>
      <c r="K1142" s="80" t="str">
        <f t="shared" si="22"/>
        <v>CDAVG</v>
      </c>
      <c r="L1142" s="80" t="str">
        <f ca="1">IF(ISNUMBER(FIND("(",$I1142)), "", _xll.IMDP("IR", $K1142, $L$50, WORKDAY('CD|CP 발행사'!$C$4,-1)) )</f>
        <v/>
      </c>
    </row>
    <row r="1143" spans="7:12">
      <c r="G1143">
        <f ca="1">IF( ISNUMBER($L1143), MAX($G$50:G1142)+1,0)</f>
        <v>0</v>
      </c>
      <c r="H1143" s="13"/>
      <c r="I1143" s="67"/>
      <c r="J1143" s="67"/>
      <c r="K1143" s="80" t="str">
        <f t="shared" si="22"/>
        <v>CDAVG</v>
      </c>
      <c r="L1143" s="80" t="str">
        <f ca="1">IF(ISNUMBER(FIND("(",$I1143)), "", _xll.IMDP("IR", $K1143, $L$50, WORKDAY('CD|CP 발행사'!$C$4,-1)) )</f>
        <v/>
      </c>
    </row>
    <row r="1144" spans="7:12">
      <c r="G1144">
        <f ca="1">IF( ISNUMBER($L1144), MAX($G$50:G1143)+1,0)</f>
        <v>0</v>
      </c>
      <c r="H1144" s="13"/>
      <c r="I1144" s="67"/>
      <c r="J1144" s="67"/>
      <c r="K1144" s="80" t="str">
        <f t="shared" si="22"/>
        <v>CDAVG</v>
      </c>
      <c r="L1144" s="80" t="str">
        <f ca="1">IF(ISNUMBER(FIND("(",$I1144)), "", _xll.IMDP("IR", $K1144, $L$50, WORKDAY('CD|CP 발행사'!$C$4,-1)) )</f>
        <v/>
      </c>
    </row>
    <row r="1145" spans="7:12">
      <c r="G1145">
        <f ca="1">IF( ISNUMBER($L1145), MAX($G$50:G1144)+1,0)</f>
        <v>0</v>
      </c>
      <c r="H1145" s="13"/>
      <c r="I1145" s="67"/>
      <c r="J1145" s="67"/>
      <c r="K1145" s="80" t="str">
        <f t="shared" si="22"/>
        <v>CDAVG</v>
      </c>
      <c r="L1145" s="80" t="str">
        <f ca="1">IF(ISNUMBER(FIND("(",$I1145)), "", _xll.IMDP("IR", $K1145, $L$50, WORKDAY('CD|CP 발행사'!$C$4,-1)) )</f>
        <v/>
      </c>
    </row>
    <row r="1146" spans="7:12">
      <c r="G1146">
        <f ca="1">IF( ISNUMBER($L1146), MAX($G$50:G1145)+1,0)</f>
        <v>0</v>
      </c>
      <c r="H1146" s="13"/>
      <c r="I1146" s="67"/>
      <c r="J1146" s="67"/>
      <c r="K1146" s="80" t="str">
        <f t="shared" si="22"/>
        <v>CDAVG</v>
      </c>
      <c r="L1146" s="80" t="str">
        <f ca="1">IF(ISNUMBER(FIND("(",$I1146)), "", _xll.IMDP("IR", $K1146, $L$50, WORKDAY('CD|CP 발행사'!$C$4,-1)) )</f>
        <v/>
      </c>
    </row>
    <row r="1147" spans="7:12">
      <c r="G1147">
        <f ca="1">IF( ISNUMBER($L1147), MAX($G$50:G1146)+1,0)</f>
        <v>0</v>
      </c>
      <c r="H1147" s="13"/>
      <c r="I1147" s="67"/>
      <c r="J1147" s="67"/>
      <c r="K1147" s="80" t="str">
        <f t="shared" si="22"/>
        <v>CDAVG</v>
      </c>
      <c r="L1147" s="80" t="str">
        <f ca="1">IF(ISNUMBER(FIND("(",$I1147)), "", _xll.IMDP("IR", $K1147, $L$50, WORKDAY('CD|CP 발행사'!$C$4,-1)) )</f>
        <v/>
      </c>
    </row>
    <row r="1148" spans="7:12">
      <c r="G1148">
        <f ca="1">IF( ISNUMBER($L1148), MAX($G$50:G1147)+1,0)</f>
        <v>0</v>
      </c>
      <c r="H1148" s="13"/>
      <c r="I1148" s="67"/>
      <c r="J1148" s="67"/>
      <c r="K1148" s="80" t="str">
        <f t="shared" si="22"/>
        <v>CDAVG</v>
      </c>
      <c r="L1148" s="80" t="str">
        <f ca="1">IF(ISNUMBER(FIND("(",$I1148)), "", _xll.IMDP("IR", $K1148, $L$50, WORKDAY('CD|CP 발행사'!$C$4,-1)) )</f>
        <v/>
      </c>
    </row>
    <row r="1149" spans="7:12">
      <c r="G1149">
        <f ca="1">IF( ISNUMBER($L1149), MAX($G$50:G1148)+1,0)</f>
        <v>0</v>
      </c>
      <c r="H1149" s="13"/>
      <c r="I1149" s="67"/>
      <c r="J1149" s="67"/>
      <c r="K1149" s="80" t="str">
        <f t="shared" si="22"/>
        <v>CDAVG</v>
      </c>
      <c r="L1149" s="80" t="str">
        <f ca="1">IF(ISNUMBER(FIND("(",$I1149)), "", _xll.IMDP("IR", $K1149, $L$50, WORKDAY('CD|CP 발행사'!$C$4,-1)) )</f>
        <v/>
      </c>
    </row>
    <row r="1150" spans="7:12">
      <c r="G1150">
        <f ca="1">IF( ISNUMBER($L1150), MAX($G$50:G1149)+1,0)</f>
        <v>0</v>
      </c>
      <c r="H1150" s="13"/>
      <c r="I1150" s="67"/>
      <c r="J1150" s="67"/>
      <c r="K1150" s="80" t="str">
        <f t="shared" si="22"/>
        <v>CDAVG</v>
      </c>
      <c r="L1150" s="80" t="str">
        <f ca="1">IF(ISNUMBER(FIND("(",$I1150)), "", _xll.IMDP("IR", $K1150, $L$50, WORKDAY('CD|CP 발행사'!$C$4,-1)) )</f>
        <v/>
      </c>
    </row>
    <row r="1151" spans="7:12">
      <c r="G1151">
        <f ca="1">IF( ISNUMBER($L1151), MAX($G$50:G1150)+1,0)</f>
        <v>0</v>
      </c>
      <c r="H1151" s="13"/>
      <c r="I1151" s="67"/>
      <c r="J1151" s="67"/>
      <c r="K1151" s="80" t="str">
        <f t="shared" si="22"/>
        <v>CDAVG</v>
      </c>
      <c r="L1151" s="80" t="str">
        <f ca="1">IF(ISNUMBER(FIND("(",$I1151)), "", _xll.IMDP("IR", $K1151, $L$50, WORKDAY('CD|CP 발행사'!$C$4,-1)) )</f>
        <v/>
      </c>
    </row>
    <row r="1152" spans="7:12">
      <c r="G1152">
        <f ca="1">IF( ISNUMBER($L1152), MAX($G$50:G1151)+1,0)</f>
        <v>0</v>
      </c>
      <c r="H1152" s="13"/>
      <c r="I1152" s="67"/>
      <c r="J1152" s="67"/>
      <c r="K1152" s="80" t="str">
        <f t="shared" si="22"/>
        <v>CDAVG</v>
      </c>
      <c r="L1152" s="80" t="str">
        <f ca="1">IF(ISNUMBER(FIND("(",$I1152)), "", _xll.IMDP("IR", $K1152, $L$50, WORKDAY('CD|CP 발행사'!$C$4,-1)) )</f>
        <v/>
      </c>
    </row>
    <row r="1153" spans="7:12">
      <c r="G1153">
        <f ca="1">IF( ISNUMBER($L1153), MAX($G$50:G1152)+1,0)</f>
        <v>0</v>
      </c>
      <c r="H1153" s="13"/>
      <c r="I1153" s="67"/>
      <c r="J1153" s="67"/>
      <c r="K1153" s="80" t="str">
        <f t="shared" si="22"/>
        <v>CDAVG</v>
      </c>
      <c r="L1153" s="80" t="str">
        <f ca="1">IF(ISNUMBER(FIND("(",$I1153)), "", _xll.IMDP("IR", $K1153, $L$50, WORKDAY('CD|CP 발행사'!$C$4,-1)) )</f>
        <v/>
      </c>
    </row>
    <row r="1154" spans="7:12">
      <c r="G1154">
        <f ca="1">IF( ISNUMBER($L1154), MAX($G$50:G1153)+1,0)</f>
        <v>0</v>
      </c>
      <c r="H1154" s="13"/>
      <c r="I1154" s="67"/>
      <c r="J1154" s="67"/>
      <c r="K1154" s="80" t="str">
        <f t="shared" si="22"/>
        <v>CDAVG</v>
      </c>
      <c r="L1154" s="80" t="str">
        <f ca="1">IF(ISNUMBER(FIND("(",$I1154)), "", _xll.IMDP("IR", $K1154, $L$50, WORKDAY('CD|CP 발행사'!$C$4,-1)) )</f>
        <v/>
      </c>
    </row>
    <row r="1155" spans="7:12">
      <c r="G1155">
        <f ca="1">IF( ISNUMBER($L1155), MAX($G$50:G1154)+1,0)</f>
        <v>0</v>
      </c>
      <c r="H1155" s="13"/>
      <c r="I1155" s="67"/>
      <c r="J1155" s="67"/>
      <c r="K1155" s="80" t="str">
        <f t="shared" si="22"/>
        <v>CDAVG</v>
      </c>
      <c r="L1155" s="80" t="str">
        <f ca="1">IF(ISNUMBER(FIND("(",$I1155)), "", _xll.IMDP("IR", $K1155, $L$50, WORKDAY('CD|CP 발행사'!$C$4,-1)) )</f>
        <v/>
      </c>
    </row>
    <row r="1156" spans="7:12">
      <c r="G1156">
        <f ca="1">IF( ISNUMBER($L1156), MAX($G$50:G1155)+1,0)</f>
        <v>0</v>
      </c>
      <c r="H1156" s="13"/>
      <c r="I1156" s="67"/>
      <c r="J1156" s="67"/>
      <c r="K1156" s="80" t="str">
        <f t="shared" si="22"/>
        <v>CDAVG</v>
      </c>
      <c r="L1156" s="80" t="str">
        <f ca="1">IF(ISNUMBER(FIND("(",$I1156)), "", _xll.IMDP("IR", $K1156, $L$50, WORKDAY('CD|CP 발행사'!$C$4,-1)) )</f>
        <v/>
      </c>
    </row>
    <row r="1157" spans="7:12">
      <c r="G1157">
        <f ca="1">IF( ISNUMBER($L1157), MAX($G$50:G1156)+1,0)</f>
        <v>0</v>
      </c>
      <c r="H1157" s="13"/>
      <c r="I1157" s="67"/>
      <c r="J1157" s="67"/>
      <c r="K1157" s="80" t="str">
        <f t="shared" si="22"/>
        <v>CDAVG</v>
      </c>
      <c r="L1157" s="80" t="str">
        <f ca="1">IF(ISNUMBER(FIND("(",$I1157)), "", _xll.IMDP("IR", $K1157, $L$50, WORKDAY('CD|CP 발행사'!$C$4,-1)) )</f>
        <v/>
      </c>
    </row>
    <row r="1158" spans="7:12">
      <c r="G1158">
        <f ca="1">IF( ISNUMBER($L1158), MAX($G$50:G1157)+1,0)</f>
        <v>0</v>
      </c>
      <c r="H1158" s="13"/>
      <c r="I1158" s="67"/>
      <c r="J1158" s="67"/>
      <c r="K1158" s="80" t="str">
        <f t="shared" si="22"/>
        <v>CDAVG</v>
      </c>
      <c r="L1158" s="80" t="str">
        <f ca="1">IF(ISNUMBER(FIND("(",$I1158)), "", _xll.IMDP("IR", $K1158, $L$50, WORKDAY('CD|CP 발행사'!$C$4,-1)) )</f>
        <v/>
      </c>
    </row>
    <row r="1159" spans="7:12">
      <c r="G1159">
        <f ca="1">IF( ISNUMBER($L1159), MAX($G$50:G1158)+1,0)</f>
        <v>0</v>
      </c>
      <c r="H1159" s="13"/>
      <c r="I1159" s="67"/>
      <c r="J1159" s="67"/>
      <c r="K1159" s="80" t="str">
        <f t="shared" si="22"/>
        <v>CDAVG</v>
      </c>
      <c r="L1159" s="80" t="str">
        <f ca="1">IF(ISNUMBER(FIND("(",$I1159)), "", _xll.IMDP("IR", $K1159, $L$50, WORKDAY('CD|CP 발행사'!$C$4,-1)) )</f>
        <v/>
      </c>
    </row>
    <row r="1160" spans="7:12">
      <c r="G1160">
        <f ca="1">IF( ISNUMBER($L1160), MAX($G$50:G1159)+1,0)</f>
        <v>0</v>
      </c>
      <c r="H1160" s="13"/>
      <c r="I1160" s="67"/>
      <c r="J1160" s="67"/>
      <c r="K1160" s="80" t="str">
        <f t="shared" si="22"/>
        <v>CDAVG</v>
      </c>
      <c r="L1160" s="80" t="str">
        <f ca="1">IF(ISNUMBER(FIND("(",$I1160)), "", _xll.IMDP("IR", $K1160, $L$50, WORKDAY('CD|CP 발행사'!$C$4,-1)) )</f>
        <v/>
      </c>
    </row>
    <row r="1161" spans="7:12">
      <c r="G1161">
        <f ca="1">IF( ISNUMBER($L1161), MAX($G$50:G1160)+1,0)</f>
        <v>0</v>
      </c>
      <c r="H1161" s="13"/>
      <c r="I1161" s="67"/>
      <c r="J1161" s="67"/>
      <c r="K1161" s="80" t="str">
        <f t="shared" si="22"/>
        <v>CDAVG</v>
      </c>
      <c r="L1161" s="80" t="str">
        <f ca="1">IF(ISNUMBER(FIND("(",$I1161)), "", _xll.IMDP("IR", $K1161, $L$50, WORKDAY('CD|CP 발행사'!$C$4,-1)) )</f>
        <v/>
      </c>
    </row>
    <row r="1162" spans="7:12">
      <c r="G1162">
        <f ca="1">IF( ISNUMBER($L1162), MAX($G$50:G1161)+1,0)</f>
        <v>0</v>
      </c>
      <c r="H1162" s="13"/>
      <c r="I1162" s="67"/>
      <c r="J1162" s="67"/>
      <c r="K1162" s="80" t="str">
        <f t="shared" si="22"/>
        <v>CDAVG</v>
      </c>
      <c r="L1162" s="80" t="str">
        <f ca="1">IF(ISNUMBER(FIND("(",$I1162)), "", _xll.IMDP("IR", $K1162, $L$50, WORKDAY('CD|CP 발행사'!$C$4,-1)) )</f>
        <v/>
      </c>
    </row>
    <row r="1163" spans="7:12">
      <c r="G1163">
        <f ca="1">IF( ISNUMBER($L1163), MAX($G$50:G1162)+1,0)</f>
        <v>0</v>
      </c>
      <c r="H1163" s="13"/>
      <c r="I1163" s="67"/>
      <c r="J1163" s="67"/>
      <c r="K1163" s="80" t="str">
        <f t="shared" si="22"/>
        <v>CDAVG</v>
      </c>
      <c r="L1163" s="80" t="str">
        <f ca="1">IF(ISNUMBER(FIND("(",$I1163)), "", _xll.IMDP("IR", $K1163, $L$50, WORKDAY('CD|CP 발행사'!$C$4,-1)) )</f>
        <v/>
      </c>
    </row>
    <row r="1164" spans="7:12">
      <c r="G1164">
        <f ca="1">IF( ISNUMBER($L1164), MAX($G$50:G1163)+1,0)</f>
        <v>0</v>
      </c>
      <c r="H1164" s="13"/>
      <c r="I1164" s="67"/>
      <c r="J1164" s="67"/>
      <c r="K1164" s="80" t="str">
        <f t="shared" si="22"/>
        <v>CDAVG</v>
      </c>
      <c r="L1164" s="80" t="str">
        <f ca="1">IF(ISNUMBER(FIND("(",$I1164)), "", _xll.IMDP("IR", $K1164, $L$50, WORKDAY('CD|CP 발행사'!$C$4,-1)) )</f>
        <v/>
      </c>
    </row>
    <row r="1165" spans="7:12">
      <c r="G1165">
        <f ca="1">IF( ISNUMBER($L1165), MAX($G$50:G1164)+1,0)</f>
        <v>0</v>
      </c>
      <c r="H1165" s="13"/>
      <c r="I1165" s="67"/>
      <c r="J1165" s="67"/>
      <c r="K1165" s="80" t="str">
        <f t="shared" si="22"/>
        <v>CDAVG</v>
      </c>
      <c r="L1165" s="80" t="str">
        <f ca="1">IF(ISNUMBER(FIND("(",$I1165)), "", _xll.IMDP("IR", $K1165, $L$50, WORKDAY('CD|CP 발행사'!$C$4,-1)) )</f>
        <v/>
      </c>
    </row>
    <row r="1166" spans="7:12">
      <c r="G1166">
        <f ca="1">IF( ISNUMBER($L1166), MAX($G$50:G1165)+1,0)</f>
        <v>0</v>
      </c>
      <c r="H1166" s="13"/>
      <c r="I1166" s="67"/>
      <c r="J1166" s="67"/>
      <c r="K1166" s="80" t="str">
        <f t="shared" si="22"/>
        <v>CDAVG</v>
      </c>
      <c r="L1166" s="80" t="str">
        <f ca="1">IF(ISNUMBER(FIND("(",$I1166)), "", _xll.IMDP("IR", $K1166, $L$50, WORKDAY('CD|CP 발행사'!$C$4,-1)) )</f>
        <v/>
      </c>
    </row>
    <row r="1167" spans="7:12">
      <c r="G1167">
        <f ca="1">IF( ISNUMBER($L1167), MAX($G$50:G1166)+1,0)</f>
        <v>0</v>
      </c>
      <c r="H1167" s="13"/>
      <c r="I1167" s="67"/>
      <c r="J1167" s="67"/>
      <c r="K1167" s="80" t="str">
        <f t="shared" si="22"/>
        <v>CDAVG</v>
      </c>
      <c r="L1167" s="80" t="str">
        <f ca="1">IF(ISNUMBER(FIND("(",$I1167)), "", _xll.IMDP("IR", $K1167, $L$50, WORKDAY('CD|CP 발행사'!$C$4,-1)) )</f>
        <v/>
      </c>
    </row>
    <row r="1168" spans="7:12">
      <c r="G1168">
        <f ca="1">IF( ISNUMBER($L1168), MAX($G$50:G1167)+1,0)</f>
        <v>0</v>
      </c>
      <c r="H1168" s="13"/>
      <c r="I1168" s="67"/>
      <c r="J1168" s="67"/>
      <c r="K1168" s="80" t="str">
        <f t="shared" si="22"/>
        <v>CDAVG</v>
      </c>
      <c r="L1168" s="80" t="str">
        <f ca="1">IF(ISNUMBER(FIND("(",$I1168)), "", _xll.IMDP("IR", $K1168, $L$50, WORKDAY('CD|CP 발행사'!$C$4,-1)) )</f>
        <v/>
      </c>
    </row>
    <row r="1169" spans="7:12">
      <c r="G1169">
        <f ca="1">IF( ISNUMBER($L1169), MAX($G$50:G1168)+1,0)</f>
        <v>0</v>
      </c>
      <c r="H1169" s="13"/>
      <c r="I1169" s="67"/>
      <c r="J1169" s="67"/>
      <c r="K1169" s="80" t="str">
        <f t="shared" si="22"/>
        <v>CDAVG</v>
      </c>
      <c r="L1169" s="80" t="str">
        <f ca="1">IF(ISNUMBER(FIND("(",$I1169)), "", _xll.IMDP("IR", $K1169, $L$50, WORKDAY('CD|CP 발행사'!$C$4,-1)) )</f>
        <v/>
      </c>
    </row>
    <row r="1170" spans="7:12">
      <c r="G1170">
        <f ca="1">IF( ISNUMBER($L1170), MAX($G$50:G1169)+1,0)</f>
        <v>0</v>
      </c>
      <c r="H1170" s="13"/>
      <c r="I1170" s="67"/>
      <c r="J1170" s="67"/>
      <c r="K1170" s="80" t="str">
        <f t="shared" si="22"/>
        <v>CDAVG</v>
      </c>
      <c r="L1170" s="80" t="str">
        <f ca="1">IF(ISNUMBER(FIND("(",$I1170)), "", _xll.IMDP("IR", $K1170, $L$50, WORKDAY('CD|CP 발행사'!$C$4,-1)) )</f>
        <v/>
      </c>
    </row>
    <row r="1171" spans="7:12">
      <c r="G1171">
        <f ca="1">IF( ISNUMBER($L1171), MAX($G$50:G1170)+1,0)</f>
        <v>0</v>
      </c>
      <c r="H1171" s="13"/>
      <c r="I1171" s="67"/>
      <c r="J1171" s="67"/>
      <c r="K1171" s="80" t="str">
        <f t="shared" si="22"/>
        <v>CDAVG</v>
      </c>
      <c r="L1171" s="80" t="str">
        <f ca="1">IF(ISNUMBER(FIND("(",$I1171)), "", _xll.IMDP("IR", $K1171, $L$50, WORKDAY('CD|CP 발행사'!$C$4,-1)) )</f>
        <v/>
      </c>
    </row>
    <row r="1172" spans="7:12">
      <c r="G1172">
        <f ca="1">IF( ISNUMBER($L1172), MAX($G$50:G1171)+1,0)</f>
        <v>0</v>
      </c>
      <c r="H1172" s="13"/>
      <c r="I1172" s="67"/>
      <c r="J1172" s="67"/>
      <c r="K1172" s="80" t="str">
        <f t="shared" si="22"/>
        <v>CDAVG</v>
      </c>
      <c r="L1172" s="80" t="str">
        <f ca="1">IF(ISNUMBER(FIND("(",$I1172)), "", _xll.IMDP("IR", $K1172, $L$50, WORKDAY('CD|CP 발행사'!$C$4,-1)) )</f>
        <v/>
      </c>
    </row>
    <row r="1173" spans="7:12">
      <c r="G1173">
        <f ca="1">IF( ISNUMBER($L1173), MAX($G$50:G1172)+1,0)</f>
        <v>0</v>
      </c>
      <c r="H1173" s="13"/>
      <c r="I1173" s="67"/>
      <c r="J1173" s="67"/>
      <c r="K1173" s="80" t="str">
        <f t="shared" si="22"/>
        <v>CDAVG</v>
      </c>
      <c r="L1173" s="80" t="str">
        <f ca="1">IF(ISNUMBER(FIND("(",$I1173)), "", _xll.IMDP("IR", $K1173, $L$50, WORKDAY('CD|CP 발행사'!$C$4,-1)) )</f>
        <v/>
      </c>
    </row>
    <row r="1174" spans="7:12">
      <c r="G1174">
        <f ca="1">IF( ISNUMBER($L1174), MAX($G$50:G1173)+1,0)</f>
        <v>0</v>
      </c>
      <c r="H1174" s="13"/>
      <c r="I1174" s="67"/>
      <c r="J1174" s="67"/>
      <c r="K1174" s="80" t="str">
        <f t="shared" si="22"/>
        <v>CDAVG</v>
      </c>
      <c r="L1174" s="80" t="str">
        <f ca="1">IF(ISNUMBER(FIND("(",$I1174)), "", _xll.IMDP("IR", $K1174, $L$50, WORKDAY('CD|CP 발행사'!$C$4,-1)) )</f>
        <v/>
      </c>
    </row>
    <row r="1175" spans="7:12">
      <c r="G1175">
        <f ca="1">IF( ISNUMBER($L1175), MAX($G$50:G1174)+1,0)</f>
        <v>0</v>
      </c>
      <c r="H1175" s="13"/>
      <c r="I1175" s="67"/>
      <c r="J1175" s="67"/>
      <c r="K1175" s="80" t="str">
        <f t="shared" si="22"/>
        <v>CDAVG</v>
      </c>
      <c r="L1175" s="80" t="str">
        <f ca="1">IF(ISNUMBER(FIND("(",$I1175)), "", _xll.IMDP("IR", $K1175, $L$50, WORKDAY('CD|CP 발행사'!$C$4,-1)) )</f>
        <v/>
      </c>
    </row>
    <row r="1176" spans="7:12">
      <c r="G1176">
        <f ca="1">IF( ISNUMBER($L1176), MAX($G$50:G1175)+1,0)</f>
        <v>0</v>
      </c>
      <c r="H1176" s="13"/>
      <c r="I1176" s="67"/>
      <c r="J1176" s="67"/>
      <c r="K1176" s="80" t="str">
        <f t="shared" si="22"/>
        <v>CDAVG</v>
      </c>
      <c r="L1176" s="80" t="str">
        <f ca="1">IF(ISNUMBER(FIND("(",$I1176)), "", _xll.IMDP("IR", $K1176, $L$50, WORKDAY('CD|CP 발행사'!$C$4,-1)) )</f>
        <v/>
      </c>
    </row>
    <row r="1177" spans="7:12">
      <c r="G1177">
        <f ca="1">IF( ISNUMBER($L1177), MAX($G$50:G1176)+1,0)</f>
        <v>0</v>
      </c>
      <c r="H1177" s="13"/>
      <c r="I1177" s="67"/>
      <c r="J1177" s="67"/>
      <c r="K1177" s="80" t="str">
        <f t="shared" si="22"/>
        <v>CDAVG</v>
      </c>
      <c r="L1177" s="80" t="str">
        <f ca="1">IF(ISNUMBER(FIND("(",$I1177)), "", _xll.IMDP("IR", $K1177, $L$50, WORKDAY('CD|CP 발행사'!$C$4,-1)) )</f>
        <v/>
      </c>
    </row>
    <row r="1178" spans="7:12">
      <c r="G1178">
        <f ca="1">IF( ISNUMBER($L1178), MAX($G$50:G1177)+1,0)</f>
        <v>0</v>
      </c>
      <c r="H1178" s="13"/>
      <c r="I1178" s="67"/>
      <c r="J1178" s="67"/>
      <c r="K1178" s="80" t="str">
        <f t="shared" si="22"/>
        <v>CDAVG</v>
      </c>
      <c r="L1178" s="80" t="str">
        <f ca="1">IF(ISNUMBER(FIND("(",$I1178)), "", _xll.IMDP("IR", $K1178, $L$50, WORKDAY('CD|CP 발행사'!$C$4,-1)) )</f>
        <v/>
      </c>
    </row>
    <row r="1179" spans="7:12">
      <c r="G1179">
        <f ca="1">IF( ISNUMBER($L1179), MAX($G$50:G1178)+1,0)</f>
        <v>0</v>
      </c>
      <c r="H1179" s="13"/>
      <c r="I1179" s="67"/>
      <c r="J1179" s="67"/>
      <c r="K1179" s="80" t="str">
        <f t="shared" si="22"/>
        <v>CDAVG</v>
      </c>
      <c r="L1179" s="80" t="str">
        <f ca="1">IF(ISNUMBER(FIND("(",$I1179)), "", _xll.IMDP("IR", $K1179, $L$50, WORKDAY('CD|CP 발행사'!$C$4,-1)) )</f>
        <v/>
      </c>
    </row>
    <row r="1180" spans="7:12">
      <c r="G1180">
        <f ca="1">IF( ISNUMBER($L1180), MAX($G$50:G1179)+1,0)</f>
        <v>0</v>
      </c>
      <c r="H1180" s="13"/>
      <c r="I1180" s="67"/>
      <c r="J1180" s="67"/>
      <c r="K1180" s="80" t="str">
        <f t="shared" si="22"/>
        <v>CDAVG</v>
      </c>
      <c r="L1180" s="80" t="str">
        <f ca="1">IF(ISNUMBER(FIND("(",$I1180)), "", _xll.IMDP("IR", $K1180, $L$50, WORKDAY('CD|CP 발행사'!$C$4,-1)) )</f>
        <v/>
      </c>
    </row>
    <row r="1181" spans="7:12">
      <c r="G1181">
        <f ca="1">IF( ISNUMBER($L1181), MAX($G$50:G1180)+1,0)</f>
        <v>0</v>
      </c>
      <c r="H1181" s="13"/>
      <c r="I1181" s="67"/>
      <c r="J1181" s="67"/>
      <c r="K1181" s="80" t="str">
        <f t="shared" si="22"/>
        <v>CDAVG</v>
      </c>
      <c r="L1181" s="80" t="str">
        <f ca="1">IF(ISNUMBER(FIND("(",$I1181)), "", _xll.IMDP("IR", $K1181, $L$50, WORKDAY('CD|CP 발행사'!$C$4,-1)) )</f>
        <v/>
      </c>
    </row>
    <row r="1182" spans="7:12">
      <c r="G1182">
        <f ca="1">IF( ISNUMBER($L1182), MAX($G$50:G1181)+1,0)</f>
        <v>0</v>
      </c>
      <c r="H1182" s="13"/>
      <c r="I1182" s="67"/>
      <c r="J1182" s="67"/>
      <c r="K1182" s="80" t="str">
        <f t="shared" si="22"/>
        <v>CDAVG</v>
      </c>
      <c r="L1182" s="80" t="str">
        <f ca="1">IF(ISNUMBER(FIND("(",$I1182)), "", _xll.IMDP("IR", $K1182, $L$50, WORKDAY('CD|CP 발행사'!$C$4,-1)) )</f>
        <v/>
      </c>
    </row>
    <row r="1183" spans="7:12">
      <c r="G1183">
        <f ca="1">IF( ISNUMBER($L1183), MAX($G$50:G1182)+1,0)</f>
        <v>0</v>
      </c>
      <c r="H1183" s="13"/>
      <c r="I1183" s="67"/>
      <c r="J1183" s="67"/>
      <c r="K1183" s="80" t="str">
        <f t="shared" si="22"/>
        <v>CDAVG</v>
      </c>
      <c r="L1183" s="80" t="str">
        <f ca="1">IF(ISNUMBER(FIND("(",$I1183)), "", _xll.IMDP("IR", $K1183, $L$50, WORKDAY('CD|CP 발행사'!$C$4,-1)) )</f>
        <v/>
      </c>
    </row>
    <row r="1184" spans="7:12">
      <c r="G1184">
        <f ca="1">IF( ISNUMBER($L1184), MAX($G$50:G1183)+1,0)</f>
        <v>0</v>
      </c>
      <c r="H1184" s="13"/>
      <c r="I1184" s="67"/>
      <c r="J1184" s="67"/>
      <c r="K1184" s="80" t="str">
        <f t="shared" si="22"/>
        <v>CDAVG</v>
      </c>
      <c r="L1184" s="80" t="str">
        <f ca="1">IF(ISNUMBER(FIND("(",$I1184)), "", _xll.IMDP("IR", $K1184, $L$50, WORKDAY('CD|CP 발행사'!$C$4,-1)) )</f>
        <v/>
      </c>
    </row>
    <row r="1185" spans="7:12">
      <c r="G1185">
        <f ca="1">IF( ISNUMBER($L1185), MAX($G$50:G1184)+1,0)</f>
        <v>0</v>
      </c>
      <c r="H1185" s="13"/>
      <c r="I1185" s="67"/>
      <c r="J1185" s="67"/>
      <c r="K1185" s="80" t="str">
        <f t="shared" si="22"/>
        <v>CDAVG</v>
      </c>
      <c r="L1185" s="80" t="str">
        <f ca="1">IF(ISNUMBER(FIND("(",$I1185)), "", _xll.IMDP("IR", $K1185, $L$50, WORKDAY('CD|CP 발행사'!$C$4,-1)) )</f>
        <v/>
      </c>
    </row>
    <row r="1186" spans="7:12">
      <c r="G1186">
        <f ca="1">IF( ISNUMBER($L1186), MAX($G$50:G1185)+1,0)</f>
        <v>0</v>
      </c>
      <c r="H1186" s="13"/>
      <c r="I1186" s="67"/>
      <c r="J1186" s="67"/>
      <c r="K1186" s="80" t="str">
        <f t="shared" si="22"/>
        <v>CDAVG</v>
      </c>
      <c r="L1186" s="80" t="str">
        <f ca="1">IF(ISNUMBER(FIND("(",$I1186)), "", _xll.IMDP("IR", $K1186, $L$50, WORKDAY('CD|CP 발행사'!$C$4,-1)) )</f>
        <v/>
      </c>
    </row>
    <row r="1187" spans="7:12">
      <c r="G1187">
        <f ca="1">IF( ISNUMBER($L1187), MAX($G$50:G1186)+1,0)</f>
        <v>0</v>
      </c>
      <c r="H1187" s="13"/>
      <c r="I1187" s="67"/>
      <c r="J1187" s="67"/>
      <c r="K1187" s="80" t="str">
        <f t="shared" si="22"/>
        <v>CDAVG</v>
      </c>
      <c r="L1187" s="80" t="str">
        <f ca="1">IF(ISNUMBER(FIND("(",$I1187)), "", _xll.IMDP("IR", $K1187, $L$50, WORKDAY('CD|CP 발행사'!$C$4,-1)) )</f>
        <v/>
      </c>
    </row>
    <row r="1188" spans="7:12">
      <c r="G1188">
        <f ca="1">IF( ISNUMBER($L1188), MAX($G$50:G1187)+1,0)</f>
        <v>0</v>
      </c>
      <c r="H1188" s="13"/>
      <c r="I1188" s="67"/>
      <c r="J1188" s="67"/>
      <c r="K1188" s="80" t="str">
        <f t="shared" si="22"/>
        <v>CDAVG</v>
      </c>
      <c r="L1188" s="80" t="str">
        <f ca="1">IF(ISNUMBER(FIND("(",$I1188)), "", _xll.IMDP("IR", $K1188, $L$50, WORKDAY('CD|CP 발행사'!$C$4,-1)) )</f>
        <v/>
      </c>
    </row>
    <row r="1189" spans="7:12">
      <c r="G1189">
        <f ca="1">IF( ISNUMBER($L1189), MAX($G$50:G1188)+1,0)</f>
        <v>0</v>
      </c>
      <c r="H1189" s="13"/>
      <c r="I1189" s="67"/>
      <c r="J1189" s="67"/>
      <c r="K1189" s="80" t="str">
        <f t="shared" si="22"/>
        <v>CDAVG</v>
      </c>
      <c r="L1189" s="80" t="str">
        <f ca="1">IF(ISNUMBER(FIND("(",$I1189)), "", _xll.IMDP("IR", $K1189, $L$50, WORKDAY('CD|CP 발행사'!$C$4,-1)) )</f>
        <v/>
      </c>
    </row>
    <row r="1190" spans="7:12">
      <c r="G1190">
        <f ca="1">IF( ISNUMBER($L1190), MAX($G$50:G1189)+1,0)</f>
        <v>0</v>
      </c>
      <c r="H1190" s="13"/>
      <c r="I1190" s="67"/>
      <c r="J1190" s="67"/>
      <c r="K1190" s="80" t="str">
        <f t="shared" si="22"/>
        <v>CDAVG</v>
      </c>
      <c r="L1190" s="80" t="str">
        <f ca="1">IF(ISNUMBER(FIND("(",$I1190)), "", _xll.IMDP("IR", $K1190, $L$50, WORKDAY('CD|CP 발행사'!$C$4,-1)) )</f>
        <v/>
      </c>
    </row>
    <row r="1191" spans="7:12">
      <c r="G1191">
        <f ca="1">IF( ISNUMBER($L1191), MAX($G$50:G1190)+1,0)</f>
        <v>0</v>
      </c>
      <c r="H1191" s="13"/>
      <c r="I1191" s="67"/>
      <c r="J1191" s="67"/>
      <c r="K1191" s="80" t="str">
        <f t="shared" si="22"/>
        <v>CDAVG</v>
      </c>
      <c r="L1191" s="80" t="str">
        <f ca="1">IF(ISNUMBER(FIND("(",$I1191)), "", _xll.IMDP("IR", $K1191, $L$50, WORKDAY('CD|CP 발행사'!$C$4,-1)) )</f>
        <v/>
      </c>
    </row>
    <row r="1192" spans="7:12">
      <c r="G1192">
        <f ca="1">IF( ISNUMBER($L1192), MAX($G$50:G1191)+1,0)</f>
        <v>0</v>
      </c>
      <c r="H1192" s="13"/>
      <c r="I1192" s="67"/>
      <c r="J1192" s="67"/>
      <c r="K1192" s="80" t="str">
        <f t="shared" si="22"/>
        <v>CDAVG</v>
      </c>
      <c r="L1192" s="80" t="str">
        <f ca="1">IF(ISNUMBER(FIND("(",$I1192)), "", _xll.IMDP("IR", $K1192, $L$50, WORKDAY('CD|CP 발행사'!$C$4,-1)) )</f>
        <v/>
      </c>
    </row>
    <row r="1193" spans="7:12">
      <c r="G1193">
        <f ca="1">IF( ISNUMBER($L1193), MAX($G$50:G1192)+1,0)</f>
        <v>0</v>
      </c>
      <c r="H1193" s="13"/>
      <c r="I1193" s="67"/>
      <c r="J1193" s="67"/>
      <c r="K1193" s="80" t="str">
        <f t="shared" si="22"/>
        <v>CDAVG</v>
      </c>
      <c r="L1193" s="80" t="str">
        <f ca="1">IF(ISNUMBER(FIND("(",$I1193)), "", _xll.IMDP("IR", $K1193, $L$50, WORKDAY('CD|CP 발행사'!$C$4,-1)) )</f>
        <v/>
      </c>
    </row>
    <row r="1194" spans="7:12">
      <c r="G1194">
        <f ca="1">IF( ISNUMBER($L1194), MAX($G$50:G1193)+1,0)</f>
        <v>0</v>
      </c>
      <c r="H1194" s="13"/>
      <c r="I1194" s="67"/>
      <c r="J1194" s="67"/>
      <c r="K1194" s="80" t="str">
        <f t="shared" si="22"/>
        <v>CDAVG</v>
      </c>
      <c r="L1194" s="80" t="str">
        <f ca="1">IF(ISNUMBER(FIND("(",$I1194)), "", _xll.IMDP("IR", $K1194, $L$50, WORKDAY('CD|CP 발행사'!$C$4,-1)) )</f>
        <v/>
      </c>
    </row>
    <row r="1195" spans="7:12">
      <c r="G1195">
        <f ca="1">IF( ISNUMBER($L1195), MAX($G$50:G1194)+1,0)</f>
        <v>0</v>
      </c>
      <c r="H1195" s="13"/>
      <c r="I1195" s="67"/>
      <c r="J1195" s="67"/>
      <c r="K1195" s="80" t="str">
        <f t="shared" si="22"/>
        <v>CDAVG</v>
      </c>
      <c r="L1195" s="80" t="str">
        <f ca="1">IF(ISNUMBER(FIND("(",$I1195)), "", _xll.IMDP("IR", $K1195, $L$50, WORKDAY('CD|CP 발행사'!$C$4,-1)) )</f>
        <v/>
      </c>
    </row>
    <row r="1196" spans="7:12">
      <c r="G1196">
        <f ca="1">IF( ISNUMBER($L1196), MAX($G$50:G1195)+1,0)</f>
        <v>0</v>
      </c>
      <c r="H1196" s="13"/>
      <c r="I1196" s="67"/>
      <c r="J1196" s="67"/>
      <c r="K1196" s="80" t="str">
        <f t="shared" si="22"/>
        <v>CDAVG</v>
      </c>
      <c r="L1196" s="80" t="str">
        <f ca="1">IF(ISNUMBER(FIND("(",$I1196)), "", _xll.IMDP("IR", $K1196, $L$50, WORKDAY('CD|CP 발행사'!$C$4,-1)) )</f>
        <v/>
      </c>
    </row>
    <row r="1197" spans="7:12">
      <c r="G1197">
        <f ca="1">IF( ISNUMBER($L1197), MAX($G$50:G1196)+1,0)</f>
        <v>0</v>
      </c>
      <c r="H1197" s="13"/>
      <c r="I1197" s="67"/>
      <c r="J1197" s="67"/>
      <c r="K1197" s="80" t="str">
        <f t="shared" si="22"/>
        <v>CDAVG</v>
      </c>
      <c r="L1197" s="80" t="str">
        <f ca="1">IF(ISNUMBER(FIND("(",$I1197)), "", _xll.IMDP("IR", $K1197, $L$50, WORKDAY('CD|CP 발행사'!$C$4,-1)) )</f>
        <v/>
      </c>
    </row>
    <row r="1198" spans="7:12">
      <c r="G1198">
        <f ca="1">IF( ISNUMBER($L1198), MAX($G$50:G1197)+1,0)</f>
        <v>0</v>
      </c>
      <c r="H1198" s="13"/>
      <c r="I1198" s="67"/>
      <c r="J1198" s="67"/>
      <c r="K1198" s="80" t="str">
        <f t="shared" si="22"/>
        <v>CDAVG</v>
      </c>
      <c r="L1198" s="80" t="str">
        <f ca="1">IF(ISNUMBER(FIND("(",$I1198)), "", _xll.IMDP("IR", $K1198, $L$50, WORKDAY('CD|CP 발행사'!$C$4,-1)) )</f>
        <v/>
      </c>
    </row>
    <row r="1199" spans="7:12">
      <c r="G1199">
        <f ca="1">IF( ISNUMBER($L1199), MAX($G$50:G1198)+1,0)</f>
        <v>0</v>
      </c>
      <c r="H1199" s="13"/>
      <c r="I1199" s="67"/>
      <c r="J1199" s="67"/>
      <c r="K1199" s="80" t="str">
        <f t="shared" si="22"/>
        <v>CDAVG</v>
      </c>
      <c r="L1199" s="80" t="str">
        <f ca="1">IF(ISNUMBER(FIND("(",$I1199)), "", _xll.IMDP("IR", $K1199, $L$50, WORKDAY('CD|CP 발행사'!$C$4,-1)) )</f>
        <v/>
      </c>
    </row>
    <row r="1200" spans="7:12">
      <c r="G1200">
        <f ca="1">IF( ISNUMBER($L1200), MAX($G$50:G1199)+1,0)</f>
        <v>0</v>
      </c>
      <c r="H1200" s="13"/>
      <c r="I1200" s="67"/>
      <c r="J1200" s="67"/>
      <c r="K1200" s="80" t="str">
        <f t="shared" si="22"/>
        <v>CDAVG</v>
      </c>
      <c r="L1200" s="80" t="str">
        <f ca="1">IF(ISNUMBER(FIND("(",$I1200)), "", _xll.IMDP("IR", $K1200, $L$50, WORKDAY('CD|CP 발행사'!$C$4,-1)) )</f>
        <v/>
      </c>
    </row>
    <row r="1201" spans="7:12">
      <c r="G1201">
        <f ca="1">IF( ISNUMBER($L1201), MAX($G$50:G1200)+1,0)</f>
        <v>0</v>
      </c>
      <c r="H1201" s="13"/>
      <c r="I1201" s="67"/>
      <c r="J1201" s="67"/>
      <c r="K1201" s="80" t="str">
        <f t="shared" si="22"/>
        <v>CDAVG</v>
      </c>
      <c r="L1201" s="80" t="str">
        <f ca="1">IF(ISNUMBER(FIND("(",$I1201)), "", _xll.IMDP("IR", $K1201, $L$50, WORKDAY('CD|CP 발행사'!$C$4,-1)) )</f>
        <v/>
      </c>
    </row>
    <row r="1202" spans="7:12">
      <c r="G1202">
        <f ca="1">IF( ISNUMBER($L1202), MAX($G$50:G1201)+1,0)</f>
        <v>0</v>
      </c>
      <c r="H1202" s="13"/>
      <c r="I1202" s="67"/>
      <c r="J1202" s="67"/>
      <c r="K1202" s="80" t="str">
        <f t="shared" si="22"/>
        <v>CDAVG</v>
      </c>
      <c r="L1202" s="80" t="str">
        <f ca="1">IF(ISNUMBER(FIND("(",$I1202)), "", _xll.IMDP("IR", $K1202, $L$50, WORKDAY('CD|CP 발행사'!$C$4,-1)) )</f>
        <v/>
      </c>
    </row>
    <row r="1203" spans="7:12">
      <c r="G1203">
        <f ca="1">IF( ISNUMBER($L1203), MAX($G$50:G1202)+1,0)</f>
        <v>0</v>
      </c>
      <c r="H1203" s="13"/>
      <c r="I1203" s="67"/>
      <c r="J1203" s="67"/>
      <c r="K1203" s="80" t="str">
        <f t="shared" ref="K1203:K1266" si="23">$K$49&amp;$H1203</f>
        <v>CDAVG</v>
      </c>
      <c r="L1203" s="80" t="str">
        <f ca="1">IF(ISNUMBER(FIND("(",$I1203)), "", _xll.IMDP("IR", $K1203, $L$50, WORKDAY('CD|CP 발행사'!$C$4,-1)) )</f>
        <v/>
      </c>
    </row>
    <row r="1204" spans="7:12">
      <c r="G1204">
        <f ca="1">IF( ISNUMBER($L1204), MAX($G$50:G1203)+1,0)</f>
        <v>0</v>
      </c>
      <c r="H1204" s="13"/>
      <c r="I1204" s="67"/>
      <c r="J1204" s="67"/>
      <c r="K1204" s="80" t="str">
        <f t="shared" si="23"/>
        <v>CDAVG</v>
      </c>
      <c r="L1204" s="80" t="str">
        <f ca="1">IF(ISNUMBER(FIND("(",$I1204)), "", _xll.IMDP("IR", $K1204, $L$50, WORKDAY('CD|CP 발행사'!$C$4,-1)) )</f>
        <v/>
      </c>
    </row>
    <row r="1205" spans="7:12">
      <c r="G1205">
        <f ca="1">IF( ISNUMBER($L1205), MAX($G$50:G1204)+1,0)</f>
        <v>0</v>
      </c>
      <c r="H1205" s="13"/>
      <c r="I1205" s="67"/>
      <c r="J1205" s="67"/>
      <c r="K1205" s="80" t="str">
        <f t="shared" si="23"/>
        <v>CDAVG</v>
      </c>
      <c r="L1205" s="80" t="str">
        <f ca="1">IF(ISNUMBER(FIND("(",$I1205)), "", _xll.IMDP("IR", $K1205, $L$50, WORKDAY('CD|CP 발행사'!$C$4,-1)) )</f>
        <v/>
      </c>
    </row>
    <row r="1206" spans="7:12">
      <c r="G1206">
        <f ca="1">IF( ISNUMBER($L1206), MAX($G$50:G1205)+1,0)</f>
        <v>0</v>
      </c>
      <c r="H1206" s="13"/>
      <c r="I1206" s="67"/>
      <c r="J1206" s="67"/>
      <c r="K1206" s="80" t="str">
        <f t="shared" si="23"/>
        <v>CDAVG</v>
      </c>
      <c r="L1206" s="80" t="str">
        <f ca="1">IF(ISNUMBER(FIND("(",$I1206)), "", _xll.IMDP("IR", $K1206, $L$50, WORKDAY('CD|CP 발행사'!$C$4,-1)) )</f>
        <v/>
      </c>
    </row>
    <row r="1207" spans="7:12">
      <c r="G1207">
        <f ca="1">IF( ISNUMBER($L1207), MAX($G$50:G1206)+1,0)</f>
        <v>0</v>
      </c>
      <c r="H1207" s="13"/>
      <c r="I1207" s="67"/>
      <c r="J1207" s="67"/>
      <c r="K1207" s="80" t="str">
        <f t="shared" si="23"/>
        <v>CDAVG</v>
      </c>
      <c r="L1207" s="80" t="str">
        <f ca="1">IF(ISNUMBER(FIND("(",$I1207)), "", _xll.IMDP("IR", $K1207, $L$50, WORKDAY('CD|CP 발행사'!$C$4,-1)) )</f>
        <v/>
      </c>
    </row>
    <row r="1208" spans="7:12">
      <c r="G1208">
        <f ca="1">IF( ISNUMBER($L1208), MAX($G$50:G1207)+1,0)</f>
        <v>0</v>
      </c>
      <c r="H1208" s="13"/>
      <c r="I1208" s="67"/>
      <c r="J1208" s="67"/>
      <c r="K1208" s="80" t="str">
        <f t="shared" si="23"/>
        <v>CDAVG</v>
      </c>
      <c r="L1208" s="80" t="str">
        <f ca="1">IF(ISNUMBER(FIND("(",$I1208)), "", _xll.IMDP("IR", $K1208, $L$50, WORKDAY('CD|CP 발행사'!$C$4,-1)) )</f>
        <v/>
      </c>
    </row>
    <row r="1209" spans="7:12">
      <c r="G1209">
        <f ca="1">IF( ISNUMBER($L1209), MAX($G$50:G1208)+1,0)</f>
        <v>0</v>
      </c>
      <c r="H1209" s="13"/>
      <c r="I1209" s="67"/>
      <c r="J1209" s="67"/>
      <c r="K1209" s="80" t="str">
        <f t="shared" si="23"/>
        <v>CDAVG</v>
      </c>
      <c r="L1209" s="80" t="str">
        <f ca="1">IF(ISNUMBER(FIND("(",$I1209)), "", _xll.IMDP("IR", $K1209, $L$50, WORKDAY('CD|CP 발행사'!$C$4,-1)) )</f>
        <v/>
      </c>
    </row>
    <row r="1210" spans="7:12">
      <c r="G1210">
        <f ca="1">IF( ISNUMBER($L1210), MAX($G$50:G1209)+1,0)</f>
        <v>0</v>
      </c>
      <c r="H1210" s="13"/>
      <c r="I1210" s="67"/>
      <c r="J1210" s="67"/>
      <c r="K1210" s="80" t="str">
        <f t="shared" si="23"/>
        <v>CDAVG</v>
      </c>
      <c r="L1210" s="80" t="str">
        <f ca="1">IF(ISNUMBER(FIND("(",$I1210)), "", _xll.IMDP("IR", $K1210, $L$50, WORKDAY('CD|CP 발행사'!$C$4,-1)) )</f>
        <v/>
      </c>
    </row>
    <row r="1211" spans="7:12">
      <c r="G1211">
        <f ca="1">IF( ISNUMBER($L1211), MAX($G$50:G1210)+1,0)</f>
        <v>0</v>
      </c>
      <c r="H1211" s="13"/>
      <c r="I1211" s="67"/>
      <c r="J1211" s="67"/>
      <c r="K1211" s="80" t="str">
        <f t="shared" si="23"/>
        <v>CDAVG</v>
      </c>
      <c r="L1211" s="80" t="str">
        <f ca="1">IF(ISNUMBER(FIND("(",$I1211)), "", _xll.IMDP("IR", $K1211, $L$50, WORKDAY('CD|CP 발행사'!$C$4,-1)) )</f>
        <v/>
      </c>
    </row>
    <row r="1212" spans="7:12">
      <c r="G1212">
        <f ca="1">IF( ISNUMBER($L1212), MAX($G$50:G1211)+1,0)</f>
        <v>0</v>
      </c>
      <c r="H1212" s="13"/>
      <c r="I1212" s="67"/>
      <c r="J1212" s="67"/>
      <c r="K1212" s="80" t="str">
        <f t="shared" si="23"/>
        <v>CDAVG</v>
      </c>
      <c r="L1212" s="80" t="str">
        <f ca="1">IF(ISNUMBER(FIND("(",$I1212)), "", _xll.IMDP("IR", $K1212, $L$50, WORKDAY('CD|CP 발행사'!$C$4,-1)) )</f>
        <v/>
      </c>
    </row>
    <row r="1213" spans="7:12">
      <c r="G1213">
        <f ca="1">IF( ISNUMBER($L1213), MAX($G$50:G1212)+1,0)</f>
        <v>0</v>
      </c>
      <c r="H1213" s="13"/>
      <c r="I1213" s="67"/>
      <c r="J1213" s="67"/>
      <c r="K1213" s="80" t="str">
        <f t="shared" si="23"/>
        <v>CDAVG</v>
      </c>
      <c r="L1213" s="80" t="str">
        <f ca="1">IF(ISNUMBER(FIND("(",$I1213)), "", _xll.IMDP("IR", $K1213, $L$50, WORKDAY('CD|CP 발행사'!$C$4,-1)) )</f>
        <v/>
      </c>
    </row>
    <row r="1214" spans="7:12">
      <c r="G1214">
        <f ca="1">IF( ISNUMBER($L1214), MAX($G$50:G1213)+1,0)</f>
        <v>0</v>
      </c>
      <c r="H1214" s="13"/>
      <c r="I1214" s="67"/>
      <c r="J1214" s="67"/>
      <c r="K1214" s="80" t="str">
        <f t="shared" si="23"/>
        <v>CDAVG</v>
      </c>
      <c r="L1214" s="80" t="str">
        <f ca="1">IF(ISNUMBER(FIND("(",$I1214)), "", _xll.IMDP("IR", $K1214, $L$50, WORKDAY('CD|CP 발행사'!$C$4,-1)) )</f>
        <v/>
      </c>
    </row>
    <row r="1215" spans="7:12">
      <c r="G1215">
        <f ca="1">IF( ISNUMBER($L1215), MAX($G$50:G1214)+1,0)</f>
        <v>0</v>
      </c>
      <c r="H1215" s="13"/>
      <c r="I1215" s="67"/>
      <c r="J1215" s="67"/>
      <c r="K1215" s="80" t="str">
        <f t="shared" si="23"/>
        <v>CDAVG</v>
      </c>
      <c r="L1215" s="80" t="str">
        <f ca="1">IF(ISNUMBER(FIND("(",$I1215)), "", _xll.IMDP("IR", $K1215, $L$50, WORKDAY('CD|CP 발행사'!$C$4,-1)) )</f>
        <v/>
      </c>
    </row>
    <row r="1216" spans="7:12">
      <c r="G1216">
        <f ca="1">IF( ISNUMBER($L1216), MAX($G$50:G1215)+1,0)</f>
        <v>0</v>
      </c>
      <c r="H1216" s="13"/>
      <c r="I1216" s="67"/>
      <c r="J1216" s="67"/>
      <c r="K1216" s="80" t="str">
        <f t="shared" si="23"/>
        <v>CDAVG</v>
      </c>
      <c r="L1216" s="80" t="str">
        <f ca="1">IF(ISNUMBER(FIND("(",$I1216)), "", _xll.IMDP("IR", $K1216, $L$50, WORKDAY('CD|CP 발행사'!$C$4,-1)) )</f>
        <v/>
      </c>
    </row>
    <row r="1217" spans="7:12">
      <c r="G1217">
        <f ca="1">IF( ISNUMBER($L1217), MAX($G$50:G1216)+1,0)</f>
        <v>0</v>
      </c>
      <c r="H1217" s="13"/>
      <c r="I1217" s="67"/>
      <c r="J1217" s="67"/>
      <c r="K1217" s="80" t="str">
        <f t="shared" si="23"/>
        <v>CDAVG</v>
      </c>
      <c r="L1217" s="80" t="str">
        <f ca="1">IF(ISNUMBER(FIND("(",$I1217)), "", _xll.IMDP("IR", $K1217, $L$50, WORKDAY('CD|CP 발행사'!$C$4,-1)) )</f>
        <v/>
      </c>
    </row>
    <row r="1218" spans="7:12">
      <c r="G1218">
        <f ca="1">IF( ISNUMBER($L1218), MAX($G$50:G1217)+1,0)</f>
        <v>0</v>
      </c>
      <c r="H1218" s="13"/>
      <c r="I1218" s="67"/>
      <c r="J1218" s="67"/>
      <c r="K1218" s="80" t="str">
        <f t="shared" si="23"/>
        <v>CDAVG</v>
      </c>
      <c r="L1218" s="80" t="str">
        <f ca="1">IF(ISNUMBER(FIND("(",$I1218)), "", _xll.IMDP("IR", $K1218, $L$50, WORKDAY('CD|CP 발행사'!$C$4,-1)) )</f>
        <v/>
      </c>
    </row>
    <row r="1219" spans="7:12">
      <c r="G1219">
        <f ca="1">IF( ISNUMBER($L1219), MAX($G$50:G1218)+1,0)</f>
        <v>0</v>
      </c>
      <c r="H1219" s="13"/>
      <c r="I1219" s="67"/>
      <c r="J1219" s="67"/>
      <c r="K1219" s="80" t="str">
        <f t="shared" si="23"/>
        <v>CDAVG</v>
      </c>
      <c r="L1219" s="80" t="str">
        <f ca="1">IF(ISNUMBER(FIND("(",$I1219)), "", _xll.IMDP("IR", $K1219, $L$50, WORKDAY('CD|CP 발행사'!$C$4,-1)) )</f>
        <v/>
      </c>
    </row>
    <row r="1220" spans="7:12">
      <c r="G1220">
        <f ca="1">IF( ISNUMBER($L1220), MAX($G$50:G1219)+1,0)</f>
        <v>0</v>
      </c>
      <c r="H1220" s="13"/>
      <c r="I1220" s="67"/>
      <c r="J1220" s="67"/>
      <c r="K1220" s="80" t="str">
        <f t="shared" si="23"/>
        <v>CDAVG</v>
      </c>
      <c r="L1220" s="80" t="str">
        <f ca="1">IF(ISNUMBER(FIND("(",$I1220)), "", _xll.IMDP("IR", $K1220, $L$50, WORKDAY('CD|CP 발행사'!$C$4,-1)) )</f>
        <v/>
      </c>
    </row>
    <row r="1221" spans="7:12">
      <c r="G1221">
        <f ca="1">IF( ISNUMBER($L1221), MAX($G$50:G1220)+1,0)</f>
        <v>0</v>
      </c>
      <c r="H1221" s="13"/>
      <c r="I1221" s="67"/>
      <c r="J1221" s="67"/>
      <c r="K1221" s="80" t="str">
        <f t="shared" si="23"/>
        <v>CDAVG</v>
      </c>
      <c r="L1221" s="80" t="str">
        <f ca="1">IF(ISNUMBER(FIND("(",$I1221)), "", _xll.IMDP("IR", $K1221, $L$50, WORKDAY('CD|CP 발행사'!$C$4,-1)) )</f>
        <v/>
      </c>
    </row>
    <row r="1222" spans="7:12">
      <c r="G1222">
        <f ca="1">IF( ISNUMBER($L1222), MAX($G$50:G1221)+1,0)</f>
        <v>0</v>
      </c>
      <c r="H1222" s="13"/>
      <c r="I1222" s="67"/>
      <c r="J1222" s="67"/>
      <c r="K1222" s="80" t="str">
        <f t="shared" si="23"/>
        <v>CDAVG</v>
      </c>
      <c r="L1222" s="80" t="str">
        <f ca="1">IF(ISNUMBER(FIND("(",$I1222)), "", _xll.IMDP("IR", $K1222, $L$50, WORKDAY('CD|CP 발행사'!$C$4,-1)) )</f>
        <v/>
      </c>
    </row>
    <row r="1223" spans="7:12">
      <c r="G1223">
        <f ca="1">IF( ISNUMBER($L1223), MAX($G$50:G1222)+1,0)</f>
        <v>0</v>
      </c>
      <c r="H1223" s="13"/>
      <c r="I1223" s="67"/>
      <c r="J1223" s="67"/>
      <c r="K1223" s="80" t="str">
        <f t="shared" si="23"/>
        <v>CDAVG</v>
      </c>
      <c r="L1223" s="80" t="str">
        <f ca="1">IF(ISNUMBER(FIND("(",$I1223)), "", _xll.IMDP("IR", $K1223, $L$50, WORKDAY('CD|CP 발행사'!$C$4,-1)) )</f>
        <v/>
      </c>
    </row>
    <row r="1224" spans="7:12">
      <c r="G1224">
        <f ca="1">IF( ISNUMBER($L1224), MAX($G$50:G1223)+1,0)</f>
        <v>0</v>
      </c>
      <c r="H1224" s="13"/>
      <c r="I1224" s="67"/>
      <c r="J1224" s="67"/>
      <c r="K1224" s="80" t="str">
        <f t="shared" si="23"/>
        <v>CDAVG</v>
      </c>
      <c r="L1224" s="80" t="str">
        <f ca="1">IF(ISNUMBER(FIND("(",$I1224)), "", _xll.IMDP("IR", $K1224, $L$50, WORKDAY('CD|CP 발행사'!$C$4,-1)) )</f>
        <v/>
      </c>
    </row>
    <row r="1225" spans="7:12">
      <c r="G1225">
        <f ca="1">IF( ISNUMBER($L1225), MAX($G$50:G1224)+1,0)</f>
        <v>0</v>
      </c>
      <c r="H1225" s="13"/>
      <c r="I1225" s="67"/>
      <c r="J1225" s="67"/>
      <c r="K1225" s="80" t="str">
        <f t="shared" si="23"/>
        <v>CDAVG</v>
      </c>
      <c r="L1225" s="80" t="str">
        <f ca="1">IF(ISNUMBER(FIND("(",$I1225)), "", _xll.IMDP("IR", $K1225, $L$50, WORKDAY('CD|CP 발행사'!$C$4,-1)) )</f>
        <v/>
      </c>
    </row>
    <row r="1226" spans="7:12">
      <c r="G1226">
        <f ca="1">IF( ISNUMBER($L1226), MAX($G$50:G1225)+1,0)</f>
        <v>0</v>
      </c>
      <c r="H1226" s="13"/>
      <c r="I1226" s="67"/>
      <c r="J1226" s="67"/>
      <c r="K1226" s="80" t="str">
        <f t="shared" si="23"/>
        <v>CDAVG</v>
      </c>
      <c r="L1226" s="80" t="str">
        <f ca="1">IF(ISNUMBER(FIND("(",$I1226)), "", _xll.IMDP("IR", $K1226, $L$50, WORKDAY('CD|CP 발행사'!$C$4,-1)) )</f>
        <v/>
      </c>
    </row>
    <row r="1227" spans="7:12">
      <c r="G1227">
        <f ca="1">IF( ISNUMBER($L1227), MAX($G$50:G1226)+1,0)</f>
        <v>0</v>
      </c>
      <c r="H1227" s="13"/>
      <c r="I1227" s="67"/>
      <c r="J1227" s="67"/>
      <c r="K1227" s="80" t="str">
        <f t="shared" si="23"/>
        <v>CDAVG</v>
      </c>
      <c r="L1227" s="80" t="str">
        <f ca="1">IF(ISNUMBER(FIND("(",$I1227)), "", _xll.IMDP("IR", $K1227, $L$50, WORKDAY('CD|CP 발행사'!$C$4,-1)) )</f>
        <v/>
      </c>
    </row>
    <row r="1228" spans="7:12">
      <c r="G1228">
        <f ca="1">IF( ISNUMBER($L1228), MAX($G$50:G1227)+1,0)</f>
        <v>0</v>
      </c>
      <c r="H1228" s="13"/>
      <c r="I1228" s="67"/>
      <c r="J1228" s="67"/>
      <c r="K1228" s="80" t="str">
        <f t="shared" si="23"/>
        <v>CDAVG</v>
      </c>
      <c r="L1228" s="80" t="str">
        <f ca="1">IF(ISNUMBER(FIND("(",$I1228)), "", _xll.IMDP("IR", $K1228, $L$50, WORKDAY('CD|CP 발행사'!$C$4,-1)) )</f>
        <v/>
      </c>
    </row>
    <row r="1229" spans="7:12">
      <c r="G1229">
        <f ca="1">IF( ISNUMBER($L1229), MAX($G$50:G1228)+1,0)</f>
        <v>0</v>
      </c>
      <c r="H1229" s="13"/>
      <c r="I1229" s="67"/>
      <c r="J1229" s="67"/>
      <c r="K1229" s="80" t="str">
        <f t="shared" si="23"/>
        <v>CDAVG</v>
      </c>
      <c r="L1229" s="80" t="str">
        <f ca="1">IF(ISNUMBER(FIND("(",$I1229)), "", _xll.IMDP("IR", $K1229, $L$50, WORKDAY('CD|CP 발행사'!$C$4,-1)) )</f>
        <v/>
      </c>
    </row>
    <row r="1230" spans="7:12">
      <c r="G1230">
        <f ca="1">IF( ISNUMBER($L1230), MAX($G$50:G1229)+1,0)</f>
        <v>0</v>
      </c>
      <c r="H1230" s="13"/>
      <c r="I1230" s="67"/>
      <c r="J1230" s="67"/>
      <c r="K1230" s="80" t="str">
        <f t="shared" si="23"/>
        <v>CDAVG</v>
      </c>
      <c r="L1230" s="80" t="str">
        <f ca="1">IF(ISNUMBER(FIND("(",$I1230)), "", _xll.IMDP("IR", $K1230, $L$50, WORKDAY('CD|CP 발행사'!$C$4,-1)) )</f>
        <v/>
      </c>
    </row>
    <row r="1231" spans="7:12">
      <c r="G1231">
        <f ca="1">IF( ISNUMBER($L1231), MAX($G$50:G1230)+1,0)</f>
        <v>0</v>
      </c>
      <c r="H1231" s="13"/>
      <c r="I1231" s="67"/>
      <c r="J1231" s="67"/>
      <c r="K1231" s="80" t="str">
        <f t="shared" si="23"/>
        <v>CDAVG</v>
      </c>
      <c r="L1231" s="80" t="str">
        <f ca="1">IF(ISNUMBER(FIND("(",$I1231)), "", _xll.IMDP("IR", $K1231, $L$50, WORKDAY('CD|CP 발행사'!$C$4,-1)) )</f>
        <v/>
      </c>
    </row>
    <row r="1232" spans="7:12">
      <c r="G1232">
        <f ca="1">IF( ISNUMBER($L1232), MAX($G$50:G1231)+1,0)</f>
        <v>0</v>
      </c>
      <c r="H1232" s="13"/>
      <c r="I1232" s="67"/>
      <c r="J1232" s="67"/>
      <c r="K1232" s="80" t="str">
        <f t="shared" si="23"/>
        <v>CDAVG</v>
      </c>
      <c r="L1232" s="80" t="str">
        <f ca="1">IF(ISNUMBER(FIND("(",$I1232)), "", _xll.IMDP("IR", $K1232, $L$50, WORKDAY('CD|CP 발행사'!$C$4,-1)) )</f>
        <v/>
      </c>
    </row>
    <row r="1233" spans="7:12">
      <c r="G1233">
        <f ca="1">IF( ISNUMBER($L1233), MAX($G$50:G1232)+1,0)</f>
        <v>0</v>
      </c>
      <c r="H1233" s="13"/>
      <c r="I1233" s="67"/>
      <c r="J1233" s="67"/>
      <c r="K1233" s="80" t="str">
        <f t="shared" si="23"/>
        <v>CDAVG</v>
      </c>
      <c r="L1233" s="80" t="str">
        <f ca="1">IF(ISNUMBER(FIND("(",$I1233)), "", _xll.IMDP("IR", $K1233, $L$50, WORKDAY('CD|CP 발행사'!$C$4,-1)) )</f>
        <v/>
      </c>
    </row>
    <row r="1234" spans="7:12">
      <c r="G1234">
        <f ca="1">IF( ISNUMBER($L1234), MAX($G$50:G1233)+1,0)</f>
        <v>0</v>
      </c>
      <c r="H1234" s="13"/>
      <c r="I1234" s="67"/>
      <c r="J1234" s="67"/>
      <c r="K1234" s="80" t="str">
        <f t="shared" si="23"/>
        <v>CDAVG</v>
      </c>
      <c r="L1234" s="80" t="str">
        <f ca="1">IF(ISNUMBER(FIND("(",$I1234)), "", _xll.IMDP("IR", $K1234, $L$50, WORKDAY('CD|CP 발행사'!$C$4,-1)) )</f>
        <v/>
      </c>
    </row>
    <row r="1235" spans="7:12">
      <c r="G1235">
        <f ca="1">IF( ISNUMBER($L1235), MAX($G$50:G1234)+1,0)</f>
        <v>0</v>
      </c>
      <c r="H1235" s="13"/>
      <c r="I1235" s="67"/>
      <c r="J1235" s="67"/>
      <c r="K1235" s="80" t="str">
        <f t="shared" si="23"/>
        <v>CDAVG</v>
      </c>
      <c r="L1235" s="80" t="str">
        <f ca="1">IF(ISNUMBER(FIND("(",$I1235)), "", _xll.IMDP("IR", $K1235, $L$50, WORKDAY('CD|CP 발행사'!$C$4,-1)) )</f>
        <v/>
      </c>
    </row>
    <row r="1236" spans="7:12">
      <c r="G1236">
        <f ca="1">IF( ISNUMBER($L1236), MAX($G$50:G1235)+1,0)</f>
        <v>0</v>
      </c>
      <c r="H1236" s="13"/>
      <c r="I1236" s="67"/>
      <c r="J1236" s="67"/>
      <c r="K1236" s="80" t="str">
        <f t="shared" si="23"/>
        <v>CDAVG</v>
      </c>
      <c r="L1236" s="80" t="str">
        <f ca="1">IF(ISNUMBER(FIND("(",$I1236)), "", _xll.IMDP("IR", $K1236, $L$50, WORKDAY('CD|CP 발행사'!$C$4,-1)) )</f>
        <v/>
      </c>
    </row>
    <row r="1237" spans="7:12">
      <c r="G1237">
        <f ca="1">IF( ISNUMBER($L1237), MAX($G$50:G1236)+1,0)</f>
        <v>0</v>
      </c>
      <c r="H1237" s="13"/>
      <c r="I1237" s="67"/>
      <c r="J1237" s="67"/>
      <c r="K1237" s="80" t="str">
        <f t="shared" si="23"/>
        <v>CDAVG</v>
      </c>
      <c r="L1237" s="80" t="str">
        <f ca="1">IF(ISNUMBER(FIND("(",$I1237)), "", _xll.IMDP("IR", $K1237, $L$50, WORKDAY('CD|CP 발행사'!$C$4,-1)) )</f>
        <v/>
      </c>
    </row>
    <row r="1238" spans="7:12">
      <c r="G1238">
        <f ca="1">IF( ISNUMBER($L1238), MAX($G$50:G1237)+1,0)</f>
        <v>0</v>
      </c>
      <c r="H1238" s="13"/>
      <c r="I1238" s="67"/>
      <c r="J1238" s="67"/>
      <c r="K1238" s="80" t="str">
        <f t="shared" si="23"/>
        <v>CDAVG</v>
      </c>
      <c r="L1238" s="80" t="str">
        <f ca="1">IF(ISNUMBER(FIND("(",$I1238)), "", _xll.IMDP("IR", $K1238, $L$50, WORKDAY('CD|CP 발행사'!$C$4,-1)) )</f>
        <v/>
      </c>
    </row>
    <row r="1239" spans="7:12">
      <c r="G1239">
        <f ca="1">IF( ISNUMBER($L1239), MAX($G$50:G1238)+1,0)</f>
        <v>0</v>
      </c>
      <c r="H1239" s="13"/>
      <c r="I1239" s="67"/>
      <c r="J1239" s="67"/>
      <c r="K1239" s="80" t="str">
        <f t="shared" si="23"/>
        <v>CDAVG</v>
      </c>
      <c r="L1239" s="80" t="str">
        <f ca="1">IF(ISNUMBER(FIND("(",$I1239)), "", _xll.IMDP("IR", $K1239, $L$50, WORKDAY('CD|CP 발행사'!$C$4,-1)) )</f>
        <v/>
      </c>
    </row>
    <row r="1240" spans="7:12">
      <c r="G1240">
        <f ca="1">IF( ISNUMBER($L1240), MAX($G$50:G1239)+1,0)</f>
        <v>0</v>
      </c>
      <c r="H1240" s="13"/>
      <c r="I1240" s="67"/>
      <c r="J1240" s="67"/>
      <c r="K1240" s="80" t="str">
        <f t="shared" si="23"/>
        <v>CDAVG</v>
      </c>
      <c r="L1240" s="80" t="str">
        <f ca="1">IF(ISNUMBER(FIND("(",$I1240)), "", _xll.IMDP("IR", $K1240, $L$50, WORKDAY('CD|CP 발행사'!$C$4,-1)) )</f>
        <v/>
      </c>
    </row>
    <row r="1241" spans="7:12">
      <c r="G1241">
        <f ca="1">IF( ISNUMBER($L1241), MAX($G$50:G1240)+1,0)</f>
        <v>0</v>
      </c>
      <c r="H1241" s="13"/>
      <c r="I1241" s="67"/>
      <c r="J1241" s="67"/>
      <c r="K1241" s="80" t="str">
        <f t="shared" si="23"/>
        <v>CDAVG</v>
      </c>
      <c r="L1241" s="80" t="str">
        <f ca="1">IF(ISNUMBER(FIND("(",$I1241)), "", _xll.IMDP("IR", $K1241, $L$50, WORKDAY('CD|CP 발행사'!$C$4,-1)) )</f>
        <v/>
      </c>
    </row>
    <row r="1242" spans="7:12">
      <c r="G1242">
        <f ca="1">IF( ISNUMBER($L1242), MAX($G$50:G1241)+1,0)</f>
        <v>0</v>
      </c>
      <c r="H1242" s="13"/>
      <c r="I1242" s="67"/>
      <c r="J1242" s="67"/>
      <c r="K1242" s="80" t="str">
        <f t="shared" si="23"/>
        <v>CDAVG</v>
      </c>
      <c r="L1242" s="80" t="str">
        <f ca="1">IF(ISNUMBER(FIND("(",$I1242)), "", _xll.IMDP("IR", $K1242, $L$50, WORKDAY('CD|CP 발행사'!$C$4,-1)) )</f>
        <v/>
      </c>
    </row>
    <row r="1243" spans="7:12">
      <c r="G1243">
        <f ca="1">IF( ISNUMBER($L1243), MAX($G$50:G1242)+1,0)</f>
        <v>0</v>
      </c>
      <c r="H1243" s="13"/>
      <c r="I1243" s="67"/>
      <c r="J1243" s="67"/>
      <c r="K1243" s="80" t="str">
        <f t="shared" si="23"/>
        <v>CDAVG</v>
      </c>
      <c r="L1243" s="80" t="str">
        <f ca="1">IF(ISNUMBER(FIND("(",$I1243)), "", _xll.IMDP("IR", $K1243, $L$50, WORKDAY('CD|CP 발행사'!$C$4,-1)) )</f>
        <v/>
      </c>
    </row>
    <row r="1244" spans="7:12">
      <c r="G1244">
        <f ca="1">IF( ISNUMBER($L1244), MAX($G$50:G1243)+1,0)</f>
        <v>0</v>
      </c>
      <c r="H1244" s="13"/>
      <c r="I1244" s="67"/>
      <c r="J1244" s="67"/>
      <c r="K1244" s="80" t="str">
        <f t="shared" si="23"/>
        <v>CDAVG</v>
      </c>
      <c r="L1244" s="80" t="str">
        <f ca="1">IF(ISNUMBER(FIND("(",$I1244)), "", _xll.IMDP("IR", $K1244, $L$50, WORKDAY('CD|CP 발행사'!$C$4,-1)) )</f>
        <v/>
      </c>
    </row>
    <row r="1245" spans="7:12">
      <c r="G1245">
        <f ca="1">IF( ISNUMBER($L1245), MAX($G$50:G1244)+1,0)</f>
        <v>0</v>
      </c>
      <c r="H1245" s="13"/>
      <c r="I1245" s="67"/>
      <c r="J1245" s="67"/>
      <c r="K1245" s="80" t="str">
        <f t="shared" si="23"/>
        <v>CDAVG</v>
      </c>
      <c r="L1245" s="80" t="str">
        <f ca="1">IF(ISNUMBER(FIND("(",$I1245)), "", _xll.IMDP("IR", $K1245, $L$50, WORKDAY('CD|CP 발행사'!$C$4,-1)) )</f>
        <v/>
      </c>
    </row>
    <row r="1246" spans="7:12">
      <c r="G1246">
        <f ca="1">IF( ISNUMBER($L1246), MAX($G$50:G1245)+1,0)</f>
        <v>0</v>
      </c>
      <c r="H1246" s="13"/>
      <c r="I1246" s="67"/>
      <c r="J1246" s="67"/>
      <c r="K1246" s="80" t="str">
        <f t="shared" si="23"/>
        <v>CDAVG</v>
      </c>
      <c r="L1246" s="80" t="str">
        <f ca="1">IF(ISNUMBER(FIND("(",$I1246)), "", _xll.IMDP("IR", $K1246, $L$50, WORKDAY('CD|CP 발행사'!$C$4,-1)) )</f>
        <v/>
      </c>
    </row>
    <row r="1247" spans="7:12">
      <c r="G1247">
        <f ca="1">IF( ISNUMBER($L1247), MAX($G$50:G1246)+1,0)</f>
        <v>0</v>
      </c>
      <c r="H1247" s="13"/>
      <c r="I1247" s="67"/>
      <c r="J1247" s="67"/>
      <c r="K1247" s="80" t="str">
        <f t="shared" si="23"/>
        <v>CDAVG</v>
      </c>
      <c r="L1247" s="80" t="str">
        <f ca="1">IF(ISNUMBER(FIND("(",$I1247)), "", _xll.IMDP("IR", $K1247, $L$50, WORKDAY('CD|CP 발행사'!$C$4,-1)) )</f>
        <v/>
      </c>
    </row>
    <row r="1248" spans="7:12">
      <c r="G1248">
        <f ca="1">IF( ISNUMBER($L1248), MAX($G$50:G1247)+1,0)</f>
        <v>0</v>
      </c>
      <c r="H1248" s="13"/>
      <c r="I1248" s="67"/>
      <c r="J1248" s="67"/>
      <c r="K1248" s="80" t="str">
        <f t="shared" si="23"/>
        <v>CDAVG</v>
      </c>
      <c r="L1248" s="80" t="str">
        <f ca="1">IF(ISNUMBER(FIND("(",$I1248)), "", _xll.IMDP("IR", $K1248, $L$50, WORKDAY('CD|CP 발행사'!$C$4,-1)) )</f>
        <v/>
      </c>
    </row>
    <row r="1249" spans="7:12">
      <c r="G1249">
        <f ca="1">IF( ISNUMBER($L1249), MAX($G$50:G1248)+1,0)</f>
        <v>0</v>
      </c>
      <c r="H1249" s="13"/>
      <c r="I1249" s="67"/>
      <c r="J1249" s="67"/>
      <c r="K1249" s="80" t="str">
        <f t="shared" si="23"/>
        <v>CDAVG</v>
      </c>
      <c r="L1249" s="80" t="str">
        <f ca="1">IF(ISNUMBER(FIND("(",$I1249)), "", _xll.IMDP("IR", $K1249, $L$50, WORKDAY('CD|CP 발행사'!$C$4,-1)) )</f>
        <v/>
      </c>
    </row>
    <row r="1250" spans="7:12">
      <c r="G1250">
        <f ca="1">IF( ISNUMBER($L1250), MAX($G$50:G1249)+1,0)</f>
        <v>0</v>
      </c>
      <c r="H1250" s="13"/>
      <c r="I1250" s="67"/>
      <c r="J1250" s="67"/>
      <c r="K1250" s="80" t="str">
        <f t="shared" si="23"/>
        <v>CDAVG</v>
      </c>
      <c r="L1250" s="80" t="str">
        <f ca="1">IF(ISNUMBER(FIND("(",$I1250)), "", _xll.IMDP("IR", $K1250, $L$50, WORKDAY('CD|CP 발행사'!$C$4,-1)) )</f>
        <v/>
      </c>
    </row>
    <row r="1251" spans="7:12">
      <c r="G1251">
        <f ca="1">IF( ISNUMBER($L1251), MAX($G$50:G1250)+1,0)</f>
        <v>0</v>
      </c>
      <c r="H1251" s="13"/>
      <c r="I1251" s="67"/>
      <c r="J1251" s="67"/>
      <c r="K1251" s="80" t="str">
        <f t="shared" si="23"/>
        <v>CDAVG</v>
      </c>
      <c r="L1251" s="80" t="str">
        <f ca="1">IF(ISNUMBER(FIND("(",$I1251)), "", _xll.IMDP("IR", $K1251, $L$50, WORKDAY('CD|CP 발행사'!$C$4,-1)) )</f>
        <v/>
      </c>
    </row>
    <row r="1252" spans="7:12">
      <c r="G1252">
        <f ca="1">IF( ISNUMBER($L1252), MAX($G$50:G1251)+1,0)</f>
        <v>0</v>
      </c>
      <c r="H1252" s="13"/>
      <c r="I1252" s="67"/>
      <c r="J1252" s="67"/>
      <c r="K1252" s="80" t="str">
        <f t="shared" si="23"/>
        <v>CDAVG</v>
      </c>
      <c r="L1252" s="80" t="str">
        <f ca="1">IF(ISNUMBER(FIND("(",$I1252)), "", _xll.IMDP("IR", $K1252, $L$50, WORKDAY('CD|CP 발행사'!$C$4,-1)) )</f>
        <v/>
      </c>
    </row>
    <row r="1253" spans="7:12">
      <c r="G1253">
        <f ca="1">IF( ISNUMBER($L1253), MAX($G$50:G1252)+1,0)</f>
        <v>0</v>
      </c>
      <c r="H1253" s="13"/>
      <c r="I1253" s="67"/>
      <c r="J1253" s="67"/>
      <c r="K1253" s="80" t="str">
        <f t="shared" si="23"/>
        <v>CDAVG</v>
      </c>
      <c r="L1253" s="80" t="str">
        <f ca="1">IF(ISNUMBER(FIND("(",$I1253)), "", _xll.IMDP("IR", $K1253, $L$50, WORKDAY('CD|CP 발행사'!$C$4,-1)) )</f>
        <v/>
      </c>
    </row>
    <row r="1254" spans="7:12">
      <c r="G1254">
        <f ca="1">IF( ISNUMBER($L1254), MAX($G$50:G1253)+1,0)</f>
        <v>0</v>
      </c>
      <c r="H1254" s="13"/>
      <c r="I1254" s="67"/>
      <c r="J1254" s="67"/>
      <c r="K1254" s="80" t="str">
        <f t="shared" si="23"/>
        <v>CDAVG</v>
      </c>
      <c r="L1254" s="80" t="str">
        <f ca="1">IF(ISNUMBER(FIND("(",$I1254)), "", _xll.IMDP("IR", $K1254, $L$50, WORKDAY('CD|CP 발행사'!$C$4,-1)) )</f>
        <v/>
      </c>
    </row>
    <row r="1255" spans="7:12">
      <c r="G1255">
        <f ca="1">IF( ISNUMBER($L1255), MAX($G$50:G1254)+1,0)</f>
        <v>0</v>
      </c>
      <c r="H1255" s="13"/>
      <c r="I1255" s="67"/>
      <c r="J1255" s="67"/>
      <c r="K1255" s="80" t="str">
        <f t="shared" si="23"/>
        <v>CDAVG</v>
      </c>
      <c r="L1255" s="80" t="str">
        <f ca="1">IF(ISNUMBER(FIND("(",$I1255)), "", _xll.IMDP("IR", $K1255, $L$50, WORKDAY('CD|CP 발행사'!$C$4,-1)) )</f>
        <v/>
      </c>
    </row>
    <row r="1256" spans="7:12">
      <c r="G1256">
        <f ca="1">IF( ISNUMBER($L1256), MAX($G$50:G1255)+1,0)</f>
        <v>0</v>
      </c>
      <c r="H1256" s="13"/>
      <c r="I1256" s="67"/>
      <c r="J1256" s="67"/>
      <c r="K1256" s="80" t="str">
        <f t="shared" si="23"/>
        <v>CDAVG</v>
      </c>
      <c r="L1256" s="80" t="str">
        <f ca="1">IF(ISNUMBER(FIND("(",$I1256)), "", _xll.IMDP("IR", $K1256, $L$50, WORKDAY('CD|CP 발행사'!$C$4,-1)) )</f>
        <v/>
      </c>
    </row>
    <row r="1257" spans="7:12">
      <c r="G1257">
        <f ca="1">IF( ISNUMBER($L1257), MAX($G$50:G1256)+1,0)</f>
        <v>0</v>
      </c>
      <c r="H1257" s="13"/>
      <c r="I1257" s="67"/>
      <c r="J1257" s="67"/>
      <c r="K1257" s="80" t="str">
        <f t="shared" si="23"/>
        <v>CDAVG</v>
      </c>
      <c r="L1257" s="80" t="str">
        <f ca="1">IF(ISNUMBER(FIND("(",$I1257)), "", _xll.IMDP("IR", $K1257, $L$50, WORKDAY('CD|CP 발행사'!$C$4,-1)) )</f>
        <v/>
      </c>
    </row>
    <row r="1258" spans="7:12">
      <c r="G1258">
        <f ca="1">IF( ISNUMBER($L1258), MAX($G$50:G1257)+1,0)</f>
        <v>0</v>
      </c>
      <c r="H1258" s="13"/>
      <c r="I1258" s="67"/>
      <c r="J1258" s="67"/>
      <c r="K1258" s="80" t="str">
        <f t="shared" si="23"/>
        <v>CDAVG</v>
      </c>
      <c r="L1258" s="80" t="str">
        <f ca="1">IF(ISNUMBER(FIND("(",$I1258)), "", _xll.IMDP("IR", $K1258, $L$50, WORKDAY('CD|CP 발행사'!$C$4,-1)) )</f>
        <v/>
      </c>
    </row>
    <row r="1259" spans="7:12">
      <c r="G1259">
        <f ca="1">IF( ISNUMBER($L1259), MAX($G$50:G1258)+1,0)</f>
        <v>0</v>
      </c>
      <c r="H1259" s="13"/>
      <c r="I1259" s="67"/>
      <c r="J1259" s="67"/>
      <c r="K1259" s="80" t="str">
        <f t="shared" si="23"/>
        <v>CDAVG</v>
      </c>
      <c r="L1259" s="80" t="str">
        <f ca="1">IF(ISNUMBER(FIND("(",$I1259)), "", _xll.IMDP("IR", $K1259, $L$50, WORKDAY('CD|CP 발행사'!$C$4,-1)) )</f>
        <v/>
      </c>
    </row>
    <row r="1260" spans="7:12">
      <c r="G1260">
        <f ca="1">IF( ISNUMBER($L1260), MAX($G$50:G1259)+1,0)</f>
        <v>0</v>
      </c>
      <c r="H1260" s="13"/>
      <c r="I1260" s="67"/>
      <c r="J1260" s="67"/>
      <c r="K1260" s="80" t="str">
        <f t="shared" si="23"/>
        <v>CDAVG</v>
      </c>
      <c r="L1260" s="80" t="str">
        <f ca="1">IF(ISNUMBER(FIND("(",$I1260)), "", _xll.IMDP("IR", $K1260, $L$50, WORKDAY('CD|CP 발행사'!$C$4,-1)) )</f>
        <v/>
      </c>
    </row>
    <row r="1261" spans="7:12">
      <c r="G1261">
        <f ca="1">IF( ISNUMBER($L1261), MAX($G$50:G1260)+1,0)</f>
        <v>0</v>
      </c>
      <c r="H1261" s="13"/>
      <c r="I1261" s="67"/>
      <c r="J1261" s="67"/>
      <c r="K1261" s="80" t="str">
        <f t="shared" si="23"/>
        <v>CDAVG</v>
      </c>
      <c r="L1261" s="80" t="str">
        <f ca="1">IF(ISNUMBER(FIND("(",$I1261)), "", _xll.IMDP("IR", $K1261, $L$50, WORKDAY('CD|CP 발행사'!$C$4,-1)) )</f>
        <v/>
      </c>
    </row>
    <row r="1262" spans="7:12">
      <c r="G1262">
        <f ca="1">IF( ISNUMBER($L1262), MAX($G$50:G1261)+1,0)</f>
        <v>0</v>
      </c>
      <c r="H1262" s="13"/>
      <c r="I1262" s="67"/>
      <c r="J1262" s="67"/>
      <c r="K1262" s="80" t="str">
        <f t="shared" si="23"/>
        <v>CDAVG</v>
      </c>
      <c r="L1262" s="80" t="str">
        <f ca="1">IF(ISNUMBER(FIND("(",$I1262)), "", _xll.IMDP("IR", $K1262, $L$50, WORKDAY('CD|CP 발행사'!$C$4,-1)) )</f>
        <v/>
      </c>
    </row>
    <row r="1263" spans="7:12">
      <c r="G1263">
        <f ca="1">IF( ISNUMBER($L1263), MAX($G$50:G1262)+1,0)</f>
        <v>0</v>
      </c>
      <c r="H1263" s="13"/>
      <c r="I1263" s="67"/>
      <c r="J1263" s="67"/>
      <c r="K1263" s="80" t="str">
        <f t="shared" si="23"/>
        <v>CDAVG</v>
      </c>
      <c r="L1263" s="80" t="str">
        <f ca="1">IF(ISNUMBER(FIND("(",$I1263)), "", _xll.IMDP("IR", $K1263, $L$50, WORKDAY('CD|CP 발행사'!$C$4,-1)) )</f>
        <v/>
      </c>
    </row>
    <row r="1264" spans="7:12">
      <c r="G1264">
        <f ca="1">IF( ISNUMBER($L1264), MAX($G$50:G1263)+1,0)</f>
        <v>0</v>
      </c>
      <c r="H1264" s="13"/>
      <c r="I1264" s="67"/>
      <c r="J1264" s="67"/>
      <c r="K1264" s="80" t="str">
        <f t="shared" si="23"/>
        <v>CDAVG</v>
      </c>
      <c r="L1264" s="80" t="str">
        <f ca="1">IF(ISNUMBER(FIND("(",$I1264)), "", _xll.IMDP("IR", $K1264, $L$50, WORKDAY('CD|CP 발행사'!$C$4,-1)) )</f>
        <v/>
      </c>
    </row>
    <row r="1265" spans="7:12">
      <c r="G1265">
        <f ca="1">IF( ISNUMBER($L1265), MAX($G$50:G1264)+1,0)</f>
        <v>0</v>
      </c>
      <c r="H1265" s="13"/>
      <c r="I1265" s="67"/>
      <c r="J1265" s="67"/>
      <c r="K1265" s="80" t="str">
        <f t="shared" si="23"/>
        <v>CDAVG</v>
      </c>
      <c r="L1265" s="80" t="str">
        <f ca="1">IF(ISNUMBER(FIND("(",$I1265)), "", _xll.IMDP("IR", $K1265, $L$50, WORKDAY('CD|CP 발행사'!$C$4,-1)) )</f>
        <v/>
      </c>
    </row>
    <row r="1266" spans="7:12">
      <c r="G1266">
        <f ca="1">IF( ISNUMBER($L1266), MAX($G$50:G1265)+1,0)</f>
        <v>0</v>
      </c>
      <c r="H1266" s="13"/>
      <c r="I1266" s="67"/>
      <c r="J1266" s="67"/>
      <c r="K1266" s="80" t="str">
        <f t="shared" si="23"/>
        <v>CDAVG</v>
      </c>
      <c r="L1266" s="80" t="str">
        <f ca="1">IF(ISNUMBER(FIND("(",$I1266)), "", _xll.IMDP("IR", $K1266, $L$50, WORKDAY('CD|CP 발행사'!$C$4,-1)) )</f>
        <v/>
      </c>
    </row>
    <row r="1267" spans="7:12">
      <c r="G1267">
        <f ca="1">IF( ISNUMBER($L1267), MAX($G$50:G1266)+1,0)</f>
        <v>0</v>
      </c>
      <c r="H1267" s="13"/>
      <c r="I1267" s="67"/>
      <c r="J1267" s="67"/>
      <c r="K1267" s="80" t="str">
        <f t="shared" ref="K1267:K1330" si="24">$K$49&amp;$H1267</f>
        <v>CDAVG</v>
      </c>
      <c r="L1267" s="80" t="str">
        <f ca="1">IF(ISNUMBER(FIND("(",$I1267)), "", _xll.IMDP("IR", $K1267, $L$50, WORKDAY('CD|CP 발행사'!$C$4,-1)) )</f>
        <v/>
      </c>
    </row>
    <row r="1268" spans="7:12">
      <c r="G1268">
        <f ca="1">IF( ISNUMBER($L1268), MAX($G$50:G1267)+1,0)</f>
        <v>0</v>
      </c>
      <c r="H1268" s="13"/>
      <c r="I1268" s="67"/>
      <c r="J1268" s="67"/>
      <c r="K1268" s="80" t="str">
        <f t="shared" si="24"/>
        <v>CDAVG</v>
      </c>
      <c r="L1268" s="80" t="str">
        <f ca="1">IF(ISNUMBER(FIND("(",$I1268)), "", _xll.IMDP("IR", $K1268, $L$50, WORKDAY('CD|CP 발행사'!$C$4,-1)) )</f>
        <v/>
      </c>
    </row>
    <row r="1269" spans="7:12">
      <c r="G1269">
        <f ca="1">IF( ISNUMBER($L1269), MAX($G$50:G1268)+1,0)</f>
        <v>0</v>
      </c>
      <c r="H1269" s="13"/>
      <c r="I1269" s="67"/>
      <c r="J1269" s="67"/>
      <c r="K1269" s="80" t="str">
        <f t="shared" si="24"/>
        <v>CDAVG</v>
      </c>
      <c r="L1269" s="80" t="str">
        <f ca="1">IF(ISNUMBER(FIND("(",$I1269)), "", _xll.IMDP("IR", $K1269, $L$50, WORKDAY('CD|CP 발행사'!$C$4,-1)) )</f>
        <v/>
      </c>
    </row>
    <row r="1270" spans="7:12">
      <c r="G1270">
        <f ca="1">IF( ISNUMBER($L1270), MAX($G$50:G1269)+1,0)</f>
        <v>0</v>
      </c>
      <c r="H1270" s="13"/>
      <c r="I1270" s="67"/>
      <c r="J1270" s="67"/>
      <c r="K1270" s="80" t="str">
        <f t="shared" si="24"/>
        <v>CDAVG</v>
      </c>
      <c r="L1270" s="80" t="str">
        <f ca="1">IF(ISNUMBER(FIND("(",$I1270)), "", _xll.IMDP("IR", $K1270, $L$50, WORKDAY('CD|CP 발행사'!$C$4,-1)) )</f>
        <v/>
      </c>
    </row>
    <row r="1271" spans="7:12">
      <c r="G1271">
        <f ca="1">IF( ISNUMBER($L1271), MAX($G$50:G1270)+1,0)</f>
        <v>0</v>
      </c>
      <c r="H1271" s="13"/>
      <c r="I1271" s="67"/>
      <c r="J1271" s="67"/>
      <c r="K1271" s="80" t="str">
        <f t="shared" si="24"/>
        <v>CDAVG</v>
      </c>
      <c r="L1271" s="80" t="str">
        <f ca="1">IF(ISNUMBER(FIND("(",$I1271)), "", _xll.IMDP("IR", $K1271, $L$50, WORKDAY('CD|CP 발행사'!$C$4,-1)) )</f>
        <v/>
      </c>
    </row>
    <row r="1272" spans="7:12">
      <c r="G1272">
        <f ca="1">IF( ISNUMBER($L1272), MAX($G$50:G1271)+1,0)</f>
        <v>0</v>
      </c>
      <c r="H1272" s="13"/>
      <c r="I1272" s="67"/>
      <c r="J1272" s="67"/>
      <c r="K1272" s="80" t="str">
        <f t="shared" si="24"/>
        <v>CDAVG</v>
      </c>
      <c r="L1272" s="80" t="str">
        <f ca="1">IF(ISNUMBER(FIND("(",$I1272)), "", _xll.IMDP("IR", $K1272, $L$50, WORKDAY('CD|CP 발행사'!$C$4,-1)) )</f>
        <v/>
      </c>
    </row>
    <row r="1273" spans="7:12">
      <c r="G1273">
        <f ca="1">IF( ISNUMBER($L1273), MAX($G$50:G1272)+1,0)</f>
        <v>0</v>
      </c>
      <c r="H1273" s="13"/>
      <c r="I1273" s="67"/>
      <c r="J1273" s="67"/>
      <c r="K1273" s="80" t="str">
        <f t="shared" si="24"/>
        <v>CDAVG</v>
      </c>
      <c r="L1273" s="80" t="str">
        <f ca="1">IF(ISNUMBER(FIND("(",$I1273)), "", _xll.IMDP("IR", $K1273, $L$50, WORKDAY('CD|CP 발행사'!$C$4,-1)) )</f>
        <v/>
      </c>
    </row>
    <row r="1274" spans="7:12">
      <c r="G1274">
        <f ca="1">IF( ISNUMBER($L1274), MAX($G$50:G1273)+1,0)</f>
        <v>0</v>
      </c>
      <c r="H1274" s="13"/>
      <c r="I1274" s="67"/>
      <c r="J1274" s="67"/>
      <c r="K1274" s="80" t="str">
        <f t="shared" si="24"/>
        <v>CDAVG</v>
      </c>
      <c r="L1274" s="80" t="str">
        <f ca="1">IF(ISNUMBER(FIND("(",$I1274)), "", _xll.IMDP("IR", $K1274, $L$50, WORKDAY('CD|CP 발행사'!$C$4,-1)) )</f>
        <v/>
      </c>
    </row>
    <row r="1275" spans="7:12">
      <c r="G1275">
        <f ca="1">IF( ISNUMBER($L1275), MAX($G$50:G1274)+1,0)</f>
        <v>0</v>
      </c>
      <c r="H1275" s="13"/>
      <c r="I1275" s="67"/>
      <c r="J1275" s="67"/>
      <c r="K1275" s="80" t="str">
        <f t="shared" si="24"/>
        <v>CDAVG</v>
      </c>
      <c r="L1275" s="80" t="str">
        <f ca="1">IF(ISNUMBER(FIND("(",$I1275)), "", _xll.IMDP("IR", $K1275, $L$50, WORKDAY('CD|CP 발행사'!$C$4,-1)) )</f>
        <v/>
      </c>
    </row>
    <row r="1276" spans="7:12">
      <c r="G1276">
        <f ca="1">IF( ISNUMBER($L1276), MAX($G$50:G1275)+1,0)</f>
        <v>0</v>
      </c>
      <c r="H1276" s="13"/>
      <c r="I1276" s="67"/>
      <c r="J1276" s="67"/>
      <c r="K1276" s="80" t="str">
        <f t="shared" si="24"/>
        <v>CDAVG</v>
      </c>
      <c r="L1276" s="80" t="str">
        <f ca="1">IF(ISNUMBER(FIND("(",$I1276)), "", _xll.IMDP("IR", $K1276, $L$50, WORKDAY('CD|CP 발행사'!$C$4,-1)) )</f>
        <v/>
      </c>
    </row>
    <row r="1277" spans="7:12">
      <c r="G1277">
        <f ca="1">IF( ISNUMBER($L1277), MAX($G$50:G1276)+1,0)</f>
        <v>0</v>
      </c>
      <c r="H1277" s="13"/>
      <c r="I1277" s="67"/>
      <c r="J1277" s="67"/>
      <c r="K1277" s="80" t="str">
        <f t="shared" si="24"/>
        <v>CDAVG</v>
      </c>
      <c r="L1277" s="80" t="str">
        <f ca="1">IF(ISNUMBER(FIND("(",$I1277)), "", _xll.IMDP("IR", $K1277, $L$50, WORKDAY('CD|CP 발행사'!$C$4,-1)) )</f>
        <v/>
      </c>
    </row>
    <row r="1278" spans="7:12">
      <c r="G1278">
        <f ca="1">IF( ISNUMBER($L1278), MAX($G$50:G1277)+1,0)</f>
        <v>0</v>
      </c>
      <c r="H1278" s="13"/>
      <c r="I1278" s="67"/>
      <c r="J1278" s="67"/>
      <c r="K1278" s="80" t="str">
        <f t="shared" si="24"/>
        <v>CDAVG</v>
      </c>
      <c r="L1278" s="80" t="str">
        <f ca="1">IF(ISNUMBER(FIND("(",$I1278)), "", _xll.IMDP("IR", $K1278, $L$50, WORKDAY('CD|CP 발행사'!$C$4,-1)) )</f>
        <v/>
      </c>
    </row>
    <row r="1279" spans="7:12">
      <c r="G1279">
        <f ca="1">IF( ISNUMBER($L1279), MAX($G$50:G1278)+1,0)</f>
        <v>0</v>
      </c>
      <c r="H1279" s="13"/>
      <c r="I1279" s="67"/>
      <c r="J1279" s="67"/>
      <c r="K1279" s="80" t="str">
        <f t="shared" si="24"/>
        <v>CDAVG</v>
      </c>
      <c r="L1279" s="80" t="str">
        <f ca="1">IF(ISNUMBER(FIND("(",$I1279)), "", _xll.IMDP("IR", $K1279, $L$50, WORKDAY('CD|CP 발행사'!$C$4,-1)) )</f>
        <v/>
      </c>
    </row>
    <row r="1280" spans="7:12">
      <c r="G1280">
        <f ca="1">IF( ISNUMBER($L1280), MAX($G$50:G1279)+1,0)</f>
        <v>0</v>
      </c>
      <c r="H1280" s="13"/>
      <c r="I1280" s="67"/>
      <c r="J1280" s="67"/>
      <c r="K1280" s="80" t="str">
        <f t="shared" si="24"/>
        <v>CDAVG</v>
      </c>
      <c r="L1280" s="80" t="str">
        <f ca="1">IF(ISNUMBER(FIND("(",$I1280)), "", _xll.IMDP("IR", $K1280, $L$50, WORKDAY('CD|CP 발행사'!$C$4,-1)) )</f>
        <v/>
      </c>
    </row>
    <row r="1281" spans="7:12">
      <c r="G1281">
        <f ca="1">IF( ISNUMBER($L1281), MAX($G$50:G1280)+1,0)</f>
        <v>0</v>
      </c>
      <c r="H1281" s="13"/>
      <c r="I1281" s="67"/>
      <c r="J1281" s="67"/>
      <c r="K1281" s="80" t="str">
        <f t="shared" si="24"/>
        <v>CDAVG</v>
      </c>
      <c r="L1281" s="80" t="str">
        <f ca="1">IF(ISNUMBER(FIND("(",$I1281)), "", _xll.IMDP("IR", $K1281, $L$50, WORKDAY('CD|CP 발행사'!$C$4,-1)) )</f>
        <v/>
      </c>
    </row>
    <row r="1282" spans="7:12">
      <c r="G1282">
        <f ca="1">IF( ISNUMBER($L1282), MAX($G$50:G1281)+1,0)</f>
        <v>0</v>
      </c>
      <c r="H1282" s="13"/>
      <c r="I1282" s="67"/>
      <c r="J1282" s="67"/>
      <c r="K1282" s="80" t="str">
        <f t="shared" si="24"/>
        <v>CDAVG</v>
      </c>
      <c r="L1282" s="80" t="str">
        <f ca="1">IF(ISNUMBER(FIND("(",$I1282)), "", _xll.IMDP("IR", $K1282, $L$50, WORKDAY('CD|CP 발행사'!$C$4,-1)) )</f>
        <v/>
      </c>
    </row>
    <row r="1283" spans="7:12">
      <c r="G1283">
        <f ca="1">IF( ISNUMBER($L1283), MAX($G$50:G1282)+1,0)</f>
        <v>0</v>
      </c>
      <c r="H1283" s="13"/>
      <c r="I1283" s="67"/>
      <c r="J1283" s="67"/>
      <c r="K1283" s="80" t="str">
        <f t="shared" si="24"/>
        <v>CDAVG</v>
      </c>
      <c r="L1283" s="80" t="str">
        <f ca="1">IF(ISNUMBER(FIND("(",$I1283)), "", _xll.IMDP("IR", $K1283, $L$50, WORKDAY('CD|CP 발행사'!$C$4,-1)) )</f>
        <v/>
      </c>
    </row>
    <row r="1284" spans="7:12">
      <c r="G1284">
        <f ca="1">IF( ISNUMBER($L1284), MAX($G$50:G1283)+1,0)</f>
        <v>0</v>
      </c>
      <c r="H1284" s="13"/>
      <c r="I1284" s="67"/>
      <c r="J1284" s="67"/>
      <c r="K1284" s="80" t="str">
        <f t="shared" si="24"/>
        <v>CDAVG</v>
      </c>
      <c r="L1284" s="80" t="str">
        <f ca="1">IF(ISNUMBER(FIND("(",$I1284)), "", _xll.IMDP("IR", $K1284, $L$50, WORKDAY('CD|CP 발행사'!$C$4,-1)) )</f>
        <v/>
      </c>
    </row>
    <row r="1285" spans="7:12">
      <c r="G1285">
        <f ca="1">IF( ISNUMBER($L1285), MAX($G$50:G1284)+1,0)</f>
        <v>0</v>
      </c>
      <c r="H1285" s="13"/>
      <c r="I1285" s="67"/>
      <c r="J1285" s="67"/>
      <c r="K1285" s="80" t="str">
        <f t="shared" si="24"/>
        <v>CDAVG</v>
      </c>
      <c r="L1285" s="80" t="str">
        <f ca="1">IF(ISNUMBER(FIND("(",$I1285)), "", _xll.IMDP("IR", $K1285, $L$50, WORKDAY('CD|CP 발행사'!$C$4,-1)) )</f>
        <v/>
      </c>
    </row>
    <row r="1286" spans="7:12">
      <c r="G1286">
        <f ca="1">IF( ISNUMBER($L1286), MAX($G$50:G1285)+1,0)</f>
        <v>0</v>
      </c>
      <c r="H1286" s="13"/>
      <c r="I1286" s="67"/>
      <c r="J1286" s="67"/>
      <c r="K1286" s="80" t="str">
        <f t="shared" si="24"/>
        <v>CDAVG</v>
      </c>
      <c r="L1286" s="80" t="str">
        <f ca="1">IF(ISNUMBER(FIND("(",$I1286)), "", _xll.IMDP("IR", $K1286, $L$50, WORKDAY('CD|CP 발행사'!$C$4,-1)) )</f>
        <v/>
      </c>
    </row>
    <row r="1287" spans="7:12">
      <c r="G1287">
        <f ca="1">IF( ISNUMBER($L1287), MAX($G$50:G1286)+1,0)</f>
        <v>0</v>
      </c>
      <c r="H1287" s="13"/>
      <c r="I1287" s="67"/>
      <c r="J1287" s="67"/>
      <c r="K1287" s="80" t="str">
        <f t="shared" si="24"/>
        <v>CDAVG</v>
      </c>
      <c r="L1287" s="80" t="str">
        <f ca="1">IF(ISNUMBER(FIND("(",$I1287)), "", _xll.IMDP("IR", $K1287, $L$50, WORKDAY('CD|CP 발행사'!$C$4,-1)) )</f>
        <v/>
      </c>
    </row>
    <row r="1288" spans="7:12">
      <c r="G1288">
        <f ca="1">IF( ISNUMBER($L1288), MAX($G$50:G1287)+1,0)</f>
        <v>0</v>
      </c>
      <c r="H1288" s="13"/>
      <c r="I1288" s="67"/>
      <c r="J1288" s="67"/>
      <c r="K1288" s="80" t="str">
        <f t="shared" si="24"/>
        <v>CDAVG</v>
      </c>
      <c r="L1288" s="80" t="str">
        <f ca="1">IF(ISNUMBER(FIND("(",$I1288)), "", _xll.IMDP("IR", $K1288, $L$50, WORKDAY('CD|CP 발행사'!$C$4,-1)) )</f>
        <v/>
      </c>
    </row>
    <row r="1289" spans="7:12">
      <c r="G1289">
        <f ca="1">IF( ISNUMBER($L1289), MAX($G$50:G1288)+1,0)</f>
        <v>0</v>
      </c>
      <c r="H1289" s="13"/>
      <c r="I1289" s="67"/>
      <c r="J1289" s="67"/>
      <c r="K1289" s="80" t="str">
        <f t="shared" si="24"/>
        <v>CDAVG</v>
      </c>
      <c r="L1289" s="80" t="str">
        <f ca="1">IF(ISNUMBER(FIND("(",$I1289)), "", _xll.IMDP("IR", $K1289, $L$50, WORKDAY('CD|CP 발행사'!$C$4,-1)) )</f>
        <v/>
      </c>
    </row>
    <row r="1290" spans="7:12">
      <c r="G1290">
        <f ca="1">IF( ISNUMBER($L1290), MAX($G$50:G1289)+1,0)</f>
        <v>0</v>
      </c>
      <c r="H1290" s="13"/>
      <c r="I1290" s="67"/>
      <c r="J1290" s="67"/>
      <c r="K1290" s="80" t="str">
        <f t="shared" si="24"/>
        <v>CDAVG</v>
      </c>
      <c r="L1290" s="80" t="str">
        <f ca="1">IF(ISNUMBER(FIND("(",$I1290)), "", _xll.IMDP("IR", $K1290, $L$50, WORKDAY('CD|CP 발행사'!$C$4,-1)) )</f>
        <v/>
      </c>
    </row>
    <row r="1291" spans="7:12">
      <c r="G1291">
        <f ca="1">IF( ISNUMBER($L1291), MAX($G$50:G1290)+1,0)</f>
        <v>0</v>
      </c>
      <c r="H1291" s="13"/>
      <c r="I1291" s="67"/>
      <c r="J1291" s="67"/>
      <c r="K1291" s="80" t="str">
        <f t="shared" si="24"/>
        <v>CDAVG</v>
      </c>
      <c r="L1291" s="80" t="str">
        <f ca="1">IF(ISNUMBER(FIND("(",$I1291)), "", _xll.IMDP("IR", $K1291, $L$50, WORKDAY('CD|CP 발행사'!$C$4,-1)) )</f>
        <v/>
      </c>
    </row>
    <row r="1292" spans="7:12">
      <c r="G1292">
        <f ca="1">IF( ISNUMBER($L1292), MAX($G$50:G1291)+1,0)</f>
        <v>0</v>
      </c>
      <c r="H1292" s="13"/>
      <c r="I1292" s="67"/>
      <c r="J1292" s="67"/>
      <c r="K1292" s="80" t="str">
        <f t="shared" si="24"/>
        <v>CDAVG</v>
      </c>
      <c r="L1292" s="80" t="str">
        <f ca="1">IF(ISNUMBER(FIND("(",$I1292)), "", _xll.IMDP("IR", $K1292, $L$50, WORKDAY('CD|CP 발행사'!$C$4,-1)) )</f>
        <v/>
      </c>
    </row>
    <row r="1293" spans="7:12">
      <c r="G1293">
        <f ca="1">IF( ISNUMBER($L1293), MAX($G$50:G1292)+1,0)</f>
        <v>0</v>
      </c>
      <c r="H1293" s="13"/>
      <c r="I1293" s="67"/>
      <c r="J1293" s="67"/>
      <c r="K1293" s="80" t="str">
        <f t="shared" si="24"/>
        <v>CDAVG</v>
      </c>
      <c r="L1293" s="80" t="str">
        <f ca="1">IF(ISNUMBER(FIND("(",$I1293)), "", _xll.IMDP("IR", $K1293, $L$50, WORKDAY('CD|CP 발행사'!$C$4,-1)) )</f>
        <v/>
      </c>
    </row>
    <row r="1294" spans="7:12">
      <c r="G1294">
        <f ca="1">IF( ISNUMBER($L1294), MAX($G$50:G1293)+1,0)</f>
        <v>0</v>
      </c>
      <c r="H1294" s="13"/>
      <c r="I1294" s="67"/>
      <c r="J1294" s="67"/>
      <c r="K1294" s="80" t="str">
        <f t="shared" si="24"/>
        <v>CDAVG</v>
      </c>
      <c r="L1294" s="80" t="str">
        <f ca="1">IF(ISNUMBER(FIND("(",$I1294)), "", _xll.IMDP("IR", $K1294, $L$50, WORKDAY('CD|CP 발행사'!$C$4,-1)) )</f>
        <v/>
      </c>
    </row>
    <row r="1295" spans="7:12">
      <c r="G1295">
        <f ca="1">IF( ISNUMBER($L1295), MAX($G$50:G1294)+1,0)</f>
        <v>0</v>
      </c>
      <c r="H1295" s="13"/>
      <c r="I1295" s="67"/>
      <c r="J1295" s="67"/>
      <c r="K1295" s="80" t="str">
        <f t="shared" si="24"/>
        <v>CDAVG</v>
      </c>
      <c r="L1295" s="80" t="str">
        <f ca="1">IF(ISNUMBER(FIND("(",$I1295)), "", _xll.IMDP("IR", $K1295, $L$50, WORKDAY('CD|CP 발행사'!$C$4,-1)) )</f>
        <v/>
      </c>
    </row>
    <row r="1296" spans="7:12">
      <c r="G1296">
        <f ca="1">IF( ISNUMBER($L1296), MAX($G$50:G1295)+1,0)</f>
        <v>0</v>
      </c>
      <c r="H1296" s="13"/>
      <c r="I1296" s="67"/>
      <c r="J1296" s="67"/>
      <c r="K1296" s="80" t="str">
        <f t="shared" si="24"/>
        <v>CDAVG</v>
      </c>
      <c r="L1296" s="80" t="str">
        <f ca="1">IF(ISNUMBER(FIND("(",$I1296)), "", _xll.IMDP("IR", $K1296, $L$50, WORKDAY('CD|CP 발행사'!$C$4,-1)) )</f>
        <v/>
      </c>
    </row>
    <row r="1297" spans="7:12">
      <c r="G1297">
        <f ca="1">IF( ISNUMBER($L1297), MAX($G$50:G1296)+1,0)</f>
        <v>0</v>
      </c>
      <c r="H1297" s="13"/>
      <c r="I1297" s="67"/>
      <c r="J1297" s="67"/>
      <c r="K1297" s="80" t="str">
        <f t="shared" si="24"/>
        <v>CDAVG</v>
      </c>
      <c r="L1297" s="80" t="str">
        <f ca="1">IF(ISNUMBER(FIND("(",$I1297)), "", _xll.IMDP("IR", $K1297, $L$50, WORKDAY('CD|CP 발행사'!$C$4,-1)) )</f>
        <v/>
      </c>
    </row>
    <row r="1298" spans="7:12">
      <c r="G1298">
        <f ca="1">IF( ISNUMBER($L1298), MAX($G$50:G1297)+1,0)</f>
        <v>0</v>
      </c>
      <c r="H1298" s="13"/>
      <c r="I1298" s="67"/>
      <c r="J1298" s="67"/>
      <c r="K1298" s="80" t="str">
        <f t="shared" si="24"/>
        <v>CDAVG</v>
      </c>
      <c r="L1298" s="80" t="str">
        <f ca="1">IF(ISNUMBER(FIND("(",$I1298)), "", _xll.IMDP("IR", $K1298, $L$50, WORKDAY('CD|CP 발행사'!$C$4,-1)) )</f>
        <v/>
      </c>
    </row>
    <row r="1299" spans="7:12">
      <c r="G1299">
        <f ca="1">IF( ISNUMBER($L1299), MAX($G$50:G1298)+1,0)</f>
        <v>0</v>
      </c>
      <c r="H1299" s="13"/>
      <c r="I1299" s="67"/>
      <c r="J1299" s="67"/>
      <c r="K1299" s="80" t="str">
        <f t="shared" si="24"/>
        <v>CDAVG</v>
      </c>
      <c r="L1299" s="80" t="str">
        <f ca="1">IF(ISNUMBER(FIND("(",$I1299)), "", _xll.IMDP("IR", $K1299, $L$50, WORKDAY('CD|CP 발행사'!$C$4,-1)) )</f>
        <v/>
      </c>
    </row>
    <row r="1300" spans="7:12">
      <c r="G1300">
        <f ca="1">IF( ISNUMBER($L1300), MAX($G$50:G1299)+1,0)</f>
        <v>0</v>
      </c>
      <c r="H1300" s="13"/>
      <c r="I1300" s="67"/>
      <c r="J1300" s="67"/>
      <c r="K1300" s="80" t="str">
        <f t="shared" si="24"/>
        <v>CDAVG</v>
      </c>
      <c r="L1300" s="80" t="str">
        <f ca="1">IF(ISNUMBER(FIND("(",$I1300)), "", _xll.IMDP("IR", $K1300, $L$50, WORKDAY('CD|CP 발행사'!$C$4,-1)) )</f>
        <v/>
      </c>
    </row>
    <row r="1301" spans="7:12">
      <c r="G1301">
        <f ca="1">IF( ISNUMBER($L1301), MAX($G$50:G1300)+1,0)</f>
        <v>0</v>
      </c>
      <c r="H1301" s="13"/>
      <c r="I1301" s="67"/>
      <c r="J1301" s="67"/>
      <c r="K1301" s="80" t="str">
        <f t="shared" si="24"/>
        <v>CDAVG</v>
      </c>
      <c r="L1301" s="80" t="str">
        <f ca="1">IF(ISNUMBER(FIND("(",$I1301)), "", _xll.IMDP("IR", $K1301, $L$50, WORKDAY('CD|CP 발행사'!$C$4,-1)) )</f>
        <v/>
      </c>
    </row>
    <row r="1302" spans="7:12">
      <c r="G1302">
        <f ca="1">IF( ISNUMBER($L1302), MAX($G$50:G1301)+1,0)</f>
        <v>0</v>
      </c>
      <c r="H1302" s="13"/>
      <c r="I1302" s="67"/>
      <c r="J1302" s="67"/>
      <c r="K1302" s="80" t="str">
        <f t="shared" si="24"/>
        <v>CDAVG</v>
      </c>
      <c r="L1302" s="80" t="str">
        <f ca="1">IF(ISNUMBER(FIND("(",$I1302)), "", _xll.IMDP("IR", $K1302, $L$50, WORKDAY('CD|CP 발행사'!$C$4,-1)) )</f>
        <v/>
      </c>
    </row>
    <row r="1303" spans="7:12">
      <c r="G1303">
        <f ca="1">IF( ISNUMBER($L1303), MAX($G$50:G1302)+1,0)</f>
        <v>0</v>
      </c>
      <c r="H1303" s="13"/>
      <c r="I1303" s="67"/>
      <c r="J1303" s="67"/>
      <c r="K1303" s="80" t="str">
        <f t="shared" si="24"/>
        <v>CDAVG</v>
      </c>
      <c r="L1303" s="80" t="str">
        <f ca="1">IF(ISNUMBER(FIND("(",$I1303)), "", _xll.IMDP("IR", $K1303, $L$50, WORKDAY('CD|CP 발행사'!$C$4,-1)) )</f>
        <v/>
      </c>
    </row>
    <row r="1304" spans="7:12">
      <c r="G1304">
        <f ca="1">IF( ISNUMBER($L1304), MAX($G$50:G1303)+1,0)</f>
        <v>0</v>
      </c>
      <c r="H1304" s="13"/>
      <c r="I1304" s="67"/>
      <c r="J1304" s="67"/>
      <c r="K1304" s="80" t="str">
        <f t="shared" si="24"/>
        <v>CDAVG</v>
      </c>
      <c r="L1304" s="80" t="str">
        <f ca="1">IF(ISNUMBER(FIND("(",$I1304)), "", _xll.IMDP("IR", $K1304, $L$50, WORKDAY('CD|CP 발행사'!$C$4,-1)) )</f>
        <v/>
      </c>
    </row>
    <row r="1305" spans="7:12">
      <c r="G1305">
        <f ca="1">IF( ISNUMBER($L1305), MAX($G$50:G1304)+1,0)</f>
        <v>0</v>
      </c>
      <c r="H1305" s="13"/>
      <c r="I1305" s="67"/>
      <c r="J1305" s="67"/>
      <c r="K1305" s="80" t="str">
        <f t="shared" si="24"/>
        <v>CDAVG</v>
      </c>
      <c r="L1305" s="80" t="str">
        <f ca="1">IF(ISNUMBER(FIND("(",$I1305)), "", _xll.IMDP("IR", $K1305, $L$50, WORKDAY('CD|CP 발행사'!$C$4,-1)) )</f>
        <v/>
      </c>
    </row>
    <row r="1306" spans="7:12">
      <c r="G1306">
        <f ca="1">IF( ISNUMBER($L1306), MAX($G$50:G1305)+1,0)</f>
        <v>0</v>
      </c>
      <c r="H1306" s="13"/>
      <c r="I1306" s="67"/>
      <c r="J1306" s="67"/>
      <c r="K1306" s="80" t="str">
        <f t="shared" si="24"/>
        <v>CDAVG</v>
      </c>
      <c r="L1306" s="80" t="str">
        <f ca="1">IF(ISNUMBER(FIND("(",$I1306)), "", _xll.IMDP("IR", $K1306, $L$50, WORKDAY('CD|CP 발행사'!$C$4,-1)) )</f>
        <v/>
      </c>
    </row>
    <row r="1307" spans="7:12">
      <c r="G1307">
        <f ca="1">IF( ISNUMBER($L1307), MAX($G$50:G1306)+1,0)</f>
        <v>0</v>
      </c>
      <c r="H1307" s="13"/>
      <c r="I1307" s="67"/>
      <c r="J1307" s="67"/>
      <c r="K1307" s="80" t="str">
        <f t="shared" si="24"/>
        <v>CDAVG</v>
      </c>
      <c r="L1307" s="80" t="str">
        <f ca="1">IF(ISNUMBER(FIND("(",$I1307)), "", _xll.IMDP("IR", $K1307, $L$50, WORKDAY('CD|CP 발행사'!$C$4,-1)) )</f>
        <v/>
      </c>
    </row>
    <row r="1308" spans="7:12">
      <c r="G1308">
        <f ca="1">IF( ISNUMBER($L1308), MAX($G$50:G1307)+1,0)</f>
        <v>0</v>
      </c>
      <c r="H1308" s="13"/>
      <c r="I1308" s="67"/>
      <c r="J1308" s="67"/>
      <c r="K1308" s="80" t="str">
        <f t="shared" si="24"/>
        <v>CDAVG</v>
      </c>
      <c r="L1308" s="80" t="str">
        <f ca="1">IF(ISNUMBER(FIND("(",$I1308)), "", _xll.IMDP("IR", $K1308, $L$50, WORKDAY('CD|CP 발행사'!$C$4,-1)) )</f>
        <v/>
      </c>
    </row>
    <row r="1309" spans="7:12">
      <c r="G1309">
        <f ca="1">IF( ISNUMBER($L1309), MAX($G$50:G1308)+1,0)</f>
        <v>0</v>
      </c>
      <c r="H1309" s="13"/>
      <c r="I1309" s="67"/>
      <c r="J1309" s="67"/>
      <c r="K1309" s="80" t="str">
        <f t="shared" si="24"/>
        <v>CDAVG</v>
      </c>
      <c r="L1309" s="80" t="str">
        <f ca="1">IF(ISNUMBER(FIND("(",$I1309)), "", _xll.IMDP("IR", $K1309, $L$50, WORKDAY('CD|CP 발행사'!$C$4,-1)) )</f>
        <v/>
      </c>
    </row>
    <row r="1310" spans="7:12">
      <c r="G1310">
        <f ca="1">IF( ISNUMBER($L1310), MAX($G$50:G1309)+1,0)</f>
        <v>0</v>
      </c>
      <c r="H1310" s="13"/>
      <c r="I1310" s="67"/>
      <c r="J1310" s="67"/>
      <c r="K1310" s="80" t="str">
        <f t="shared" si="24"/>
        <v>CDAVG</v>
      </c>
      <c r="L1310" s="80" t="str">
        <f ca="1">IF(ISNUMBER(FIND("(",$I1310)), "", _xll.IMDP("IR", $K1310, $L$50, WORKDAY('CD|CP 발행사'!$C$4,-1)) )</f>
        <v/>
      </c>
    </row>
    <row r="1311" spans="7:12">
      <c r="G1311">
        <f ca="1">IF( ISNUMBER($L1311), MAX($G$50:G1310)+1,0)</f>
        <v>0</v>
      </c>
      <c r="H1311" s="13"/>
      <c r="I1311" s="67"/>
      <c r="J1311" s="67"/>
      <c r="K1311" s="80" t="str">
        <f t="shared" si="24"/>
        <v>CDAVG</v>
      </c>
      <c r="L1311" s="80" t="str">
        <f ca="1">IF(ISNUMBER(FIND("(",$I1311)), "", _xll.IMDP("IR", $K1311, $L$50, WORKDAY('CD|CP 발행사'!$C$4,-1)) )</f>
        <v/>
      </c>
    </row>
    <row r="1312" spans="7:12">
      <c r="G1312">
        <f ca="1">IF( ISNUMBER($L1312), MAX($G$50:G1311)+1,0)</f>
        <v>0</v>
      </c>
      <c r="H1312" s="13"/>
      <c r="I1312" s="67"/>
      <c r="J1312" s="67"/>
      <c r="K1312" s="80" t="str">
        <f t="shared" si="24"/>
        <v>CDAVG</v>
      </c>
      <c r="L1312" s="80" t="str">
        <f ca="1">IF(ISNUMBER(FIND("(",$I1312)), "", _xll.IMDP("IR", $K1312, $L$50, WORKDAY('CD|CP 발행사'!$C$4,-1)) )</f>
        <v/>
      </c>
    </row>
    <row r="1313" spans="7:12">
      <c r="G1313">
        <f ca="1">IF( ISNUMBER($L1313), MAX($G$50:G1312)+1,0)</f>
        <v>0</v>
      </c>
      <c r="H1313" s="13"/>
      <c r="I1313" s="67"/>
      <c r="J1313" s="67"/>
      <c r="K1313" s="80" t="str">
        <f t="shared" si="24"/>
        <v>CDAVG</v>
      </c>
      <c r="L1313" s="80" t="str">
        <f ca="1">IF(ISNUMBER(FIND("(",$I1313)), "", _xll.IMDP("IR", $K1313, $L$50, WORKDAY('CD|CP 발행사'!$C$4,-1)) )</f>
        <v/>
      </c>
    </row>
    <row r="1314" spans="7:12">
      <c r="G1314">
        <f ca="1">IF( ISNUMBER($L1314), MAX($G$50:G1313)+1,0)</f>
        <v>0</v>
      </c>
      <c r="H1314" s="13"/>
      <c r="I1314" s="67"/>
      <c r="J1314" s="67"/>
      <c r="K1314" s="80" t="str">
        <f t="shared" si="24"/>
        <v>CDAVG</v>
      </c>
      <c r="L1314" s="80" t="str">
        <f ca="1">IF(ISNUMBER(FIND("(",$I1314)), "", _xll.IMDP("IR", $K1314, $L$50, WORKDAY('CD|CP 발행사'!$C$4,-1)) )</f>
        <v/>
      </c>
    </row>
    <row r="1315" spans="7:12">
      <c r="G1315">
        <f ca="1">IF( ISNUMBER($L1315), MAX($G$50:G1314)+1,0)</f>
        <v>0</v>
      </c>
      <c r="H1315" s="13"/>
      <c r="I1315" s="67"/>
      <c r="J1315" s="67"/>
      <c r="K1315" s="80" t="str">
        <f t="shared" si="24"/>
        <v>CDAVG</v>
      </c>
      <c r="L1315" s="80" t="str">
        <f ca="1">IF(ISNUMBER(FIND("(",$I1315)), "", _xll.IMDP("IR", $K1315, $L$50, WORKDAY('CD|CP 발행사'!$C$4,-1)) )</f>
        <v/>
      </c>
    </row>
    <row r="1316" spans="7:12">
      <c r="G1316">
        <f ca="1">IF( ISNUMBER($L1316), MAX($G$50:G1315)+1,0)</f>
        <v>0</v>
      </c>
      <c r="H1316" s="13"/>
      <c r="I1316" s="67"/>
      <c r="J1316" s="67"/>
      <c r="K1316" s="80" t="str">
        <f t="shared" si="24"/>
        <v>CDAVG</v>
      </c>
      <c r="L1316" s="80" t="str">
        <f ca="1">IF(ISNUMBER(FIND("(",$I1316)), "", _xll.IMDP("IR", $K1316, $L$50, WORKDAY('CD|CP 발행사'!$C$4,-1)) )</f>
        <v/>
      </c>
    </row>
    <row r="1317" spans="7:12">
      <c r="G1317">
        <f ca="1">IF( ISNUMBER($L1317), MAX($G$50:G1316)+1,0)</f>
        <v>0</v>
      </c>
      <c r="H1317" s="13"/>
      <c r="I1317" s="67"/>
      <c r="J1317" s="67"/>
      <c r="K1317" s="80" t="str">
        <f t="shared" si="24"/>
        <v>CDAVG</v>
      </c>
      <c r="L1317" s="80" t="str">
        <f ca="1">IF(ISNUMBER(FIND("(",$I1317)), "", _xll.IMDP("IR", $K1317, $L$50, WORKDAY('CD|CP 발행사'!$C$4,-1)) )</f>
        <v/>
      </c>
    </row>
    <row r="1318" spans="7:12">
      <c r="G1318">
        <f ca="1">IF( ISNUMBER($L1318), MAX($G$50:G1317)+1,0)</f>
        <v>0</v>
      </c>
      <c r="H1318" s="13"/>
      <c r="I1318" s="67"/>
      <c r="J1318" s="67"/>
      <c r="K1318" s="80" t="str">
        <f t="shared" si="24"/>
        <v>CDAVG</v>
      </c>
      <c r="L1318" s="80" t="str">
        <f ca="1">IF(ISNUMBER(FIND("(",$I1318)), "", _xll.IMDP("IR", $K1318, $L$50, WORKDAY('CD|CP 발행사'!$C$4,-1)) )</f>
        <v/>
      </c>
    </row>
    <row r="1319" spans="7:12">
      <c r="G1319">
        <f ca="1">IF( ISNUMBER($L1319), MAX($G$50:G1318)+1,0)</f>
        <v>0</v>
      </c>
      <c r="H1319" s="13"/>
      <c r="I1319" s="67"/>
      <c r="J1319" s="67"/>
      <c r="K1319" s="80" t="str">
        <f t="shared" si="24"/>
        <v>CDAVG</v>
      </c>
      <c r="L1319" s="80" t="str">
        <f ca="1">IF(ISNUMBER(FIND("(",$I1319)), "", _xll.IMDP("IR", $K1319, $L$50, WORKDAY('CD|CP 발행사'!$C$4,-1)) )</f>
        <v/>
      </c>
    </row>
    <row r="1320" spans="7:12">
      <c r="G1320">
        <f ca="1">IF( ISNUMBER($L1320), MAX($G$50:G1319)+1,0)</f>
        <v>0</v>
      </c>
      <c r="H1320" s="13"/>
      <c r="I1320" s="67"/>
      <c r="J1320" s="67"/>
      <c r="K1320" s="80" t="str">
        <f t="shared" si="24"/>
        <v>CDAVG</v>
      </c>
      <c r="L1320" s="80" t="str">
        <f ca="1">IF(ISNUMBER(FIND("(",$I1320)), "", _xll.IMDP("IR", $K1320, $L$50, WORKDAY('CD|CP 발행사'!$C$4,-1)) )</f>
        <v/>
      </c>
    </row>
    <row r="1321" spans="7:12">
      <c r="G1321">
        <f ca="1">IF( ISNUMBER($L1321), MAX($G$50:G1320)+1,0)</f>
        <v>0</v>
      </c>
      <c r="H1321" s="13"/>
      <c r="I1321" s="67"/>
      <c r="J1321" s="67"/>
      <c r="K1321" s="80" t="str">
        <f t="shared" si="24"/>
        <v>CDAVG</v>
      </c>
      <c r="L1321" s="80" t="str">
        <f ca="1">IF(ISNUMBER(FIND("(",$I1321)), "", _xll.IMDP("IR", $K1321, $L$50, WORKDAY('CD|CP 발행사'!$C$4,-1)) )</f>
        <v/>
      </c>
    </row>
    <row r="1322" spans="7:12">
      <c r="G1322">
        <f ca="1">IF( ISNUMBER($L1322), MAX($G$50:G1321)+1,0)</f>
        <v>0</v>
      </c>
      <c r="H1322" s="13"/>
      <c r="I1322" s="67"/>
      <c r="J1322" s="67"/>
      <c r="K1322" s="80" t="str">
        <f t="shared" si="24"/>
        <v>CDAVG</v>
      </c>
      <c r="L1322" s="80" t="str">
        <f ca="1">IF(ISNUMBER(FIND("(",$I1322)), "", _xll.IMDP("IR", $K1322, $L$50, WORKDAY('CD|CP 발행사'!$C$4,-1)) )</f>
        <v/>
      </c>
    </row>
    <row r="1323" spans="7:12">
      <c r="G1323">
        <f ca="1">IF( ISNUMBER($L1323), MAX($G$50:G1322)+1,0)</f>
        <v>0</v>
      </c>
      <c r="H1323" s="13"/>
      <c r="I1323" s="67"/>
      <c r="J1323" s="67"/>
      <c r="K1323" s="80" t="str">
        <f t="shared" si="24"/>
        <v>CDAVG</v>
      </c>
      <c r="L1323" s="80" t="str">
        <f ca="1">IF(ISNUMBER(FIND("(",$I1323)), "", _xll.IMDP("IR", $K1323, $L$50, WORKDAY('CD|CP 발행사'!$C$4,-1)) )</f>
        <v/>
      </c>
    </row>
    <row r="1324" spans="7:12">
      <c r="G1324">
        <f ca="1">IF( ISNUMBER($L1324), MAX($G$50:G1323)+1,0)</f>
        <v>0</v>
      </c>
      <c r="H1324" s="13"/>
      <c r="I1324" s="67"/>
      <c r="J1324" s="67"/>
      <c r="K1324" s="80" t="str">
        <f t="shared" si="24"/>
        <v>CDAVG</v>
      </c>
      <c r="L1324" s="80" t="str">
        <f ca="1">IF(ISNUMBER(FIND("(",$I1324)), "", _xll.IMDP("IR", $K1324, $L$50, WORKDAY('CD|CP 발행사'!$C$4,-1)) )</f>
        <v/>
      </c>
    </row>
    <row r="1325" spans="7:12">
      <c r="G1325">
        <f ca="1">IF( ISNUMBER($L1325), MAX($G$50:G1324)+1,0)</f>
        <v>0</v>
      </c>
      <c r="H1325" s="13"/>
      <c r="I1325" s="67"/>
      <c r="J1325" s="67"/>
      <c r="K1325" s="80" t="str">
        <f t="shared" si="24"/>
        <v>CDAVG</v>
      </c>
      <c r="L1325" s="80" t="str">
        <f ca="1">IF(ISNUMBER(FIND("(",$I1325)), "", _xll.IMDP("IR", $K1325, $L$50, WORKDAY('CD|CP 발행사'!$C$4,-1)) )</f>
        <v/>
      </c>
    </row>
    <row r="1326" spans="7:12">
      <c r="G1326">
        <f ca="1">IF( ISNUMBER($L1326), MAX($G$50:G1325)+1,0)</f>
        <v>0</v>
      </c>
      <c r="H1326" s="13"/>
      <c r="I1326" s="67"/>
      <c r="J1326" s="67"/>
      <c r="K1326" s="80" t="str">
        <f t="shared" si="24"/>
        <v>CDAVG</v>
      </c>
      <c r="L1326" s="80" t="str">
        <f ca="1">IF(ISNUMBER(FIND("(",$I1326)), "", _xll.IMDP("IR", $K1326, $L$50, WORKDAY('CD|CP 발행사'!$C$4,-1)) )</f>
        <v/>
      </c>
    </row>
    <row r="1327" spans="7:12">
      <c r="G1327">
        <f ca="1">IF( ISNUMBER($L1327), MAX($G$50:G1326)+1,0)</f>
        <v>0</v>
      </c>
      <c r="H1327" s="13"/>
      <c r="I1327" s="67"/>
      <c r="J1327" s="67"/>
      <c r="K1327" s="80" t="str">
        <f t="shared" si="24"/>
        <v>CDAVG</v>
      </c>
      <c r="L1327" s="80" t="str">
        <f ca="1">IF(ISNUMBER(FIND("(",$I1327)), "", _xll.IMDP("IR", $K1327, $L$50, WORKDAY('CD|CP 발행사'!$C$4,-1)) )</f>
        <v/>
      </c>
    </row>
    <row r="1328" spans="7:12">
      <c r="G1328">
        <f ca="1">IF( ISNUMBER($L1328), MAX($G$50:G1327)+1,0)</f>
        <v>0</v>
      </c>
      <c r="H1328" s="13"/>
      <c r="I1328" s="67"/>
      <c r="J1328" s="67"/>
      <c r="K1328" s="80" t="str">
        <f t="shared" si="24"/>
        <v>CDAVG</v>
      </c>
      <c r="L1328" s="80" t="str">
        <f ca="1">IF(ISNUMBER(FIND("(",$I1328)), "", _xll.IMDP("IR", $K1328, $L$50, WORKDAY('CD|CP 발행사'!$C$4,-1)) )</f>
        <v/>
      </c>
    </row>
    <row r="1329" spans="7:12">
      <c r="G1329">
        <f ca="1">IF( ISNUMBER($L1329), MAX($G$50:G1328)+1,0)</f>
        <v>0</v>
      </c>
      <c r="H1329" s="13"/>
      <c r="I1329" s="67"/>
      <c r="J1329" s="67"/>
      <c r="K1329" s="80" t="str">
        <f t="shared" si="24"/>
        <v>CDAVG</v>
      </c>
      <c r="L1329" s="80" t="str">
        <f ca="1">IF(ISNUMBER(FIND("(",$I1329)), "", _xll.IMDP("IR", $K1329, $L$50, WORKDAY('CD|CP 발행사'!$C$4,-1)) )</f>
        <v/>
      </c>
    </row>
    <row r="1330" spans="7:12">
      <c r="G1330">
        <f ca="1">IF( ISNUMBER($L1330), MAX($G$50:G1329)+1,0)</f>
        <v>0</v>
      </c>
      <c r="H1330" s="13"/>
      <c r="I1330" s="67"/>
      <c r="J1330" s="67"/>
      <c r="K1330" s="80" t="str">
        <f t="shared" si="24"/>
        <v>CDAVG</v>
      </c>
      <c r="L1330" s="80" t="str">
        <f ca="1">IF(ISNUMBER(FIND("(",$I1330)), "", _xll.IMDP("IR", $K1330, $L$50, WORKDAY('CD|CP 발행사'!$C$4,-1)) )</f>
        <v/>
      </c>
    </row>
    <row r="1331" spans="7:12">
      <c r="G1331">
        <f ca="1">IF( ISNUMBER($L1331), MAX($G$50:G1330)+1,0)</f>
        <v>0</v>
      </c>
      <c r="H1331" s="13"/>
      <c r="I1331" s="67"/>
      <c r="J1331" s="67"/>
      <c r="K1331" s="80" t="str">
        <f t="shared" ref="K1331:K1394" si="25">$K$49&amp;$H1331</f>
        <v>CDAVG</v>
      </c>
      <c r="L1331" s="80" t="str">
        <f ca="1">IF(ISNUMBER(FIND("(",$I1331)), "", _xll.IMDP("IR", $K1331, $L$50, WORKDAY('CD|CP 발행사'!$C$4,-1)) )</f>
        <v/>
      </c>
    </row>
    <row r="1332" spans="7:12">
      <c r="G1332">
        <f ca="1">IF( ISNUMBER($L1332), MAX($G$50:G1331)+1,0)</f>
        <v>0</v>
      </c>
      <c r="H1332" s="13"/>
      <c r="I1332" s="67"/>
      <c r="J1332" s="67"/>
      <c r="K1332" s="80" t="str">
        <f t="shared" si="25"/>
        <v>CDAVG</v>
      </c>
      <c r="L1332" s="80" t="str">
        <f ca="1">IF(ISNUMBER(FIND("(",$I1332)), "", _xll.IMDP("IR", $K1332, $L$50, WORKDAY('CD|CP 발행사'!$C$4,-1)) )</f>
        <v/>
      </c>
    </row>
    <row r="1333" spans="7:12">
      <c r="G1333">
        <f ca="1">IF( ISNUMBER($L1333), MAX($G$50:G1332)+1,0)</f>
        <v>0</v>
      </c>
      <c r="H1333" s="13"/>
      <c r="I1333" s="67"/>
      <c r="J1333" s="67"/>
      <c r="K1333" s="80" t="str">
        <f t="shared" si="25"/>
        <v>CDAVG</v>
      </c>
      <c r="L1333" s="80" t="str">
        <f ca="1">IF(ISNUMBER(FIND("(",$I1333)), "", _xll.IMDP("IR", $K1333, $L$50, WORKDAY('CD|CP 발행사'!$C$4,-1)) )</f>
        <v/>
      </c>
    </row>
    <row r="1334" spans="7:12">
      <c r="G1334">
        <f ca="1">IF( ISNUMBER($L1334), MAX($G$50:G1333)+1,0)</f>
        <v>0</v>
      </c>
      <c r="H1334" s="13"/>
      <c r="I1334" s="67"/>
      <c r="J1334" s="67"/>
      <c r="K1334" s="80" t="str">
        <f t="shared" si="25"/>
        <v>CDAVG</v>
      </c>
      <c r="L1334" s="80" t="str">
        <f ca="1">IF(ISNUMBER(FIND("(",$I1334)), "", _xll.IMDP("IR", $K1334, $L$50, WORKDAY('CD|CP 발행사'!$C$4,-1)) )</f>
        <v/>
      </c>
    </row>
    <row r="1335" spans="7:12">
      <c r="G1335">
        <f ca="1">IF( ISNUMBER($L1335), MAX($G$50:G1334)+1,0)</f>
        <v>0</v>
      </c>
      <c r="H1335" s="13"/>
      <c r="I1335" s="67"/>
      <c r="J1335" s="67"/>
      <c r="K1335" s="80" t="str">
        <f t="shared" si="25"/>
        <v>CDAVG</v>
      </c>
      <c r="L1335" s="80" t="str">
        <f ca="1">IF(ISNUMBER(FIND("(",$I1335)), "", _xll.IMDP("IR", $K1335, $L$50, WORKDAY('CD|CP 발행사'!$C$4,-1)) )</f>
        <v/>
      </c>
    </row>
    <row r="1336" spans="7:12">
      <c r="G1336">
        <f ca="1">IF( ISNUMBER($L1336), MAX($G$50:G1335)+1,0)</f>
        <v>0</v>
      </c>
      <c r="H1336" s="13"/>
      <c r="I1336" s="67"/>
      <c r="J1336" s="67"/>
      <c r="K1336" s="80" t="str">
        <f t="shared" si="25"/>
        <v>CDAVG</v>
      </c>
      <c r="L1336" s="80" t="str">
        <f ca="1">IF(ISNUMBER(FIND("(",$I1336)), "", _xll.IMDP("IR", $K1336, $L$50, WORKDAY('CD|CP 발행사'!$C$4,-1)) )</f>
        <v/>
      </c>
    </row>
    <row r="1337" spans="7:12">
      <c r="G1337">
        <f ca="1">IF( ISNUMBER($L1337), MAX($G$50:G1336)+1,0)</f>
        <v>0</v>
      </c>
      <c r="H1337" s="13"/>
      <c r="I1337" s="67"/>
      <c r="J1337" s="67"/>
      <c r="K1337" s="80" t="str">
        <f t="shared" si="25"/>
        <v>CDAVG</v>
      </c>
      <c r="L1337" s="80" t="str">
        <f ca="1">IF(ISNUMBER(FIND("(",$I1337)), "", _xll.IMDP("IR", $K1337, $L$50, WORKDAY('CD|CP 발행사'!$C$4,-1)) )</f>
        <v/>
      </c>
    </row>
    <row r="1338" spans="7:12">
      <c r="G1338">
        <f ca="1">IF( ISNUMBER($L1338), MAX($G$50:G1337)+1,0)</f>
        <v>0</v>
      </c>
      <c r="H1338" s="13"/>
      <c r="I1338" s="67"/>
      <c r="J1338" s="67"/>
      <c r="K1338" s="80" t="str">
        <f t="shared" si="25"/>
        <v>CDAVG</v>
      </c>
      <c r="L1338" s="80" t="str">
        <f ca="1">IF(ISNUMBER(FIND("(",$I1338)), "", _xll.IMDP("IR", $K1338, $L$50, WORKDAY('CD|CP 발행사'!$C$4,-1)) )</f>
        <v/>
      </c>
    </row>
    <row r="1339" spans="7:12">
      <c r="G1339">
        <f ca="1">IF( ISNUMBER($L1339), MAX($G$50:G1338)+1,0)</f>
        <v>0</v>
      </c>
      <c r="H1339" s="13"/>
      <c r="I1339" s="67"/>
      <c r="J1339" s="67"/>
      <c r="K1339" s="80" t="str">
        <f t="shared" si="25"/>
        <v>CDAVG</v>
      </c>
      <c r="L1339" s="80" t="str">
        <f ca="1">IF(ISNUMBER(FIND("(",$I1339)), "", _xll.IMDP("IR", $K1339, $L$50, WORKDAY('CD|CP 발행사'!$C$4,-1)) )</f>
        <v/>
      </c>
    </row>
    <row r="1340" spans="7:12">
      <c r="G1340">
        <f ca="1">IF( ISNUMBER($L1340), MAX($G$50:G1339)+1,0)</f>
        <v>0</v>
      </c>
      <c r="H1340" s="13"/>
      <c r="I1340" s="67"/>
      <c r="J1340" s="67"/>
      <c r="K1340" s="80" t="str">
        <f t="shared" si="25"/>
        <v>CDAVG</v>
      </c>
      <c r="L1340" s="80" t="str">
        <f ca="1">IF(ISNUMBER(FIND("(",$I1340)), "", _xll.IMDP("IR", $K1340, $L$50, WORKDAY('CD|CP 발행사'!$C$4,-1)) )</f>
        <v/>
      </c>
    </row>
    <row r="1341" spans="7:12">
      <c r="G1341">
        <f ca="1">IF( ISNUMBER($L1341), MAX($G$50:G1340)+1,0)</f>
        <v>0</v>
      </c>
      <c r="H1341" s="13"/>
      <c r="I1341" s="67"/>
      <c r="J1341" s="67"/>
      <c r="K1341" s="80" t="str">
        <f t="shared" si="25"/>
        <v>CDAVG</v>
      </c>
      <c r="L1341" s="80" t="str">
        <f ca="1">IF(ISNUMBER(FIND("(",$I1341)), "", _xll.IMDP("IR", $K1341, $L$50, WORKDAY('CD|CP 발행사'!$C$4,-1)) )</f>
        <v/>
      </c>
    </row>
    <row r="1342" spans="7:12">
      <c r="G1342">
        <f ca="1">IF( ISNUMBER($L1342), MAX($G$50:G1341)+1,0)</f>
        <v>0</v>
      </c>
      <c r="H1342" s="13"/>
      <c r="I1342" s="67"/>
      <c r="J1342" s="67"/>
      <c r="K1342" s="80" t="str">
        <f t="shared" si="25"/>
        <v>CDAVG</v>
      </c>
      <c r="L1342" s="80" t="str">
        <f ca="1">IF(ISNUMBER(FIND("(",$I1342)), "", _xll.IMDP("IR", $K1342, $L$50, WORKDAY('CD|CP 발행사'!$C$4,-1)) )</f>
        <v/>
      </c>
    </row>
    <row r="1343" spans="7:12">
      <c r="G1343">
        <f ca="1">IF( ISNUMBER($L1343), MAX($G$50:G1342)+1,0)</f>
        <v>0</v>
      </c>
      <c r="H1343" s="13"/>
      <c r="I1343" s="67"/>
      <c r="J1343" s="67"/>
      <c r="K1343" s="80" t="str">
        <f t="shared" si="25"/>
        <v>CDAVG</v>
      </c>
      <c r="L1343" s="80" t="str">
        <f ca="1">IF(ISNUMBER(FIND("(",$I1343)), "", _xll.IMDP("IR", $K1343, $L$50, WORKDAY('CD|CP 발행사'!$C$4,-1)) )</f>
        <v/>
      </c>
    </row>
    <row r="1344" spans="7:12">
      <c r="G1344">
        <f ca="1">IF( ISNUMBER($L1344), MAX($G$50:G1343)+1,0)</f>
        <v>0</v>
      </c>
      <c r="H1344" s="13"/>
      <c r="I1344" s="67"/>
      <c r="J1344" s="67"/>
      <c r="K1344" s="80" t="str">
        <f t="shared" si="25"/>
        <v>CDAVG</v>
      </c>
      <c r="L1344" s="80" t="str">
        <f ca="1">IF(ISNUMBER(FIND("(",$I1344)), "", _xll.IMDP("IR", $K1344, $L$50, WORKDAY('CD|CP 발행사'!$C$4,-1)) )</f>
        <v/>
      </c>
    </row>
    <row r="1345" spans="7:12">
      <c r="G1345">
        <f ca="1">IF( ISNUMBER($L1345), MAX($G$50:G1344)+1,0)</f>
        <v>0</v>
      </c>
      <c r="H1345" s="13"/>
      <c r="I1345" s="67"/>
      <c r="J1345" s="67"/>
      <c r="K1345" s="80" t="str">
        <f t="shared" si="25"/>
        <v>CDAVG</v>
      </c>
      <c r="L1345" s="80" t="str">
        <f ca="1">IF(ISNUMBER(FIND("(",$I1345)), "", _xll.IMDP("IR", $K1345, $L$50, WORKDAY('CD|CP 발행사'!$C$4,-1)) )</f>
        <v/>
      </c>
    </row>
    <row r="1346" spans="7:12">
      <c r="G1346">
        <f ca="1">IF( ISNUMBER($L1346), MAX($G$50:G1345)+1,0)</f>
        <v>0</v>
      </c>
      <c r="H1346" s="13"/>
      <c r="I1346" s="67"/>
      <c r="J1346" s="67"/>
      <c r="K1346" s="80" t="str">
        <f t="shared" si="25"/>
        <v>CDAVG</v>
      </c>
      <c r="L1346" s="80" t="str">
        <f ca="1">IF(ISNUMBER(FIND("(",$I1346)), "", _xll.IMDP("IR", $K1346, $L$50, WORKDAY('CD|CP 발행사'!$C$4,-1)) )</f>
        <v/>
      </c>
    </row>
    <row r="1347" spans="7:12">
      <c r="G1347">
        <f ca="1">IF( ISNUMBER($L1347), MAX($G$50:G1346)+1,0)</f>
        <v>0</v>
      </c>
      <c r="H1347" s="13"/>
      <c r="I1347" s="67"/>
      <c r="J1347" s="67"/>
      <c r="K1347" s="80" t="str">
        <f t="shared" si="25"/>
        <v>CDAVG</v>
      </c>
      <c r="L1347" s="80" t="str">
        <f ca="1">IF(ISNUMBER(FIND("(",$I1347)), "", _xll.IMDP("IR", $K1347, $L$50, WORKDAY('CD|CP 발행사'!$C$4,-1)) )</f>
        <v/>
      </c>
    </row>
    <row r="1348" spans="7:12">
      <c r="G1348">
        <f ca="1">IF( ISNUMBER($L1348), MAX($G$50:G1347)+1,0)</f>
        <v>0</v>
      </c>
      <c r="H1348" s="13"/>
      <c r="I1348" s="67"/>
      <c r="J1348" s="67"/>
      <c r="K1348" s="80" t="str">
        <f t="shared" si="25"/>
        <v>CDAVG</v>
      </c>
      <c r="L1348" s="80" t="str">
        <f ca="1">IF(ISNUMBER(FIND("(",$I1348)), "", _xll.IMDP("IR", $K1348, $L$50, WORKDAY('CD|CP 발행사'!$C$4,-1)) )</f>
        <v/>
      </c>
    </row>
    <row r="1349" spans="7:12">
      <c r="G1349">
        <f ca="1">IF( ISNUMBER($L1349), MAX($G$50:G1348)+1,0)</f>
        <v>0</v>
      </c>
      <c r="H1349" s="13"/>
      <c r="I1349" s="67"/>
      <c r="J1349" s="67"/>
      <c r="K1349" s="80" t="str">
        <f t="shared" si="25"/>
        <v>CDAVG</v>
      </c>
      <c r="L1349" s="80" t="str">
        <f ca="1">IF(ISNUMBER(FIND("(",$I1349)), "", _xll.IMDP("IR", $K1349, $L$50, WORKDAY('CD|CP 발행사'!$C$4,-1)) )</f>
        <v/>
      </c>
    </row>
    <row r="1350" spans="7:12">
      <c r="G1350">
        <f ca="1">IF( ISNUMBER($L1350), MAX($G$50:G1349)+1,0)</f>
        <v>0</v>
      </c>
      <c r="H1350" s="13"/>
      <c r="I1350" s="67"/>
      <c r="J1350" s="67"/>
      <c r="K1350" s="80" t="str">
        <f t="shared" si="25"/>
        <v>CDAVG</v>
      </c>
      <c r="L1350" s="80" t="str">
        <f ca="1">IF(ISNUMBER(FIND("(",$I1350)), "", _xll.IMDP("IR", $K1350, $L$50, WORKDAY('CD|CP 발행사'!$C$4,-1)) )</f>
        <v/>
      </c>
    </row>
    <row r="1351" spans="7:12">
      <c r="G1351">
        <f ca="1">IF( ISNUMBER($L1351), MAX($G$50:G1350)+1,0)</f>
        <v>0</v>
      </c>
      <c r="H1351" s="13"/>
      <c r="I1351" s="67"/>
      <c r="J1351" s="67"/>
      <c r="K1351" s="80" t="str">
        <f t="shared" si="25"/>
        <v>CDAVG</v>
      </c>
      <c r="L1351" s="80" t="str">
        <f ca="1">IF(ISNUMBER(FIND("(",$I1351)), "", _xll.IMDP("IR", $K1351, $L$50, WORKDAY('CD|CP 발행사'!$C$4,-1)) )</f>
        <v/>
      </c>
    </row>
    <row r="1352" spans="7:12">
      <c r="G1352">
        <f ca="1">IF( ISNUMBER($L1352), MAX($G$50:G1351)+1,0)</f>
        <v>0</v>
      </c>
      <c r="H1352" s="13"/>
      <c r="I1352" s="67"/>
      <c r="J1352" s="67"/>
      <c r="K1352" s="80" t="str">
        <f t="shared" si="25"/>
        <v>CDAVG</v>
      </c>
      <c r="L1352" s="80" t="str">
        <f ca="1">IF(ISNUMBER(FIND("(",$I1352)), "", _xll.IMDP("IR", $K1352, $L$50, WORKDAY('CD|CP 발행사'!$C$4,-1)) )</f>
        <v/>
      </c>
    </row>
    <row r="1353" spans="7:12">
      <c r="G1353">
        <f ca="1">IF( ISNUMBER($L1353), MAX($G$50:G1352)+1,0)</f>
        <v>0</v>
      </c>
      <c r="H1353" s="13"/>
      <c r="I1353" s="67"/>
      <c r="J1353" s="67"/>
      <c r="K1353" s="80" t="str">
        <f t="shared" si="25"/>
        <v>CDAVG</v>
      </c>
      <c r="L1353" s="80" t="str">
        <f ca="1">IF(ISNUMBER(FIND("(",$I1353)), "", _xll.IMDP("IR", $K1353, $L$50, WORKDAY('CD|CP 발행사'!$C$4,-1)) )</f>
        <v/>
      </c>
    </row>
    <row r="1354" spans="7:12">
      <c r="G1354">
        <f ca="1">IF( ISNUMBER($L1354), MAX($G$50:G1353)+1,0)</f>
        <v>0</v>
      </c>
      <c r="H1354" s="13"/>
      <c r="I1354" s="67"/>
      <c r="J1354" s="67"/>
      <c r="K1354" s="80" t="str">
        <f t="shared" si="25"/>
        <v>CDAVG</v>
      </c>
      <c r="L1354" s="80" t="str">
        <f ca="1">IF(ISNUMBER(FIND("(",$I1354)), "", _xll.IMDP("IR", $K1354, $L$50, WORKDAY('CD|CP 발행사'!$C$4,-1)) )</f>
        <v/>
      </c>
    </row>
    <row r="1355" spans="7:12">
      <c r="G1355">
        <f ca="1">IF( ISNUMBER($L1355), MAX($G$50:G1354)+1,0)</f>
        <v>0</v>
      </c>
      <c r="H1355" s="13"/>
      <c r="I1355" s="67"/>
      <c r="J1355" s="67"/>
      <c r="K1355" s="80" t="str">
        <f t="shared" si="25"/>
        <v>CDAVG</v>
      </c>
      <c r="L1355" s="80" t="str">
        <f ca="1">IF(ISNUMBER(FIND("(",$I1355)), "", _xll.IMDP("IR", $K1355, $L$50, WORKDAY('CD|CP 발행사'!$C$4,-1)) )</f>
        <v/>
      </c>
    </row>
    <row r="1356" spans="7:12">
      <c r="G1356">
        <f ca="1">IF( ISNUMBER($L1356), MAX($G$50:G1355)+1,0)</f>
        <v>0</v>
      </c>
      <c r="H1356" s="13"/>
      <c r="I1356" s="67"/>
      <c r="J1356" s="67"/>
      <c r="K1356" s="80" t="str">
        <f t="shared" si="25"/>
        <v>CDAVG</v>
      </c>
      <c r="L1356" s="80" t="str">
        <f ca="1">IF(ISNUMBER(FIND("(",$I1356)), "", _xll.IMDP("IR", $K1356, $L$50, WORKDAY('CD|CP 발행사'!$C$4,-1)) )</f>
        <v/>
      </c>
    </row>
    <row r="1357" spans="7:12">
      <c r="G1357">
        <f ca="1">IF( ISNUMBER($L1357), MAX($G$50:G1356)+1,0)</f>
        <v>0</v>
      </c>
      <c r="H1357" s="13"/>
      <c r="I1357" s="67"/>
      <c r="J1357" s="67"/>
      <c r="K1357" s="80" t="str">
        <f t="shared" si="25"/>
        <v>CDAVG</v>
      </c>
      <c r="L1357" s="80" t="str">
        <f ca="1">IF(ISNUMBER(FIND("(",$I1357)), "", _xll.IMDP("IR", $K1357, $L$50, WORKDAY('CD|CP 발행사'!$C$4,-1)) )</f>
        <v/>
      </c>
    </row>
    <row r="1358" spans="7:12">
      <c r="G1358">
        <f ca="1">IF( ISNUMBER($L1358), MAX($G$50:G1357)+1,0)</f>
        <v>0</v>
      </c>
      <c r="H1358" s="13"/>
      <c r="I1358" s="67"/>
      <c r="J1358" s="67"/>
      <c r="K1358" s="80" t="str">
        <f t="shared" si="25"/>
        <v>CDAVG</v>
      </c>
      <c r="L1358" s="80" t="str">
        <f ca="1">IF(ISNUMBER(FIND("(",$I1358)), "", _xll.IMDP("IR", $K1358, $L$50, WORKDAY('CD|CP 발행사'!$C$4,-1)) )</f>
        <v/>
      </c>
    </row>
    <row r="1359" spans="7:12">
      <c r="G1359">
        <f ca="1">IF( ISNUMBER($L1359), MAX($G$50:G1358)+1,0)</f>
        <v>0</v>
      </c>
      <c r="H1359" s="13"/>
      <c r="I1359" s="67"/>
      <c r="J1359" s="67"/>
      <c r="K1359" s="80" t="str">
        <f t="shared" si="25"/>
        <v>CDAVG</v>
      </c>
      <c r="L1359" s="80" t="str">
        <f ca="1">IF(ISNUMBER(FIND("(",$I1359)), "", _xll.IMDP("IR", $K1359, $L$50, WORKDAY('CD|CP 발행사'!$C$4,-1)) )</f>
        <v/>
      </c>
    </row>
    <row r="1360" spans="7:12">
      <c r="G1360">
        <f ca="1">IF( ISNUMBER($L1360), MAX($G$50:G1359)+1,0)</f>
        <v>0</v>
      </c>
      <c r="H1360" s="13"/>
      <c r="I1360" s="67"/>
      <c r="J1360" s="67"/>
      <c r="K1360" s="80" t="str">
        <f t="shared" si="25"/>
        <v>CDAVG</v>
      </c>
      <c r="L1360" s="80" t="str">
        <f ca="1">IF(ISNUMBER(FIND("(",$I1360)), "", _xll.IMDP("IR", $K1360, $L$50, WORKDAY('CD|CP 발행사'!$C$4,-1)) )</f>
        <v/>
      </c>
    </row>
    <row r="1361" spans="7:12">
      <c r="G1361">
        <f ca="1">IF( ISNUMBER($L1361), MAX($G$50:G1360)+1,0)</f>
        <v>0</v>
      </c>
      <c r="H1361" s="13"/>
      <c r="I1361" s="67"/>
      <c r="J1361" s="67"/>
      <c r="K1361" s="80" t="str">
        <f t="shared" si="25"/>
        <v>CDAVG</v>
      </c>
      <c r="L1361" s="80" t="str">
        <f ca="1">IF(ISNUMBER(FIND("(",$I1361)), "", _xll.IMDP("IR", $K1361, $L$50, WORKDAY('CD|CP 발행사'!$C$4,-1)) )</f>
        <v/>
      </c>
    </row>
    <row r="1362" spans="7:12">
      <c r="G1362">
        <f ca="1">IF( ISNUMBER($L1362), MAX($G$50:G1361)+1,0)</f>
        <v>0</v>
      </c>
      <c r="H1362" s="13"/>
      <c r="I1362" s="67"/>
      <c r="J1362" s="67"/>
      <c r="K1362" s="80" t="str">
        <f t="shared" si="25"/>
        <v>CDAVG</v>
      </c>
      <c r="L1362" s="80" t="str">
        <f ca="1">IF(ISNUMBER(FIND("(",$I1362)), "", _xll.IMDP("IR", $K1362, $L$50, WORKDAY('CD|CP 발행사'!$C$4,-1)) )</f>
        <v/>
      </c>
    </row>
    <row r="1363" spans="7:12">
      <c r="G1363">
        <f ca="1">IF( ISNUMBER($L1363), MAX($G$50:G1362)+1,0)</f>
        <v>0</v>
      </c>
      <c r="H1363" s="13"/>
      <c r="I1363" s="67"/>
      <c r="J1363" s="67"/>
      <c r="K1363" s="80" t="str">
        <f t="shared" si="25"/>
        <v>CDAVG</v>
      </c>
      <c r="L1363" s="80" t="str">
        <f ca="1">IF(ISNUMBER(FIND("(",$I1363)), "", _xll.IMDP("IR", $K1363, $L$50, WORKDAY('CD|CP 발행사'!$C$4,-1)) )</f>
        <v/>
      </c>
    </row>
    <row r="1364" spans="7:12">
      <c r="G1364">
        <f ca="1">IF( ISNUMBER($L1364), MAX($G$50:G1363)+1,0)</f>
        <v>0</v>
      </c>
      <c r="H1364" s="13"/>
      <c r="I1364" s="67"/>
      <c r="J1364" s="67"/>
      <c r="K1364" s="80" t="str">
        <f t="shared" si="25"/>
        <v>CDAVG</v>
      </c>
      <c r="L1364" s="80" t="str">
        <f ca="1">IF(ISNUMBER(FIND("(",$I1364)), "", _xll.IMDP("IR", $K1364, $L$50, WORKDAY('CD|CP 발행사'!$C$4,-1)) )</f>
        <v/>
      </c>
    </row>
    <row r="1365" spans="7:12">
      <c r="G1365">
        <f ca="1">IF( ISNUMBER($L1365), MAX($G$50:G1364)+1,0)</f>
        <v>0</v>
      </c>
      <c r="H1365" s="13"/>
      <c r="I1365" s="67"/>
      <c r="J1365" s="67"/>
      <c r="K1365" s="80" t="str">
        <f t="shared" si="25"/>
        <v>CDAVG</v>
      </c>
      <c r="L1365" s="80" t="str">
        <f ca="1">IF(ISNUMBER(FIND("(",$I1365)), "", _xll.IMDP("IR", $K1365, $L$50, WORKDAY('CD|CP 발행사'!$C$4,-1)) )</f>
        <v/>
      </c>
    </row>
    <row r="1366" spans="7:12">
      <c r="G1366">
        <f ca="1">IF( ISNUMBER($L1366), MAX($G$50:G1365)+1,0)</f>
        <v>0</v>
      </c>
      <c r="H1366" s="13"/>
      <c r="I1366" s="67"/>
      <c r="J1366" s="67"/>
      <c r="K1366" s="80" t="str">
        <f t="shared" si="25"/>
        <v>CDAVG</v>
      </c>
      <c r="L1366" s="80" t="str">
        <f ca="1">IF(ISNUMBER(FIND("(",$I1366)), "", _xll.IMDP("IR", $K1366, $L$50, WORKDAY('CD|CP 발행사'!$C$4,-1)) )</f>
        <v/>
      </c>
    </row>
    <row r="1367" spans="7:12">
      <c r="G1367">
        <f ca="1">IF( ISNUMBER($L1367), MAX($G$50:G1366)+1,0)</f>
        <v>0</v>
      </c>
      <c r="H1367" s="13"/>
      <c r="I1367" s="67"/>
      <c r="J1367" s="67"/>
      <c r="K1367" s="80" t="str">
        <f t="shared" si="25"/>
        <v>CDAVG</v>
      </c>
      <c r="L1367" s="80" t="str">
        <f ca="1">IF(ISNUMBER(FIND("(",$I1367)), "", _xll.IMDP("IR", $K1367, $L$50, WORKDAY('CD|CP 발행사'!$C$4,-1)) )</f>
        <v/>
      </c>
    </row>
    <row r="1368" spans="7:12">
      <c r="G1368">
        <f ca="1">IF( ISNUMBER($L1368), MAX($G$50:G1367)+1,0)</f>
        <v>0</v>
      </c>
      <c r="H1368" s="13"/>
      <c r="I1368" s="67"/>
      <c r="J1368" s="67"/>
      <c r="K1368" s="80" t="str">
        <f t="shared" si="25"/>
        <v>CDAVG</v>
      </c>
      <c r="L1368" s="80" t="str">
        <f ca="1">IF(ISNUMBER(FIND("(",$I1368)), "", _xll.IMDP("IR", $K1368, $L$50, WORKDAY('CD|CP 발행사'!$C$4,-1)) )</f>
        <v/>
      </c>
    </row>
    <row r="1369" spans="7:12">
      <c r="G1369">
        <f ca="1">IF( ISNUMBER($L1369), MAX($G$50:G1368)+1,0)</f>
        <v>0</v>
      </c>
      <c r="H1369" s="13"/>
      <c r="I1369" s="67"/>
      <c r="J1369" s="67"/>
      <c r="K1369" s="80" t="str">
        <f t="shared" si="25"/>
        <v>CDAVG</v>
      </c>
      <c r="L1369" s="80" t="str">
        <f ca="1">IF(ISNUMBER(FIND("(",$I1369)), "", _xll.IMDP("IR", $K1369, $L$50, WORKDAY('CD|CP 발행사'!$C$4,-1)) )</f>
        <v/>
      </c>
    </row>
    <row r="1370" spans="7:12">
      <c r="G1370">
        <f ca="1">IF( ISNUMBER($L1370), MAX($G$50:G1369)+1,0)</f>
        <v>0</v>
      </c>
      <c r="H1370" s="13"/>
      <c r="I1370" s="67"/>
      <c r="J1370" s="67"/>
      <c r="K1370" s="80" t="str">
        <f t="shared" si="25"/>
        <v>CDAVG</v>
      </c>
      <c r="L1370" s="80" t="str">
        <f ca="1">IF(ISNUMBER(FIND("(",$I1370)), "", _xll.IMDP("IR", $K1370, $L$50, WORKDAY('CD|CP 발행사'!$C$4,-1)) )</f>
        <v/>
      </c>
    </row>
    <row r="1371" spans="7:12">
      <c r="G1371">
        <f ca="1">IF( ISNUMBER($L1371), MAX($G$50:G1370)+1,0)</f>
        <v>0</v>
      </c>
      <c r="H1371" s="13"/>
      <c r="I1371" s="67"/>
      <c r="J1371" s="67"/>
      <c r="K1371" s="80" t="str">
        <f t="shared" si="25"/>
        <v>CDAVG</v>
      </c>
      <c r="L1371" s="80" t="str">
        <f ca="1">IF(ISNUMBER(FIND("(",$I1371)), "", _xll.IMDP("IR", $K1371, $L$50, WORKDAY('CD|CP 발행사'!$C$4,-1)) )</f>
        <v/>
      </c>
    </row>
    <row r="1372" spans="7:12">
      <c r="G1372">
        <f ca="1">IF( ISNUMBER($L1372), MAX($G$50:G1371)+1,0)</f>
        <v>0</v>
      </c>
      <c r="H1372" s="13"/>
      <c r="I1372" s="67"/>
      <c r="J1372" s="67"/>
      <c r="K1372" s="80" t="str">
        <f t="shared" si="25"/>
        <v>CDAVG</v>
      </c>
      <c r="L1372" s="80" t="str">
        <f ca="1">IF(ISNUMBER(FIND("(",$I1372)), "", _xll.IMDP("IR", $K1372, $L$50, WORKDAY('CD|CP 발행사'!$C$4,-1)) )</f>
        <v/>
      </c>
    </row>
    <row r="1373" spans="7:12">
      <c r="G1373">
        <f ca="1">IF( ISNUMBER($L1373), MAX($G$50:G1372)+1,0)</f>
        <v>0</v>
      </c>
      <c r="H1373" s="13"/>
      <c r="I1373" s="67"/>
      <c r="J1373" s="67"/>
      <c r="K1373" s="80" t="str">
        <f t="shared" si="25"/>
        <v>CDAVG</v>
      </c>
      <c r="L1373" s="80" t="str">
        <f ca="1">IF(ISNUMBER(FIND("(",$I1373)), "", _xll.IMDP("IR", $K1373, $L$50, WORKDAY('CD|CP 발행사'!$C$4,-1)) )</f>
        <v/>
      </c>
    </row>
    <row r="1374" spans="7:12">
      <c r="G1374">
        <f ca="1">IF( ISNUMBER($L1374), MAX($G$50:G1373)+1,0)</f>
        <v>0</v>
      </c>
      <c r="H1374" s="13"/>
      <c r="I1374" s="67"/>
      <c r="J1374" s="67"/>
      <c r="K1374" s="80" t="str">
        <f t="shared" si="25"/>
        <v>CDAVG</v>
      </c>
      <c r="L1374" s="80" t="str">
        <f ca="1">IF(ISNUMBER(FIND("(",$I1374)), "", _xll.IMDP("IR", $K1374, $L$50, WORKDAY('CD|CP 발행사'!$C$4,-1)) )</f>
        <v/>
      </c>
    </row>
    <row r="1375" spans="7:12">
      <c r="G1375">
        <f ca="1">IF( ISNUMBER($L1375), MAX($G$50:G1374)+1,0)</f>
        <v>0</v>
      </c>
      <c r="H1375" s="13"/>
      <c r="I1375" s="67"/>
      <c r="J1375" s="67"/>
      <c r="K1375" s="80" t="str">
        <f t="shared" si="25"/>
        <v>CDAVG</v>
      </c>
      <c r="L1375" s="80" t="str">
        <f ca="1">IF(ISNUMBER(FIND("(",$I1375)), "", _xll.IMDP("IR", $K1375, $L$50, WORKDAY('CD|CP 발행사'!$C$4,-1)) )</f>
        <v/>
      </c>
    </row>
    <row r="1376" spans="7:12">
      <c r="G1376">
        <f ca="1">IF( ISNUMBER($L1376), MAX($G$50:G1375)+1,0)</f>
        <v>0</v>
      </c>
      <c r="H1376" s="13"/>
      <c r="I1376" s="67"/>
      <c r="J1376" s="67"/>
      <c r="K1376" s="80" t="str">
        <f t="shared" si="25"/>
        <v>CDAVG</v>
      </c>
      <c r="L1376" s="80" t="str">
        <f ca="1">IF(ISNUMBER(FIND("(",$I1376)), "", _xll.IMDP("IR", $K1376, $L$50, WORKDAY('CD|CP 발행사'!$C$4,-1)) )</f>
        <v/>
      </c>
    </row>
    <row r="1377" spans="7:12">
      <c r="G1377">
        <f ca="1">IF( ISNUMBER($L1377), MAX($G$50:G1376)+1,0)</f>
        <v>0</v>
      </c>
      <c r="H1377" s="13"/>
      <c r="I1377" s="67"/>
      <c r="J1377" s="67"/>
      <c r="K1377" s="80" t="str">
        <f t="shared" si="25"/>
        <v>CDAVG</v>
      </c>
      <c r="L1377" s="80" t="str">
        <f ca="1">IF(ISNUMBER(FIND("(",$I1377)), "", _xll.IMDP("IR", $K1377, $L$50, WORKDAY('CD|CP 발행사'!$C$4,-1)) )</f>
        <v/>
      </c>
    </row>
    <row r="1378" spans="7:12">
      <c r="G1378">
        <f ca="1">IF( ISNUMBER($L1378), MAX($G$50:G1377)+1,0)</f>
        <v>0</v>
      </c>
      <c r="H1378" s="13"/>
      <c r="I1378" s="67"/>
      <c r="J1378" s="67"/>
      <c r="K1378" s="80" t="str">
        <f t="shared" si="25"/>
        <v>CDAVG</v>
      </c>
      <c r="L1378" s="80" t="str">
        <f ca="1">IF(ISNUMBER(FIND("(",$I1378)), "", _xll.IMDP("IR", $K1378, $L$50, WORKDAY('CD|CP 발행사'!$C$4,-1)) )</f>
        <v/>
      </c>
    </row>
    <row r="1379" spans="7:12">
      <c r="G1379">
        <f ca="1">IF( ISNUMBER($L1379), MAX($G$50:G1378)+1,0)</f>
        <v>0</v>
      </c>
      <c r="H1379" s="13"/>
      <c r="I1379" s="67"/>
      <c r="J1379" s="67"/>
      <c r="K1379" s="80" t="str">
        <f t="shared" si="25"/>
        <v>CDAVG</v>
      </c>
      <c r="L1379" s="80" t="str">
        <f ca="1">IF(ISNUMBER(FIND("(",$I1379)), "", _xll.IMDP("IR", $K1379, $L$50, WORKDAY('CD|CP 발행사'!$C$4,-1)) )</f>
        <v/>
      </c>
    </row>
    <row r="1380" spans="7:12">
      <c r="G1380">
        <f ca="1">IF( ISNUMBER($L1380), MAX($G$50:G1379)+1,0)</f>
        <v>0</v>
      </c>
      <c r="H1380" s="13"/>
      <c r="I1380" s="67"/>
      <c r="J1380" s="67"/>
      <c r="K1380" s="80" t="str">
        <f t="shared" si="25"/>
        <v>CDAVG</v>
      </c>
      <c r="L1380" s="80" t="str">
        <f ca="1">IF(ISNUMBER(FIND("(",$I1380)), "", _xll.IMDP("IR", $K1380, $L$50, WORKDAY('CD|CP 발행사'!$C$4,-1)) )</f>
        <v/>
      </c>
    </row>
    <row r="1381" spans="7:12">
      <c r="G1381">
        <f ca="1">IF( ISNUMBER($L1381), MAX($G$50:G1380)+1,0)</f>
        <v>0</v>
      </c>
      <c r="H1381" s="13"/>
      <c r="I1381" s="67"/>
      <c r="J1381" s="67"/>
      <c r="K1381" s="80" t="str">
        <f t="shared" si="25"/>
        <v>CDAVG</v>
      </c>
      <c r="L1381" s="80" t="str">
        <f ca="1">IF(ISNUMBER(FIND("(",$I1381)), "", _xll.IMDP("IR", $K1381, $L$50, WORKDAY('CD|CP 발행사'!$C$4,-1)) )</f>
        <v/>
      </c>
    </row>
    <row r="1382" spans="7:12">
      <c r="G1382">
        <f ca="1">IF( ISNUMBER($L1382), MAX($G$50:G1381)+1,0)</f>
        <v>0</v>
      </c>
      <c r="H1382" s="13"/>
      <c r="I1382" s="67"/>
      <c r="J1382" s="67"/>
      <c r="K1382" s="80" t="str">
        <f t="shared" si="25"/>
        <v>CDAVG</v>
      </c>
      <c r="L1382" s="80" t="str">
        <f ca="1">IF(ISNUMBER(FIND("(",$I1382)), "", _xll.IMDP("IR", $K1382, $L$50, WORKDAY('CD|CP 발행사'!$C$4,-1)) )</f>
        <v/>
      </c>
    </row>
    <row r="1383" spans="7:12">
      <c r="G1383">
        <f ca="1">IF( ISNUMBER($L1383), MAX($G$50:G1382)+1,0)</f>
        <v>0</v>
      </c>
      <c r="H1383" s="13"/>
      <c r="I1383" s="67"/>
      <c r="J1383" s="67"/>
      <c r="K1383" s="80" t="str">
        <f t="shared" si="25"/>
        <v>CDAVG</v>
      </c>
      <c r="L1383" s="80" t="str">
        <f ca="1">IF(ISNUMBER(FIND("(",$I1383)), "", _xll.IMDP("IR", $K1383, $L$50, WORKDAY('CD|CP 발행사'!$C$4,-1)) )</f>
        <v/>
      </c>
    </row>
    <row r="1384" spans="7:12">
      <c r="G1384">
        <f ca="1">IF( ISNUMBER($L1384), MAX($G$50:G1383)+1,0)</f>
        <v>0</v>
      </c>
      <c r="H1384" s="13"/>
      <c r="I1384" s="67"/>
      <c r="J1384" s="67"/>
      <c r="K1384" s="80" t="str">
        <f t="shared" si="25"/>
        <v>CDAVG</v>
      </c>
      <c r="L1384" s="80" t="str">
        <f ca="1">IF(ISNUMBER(FIND("(",$I1384)), "", _xll.IMDP("IR", $K1384, $L$50, WORKDAY('CD|CP 발행사'!$C$4,-1)) )</f>
        <v/>
      </c>
    </row>
    <row r="1385" spans="7:12">
      <c r="G1385">
        <f ca="1">IF( ISNUMBER($L1385), MAX($G$50:G1384)+1,0)</f>
        <v>0</v>
      </c>
      <c r="H1385" s="13"/>
      <c r="I1385" s="67"/>
      <c r="J1385" s="67"/>
      <c r="K1385" s="80" t="str">
        <f t="shared" si="25"/>
        <v>CDAVG</v>
      </c>
      <c r="L1385" s="80" t="str">
        <f ca="1">IF(ISNUMBER(FIND("(",$I1385)), "", _xll.IMDP("IR", $K1385, $L$50, WORKDAY('CD|CP 발행사'!$C$4,-1)) )</f>
        <v/>
      </c>
    </row>
    <row r="1386" spans="7:12">
      <c r="G1386">
        <f ca="1">IF( ISNUMBER($L1386), MAX($G$50:G1385)+1,0)</f>
        <v>0</v>
      </c>
      <c r="H1386" s="13"/>
      <c r="I1386" s="67"/>
      <c r="J1386" s="67"/>
      <c r="K1386" s="80" t="str">
        <f t="shared" si="25"/>
        <v>CDAVG</v>
      </c>
      <c r="L1386" s="80" t="str">
        <f ca="1">IF(ISNUMBER(FIND("(",$I1386)), "", _xll.IMDP("IR", $K1386, $L$50, WORKDAY('CD|CP 발행사'!$C$4,-1)) )</f>
        <v/>
      </c>
    </row>
    <row r="1387" spans="7:12">
      <c r="G1387">
        <f ca="1">IF( ISNUMBER($L1387), MAX($G$50:G1386)+1,0)</f>
        <v>0</v>
      </c>
      <c r="H1387" s="13"/>
      <c r="I1387" s="67"/>
      <c r="J1387" s="67"/>
      <c r="K1387" s="80" t="str">
        <f t="shared" si="25"/>
        <v>CDAVG</v>
      </c>
      <c r="L1387" s="80" t="str">
        <f ca="1">IF(ISNUMBER(FIND("(",$I1387)), "", _xll.IMDP("IR", $K1387, $L$50, WORKDAY('CD|CP 발행사'!$C$4,-1)) )</f>
        <v/>
      </c>
    </row>
    <row r="1388" spans="7:12">
      <c r="G1388">
        <f ca="1">IF( ISNUMBER($L1388), MAX($G$50:G1387)+1,0)</f>
        <v>0</v>
      </c>
      <c r="H1388" s="13"/>
      <c r="I1388" s="67"/>
      <c r="J1388" s="67"/>
      <c r="K1388" s="80" t="str">
        <f t="shared" si="25"/>
        <v>CDAVG</v>
      </c>
      <c r="L1388" s="80" t="str">
        <f ca="1">IF(ISNUMBER(FIND("(",$I1388)), "", _xll.IMDP("IR", $K1388, $L$50, WORKDAY('CD|CP 발행사'!$C$4,-1)) )</f>
        <v/>
      </c>
    </row>
    <row r="1389" spans="7:12">
      <c r="G1389">
        <f ca="1">IF( ISNUMBER($L1389), MAX($G$50:G1388)+1,0)</f>
        <v>0</v>
      </c>
      <c r="H1389" s="13"/>
      <c r="I1389" s="67"/>
      <c r="J1389" s="67"/>
      <c r="K1389" s="80" t="str">
        <f t="shared" si="25"/>
        <v>CDAVG</v>
      </c>
      <c r="L1389" s="80" t="str">
        <f ca="1">IF(ISNUMBER(FIND("(",$I1389)), "", _xll.IMDP("IR", $K1389, $L$50, WORKDAY('CD|CP 발행사'!$C$4,-1)) )</f>
        <v/>
      </c>
    </row>
    <row r="1390" spans="7:12">
      <c r="G1390">
        <f ca="1">IF( ISNUMBER($L1390), MAX($G$50:G1389)+1,0)</f>
        <v>0</v>
      </c>
      <c r="H1390" s="13"/>
      <c r="I1390" s="67"/>
      <c r="J1390" s="67"/>
      <c r="K1390" s="80" t="str">
        <f t="shared" si="25"/>
        <v>CDAVG</v>
      </c>
      <c r="L1390" s="80" t="str">
        <f ca="1">IF(ISNUMBER(FIND("(",$I1390)), "", _xll.IMDP("IR", $K1390, $L$50, WORKDAY('CD|CP 발행사'!$C$4,-1)) )</f>
        <v/>
      </c>
    </row>
    <row r="1391" spans="7:12">
      <c r="G1391">
        <f ca="1">IF( ISNUMBER($L1391), MAX($G$50:G1390)+1,0)</f>
        <v>0</v>
      </c>
      <c r="H1391" s="13"/>
      <c r="I1391" s="67"/>
      <c r="J1391" s="67"/>
      <c r="K1391" s="80" t="str">
        <f t="shared" si="25"/>
        <v>CDAVG</v>
      </c>
      <c r="L1391" s="80" t="str">
        <f ca="1">IF(ISNUMBER(FIND("(",$I1391)), "", _xll.IMDP("IR", $K1391, $L$50, WORKDAY('CD|CP 발행사'!$C$4,-1)) )</f>
        <v/>
      </c>
    </row>
    <row r="1392" spans="7:12">
      <c r="G1392">
        <f ca="1">IF( ISNUMBER($L1392), MAX($G$50:G1391)+1,0)</f>
        <v>0</v>
      </c>
      <c r="H1392" s="13"/>
      <c r="I1392" s="67"/>
      <c r="J1392" s="67"/>
      <c r="K1392" s="80" t="str">
        <f t="shared" si="25"/>
        <v>CDAVG</v>
      </c>
      <c r="L1392" s="80" t="str">
        <f ca="1">IF(ISNUMBER(FIND("(",$I1392)), "", _xll.IMDP("IR", $K1392, $L$50, WORKDAY('CD|CP 발행사'!$C$4,-1)) )</f>
        <v/>
      </c>
    </row>
    <row r="1393" spans="7:12">
      <c r="G1393">
        <f ca="1">IF( ISNUMBER($L1393), MAX($G$50:G1392)+1,0)</f>
        <v>0</v>
      </c>
      <c r="H1393" s="13"/>
      <c r="I1393" s="67"/>
      <c r="J1393" s="67"/>
      <c r="K1393" s="80" t="str">
        <f t="shared" si="25"/>
        <v>CDAVG</v>
      </c>
      <c r="L1393" s="80" t="str">
        <f ca="1">IF(ISNUMBER(FIND("(",$I1393)), "", _xll.IMDP("IR", $K1393, $L$50, WORKDAY('CD|CP 발행사'!$C$4,-1)) )</f>
        <v/>
      </c>
    </row>
    <row r="1394" spans="7:12">
      <c r="G1394">
        <f ca="1">IF( ISNUMBER($L1394), MAX($G$50:G1393)+1,0)</f>
        <v>0</v>
      </c>
      <c r="H1394" s="13"/>
      <c r="I1394" s="67"/>
      <c r="J1394" s="67"/>
      <c r="K1394" s="80" t="str">
        <f t="shared" si="25"/>
        <v>CDAVG</v>
      </c>
      <c r="L1394" s="80" t="str">
        <f ca="1">IF(ISNUMBER(FIND("(",$I1394)), "", _xll.IMDP("IR", $K1394, $L$50, WORKDAY('CD|CP 발행사'!$C$4,-1)) )</f>
        <v/>
      </c>
    </row>
    <row r="1395" spans="7:12">
      <c r="G1395">
        <f ca="1">IF( ISNUMBER($L1395), MAX($G$50:G1394)+1,0)</f>
        <v>0</v>
      </c>
      <c r="H1395" s="13"/>
      <c r="I1395" s="67"/>
      <c r="J1395" s="67"/>
      <c r="K1395" s="80" t="str">
        <f t="shared" ref="K1395:K1458" si="26">$K$49&amp;$H1395</f>
        <v>CDAVG</v>
      </c>
      <c r="L1395" s="80" t="str">
        <f ca="1">IF(ISNUMBER(FIND("(",$I1395)), "", _xll.IMDP("IR", $K1395, $L$50, WORKDAY('CD|CP 발행사'!$C$4,-1)) )</f>
        <v/>
      </c>
    </row>
    <row r="1396" spans="7:12">
      <c r="G1396">
        <f ca="1">IF( ISNUMBER($L1396), MAX($G$50:G1395)+1,0)</f>
        <v>0</v>
      </c>
      <c r="H1396" s="13"/>
      <c r="I1396" s="67"/>
      <c r="J1396" s="67"/>
      <c r="K1396" s="80" t="str">
        <f t="shared" si="26"/>
        <v>CDAVG</v>
      </c>
      <c r="L1396" s="80" t="str">
        <f ca="1">IF(ISNUMBER(FIND("(",$I1396)), "", _xll.IMDP("IR", $K1396, $L$50, WORKDAY('CD|CP 발행사'!$C$4,-1)) )</f>
        <v/>
      </c>
    </row>
    <row r="1397" spans="7:12">
      <c r="G1397">
        <f ca="1">IF( ISNUMBER($L1397), MAX($G$50:G1396)+1,0)</f>
        <v>0</v>
      </c>
      <c r="H1397" s="13"/>
      <c r="I1397" s="67"/>
      <c r="J1397" s="67"/>
      <c r="K1397" s="80" t="str">
        <f t="shared" si="26"/>
        <v>CDAVG</v>
      </c>
      <c r="L1397" s="80" t="str">
        <f ca="1">IF(ISNUMBER(FIND("(",$I1397)), "", _xll.IMDP("IR", $K1397, $L$50, WORKDAY('CD|CP 발행사'!$C$4,-1)) )</f>
        <v/>
      </c>
    </row>
    <row r="1398" spans="7:12">
      <c r="G1398">
        <f ca="1">IF( ISNUMBER($L1398), MAX($G$50:G1397)+1,0)</f>
        <v>0</v>
      </c>
      <c r="H1398" s="13"/>
      <c r="I1398" s="67"/>
      <c r="J1398" s="67"/>
      <c r="K1398" s="80" t="str">
        <f t="shared" si="26"/>
        <v>CDAVG</v>
      </c>
      <c r="L1398" s="80" t="str">
        <f ca="1">IF(ISNUMBER(FIND("(",$I1398)), "", _xll.IMDP("IR", $K1398, $L$50, WORKDAY('CD|CP 발행사'!$C$4,-1)) )</f>
        <v/>
      </c>
    </row>
    <row r="1399" spans="7:12">
      <c r="G1399">
        <f ca="1">IF( ISNUMBER($L1399), MAX($G$50:G1398)+1,0)</f>
        <v>0</v>
      </c>
      <c r="H1399" s="13"/>
      <c r="I1399" s="67"/>
      <c r="J1399" s="67"/>
      <c r="K1399" s="80" t="str">
        <f t="shared" si="26"/>
        <v>CDAVG</v>
      </c>
      <c r="L1399" s="80" t="str">
        <f ca="1">IF(ISNUMBER(FIND("(",$I1399)), "", _xll.IMDP("IR", $K1399, $L$50, WORKDAY('CD|CP 발행사'!$C$4,-1)) )</f>
        <v/>
      </c>
    </row>
    <row r="1400" spans="7:12">
      <c r="G1400">
        <f ca="1">IF( ISNUMBER($L1400), MAX($G$50:G1399)+1,0)</f>
        <v>0</v>
      </c>
      <c r="H1400" s="13"/>
      <c r="I1400" s="67"/>
      <c r="J1400" s="67"/>
      <c r="K1400" s="80" t="str">
        <f t="shared" si="26"/>
        <v>CDAVG</v>
      </c>
      <c r="L1400" s="80" t="str">
        <f ca="1">IF(ISNUMBER(FIND("(",$I1400)), "", _xll.IMDP("IR", $K1400, $L$50, WORKDAY('CD|CP 발행사'!$C$4,-1)) )</f>
        <v/>
      </c>
    </row>
    <row r="1401" spans="7:12">
      <c r="G1401">
        <f ca="1">IF( ISNUMBER($L1401), MAX($G$50:G1400)+1,0)</f>
        <v>0</v>
      </c>
      <c r="H1401" s="13"/>
      <c r="I1401" s="67"/>
      <c r="J1401" s="67"/>
      <c r="K1401" s="80" t="str">
        <f t="shared" si="26"/>
        <v>CDAVG</v>
      </c>
      <c r="L1401" s="80" t="str">
        <f ca="1">IF(ISNUMBER(FIND("(",$I1401)), "", _xll.IMDP("IR", $K1401, $L$50, WORKDAY('CD|CP 발행사'!$C$4,-1)) )</f>
        <v/>
      </c>
    </row>
    <row r="1402" spans="7:12">
      <c r="G1402">
        <f ca="1">IF( ISNUMBER($L1402), MAX($G$50:G1401)+1,0)</f>
        <v>0</v>
      </c>
      <c r="H1402" s="13"/>
      <c r="I1402" s="67"/>
      <c r="J1402" s="67"/>
      <c r="K1402" s="80" t="str">
        <f t="shared" si="26"/>
        <v>CDAVG</v>
      </c>
      <c r="L1402" s="80" t="str">
        <f ca="1">IF(ISNUMBER(FIND("(",$I1402)), "", _xll.IMDP("IR", $K1402, $L$50, WORKDAY('CD|CP 발행사'!$C$4,-1)) )</f>
        <v/>
      </c>
    </row>
    <row r="1403" spans="7:12">
      <c r="G1403">
        <f ca="1">IF( ISNUMBER($L1403), MAX($G$50:G1402)+1,0)</f>
        <v>0</v>
      </c>
      <c r="H1403" s="13"/>
      <c r="I1403" s="67"/>
      <c r="J1403" s="67"/>
      <c r="K1403" s="80" t="str">
        <f t="shared" si="26"/>
        <v>CDAVG</v>
      </c>
      <c r="L1403" s="80" t="str">
        <f ca="1">IF(ISNUMBER(FIND("(",$I1403)), "", _xll.IMDP("IR", $K1403, $L$50, WORKDAY('CD|CP 발행사'!$C$4,-1)) )</f>
        <v/>
      </c>
    </row>
    <row r="1404" spans="7:12">
      <c r="G1404">
        <f ca="1">IF( ISNUMBER($L1404), MAX($G$50:G1403)+1,0)</f>
        <v>0</v>
      </c>
      <c r="H1404" s="13"/>
      <c r="I1404" s="67"/>
      <c r="J1404" s="67"/>
      <c r="K1404" s="80" t="str">
        <f t="shared" si="26"/>
        <v>CDAVG</v>
      </c>
      <c r="L1404" s="80" t="str">
        <f ca="1">IF(ISNUMBER(FIND("(",$I1404)), "", _xll.IMDP("IR", $K1404, $L$50, WORKDAY('CD|CP 발행사'!$C$4,-1)) )</f>
        <v/>
      </c>
    </row>
    <row r="1405" spans="7:12">
      <c r="G1405">
        <f ca="1">IF( ISNUMBER($L1405), MAX($G$50:G1404)+1,0)</f>
        <v>0</v>
      </c>
      <c r="H1405" s="13"/>
      <c r="I1405" s="67"/>
      <c r="J1405" s="67"/>
      <c r="K1405" s="80" t="str">
        <f t="shared" si="26"/>
        <v>CDAVG</v>
      </c>
      <c r="L1405" s="80" t="str">
        <f ca="1">IF(ISNUMBER(FIND("(",$I1405)), "", _xll.IMDP("IR", $K1405, $L$50, WORKDAY('CD|CP 발행사'!$C$4,-1)) )</f>
        <v/>
      </c>
    </row>
    <row r="1406" spans="7:12">
      <c r="G1406">
        <f ca="1">IF( ISNUMBER($L1406), MAX($G$50:G1405)+1,0)</f>
        <v>0</v>
      </c>
      <c r="H1406" s="13"/>
      <c r="I1406" s="67"/>
      <c r="J1406" s="67"/>
      <c r="K1406" s="80" t="str">
        <f t="shared" si="26"/>
        <v>CDAVG</v>
      </c>
      <c r="L1406" s="80" t="str">
        <f ca="1">IF(ISNUMBER(FIND("(",$I1406)), "", _xll.IMDP("IR", $K1406, $L$50, WORKDAY('CD|CP 발행사'!$C$4,-1)) )</f>
        <v/>
      </c>
    </row>
    <row r="1407" spans="7:12">
      <c r="G1407">
        <f ca="1">IF( ISNUMBER($L1407), MAX($G$50:G1406)+1,0)</f>
        <v>0</v>
      </c>
      <c r="H1407" s="13"/>
      <c r="I1407" s="67"/>
      <c r="J1407" s="67"/>
      <c r="K1407" s="80" t="str">
        <f t="shared" si="26"/>
        <v>CDAVG</v>
      </c>
      <c r="L1407" s="80" t="str">
        <f ca="1">IF(ISNUMBER(FIND("(",$I1407)), "", _xll.IMDP("IR", $K1407, $L$50, WORKDAY('CD|CP 발행사'!$C$4,-1)) )</f>
        <v/>
      </c>
    </row>
    <row r="1408" spans="7:12">
      <c r="G1408">
        <f ca="1">IF( ISNUMBER($L1408), MAX($G$50:G1407)+1,0)</f>
        <v>0</v>
      </c>
      <c r="H1408" s="13"/>
      <c r="I1408" s="67"/>
      <c r="J1408" s="67"/>
      <c r="K1408" s="80" t="str">
        <f t="shared" si="26"/>
        <v>CDAVG</v>
      </c>
      <c r="L1408" s="80" t="str">
        <f ca="1">IF(ISNUMBER(FIND("(",$I1408)), "", _xll.IMDP("IR", $K1408, $L$50, WORKDAY('CD|CP 발행사'!$C$4,-1)) )</f>
        <v/>
      </c>
    </row>
    <row r="1409" spans="7:12">
      <c r="G1409">
        <f ca="1">IF( ISNUMBER($L1409), MAX($G$50:G1408)+1,0)</f>
        <v>0</v>
      </c>
      <c r="H1409" s="13"/>
      <c r="I1409" s="67"/>
      <c r="J1409" s="67"/>
      <c r="K1409" s="80" t="str">
        <f t="shared" si="26"/>
        <v>CDAVG</v>
      </c>
      <c r="L1409" s="80" t="str">
        <f ca="1">IF(ISNUMBER(FIND("(",$I1409)), "", _xll.IMDP("IR", $K1409, $L$50, WORKDAY('CD|CP 발행사'!$C$4,-1)) )</f>
        <v/>
      </c>
    </row>
    <row r="1410" spans="7:12">
      <c r="G1410">
        <f ca="1">IF( ISNUMBER($L1410), MAX($G$50:G1409)+1,0)</f>
        <v>0</v>
      </c>
      <c r="H1410" s="13"/>
      <c r="I1410" s="67"/>
      <c r="J1410" s="67"/>
      <c r="K1410" s="80" t="str">
        <f t="shared" si="26"/>
        <v>CDAVG</v>
      </c>
      <c r="L1410" s="80" t="str">
        <f ca="1">IF(ISNUMBER(FIND("(",$I1410)), "", _xll.IMDP("IR", $K1410, $L$50, WORKDAY('CD|CP 발행사'!$C$4,-1)) )</f>
        <v/>
      </c>
    </row>
    <row r="1411" spans="7:12">
      <c r="G1411">
        <f ca="1">IF( ISNUMBER($L1411), MAX($G$50:G1410)+1,0)</f>
        <v>0</v>
      </c>
      <c r="H1411" s="13"/>
      <c r="I1411" s="67"/>
      <c r="J1411" s="67"/>
      <c r="K1411" s="80" t="str">
        <f t="shared" si="26"/>
        <v>CDAVG</v>
      </c>
      <c r="L1411" s="80" t="str">
        <f ca="1">IF(ISNUMBER(FIND("(",$I1411)), "", _xll.IMDP("IR", $K1411, $L$50, WORKDAY('CD|CP 발행사'!$C$4,-1)) )</f>
        <v/>
      </c>
    </row>
    <row r="1412" spans="7:12">
      <c r="G1412">
        <f ca="1">IF( ISNUMBER($L1412), MAX($G$50:G1411)+1,0)</f>
        <v>0</v>
      </c>
      <c r="H1412" s="13"/>
      <c r="I1412" s="67"/>
      <c r="J1412" s="67"/>
      <c r="K1412" s="80" t="str">
        <f t="shared" si="26"/>
        <v>CDAVG</v>
      </c>
      <c r="L1412" s="80" t="str">
        <f ca="1">IF(ISNUMBER(FIND("(",$I1412)), "", _xll.IMDP("IR", $K1412, $L$50, WORKDAY('CD|CP 발행사'!$C$4,-1)) )</f>
        <v/>
      </c>
    </row>
    <row r="1413" spans="7:12">
      <c r="G1413">
        <f ca="1">IF( ISNUMBER($L1413), MAX($G$50:G1412)+1,0)</f>
        <v>0</v>
      </c>
      <c r="H1413" s="13"/>
      <c r="I1413" s="67"/>
      <c r="J1413" s="67"/>
      <c r="K1413" s="80" t="str">
        <f t="shared" si="26"/>
        <v>CDAVG</v>
      </c>
      <c r="L1413" s="80" t="str">
        <f ca="1">IF(ISNUMBER(FIND("(",$I1413)), "", _xll.IMDP("IR", $K1413, $L$50, WORKDAY('CD|CP 발행사'!$C$4,-1)) )</f>
        <v/>
      </c>
    </row>
    <row r="1414" spans="7:12">
      <c r="G1414">
        <f ca="1">IF( ISNUMBER($L1414), MAX($G$50:G1413)+1,0)</f>
        <v>0</v>
      </c>
      <c r="H1414" s="13"/>
      <c r="I1414" s="67"/>
      <c r="J1414" s="67"/>
      <c r="K1414" s="80" t="str">
        <f t="shared" si="26"/>
        <v>CDAVG</v>
      </c>
      <c r="L1414" s="80" t="str">
        <f ca="1">IF(ISNUMBER(FIND("(",$I1414)), "", _xll.IMDP("IR", $K1414, $L$50, WORKDAY('CD|CP 발행사'!$C$4,-1)) )</f>
        <v/>
      </c>
    </row>
    <row r="1415" spans="7:12">
      <c r="G1415">
        <f ca="1">IF( ISNUMBER($L1415), MAX($G$50:G1414)+1,0)</f>
        <v>0</v>
      </c>
      <c r="H1415" s="13"/>
      <c r="I1415" s="67"/>
      <c r="J1415" s="67"/>
      <c r="K1415" s="80" t="str">
        <f t="shared" si="26"/>
        <v>CDAVG</v>
      </c>
      <c r="L1415" s="80" t="str">
        <f ca="1">IF(ISNUMBER(FIND("(",$I1415)), "", _xll.IMDP("IR", $K1415, $L$50, WORKDAY('CD|CP 발행사'!$C$4,-1)) )</f>
        <v/>
      </c>
    </row>
    <row r="1416" spans="7:12">
      <c r="G1416">
        <f ca="1">IF( ISNUMBER($L1416), MAX($G$50:G1415)+1,0)</f>
        <v>0</v>
      </c>
      <c r="H1416" s="13"/>
      <c r="I1416" s="67"/>
      <c r="J1416" s="67"/>
      <c r="K1416" s="80" t="str">
        <f t="shared" si="26"/>
        <v>CDAVG</v>
      </c>
      <c r="L1416" s="80" t="str">
        <f ca="1">IF(ISNUMBER(FIND("(",$I1416)), "", _xll.IMDP("IR", $K1416, $L$50, WORKDAY('CD|CP 발행사'!$C$4,-1)) )</f>
        <v/>
      </c>
    </row>
    <row r="1417" spans="7:12">
      <c r="G1417">
        <f ca="1">IF( ISNUMBER($L1417), MAX($G$50:G1416)+1,0)</f>
        <v>0</v>
      </c>
      <c r="H1417" s="13"/>
      <c r="I1417" s="67"/>
      <c r="J1417" s="67"/>
      <c r="K1417" s="80" t="str">
        <f t="shared" si="26"/>
        <v>CDAVG</v>
      </c>
      <c r="L1417" s="80" t="str">
        <f ca="1">IF(ISNUMBER(FIND("(",$I1417)), "", _xll.IMDP("IR", $K1417, $L$50, WORKDAY('CD|CP 발행사'!$C$4,-1)) )</f>
        <v/>
      </c>
    </row>
    <row r="1418" spans="7:12">
      <c r="G1418">
        <f ca="1">IF( ISNUMBER($L1418), MAX($G$50:G1417)+1,0)</f>
        <v>0</v>
      </c>
      <c r="H1418" s="13"/>
      <c r="I1418" s="67"/>
      <c r="J1418" s="67"/>
      <c r="K1418" s="80" t="str">
        <f t="shared" si="26"/>
        <v>CDAVG</v>
      </c>
      <c r="L1418" s="80" t="str">
        <f ca="1">IF(ISNUMBER(FIND("(",$I1418)), "", _xll.IMDP("IR", $K1418, $L$50, WORKDAY('CD|CP 발행사'!$C$4,-1)) )</f>
        <v/>
      </c>
    </row>
    <row r="1419" spans="7:12">
      <c r="G1419">
        <f ca="1">IF( ISNUMBER($L1419), MAX($G$50:G1418)+1,0)</f>
        <v>0</v>
      </c>
      <c r="H1419" s="13"/>
      <c r="I1419" s="67"/>
      <c r="J1419" s="67"/>
      <c r="K1419" s="80" t="str">
        <f t="shared" si="26"/>
        <v>CDAVG</v>
      </c>
      <c r="L1419" s="80" t="str">
        <f ca="1">IF(ISNUMBER(FIND("(",$I1419)), "", _xll.IMDP("IR", $K1419, $L$50, WORKDAY('CD|CP 발행사'!$C$4,-1)) )</f>
        <v/>
      </c>
    </row>
    <row r="1420" spans="7:12">
      <c r="G1420">
        <f ca="1">IF( ISNUMBER($L1420), MAX($G$50:G1419)+1,0)</f>
        <v>0</v>
      </c>
      <c r="H1420" s="13"/>
      <c r="I1420" s="67"/>
      <c r="J1420" s="67"/>
      <c r="K1420" s="80" t="str">
        <f t="shared" si="26"/>
        <v>CDAVG</v>
      </c>
      <c r="L1420" s="80" t="str">
        <f ca="1">IF(ISNUMBER(FIND("(",$I1420)), "", _xll.IMDP("IR", $K1420, $L$50, WORKDAY('CD|CP 발행사'!$C$4,-1)) )</f>
        <v/>
      </c>
    </row>
    <row r="1421" spans="7:12">
      <c r="G1421">
        <f ca="1">IF( ISNUMBER($L1421), MAX($G$50:G1420)+1,0)</f>
        <v>0</v>
      </c>
      <c r="H1421" s="13"/>
      <c r="I1421" s="67"/>
      <c r="J1421" s="67"/>
      <c r="K1421" s="80" t="str">
        <f t="shared" si="26"/>
        <v>CDAVG</v>
      </c>
      <c r="L1421" s="80" t="str">
        <f ca="1">IF(ISNUMBER(FIND("(",$I1421)), "", _xll.IMDP("IR", $K1421, $L$50, WORKDAY('CD|CP 발행사'!$C$4,-1)) )</f>
        <v/>
      </c>
    </row>
    <row r="1422" spans="7:12">
      <c r="G1422">
        <f ca="1">IF( ISNUMBER($L1422), MAX($G$50:G1421)+1,0)</f>
        <v>0</v>
      </c>
      <c r="H1422" s="13"/>
      <c r="I1422" s="67"/>
      <c r="J1422" s="67"/>
      <c r="K1422" s="80" t="str">
        <f t="shared" si="26"/>
        <v>CDAVG</v>
      </c>
      <c r="L1422" s="80" t="str">
        <f ca="1">IF(ISNUMBER(FIND("(",$I1422)), "", _xll.IMDP("IR", $K1422, $L$50, WORKDAY('CD|CP 발행사'!$C$4,-1)) )</f>
        <v/>
      </c>
    </row>
    <row r="1423" spans="7:12">
      <c r="G1423">
        <f ca="1">IF( ISNUMBER($L1423), MAX($G$50:G1422)+1,0)</f>
        <v>0</v>
      </c>
      <c r="H1423" s="13"/>
      <c r="I1423" s="67"/>
      <c r="J1423" s="67"/>
      <c r="K1423" s="80" t="str">
        <f t="shared" si="26"/>
        <v>CDAVG</v>
      </c>
      <c r="L1423" s="80" t="str">
        <f ca="1">IF(ISNUMBER(FIND("(",$I1423)), "", _xll.IMDP("IR", $K1423, $L$50, WORKDAY('CD|CP 발행사'!$C$4,-1)) )</f>
        <v/>
      </c>
    </row>
    <row r="1424" spans="7:12">
      <c r="G1424">
        <f ca="1">IF( ISNUMBER($L1424), MAX($G$50:G1423)+1,0)</f>
        <v>0</v>
      </c>
      <c r="H1424" s="13"/>
      <c r="I1424" s="67"/>
      <c r="J1424" s="67"/>
      <c r="K1424" s="80" t="str">
        <f t="shared" si="26"/>
        <v>CDAVG</v>
      </c>
      <c r="L1424" s="80" t="str">
        <f ca="1">IF(ISNUMBER(FIND("(",$I1424)), "", _xll.IMDP("IR", $K1424, $L$50, WORKDAY('CD|CP 발행사'!$C$4,-1)) )</f>
        <v/>
      </c>
    </row>
    <row r="1425" spans="7:12">
      <c r="G1425">
        <f ca="1">IF( ISNUMBER($L1425), MAX($G$50:G1424)+1,0)</f>
        <v>0</v>
      </c>
      <c r="H1425" s="13"/>
      <c r="I1425" s="67"/>
      <c r="J1425" s="67"/>
      <c r="K1425" s="80" t="str">
        <f t="shared" si="26"/>
        <v>CDAVG</v>
      </c>
      <c r="L1425" s="80" t="str">
        <f ca="1">IF(ISNUMBER(FIND("(",$I1425)), "", _xll.IMDP("IR", $K1425, $L$50, WORKDAY('CD|CP 발행사'!$C$4,-1)) )</f>
        <v/>
      </c>
    </row>
    <row r="1426" spans="7:12">
      <c r="G1426">
        <f ca="1">IF( ISNUMBER($L1426), MAX($G$50:G1425)+1,0)</f>
        <v>0</v>
      </c>
      <c r="H1426" s="13"/>
      <c r="I1426" s="67"/>
      <c r="J1426" s="67"/>
      <c r="K1426" s="80" t="str">
        <f t="shared" si="26"/>
        <v>CDAVG</v>
      </c>
      <c r="L1426" s="80" t="str">
        <f ca="1">IF(ISNUMBER(FIND("(",$I1426)), "", _xll.IMDP("IR", $K1426, $L$50, WORKDAY('CD|CP 발행사'!$C$4,-1)) )</f>
        <v/>
      </c>
    </row>
    <row r="1427" spans="7:12">
      <c r="G1427">
        <f ca="1">IF( ISNUMBER($L1427), MAX($G$50:G1426)+1,0)</f>
        <v>0</v>
      </c>
      <c r="H1427" s="13"/>
      <c r="I1427" s="67"/>
      <c r="J1427" s="67"/>
      <c r="K1427" s="80" t="str">
        <f t="shared" si="26"/>
        <v>CDAVG</v>
      </c>
      <c r="L1427" s="80" t="str">
        <f ca="1">IF(ISNUMBER(FIND("(",$I1427)), "", _xll.IMDP("IR", $K1427, $L$50, WORKDAY('CD|CP 발행사'!$C$4,-1)) )</f>
        <v/>
      </c>
    </row>
    <row r="1428" spans="7:12">
      <c r="G1428">
        <f ca="1">IF( ISNUMBER($L1428), MAX($G$50:G1427)+1,0)</f>
        <v>0</v>
      </c>
      <c r="H1428" s="13"/>
      <c r="I1428" s="67"/>
      <c r="J1428" s="67"/>
      <c r="K1428" s="80" t="str">
        <f t="shared" si="26"/>
        <v>CDAVG</v>
      </c>
      <c r="L1428" s="80" t="str">
        <f ca="1">IF(ISNUMBER(FIND("(",$I1428)), "", _xll.IMDP("IR", $K1428, $L$50, WORKDAY('CD|CP 발행사'!$C$4,-1)) )</f>
        <v/>
      </c>
    </row>
    <row r="1429" spans="7:12">
      <c r="G1429">
        <f ca="1">IF( ISNUMBER($L1429), MAX($G$50:G1428)+1,0)</f>
        <v>0</v>
      </c>
      <c r="H1429" s="13"/>
      <c r="I1429" s="67"/>
      <c r="J1429" s="67"/>
      <c r="K1429" s="80" t="str">
        <f t="shared" si="26"/>
        <v>CDAVG</v>
      </c>
      <c r="L1429" s="80" t="str">
        <f ca="1">IF(ISNUMBER(FIND("(",$I1429)), "", _xll.IMDP("IR", $K1429, $L$50, WORKDAY('CD|CP 발행사'!$C$4,-1)) )</f>
        <v/>
      </c>
    </row>
    <row r="1430" spans="7:12">
      <c r="G1430">
        <f ca="1">IF( ISNUMBER($L1430), MAX($G$50:G1429)+1,0)</f>
        <v>0</v>
      </c>
      <c r="H1430" s="13"/>
      <c r="I1430" s="67"/>
      <c r="J1430" s="67"/>
      <c r="K1430" s="80" t="str">
        <f t="shared" si="26"/>
        <v>CDAVG</v>
      </c>
      <c r="L1430" s="80" t="str">
        <f ca="1">IF(ISNUMBER(FIND("(",$I1430)), "", _xll.IMDP("IR", $K1430, $L$50, WORKDAY('CD|CP 발행사'!$C$4,-1)) )</f>
        <v/>
      </c>
    </row>
    <row r="1431" spans="7:12">
      <c r="G1431">
        <f ca="1">IF( ISNUMBER($L1431), MAX($G$50:G1430)+1,0)</f>
        <v>0</v>
      </c>
      <c r="H1431" s="13"/>
      <c r="I1431" s="67"/>
      <c r="J1431" s="67"/>
      <c r="K1431" s="80" t="str">
        <f t="shared" si="26"/>
        <v>CDAVG</v>
      </c>
      <c r="L1431" s="80" t="str">
        <f ca="1">IF(ISNUMBER(FIND("(",$I1431)), "", _xll.IMDP("IR", $K1431, $L$50, WORKDAY('CD|CP 발행사'!$C$4,-1)) )</f>
        <v/>
      </c>
    </row>
    <row r="1432" spans="7:12">
      <c r="G1432">
        <f ca="1">IF( ISNUMBER($L1432), MAX($G$50:G1431)+1,0)</f>
        <v>0</v>
      </c>
      <c r="H1432" s="13"/>
      <c r="I1432" s="67"/>
      <c r="J1432" s="67"/>
      <c r="K1432" s="80" t="str">
        <f t="shared" si="26"/>
        <v>CDAVG</v>
      </c>
      <c r="L1432" s="80" t="str">
        <f ca="1">IF(ISNUMBER(FIND("(",$I1432)), "", _xll.IMDP("IR", $K1432, $L$50, WORKDAY('CD|CP 발행사'!$C$4,-1)) )</f>
        <v/>
      </c>
    </row>
    <row r="1433" spans="7:12">
      <c r="G1433">
        <f ca="1">IF( ISNUMBER($L1433), MAX($G$50:G1432)+1,0)</f>
        <v>0</v>
      </c>
      <c r="H1433" s="13"/>
      <c r="I1433" s="67"/>
      <c r="J1433" s="67"/>
      <c r="K1433" s="80" t="str">
        <f t="shared" si="26"/>
        <v>CDAVG</v>
      </c>
      <c r="L1433" s="80" t="str">
        <f ca="1">IF(ISNUMBER(FIND("(",$I1433)), "", _xll.IMDP("IR", $K1433, $L$50, WORKDAY('CD|CP 발행사'!$C$4,-1)) )</f>
        <v/>
      </c>
    </row>
    <row r="1434" spans="7:12">
      <c r="G1434">
        <f ca="1">IF( ISNUMBER($L1434), MAX($G$50:G1433)+1,0)</f>
        <v>0</v>
      </c>
      <c r="H1434" s="13"/>
      <c r="I1434" s="67"/>
      <c r="J1434" s="67"/>
      <c r="K1434" s="80" t="str">
        <f t="shared" si="26"/>
        <v>CDAVG</v>
      </c>
      <c r="L1434" s="80" t="str">
        <f ca="1">IF(ISNUMBER(FIND("(",$I1434)), "", _xll.IMDP("IR", $K1434, $L$50, WORKDAY('CD|CP 발행사'!$C$4,-1)) )</f>
        <v/>
      </c>
    </row>
    <row r="1435" spans="7:12">
      <c r="G1435">
        <f ca="1">IF( ISNUMBER($L1435), MAX($G$50:G1434)+1,0)</f>
        <v>0</v>
      </c>
      <c r="H1435" s="13"/>
      <c r="I1435" s="67"/>
      <c r="J1435" s="67"/>
      <c r="K1435" s="80" t="str">
        <f t="shared" si="26"/>
        <v>CDAVG</v>
      </c>
      <c r="L1435" s="80" t="str">
        <f ca="1">IF(ISNUMBER(FIND("(",$I1435)), "", _xll.IMDP("IR", $K1435, $L$50, WORKDAY('CD|CP 발행사'!$C$4,-1)) )</f>
        <v/>
      </c>
    </row>
    <row r="1436" spans="7:12">
      <c r="G1436">
        <f ca="1">IF( ISNUMBER($L1436), MAX($G$50:G1435)+1,0)</f>
        <v>0</v>
      </c>
      <c r="H1436" s="13"/>
      <c r="I1436" s="67"/>
      <c r="J1436" s="67"/>
      <c r="K1436" s="80" t="str">
        <f t="shared" si="26"/>
        <v>CDAVG</v>
      </c>
      <c r="L1436" s="80" t="str">
        <f ca="1">IF(ISNUMBER(FIND("(",$I1436)), "", _xll.IMDP("IR", $K1436, $L$50, WORKDAY('CD|CP 발행사'!$C$4,-1)) )</f>
        <v/>
      </c>
    </row>
    <row r="1437" spans="7:12">
      <c r="G1437">
        <f ca="1">IF( ISNUMBER($L1437), MAX($G$50:G1436)+1,0)</f>
        <v>0</v>
      </c>
      <c r="H1437" s="13"/>
      <c r="I1437" s="67"/>
      <c r="J1437" s="67"/>
      <c r="K1437" s="80" t="str">
        <f t="shared" si="26"/>
        <v>CDAVG</v>
      </c>
      <c r="L1437" s="80" t="str">
        <f ca="1">IF(ISNUMBER(FIND("(",$I1437)), "", _xll.IMDP("IR", $K1437, $L$50, WORKDAY('CD|CP 발행사'!$C$4,-1)) )</f>
        <v/>
      </c>
    </row>
    <row r="1438" spans="7:12">
      <c r="G1438">
        <f ca="1">IF( ISNUMBER($L1438), MAX($G$50:G1437)+1,0)</f>
        <v>0</v>
      </c>
      <c r="H1438" s="13"/>
      <c r="I1438" s="67"/>
      <c r="J1438" s="67"/>
      <c r="K1438" s="80" t="str">
        <f t="shared" si="26"/>
        <v>CDAVG</v>
      </c>
      <c r="L1438" s="80" t="str">
        <f ca="1">IF(ISNUMBER(FIND("(",$I1438)), "", _xll.IMDP("IR", $K1438, $L$50, WORKDAY('CD|CP 발행사'!$C$4,-1)) )</f>
        <v/>
      </c>
    </row>
    <row r="1439" spans="7:12">
      <c r="G1439">
        <f ca="1">IF( ISNUMBER($L1439), MAX($G$50:G1438)+1,0)</f>
        <v>0</v>
      </c>
      <c r="H1439" s="13"/>
      <c r="I1439" s="67"/>
      <c r="J1439" s="67"/>
      <c r="K1439" s="80" t="str">
        <f t="shared" si="26"/>
        <v>CDAVG</v>
      </c>
      <c r="L1439" s="80" t="str">
        <f ca="1">IF(ISNUMBER(FIND("(",$I1439)), "", _xll.IMDP("IR", $K1439, $L$50, WORKDAY('CD|CP 발행사'!$C$4,-1)) )</f>
        <v/>
      </c>
    </row>
    <row r="1440" spans="7:12">
      <c r="G1440">
        <f ca="1">IF( ISNUMBER($L1440), MAX($G$50:G1439)+1,0)</f>
        <v>0</v>
      </c>
      <c r="H1440" s="13"/>
      <c r="I1440" s="67"/>
      <c r="J1440" s="67"/>
      <c r="K1440" s="80" t="str">
        <f t="shared" si="26"/>
        <v>CDAVG</v>
      </c>
      <c r="L1440" s="80" t="str">
        <f ca="1">IF(ISNUMBER(FIND("(",$I1440)), "", _xll.IMDP("IR", $K1440, $L$50, WORKDAY('CD|CP 발행사'!$C$4,-1)) )</f>
        <v/>
      </c>
    </row>
    <row r="1441" spans="7:12">
      <c r="G1441">
        <f ca="1">IF( ISNUMBER($L1441), MAX($G$50:G1440)+1,0)</f>
        <v>0</v>
      </c>
      <c r="H1441" s="13"/>
      <c r="I1441" s="67"/>
      <c r="J1441" s="67"/>
      <c r="K1441" s="80" t="str">
        <f t="shared" si="26"/>
        <v>CDAVG</v>
      </c>
      <c r="L1441" s="80" t="str">
        <f ca="1">IF(ISNUMBER(FIND("(",$I1441)), "", _xll.IMDP("IR", $K1441, $L$50, WORKDAY('CD|CP 발행사'!$C$4,-1)) )</f>
        <v/>
      </c>
    </row>
    <row r="1442" spans="7:12">
      <c r="G1442">
        <f ca="1">IF( ISNUMBER($L1442), MAX($G$50:G1441)+1,0)</f>
        <v>0</v>
      </c>
      <c r="H1442" s="13"/>
      <c r="I1442" s="67"/>
      <c r="J1442" s="67"/>
      <c r="K1442" s="80" t="str">
        <f t="shared" si="26"/>
        <v>CDAVG</v>
      </c>
      <c r="L1442" s="80" t="str">
        <f ca="1">IF(ISNUMBER(FIND("(",$I1442)), "", _xll.IMDP("IR", $K1442, $L$50, WORKDAY('CD|CP 발행사'!$C$4,-1)) )</f>
        <v/>
      </c>
    </row>
    <row r="1443" spans="7:12">
      <c r="G1443">
        <f ca="1">IF( ISNUMBER($L1443), MAX($G$50:G1442)+1,0)</f>
        <v>0</v>
      </c>
      <c r="H1443" s="13"/>
      <c r="I1443" s="67"/>
      <c r="J1443" s="67"/>
      <c r="K1443" s="80" t="str">
        <f t="shared" si="26"/>
        <v>CDAVG</v>
      </c>
      <c r="L1443" s="80" t="str">
        <f ca="1">IF(ISNUMBER(FIND("(",$I1443)), "", _xll.IMDP("IR", $K1443, $L$50, WORKDAY('CD|CP 발행사'!$C$4,-1)) )</f>
        <v/>
      </c>
    </row>
    <row r="1444" spans="7:12">
      <c r="G1444">
        <f ca="1">IF( ISNUMBER($L1444), MAX($G$50:G1443)+1,0)</f>
        <v>0</v>
      </c>
      <c r="H1444" s="13"/>
      <c r="I1444" s="67"/>
      <c r="J1444" s="67"/>
      <c r="K1444" s="80" t="str">
        <f t="shared" si="26"/>
        <v>CDAVG</v>
      </c>
      <c r="L1444" s="80" t="str">
        <f ca="1">IF(ISNUMBER(FIND("(",$I1444)), "", _xll.IMDP("IR", $K1444, $L$50, WORKDAY('CD|CP 발행사'!$C$4,-1)) )</f>
        <v/>
      </c>
    </row>
    <row r="1445" spans="7:12">
      <c r="G1445">
        <f ca="1">IF( ISNUMBER($L1445), MAX($G$50:G1444)+1,0)</f>
        <v>0</v>
      </c>
      <c r="H1445" s="13"/>
      <c r="I1445" s="67"/>
      <c r="J1445" s="67"/>
      <c r="K1445" s="80" t="str">
        <f t="shared" si="26"/>
        <v>CDAVG</v>
      </c>
      <c r="L1445" s="80" t="str">
        <f ca="1">IF(ISNUMBER(FIND("(",$I1445)), "", _xll.IMDP("IR", $K1445, $L$50, WORKDAY('CD|CP 발행사'!$C$4,-1)) )</f>
        <v/>
      </c>
    </row>
    <row r="1446" spans="7:12">
      <c r="G1446">
        <f ca="1">IF( ISNUMBER($L1446), MAX($G$50:G1445)+1,0)</f>
        <v>0</v>
      </c>
      <c r="H1446" s="13"/>
      <c r="I1446" s="67"/>
      <c r="J1446" s="67"/>
      <c r="K1446" s="80" t="str">
        <f t="shared" si="26"/>
        <v>CDAVG</v>
      </c>
      <c r="L1446" s="80" t="str">
        <f ca="1">IF(ISNUMBER(FIND("(",$I1446)), "", _xll.IMDP("IR", $K1446, $L$50, WORKDAY('CD|CP 발행사'!$C$4,-1)) )</f>
        <v/>
      </c>
    </row>
    <row r="1447" spans="7:12">
      <c r="G1447">
        <f ca="1">IF( ISNUMBER($L1447), MAX($G$50:G1446)+1,0)</f>
        <v>0</v>
      </c>
      <c r="H1447" s="13"/>
      <c r="I1447" s="67"/>
      <c r="J1447" s="67"/>
      <c r="K1447" s="80" t="str">
        <f t="shared" si="26"/>
        <v>CDAVG</v>
      </c>
      <c r="L1447" s="80" t="str">
        <f ca="1">IF(ISNUMBER(FIND("(",$I1447)), "", _xll.IMDP("IR", $K1447, $L$50, WORKDAY('CD|CP 발행사'!$C$4,-1)) )</f>
        <v/>
      </c>
    </row>
    <row r="1448" spans="7:12">
      <c r="G1448">
        <f ca="1">IF( ISNUMBER($L1448), MAX($G$50:G1447)+1,0)</f>
        <v>0</v>
      </c>
      <c r="H1448" s="13"/>
      <c r="I1448" s="67"/>
      <c r="J1448" s="67"/>
      <c r="K1448" s="80" t="str">
        <f t="shared" si="26"/>
        <v>CDAVG</v>
      </c>
      <c r="L1448" s="80" t="str">
        <f ca="1">IF(ISNUMBER(FIND("(",$I1448)), "", _xll.IMDP("IR", $K1448, $L$50, WORKDAY('CD|CP 발행사'!$C$4,-1)) )</f>
        <v/>
      </c>
    </row>
    <row r="1449" spans="7:12">
      <c r="G1449">
        <f ca="1">IF( ISNUMBER($L1449), MAX($G$50:G1448)+1,0)</f>
        <v>0</v>
      </c>
      <c r="H1449" s="13"/>
      <c r="I1449" s="67"/>
      <c r="J1449" s="67"/>
      <c r="K1449" s="80" t="str">
        <f t="shared" si="26"/>
        <v>CDAVG</v>
      </c>
      <c r="L1449" s="80" t="str">
        <f ca="1">IF(ISNUMBER(FIND("(",$I1449)), "", _xll.IMDP("IR", $K1449, $L$50, WORKDAY('CD|CP 발행사'!$C$4,-1)) )</f>
        <v/>
      </c>
    </row>
    <row r="1450" spans="7:12">
      <c r="G1450">
        <f ca="1">IF( ISNUMBER($L1450), MAX($G$50:G1449)+1,0)</f>
        <v>0</v>
      </c>
      <c r="H1450" s="13"/>
      <c r="I1450" s="67"/>
      <c r="J1450" s="67"/>
      <c r="K1450" s="80" t="str">
        <f t="shared" si="26"/>
        <v>CDAVG</v>
      </c>
      <c r="L1450" s="80" t="str">
        <f ca="1">IF(ISNUMBER(FIND("(",$I1450)), "", _xll.IMDP("IR", $K1450, $L$50, WORKDAY('CD|CP 발행사'!$C$4,-1)) )</f>
        <v/>
      </c>
    </row>
    <row r="1451" spans="7:12">
      <c r="G1451">
        <f ca="1">IF( ISNUMBER($L1451), MAX($G$50:G1450)+1,0)</f>
        <v>0</v>
      </c>
      <c r="H1451" s="13"/>
      <c r="I1451" s="67"/>
      <c r="J1451" s="67"/>
      <c r="K1451" s="80" t="str">
        <f t="shared" si="26"/>
        <v>CDAVG</v>
      </c>
      <c r="L1451" s="80" t="str">
        <f ca="1">IF(ISNUMBER(FIND("(",$I1451)), "", _xll.IMDP("IR", $K1451, $L$50, WORKDAY('CD|CP 발행사'!$C$4,-1)) )</f>
        <v/>
      </c>
    </row>
    <row r="1452" spans="7:12">
      <c r="G1452">
        <f ca="1">IF( ISNUMBER($L1452), MAX($G$50:G1451)+1,0)</f>
        <v>0</v>
      </c>
      <c r="H1452" s="13"/>
      <c r="I1452" s="67"/>
      <c r="J1452" s="67"/>
      <c r="K1452" s="80" t="str">
        <f t="shared" si="26"/>
        <v>CDAVG</v>
      </c>
      <c r="L1452" s="80" t="str">
        <f ca="1">IF(ISNUMBER(FIND("(",$I1452)), "", _xll.IMDP("IR", $K1452, $L$50, WORKDAY('CD|CP 발행사'!$C$4,-1)) )</f>
        <v/>
      </c>
    </row>
    <row r="1453" spans="7:12">
      <c r="G1453">
        <f ca="1">IF( ISNUMBER($L1453), MAX($G$50:G1452)+1,0)</f>
        <v>0</v>
      </c>
      <c r="H1453" s="13"/>
      <c r="I1453" s="67"/>
      <c r="J1453" s="67"/>
      <c r="K1453" s="80" t="str">
        <f t="shared" si="26"/>
        <v>CDAVG</v>
      </c>
      <c r="L1453" s="80" t="str">
        <f ca="1">IF(ISNUMBER(FIND("(",$I1453)), "", _xll.IMDP("IR", $K1453, $L$50, WORKDAY('CD|CP 발행사'!$C$4,-1)) )</f>
        <v/>
      </c>
    </row>
    <row r="1454" spans="7:12">
      <c r="G1454">
        <f ca="1">IF( ISNUMBER($L1454), MAX($G$50:G1453)+1,0)</f>
        <v>0</v>
      </c>
      <c r="H1454" s="13"/>
      <c r="I1454" s="67"/>
      <c r="J1454" s="67"/>
      <c r="K1454" s="80" t="str">
        <f t="shared" si="26"/>
        <v>CDAVG</v>
      </c>
      <c r="L1454" s="80" t="str">
        <f ca="1">IF(ISNUMBER(FIND("(",$I1454)), "", _xll.IMDP("IR", $K1454, $L$50, WORKDAY('CD|CP 발행사'!$C$4,-1)) )</f>
        <v/>
      </c>
    </row>
    <row r="1455" spans="7:12">
      <c r="G1455">
        <f ca="1">IF( ISNUMBER($L1455), MAX($G$50:G1454)+1,0)</f>
        <v>0</v>
      </c>
      <c r="H1455" s="13"/>
      <c r="I1455" s="67"/>
      <c r="J1455" s="67"/>
      <c r="K1455" s="80" t="str">
        <f t="shared" si="26"/>
        <v>CDAVG</v>
      </c>
      <c r="L1455" s="80" t="str">
        <f ca="1">IF(ISNUMBER(FIND("(",$I1455)), "", _xll.IMDP("IR", $K1455, $L$50, WORKDAY('CD|CP 발행사'!$C$4,-1)) )</f>
        <v/>
      </c>
    </row>
    <row r="1456" spans="7:12">
      <c r="G1456">
        <f ca="1">IF( ISNUMBER($L1456), MAX($G$50:G1455)+1,0)</f>
        <v>0</v>
      </c>
      <c r="H1456" s="13"/>
      <c r="I1456" s="67"/>
      <c r="J1456" s="67"/>
      <c r="K1456" s="80" t="str">
        <f t="shared" si="26"/>
        <v>CDAVG</v>
      </c>
      <c r="L1456" s="80" t="str">
        <f ca="1">IF(ISNUMBER(FIND("(",$I1456)), "", _xll.IMDP("IR", $K1456, $L$50, WORKDAY('CD|CP 발행사'!$C$4,-1)) )</f>
        <v/>
      </c>
    </row>
    <row r="1457" spans="7:12">
      <c r="G1457">
        <f ca="1">IF( ISNUMBER($L1457), MAX($G$50:G1456)+1,0)</f>
        <v>0</v>
      </c>
      <c r="H1457" s="13"/>
      <c r="I1457" s="67"/>
      <c r="J1457" s="67"/>
      <c r="K1457" s="80" t="str">
        <f t="shared" si="26"/>
        <v>CDAVG</v>
      </c>
      <c r="L1457" s="80" t="str">
        <f ca="1">IF(ISNUMBER(FIND("(",$I1457)), "", _xll.IMDP("IR", $K1457, $L$50, WORKDAY('CD|CP 발행사'!$C$4,-1)) )</f>
        <v/>
      </c>
    </row>
    <row r="1458" spans="7:12">
      <c r="G1458">
        <f ca="1">IF( ISNUMBER($L1458), MAX($G$50:G1457)+1,0)</f>
        <v>0</v>
      </c>
      <c r="H1458" s="13"/>
      <c r="I1458" s="67"/>
      <c r="J1458" s="67"/>
      <c r="K1458" s="80" t="str">
        <f t="shared" si="26"/>
        <v>CDAVG</v>
      </c>
      <c r="L1458" s="80" t="str">
        <f ca="1">IF(ISNUMBER(FIND("(",$I1458)), "", _xll.IMDP("IR", $K1458, $L$50, WORKDAY('CD|CP 발행사'!$C$4,-1)) )</f>
        <v/>
      </c>
    </row>
    <row r="1459" spans="7:12">
      <c r="G1459">
        <f ca="1">IF( ISNUMBER($L1459), MAX($G$50:G1458)+1,0)</f>
        <v>0</v>
      </c>
      <c r="H1459" s="13"/>
      <c r="I1459" s="67"/>
      <c r="J1459" s="67"/>
      <c r="K1459" s="80" t="str">
        <f t="shared" ref="K1459:K1522" si="27">$K$49&amp;$H1459</f>
        <v>CDAVG</v>
      </c>
      <c r="L1459" s="80" t="str">
        <f ca="1">IF(ISNUMBER(FIND("(",$I1459)), "", _xll.IMDP("IR", $K1459, $L$50, WORKDAY('CD|CP 발행사'!$C$4,-1)) )</f>
        <v/>
      </c>
    </row>
    <row r="1460" spans="7:12">
      <c r="G1460">
        <f ca="1">IF( ISNUMBER($L1460), MAX($G$50:G1459)+1,0)</f>
        <v>0</v>
      </c>
      <c r="H1460" s="13"/>
      <c r="I1460" s="67"/>
      <c r="J1460" s="67"/>
      <c r="K1460" s="80" t="str">
        <f t="shared" si="27"/>
        <v>CDAVG</v>
      </c>
      <c r="L1460" s="80" t="str">
        <f ca="1">IF(ISNUMBER(FIND("(",$I1460)), "", _xll.IMDP("IR", $K1460, $L$50, WORKDAY('CD|CP 발행사'!$C$4,-1)) )</f>
        <v/>
      </c>
    </row>
    <row r="1461" spans="7:12">
      <c r="G1461">
        <f ca="1">IF( ISNUMBER($L1461), MAX($G$50:G1460)+1,0)</f>
        <v>0</v>
      </c>
      <c r="H1461" s="13"/>
      <c r="I1461" s="67"/>
      <c r="J1461" s="67"/>
      <c r="K1461" s="80" t="str">
        <f t="shared" si="27"/>
        <v>CDAVG</v>
      </c>
      <c r="L1461" s="80" t="str">
        <f ca="1">IF(ISNUMBER(FIND("(",$I1461)), "", _xll.IMDP("IR", $K1461, $L$50, WORKDAY('CD|CP 발행사'!$C$4,-1)) )</f>
        <v/>
      </c>
    </row>
    <row r="1462" spans="7:12">
      <c r="G1462">
        <f ca="1">IF( ISNUMBER($L1462), MAX($G$50:G1461)+1,0)</f>
        <v>0</v>
      </c>
      <c r="H1462" s="13"/>
      <c r="I1462" s="67"/>
      <c r="J1462" s="67"/>
      <c r="K1462" s="80" t="str">
        <f t="shared" si="27"/>
        <v>CDAVG</v>
      </c>
      <c r="L1462" s="80" t="str">
        <f ca="1">IF(ISNUMBER(FIND("(",$I1462)), "", _xll.IMDP("IR", $K1462, $L$50, WORKDAY('CD|CP 발행사'!$C$4,-1)) )</f>
        <v/>
      </c>
    </row>
    <row r="1463" spans="7:12">
      <c r="G1463">
        <f ca="1">IF( ISNUMBER($L1463), MAX($G$50:G1462)+1,0)</f>
        <v>0</v>
      </c>
      <c r="H1463" s="13"/>
      <c r="I1463" s="67"/>
      <c r="J1463" s="67"/>
      <c r="K1463" s="80" t="str">
        <f t="shared" si="27"/>
        <v>CDAVG</v>
      </c>
      <c r="L1463" s="80" t="str">
        <f ca="1">IF(ISNUMBER(FIND("(",$I1463)), "", _xll.IMDP("IR", $K1463, $L$50, WORKDAY('CD|CP 발행사'!$C$4,-1)) )</f>
        <v/>
      </c>
    </row>
    <row r="1464" spans="7:12">
      <c r="G1464">
        <f ca="1">IF( ISNUMBER($L1464), MAX($G$50:G1463)+1,0)</f>
        <v>0</v>
      </c>
      <c r="H1464" s="13"/>
      <c r="I1464" s="67"/>
      <c r="J1464" s="67"/>
      <c r="K1464" s="80" t="str">
        <f t="shared" si="27"/>
        <v>CDAVG</v>
      </c>
      <c r="L1464" s="80" t="str">
        <f ca="1">IF(ISNUMBER(FIND("(",$I1464)), "", _xll.IMDP("IR", $K1464, $L$50, WORKDAY('CD|CP 발행사'!$C$4,-1)) )</f>
        <v/>
      </c>
    </row>
    <row r="1465" spans="7:12">
      <c r="G1465">
        <f ca="1">IF( ISNUMBER($L1465), MAX($G$50:G1464)+1,0)</f>
        <v>0</v>
      </c>
      <c r="H1465" s="13"/>
      <c r="I1465" s="67"/>
      <c r="J1465" s="67"/>
      <c r="K1465" s="80" t="str">
        <f t="shared" si="27"/>
        <v>CDAVG</v>
      </c>
      <c r="L1465" s="80" t="str">
        <f ca="1">IF(ISNUMBER(FIND("(",$I1465)), "", _xll.IMDP("IR", $K1465, $L$50, WORKDAY('CD|CP 발행사'!$C$4,-1)) )</f>
        <v/>
      </c>
    </row>
    <row r="1466" spans="7:12">
      <c r="G1466">
        <f ca="1">IF( ISNUMBER($L1466), MAX($G$50:G1465)+1,0)</f>
        <v>0</v>
      </c>
      <c r="H1466" s="13"/>
      <c r="I1466" s="67"/>
      <c r="J1466" s="67"/>
      <c r="K1466" s="80" t="str">
        <f t="shared" si="27"/>
        <v>CDAVG</v>
      </c>
      <c r="L1466" s="80" t="str">
        <f ca="1">IF(ISNUMBER(FIND("(",$I1466)), "", _xll.IMDP("IR", $K1466, $L$50, WORKDAY('CD|CP 발행사'!$C$4,-1)) )</f>
        <v/>
      </c>
    </row>
    <row r="1467" spans="7:12">
      <c r="G1467">
        <f ca="1">IF( ISNUMBER($L1467), MAX($G$50:G1466)+1,0)</f>
        <v>0</v>
      </c>
      <c r="H1467" s="13"/>
      <c r="I1467" s="67"/>
      <c r="J1467" s="67"/>
      <c r="K1467" s="80" t="str">
        <f t="shared" si="27"/>
        <v>CDAVG</v>
      </c>
      <c r="L1467" s="80" t="str">
        <f ca="1">IF(ISNUMBER(FIND("(",$I1467)), "", _xll.IMDP("IR", $K1467, $L$50, WORKDAY('CD|CP 발행사'!$C$4,-1)) )</f>
        <v/>
      </c>
    </row>
    <row r="1468" spans="7:12">
      <c r="G1468">
        <f ca="1">IF( ISNUMBER($L1468), MAX($G$50:G1467)+1,0)</f>
        <v>0</v>
      </c>
      <c r="H1468" s="13"/>
      <c r="I1468" s="67"/>
      <c r="J1468" s="67"/>
      <c r="K1468" s="80" t="str">
        <f t="shared" si="27"/>
        <v>CDAVG</v>
      </c>
      <c r="L1468" s="80" t="str">
        <f ca="1">IF(ISNUMBER(FIND("(",$I1468)), "", _xll.IMDP("IR", $K1468, $L$50, WORKDAY('CD|CP 발행사'!$C$4,-1)) )</f>
        <v/>
      </c>
    </row>
    <row r="1469" spans="7:12">
      <c r="G1469">
        <f ca="1">IF( ISNUMBER($L1469), MAX($G$50:G1468)+1,0)</f>
        <v>0</v>
      </c>
      <c r="H1469" s="13"/>
      <c r="I1469" s="67"/>
      <c r="J1469" s="67"/>
      <c r="K1469" s="80" t="str">
        <f t="shared" si="27"/>
        <v>CDAVG</v>
      </c>
      <c r="L1469" s="80" t="str">
        <f ca="1">IF(ISNUMBER(FIND("(",$I1469)), "", _xll.IMDP("IR", $K1469, $L$50, WORKDAY('CD|CP 발행사'!$C$4,-1)) )</f>
        <v/>
      </c>
    </row>
    <row r="1470" spans="7:12">
      <c r="G1470">
        <f ca="1">IF( ISNUMBER($L1470), MAX($G$50:G1469)+1,0)</f>
        <v>0</v>
      </c>
      <c r="H1470" s="13"/>
      <c r="I1470" s="67"/>
      <c r="J1470" s="67"/>
      <c r="K1470" s="80" t="str">
        <f t="shared" si="27"/>
        <v>CDAVG</v>
      </c>
      <c r="L1470" s="80" t="str">
        <f ca="1">IF(ISNUMBER(FIND("(",$I1470)), "", _xll.IMDP("IR", $K1470, $L$50, WORKDAY('CD|CP 발행사'!$C$4,-1)) )</f>
        <v/>
      </c>
    </row>
    <row r="1471" spans="7:12">
      <c r="G1471">
        <f ca="1">IF( ISNUMBER($L1471), MAX($G$50:G1470)+1,0)</f>
        <v>0</v>
      </c>
      <c r="H1471" s="13"/>
      <c r="I1471" s="67"/>
      <c r="J1471" s="67"/>
      <c r="K1471" s="80" t="str">
        <f t="shared" si="27"/>
        <v>CDAVG</v>
      </c>
      <c r="L1471" s="80" t="str">
        <f ca="1">IF(ISNUMBER(FIND("(",$I1471)), "", _xll.IMDP("IR", $K1471, $L$50, WORKDAY('CD|CP 발행사'!$C$4,-1)) )</f>
        <v/>
      </c>
    </row>
    <row r="1472" spans="7:12">
      <c r="G1472">
        <f ca="1">IF( ISNUMBER($L1472), MAX($G$50:G1471)+1,0)</f>
        <v>0</v>
      </c>
      <c r="H1472" s="13"/>
      <c r="I1472" s="67"/>
      <c r="J1472" s="67"/>
      <c r="K1472" s="80" t="str">
        <f t="shared" si="27"/>
        <v>CDAVG</v>
      </c>
      <c r="L1472" s="80" t="str">
        <f ca="1">IF(ISNUMBER(FIND("(",$I1472)), "", _xll.IMDP("IR", $K1472, $L$50, WORKDAY('CD|CP 발행사'!$C$4,-1)) )</f>
        <v/>
      </c>
    </row>
    <row r="1473" spans="7:12">
      <c r="G1473">
        <f ca="1">IF( ISNUMBER($L1473), MAX($G$50:G1472)+1,0)</f>
        <v>0</v>
      </c>
      <c r="H1473" s="13"/>
      <c r="I1473" s="67"/>
      <c r="J1473" s="67"/>
      <c r="K1473" s="80" t="str">
        <f t="shared" si="27"/>
        <v>CDAVG</v>
      </c>
      <c r="L1473" s="80" t="str">
        <f ca="1">IF(ISNUMBER(FIND("(",$I1473)), "", _xll.IMDP("IR", $K1473, $L$50, WORKDAY('CD|CP 발행사'!$C$4,-1)) )</f>
        <v/>
      </c>
    </row>
    <row r="1474" spans="7:12">
      <c r="G1474">
        <f ca="1">IF( ISNUMBER($L1474), MAX($G$50:G1473)+1,0)</f>
        <v>0</v>
      </c>
      <c r="H1474" s="13"/>
      <c r="I1474" s="67"/>
      <c r="J1474" s="67"/>
      <c r="K1474" s="80" t="str">
        <f t="shared" si="27"/>
        <v>CDAVG</v>
      </c>
      <c r="L1474" s="80" t="str">
        <f ca="1">IF(ISNUMBER(FIND("(",$I1474)), "", _xll.IMDP("IR", $K1474, $L$50, WORKDAY('CD|CP 발행사'!$C$4,-1)) )</f>
        <v/>
      </c>
    </row>
    <row r="1475" spans="7:12">
      <c r="G1475">
        <f ca="1">IF( ISNUMBER($L1475), MAX($G$50:G1474)+1,0)</f>
        <v>0</v>
      </c>
      <c r="H1475" s="13"/>
      <c r="I1475" s="67"/>
      <c r="J1475" s="67"/>
      <c r="K1475" s="80" t="str">
        <f t="shared" si="27"/>
        <v>CDAVG</v>
      </c>
      <c r="L1475" s="80" t="str">
        <f ca="1">IF(ISNUMBER(FIND("(",$I1475)), "", _xll.IMDP("IR", $K1475, $L$50, WORKDAY('CD|CP 발행사'!$C$4,-1)) )</f>
        <v/>
      </c>
    </row>
    <row r="1476" spans="7:12">
      <c r="G1476">
        <f ca="1">IF( ISNUMBER($L1476), MAX($G$50:G1475)+1,0)</f>
        <v>0</v>
      </c>
      <c r="H1476" s="13"/>
      <c r="I1476" s="67"/>
      <c r="J1476" s="67"/>
      <c r="K1476" s="80" t="str">
        <f t="shared" si="27"/>
        <v>CDAVG</v>
      </c>
      <c r="L1476" s="80" t="str">
        <f ca="1">IF(ISNUMBER(FIND("(",$I1476)), "", _xll.IMDP("IR", $K1476, $L$50, WORKDAY('CD|CP 발행사'!$C$4,-1)) )</f>
        <v/>
      </c>
    </row>
    <row r="1477" spans="7:12">
      <c r="G1477">
        <f ca="1">IF( ISNUMBER($L1477), MAX($G$50:G1476)+1,0)</f>
        <v>0</v>
      </c>
      <c r="H1477" s="13"/>
      <c r="I1477" s="67"/>
      <c r="J1477" s="67"/>
      <c r="K1477" s="80" t="str">
        <f t="shared" si="27"/>
        <v>CDAVG</v>
      </c>
      <c r="L1477" s="80" t="str">
        <f ca="1">IF(ISNUMBER(FIND("(",$I1477)), "", _xll.IMDP("IR", $K1477, $L$50, WORKDAY('CD|CP 발행사'!$C$4,-1)) )</f>
        <v/>
      </c>
    </row>
    <row r="1478" spans="7:12">
      <c r="G1478">
        <f ca="1">IF( ISNUMBER($L1478), MAX($G$50:G1477)+1,0)</f>
        <v>0</v>
      </c>
      <c r="H1478" s="13"/>
      <c r="I1478" s="67"/>
      <c r="J1478" s="67"/>
      <c r="K1478" s="80" t="str">
        <f t="shared" si="27"/>
        <v>CDAVG</v>
      </c>
      <c r="L1478" s="80" t="str">
        <f ca="1">IF(ISNUMBER(FIND("(",$I1478)), "", _xll.IMDP("IR", $K1478, $L$50, WORKDAY('CD|CP 발행사'!$C$4,-1)) )</f>
        <v/>
      </c>
    </row>
    <row r="1479" spans="7:12">
      <c r="G1479">
        <f ca="1">IF( ISNUMBER($L1479), MAX($G$50:G1478)+1,0)</f>
        <v>0</v>
      </c>
      <c r="H1479" s="13"/>
      <c r="I1479" s="67"/>
      <c r="J1479" s="67"/>
      <c r="K1479" s="80" t="str">
        <f t="shared" si="27"/>
        <v>CDAVG</v>
      </c>
      <c r="L1479" s="80" t="str">
        <f ca="1">IF(ISNUMBER(FIND("(",$I1479)), "", _xll.IMDP("IR", $K1479, $L$50, WORKDAY('CD|CP 발행사'!$C$4,-1)) )</f>
        <v/>
      </c>
    </row>
    <row r="1480" spans="7:12">
      <c r="G1480">
        <f ca="1">IF( ISNUMBER($L1480), MAX($G$50:G1479)+1,0)</f>
        <v>0</v>
      </c>
      <c r="H1480" s="13"/>
      <c r="I1480" s="67"/>
      <c r="J1480" s="67"/>
      <c r="K1480" s="80" t="str">
        <f t="shared" si="27"/>
        <v>CDAVG</v>
      </c>
      <c r="L1480" s="80" t="str">
        <f ca="1">IF(ISNUMBER(FIND("(",$I1480)), "", _xll.IMDP("IR", $K1480, $L$50, WORKDAY('CD|CP 발행사'!$C$4,-1)) )</f>
        <v/>
      </c>
    </row>
    <row r="1481" spans="7:12">
      <c r="G1481">
        <f ca="1">IF( ISNUMBER($L1481), MAX($G$50:G1480)+1,0)</f>
        <v>0</v>
      </c>
      <c r="H1481" s="13"/>
      <c r="I1481" s="67"/>
      <c r="J1481" s="67"/>
      <c r="K1481" s="80" t="str">
        <f t="shared" si="27"/>
        <v>CDAVG</v>
      </c>
      <c r="L1481" s="80" t="str">
        <f ca="1">IF(ISNUMBER(FIND("(",$I1481)), "", _xll.IMDP("IR", $K1481, $L$50, WORKDAY('CD|CP 발행사'!$C$4,-1)) )</f>
        <v/>
      </c>
    </row>
    <row r="1482" spans="7:12">
      <c r="G1482">
        <f ca="1">IF( ISNUMBER($L1482), MAX($G$50:G1481)+1,0)</f>
        <v>0</v>
      </c>
      <c r="H1482" s="13"/>
      <c r="I1482" s="67"/>
      <c r="J1482" s="67"/>
      <c r="K1482" s="80" t="str">
        <f t="shared" si="27"/>
        <v>CDAVG</v>
      </c>
      <c r="L1482" s="80" t="str">
        <f ca="1">IF(ISNUMBER(FIND("(",$I1482)), "", _xll.IMDP("IR", $K1482, $L$50, WORKDAY('CD|CP 발행사'!$C$4,-1)) )</f>
        <v/>
      </c>
    </row>
    <row r="1483" spans="7:12">
      <c r="G1483">
        <f ca="1">IF( ISNUMBER($L1483), MAX($G$50:G1482)+1,0)</f>
        <v>0</v>
      </c>
      <c r="H1483" s="13"/>
      <c r="I1483" s="67"/>
      <c r="J1483" s="14"/>
      <c r="K1483" s="14" t="str">
        <f t="shared" si="27"/>
        <v>CDAVG</v>
      </c>
      <c r="L1483" s="80" t="str">
        <f ca="1">IF(ISNUMBER(FIND("(",$I1483)), "", _xll.IMDP("IR", $K1483, $L$50, WORKDAY('CD|CP 발행사'!$C$4,-1)) )</f>
        <v/>
      </c>
    </row>
    <row r="1484" spans="7:12">
      <c r="G1484">
        <f ca="1">IF( ISNUMBER($L1484), MAX($G$50:G1483)+1,0)</f>
        <v>0</v>
      </c>
      <c r="H1484" s="13"/>
      <c r="I1484" s="67"/>
      <c r="J1484" s="14"/>
      <c r="K1484" s="14" t="str">
        <f t="shared" si="27"/>
        <v>CDAVG</v>
      </c>
      <c r="L1484" s="80" t="str">
        <f ca="1">IF(ISNUMBER(FIND("(",$I1484)), "", _xll.IMDP("IR", $K1484, $L$50, WORKDAY('CD|CP 발행사'!$C$4,-1)) )</f>
        <v/>
      </c>
    </row>
    <row r="1485" spans="7:12">
      <c r="G1485">
        <f ca="1">IF( ISNUMBER($L1485), MAX($G$50:G1484)+1,0)</f>
        <v>0</v>
      </c>
      <c r="H1485" s="13"/>
      <c r="I1485" s="67"/>
      <c r="J1485" s="14"/>
      <c r="K1485" s="14" t="str">
        <f t="shared" si="27"/>
        <v>CDAVG</v>
      </c>
      <c r="L1485" s="80" t="str">
        <f ca="1">IF(ISNUMBER(FIND("(",$I1485)), "", _xll.IMDP("IR", $K1485, $L$50, WORKDAY('CD|CP 발행사'!$C$4,-1)) )</f>
        <v/>
      </c>
    </row>
    <row r="1486" spans="7:12">
      <c r="G1486">
        <f ca="1">IF( ISNUMBER($L1486), MAX($G$50:G1485)+1,0)</f>
        <v>0</v>
      </c>
      <c r="H1486" s="13"/>
      <c r="I1486" s="67"/>
      <c r="J1486" s="67"/>
      <c r="K1486" s="80" t="str">
        <f t="shared" si="27"/>
        <v>CDAVG</v>
      </c>
      <c r="L1486" s="80" t="str">
        <f ca="1">IF(ISNUMBER(FIND("(",$I1486)), "", _xll.IMDP("IR", $K1486, $L$50, WORKDAY('CD|CP 발행사'!$C$4,-1)) )</f>
        <v/>
      </c>
    </row>
    <row r="1487" spans="7:12">
      <c r="G1487">
        <f ca="1">IF( ISNUMBER($L1487), MAX($G$50:G1486)+1,0)</f>
        <v>0</v>
      </c>
      <c r="H1487" s="13"/>
      <c r="I1487" s="67"/>
      <c r="J1487" s="67"/>
      <c r="K1487" s="80" t="str">
        <f t="shared" si="27"/>
        <v>CDAVG</v>
      </c>
      <c r="L1487" s="80" t="str">
        <f ca="1">IF(ISNUMBER(FIND("(",$I1487)), "", _xll.IMDP("IR", $K1487, $L$50, WORKDAY('CD|CP 발행사'!$C$4,-1)) )</f>
        <v/>
      </c>
    </row>
    <row r="1488" spans="7:12">
      <c r="G1488">
        <f ca="1">IF( ISNUMBER($L1488), MAX($G$50:G1487)+1,0)</f>
        <v>0</v>
      </c>
      <c r="H1488" s="13"/>
      <c r="I1488" s="67"/>
      <c r="J1488" s="67"/>
      <c r="K1488" s="80" t="str">
        <f t="shared" si="27"/>
        <v>CDAVG</v>
      </c>
      <c r="L1488" s="80" t="str">
        <f ca="1">IF(ISNUMBER(FIND("(",$I1488)), "", _xll.IMDP("IR", $K1488, $L$50, WORKDAY('CD|CP 발행사'!$C$4,-1)) )</f>
        <v/>
      </c>
    </row>
    <row r="1489" spans="7:12">
      <c r="G1489">
        <f ca="1">IF( ISNUMBER($L1489), MAX($G$50:G1488)+1,0)</f>
        <v>0</v>
      </c>
      <c r="H1489" s="13"/>
      <c r="I1489" s="67"/>
      <c r="J1489" s="67"/>
      <c r="K1489" s="80" t="str">
        <f t="shared" si="27"/>
        <v>CDAVG</v>
      </c>
      <c r="L1489" s="80" t="str">
        <f ca="1">IF(ISNUMBER(FIND("(",$I1489)), "", _xll.IMDP("IR", $K1489, $L$50, WORKDAY('CD|CP 발행사'!$C$4,-1)) )</f>
        <v/>
      </c>
    </row>
    <row r="1490" spans="7:12">
      <c r="G1490">
        <f ca="1">IF( ISNUMBER($L1490), MAX($G$50:G1489)+1,0)</f>
        <v>0</v>
      </c>
      <c r="H1490" s="13"/>
      <c r="I1490" s="67"/>
      <c r="J1490" s="67"/>
      <c r="K1490" s="80" t="str">
        <f t="shared" si="27"/>
        <v>CDAVG</v>
      </c>
      <c r="L1490" s="80" t="str">
        <f ca="1">IF(ISNUMBER(FIND("(",$I1490)), "", _xll.IMDP("IR", $K1490, $L$50, WORKDAY('CD|CP 발행사'!$C$4,-1)) )</f>
        <v/>
      </c>
    </row>
    <row r="1491" spans="7:12">
      <c r="G1491">
        <f ca="1">IF( ISNUMBER($L1491), MAX($G$50:G1490)+1,0)</f>
        <v>0</v>
      </c>
      <c r="H1491" s="13"/>
      <c r="I1491" s="67"/>
      <c r="J1491" s="67"/>
      <c r="K1491" s="80" t="str">
        <f t="shared" si="27"/>
        <v>CDAVG</v>
      </c>
      <c r="L1491" s="80" t="str">
        <f ca="1">IF(ISNUMBER(FIND("(",$I1491)), "", _xll.IMDP("IR", $K1491, $L$50, WORKDAY('CD|CP 발행사'!$C$4,-1)) )</f>
        <v/>
      </c>
    </row>
    <row r="1492" spans="7:12">
      <c r="G1492">
        <f ca="1">IF( ISNUMBER($L1492), MAX($G$50:G1491)+1,0)</f>
        <v>0</v>
      </c>
      <c r="H1492" s="13"/>
      <c r="I1492" s="67"/>
      <c r="J1492" s="67"/>
      <c r="K1492" s="80" t="str">
        <f t="shared" si="27"/>
        <v>CDAVG</v>
      </c>
      <c r="L1492" s="80" t="str">
        <f ca="1">IF(ISNUMBER(FIND("(",$I1492)), "", _xll.IMDP("IR", $K1492, $L$50, WORKDAY('CD|CP 발행사'!$C$4,-1)) )</f>
        <v/>
      </c>
    </row>
    <row r="1493" spans="7:12">
      <c r="G1493">
        <f ca="1">IF( ISNUMBER($L1493), MAX($G$50:G1492)+1,0)</f>
        <v>0</v>
      </c>
      <c r="H1493" s="13"/>
      <c r="I1493" s="67"/>
      <c r="J1493" s="67"/>
      <c r="K1493" s="80" t="str">
        <f t="shared" si="27"/>
        <v>CDAVG</v>
      </c>
      <c r="L1493" s="80" t="str">
        <f ca="1">IF(ISNUMBER(FIND("(",$I1493)), "", _xll.IMDP("IR", $K1493, $L$50, WORKDAY('CD|CP 발행사'!$C$4,-1)) )</f>
        <v/>
      </c>
    </row>
    <row r="1494" spans="7:12">
      <c r="G1494">
        <f ca="1">IF( ISNUMBER($L1494), MAX($G$50:G1493)+1,0)</f>
        <v>0</v>
      </c>
      <c r="H1494" s="13"/>
      <c r="I1494" s="67"/>
      <c r="J1494" s="67"/>
      <c r="K1494" s="80" t="str">
        <f t="shared" si="27"/>
        <v>CDAVG</v>
      </c>
      <c r="L1494" s="80" t="str">
        <f ca="1">IF(ISNUMBER(FIND("(",$I1494)), "", _xll.IMDP("IR", $K1494, $L$50, WORKDAY('CD|CP 발행사'!$C$4,-1)) )</f>
        <v/>
      </c>
    </row>
    <row r="1495" spans="7:12">
      <c r="G1495">
        <f ca="1">IF( ISNUMBER($L1495), MAX($G$50:G1494)+1,0)</f>
        <v>0</v>
      </c>
      <c r="H1495" s="13"/>
      <c r="I1495" s="67"/>
      <c r="J1495" s="67"/>
      <c r="K1495" s="80" t="str">
        <f t="shared" si="27"/>
        <v>CDAVG</v>
      </c>
      <c r="L1495" s="80" t="str">
        <f ca="1">IF(ISNUMBER(FIND("(",$I1495)), "", _xll.IMDP("IR", $K1495, $L$50, WORKDAY('CD|CP 발행사'!$C$4,-1)) )</f>
        <v/>
      </c>
    </row>
    <row r="1496" spans="7:12">
      <c r="G1496">
        <f ca="1">IF( ISNUMBER($L1496), MAX($G$50:G1495)+1,0)</f>
        <v>0</v>
      </c>
      <c r="H1496" s="13"/>
      <c r="I1496" s="67"/>
      <c r="J1496" s="67"/>
      <c r="K1496" s="80" t="str">
        <f t="shared" si="27"/>
        <v>CDAVG</v>
      </c>
      <c r="L1496" s="80" t="str">
        <f ca="1">IF(ISNUMBER(FIND("(",$I1496)), "", _xll.IMDP("IR", $K1496, $L$50, WORKDAY('CD|CP 발행사'!$C$4,-1)) )</f>
        <v/>
      </c>
    </row>
    <row r="1497" spans="7:12">
      <c r="G1497">
        <f ca="1">IF( ISNUMBER($L1497), MAX($G$50:G1496)+1,0)</f>
        <v>0</v>
      </c>
      <c r="H1497" s="13"/>
      <c r="I1497" s="67"/>
      <c r="J1497" s="67"/>
      <c r="K1497" s="80" t="str">
        <f t="shared" si="27"/>
        <v>CDAVG</v>
      </c>
      <c r="L1497" s="80" t="str">
        <f ca="1">IF(ISNUMBER(FIND("(",$I1497)), "", _xll.IMDP("IR", $K1497, $L$50, WORKDAY('CD|CP 발행사'!$C$4,-1)) )</f>
        <v/>
      </c>
    </row>
    <row r="1498" spans="7:12">
      <c r="G1498">
        <f ca="1">IF( ISNUMBER($L1498), MAX($G$50:G1497)+1,0)</f>
        <v>0</v>
      </c>
      <c r="H1498" s="13"/>
      <c r="I1498" s="67"/>
      <c r="J1498" s="67"/>
      <c r="K1498" s="80" t="str">
        <f t="shared" si="27"/>
        <v>CDAVG</v>
      </c>
      <c r="L1498" s="80" t="str">
        <f ca="1">IF(ISNUMBER(FIND("(",$I1498)), "", _xll.IMDP("IR", $K1498, $L$50, WORKDAY('CD|CP 발행사'!$C$4,-1)) )</f>
        <v/>
      </c>
    </row>
    <row r="1499" spans="7:12">
      <c r="G1499">
        <f ca="1">IF( ISNUMBER($L1499), MAX($G$50:G1498)+1,0)</f>
        <v>0</v>
      </c>
      <c r="H1499" s="13"/>
      <c r="I1499" s="67"/>
      <c r="J1499" s="67"/>
      <c r="K1499" s="80" t="str">
        <f t="shared" si="27"/>
        <v>CDAVG</v>
      </c>
      <c r="L1499" s="80" t="str">
        <f ca="1">IF(ISNUMBER(FIND("(",$I1499)), "", _xll.IMDP("IR", $K1499, $L$50, WORKDAY('CD|CP 발행사'!$C$4,-1)) )</f>
        <v/>
      </c>
    </row>
    <row r="1500" spans="7:12">
      <c r="G1500">
        <f ca="1">IF( ISNUMBER($L1500), MAX($G$50:G1499)+1,0)</f>
        <v>0</v>
      </c>
      <c r="H1500" s="13"/>
      <c r="I1500" s="67"/>
      <c r="J1500" s="67"/>
      <c r="K1500" s="80" t="str">
        <f t="shared" si="27"/>
        <v>CDAVG</v>
      </c>
      <c r="L1500" s="80" t="str">
        <f ca="1">IF(ISNUMBER(FIND("(",$I1500)), "", _xll.IMDP("IR", $K1500, $L$50, WORKDAY('CD|CP 발행사'!$C$4,-1)) )</f>
        <v/>
      </c>
    </row>
    <row r="1501" spans="7:12">
      <c r="G1501">
        <f ca="1">IF( ISNUMBER($L1501), MAX($G$50:G1500)+1,0)</f>
        <v>0</v>
      </c>
      <c r="H1501" s="13"/>
      <c r="I1501" s="67"/>
      <c r="J1501" s="67"/>
      <c r="K1501" s="80" t="str">
        <f t="shared" si="27"/>
        <v>CDAVG</v>
      </c>
      <c r="L1501" s="80" t="str">
        <f ca="1">IF(ISNUMBER(FIND("(",$I1501)), "", _xll.IMDP("IR", $K1501, $L$50, WORKDAY('CD|CP 발행사'!$C$4,-1)) )</f>
        <v/>
      </c>
    </row>
    <row r="1502" spans="7:12">
      <c r="G1502">
        <f ca="1">IF( ISNUMBER($L1502), MAX($G$50:G1501)+1,0)</f>
        <v>0</v>
      </c>
      <c r="H1502" s="13"/>
      <c r="I1502" s="67"/>
      <c r="J1502" s="67"/>
      <c r="K1502" s="80" t="str">
        <f t="shared" si="27"/>
        <v>CDAVG</v>
      </c>
      <c r="L1502" s="80" t="str">
        <f ca="1">IF(ISNUMBER(FIND("(",$I1502)), "", _xll.IMDP("IR", $K1502, $L$50, WORKDAY('CD|CP 발행사'!$C$4,-1)) )</f>
        <v/>
      </c>
    </row>
    <row r="1503" spans="7:12">
      <c r="G1503">
        <f ca="1">IF( ISNUMBER($L1503), MAX($G$50:G1502)+1,0)</f>
        <v>0</v>
      </c>
      <c r="H1503" s="13"/>
      <c r="I1503" s="67"/>
      <c r="J1503" s="67"/>
      <c r="K1503" s="80" t="str">
        <f t="shared" si="27"/>
        <v>CDAVG</v>
      </c>
      <c r="L1503" s="80" t="str">
        <f ca="1">IF(ISNUMBER(FIND("(",$I1503)), "", _xll.IMDP("IR", $K1503, $L$50, WORKDAY('CD|CP 발행사'!$C$4,-1)) )</f>
        <v/>
      </c>
    </row>
    <row r="1504" spans="7:12">
      <c r="G1504">
        <f ca="1">IF( ISNUMBER($L1504), MAX($G$50:G1503)+1,0)</f>
        <v>0</v>
      </c>
      <c r="H1504" s="13"/>
      <c r="I1504" s="67"/>
      <c r="J1504" s="67"/>
      <c r="K1504" s="80" t="str">
        <f t="shared" si="27"/>
        <v>CDAVG</v>
      </c>
      <c r="L1504" s="80" t="str">
        <f ca="1">IF(ISNUMBER(FIND("(",$I1504)), "", _xll.IMDP("IR", $K1504, $L$50, WORKDAY('CD|CP 발행사'!$C$4,-1)) )</f>
        <v/>
      </c>
    </row>
    <row r="1505" spans="7:12">
      <c r="G1505">
        <f ca="1">IF( ISNUMBER($L1505), MAX($G$50:G1504)+1,0)</f>
        <v>0</v>
      </c>
      <c r="H1505" s="13"/>
      <c r="I1505" s="67"/>
      <c r="J1505" s="67"/>
      <c r="K1505" s="80" t="str">
        <f t="shared" si="27"/>
        <v>CDAVG</v>
      </c>
      <c r="L1505" s="80" t="str">
        <f ca="1">IF(ISNUMBER(FIND("(",$I1505)), "", _xll.IMDP("IR", $K1505, $L$50, WORKDAY('CD|CP 발행사'!$C$4,-1)) )</f>
        <v/>
      </c>
    </row>
    <row r="1506" spans="7:12">
      <c r="G1506">
        <f ca="1">IF( ISNUMBER($L1506), MAX($G$50:G1505)+1,0)</f>
        <v>0</v>
      </c>
      <c r="H1506" s="13"/>
      <c r="I1506" s="67"/>
      <c r="J1506" s="67"/>
      <c r="K1506" s="80" t="str">
        <f t="shared" si="27"/>
        <v>CDAVG</v>
      </c>
      <c r="L1506" s="80" t="str">
        <f ca="1">IF(ISNUMBER(FIND("(",$I1506)), "", _xll.IMDP("IR", $K1506, $L$50, WORKDAY('CD|CP 발행사'!$C$4,-1)) )</f>
        <v/>
      </c>
    </row>
    <row r="1507" spans="7:12">
      <c r="G1507">
        <f ca="1">IF( ISNUMBER($L1507), MAX($G$50:G1506)+1,0)</f>
        <v>0</v>
      </c>
      <c r="H1507" s="13"/>
      <c r="I1507" s="67"/>
      <c r="J1507" s="67"/>
      <c r="K1507" s="80" t="str">
        <f t="shared" si="27"/>
        <v>CDAVG</v>
      </c>
      <c r="L1507" s="80" t="str">
        <f ca="1">IF(ISNUMBER(FIND("(",$I1507)), "", _xll.IMDP("IR", $K1507, $L$50, WORKDAY('CD|CP 발행사'!$C$4,-1)) )</f>
        <v/>
      </c>
    </row>
    <row r="1508" spans="7:12">
      <c r="G1508">
        <f ca="1">IF( ISNUMBER($L1508), MAX($G$50:G1507)+1,0)</f>
        <v>0</v>
      </c>
      <c r="H1508" s="13"/>
      <c r="I1508" s="67"/>
      <c r="J1508" s="67"/>
      <c r="K1508" s="80" t="str">
        <f t="shared" si="27"/>
        <v>CDAVG</v>
      </c>
      <c r="L1508" s="80" t="str">
        <f ca="1">IF(ISNUMBER(FIND("(",$I1508)), "", _xll.IMDP("IR", $K1508, $L$50, WORKDAY('CD|CP 발행사'!$C$4,-1)) )</f>
        <v/>
      </c>
    </row>
    <row r="1509" spans="7:12">
      <c r="G1509">
        <f ca="1">IF( ISNUMBER($L1509), MAX($G$50:G1508)+1,0)</f>
        <v>0</v>
      </c>
      <c r="H1509" s="13"/>
      <c r="I1509" s="67"/>
      <c r="J1509" s="67"/>
      <c r="K1509" s="80" t="str">
        <f t="shared" si="27"/>
        <v>CDAVG</v>
      </c>
      <c r="L1509" s="80" t="str">
        <f ca="1">IF(ISNUMBER(FIND("(",$I1509)), "", _xll.IMDP("IR", $K1509, $L$50, WORKDAY('CD|CP 발행사'!$C$4,-1)) )</f>
        <v/>
      </c>
    </row>
    <row r="1510" spans="7:12">
      <c r="G1510">
        <f ca="1">IF( ISNUMBER($L1510), MAX($G$50:G1509)+1,0)</f>
        <v>0</v>
      </c>
      <c r="H1510" s="13"/>
      <c r="I1510" s="67"/>
      <c r="J1510" s="67"/>
      <c r="K1510" s="80" t="str">
        <f t="shared" si="27"/>
        <v>CDAVG</v>
      </c>
      <c r="L1510" s="80" t="str">
        <f ca="1">IF(ISNUMBER(FIND("(",$I1510)), "", _xll.IMDP("IR", $K1510, $L$50, WORKDAY('CD|CP 발행사'!$C$4,-1)) )</f>
        <v/>
      </c>
    </row>
    <row r="1511" spans="7:12">
      <c r="G1511">
        <f ca="1">IF( ISNUMBER($L1511), MAX($G$50:G1510)+1,0)</f>
        <v>0</v>
      </c>
      <c r="H1511" s="13"/>
      <c r="I1511" s="67"/>
      <c r="J1511" s="67"/>
      <c r="K1511" s="80" t="str">
        <f t="shared" si="27"/>
        <v>CDAVG</v>
      </c>
      <c r="L1511" s="80" t="str">
        <f ca="1">IF(ISNUMBER(FIND("(",$I1511)), "", _xll.IMDP("IR", $K1511, $L$50, WORKDAY('CD|CP 발행사'!$C$4,-1)) )</f>
        <v/>
      </c>
    </row>
    <row r="1512" spans="7:12">
      <c r="G1512">
        <f ca="1">IF( ISNUMBER($L1512), MAX($G$50:G1511)+1,0)</f>
        <v>0</v>
      </c>
      <c r="H1512" s="13"/>
      <c r="I1512" s="67"/>
      <c r="J1512" s="67"/>
      <c r="K1512" s="80" t="str">
        <f t="shared" si="27"/>
        <v>CDAVG</v>
      </c>
      <c r="L1512" s="80" t="str">
        <f ca="1">IF(ISNUMBER(FIND("(",$I1512)), "", _xll.IMDP("IR", $K1512, $L$50, WORKDAY('CD|CP 발행사'!$C$4,-1)) )</f>
        <v/>
      </c>
    </row>
    <row r="1513" spans="7:12">
      <c r="G1513">
        <f ca="1">IF( ISNUMBER($L1513), MAX($G$50:G1512)+1,0)</f>
        <v>0</v>
      </c>
      <c r="H1513" s="13"/>
      <c r="I1513" s="67"/>
      <c r="J1513" s="67"/>
      <c r="K1513" s="80" t="str">
        <f t="shared" si="27"/>
        <v>CDAVG</v>
      </c>
      <c r="L1513" s="80" t="str">
        <f ca="1">IF(ISNUMBER(FIND("(",$I1513)), "", _xll.IMDP("IR", $K1513, $L$50, WORKDAY('CD|CP 발행사'!$C$4,-1)) )</f>
        <v/>
      </c>
    </row>
    <row r="1514" spans="7:12">
      <c r="G1514">
        <f ca="1">IF( ISNUMBER($L1514), MAX($G$50:G1513)+1,0)</f>
        <v>0</v>
      </c>
      <c r="H1514" s="13"/>
      <c r="I1514" s="67"/>
      <c r="J1514" s="67"/>
      <c r="K1514" s="80" t="str">
        <f t="shared" si="27"/>
        <v>CDAVG</v>
      </c>
      <c r="L1514" s="80" t="str">
        <f ca="1">IF(ISNUMBER(FIND("(",$I1514)), "", _xll.IMDP("IR", $K1514, $L$50, WORKDAY('CD|CP 발행사'!$C$4,-1)) )</f>
        <v/>
      </c>
    </row>
    <row r="1515" spans="7:12">
      <c r="G1515">
        <f ca="1">IF( ISNUMBER($L1515), MAX($G$50:G1514)+1,0)</f>
        <v>0</v>
      </c>
      <c r="H1515" s="13"/>
      <c r="I1515" s="67"/>
      <c r="J1515" s="67"/>
      <c r="K1515" s="80" t="str">
        <f t="shared" si="27"/>
        <v>CDAVG</v>
      </c>
      <c r="L1515" s="80" t="str">
        <f ca="1">IF(ISNUMBER(FIND("(",$I1515)), "", _xll.IMDP("IR", $K1515, $L$50, WORKDAY('CD|CP 발행사'!$C$4,-1)) )</f>
        <v/>
      </c>
    </row>
    <row r="1516" spans="7:12">
      <c r="G1516">
        <f ca="1">IF( ISNUMBER($L1516), MAX($G$50:G1515)+1,0)</f>
        <v>0</v>
      </c>
      <c r="H1516" s="13"/>
      <c r="I1516" s="67"/>
      <c r="J1516" s="67"/>
      <c r="K1516" s="80" t="str">
        <f t="shared" si="27"/>
        <v>CDAVG</v>
      </c>
      <c r="L1516" s="80" t="str">
        <f ca="1">IF(ISNUMBER(FIND("(",$I1516)), "", _xll.IMDP("IR", $K1516, $L$50, WORKDAY('CD|CP 발행사'!$C$4,-1)) )</f>
        <v/>
      </c>
    </row>
    <row r="1517" spans="7:12">
      <c r="G1517">
        <f ca="1">IF( ISNUMBER($L1517), MAX($G$50:G1516)+1,0)</f>
        <v>0</v>
      </c>
      <c r="H1517" s="13"/>
      <c r="I1517" s="67"/>
      <c r="J1517" s="67"/>
      <c r="K1517" s="80" t="str">
        <f t="shared" si="27"/>
        <v>CDAVG</v>
      </c>
      <c r="L1517" s="80" t="str">
        <f ca="1">IF(ISNUMBER(FIND("(",$I1517)), "", _xll.IMDP("IR", $K1517, $L$50, WORKDAY('CD|CP 발행사'!$C$4,-1)) )</f>
        <v/>
      </c>
    </row>
    <row r="1518" spans="7:12">
      <c r="G1518">
        <f ca="1">IF( ISNUMBER($L1518), MAX($G$50:G1517)+1,0)</f>
        <v>0</v>
      </c>
      <c r="H1518" s="13"/>
      <c r="I1518" s="67"/>
      <c r="J1518" s="67"/>
      <c r="K1518" s="80" t="str">
        <f t="shared" si="27"/>
        <v>CDAVG</v>
      </c>
      <c r="L1518" s="80" t="str">
        <f ca="1">IF(ISNUMBER(FIND("(",$I1518)), "", _xll.IMDP("IR", $K1518, $L$50, WORKDAY('CD|CP 발행사'!$C$4,-1)) )</f>
        <v/>
      </c>
    </row>
    <row r="1519" spans="7:12">
      <c r="G1519">
        <f ca="1">IF( ISNUMBER($L1519), MAX($G$50:G1518)+1,0)</f>
        <v>0</v>
      </c>
      <c r="H1519" s="13"/>
      <c r="I1519" s="67"/>
      <c r="J1519" s="67"/>
      <c r="K1519" s="80" t="str">
        <f t="shared" si="27"/>
        <v>CDAVG</v>
      </c>
      <c r="L1519" s="80" t="str">
        <f ca="1">IF(ISNUMBER(FIND("(",$I1519)), "", _xll.IMDP("IR", $K1519, $L$50, WORKDAY('CD|CP 발행사'!$C$4,-1)) )</f>
        <v/>
      </c>
    </row>
    <row r="1520" spans="7:12">
      <c r="G1520">
        <f ca="1">IF( ISNUMBER($L1520), MAX($G$50:G1519)+1,0)</f>
        <v>0</v>
      </c>
      <c r="H1520" s="13"/>
      <c r="I1520" s="67"/>
      <c r="J1520" s="67"/>
      <c r="K1520" s="80" t="str">
        <f t="shared" si="27"/>
        <v>CDAVG</v>
      </c>
      <c r="L1520" s="80" t="str">
        <f ca="1">IF(ISNUMBER(FIND("(",$I1520)), "", _xll.IMDP("IR", $K1520, $L$50, WORKDAY('CD|CP 발행사'!$C$4,-1)) )</f>
        <v/>
      </c>
    </row>
    <row r="1521" spans="7:12">
      <c r="G1521">
        <f ca="1">IF( ISNUMBER($L1521), MAX($G$50:G1520)+1,0)</f>
        <v>0</v>
      </c>
      <c r="H1521" s="13"/>
      <c r="I1521" s="67"/>
      <c r="J1521" s="67"/>
      <c r="K1521" s="80" t="str">
        <f t="shared" si="27"/>
        <v>CDAVG</v>
      </c>
      <c r="L1521" s="80" t="str">
        <f ca="1">IF(ISNUMBER(FIND("(",$I1521)), "", _xll.IMDP("IR", $K1521, $L$50, WORKDAY('CD|CP 발행사'!$C$4,-1)) )</f>
        <v/>
      </c>
    </row>
    <row r="1522" spans="7:12">
      <c r="G1522">
        <f ca="1">IF( ISNUMBER($L1522), MAX($G$50:G1521)+1,0)</f>
        <v>0</v>
      </c>
      <c r="H1522" s="13"/>
      <c r="I1522" s="67"/>
      <c r="J1522" s="67"/>
      <c r="K1522" s="80" t="str">
        <f t="shared" si="27"/>
        <v>CDAVG</v>
      </c>
      <c r="L1522" s="80" t="str">
        <f ca="1">IF(ISNUMBER(FIND("(",$I1522)), "", _xll.IMDP("IR", $K1522, $L$50, WORKDAY('CD|CP 발행사'!$C$4,-1)) )</f>
        <v/>
      </c>
    </row>
    <row r="1523" spans="7:12">
      <c r="G1523">
        <f ca="1">IF( ISNUMBER($L1523), MAX($G$50:G1522)+1,0)</f>
        <v>0</v>
      </c>
      <c r="H1523" s="13"/>
      <c r="I1523" s="67"/>
      <c r="J1523" s="67"/>
      <c r="K1523" s="80" t="str">
        <f t="shared" ref="K1523:K1550" si="28">$K$49&amp;$H1523</f>
        <v>CDAVG</v>
      </c>
      <c r="L1523" s="80" t="str">
        <f ca="1">IF(ISNUMBER(FIND("(",$I1523)), "", _xll.IMDP("IR", $K1523, $L$50, WORKDAY('CD|CP 발행사'!$C$4,-1)) )</f>
        <v/>
      </c>
    </row>
    <row r="1524" spans="7:12">
      <c r="G1524">
        <f ca="1">IF( ISNUMBER($L1524), MAX($G$50:G1523)+1,0)</f>
        <v>0</v>
      </c>
      <c r="H1524" s="13"/>
      <c r="I1524" s="67"/>
      <c r="J1524" s="67"/>
      <c r="K1524" s="80" t="str">
        <f t="shared" si="28"/>
        <v>CDAVG</v>
      </c>
      <c r="L1524" s="80" t="str">
        <f ca="1">IF(ISNUMBER(FIND("(",$I1524)), "", _xll.IMDP("IR", $K1524, $L$50, WORKDAY('CD|CP 발행사'!$C$4,-1)) )</f>
        <v/>
      </c>
    </row>
    <row r="1525" spans="7:12">
      <c r="G1525">
        <f ca="1">IF( ISNUMBER($L1525), MAX($G$50:G1524)+1,0)</f>
        <v>0</v>
      </c>
      <c r="H1525" s="13"/>
      <c r="I1525" s="67"/>
      <c r="J1525" s="67"/>
      <c r="K1525" s="80" t="str">
        <f t="shared" si="28"/>
        <v>CDAVG</v>
      </c>
      <c r="L1525" s="80" t="str">
        <f ca="1">IF(ISNUMBER(FIND("(",$I1525)), "", _xll.IMDP("IR", $K1525, $L$50, WORKDAY('CD|CP 발행사'!$C$4,-1)) )</f>
        <v/>
      </c>
    </row>
    <row r="1526" spans="7:12">
      <c r="G1526">
        <f ca="1">IF( ISNUMBER($L1526), MAX($G$50:G1525)+1,0)</f>
        <v>0</v>
      </c>
      <c r="H1526" s="13"/>
      <c r="I1526" s="67"/>
      <c r="J1526" s="67"/>
      <c r="K1526" s="80" t="str">
        <f t="shared" si="28"/>
        <v>CDAVG</v>
      </c>
      <c r="L1526" s="80" t="str">
        <f ca="1">IF(ISNUMBER(FIND("(",$I1526)), "", _xll.IMDP("IR", $K1526, $L$50, WORKDAY('CD|CP 발행사'!$C$4,-1)) )</f>
        <v/>
      </c>
    </row>
    <row r="1527" spans="7:12">
      <c r="G1527">
        <f ca="1">IF( ISNUMBER($L1527), MAX($G$50:G1526)+1,0)</f>
        <v>0</v>
      </c>
      <c r="H1527" s="13"/>
      <c r="I1527" s="67"/>
      <c r="J1527" s="67"/>
      <c r="K1527" s="80" t="str">
        <f t="shared" si="28"/>
        <v>CDAVG</v>
      </c>
      <c r="L1527" s="80" t="str">
        <f ca="1">IF(ISNUMBER(FIND("(",$I1527)), "", _xll.IMDP("IR", $K1527, $L$50, WORKDAY('CD|CP 발행사'!$C$4,-1)) )</f>
        <v/>
      </c>
    </row>
    <row r="1528" spans="7:12">
      <c r="G1528">
        <f ca="1">IF( ISNUMBER($L1528), MAX($G$50:G1527)+1,0)</f>
        <v>0</v>
      </c>
      <c r="H1528" s="13"/>
      <c r="I1528" s="67"/>
      <c r="J1528" s="67"/>
      <c r="K1528" s="80" t="str">
        <f t="shared" si="28"/>
        <v>CDAVG</v>
      </c>
      <c r="L1528" s="80" t="str">
        <f ca="1">IF(ISNUMBER(FIND("(",$I1528)), "", _xll.IMDP("IR", $K1528, $L$50, WORKDAY('CD|CP 발행사'!$C$4,-1)) )</f>
        <v/>
      </c>
    </row>
    <row r="1529" spans="7:12">
      <c r="G1529">
        <f ca="1">IF( ISNUMBER($L1529), MAX($G$50:G1528)+1,0)</f>
        <v>0</v>
      </c>
      <c r="H1529" s="13"/>
      <c r="I1529" s="67"/>
      <c r="J1529" s="67"/>
      <c r="K1529" s="80" t="str">
        <f t="shared" si="28"/>
        <v>CDAVG</v>
      </c>
      <c r="L1529" s="80" t="str">
        <f ca="1">IF(ISNUMBER(FIND("(",$I1529)), "", _xll.IMDP("IR", $K1529, $L$50, WORKDAY('CD|CP 발행사'!$C$4,-1)) )</f>
        <v/>
      </c>
    </row>
    <row r="1530" spans="7:12">
      <c r="G1530">
        <f ca="1">IF( ISNUMBER($L1530), MAX($G$50:G1529)+1,0)</f>
        <v>0</v>
      </c>
      <c r="H1530" s="13"/>
      <c r="I1530" s="67"/>
      <c r="J1530" s="67"/>
      <c r="K1530" s="80" t="str">
        <f t="shared" si="28"/>
        <v>CDAVG</v>
      </c>
      <c r="L1530" s="80" t="str">
        <f ca="1">IF(ISNUMBER(FIND("(",$I1530)), "", _xll.IMDP("IR", $K1530, $L$50, WORKDAY('CD|CP 발행사'!$C$4,-1)) )</f>
        <v/>
      </c>
    </row>
    <row r="1531" spans="7:12">
      <c r="G1531">
        <f ca="1">IF( ISNUMBER($L1531), MAX($G$50:G1530)+1,0)</f>
        <v>0</v>
      </c>
      <c r="H1531" s="13"/>
      <c r="I1531" s="67"/>
      <c r="J1531" s="67"/>
      <c r="K1531" s="80" t="str">
        <f t="shared" si="28"/>
        <v>CDAVG</v>
      </c>
      <c r="L1531" s="80" t="str">
        <f ca="1">IF(ISNUMBER(FIND("(",$I1531)), "", _xll.IMDP("IR", $K1531, $L$50, WORKDAY('CD|CP 발행사'!$C$4,-1)) )</f>
        <v/>
      </c>
    </row>
    <row r="1532" spans="7:12">
      <c r="G1532">
        <f ca="1">IF( ISNUMBER($L1532), MAX($G$50:G1531)+1,0)</f>
        <v>0</v>
      </c>
      <c r="H1532" s="13"/>
      <c r="I1532" s="67"/>
      <c r="J1532" s="67"/>
      <c r="K1532" s="80" t="str">
        <f t="shared" si="28"/>
        <v>CDAVG</v>
      </c>
      <c r="L1532" s="80" t="str">
        <f ca="1">IF(ISNUMBER(FIND("(",$I1532)), "", _xll.IMDP("IR", $K1532, $L$50, WORKDAY('CD|CP 발행사'!$C$4,-1)) )</f>
        <v/>
      </c>
    </row>
    <row r="1533" spans="7:12">
      <c r="G1533">
        <f ca="1">IF( ISNUMBER($L1533), MAX($G$50:G1532)+1,0)</f>
        <v>0</v>
      </c>
      <c r="H1533" s="13"/>
      <c r="I1533" s="67"/>
      <c r="J1533" s="67"/>
      <c r="K1533" s="80" t="str">
        <f t="shared" si="28"/>
        <v>CDAVG</v>
      </c>
      <c r="L1533" s="80" t="str">
        <f ca="1">IF(ISNUMBER(FIND("(",$I1533)), "", _xll.IMDP("IR", $K1533, $L$50, WORKDAY('CD|CP 발행사'!$C$4,-1)) )</f>
        <v/>
      </c>
    </row>
    <row r="1534" spans="7:12">
      <c r="G1534">
        <f ca="1">IF( ISNUMBER($L1534), MAX($G$50:G1533)+1,0)</f>
        <v>0</v>
      </c>
      <c r="H1534" s="13"/>
      <c r="I1534" s="67"/>
      <c r="J1534" s="67"/>
      <c r="K1534" s="80" t="str">
        <f t="shared" si="28"/>
        <v>CDAVG</v>
      </c>
      <c r="L1534" s="80" t="str">
        <f ca="1">IF(ISNUMBER(FIND("(",$I1534)), "", _xll.IMDP("IR", $K1534, $L$50, WORKDAY('CD|CP 발행사'!$C$4,-1)) )</f>
        <v/>
      </c>
    </row>
    <row r="1535" spans="7:12">
      <c r="G1535">
        <f ca="1">IF( ISNUMBER($L1535), MAX($G$50:G1534)+1,0)</f>
        <v>0</v>
      </c>
      <c r="H1535" s="13"/>
      <c r="I1535" s="67"/>
      <c r="J1535" s="67"/>
      <c r="K1535" s="80" t="str">
        <f t="shared" si="28"/>
        <v>CDAVG</v>
      </c>
      <c r="L1535" s="80" t="str">
        <f ca="1">IF(ISNUMBER(FIND("(",$I1535)), "", _xll.IMDP("IR", $K1535, $L$50, WORKDAY('CD|CP 발행사'!$C$4,-1)) )</f>
        <v/>
      </c>
    </row>
    <row r="1536" spans="7:12">
      <c r="G1536">
        <f ca="1">IF( ISNUMBER($L1536), MAX($G$50:G1535)+1,0)</f>
        <v>0</v>
      </c>
      <c r="H1536" s="13"/>
      <c r="I1536" s="67"/>
      <c r="J1536" s="67"/>
      <c r="K1536" s="80" t="str">
        <f t="shared" si="28"/>
        <v>CDAVG</v>
      </c>
      <c r="L1536" s="80" t="str">
        <f ca="1">IF(ISNUMBER(FIND("(",$I1536)), "", _xll.IMDP("IR", $K1536, $L$50, WORKDAY('CD|CP 발행사'!$C$4,-1)) )</f>
        <v/>
      </c>
    </row>
    <row r="1537" spans="7:12">
      <c r="G1537">
        <f ca="1">IF( ISNUMBER($L1537), MAX($G$50:G1536)+1,0)</f>
        <v>0</v>
      </c>
      <c r="H1537" s="13"/>
      <c r="I1537" s="67"/>
      <c r="J1537" s="67"/>
      <c r="K1537" s="80" t="str">
        <f t="shared" si="28"/>
        <v>CDAVG</v>
      </c>
      <c r="L1537" s="80" t="str">
        <f ca="1">IF(ISNUMBER(FIND("(",$I1537)), "", _xll.IMDP("IR", $K1537, $L$50, WORKDAY('CD|CP 발행사'!$C$4,-1)) )</f>
        <v/>
      </c>
    </row>
    <row r="1538" spans="7:12">
      <c r="G1538">
        <f ca="1">IF( ISNUMBER($L1538), MAX($G$50:G1537)+1,0)</f>
        <v>0</v>
      </c>
      <c r="H1538" s="13"/>
      <c r="I1538" s="67"/>
      <c r="J1538" s="67"/>
      <c r="K1538" s="80" t="str">
        <f t="shared" si="28"/>
        <v>CDAVG</v>
      </c>
      <c r="L1538" s="80" t="str">
        <f ca="1">IF(ISNUMBER(FIND("(",$I1538)), "", _xll.IMDP("IR", $K1538, $L$50, WORKDAY('CD|CP 발행사'!$C$4,-1)) )</f>
        <v/>
      </c>
    </row>
    <row r="1539" spans="7:12">
      <c r="G1539">
        <f ca="1">IF( ISNUMBER($L1539), MAX($G$50:G1538)+1,0)</f>
        <v>0</v>
      </c>
      <c r="H1539" s="13"/>
      <c r="I1539" s="67"/>
      <c r="J1539" s="67"/>
      <c r="K1539" s="80" t="str">
        <f t="shared" si="28"/>
        <v>CDAVG</v>
      </c>
      <c r="L1539" s="80" t="str">
        <f ca="1">IF(ISNUMBER(FIND("(",$I1539)), "", _xll.IMDP("IR", $K1539, $L$50, WORKDAY('CD|CP 발행사'!$C$4,-1)) )</f>
        <v/>
      </c>
    </row>
    <row r="1540" spans="7:12">
      <c r="G1540">
        <f ca="1">IF( ISNUMBER($L1540), MAX($G$50:G1539)+1,0)</f>
        <v>0</v>
      </c>
      <c r="H1540" s="13"/>
      <c r="I1540" s="67"/>
      <c r="J1540" s="67"/>
      <c r="K1540" s="80" t="str">
        <f t="shared" si="28"/>
        <v>CDAVG</v>
      </c>
      <c r="L1540" s="80" t="str">
        <f ca="1">IF(ISNUMBER(FIND("(",$I1540)), "", _xll.IMDP("IR", $K1540, $L$50, WORKDAY('CD|CP 발행사'!$C$4,-1)) )</f>
        <v/>
      </c>
    </row>
    <row r="1541" spans="7:12">
      <c r="G1541">
        <f ca="1">IF( ISNUMBER($L1541), MAX($G$50:G1540)+1,0)</f>
        <v>0</v>
      </c>
      <c r="H1541" s="13"/>
      <c r="I1541" s="67"/>
      <c r="J1541" s="67"/>
      <c r="K1541" s="80" t="str">
        <f t="shared" si="28"/>
        <v>CDAVG</v>
      </c>
      <c r="L1541" s="80" t="str">
        <f ca="1">IF(ISNUMBER(FIND("(",$I1541)), "", _xll.IMDP("IR", $K1541, $L$50, WORKDAY('CD|CP 발행사'!$C$4,-1)) )</f>
        <v/>
      </c>
    </row>
    <row r="1542" spans="7:12">
      <c r="G1542">
        <f ca="1">IF( ISNUMBER($L1542), MAX($G$50:G1541)+1,0)</f>
        <v>0</v>
      </c>
      <c r="H1542" s="13"/>
      <c r="I1542" s="67"/>
      <c r="J1542" s="67"/>
      <c r="K1542" s="80" t="str">
        <f t="shared" si="28"/>
        <v>CDAVG</v>
      </c>
      <c r="L1542" s="80" t="str">
        <f ca="1">IF(ISNUMBER(FIND("(",$I1542)), "", _xll.IMDP("IR", $K1542, $L$50, WORKDAY('CD|CP 발행사'!$C$4,-1)) )</f>
        <v/>
      </c>
    </row>
    <row r="1543" spans="7:12">
      <c r="G1543">
        <f ca="1">IF( ISNUMBER($L1543), MAX($G$50:G1542)+1,0)</f>
        <v>0</v>
      </c>
      <c r="H1543" s="13"/>
      <c r="I1543" s="67"/>
      <c r="J1543" s="67"/>
      <c r="K1543" s="80" t="str">
        <f t="shared" si="28"/>
        <v>CDAVG</v>
      </c>
      <c r="L1543" s="80" t="str">
        <f ca="1">IF(ISNUMBER(FIND("(",$I1543)), "", _xll.IMDP("IR", $K1543, $L$50, WORKDAY('CD|CP 발행사'!$C$4,-1)) )</f>
        <v/>
      </c>
    </row>
    <row r="1544" spans="7:12">
      <c r="G1544">
        <f ca="1">IF( ISNUMBER($L1544), MAX($G$50:G1543)+1,0)</f>
        <v>0</v>
      </c>
      <c r="H1544" s="13"/>
      <c r="I1544" s="67"/>
      <c r="J1544" s="67"/>
      <c r="K1544" s="80" t="str">
        <f t="shared" si="28"/>
        <v>CDAVG</v>
      </c>
      <c r="L1544" s="80" t="str">
        <f ca="1">IF(ISNUMBER(FIND("(",$I1544)), "", _xll.IMDP("IR", $K1544, $L$50, WORKDAY('CD|CP 발행사'!$C$4,-1)) )</f>
        <v/>
      </c>
    </row>
    <row r="1545" spans="7:12">
      <c r="G1545">
        <f ca="1">IF( ISNUMBER($L1545), MAX($G$50:G1544)+1,0)</f>
        <v>0</v>
      </c>
      <c r="H1545" s="13"/>
      <c r="I1545" s="67"/>
      <c r="J1545" s="67"/>
      <c r="K1545" s="80" t="str">
        <f t="shared" si="28"/>
        <v>CDAVG</v>
      </c>
      <c r="L1545" s="80" t="str">
        <f ca="1">IF(ISNUMBER(FIND("(",$I1545)), "", _xll.IMDP("IR", $K1545, $L$50, WORKDAY('CD|CP 발행사'!$C$4,-1)) )</f>
        <v/>
      </c>
    </row>
    <row r="1546" spans="7:12">
      <c r="G1546">
        <f ca="1">IF( ISNUMBER($L1546), MAX($G$50:G1545)+1,0)</f>
        <v>0</v>
      </c>
      <c r="H1546" s="13"/>
      <c r="I1546" s="67"/>
      <c r="J1546" s="67"/>
      <c r="K1546" s="80" t="str">
        <f t="shared" si="28"/>
        <v>CDAVG</v>
      </c>
      <c r="L1546" s="80" t="str">
        <f ca="1">IF(ISNUMBER(FIND("(",$I1546)), "", _xll.IMDP("IR", $K1546, $L$50, WORKDAY('CD|CP 발행사'!$C$4,-1)) )</f>
        <v/>
      </c>
    </row>
    <row r="1547" spans="7:12">
      <c r="G1547">
        <f ca="1">IF( ISNUMBER($L1547), MAX($G$50:G1546)+1,0)</f>
        <v>0</v>
      </c>
      <c r="H1547" s="13"/>
      <c r="I1547" s="67"/>
      <c r="J1547" s="67"/>
      <c r="K1547" s="80" t="str">
        <f t="shared" si="28"/>
        <v>CDAVG</v>
      </c>
      <c r="L1547" s="80" t="str">
        <f ca="1">IF(ISNUMBER(FIND("(",$I1547)), "", _xll.IMDP("IR", $K1547, $L$50, WORKDAY('CD|CP 발행사'!$C$4,-1)) )</f>
        <v/>
      </c>
    </row>
    <row r="1548" spans="7:12">
      <c r="G1548">
        <f ca="1">IF( ISNUMBER($L1548), MAX($G$50:G1547)+1,0)</f>
        <v>0</v>
      </c>
      <c r="H1548" s="13"/>
      <c r="I1548" s="67"/>
      <c r="J1548" s="67"/>
      <c r="K1548" s="80" t="str">
        <f t="shared" si="28"/>
        <v>CDAVG</v>
      </c>
      <c r="L1548" s="80" t="str">
        <f ca="1">IF(ISNUMBER(FIND("(",$I1548)), "", _xll.IMDP("IR", $K1548, $L$50, WORKDAY('CD|CP 발행사'!$C$4,-1)) )</f>
        <v/>
      </c>
    </row>
    <row r="1549" spans="7:12">
      <c r="G1549">
        <f ca="1">IF( ISNUMBER($L1549), MAX($G$50:G1548)+1,0)</f>
        <v>0</v>
      </c>
      <c r="H1549" s="13"/>
      <c r="I1549" s="67"/>
      <c r="J1549" s="67"/>
      <c r="K1549" s="80" t="str">
        <f t="shared" si="28"/>
        <v>CDAVG</v>
      </c>
      <c r="L1549" s="80" t="str">
        <f ca="1">IF(ISNUMBER(FIND("(",$I1549)), "", _xll.IMDP("IR", $K1549, $L$50, WORKDAY('CD|CP 발행사'!$C$4,-1)) )</f>
        <v/>
      </c>
    </row>
    <row r="1550" spans="7:12">
      <c r="G1550">
        <f ca="1">IF( ISNUMBER($L1550), MAX($G$50:G1549)+1,0)</f>
        <v>0</v>
      </c>
      <c r="H1550" s="15"/>
      <c r="I1550" s="68"/>
      <c r="J1550" s="68"/>
      <c r="K1550" s="81" t="str">
        <f t="shared" si="28"/>
        <v>CDAVG</v>
      </c>
      <c r="L1550" s="81" t="str">
        <f ca="1">IF(ISNUMBER(FIND("(",$I1550)), "", _xll.IMDP("IR", $K1550, $L$50, WORKDAY('CD|CP 발행사'!$C$4,-1)) )</f>
        <v/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55"/>
  <sheetViews>
    <sheetView showGridLines="0" showRowColHeaders="0" tabSelected="1" workbookViewId="0">
      <pane xSplit="3" ySplit="7" topLeftCell="D8" activePane="bottomRight" state="frozen"/>
      <selection pane="topRight" activeCell="D1" sqref="D1"/>
      <selection pane="bottomLeft" activeCell="A7" sqref="A7"/>
      <selection pane="bottomRight"/>
    </sheetView>
  </sheetViews>
  <sheetFormatPr defaultRowHeight="16.5"/>
  <cols>
    <col min="1" max="1" width="0.625" customWidth="1"/>
    <col min="2" max="2" width="7" customWidth="1"/>
    <col min="3" max="3" width="10.625" style="6" customWidth="1"/>
    <col min="4" max="4" width="9" customWidth="1"/>
    <col min="15" max="15" width="3" customWidth="1"/>
    <col min="19" max="19" width="9" customWidth="1"/>
    <col min="20" max="20" width="12" customWidth="1"/>
  </cols>
  <sheetData>
    <row r="1" spans="2:21" ht="3.75" customHeight="1"/>
    <row r="2" spans="2:21" ht="26.25">
      <c r="B2" s="5" t="s">
        <v>173</v>
      </c>
    </row>
    <row r="3" spans="2:21" ht="3.75" customHeight="1"/>
    <row r="4" spans="2:21">
      <c r="B4" s="112">
        <f ca="1">TODAY()</f>
        <v>45119</v>
      </c>
      <c r="C4" s="113"/>
      <c r="M4" s="57" t="s">
        <v>216</v>
      </c>
      <c r="N4" s="58" cm="1">
        <f t="array" aca="1" ref="N4" ca="1">IF( _xll.IMDP("IR", CHOOSE(code!$A$1, code!$B2, code!$C2), D$6, $B$4, "fill=true, disp=date, dtfmt=1")="", $B$4, _xll.IMDP("IR", CHOOSE(code!$A$1, code!$B2, code!$C2), D$6, $B$4, "fill=true, disp=date, dtfmt=1") )</f>
        <v>45119</v>
      </c>
      <c r="S4" s="33" t="s">
        <v>215</v>
      </c>
      <c r="T4" s="34">
        <f ca="1">B4-90</f>
        <v>45029</v>
      </c>
    </row>
    <row r="5" spans="2:21" ht="3.75" customHeight="1" thickBot="1"/>
    <row r="6" spans="2:21" ht="11.25" hidden="1" customHeight="1" thickBot="1">
      <c r="D6" t="s">
        <v>193</v>
      </c>
      <c r="E6" t="s">
        <v>194</v>
      </c>
      <c r="F6" t="s">
        <v>195</v>
      </c>
      <c r="G6" t="s">
        <v>196</v>
      </c>
      <c r="H6" t="s">
        <v>197</v>
      </c>
      <c r="I6" t="s">
        <v>198</v>
      </c>
      <c r="J6" t="s">
        <v>199</v>
      </c>
      <c r="K6" t="s">
        <v>200</v>
      </c>
      <c r="L6" t="s">
        <v>201</v>
      </c>
      <c r="M6" t="s">
        <v>202</v>
      </c>
      <c r="N6" t="s">
        <v>203</v>
      </c>
    </row>
    <row r="7" spans="2:21" s="30" customFormat="1" ht="20.25" customHeight="1" thickBot="1">
      <c r="B7" s="7" t="s">
        <v>174</v>
      </c>
      <c r="C7" s="7" t="s">
        <v>165</v>
      </c>
      <c r="D7" s="8" t="s">
        <v>182</v>
      </c>
      <c r="E7" s="9" t="s">
        <v>183</v>
      </c>
      <c r="F7" s="9" t="s">
        <v>184</v>
      </c>
      <c r="G7" s="9" t="s">
        <v>185</v>
      </c>
      <c r="H7" s="9" t="s">
        <v>186</v>
      </c>
      <c r="I7" s="9" t="s">
        <v>187</v>
      </c>
      <c r="J7" s="9" t="s">
        <v>188</v>
      </c>
      <c r="K7" s="9" t="s">
        <v>189</v>
      </c>
      <c r="L7" s="9" t="s">
        <v>190</v>
      </c>
      <c r="M7" s="9" t="s">
        <v>191</v>
      </c>
      <c r="N7" s="10" t="s">
        <v>192</v>
      </c>
      <c r="S7"/>
      <c r="T7"/>
      <c r="U7"/>
    </row>
    <row r="8" spans="2:21" s="21" customFormat="1" ht="13.5">
      <c r="B8" s="114" t="str" cm="1">
        <f t="array" ref="B8">INDEX(code!$E$2:$F$9, 1, code!$A$1)</f>
        <v>AAA</v>
      </c>
      <c r="C8" s="17" t="s">
        <v>166</v>
      </c>
      <c r="D8" s="18">
        <f ca="1">_xll.IMDP("IR", CHOOSE(code!$A$1, code!$B2, code!$C2), D$6, $B$4, "fill=true")</f>
        <v>3.5</v>
      </c>
      <c r="E8" s="19">
        <f ca="1">_xll.IMDP("IR", CHOOSE(code!$A$1, code!$B2, code!$C2), E$6, $B$4, "fill=true")</f>
        <v>3.56</v>
      </c>
      <c r="F8" s="19" t="str">
        <f ca="1">IF( _xll.IMDP("IR", CHOOSE(code!$A$1, code!$B2, code!$C2), F$6, $B$4, "fill=true") = 0, "", _xll.IMDP("IR", CHOOSE(code!$A$1, code!$B2, code!$C2), F$6, $B$4, "fill=true") )</f>
        <v/>
      </c>
      <c r="G8" s="19">
        <f ca="1">_xll.IMDP("IR", CHOOSE(code!$A$1, code!$B2, code!$C2), G$6, $B$4, "fill=true")</f>
        <v>3.63</v>
      </c>
      <c r="H8" s="19">
        <f ca="1">_xll.IMDP("IR", CHOOSE(code!$A$1, code!$B2, code!$C2), H$6, $B$4, "fill=true")</f>
        <v>3.69</v>
      </c>
      <c r="I8" s="19">
        <f ca="1">_xll.IMDP("IR", CHOOSE(code!$A$1, code!$B2, code!$C2), I$6, $B$4, "fill=true")</f>
        <v>3.72</v>
      </c>
      <c r="J8" s="19">
        <f ca="1">_xll.IMDP("IR", CHOOSE(code!$A$1, code!$B2, code!$C2), J$6, $B$4, "fill=true")</f>
        <v>3.75</v>
      </c>
      <c r="K8" s="19">
        <f ca="1">_xll.IMDP("IR", CHOOSE(code!$A$1, code!$B2, code!$C2), K$6, $B$4, "fill=true")</f>
        <v>3.76</v>
      </c>
      <c r="L8" s="19">
        <f ca="1">_xll.IMDP("IR", CHOOSE(code!$A$1, code!$B2, code!$C2), L$6, $B$4, "fill=true")</f>
        <v>3.8</v>
      </c>
      <c r="M8" s="19">
        <f ca="1">_xll.IMDP("IR", CHOOSE(code!$A$1, code!$B2, code!$C2), M$6, $B$4, "fill=true")</f>
        <v>3.89</v>
      </c>
      <c r="N8" s="20">
        <f ca="1">_xll.IMDP("IR", CHOOSE(code!$A$1, code!$B2, code!$C2), N$6, $B$4, "fill=true")</f>
        <v>4.34</v>
      </c>
    </row>
    <row r="9" spans="2:21" s="21" customFormat="1" ht="13.5">
      <c r="B9" s="115"/>
      <c r="C9" s="22" t="s">
        <v>167</v>
      </c>
      <c r="D9" s="23">
        <f ca="1">_xll.IMDP("IR", CHOOSE(code!$A$1, code!$B3, code!$C3), D$6, $B$4, "fill=true")</f>
        <v>3.51</v>
      </c>
      <c r="E9" s="24">
        <f ca="1">_xll.IMDP("IR", CHOOSE(code!$A$1, code!$B3, code!$C3), E$6, $B$4, "fill=true")</f>
        <v>3.56</v>
      </c>
      <c r="F9" s="24" t="str">
        <f ca="1">IF( _xll.IMDP("IR", CHOOSE(code!$A$1, code!$B3, code!$C3), F$6, $B$4, "fill=true") = 0, "", _xll.IMDP("IR", CHOOSE(code!$A$1, code!$B3, code!$C3), F$6, $B$4, "fill=true") )</f>
        <v/>
      </c>
      <c r="G9" s="24">
        <f ca="1">_xll.IMDP("IR", CHOOSE(code!$A$1, code!$B3, code!$C3), G$6, $B$4, "fill=true")</f>
        <v>3.63</v>
      </c>
      <c r="H9" s="24">
        <f ca="1">_xll.IMDP("IR", CHOOSE(code!$A$1, code!$B3, code!$C3), H$6, $B$4, "fill=true")</f>
        <v>3.68</v>
      </c>
      <c r="I9" s="24">
        <f ca="1">_xll.IMDP("IR", CHOOSE(code!$A$1, code!$B3, code!$C3), I$6, $B$4, "fill=true")</f>
        <v>3.72</v>
      </c>
      <c r="J9" s="24">
        <f ca="1">_xll.IMDP("IR", CHOOSE(code!$A$1, code!$B3, code!$C3), J$6, $B$4, "fill=true")</f>
        <v>3.75</v>
      </c>
      <c r="K9" s="24">
        <f ca="1">_xll.IMDP("IR", CHOOSE(code!$A$1, code!$B3, code!$C3), K$6, $B$4, "fill=true")</f>
        <v>3.76</v>
      </c>
      <c r="L9" s="24">
        <f ca="1">_xll.IMDP("IR", CHOOSE(code!$A$1, code!$B3, code!$C3), L$6, $B$4, "fill=true")</f>
        <v>3.8</v>
      </c>
      <c r="M9" s="24">
        <f ca="1">_xll.IMDP("IR", CHOOSE(code!$A$1, code!$B3, code!$C3), M$6, $B$4, "fill=true")</f>
        <v>3.89</v>
      </c>
      <c r="N9" s="25">
        <f ca="1">_xll.IMDP("IR", CHOOSE(code!$A$1, code!$B3, code!$C3), N$6, $B$4, "fill=true")</f>
        <v>4.24</v>
      </c>
    </row>
    <row r="10" spans="2:21" s="21" customFormat="1" ht="13.5">
      <c r="B10" s="115"/>
      <c r="C10" s="22" t="s">
        <v>156</v>
      </c>
      <c r="D10" s="23">
        <f ca="1">_xll.IMDP("IR", CHOOSE(code!$A$1, code!$B4, code!$C4), D$6, $B$4, "fill=true")</f>
        <v>3.51</v>
      </c>
      <c r="E10" s="24">
        <f ca="1">_xll.IMDP("IR", CHOOSE(code!$A$1, code!$B4, code!$C4), E$6, $B$4, "fill=true")</f>
        <v>3.57</v>
      </c>
      <c r="F10" s="24" t="str">
        <f ca="1">IF( _xll.IMDP("IR", CHOOSE(code!$A$1, code!$B4, code!$C4), F$6, $B$4, "fill=true") = 0, "", _xll.IMDP("IR", CHOOSE(code!$A$1, code!$B4, code!$C4), F$6, $B$4, "fill=true") )</f>
        <v/>
      </c>
      <c r="G10" s="24">
        <f ca="1">_xll.IMDP("IR", CHOOSE(code!$A$1, code!$B4, code!$C4), G$6, $B$4, "fill=true")</f>
        <v>3.64</v>
      </c>
      <c r="H10" s="24">
        <f ca="1">_xll.IMDP("IR", CHOOSE(code!$A$1, code!$B4, code!$C4), H$6, $B$4, "fill=true")</f>
        <v>3.7</v>
      </c>
      <c r="I10" s="24">
        <f ca="1">_xll.IMDP("IR", CHOOSE(code!$A$1, code!$B4, code!$C4), I$6, $B$4, "fill=true")</f>
        <v>3.73</v>
      </c>
      <c r="J10" s="24">
        <f ca="1">_xll.IMDP("IR", CHOOSE(code!$A$1, code!$B4, code!$C4), J$6, $B$4, "fill=true")</f>
        <v>3.75</v>
      </c>
      <c r="K10" s="24">
        <f ca="1">_xll.IMDP("IR", CHOOSE(code!$A$1, code!$B4, code!$C4), K$6, $B$4, "fill=true")</f>
        <v>3.76</v>
      </c>
      <c r="L10" s="24">
        <f ca="1">_xll.IMDP("IR", CHOOSE(code!$A$1, code!$B4, code!$C4), L$6, $B$4, "fill=true")</f>
        <v>3.8</v>
      </c>
      <c r="M10" s="24">
        <f ca="1">_xll.IMDP("IR", CHOOSE(code!$A$1, code!$B4, code!$C4), M$6, $B$4, "fill=true")</f>
        <v>3.89</v>
      </c>
      <c r="N10" s="25">
        <f ca="1">_xll.IMDP("IR", CHOOSE(code!$A$1, code!$B4, code!$C4), N$6, $B$4, "fill=true")</f>
        <v>4.74</v>
      </c>
    </row>
    <row r="11" spans="2:21" s="21" customFormat="1" ht="13.5">
      <c r="B11" s="115"/>
      <c r="C11" s="22" t="s">
        <v>158</v>
      </c>
      <c r="D11" s="23">
        <f ca="1">_xll.IMDP("IR", CHOOSE(code!$A$1, code!$B5, code!$C5), D$6, $B$4, "fill=true")</f>
        <v>3.51</v>
      </c>
      <c r="E11" s="24">
        <f ca="1">_xll.IMDP("IR", CHOOSE(code!$A$1, code!$B5, code!$C5), E$6, $B$4, "fill=true")</f>
        <v>3.56</v>
      </c>
      <c r="F11" s="24" t="str">
        <f ca="1">IF( _xll.IMDP("IR", CHOOSE(code!$A$1, code!$B5, code!$C5), F$6, $B$4, "fill=true") = 0, "", _xll.IMDP("IR", CHOOSE(code!$A$1, code!$B5, code!$C5), F$6, $B$4, "fill=true") )</f>
        <v/>
      </c>
      <c r="G11" s="24">
        <f ca="1">_xll.IMDP("IR", CHOOSE(code!$A$1, code!$B5, code!$C5), G$6, $B$4, "fill=true")</f>
        <v>3.63</v>
      </c>
      <c r="H11" s="24">
        <f ca="1">_xll.IMDP("IR", CHOOSE(code!$A$1, code!$B5, code!$C5), H$6, $B$4, "fill=true")</f>
        <v>3.69</v>
      </c>
      <c r="I11" s="24">
        <f ca="1">_xll.IMDP("IR", CHOOSE(code!$A$1, code!$B5, code!$C5), I$6, $B$4, "fill=true")</f>
        <v>3.72</v>
      </c>
      <c r="J11" s="24">
        <f ca="1">_xll.IMDP("IR", CHOOSE(code!$A$1, code!$B5, code!$C5), J$6, $B$4, "fill=true")</f>
        <v>3.75</v>
      </c>
      <c r="K11" s="24">
        <f ca="1">_xll.IMDP("IR", CHOOSE(code!$A$1, code!$B5, code!$C5), K$6, $B$4, "fill=true")</f>
        <v>3.76</v>
      </c>
      <c r="L11" s="24">
        <f ca="1">_xll.IMDP("IR", CHOOSE(code!$A$1, code!$B5, code!$C5), L$6, $B$4, "fill=true")</f>
        <v>3.8</v>
      </c>
      <c r="M11" s="24">
        <f ca="1">_xll.IMDP("IR", CHOOSE(code!$A$1, code!$B5, code!$C5), M$6, $B$4, "fill=true")</f>
        <v>3.89</v>
      </c>
      <c r="N11" s="25">
        <f ca="1">_xll.IMDP("IR", CHOOSE(code!$A$1, code!$B5, code!$C5), N$6, $B$4, "fill=true")</f>
        <v>4.21</v>
      </c>
    </row>
    <row r="12" spans="2:21" s="21" customFormat="1" ht="13.5">
      <c r="B12" s="115"/>
      <c r="C12" s="22" t="s">
        <v>160</v>
      </c>
      <c r="D12" s="23">
        <f ca="1">_xll.IMDP("IR", CHOOSE(code!$A$1, code!$B6, code!$C6), D$6, $B$4, "fill=true")</f>
        <v>3.5</v>
      </c>
      <c r="E12" s="24">
        <f ca="1">_xll.IMDP("IR", CHOOSE(code!$A$1, code!$B6, code!$C6), E$6, $B$4, "fill=true")</f>
        <v>3.56</v>
      </c>
      <c r="F12" s="24" t="str">
        <f ca="1">IF( _xll.IMDP("IR", CHOOSE(code!$A$1, code!$B6, code!$C6), F$6, $B$4, "fill=true") = 0, "", _xll.IMDP("IR", CHOOSE(code!$A$1, code!$B6, code!$C6), F$6, $B$4, "fill=true") )</f>
        <v/>
      </c>
      <c r="G12" s="24">
        <f ca="1">_xll.IMDP("IR", CHOOSE(code!$A$1, code!$B6, code!$C6), G$6, $B$4, "fill=true")</f>
        <v>3.63</v>
      </c>
      <c r="H12" s="24">
        <f ca="1">_xll.IMDP("IR", CHOOSE(code!$A$1, code!$B6, code!$C6), H$6, $B$4, "fill=true")</f>
        <v>3.7</v>
      </c>
      <c r="I12" s="24">
        <f ca="1">_xll.IMDP("IR", CHOOSE(code!$A$1, code!$B6, code!$C6), I$6, $B$4, "fill=true")</f>
        <v>3.72</v>
      </c>
      <c r="J12" s="24">
        <f ca="1">_xll.IMDP("IR", CHOOSE(code!$A$1, code!$B6, code!$C6), J$6, $B$4, "fill=true")</f>
        <v>3.75</v>
      </c>
      <c r="K12" s="24">
        <f ca="1">_xll.IMDP("IR", CHOOSE(code!$A$1, code!$B6, code!$C6), K$6, $B$4, "fill=true")</f>
        <v>3.77</v>
      </c>
      <c r="L12" s="24">
        <f ca="1">_xll.IMDP("IR", CHOOSE(code!$A$1, code!$B6, code!$C6), L$6, $B$4, "fill=true")</f>
        <v>3.8</v>
      </c>
      <c r="M12" s="24">
        <f ca="1">_xll.IMDP("IR", CHOOSE(code!$A$1, code!$B6, code!$C6), M$6, $B$4, "fill=true")</f>
        <v>3.89</v>
      </c>
      <c r="N12" s="25">
        <f ca="1">_xll.IMDP("IR", CHOOSE(code!$A$1, code!$B6, code!$C6), N$6, $B$4, "fill=true")</f>
        <v>4.07</v>
      </c>
    </row>
    <row r="13" spans="2:21" s="21" customFormat="1" ht="14.25" thickBot="1">
      <c r="B13" s="116"/>
      <c r="C13" s="26" t="s">
        <v>162</v>
      </c>
      <c r="D13" s="27">
        <f ca="1">_xll.IMDP("IR", CHOOSE(code!$A$1, code!$B7, code!$C7), D$6, $B$4, "fill=true")</f>
        <v>3.53</v>
      </c>
      <c r="E13" s="28">
        <f ca="1">_xll.IMDP("IR", CHOOSE(code!$A$1, code!$B7, code!$C7), E$6, $B$4, "fill=true")</f>
        <v>3.57</v>
      </c>
      <c r="F13" s="28" t="str">
        <f ca="1">IF( _xll.IMDP("IR", CHOOSE(code!$A$1, code!$B7, code!$C7), F$6, $B$4, "fill=true") = 0, "", _xll.IMDP("IR", CHOOSE(code!$A$1, code!$B7, code!$C7), F$6, $B$4, "fill=true") )</f>
        <v/>
      </c>
      <c r="G13" s="28">
        <f ca="1">_xll.IMDP("IR", CHOOSE(code!$A$1, code!$B7, code!$C7), G$6, $B$4, "fill=true")</f>
        <v>3.63</v>
      </c>
      <c r="H13" s="28">
        <f ca="1">_xll.IMDP("IR", CHOOSE(code!$A$1, code!$B7, code!$C7), H$6, $B$4, "fill=true")</f>
        <v>3.66</v>
      </c>
      <c r="I13" s="28">
        <f ca="1">_xll.IMDP("IR", CHOOSE(code!$A$1, code!$B7, code!$C7), I$6, $B$4, "fill=true")</f>
        <v>3.71</v>
      </c>
      <c r="J13" s="28">
        <f ca="1">_xll.IMDP("IR", CHOOSE(code!$A$1, code!$B7, code!$C7), J$6, $B$4, "fill=true")</f>
        <v>3.75</v>
      </c>
      <c r="K13" s="28">
        <f ca="1">_xll.IMDP("IR", CHOOSE(code!$A$1, code!$B7, code!$C7), K$6, $B$4, "fill=true")</f>
        <v>3.76</v>
      </c>
      <c r="L13" s="28">
        <f ca="1">_xll.IMDP("IR", CHOOSE(code!$A$1, code!$B7, code!$C7), L$6, $B$4, "fill=true")</f>
        <v>3.8</v>
      </c>
      <c r="M13" s="28">
        <f ca="1">_xll.IMDP("IR", CHOOSE(code!$A$1, code!$B7, code!$C7), M$6, $B$4, "fill=true")</f>
        <v>3.89</v>
      </c>
      <c r="N13" s="29">
        <f ca="1">_xll.IMDP("IR", CHOOSE(code!$A$1, code!$B7, code!$C7), N$6, $B$4, "fill=true")</f>
        <v>3.95</v>
      </c>
    </row>
    <row r="14" spans="2:21" s="21" customFormat="1" ht="13.5">
      <c r="B14" s="114" t="str" cm="1">
        <f t="array" ref="B14">INDEX(code!$E$2:$F$9, 2, code!$A$1)</f>
        <v>AA+</v>
      </c>
      <c r="C14" s="17" t="str">
        <f>$C$8</f>
        <v>3사 평균</v>
      </c>
      <c r="D14" s="18">
        <f ca="1">_xll.IMDP("IR", CHOOSE(code!$A$1, code!$B8, code!$C8), D$6, $B$4, "fill=true")</f>
        <v>3.54</v>
      </c>
      <c r="E14" s="19">
        <f ca="1">_xll.IMDP("IR", CHOOSE(code!$A$1, code!$B8, code!$C8), E$6, $B$4, "fill=true")</f>
        <v>3.59</v>
      </c>
      <c r="F14" s="19" t="str">
        <f ca="1">IF( _xll.IMDP("IR", CHOOSE(code!$A$1, code!$B8, code!$C8), F$6, $B$4, "fill=true") = 0, "", _xll.IMDP("IR", CHOOSE(code!$A$1, code!$B8, code!$C8), F$6, $B$4, "fill=true") )</f>
        <v/>
      </c>
      <c r="G14" s="19">
        <f ca="1">_xll.IMDP("IR", CHOOSE(code!$A$1, code!$B8, code!$C8), G$6, $B$4, "fill=true")</f>
        <v>3.66</v>
      </c>
      <c r="H14" s="19">
        <f ca="1">_xll.IMDP("IR", CHOOSE(code!$A$1, code!$B8, code!$C8), H$6, $B$4, "fill=true")</f>
        <v>3.71</v>
      </c>
      <c r="I14" s="19">
        <f ca="1">_xll.IMDP("IR", CHOOSE(code!$A$1, code!$B8, code!$C8), I$6, $B$4, "fill=true")</f>
        <v>3.74</v>
      </c>
      <c r="J14" s="19">
        <f ca="1">_xll.IMDP("IR", CHOOSE(code!$A$1, code!$B8, code!$C8), J$6, $B$4, "fill=true")</f>
        <v>3.77</v>
      </c>
      <c r="K14" s="19">
        <f ca="1">_xll.IMDP("IR", CHOOSE(code!$A$1, code!$B8, code!$C8), K$6, $B$4, "fill=true")</f>
        <v>3.8</v>
      </c>
      <c r="L14" s="19">
        <f ca="1">_xll.IMDP("IR", CHOOSE(code!$A$1, code!$B8, code!$C8), L$6, $B$4, "fill=true")</f>
        <v>3.87</v>
      </c>
      <c r="M14" s="19">
        <f ca="1">_xll.IMDP("IR", CHOOSE(code!$A$1, code!$B8, code!$C8), M$6, $B$4, "fill=true")</f>
        <v>4</v>
      </c>
      <c r="N14" s="20">
        <f ca="1">_xll.IMDP("IR", CHOOSE(code!$A$1, code!$B8, code!$C8), N$6, $B$4, "fill=true")</f>
        <v>4.47</v>
      </c>
    </row>
    <row r="15" spans="2:21" s="21" customFormat="1" ht="13.5">
      <c r="B15" s="115"/>
      <c r="C15" s="22" t="str">
        <f>$C$9</f>
        <v>4사 평균</v>
      </c>
      <c r="D15" s="23">
        <f ca="1">_xll.IMDP("IR", CHOOSE(code!$A$1, code!$B9, code!$C9), D$6, $B$4, "fill=true")</f>
        <v>3.54</v>
      </c>
      <c r="E15" s="24">
        <f ca="1">_xll.IMDP("IR", CHOOSE(code!$A$1, code!$B9, code!$C9), E$6, $B$4, "fill=true")</f>
        <v>3.59</v>
      </c>
      <c r="F15" s="24" t="str">
        <f ca="1">IF( _xll.IMDP("IR", CHOOSE(code!$A$1, code!$B9, code!$C9), F$6, $B$4, "fill=true") = 0, "", _xll.IMDP("IR", CHOOSE(code!$A$1, code!$B9, code!$C9), F$6, $B$4, "fill=true") )</f>
        <v/>
      </c>
      <c r="G15" s="24">
        <f ca="1">_xll.IMDP("IR", CHOOSE(code!$A$1, code!$B9, code!$C9), G$6, $B$4, "fill=true")</f>
        <v>3.66</v>
      </c>
      <c r="H15" s="24">
        <f ca="1">_xll.IMDP("IR", CHOOSE(code!$A$1, code!$B9, code!$C9), H$6, $B$4, "fill=true")</f>
        <v>3.71</v>
      </c>
      <c r="I15" s="24">
        <f ca="1">_xll.IMDP("IR", CHOOSE(code!$A$1, code!$B9, code!$C9), I$6, $B$4, "fill=true")</f>
        <v>3.74</v>
      </c>
      <c r="J15" s="24">
        <f ca="1">_xll.IMDP("IR", CHOOSE(code!$A$1, code!$B9, code!$C9), J$6, $B$4, "fill=true")</f>
        <v>3.77</v>
      </c>
      <c r="K15" s="24">
        <f ca="1">_xll.IMDP("IR", CHOOSE(code!$A$1, code!$B9, code!$C9), K$6, $B$4, "fill=true")</f>
        <v>3.8</v>
      </c>
      <c r="L15" s="24">
        <f ca="1">_xll.IMDP("IR", CHOOSE(code!$A$1, code!$B9, code!$C9), L$6, $B$4, "fill=true")</f>
        <v>3.86</v>
      </c>
      <c r="M15" s="24">
        <f ca="1">_xll.IMDP("IR", CHOOSE(code!$A$1, code!$B9, code!$C9), M$6, $B$4, "fill=true")</f>
        <v>3.99</v>
      </c>
      <c r="N15" s="25">
        <f ca="1">_xll.IMDP("IR", CHOOSE(code!$A$1, code!$B9, code!$C9), N$6, $B$4, "fill=true")</f>
        <v>4.37</v>
      </c>
    </row>
    <row r="16" spans="2:21" s="21" customFormat="1" ht="13.5">
      <c r="B16" s="115"/>
      <c r="C16" s="22" t="str">
        <f>$C$10</f>
        <v>KAP</v>
      </c>
      <c r="D16" s="23">
        <f ca="1">_xll.IMDP("IR", CHOOSE(code!$A$1, code!$B10, code!$C10), D$6, $B$4, "fill=true")</f>
        <v>3.55</v>
      </c>
      <c r="E16" s="24">
        <f ca="1">_xll.IMDP("IR", CHOOSE(code!$A$1, code!$B10, code!$C10), E$6, $B$4, "fill=true")</f>
        <v>3.61</v>
      </c>
      <c r="F16" s="24" t="str">
        <f ca="1">IF( _xll.IMDP("IR", CHOOSE(code!$A$1, code!$B10, code!$C10), F$6, $B$4, "fill=true") = 0, "", _xll.IMDP("IR", CHOOSE(code!$A$1, code!$B10, code!$C10), F$6, $B$4, "fill=true") )</f>
        <v/>
      </c>
      <c r="G16" s="24">
        <f ca="1">_xll.IMDP("IR", CHOOSE(code!$A$1, code!$B10, code!$C10), G$6, $B$4, "fill=true")</f>
        <v>3.68</v>
      </c>
      <c r="H16" s="24">
        <f ca="1">_xll.IMDP("IR", CHOOSE(code!$A$1, code!$B10, code!$C10), H$6, $B$4, "fill=true")</f>
        <v>3.72</v>
      </c>
      <c r="I16" s="24">
        <f ca="1">_xll.IMDP("IR", CHOOSE(code!$A$1, code!$B10, code!$C10), I$6, $B$4, "fill=true")</f>
        <v>3.75</v>
      </c>
      <c r="J16" s="24">
        <f ca="1">_xll.IMDP("IR", CHOOSE(code!$A$1, code!$B10, code!$C10), J$6, $B$4, "fill=true")</f>
        <v>3.77</v>
      </c>
      <c r="K16" s="24">
        <f ca="1">_xll.IMDP("IR", CHOOSE(code!$A$1, code!$B10, code!$C10), K$6, $B$4, "fill=true")</f>
        <v>3.79</v>
      </c>
      <c r="L16" s="24">
        <f ca="1">_xll.IMDP("IR", CHOOSE(code!$A$1, code!$B10, code!$C10), L$6, $B$4, "fill=true")</f>
        <v>3.86</v>
      </c>
      <c r="M16" s="24">
        <f ca="1">_xll.IMDP("IR", CHOOSE(code!$A$1, code!$B10, code!$C10), M$6, $B$4, "fill=true")</f>
        <v>3.99</v>
      </c>
      <c r="N16" s="25">
        <f ca="1">_xll.IMDP("IR", CHOOSE(code!$A$1, code!$B10, code!$C10), N$6, $B$4, "fill=true")</f>
        <v>4.8499999999999996</v>
      </c>
    </row>
    <row r="17" spans="2:14" s="21" customFormat="1" ht="13.5">
      <c r="B17" s="115"/>
      <c r="C17" s="22" t="str">
        <f>$C$11</f>
        <v>KIS</v>
      </c>
      <c r="D17" s="23">
        <f ca="1">_xll.IMDP("IR", CHOOSE(code!$A$1, code!$B11, code!$C11), D$6, $B$4, "fill=true")</f>
        <v>3.54</v>
      </c>
      <c r="E17" s="24">
        <f ca="1">_xll.IMDP("IR", CHOOSE(code!$A$1, code!$B11, code!$C11), E$6, $B$4, "fill=true")</f>
        <v>3.59</v>
      </c>
      <c r="F17" s="24" t="str">
        <f ca="1">IF( _xll.IMDP("IR", CHOOSE(code!$A$1, code!$B11, code!$C11), F$6, $B$4, "fill=true") = 0, "", _xll.IMDP("IR", CHOOSE(code!$A$1, code!$B11, code!$C11), F$6, $B$4, "fill=true") )</f>
        <v/>
      </c>
      <c r="G17" s="24">
        <f ca="1">_xll.IMDP("IR", CHOOSE(code!$A$1, code!$B11, code!$C11), G$6, $B$4, "fill=true")</f>
        <v>3.65</v>
      </c>
      <c r="H17" s="24">
        <f ca="1">_xll.IMDP("IR", CHOOSE(code!$A$1, code!$B11, code!$C11), H$6, $B$4, "fill=true")</f>
        <v>3.71</v>
      </c>
      <c r="I17" s="24">
        <f ca="1">_xll.IMDP("IR", CHOOSE(code!$A$1, code!$B11, code!$C11), I$6, $B$4, "fill=true")</f>
        <v>3.73</v>
      </c>
      <c r="J17" s="24">
        <f ca="1">_xll.IMDP("IR", CHOOSE(code!$A$1, code!$B11, code!$C11), J$6, $B$4, "fill=true")</f>
        <v>3.77</v>
      </c>
      <c r="K17" s="24">
        <f ca="1">_xll.IMDP("IR", CHOOSE(code!$A$1, code!$B11, code!$C11), K$6, $B$4, "fill=true")</f>
        <v>3.82</v>
      </c>
      <c r="L17" s="24">
        <f ca="1">_xll.IMDP("IR", CHOOSE(code!$A$1, code!$B11, code!$C11), L$6, $B$4, "fill=true")</f>
        <v>3.88</v>
      </c>
      <c r="M17" s="24">
        <f ca="1">_xll.IMDP("IR", CHOOSE(code!$A$1, code!$B11, code!$C11), M$6, $B$4, "fill=true")</f>
        <v>4</v>
      </c>
      <c r="N17" s="25">
        <f ca="1">_xll.IMDP("IR", CHOOSE(code!$A$1, code!$B11, code!$C11), N$6, $B$4, "fill=true")</f>
        <v>4.37</v>
      </c>
    </row>
    <row r="18" spans="2:14" s="21" customFormat="1" ht="13.5">
      <c r="B18" s="115"/>
      <c r="C18" s="22" t="str">
        <f>$C$12</f>
        <v>NICE</v>
      </c>
      <c r="D18" s="23">
        <f ca="1">_xll.IMDP("IR", CHOOSE(code!$A$1, code!$B12, code!$C12), D$6, $B$4, "fill=true")</f>
        <v>3.53</v>
      </c>
      <c r="E18" s="24">
        <f ca="1">_xll.IMDP("IR", CHOOSE(code!$A$1, code!$B12, code!$C12), E$6, $B$4, "fill=true")</f>
        <v>3.59</v>
      </c>
      <c r="F18" s="24" t="str">
        <f ca="1">IF( _xll.IMDP("IR", CHOOSE(code!$A$1, code!$B12, code!$C12), F$6, $B$4, "fill=true") = 0, "", _xll.IMDP("IR", CHOOSE(code!$A$1, code!$B12, code!$C12), F$6, $B$4, "fill=true") )</f>
        <v/>
      </c>
      <c r="G18" s="24">
        <f ca="1">_xll.IMDP("IR", CHOOSE(code!$A$1, code!$B12, code!$C12), G$6, $B$4, "fill=true")</f>
        <v>3.65</v>
      </c>
      <c r="H18" s="24">
        <f ca="1">_xll.IMDP("IR", CHOOSE(code!$A$1, code!$B12, code!$C12), H$6, $B$4, "fill=true")</f>
        <v>3.71</v>
      </c>
      <c r="I18" s="24">
        <f ca="1">_xll.IMDP("IR", CHOOSE(code!$A$1, code!$B12, code!$C12), I$6, $B$4, "fill=true")</f>
        <v>3.74</v>
      </c>
      <c r="J18" s="24">
        <f ca="1">_xll.IMDP("IR", CHOOSE(code!$A$1, code!$B12, code!$C12), J$6, $B$4, "fill=true")</f>
        <v>3.77</v>
      </c>
      <c r="K18" s="24">
        <f ca="1">_xll.IMDP("IR", CHOOSE(code!$A$1, code!$B12, code!$C12), K$6, $B$4, "fill=true")</f>
        <v>3.8</v>
      </c>
      <c r="L18" s="24">
        <f ca="1">_xll.IMDP("IR", CHOOSE(code!$A$1, code!$B12, code!$C12), L$6, $B$4, "fill=true")</f>
        <v>3.87</v>
      </c>
      <c r="M18" s="24">
        <f ca="1">_xll.IMDP("IR", CHOOSE(code!$A$1, code!$B12, code!$C12), M$6, $B$4, "fill=true")</f>
        <v>4.01</v>
      </c>
      <c r="N18" s="25">
        <f ca="1">_xll.IMDP("IR", CHOOSE(code!$A$1, code!$B12, code!$C12), N$6, $B$4, "fill=true")</f>
        <v>4.1900000000000004</v>
      </c>
    </row>
    <row r="19" spans="2:14" s="21" customFormat="1" ht="14.25" thickBot="1">
      <c r="B19" s="116"/>
      <c r="C19" s="26" t="str">
        <f>$C$13</f>
        <v>FN</v>
      </c>
      <c r="D19" s="27">
        <f ca="1">_xll.IMDP("IR", CHOOSE(code!$A$1, code!$B13, code!$C13), D$6, $B$4, "fill=true")</f>
        <v>3.56</v>
      </c>
      <c r="E19" s="28">
        <f ca="1">_xll.IMDP("IR", CHOOSE(code!$A$1, code!$B13, code!$C13), E$6, $B$4, "fill=true")</f>
        <v>3.6</v>
      </c>
      <c r="F19" s="28" t="str">
        <f ca="1">IF( _xll.IMDP("IR", CHOOSE(code!$A$1, code!$B13, code!$C13), F$6, $B$4, "fill=true") = 0, "", _xll.IMDP("IR", CHOOSE(code!$A$1, code!$B13, code!$C13), F$6, $B$4, "fill=true") )</f>
        <v/>
      </c>
      <c r="G19" s="28">
        <f ca="1">_xll.IMDP("IR", CHOOSE(code!$A$1, code!$B13, code!$C13), G$6, $B$4, "fill=true")</f>
        <v>3.66</v>
      </c>
      <c r="H19" s="28">
        <f ca="1">_xll.IMDP("IR", CHOOSE(code!$A$1, code!$B13, code!$C13), H$6, $B$4, "fill=true")</f>
        <v>3.7</v>
      </c>
      <c r="I19" s="28">
        <f ca="1">_xll.IMDP("IR", CHOOSE(code!$A$1, code!$B13, code!$C13), I$6, $B$4, "fill=true")</f>
        <v>3.74</v>
      </c>
      <c r="J19" s="28">
        <f ca="1">_xll.IMDP("IR", CHOOSE(code!$A$1, code!$B13, code!$C13), J$6, $B$4, "fill=true")</f>
        <v>3.77</v>
      </c>
      <c r="K19" s="28">
        <f ca="1">_xll.IMDP("IR", CHOOSE(code!$A$1, code!$B13, code!$C13), K$6, $B$4, "fill=true")</f>
        <v>3.79</v>
      </c>
      <c r="L19" s="28">
        <f ca="1">_xll.IMDP("IR", CHOOSE(code!$A$1, code!$B13, code!$C13), L$6, $B$4, "fill=true")</f>
        <v>3.86</v>
      </c>
      <c r="M19" s="28">
        <f ca="1">_xll.IMDP("IR", CHOOSE(code!$A$1, code!$B13, code!$C13), M$6, $B$4, "fill=true")</f>
        <v>3.99</v>
      </c>
      <c r="N19" s="29">
        <f ca="1">_xll.IMDP("IR", CHOOSE(code!$A$1, code!$B13, code!$C13), N$6, $B$4, "fill=true")</f>
        <v>4.07</v>
      </c>
    </row>
    <row r="20" spans="2:14" s="21" customFormat="1" ht="13.5">
      <c r="B20" s="114" t="str" cm="1">
        <f t="array" ref="B20">INDEX(code!$E$2:$F$9, 3, code!$A$1)</f>
        <v>AA</v>
      </c>
      <c r="C20" s="17" t="str">
        <f>$C$8</f>
        <v>3사 평균</v>
      </c>
      <c r="D20" s="18">
        <f ca="1">_xll.IMDP("IR", CHOOSE(code!$A$1, code!$B14, code!$C14), D$6, $B$4, "fill=true")</f>
        <v>3.57</v>
      </c>
      <c r="E20" s="19">
        <f ca="1">_xll.IMDP("IR", CHOOSE(code!$A$1, code!$B14, code!$C14), E$6, $B$4, "fill=true")</f>
        <v>3.64</v>
      </c>
      <c r="F20" s="19" t="str">
        <f ca="1">IF( _xll.IMDP("IR", CHOOSE(code!$A$1, code!$B14, code!$C14), F$6, $B$4, "fill=true") = 0, "", _xll.IMDP("IR", CHOOSE(code!$A$1, code!$B14, code!$C14), F$6, $B$4, "fill=true") )</f>
        <v/>
      </c>
      <c r="G20" s="19">
        <f ca="1">_xll.IMDP("IR", CHOOSE(code!$A$1, code!$B14, code!$C14), G$6, $B$4, "fill=true")</f>
        <v>3.71</v>
      </c>
      <c r="H20" s="19">
        <f ca="1">_xll.IMDP("IR", CHOOSE(code!$A$1, code!$B14, code!$C14), H$6, $B$4, "fill=true")</f>
        <v>3.77</v>
      </c>
      <c r="I20" s="19">
        <f ca="1">_xll.IMDP("IR", CHOOSE(code!$A$1, code!$B14, code!$C14), I$6, $B$4, "fill=true")</f>
        <v>3.81</v>
      </c>
      <c r="J20" s="19">
        <f ca="1">_xll.IMDP("IR", CHOOSE(code!$A$1, code!$B14, code!$C14), J$6, $B$4, "fill=true")</f>
        <v>3.86</v>
      </c>
      <c r="K20" s="19">
        <f ca="1">_xll.IMDP("IR", CHOOSE(code!$A$1, code!$B14, code!$C14), K$6, $B$4, "fill=true")</f>
        <v>3.9</v>
      </c>
      <c r="L20" s="19">
        <f ca="1">_xll.IMDP("IR", CHOOSE(code!$A$1, code!$B14, code!$C14), L$6, $B$4, "fill=true")</f>
        <v>4</v>
      </c>
      <c r="M20" s="19">
        <f ca="1">_xll.IMDP("IR", CHOOSE(code!$A$1, code!$B14, code!$C14), M$6, $B$4, "fill=true")</f>
        <v>4.18</v>
      </c>
      <c r="N20" s="20">
        <f ca="1">_xll.IMDP("IR", CHOOSE(code!$A$1, code!$B14, code!$C14), N$6, $B$4, "fill=true")</f>
        <v>4.66</v>
      </c>
    </row>
    <row r="21" spans="2:14" s="21" customFormat="1" ht="13.5">
      <c r="B21" s="115"/>
      <c r="C21" s="22" t="str">
        <f>$C$9</f>
        <v>4사 평균</v>
      </c>
      <c r="D21" s="23">
        <f ca="1">_xll.IMDP("IR", CHOOSE(code!$A$1, code!$B15, code!$C15), D$6, $B$4, "fill=true")</f>
        <v>3.59</v>
      </c>
      <c r="E21" s="24">
        <f ca="1">_xll.IMDP("IR", CHOOSE(code!$A$1, code!$B15, code!$C15), E$6, $B$4, "fill=true")</f>
        <v>3.65</v>
      </c>
      <c r="F21" s="24" t="str">
        <f ca="1">IF( _xll.IMDP("IR", CHOOSE(code!$A$1, code!$B15, code!$C15), F$6, $B$4, "fill=true") = 0, "", _xll.IMDP("IR", CHOOSE(code!$A$1, code!$B15, code!$C15), F$6, $B$4, "fill=true") )</f>
        <v/>
      </c>
      <c r="G21" s="24">
        <f ca="1">_xll.IMDP("IR", CHOOSE(code!$A$1, code!$B15, code!$C15), G$6, $B$4, "fill=true")</f>
        <v>3.72</v>
      </c>
      <c r="H21" s="24">
        <f ca="1">_xll.IMDP("IR", CHOOSE(code!$A$1, code!$B15, code!$C15), H$6, $B$4, "fill=true")</f>
        <v>3.77</v>
      </c>
      <c r="I21" s="24">
        <f ca="1">_xll.IMDP("IR", CHOOSE(code!$A$1, code!$B15, code!$C15), I$6, $B$4, "fill=true")</f>
        <v>3.82</v>
      </c>
      <c r="J21" s="24">
        <f ca="1">_xll.IMDP("IR", CHOOSE(code!$A$1, code!$B15, code!$C15), J$6, $B$4, "fill=true")</f>
        <v>3.86</v>
      </c>
      <c r="K21" s="24">
        <f ca="1">_xll.IMDP("IR", CHOOSE(code!$A$1, code!$B15, code!$C15), K$6, $B$4, "fill=true")</f>
        <v>3.89</v>
      </c>
      <c r="L21" s="24">
        <f ca="1">_xll.IMDP("IR", CHOOSE(code!$A$1, code!$B15, code!$C15), L$6, $B$4, "fill=true")</f>
        <v>4.0199999999999996</v>
      </c>
      <c r="M21" s="24">
        <f ca="1">_xll.IMDP("IR", CHOOSE(code!$A$1, code!$B15, code!$C15), M$6, $B$4, "fill=true")</f>
        <v>4.1900000000000004</v>
      </c>
      <c r="N21" s="25">
        <f ca="1">_xll.IMDP("IR", CHOOSE(code!$A$1, code!$B15, code!$C15), N$6, $B$4, "fill=true")</f>
        <v>4.57</v>
      </c>
    </row>
    <row r="22" spans="2:14" s="21" customFormat="1" ht="13.5">
      <c r="B22" s="115"/>
      <c r="C22" s="22" t="str">
        <f>$C$10</f>
        <v>KAP</v>
      </c>
      <c r="D22" s="23">
        <f ca="1">_xll.IMDP("IR", CHOOSE(code!$A$1, code!$B16, code!$C16), D$6, $B$4, "fill=true")</f>
        <v>3.59</v>
      </c>
      <c r="E22" s="24">
        <f ca="1">_xll.IMDP("IR", CHOOSE(code!$A$1, code!$B16, code!$C16), E$6, $B$4, "fill=true")</f>
        <v>3.65</v>
      </c>
      <c r="F22" s="24" t="str">
        <f ca="1">IF( _xll.IMDP("IR", CHOOSE(code!$A$1, code!$B16, code!$C16), F$6, $B$4, "fill=true") = 0, "", _xll.IMDP("IR", CHOOSE(code!$A$1, code!$B16, code!$C16), F$6, $B$4, "fill=true") )</f>
        <v/>
      </c>
      <c r="G22" s="24">
        <f ca="1">_xll.IMDP("IR", CHOOSE(code!$A$1, code!$B16, code!$C16), G$6, $B$4, "fill=true")</f>
        <v>3.72</v>
      </c>
      <c r="H22" s="24">
        <f ca="1">_xll.IMDP("IR", CHOOSE(code!$A$1, code!$B16, code!$C16), H$6, $B$4, "fill=true")</f>
        <v>3.76</v>
      </c>
      <c r="I22" s="24">
        <f ca="1">_xll.IMDP("IR", CHOOSE(code!$A$1, code!$B16, code!$C16), I$6, $B$4, "fill=true")</f>
        <v>3.82</v>
      </c>
      <c r="J22" s="24">
        <f ca="1">_xll.IMDP("IR", CHOOSE(code!$A$1, code!$B16, code!$C16), J$6, $B$4, "fill=true")</f>
        <v>3.86</v>
      </c>
      <c r="K22" s="24">
        <f ca="1">_xll.IMDP("IR", CHOOSE(code!$A$1, code!$B16, code!$C16), K$6, $B$4, "fill=true")</f>
        <v>3.87</v>
      </c>
      <c r="L22" s="24">
        <f ca="1">_xll.IMDP("IR", CHOOSE(code!$A$1, code!$B16, code!$C16), L$6, $B$4, "fill=true")</f>
        <v>3.98</v>
      </c>
      <c r="M22" s="24">
        <f ca="1">_xll.IMDP("IR", CHOOSE(code!$A$1, code!$B16, code!$C16), M$6, $B$4, "fill=true")</f>
        <v>4.1399999999999997</v>
      </c>
      <c r="N22" s="25">
        <f ca="1">_xll.IMDP("IR", CHOOSE(code!$A$1, code!$B16, code!$C16), N$6, $B$4, "fill=true")</f>
        <v>5.03</v>
      </c>
    </row>
    <row r="23" spans="2:14" s="21" customFormat="1" ht="13.5">
      <c r="B23" s="115"/>
      <c r="C23" s="22" t="str">
        <f>$C$11</f>
        <v>KIS</v>
      </c>
      <c r="D23" s="23">
        <f ca="1">_xll.IMDP("IR", CHOOSE(code!$A$1, code!$B17, code!$C17), D$6, $B$4, "fill=true")</f>
        <v>3.56</v>
      </c>
      <c r="E23" s="24">
        <f ca="1">_xll.IMDP("IR", CHOOSE(code!$A$1, code!$B17, code!$C17), E$6, $B$4, "fill=true")</f>
        <v>3.65</v>
      </c>
      <c r="F23" s="24" t="str">
        <f ca="1">IF( _xll.IMDP("IR", CHOOSE(code!$A$1, code!$B17, code!$C17), F$6, $B$4, "fill=true") = 0, "", _xll.IMDP("IR", CHOOSE(code!$A$1, code!$B17, code!$C17), F$6, $B$4, "fill=true") )</f>
        <v/>
      </c>
      <c r="G23" s="24">
        <f ca="1">_xll.IMDP("IR", CHOOSE(code!$A$1, code!$B17, code!$C17), G$6, $B$4, "fill=true")</f>
        <v>3.72</v>
      </c>
      <c r="H23" s="24">
        <f ca="1">_xll.IMDP("IR", CHOOSE(code!$A$1, code!$B17, code!$C17), H$6, $B$4, "fill=true")</f>
        <v>3.78</v>
      </c>
      <c r="I23" s="24">
        <f ca="1">_xll.IMDP("IR", CHOOSE(code!$A$1, code!$B17, code!$C17), I$6, $B$4, "fill=true")</f>
        <v>3.81</v>
      </c>
      <c r="J23" s="24">
        <f ca="1">_xll.IMDP("IR", CHOOSE(code!$A$1, code!$B17, code!$C17), J$6, $B$4, "fill=true")</f>
        <v>3.86</v>
      </c>
      <c r="K23" s="24">
        <f ca="1">_xll.IMDP("IR", CHOOSE(code!$A$1, code!$B17, code!$C17), K$6, $B$4, "fill=true")</f>
        <v>3.91</v>
      </c>
      <c r="L23" s="24">
        <f ca="1">_xll.IMDP("IR", CHOOSE(code!$A$1, code!$B17, code!$C17), L$6, $B$4, "fill=true")</f>
        <v>4.01</v>
      </c>
      <c r="M23" s="24">
        <f ca="1">_xll.IMDP("IR", CHOOSE(code!$A$1, code!$B17, code!$C17), M$6, $B$4, "fill=true")</f>
        <v>4.21</v>
      </c>
      <c r="N23" s="25">
        <f ca="1">_xll.IMDP("IR", CHOOSE(code!$A$1, code!$B17, code!$C17), N$6, $B$4, "fill=true")</f>
        <v>4.57</v>
      </c>
    </row>
    <row r="24" spans="2:14" s="21" customFormat="1" ht="13.5">
      <c r="B24" s="115"/>
      <c r="C24" s="22" t="str">
        <f>$C$12</f>
        <v>NICE</v>
      </c>
      <c r="D24" s="23">
        <f ca="1">_xll.IMDP("IR", CHOOSE(code!$A$1, code!$B18, code!$C18), D$6, $B$4, "fill=true")</f>
        <v>3.57</v>
      </c>
      <c r="E24" s="24">
        <f ca="1">_xll.IMDP("IR", CHOOSE(code!$A$1, code!$B18, code!$C18), E$6, $B$4, "fill=true")</f>
        <v>3.64</v>
      </c>
      <c r="F24" s="24" t="str">
        <f ca="1">IF( _xll.IMDP("IR", CHOOSE(code!$A$1, code!$B18, code!$C18), F$6, $B$4, "fill=true") = 0, "", _xll.IMDP("IR", CHOOSE(code!$A$1, code!$B18, code!$C18), F$6, $B$4, "fill=true") )</f>
        <v/>
      </c>
      <c r="G24" s="24">
        <f ca="1">_xll.IMDP("IR", CHOOSE(code!$A$1, code!$B18, code!$C18), G$6, $B$4, "fill=true")</f>
        <v>3.7</v>
      </c>
      <c r="H24" s="24">
        <f ca="1">_xll.IMDP("IR", CHOOSE(code!$A$1, code!$B18, code!$C18), H$6, $B$4, "fill=true")</f>
        <v>3.77</v>
      </c>
      <c r="I24" s="24">
        <f ca="1">_xll.IMDP("IR", CHOOSE(code!$A$1, code!$B18, code!$C18), I$6, $B$4, "fill=true")</f>
        <v>3.82</v>
      </c>
      <c r="J24" s="24">
        <f ca="1">_xll.IMDP("IR", CHOOSE(code!$A$1, code!$B18, code!$C18), J$6, $B$4, "fill=true")</f>
        <v>3.87</v>
      </c>
      <c r="K24" s="24">
        <f ca="1">_xll.IMDP("IR", CHOOSE(code!$A$1, code!$B18, code!$C18), K$6, $B$4, "fill=true")</f>
        <v>3.92</v>
      </c>
      <c r="L24" s="24">
        <f ca="1">_xll.IMDP("IR", CHOOSE(code!$A$1, code!$B18, code!$C18), L$6, $B$4, "fill=true")</f>
        <v>4.01</v>
      </c>
      <c r="M24" s="24">
        <f ca="1">_xll.IMDP("IR", CHOOSE(code!$A$1, code!$B18, code!$C18), M$6, $B$4, "fill=true")</f>
        <v>4.21</v>
      </c>
      <c r="N24" s="25">
        <f ca="1">_xll.IMDP("IR", CHOOSE(code!$A$1, code!$B18, code!$C18), N$6, $B$4, "fill=true")</f>
        <v>4.38</v>
      </c>
    </row>
    <row r="25" spans="2:14" s="21" customFormat="1" ht="14.25" thickBot="1">
      <c r="B25" s="116"/>
      <c r="C25" s="26" t="str">
        <f>$C$13</f>
        <v>FN</v>
      </c>
      <c r="D25" s="27">
        <f ca="1">_xll.IMDP("IR", CHOOSE(code!$A$1, code!$B19, code!$C19), D$6, $B$4, "fill=true")</f>
        <v>3.64</v>
      </c>
      <c r="E25" s="28">
        <f ca="1">_xll.IMDP("IR", CHOOSE(code!$A$1, code!$B19, code!$C19), E$6, $B$4, "fill=true")</f>
        <v>3.68</v>
      </c>
      <c r="F25" s="28" t="str">
        <f ca="1">IF( _xll.IMDP("IR", CHOOSE(code!$A$1, code!$B19, code!$C19), F$6, $B$4, "fill=true") = 0, "", _xll.IMDP("IR", CHOOSE(code!$A$1, code!$B19, code!$C19), F$6, $B$4, "fill=true") )</f>
        <v/>
      </c>
      <c r="G25" s="28">
        <f ca="1">_xll.IMDP("IR", CHOOSE(code!$A$1, code!$B19, code!$C19), G$6, $B$4, "fill=true")</f>
        <v>3.74</v>
      </c>
      <c r="H25" s="28">
        <f ca="1">_xll.IMDP("IR", CHOOSE(code!$A$1, code!$B19, code!$C19), H$6, $B$4, "fill=true")</f>
        <v>3.77</v>
      </c>
      <c r="I25" s="28">
        <f ca="1">_xll.IMDP("IR", CHOOSE(code!$A$1, code!$B19, code!$C19), I$6, $B$4, "fill=true")</f>
        <v>3.83</v>
      </c>
      <c r="J25" s="28">
        <f ca="1">_xll.IMDP("IR", CHOOSE(code!$A$1, code!$B19, code!$C19), J$6, $B$4, "fill=true")</f>
        <v>3.86</v>
      </c>
      <c r="K25" s="28">
        <f ca="1">_xll.IMDP("IR", CHOOSE(code!$A$1, code!$B19, code!$C19), K$6, $B$4, "fill=true")</f>
        <v>3.87</v>
      </c>
      <c r="L25" s="28">
        <f ca="1">_xll.IMDP("IR", CHOOSE(code!$A$1, code!$B19, code!$C19), L$6, $B$4, "fill=true")</f>
        <v>4.0999999999999996</v>
      </c>
      <c r="M25" s="28">
        <f ca="1">_xll.IMDP("IR", CHOOSE(code!$A$1, code!$B19, code!$C19), M$6, $B$4, "fill=true")</f>
        <v>4.21</v>
      </c>
      <c r="N25" s="29">
        <f ca="1">_xll.IMDP("IR", CHOOSE(code!$A$1, code!$B19, code!$C19), N$6, $B$4, "fill=true")</f>
        <v>4.3</v>
      </c>
    </row>
    <row r="26" spans="2:14" s="21" customFormat="1" ht="13.5">
      <c r="B26" s="114" t="str" cm="1">
        <f t="array" ref="B26">INDEX(code!$E$2:$F$9, 4, code!$A$1)</f>
        <v>AA-</v>
      </c>
      <c r="C26" s="17" t="str">
        <f>$C$8</f>
        <v>3사 평균</v>
      </c>
      <c r="D26" s="18">
        <f ca="1">_xll.IMDP("IR", CHOOSE(code!$A$1, code!$B20, code!$C20), D$6, $B$4, "fill=true")</f>
        <v>3.63</v>
      </c>
      <c r="E26" s="19">
        <f ca="1">_xll.IMDP("IR", CHOOSE(code!$A$1, code!$B20, code!$C20), E$6, $B$4, "fill=true")</f>
        <v>3.72</v>
      </c>
      <c r="F26" s="19" t="str">
        <f ca="1">IF( _xll.IMDP("IR", CHOOSE(code!$A$1, code!$B20, code!$C20), F$6, $B$4, "fill=true") = 0, "", _xll.IMDP("IR", CHOOSE(code!$A$1, code!$B20, code!$C20), F$6, $B$4, "fill=true") )</f>
        <v/>
      </c>
      <c r="G26" s="19">
        <f ca="1">_xll.IMDP("IR", CHOOSE(code!$A$1, code!$B20, code!$C20), G$6, $B$4, "fill=true")</f>
        <v>3.8</v>
      </c>
      <c r="H26" s="19">
        <f ca="1">_xll.IMDP("IR", CHOOSE(code!$A$1, code!$B20, code!$C20), H$6, $B$4, "fill=true")</f>
        <v>3.85</v>
      </c>
      <c r="I26" s="19">
        <f ca="1">_xll.IMDP("IR", CHOOSE(code!$A$1, code!$B20, code!$C20), I$6, $B$4, "fill=true")</f>
        <v>3.88</v>
      </c>
      <c r="J26" s="19">
        <f ca="1">_xll.IMDP("IR", CHOOSE(code!$A$1, code!$B20, code!$C20), J$6, $B$4, "fill=true")</f>
        <v>3.92</v>
      </c>
      <c r="K26" s="19">
        <f ca="1">_xll.IMDP("IR", CHOOSE(code!$A$1, code!$B20, code!$C20), K$6, $B$4, "fill=true")</f>
        <v>3.97</v>
      </c>
      <c r="L26" s="19">
        <f ca="1">_xll.IMDP("IR", CHOOSE(code!$A$1, code!$B20, code!$C20), L$6, $B$4, "fill=true")</f>
        <v>4.08</v>
      </c>
      <c r="M26" s="19">
        <f ca="1">_xll.IMDP("IR", CHOOSE(code!$A$1, code!$B20, code!$C20), M$6, $B$4, "fill=true")</f>
        <v>4.29</v>
      </c>
      <c r="N26" s="20">
        <f ca="1">_xll.IMDP("IR", CHOOSE(code!$A$1, code!$B20, code!$C20), N$6, $B$4, "fill=true")</f>
        <v>4.78</v>
      </c>
    </row>
    <row r="27" spans="2:14" s="21" customFormat="1" ht="13.5">
      <c r="B27" s="115"/>
      <c r="C27" s="22" t="str">
        <f>$C$9</f>
        <v>4사 평균</v>
      </c>
      <c r="D27" s="23">
        <f ca="1">_xll.IMDP("IR", CHOOSE(code!$A$1, code!$B21, code!$C21), D$6, $B$4, "fill=true")</f>
        <v>3.65</v>
      </c>
      <c r="E27" s="24">
        <f ca="1">_xll.IMDP("IR", CHOOSE(code!$A$1, code!$B21, code!$C21), E$6, $B$4, "fill=true")</f>
        <v>3.73</v>
      </c>
      <c r="F27" s="24" t="str">
        <f ca="1">IF( _xll.IMDP("IR", CHOOSE(code!$A$1, code!$B21, code!$C21), F$6, $B$4, "fill=true") = 0, "", _xll.IMDP("IR", CHOOSE(code!$A$1, code!$B21, code!$C21), F$6, $B$4, "fill=true") )</f>
        <v/>
      </c>
      <c r="G27" s="24">
        <f ca="1">_xll.IMDP("IR", CHOOSE(code!$A$1, code!$B21, code!$C21), G$6, $B$4, "fill=true")</f>
        <v>3.8</v>
      </c>
      <c r="H27" s="24">
        <f ca="1">_xll.IMDP("IR", CHOOSE(code!$A$1, code!$B21, code!$C21), H$6, $B$4, "fill=true")</f>
        <v>3.85</v>
      </c>
      <c r="I27" s="24">
        <f ca="1">_xll.IMDP("IR", CHOOSE(code!$A$1, code!$B21, code!$C21), I$6, $B$4, "fill=true")</f>
        <v>3.88</v>
      </c>
      <c r="J27" s="24">
        <f ca="1">_xll.IMDP("IR", CHOOSE(code!$A$1, code!$B21, code!$C21), J$6, $B$4, "fill=true")</f>
        <v>3.92</v>
      </c>
      <c r="K27" s="24">
        <f ca="1">_xll.IMDP("IR", CHOOSE(code!$A$1, code!$B21, code!$C21), K$6, $B$4, "fill=true")</f>
        <v>3.96</v>
      </c>
      <c r="L27" s="24">
        <f ca="1">_xll.IMDP("IR", CHOOSE(code!$A$1, code!$B21, code!$C21), L$6, $B$4, "fill=true")</f>
        <v>4.1100000000000003</v>
      </c>
      <c r="M27" s="24">
        <f ca="1">_xll.IMDP("IR", CHOOSE(code!$A$1, code!$B21, code!$C21), M$6, $B$4, "fill=true")</f>
        <v>4.3099999999999996</v>
      </c>
      <c r="N27" s="25">
        <f ca="1">_xll.IMDP("IR", CHOOSE(code!$A$1, code!$B21, code!$C21), N$6, $B$4, "fill=true")</f>
        <v>4.7</v>
      </c>
    </row>
    <row r="28" spans="2:14" s="21" customFormat="1" ht="13.5">
      <c r="B28" s="115"/>
      <c r="C28" s="22" t="str">
        <f>$C$10</f>
        <v>KAP</v>
      </c>
      <c r="D28" s="23">
        <f ca="1">_xll.IMDP("IR", CHOOSE(code!$A$1, code!$B22, code!$C22), D$6, $B$4, "fill=true")</f>
        <v>3.65</v>
      </c>
      <c r="E28" s="24">
        <f ca="1">_xll.IMDP("IR", CHOOSE(code!$A$1, code!$B22, code!$C22), E$6, $B$4, "fill=true")</f>
        <v>3.72</v>
      </c>
      <c r="F28" s="24" t="str">
        <f ca="1">IF( _xll.IMDP("IR", CHOOSE(code!$A$1, code!$B22, code!$C22), F$6, $B$4, "fill=true") = 0, "", _xll.IMDP("IR", CHOOSE(code!$A$1, code!$B22, code!$C22), F$6, $B$4, "fill=true") )</f>
        <v/>
      </c>
      <c r="G28" s="24">
        <f ca="1">_xll.IMDP("IR", CHOOSE(code!$A$1, code!$B22, code!$C22), G$6, $B$4, "fill=true")</f>
        <v>3.81</v>
      </c>
      <c r="H28" s="24">
        <f ca="1">_xll.IMDP("IR", CHOOSE(code!$A$1, code!$B22, code!$C22), H$6, $B$4, "fill=true")</f>
        <v>3.85</v>
      </c>
      <c r="I28" s="24">
        <f ca="1">_xll.IMDP("IR", CHOOSE(code!$A$1, code!$B22, code!$C22), I$6, $B$4, "fill=true")</f>
        <v>3.89</v>
      </c>
      <c r="J28" s="24">
        <f ca="1">_xll.IMDP("IR", CHOOSE(code!$A$1, code!$B22, code!$C22), J$6, $B$4, "fill=true")</f>
        <v>3.93</v>
      </c>
      <c r="K28" s="24">
        <f ca="1">_xll.IMDP("IR", CHOOSE(code!$A$1, code!$B22, code!$C22), K$6, $B$4, "fill=true")</f>
        <v>3.94</v>
      </c>
      <c r="L28" s="24">
        <f ca="1">_xll.IMDP("IR", CHOOSE(code!$A$1, code!$B22, code!$C22), L$6, $B$4, "fill=true")</f>
        <v>4.07</v>
      </c>
      <c r="M28" s="24">
        <f ca="1">_xll.IMDP("IR", CHOOSE(code!$A$1, code!$B22, code!$C22), M$6, $B$4, "fill=true")</f>
        <v>4.25</v>
      </c>
      <c r="N28" s="25">
        <f ca="1">_xll.IMDP("IR", CHOOSE(code!$A$1, code!$B22, code!$C22), N$6, $B$4, "fill=true")</f>
        <v>5.17</v>
      </c>
    </row>
    <row r="29" spans="2:14" s="21" customFormat="1" ht="13.5">
      <c r="B29" s="115"/>
      <c r="C29" s="22" t="str">
        <f>$C$11</f>
        <v>KIS</v>
      </c>
      <c r="D29" s="23">
        <f ca="1">_xll.IMDP("IR", CHOOSE(code!$A$1, code!$B23, code!$C23), D$6, $B$4, "fill=true")</f>
        <v>3.62</v>
      </c>
      <c r="E29" s="24">
        <f ca="1">_xll.IMDP("IR", CHOOSE(code!$A$1, code!$B23, code!$C23), E$6, $B$4, "fill=true")</f>
        <v>3.73</v>
      </c>
      <c r="F29" s="24" t="str">
        <f ca="1">IF( _xll.IMDP("IR", CHOOSE(code!$A$1, code!$B23, code!$C23), F$6, $B$4, "fill=true") = 0, "", _xll.IMDP("IR", CHOOSE(code!$A$1, code!$B23, code!$C23), F$6, $B$4, "fill=true") )</f>
        <v/>
      </c>
      <c r="G29" s="24">
        <f ca="1">_xll.IMDP("IR", CHOOSE(code!$A$1, code!$B23, code!$C23), G$6, $B$4, "fill=true")</f>
        <v>3.79</v>
      </c>
      <c r="H29" s="24">
        <f ca="1">_xll.IMDP("IR", CHOOSE(code!$A$1, code!$B23, code!$C23), H$6, $B$4, "fill=true")</f>
        <v>3.85</v>
      </c>
      <c r="I29" s="24">
        <f ca="1">_xll.IMDP("IR", CHOOSE(code!$A$1, code!$B23, code!$C23), I$6, $B$4, "fill=true")</f>
        <v>3.88</v>
      </c>
      <c r="J29" s="24">
        <f ca="1">_xll.IMDP("IR", CHOOSE(code!$A$1, code!$B23, code!$C23), J$6, $B$4, "fill=true")</f>
        <v>3.92</v>
      </c>
      <c r="K29" s="24">
        <f ca="1">_xll.IMDP("IR", CHOOSE(code!$A$1, code!$B23, code!$C23), K$6, $B$4, "fill=true")</f>
        <v>3.98</v>
      </c>
      <c r="L29" s="24">
        <f ca="1">_xll.IMDP("IR", CHOOSE(code!$A$1, code!$B23, code!$C23), L$6, $B$4, "fill=true")</f>
        <v>4.09</v>
      </c>
      <c r="M29" s="24">
        <f ca="1">_xll.IMDP("IR", CHOOSE(code!$A$1, code!$B23, code!$C23), M$6, $B$4, "fill=true")</f>
        <v>4.33</v>
      </c>
      <c r="N29" s="25">
        <f ca="1">_xll.IMDP("IR", CHOOSE(code!$A$1, code!$B23, code!$C23), N$6, $B$4, "fill=true")</f>
        <v>4.72</v>
      </c>
    </row>
    <row r="30" spans="2:14" s="21" customFormat="1" ht="13.5">
      <c r="B30" s="115"/>
      <c r="C30" s="22" t="str">
        <f>$C$12</f>
        <v>NICE</v>
      </c>
      <c r="D30" s="23">
        <f ca="1">_xll.IMDP("IR", CHOOSE(code!$A$1, code!$B24, code!$C24), D$6, $B$4, "fill=true")</f>
        <v>3.64</v>
      </c>
      <c r="E30" s="24">
        <f ca="1">_xll.IMDP("IR", CHOOSE(code!$A$1, code!$B24, code!$C24), E$6, $B$4, "fill=true")</f>
        <v>3.73</v>
      </c>
      <c r="F30" s="24" t="str">
        <f ca="1">IF( _xll.IMDP("IR", CHOOSE(code!$A$1, code!$B24, code!$C24), F$6, $B$4, "fill=true") = 0, "", _xll.IMDP("IR", CHOOSE(code!$A$1, code!$B24, code!$C24), F$6, $B$4, "fill=true") )</f>
        <v/>
      </c>
      <c r="G30" s="24">
        <f ca="1">_xll.IMDP("IR", CHOOSE(code!$A$1, code!$B24, code!$C24), G$6, $B$4, "fill=true")</f>
        <v>3.8</v>
      </c>
      <c r="H30" s="24">
        <f ca="1">_xll.IMDP("IR", CHOOSE(code!$A$1, code!$B24, code!$C24), H$6, $B$4, "fill=true")</f>
        <v>3.85</v>
      </c>
      <c r="I30" s="24">
        <f ca="1">_xll.IMDP("IR", CHOOSE(code!$A$1, code!$B24, code!$C24), I$6, $B$4, "fill=true")</f>
        <v>3.88</v>
      </c>
      <c r="J30" s="24">
        <f ca="1">_xll.IMDP("IR", CHOOSE(code!$A$1, code!$B24, code!$C24), J$6, $B$4, "fill=true")</f>
        <v>3.93</v>
      </c>
      <c r="K30" s="24">
        <f ca="1">_xll.IMDP("IR", CHOOSE(code!$A$1, code!$B24, code!$C24), K$6, $B$4, "fill=true")</f>
        <v>4</v>
      </c>
      <c r="L30" s="24">
        <f ca="1">_xll.IMDP("IR", CHOOSE(code!$A$1, code!$B24, code!$C24), L$6, $B$4, "fill=true")</f>
        <v>4.08</v>
      </c>
      <c r="M30" s="24">
        <f ca="1">_xll.IMDP("IR", CHOOSE(code!$A$1, code!$B24, code!$C24), M$6, $B$4, "fill=true")</f>
        <v>4.3</v>
      </c>
      <c r="N30" s="25">
        <f ca="1">_xll.IMDP("IR", CHOOSE(code!$A$1, code!$B24, code!$C24), N$6, $B$4, "fill=true")</f>
        <v>4.47</v>
      </c>
    </row>
    <row r="31" spans="2:14" s="21" customFormat="1" ht="14.25" thickBot="1">
      <c r="B31" s="116"/>
      <c r="C31" s="26" t="str">
        <f>$C$13</f>
        <v>FN</v>
      </c>
      <c r="D31" s="27">
        <f ca="1">_xll.IMDP("IR", CHOOSE(code!$A$1, code!$B25, code!$C25), D$6, $B$4, "fill=true")</f>
        <v>3.7</v>
      </c>
      <c r="E31" s="28">
        <f ca="1">_xll.IMDP("IR", CHOOSE(code!$A$1, code!$B25, code!$C25), E$6, $B$4, "fill=true")</f>
        <v>3.76</v>
      </c>
      <c r="F31" s="28" t="str">
        <f ca="1">IF( _xll.IMDP("IR", CHOOSE(code!$A$1, code!$B25, code!$C25), F$6, $B$4, "fill=true") = 0, "", _xll.IMDP("IR", CHOOSE(code!$A$1, code!$B25, code!$C25), F$6, $B$4, "fill=true") )</f>
        <v/>
      </c>
      <c r="G31" s="28">
        <f ca="1">_xll.IMDP("IR", CHOOSE(code!$A$1, code!$B25, code!$C25), G$6, $B$4, "fill=true")</f>
        <v>3.83</v>
      </c>
      <c r="H31" s="28">
        <f ca="1">_xll.IMDP("IR", CHOOSE(code!$A$1, code!$B25, code!$C25), H$6, $B$4, "fill=true")</f>
        <v>3.87</v>
      </c>
      <c r="I31" s="28">
        <f ca="1">_xll.IMDP("IR", CHOOSE(code!$A$1, code!$B25, code!$C25), I$6, $B$4, "fill=true")</f>
        <v>3.89</v>
      </c>
      <c r="J31" s="28">
        <f ca="1">_xll.IMDP("IR", CHOOSE(code!$A$1, code!$B25, code!$C25), J$6, $B$4, "fill=true")</f>
        <v>3.92</v>
      </c>
      <c r="K31" s="28">
        <f ca="1">_xll.IMDP("IR", CHOOSE(code!$A$1, code!$B25, code!$C25), K$6, $B$4, "fill=true")</f>
        <v>3.94</v>
      </c>
      <c r="L31" s="28">
        <f ca="1">_xll.IMDP("IR", CHOOSE(code!$A$1, code!$B25, code!$C25), L$6, $B$4, "fill=true")</f>
        <v>4.21</v>
      </c>
      <c r="M31" s="28">
        <f ca="1">_xll.IMDP("IR", CHOOSE(code!$A$1, code!$B25, code!$C25), M$6, $B$4, "fill=true")</f>
        <v>4.38</v>
      </c>
      <c r="N31" s="29">
        <f ca="1">_xll.IMDP("IR", CHOOSE(code!$A$1, code!$B25, code!$C25), N$6, $B$4, "fill=true")</f>
        <v>4.45</v>
      </c>
    </row>
    <row r="32" spans="2:14" s="21" customFormat="1" ht="13.5">
      <c r="B32" s="114" t="str" cm="1">
        <f t="array" ref="B32">INDEX(code!$E$2:$F$9, 5, code!$A$1)</f>
        <v>A+</v>
      </c>
      <c r="C32" s="17" t="str">
        <f>$C$8</f>
        <v>3사 평균</v>
      </c>
      <c r="D32" s="18">
        <f ca="1">_xll.IMDP("IR", CHOOSE(code!$A$1, code!$B26, code!$C26), D$6, $B$4, "fill=true")</f>
        <v>3.69</v>
      </c>
      <c r="E32" s="19">
        <f ca="1">_xll.IMDP("IR", CHOOSE(code!$A$1, code!$B26, code!$C26), E$6, $B$4, "fill=true")</f>
        <v>3.78</v>
      </c>
      <c r="F32" s="19" t="str">
        <f ca="1">IF( _xll.IMDP("IR", CHOOSE(code!$A$1, code!$B26, code!$C26), F$6, $B$4, "fill=true") = 0, "", _xll.IMDP("IR", CHOOSE(code!$A$1, code!$B26, code!$C26), F$6, $B$4, "fill=true") )</f>
        <v/>
      </c>
      <c r="G32" s="19">
        <f ca="1">_xll.IMDP("IR", CHOOSE(code!$A$1, code!$B26, code!$C26), G$6, $B$4, "fill=true")</f>
        <v>3.85</v>
      </c>
      <c r="H32" s="19">
        <f ca="1">_xll.IMDP("IR", CHOOSE(code!$A$1, code!$B26, code!$C26), H$6, $B$4, "fill=true")</f>
        <v>3.9</v>
      </c>
      <c r="I32" s="19">
        <f ca="1">_xll.IMDP("IR", CHOOSE(code!$A$1, code!$B26, code!$C26), I$6, $B$4, "fill=true")</f>
        <v>3.94</v>
      </c>
      <c r="J32" s="19">
        <f ca="1">_xll.IMDP("IR", CHOOSE(code!$A$1, code!$B26, code!$C26), J$6, $B$4, "fill=true")</f>
        <v>3.98</v>
      </c>
      <c r="K32" s="19">
        <f ca="1">_xll.IMDP("IR", CHOOSE(code!$A$1, code!$B26, code!$C26), K$6, $B$4, "fill=true")</f>
        <v>4.03</v>
      </c>
      <c r="L32" s="19">
        <f ca="1">_xll.IMDP("IR", CHOOSE(code!$A$1, code!$B26, code!$C26), L$6, $B$4, "fill=true")</f>
        <v>4.1399999999999997</v>
      </c>
      <c r="M32" s="19">
        <f ca="1">_xll.IMDP("IR", CHOOSE(code!$A$1, code!$B26, code!$C26), M$6, $B$4, "fill=true")</f>
        <v>4.37</v>
      </c>
      <c r="N32" s="20">
        <f ca="1">_xll.IMDP("IR", CHOOSE(code!$A$1, code!$B26, code!$C26), N$6, $B$4, "fill=true")</f>
        <v>4.87</v>
      </c>
    </row>
    <row r="33" spans="2:14" s="21" customFormat="1" ht="13.5">
      <c r="B33" s="115"/>
      <c r="C33" s="22" t="str">
        <f>$C$9</f>
        <v>4사 평균</v>
      </c>
      <c r="D33" s="23">
        <f ca="1">_xll.IMDP("IR", CHOOSE(code!$A$1, code!$B27, code!$C27), D$6, $B$4, "fill=true")</f>
        <v>3.7</v>
      </c>
      <c r="E33" s="24">
        <f ca="1">_xll.IMDP("IR", CHOOSE(code!$A$1, code!$B27, code!$C27), E$6, $B$4, "fill=true")</f>
        <v>3.79</v>
      </c>
      <c r="F33" s="24" t="str">
        <f ca="1">IF( _xll.IMDP("IR", CHOOSE(code!$A$1, code!$B27, code!$C27), F$6, $B$4, "fill=true") = 0, "", _xll.IMDP("IR", CHOOSE(code!$A$1, code!$B27, code!$C27), F$6, $B$4, "fill=true") )</f>
        <v/>
      </c>
      <c r="G33" s="24">
        <f ca="1">_xll.IMDP("IR", CHOOSE(code!$A$1, code!$B27, code!$C27), G$6, $B$4, "fill=true")</f>
        <v>3.85</v>
      </c>
      <c r="H33" s="24">
        <f ca="1">_xll.IMDP("IR", CHOOSE(code!$A$1, code!$B27, code!$C27), H$6, $B$4, "fill=true")</f>
        <v>3.9</v>
      </c>
      <c r="I33" s="24">
        <f ca="1">_xll.IMDP("IR", CHOOSE(code!$A$1, code!$B27, code!$C27), I$6, $B$4, "fill=true")</f>
        <v>3.94</v>
      </c>
      <c r="J33" s="24">
        <f ca="1">_xll.IMDP("IR", CHOOSE(code!$A$1, code!$B27, code!$C27), J$6, $B$4, "fill=true")</f>
        <v>3.98</v>
      </c>
      <c r="K33" s="24">
        <f ca="1">_xll.IMDP("IR", CHOOSE(code!$A$1, code!$B27, code!$C27), K$6, $B$4, "fill=true")</f>
        <v>4.0199999999999996</v>
      </c>
      <c r="L33" s="24">
        <f ca="1">_xll.IMDP("IR", CHOOSE(code!$A$1, code!$B27, code!$C27), L$6, $B$4, "fill=true")</f>
        <v>4.18</v>
      </c>
      <c r="M33" s="24">
        <f ca="1">_xll.IMDP("IR", CHOOSE(code!$A$1, code!$B27, code!$C27), M$6, $B$4, "fill=true")</f>
        <v>4.3899999999999997</v>
      </c>
      <c r="N33" s="25">
        <f ca="1">_xll.IMDP("IR", CHOOSE(code!$A$1, code!$B27, code!$C27), N$6, $B$4, "fill=true")</f>
        <v>4.79</v>
      </c>
    </row>
    <row r="34" spans="2:14" s="21" customFormat="1" ht="13.5">
      <c r="B34" s="115"/>
      <c r="C34" s="22" t="str">
        <f>$C$10</f>
        <v>KAP</v>
      </c>
      <c r="D34" s="23">
        <f ca="1">_xll.IMDP("IR", CHOOSE(code!$A$1, code!$B28, code!$C28), D$6, $B$4, "fill=true")</f>
        <v>3.72</v>
      </c>
      <c r="E34" s="24">
        <f ca="1">_xll.IMDP("IR", CHOOSE(code!$A$1, code!$B28, code!$C28), E$6, $B$4, "fill=true")</f>
        <v>3.78</v>
      </c>
      <c r="F34" s="24" t="str">
        <f ca="1">IF( _xll.IMDP("IR", CHOOSE(code!$A$1, code!$B28, code!$C28), F$6, $B$4, "fill=true") = 0, "", _xll.IMDP("IR", CHOOSE(code!$A$1, code!$B28, code!$C28), F$6, $B$4, "fill=true") )</f>
        <v/>
      </c>
      <c r="G34" s="24">
        <f ca="1">_xll.IMDP("IR", CHOOSE(code!$A$1, code!$B28, code!$C28), G$6, $B$4, "fill=true")</f>
        <v>3.86</v>
      </c>
      <c r="H34" s="24">
        <f ca="1">_xll.IMDP("IR", CHOOSE(code!$A$1, code!$B28, code!$C28), H$6, $B$4, "fill=true")</f>
        <v>3.89</v>
      </c>
      <c r="I34" s="24">
        <f ca="1">_xll.IMDP("IR", CHOOSE(code!$A$1, code!$B28, code!$C28), I$6, $B$4, "fill=true")</f>
        <v>3.95</v>
      </c>
      <c r="J34" s="24">
        <f ca="1">_xll.IMDP("IR", CHOOSE(code!$A$1, code!$B28, code!$C28), J$6, $B$4, "fill=true")</f>
        <v>3.98</v>
      </c>
      <c r="K34" s="24">
        <f ca="1">_xll.IMDP("IR", CHOOSE(code!$A$1, code!$B28, code!$C28), K$6, $B$4, "fill=true")</f>
        <v>3.99</v>
      </c>
      <c r="L34" s="24">
        <f ca="1">_xll.IMDP("IR", CHOOSE(code!$A$1, code!$B28, code!$C28), L$6, $B$4, "fill=true")</f>
        <v>4.13</v>
      </c>
      <c r="M34" s="24">
        <f ca="1">_xll.IMDP("IR", CHOOSE(code!$A$1, code!$B28, code!$C28), M$6, $B$4, "fill=true")</f>
        <v>4.34</v>
      </c>
      <c r="N34" s="25">
        <f ca="1">_xll.IMDP("IR", CHOOSE(code!$A$1, code!$B28, code!$C28), N$6, $B$4, "fill=true")</f>
        <v>5.26</v>
      </c>
    </row>
    <row r="35" spans="2:14" s="21" customFormat="1" ht="13.5">
      <c r="B35" s="115"/>
      <c r="C35" s="22" t="str">
        <f>$C$11</f>
        <v>KIS</v>
      </c>
      <c r="D35" s="23">
        <f ca="1">_xll.IMDP("IR", CHOOSE(code!$A$1, code!$B29, code!$C29), D$6, $B$4, "fill=true")</f>
        <v>3.67</v>
      </c>
      <c r="E35" s="24">
        <f ca="1">_xll.IMDP("IR", CHOOSE(code!$A$1, code!$B29, code!$C29), E$6, $B$4, "fill=true")</f>
        <v>3.78</v>
      </c>
      <c r="F35" s="24" t="str">
        <f ca="1">IF( _xll.IMDP("IR", CHOOSE(code!$A$1, code!$B29, code!$C29), F$6, $B$4, "fill=true") = 0, "", _xll.IMDP("IR", CHOOSE(code!$A$1, code!$B29, code!$C29), F$6, $B$4, "fill=true") )</f>
        <v/>
      </c>
      <c r="G35" s="24">
        <f ca="1">_xll.IMDP("IR", CHOOSE(code!$A$1, code!$B29, code!$C29), G$6, $B$4, "fill=true")</f>
        <v>3.84</v>
      </c>
      <c r="H35" s="24">
        <f ca="1">_xll.IMDP("IR", CHOOSE(code!$A$1, code!$B29, code!$C29), H$6, $B$4, "fill=true")</f>
        <v>3.91</v>
      </c>
      <c r="I35" s="24">
        <f ca="1">_xll.IMDP("IR", CHOOSE(code!$A$1, code!$B29, code!$C29), I$6, $B$4, "fill=true")</f>
        <v>3.94</v>
      </c>
      <c r="J35" s="24">
        <f ca="1">_xll.IMDP("IR", CHOOSE(code!$A$1, code!$B29, code!$C29), J$6, $B$4, "fill=true")</f>
        <v>3.99</v>
      </c>
      <c r="K35" s="24">
        <f ca="1">_xll.IMDP("IR", CHOOSE(code!$A$1, code!$B29, code!$C29), K$6, $B$4, "fill=true")</f>
        <v>4.05</v>
      </c>
      <c r="L35" s="24">
        <f ca="1">_xll.IMDP("IR", CHOOSE(code!$A$1, code!$B29, code!$C29), L$6, $B$4, "fill=true")</f>
        <v>4.16</v>
      </c>
      <c r="M35" s="24">
        <f ca="1">_xll.IMDP("IR", CHOOSE(code!$A$1, code!$B29, code!$C29), M$6, $B$4, "fill=true")</f>
        <v>4.4000000000000004</v>
      </c>
      <c r="N35" s="25">
        <f ca="1">_xll.IMDP("IR", CHOOSE(code!$A$1, code!$B29, code!$C29), N$6, $B$4, "fill=true")</f>
        <v>4.8</v>
      </c>
    </row>
    <row r="36" spans="2:14" s="21" customFormat="1" ht="13.5">
      <c r="B36" s="115"/>
      <c r="C36" s="22" t="str">
        <f>$C$12</f>
        <v>NICE</v>
      </c>
      <c r="D36" s="23">
        <f ca="1">_xll.IMDP("IR", CHOOSE(code!$A$1, code!$B30, code!$C30), D$6, $B$4, "fill=true")</f>
        <v>3.68</v>
      </c>
      <c r="E36" s="24">
        <f ca="1">_xll.IMDP("IR", CHOOSE(code!$A$1, code!$B30, code!$C30), E$6, $B$4, "fill=true")</f>
        <v>3.78</v>
      </c>
      <c r="F36" s="24" t="str">
        <f ca="1">IF( _xll.IMDP("IR", CHOOSE(code!$A$1, code!$B30, code!$C30), F$6, $B$4, "fill=true") = 0, "", _xll.IMDP("IR", CHOOSE(code!$A$1, code!$B30, code!$C30), F$6, $B$4, "fill=true") )</f>
        <v/>
      </c>
      <c r="G36" s="24">
        <f ca="1">_xll.IMDP("IR", CHOOSE(code!$A$1, code!$B30, code!$C30), G$6, $B$4, "fill=true")</f>
        <v>3.85</v>
      </c>
      <c r="H36" s="24">
        <f ca="1">_xll.IMDP("IR", CHOOSE(code!$A$1, code!$B30, code!$C30), H$6, $B$4, "fill=true")</f>
        <v>3.9</v>
      </c>
      <c r="I36" s="24">
        <f ca="1">_xll.IMDP("IR", CHOOSE(code!$A$1, code!$B30, code!$C30), I$6, $B$4, "fill=true")</f>
        <v>3.93</v>
      </c>
      <c r="J36" s="24">
        <f ca="1">_xll.IMDP("IR", CHOOSE(code!$A$1, code!$B30, code!$C30), J$6, $B$4, "fill=true")</f>
        <v>3.98</v>
      </c>
      <c r="K36" s="24">
        <f ca="1">_xll.IMDP("IR", CHOOSE(code!$A$1, code!$B30, code!$C30), K$6, $B$4, "fill=true")</f>
        <v>4.05</v>
      </c>
      <c r="L36" s="24">
        <f ca="1">_xll.IMDP("IR", CHOOSE(code!$A$1, code!$B30, code!$C30), L$6, $B$4, "fill=true")</f>
        <v>4.1399999999999997</v>
      </c>
      <c r="M36" s="24">
        <f ca="1">_xll.IMDP("IR", CHOOSE(code!$A$1, code!$B30, code!$C30), M$6, $B$4, "fill=true")</f>
        <v>4.38</v>
      </c>
      <c r="N36" s="25">
        <f ca="1">_xll.IMDP("IR", CHOOSE(code!$A$1, code!$B30, code!$C30), N$6, $B$4, "fill=true")</f>
        <v>4.55</v>
      </c>
    </row>
    <row r="37" spans="2:14" s="21" customFormat="1" ht="14.25" thickBot="1">
      <c r="B37" s="116"/>
      <c r="C37" s="26" t="str">
        <f>$C$13</f>
        <v>FN</v>
      </c>
      <c r="D37" s="27">
        <f ca="1">_xll.IMDP("IR", CHOOSE(code!$A$1, code!$B31, code!$C31), D$6, $B$4, "fill=true")</f>
        <v>3.75</v>
      </c>
      <c r="E37" s="28">
        <f ca="1">_xll.IMDP("IR", CHOOSE(code!$A$1, code!$B31, code!$C31), E$6, $B$4, "fill=true")</f>
        <v>3.82</v>
      </c>
      <c r="F37" s="28" t="str">
        <f ca="1">IF( _xll.IMDP("IR", CHOOSE(code!$A$1, code!$B31, code!$C31), F$6, $B$4, "fill=true") = 0, "", _xll.IMDP("IR", CHOOSE(code!$A$1, code!$B31, code!$C31), F$6, $B$4, "fill=true") )</f>
        <v/>
      </c>
      <c r="G37" s="28">
        <f ca="1">_xll.IMDP("IR", CHOOSE(code!$A$1, code!$B31, code!$C31), G$6, $B$4, "fill=true")</f>
        <v>3.88</v>
      </c>
      <c r="H37" s="28">
        <f ca="1">_xll.IMDP("IR", CHOOSE(code!$A$1, code!$B31, code!$C31), H$6, $B$4, "fill=true")</f>
        <v>3.92</v>
      </c>
      <c r="I37" s="28">
        <f ca="1">_xll.IMDP("IR", CHOOSE(code!$A$1, code!$B31, code!$C31), I$6, $B$4, "fill=true")</f>
        <v>3.94</v>
      </c>
      <c r="J37" s="28">
        <f ca="1">_xll.IMDP("IR", CHOOSE(code!$A$1, code!$B31, code!$C31), J$6, $B$4, "fill=true")</f>
        <v>3.97</v>
      </c>
      <c r="K37" s="28">
        <f ca="1">_xll.IMDP("IR", CHOOSE(code!$A$1, code!$B31, code!$C31), K$6, $B$4, "fill=true")</f>
        <v>4.0199999999999996</v>
      </c>
      <c r="L37" s="28">
        <f ca="1">_xll.IMDP("IR", CHOOSE(code!$A$1, code!$B31, code!$C31), L$6, $B$4, "fill=true")</f>
        <v>4.29</v>
      </c>
      <c r="M37" s="28">
        <f ca="1">_xll.IMDP("IR", CHOOSE(code!$A$1, code!$B31, code!$C31), M$6, $B$4, "fill=true")</f>
        <v>4.46</v>
      </c>
      <c r="N37" s="29">
        <f ca="1">_xll.IMDP("IR", CHOOSE(code!$A$1, code!$B31, code!$C31), N$6, $B$4, "fill=true")</f>
        <v>4.58</v>
      </c>
    </row>
    <row r="38" spans="2:14" s="21" customFormat="1" ht="13.5">
      <c r="B38" s="114" t="str" cm="1">
        <f t="array" ref="B38">INDEX(code!$E$2:$F$9, 6, code!$A$1)</f>
        <v>A</v>
      </c>
      <c r="C38" s="17" t="str">
        <f>$C$8</f>
        <v>3사 평균</v>
      </c>
      <c r="D38" s="18">
        <f ca="1">_xll.IMDP("IR", CHOOSE(code!$A$1, code!$B32, code!$C32), D$6, $B$4, "fill=true")</f>
        <v>3.73</v>
      </c>
      <c r="E38" s="19">
        <f ca="1">_xll.IMDP("IR", CHOOSE(code!$A$1, code!$B32, code!$C32), E$6, $B$4, "fill=true")</f>
        <v>3.83</v>
      </c>
      <c r="F38" s="19" t="str">
        <f ca="1">IF( _xll.IMDP("IR", CHOOSE(code!$A$1, code!$B32, code!$C32), F$6, $B$4, "fill=true") = 0, "", _xll.IMDP("IR", CHOOSE(code!$A$1, code!$B32, code!$C32), F$6, $B$4, "fill=true") )</f>
        <v/>
      </c>
      <c r="G38" s="19">
        <f ca="1">_xll.IMDP("IR", CHOOSE(code!$A$1, code!$B32, code!$C32), G$6, $B$4, "fill=true")</f>
        <v>3.9</v>
      </c>
      <c r="H38" s="19">
        <f ca="1">_xll.IMDP("IR", CHOOSE(code!$A$1, code!$B32, code!$C32), H$6, $B$4, "fill=true")</f>
        <v>3.94</v>
      </c>
      <c r="I38" s="19">
        <f ca="1">_xll.IMDP("IR", CHOOSE(code!$A$1, code!$B32, code!$C32), I$6, $B$4, "fill=true")</f>
        <v>4</v>
      </c>
      <c r="J38" s="19">
        <f ca="1">_xll.IMDP("IR", CHOOSE(code!$A$1, code!$B32, code!$C32), J$6, $B$4, "fill=true")</f>
        <v>4.05</v>
      </c>
      <c r="K38" s="19">
        <f ca="1">_xll.IMDP("IR", CHOOSE(code!$A$1, code!$B32, code!$C32), K$6, $B$4, "fill=true")</f>
        <v>4.0999999999999996</v>
      </c>
      <c r="L38" s="19">
        <f ca="1">_xll.IMDP("IR", CHOOSE(code!$A$1, code!$B32, code!$C32), L$6, $B$4, "fill=true")</f>
        <v>4.21</v>
      </c>
      <c r="M38" s="19">
        <f ca="1">_xll.IMDP("IR", CHOOSE(code!$A$1, code!$B32, code!$C32), M$6, $B$4, "fill=true")</f>
        <v>4.4400000000000004</v>
      </c>
      <c r="N38" s="20">
        <f ca="1">_xll.IMDP("IR", CHOOSE(code!$A$1, code!$B32, code!$C32), N$6, $B$4, "fill=true")</f>
        <v>4.9400000000000004</v>
      </c>
    </row>
    <row r="39" spans="2:14" s="21" customFormat="1" ht="13.5">
      <c r="B39" s="115"/>
      <c r="C39" s="22" t="str">
        <f>$C$9</f>
        <v>4사 평균</v>
      </c>
      <c r="D39" s="23">
        <f ca="1">_xll.IMDP("IR", CHOOSE(code!$A$1, code!$B33, code!$C33), D$6, $B$4, "fill=true")</f>
        <v>3.75</v>
      </c>
      <c r="E39" s="24">
        <f ca="1">_xll.IMDP("IR", CHOOSE(code!$A$1, code!$B33, code!$C33), E$6, $B$4, "fill=true")</f>
        <v>3.83</v>
      </c>
      <c r="F39" s="24" t="str">
        <f ca="1">IF( _xll.IMDP("IR", CHOOSE(code!$A$1, code!$B33, code!$C33), F$6, $B$4, "fill=true") = 0, "", _xll.IMDP("IR", CHOOSE(code!$A$1, code!$B33, code!$C33), F$6, $B$4, "fill=true") )</f>
        <v/>
      </c>
      <c r="G39" s="24">
        <f ca="1">_xll.IMDP("IR", CHOOSE(code!$A$1, code!$B33, code!$C33), G$6, $B$4, "fill=true")</f>
        <v>3.9</v>
      </c>
      <c r="H39" s="24">
        <f ca="1">_xll.IMDP("IR", CHOOSE(code!$A$1, code!$B33, code!$C33), H$6, $B$4, "fill=true")</f>
        <v>3.95</v>
      </c>
      <c r="I39" s="24">
        <f ca="1">_xll.IMDP("IR", CHOOSE(code!$A$1, code!$B33, code!$C33), I$6, $B$4, "fill=true")</f>
        <v>4</v>
      </c>
      <c r="J39" s="24">
        <f ca="1">_xll.IMDP("IR", CHOOSE(code!$A$1, code!$B33, code!$C33), J$6, $B$4, "fill=true")</f>
        <v>4.05</v>
      </c>
      <c r="K39" s="24">
        <f ca="1">_xll.IMDP("IR", CHOOSE(code!$A$1, code!$B33, code!$C33), K$6, $B$4, "fill=true")</f>
        <v>4.09</v>
      </c>
      <c r="L39" s="24">
        <f ca="1">_xll.IMDP("IR", CHOOSE(code!$A$1, code!$B33, code!$C33), L$6, $B$4, "fill=true")</f>
        <v>4.25</v>
      </c>
      <c r="M39" s="24">
        <f ca="1">_xll.IMDP("IR", CHOOSE(code!$A$1, code!$B33, code!$C33), M$6, $B$4, "fill=true")</f>
        <v>4.46</v>
      </c>
      <c r="N39" s="25">
        <f ca="1">_xll.IMDP("IR", CHOOSE(code!$A$1, code!$B33, code!$C33), N$6, $B$4, "fill=true")</f>
        <v>4.87</v>
      </c>
    </row>
    <row r="40" spans="2:14" s="21" customFormat="1" ht="13.5">
      <c r="B40" s="115"/>
      <c r="C40" s="22" t="str">
        <f>$C$10</f>
        <v>KAP</v>
      </c>
      <c r="D40" s="23">
        <f ca="1">_xll.IMDP("IR", CHOOSE(code!$A$1, code!$B34, code!$C34), D$6, $B$4, "fill=true")</f>
        <v>3.76</v>
      </c>
      <c r="E40" s="24">
        <f ca="1">_xll.IMDP("IR", CHOOSE(code!$A$1, code!$B34, code!$C34), E$6, $B$4, "fill=true")</f>
        <v>3.82</v>
      </c>
      <c r="F40" s="24" t="str">
        <f ca="1">IF( _xll.IMDP("IR", CHOOSE(code!$A$1, code!$B34, code!$C34), F$6, $B$4, "fill=true") = 0, "", _xll.IMDP("IR", CHOOSE(code!$A$1, code!$B34, code!$C34), F$6, $B$4, "fill=true") )</f>
        <v/>
      </c>
      <c r="G40" s="24">
        <f ca="1">_xll.IMDP("IR", CHOOSE(code!$A$1, code!$B34, code!$C34), G$6, $B$4, "fill=true")</f>
        <v>3.9</v>
      </c>
      <c r="H40" s="24">
        <f ca="1">_xll.IMDP("IR", CHOOSE(code!$A$1, code!$B34, code!$C34), H$6, $B$4, "fill=true")</f>
        <v>3.93</v>
      </c>
      <c r="I40" s="24">
        <f ca="1">_xll.IMDP("IR", CHOOSE(code!$A$1, code!$B34, code!$C34), I$6, $B$4, "fill=true")</f>
        <v>4.01</v>
      </c>
      <c r="J40" s="24">
        <f ca="1">_xll.IMDP("IR", CHOOSE(code!$A$1, code!$B34, code!$C34), J$6, $B$4, "fill=true")</f>
        <v>4.05</v>
      </c>
      <c r="K40" s="24">
        <f ca="1">_xll.IMDP("IR", CHOOSE(code!$A$1, code!$B34, code!$C34), K$6, $B$4, "fill=true")</f>
        <v>4.0599999999999996</v>
      </c>
      <c r="L40" s="24">
        <f ca="1">_xll.IMDP("IR", CHOOSE(code!$A$1, code!$B34, code!$C34), L$6, $B$4, "fill=true")</f>
        <v>4.1900000000000004</v>
      </c>
      <c r="M40" s="24">
        <f ca="1">_xll.IMDP("IR", CHOOSE(code!$A$1, code!$B34, code!$C34), M$6, $B$4, "fill=true")</f>
        <v>4.4000000000000004</v>
      </c>
      <c r="N40" s="25">
        <f ca="1">_xll.IMDP("IR", CHOOSE(code!$A$1, code!$B34, code!$C34), N$6, $B$4, "fill=true")</f>
        <v>5.34</v>
      </c>
    </row>
    <row r="41" spans="2:14" s="21" customFormat="1" ht="13.5">
      <c r="B41" s="115"/>
      <c r="C41" s="22" t="str">
        <f>$C$11</f>
        <v>KIS</v>
      </c>
      <c r="D41" s="23">
        <f ca="1">_xll.IMDP("IR", CHOOSE(code!$A$1, code!$B35, code!$C35), D$6, $B$4, "fill=true")</f>
        <v>3.72</v>
      </c>
      <c r="E41" s="24">
        <f ca="1">_xll.IMDP("IR", CHOOSE(code!$A$1, code!$B35, code!$C35), E$6, $B$4, "fill=true")</f>
        <v>3.84</v>
      </c>
      <c r="F41" s="24" t="str">
        <f ca="1">IF( _xll.IMDP("IR", CHOOSE(code!$A$1, code!$B35, code!$C35), F$6, $B$4, "fill=true") = 0, "", _xll.IMDP("IR", CHOOSE(code!$A$1, code!$B35, code!$C35), F$6, $B$4, "fill=true") )</f>
        <v/>
      </c>
      <c r="G41" s="24">
        <f ca="1">_xll.IMDP("IR", CHOOSE(code!$A$1, code!$B35, code!$C35), G$6, $B$4, "fill=true")</f>
        <v>3.9</v>
      </c>
      <c r="H41" s="24">
        <f ca="1">_xll.IMDP("IR", CHOOSE(code!$A$1, code!$B35, code!$C35), H$6, $B$4, "fill=true")</f>
        <v>3.96</v>
      </c>
      <c r="I41" s="24">
        <f ca="1">_xll.IMDP("IR", CHOOSE(code!$A$1, code!$B35, code!$C35), I$6, $B$4, "fill=true")</f>
        <v>4</v>
      </c>
      <c r="J41" s="24">
        <f ca="1">_xll.IMDP("IR", CHOOSE(code!$A$1, code!$B35, code!$C35), J$6, $B$4, "fill=true")</f>
        <v>4.0599999999999996</v>
      </c>
      <c r="K41" s="24">
        <f ca="1">_xll.IMDP("IR", CHOOSE(code!$A$1, code!$B35, code!$C35), K$6, $B$4, "fill=true")</f>
        <v>4.12</v>
      </c>
      <c r="L41" s="24">
        <f ca="1">_xll.IMDP("IR", CHOOSE(code!$A$1, code!$B35, code!$C35), L$6, $B$4, "fill=true")</f>
        <v>4.2300000000000004</v>
      </c>
      <c r="M41" s="24">
        <f ca="1">_xll.IMDP("IR", CHOOSE(code!$A$1, code!$B35, code!$C35), M$6, $B$4, "fill=true")</f>
        <v>4.4800000000000004</v>
      </c>
      <c r="N41" s="25">
        <f ca="1">_xll.IMDP("IR", CHOOSE(code!$A$1, code!$B35, code!$C35), N$6, $B$4, "fill=true")</f>
        <v>4.88</v>
      </c>
    </row>
    <row r="42" spans="2:14" s="21" customFormat="1" ht="13.5">
      <c r="B42" s="115"/>
      <c r="C42" s="22" t="str">
        <f>$C$12</f>
        <v>NICE</v>
      </c>
      <c r="D42" s="23">
        <f ca="1">_xll.IMDP("IR", CHOOSE(code!$A$1, code!$B36, code!$C36), D$6, $B$4, "fill=true")</f>
        <v>3.73</v>
      </c>
      <c r="E42" s="24">
        <f ca="1">_xll.IMDP("IR", CHOOSE(code!$A$1, code!$B36, code!$C36), E$6, $B$4, "fill=true")</f>
        <v>3.83</v>
      </c>
      <c r="F42" s="24" t="str">
        <f ca="1">IF( _xll.IMDP("IR", CHOOSE(code!$A$1, code!$B36, code!$C36), F$6, $B$4, "fill=true") = 0, "", _xll.IMDP("IR", CHOOSE(code!$A$1, code!$B36, code!$C36), F$6, $B$4, "fill=true") )</f>
        <v/>
      </c>
      <c r="G42" s="24">
        <f ca="1">_xll.IMDP("IR", CHOOSE(code!$A$1, code!$B36, code!$C36), G$6, $B$4, "fill=true")</f>
        <v>3.9</v>
      </c>
      <c r="H42" s="24">
        <f ca="1">_xll.IMDP("IR", CHOOSE(code!$A$1, code!$B36, code!$C36), H$6, $B$4, "fill=true")</f>
        <v>3.95</v>
      </c>
      <c r="I42" s="24">
        <f ca="1">_xll.IMDP("IR", CHOOSE(code!$A$1, code!$B36, code!$C36), I$6, $B$4, "fill=true")</f>
        <v>4</v>
      </c>
      <c r="J42" s="24">
        <f ca="1">_xll.IMDP("IR", CHOOSE(code!$A$1, code!$B36, code!$C36), J$6, $B$4, "fill=true")</f>
        <v>4.05</v>
      </c>
      <c r="K42" s="24">
        <f ca="1">_xll.IMDP("IR", CHOOSE(code!$A$1, code!$B36, code!$C36), K$6, $B$4, "fill=true")</f>
        <v>4.12</v>
      </c>
      <c r="L42" s="24">
        <f ca="1">_xll.IMDP("IR", CHOOSE(code!$A$1, code!$B36, code!$C36), L$6, $B$4, "fill=true")</f>
        <v>4.21</v>
      </c>
      <c r="M42" s="24">
        <f ca="1">_xll.IMDP("IR", CHOOSE(code!$A$1, code!$B36, code!$C36), M$6, $B$4, "fill=true")</f>
        <v>4.45</v>
      </c>
      <c r="N42" s="25">
        <f ca="1">_xll.IMDP("IR", CHOOSE(code!$A$1, code!$B36, code!$C36), N$6, $B$4, "fill=true")</f>
        <v>4.62</v>
      </c>
    </row>
    <row r="43" spans="2:14" s="21" customFormat="1" ht="14.25" thickBot="1">
      <c r="B43" s="116"/>
      <c r="C43" s="26" t="str">
        <f>$C$13</f>
        <v>FN</v>
      </c>
      <c r="D43" s="27">
        <f ca="1">_xll.IMDP("IR", CHOOSE(code!$A$1, code!$B37, code!$C37), D$6, $B$4, "fill=true")</f>
        <v>3.79</v>
      </c>
      <c r="E43" s="28">
        <f ca="1">_xll.IMDP("IR", CHOOSE(code!$A$1, code!$B37, code!$C37), E$6, $B$4, "fill=true")</f>
        <v>3.85</v>
      </c>
      <c r="F43" s="28" t="str">
        <f ca="1">IF( _xll.IMDP("IR", CHOOSE(code!$A$1, code!$B37, code!$C37), F$6, $B$4, "fill=true") = 0, "", _xll.IMDP("IR", CHOOSE(code!$A$1, code!$B37, code!$C37), F$6, $B$4, "fill=true") )</f>
        <v/>
      </c>
      <c r="G43" s="28">
        <f ca="1">_xll.IMDP("IR", CHOOSE(code!$A$1, code!$B37, code!$C37), G$6, $B$4, "fill=true")</f>
        <v>3.93</v>
      </c>
      <c r="H43" s="28">
        <f ca="1">_xll.IMDP("IR", CHOOSE(code!$A$1, code!$B37, code!$C37), H$6, $B$4, "fill=true")</f>
        <v>3.96</v>
      </c>
      <c r="I43" s="28">
        <f ca="1">_xll.IMDP("IR", CHOOSE(code!$A$1, code!$B37, code!$C37), I$6, $B$4, "fill=true")</f>
        <v>4</v>
      </c>
      <c r="J43" s="28">
        <f ca="1">_xll.IMDP("IR", CHOOSE(code!$A$1, code!$B37, code!$C37), J$6, $B$4, "fill=true")</f>
        <v>4.04</v>
      </c>
      <c r="K43" s="28">
        <f ca="1">_xll.IMDP("IR", CHOOSE(code!$A$1, code!$B37, code!$C37), K$6, $B$4, "fill=true")</f>
        <v>4.09</v>
      </c>
      <c r="L43" s="28">
        <f ca="1">_xll.IMDP("IR", CHOOSE(code!$A$1, code!$B37, code!$C37), L$6, $B$4, "fill=true")</f>
        <v>4.37</v>
      </c>
      <c r="M43" s="28">
        <f ca="1">_xll.IMDP("IR", CHOOSE(code!$A$1, code!$B37, code!$C37), M$6, $B$4, "fill=true")</f>
        <v>4.53</v>
      </c>
      <c r="N43" s="29">
        <f ca="1">_xll.IMDP("IR", CHOOSE(code!$A$1, code!$B37, code!$C37), N$6, $B$4, "fill=true")</f>
        <v>4.6399999999999997</v>
      </c>
    </row>
    <row r="44" spans="2:14" s="21" customFormat="1" ht="13.5">
      <c r="B44" s="114" t="str" cm="1">
        <f t="array" ref="B44">INDEX(code!$E$2:$F$9, 7, code!$A$1)</f>
        <v>A-</v>
      </c>
      <c r="C44" s="17" t="str">
        <f>$C$8</f>
        <v>3사 평균</v>
      </c>
      <c r="D44" s="18">
        <f ca="1">_xll.IMDP("IR", CHOOSE(code!$A$1, code!$B38, code!$C38), D$6, $B$4, "fill=true")</f>
        <v>3.78</v>
      </c>
      <c r="E44" s="19">
        <f ca="1">_xll.IMDP("IR", CHOOSE(code!$A$1, code!$B38, code!$C38), E$6, $B$4, "fill=true")</f>
        <v>3.88</v>
      </c>
      <c r="F44" s="19" t="str">
        <f ca="1">IF( _xll.IMDP("IR", CHOOSE(code!$A$1, code!$B38, code!$C38), F$6, $B$4, "fill=true") = 0, "", _xll.IMDP("IR", CHOOSE(code!$A$1, code!$B38, code!$C38), F$6, $B$4, "fill=true") )</f>
        <v/>
      </c>
      <c r="G44" s="19">
        <f ca="1">_xll.IMDP("IR", CHOOSE(code!$A$1, code!$B38, code!$C38), G$6, $B$4, "fill=true")</f>
        <v>3.95</v>
      </c>
      <c r="H44" s="19">
        <f ca="1">_xll.IMDP("IR", CHOOSE(code!$A$1, code!$B38, code!$C38), H$6, $B$4, "fill=true")</f>
        <v>4</v>
      </c>
      <c r="I44" s="19">
        <f ca="1">_xll.IMDP("IR", CHOOSE(code!$A$1, code!$B38, code!$C38), I$6, $B$4, "fill=true")</f>
        <v>4.05</v>
      </c>
      <c r="J44" s="19">
        <f ca="1">_xll.IMDP("IR", CHOOSE(code!$A$1, code!$B38, code!$C38), J$6, $B$4, "fill=true")</f>
        <v>4.0999999999999996</v>
      </c>
      <c r="K44" s="19">
        <f ca="1">_xll.IMDP("IR", CHOOSE(code!$A$1, code!$B38, code!$C38), K$6, $B$4, "fill=true")</f>
        <v>4.1500000000000004</v>
      </c>
      <c r="L44" s="19">
        <f ca="1">_xll.IMDP("IR", CHOOSE(code!$A$1, code!$B38, code!$C38), L$6, $B$4, "fill=true")</f>
        <v>4.26</v>
      </c>
      <c r="M44" s="19">
        <f ca="1">_xll.IMDP("IR", CHOOSE(code!$A$1, code!$B38, code!$C38), M$6, $B$4, "fill=true")</f>
        <v>4.5199999999999996</v>
      </c>
      <c r="N44" s="20">
        <f ca="1">_xll.IMDP("IR", CHOOSE(code!$A$1, code!$B38, code!$C38), N$6, $B$4, "fill=true")</f>
        <v>5.01</v>
      </c>
    </row>
    <row r="45" spans="2:14" s="21" customFormat="1" ht="13.5">
      <c r="B45" s="115"/>
      <c r="C45" s="22" t="str">
        <f>$C$9</f>
        <v>4사 평균</v>
      </c>
      <c r="D45" s="23">
        <f ca="1">_xll.IMDP("IR", CHOOSE(code!$A$1, code!$B39, code!$C39), D$6, $B$4, "fill=true")</f>
        <v>3.79</v>
      </c>
      <c r="E45" s="24">
        <f ca="1">_xll.IMDP("IR", CHOOSE(code!$A$1, code!$B39, code!$C39), E$6, $B$4, "fill=true")</f>
        <v>3.88</v>
      </c>
      <c r="F45" s="24" t="str">
        <f ca="1">IF( _xll.IMDP("IR", CHOOSE(code!$A$1, code!$B39, code!$C39), F$6, $B$4, "fill=true") = 0, "", _xll.IMDP("IR", CHOOSE(code!$A$1, code!$B39, code!$C39), F$6, $B$4, "fill=true") )</f>
        <v/>
      </c>
      <c r="G45" s="24">
        <f ca="1">_xll.IMDP("IR", CHOOSE(code!$A$1, code!$B39, code!$C39), G$6, $B$4, "fill=true")</f>
        <v>3.96</v>
      </c>
      <c r="H45" s="24">
        <f ca="1">_xll.IMDP("IR", CHOOSE(code!$A$1, code!$B39, code!$C39), H$6, $B$4, "fill=true")</f>
        <v>4.01</v>
      </c>
      <c r="I45" s="24">
        <f ca="1">_xll.IMDP("IR", CHOOSE(code!$A$1, code!$B39, code!$C39), I$6, $B$4, "fill=true")</f>
        <v>4.05</v>
      </c>
      <c r="J45" s="24">
        <f ca="1">_xll.IMDP("IR", CHOOSE(code!$A$1, code!$B39, code!$C39), J$6, $B$4, "fill=true")</f>
        <v>4.0999999999999996</v>
      </c>
      <c r="K45" s="24">
        <f ca="1">_xll.IMDP("IR", CHOOSE(code!$A$1, code!$B39, code!$C39), K$6, $B$4, "fill=true")</f>
        <v>4.1399999999999997</v>
      </c>
      <c r="L45" s="24">
        <f ca="1">_xll.IMDP("IR", CHOOSE(code!$A$1, code!$B39, code!$C39), L$6, $B$4, "fill=true")</f>
        <v>4.3</v>
      </c>
      <c r="M45" s="24">
        <f ca="1">_xll.IMDP("IR", CHOOSE(code!$A$1, code!$B39, code!$C39), M$6, $B$4, "fill=true")</f>
        <v>4.54</v>
      </c>
      <c r="N45" s="25">
        <f ca="1">_xll.IMDP("IR", CHOOSE(code!$A$1, code!$B39, code!$C39), N$6, $B$4, "fill=true")</f>
        <v>4.9400000000000004</v>
      </c>
    </row>
    <row r="46" spans="2:14" s="21" customFormat="1" ht="13.5">
      <c r="B46" s="115"/>
      <c r="C46" s="22" t="str">
        <f>$C$10</f>
        <v>KAP</v>
      </c>
      <c r="D46" s="23">
        <f ca="1">_xll.IMDP("IR", CHOOSE(code!$A$1, code!$B40, code!$C40), D$6, $B$4, "fill=true")</f>
        <v>3.8</v>
      </c>
      <c r="E46" s="24">
        <f ca="1">_xll.IMDP("IR", CHOOSE(code!$A$1, code!$B40, code!$C40), E$6, $B$4, "fill=true")</f>
        <v>3.87</v>
      </c>
      <c r="F46" s="24" t="str">
        <f ca="1">IF( _xll.IMDP("IR", CHOOSE(code!$A$1, code!$B40, code!$C40), F$6, $B$4, "fill=true") = 0, "", _xll.IMDP("IR", CHOOSE(code!$A$1, code!$B40, code!$C40), F$6, $B$4, "fill=true") )</f>
        <v/>
      </c>
      <c r="G46" s="24">
        <f ca="1">_xll.IMDP("IR", CHOOSE(code!$A$1, code!$B40, code!$C40), G$6, $B$4, "fill=true")</f>
        <v>3.95</v>
      </c>
      <c r="H46" s="24">
        <f ca="1">_xll.IMDP("IR", CHOOSE(code!$A$1, code!$B40, code!$C40), H$6, $B$4, "fill=true")</f>
        <v>4</v>
      </c>
      <c r="I46" s="24">
        <f ca="1">_xll.IMDP("IR", CHOOSE(code!$A$1, code!$B40, code!$C40), I$6, $B$4, "fill=true")</f>
        <v>4.05</v>
      </c>
      <c r="J46" s="24">
        <f ca="1">_xll.IMDP("IR", CHOOSE(code!$A$1, code!$B40, code!$C40), J$6, $B$4, "fill=true")</f>
        <v>4.09</v>
      </c>
      <c r="K46" s="24">
        <f ca="1">_xll.IMDP("IR", CHOOSE(code!$A$1, code!$B40, code!$C40), K$6, $B$4, "fill=true")</f>
        <v>4.0999999999999996</v>
      </c>
      <c r="L46" s="24">
        <f ca="1">_xll.IMDP("IR", CHOOSE(code!$A$1, code!$B40, code!$C40), L$6, $B$4, "fill=true")</f>
        <v>4.25</v>
      </c>
      <c r="M46" s="24">
        <f ca="1">_xll.IMDP("IR", CHOOSE(code!$A$1, code!$B40, code!$C40), M$6, $B$4, "fill=true")</f>
        <v>4.49</v>
      </c>
      <c r="N46" s="25">
        <f ca="1">_xll.IMDP("IR", CHOOSE(code!$A$1, code!$B40, code!$C40), N$6, $B$4, "fill=true")</f>
        <v>5.43</v>
      </c>
    </row>
    <row r="47" spans="2:14" s="21" customFormat="1" ht="13.5">
      <c r="B47" s="115"/>
      <c r="C47" s="22" t="str">
        <f>$C$11</f>
        <v>KIS</v>
      </c>
      <c r="D47" s="23">
        <f ca="1">_xll.IMDP("IR", CHOOSE(code!$A$1, code!$B41, code!$C41), D$6, $B$4, "fill=true")</f>
        <v>3.77</v>
      </c>
      <c r="E47" s="24">
        <f ca="1">_xll.IMDP("IR", CHOOSE(code!$A$1, code!$B41, code!$C41), E$6, $B$4, "fill=true")</f>
        <v>3.89</v>
      </c>
      <c r="F47" s="24" t="str">
        <f ca="1">IF( _xll.IMDP("IR", CHOOSE(code!$A$1, code!$B41, code!$C41), F$6, $B$4, "fill=true") = 0, "", _xll.IMDP("IR", CHOOSE(code!$A$1, code!$B41, code!$C41), F$6, $B$4, "fill=true") )</f>
        <v/>
      </c>
      <c r="G47" s="24">
        <f ca="1">_xll.IMDP("IR", CHOOSE(code!$A$1, code!$B41, code!$C41), G$6, $B$4, "fill=true")</f>
        <v>3.95</v>
      </c>
      <c r="H47" s="24">
        <f ca="1">_xll.IMDP("IR", CHOOSE(code!$A$1, code!$B41, code!$C41), H$6, $B$4, "fill=true")</f>
        <v>4.01</v>
      </c>
      <c r="I47" s="24">
        <f ca="1">_xll.IMDP("IR", CHOOSE(code!$A$1, code!$B41, code!$C41), I$6, $B$4, "fill=true")</f>
        <v>4.05</v>
      </c>
      <c r="J47" s="24">
        <f ca="1">_xll.IMDP("IR", CHOOSE(code!$A$1, code!$B41, code!$C41), J$6, $B$4, "fill=true")</f>
        <v>4.12</v>
      </c>
      <c r="K47" s="24">
        <f ca="1">_xll.IMDP("IR", CHOOSE(code!$A$1, code!$B41, code!$C41), K$6, $B$4, "fill=true")</f>
        <v>4.18</v>
      </c>
      <c r="L47" s="24">
        <f ca="1">_xll.IMDP("IR", CHOOSE(code!$A$1, code!$B41, code!$C41), L$6, $B$4, "fill=true")</f>
        <v>4.29</v>
      </c>
      <c r="M47" s="24">
        <f ca="1">_xll.IMDP("IR", CHOOSE(code!$A$1, code!$B41, code!$C41), M$6, $B$4, "fill=true")</f>
        <v>4.5599999999999996</v>
      </c>
      <c r="N47" s="25">
        <f ca="1">_xll.IMDP("IR", CHOOSE(code!$A$1, code!$B41, code!$C41), N$6, $B$4, "fill=true")</f>
        <v>4.95</v>
      </c>
    </row>
    <row r="48" spans="2:14" s="21" customFormat="1" ht="13.5">
      <c r="B48" s="115"/>
      <c r="C48" s="22" t="str">
        <f>$C$12</f>
        <v>NICE</v>
      </c>
      <c r="D48" s="23">
        <f ca="1">_xll.IMDP("IR", CHOOSE(code!$A$1, code!$B42, code!$C42), D$6, $B$4, "fill=true")</f>
        <v>3.77</v>
      </c>
      <c r="E48" s="24">
        <f ca="1">_xll.IMDP("IR", CHOOSE(code!$A$1, code!$B42, code!$C42), E$6, $B$4, "fill=true")</f>
        <v>3.88</v>
      </c>
      <c r="F48" s="24" t="str">
        <f ca="1">IF( _xll.IMDP("IR", CHOOSE(code!$A$1, code!$B42, code!$C42), F$6, $B$4, "fill=true") = 0, "", _xll.IMDP("IR", CHOOSE(code!$A$1, code!$B42, code!$C42), F$6, $B$4, "fill=true") )</f>
        <v/>
      </c>
      <c r="G48" s="24">
        <f ca="1">_xll.IMDP("IR", CHOOSE(code!$A$1, code!$B42, code!$C42), G$6, $B$4, "fill=true")</f>
        <v>3.96</v>
      </c>
      <c r="H48" s="24">
        <f ca="1">_xll.IMDP("IR", CHOOSE(code!$A$1, code!$B42, code!$C42), H$6, $B$4, "fill=true")</f>
        <v>4.01</v>
      </c>
      <c r="I48" s="24">
        <f ca="1">_xll.IMDP("IR", CHOOSE(code!$A$1, code!$B42, code!$C42), I$6, $B$4, "fill=true")</f>
        <v>4.0599999999999996</v>
      </c>
      <c r="J48" s="24">
        <f ca="1">_xll.IMDP("IR", CHOOSE(code!$A$1, code!$B42, code!$C42), J$6, $B$4, "fill=true")</f>
        <v>4.1100000000000003</v>
      </c>
      <c r="K48" s="24">
        <f ca="1">_xll.IMDP("IR", CHOOSE(code!$A$1, code!$B42, code!$C42), K$6, $B$4, "fill=true")</f>
        <v>4.18</v>
      </c>
      <c r="L48" s="24">
        <f ca="1">_xll.IMDP("IR", CHOOSE(code!$A$1, code!$B42, code!$C42), L$6, $B$4, "fill=true")</f>
        <v>4.26</v>
      </c>
      <c r="M48" s="24">
        <f ca="1">_xll.IMDP("IR", CHOOSE(code!$A$1, code!$B42, code!$C42), M$6, $B$4, "fill=true")</f>
        <v>4.51</v>
      </c>
      <c r="N48" s="25">
        <f ca="1">_xll.IMDP("IR", CHOOSE(code!$A$1, code!$B42, code!$C42), N$6, $B$4, "fill=true")</f>
        <v>4.67</v>
      </c>
    </row>
    <row r="49" spans="2:14" s="21" customFormat="1" ht="14.25" thickBot="1">
      <c r="B49" s="116"/>
      <c r="C49" s="26" t="str">
        <f>$C$13</f>
        <v>FN</v>
      </c>
      <c r="D49" s="27">
        <f ca="1">_xll.IMDP("IR", CHOOSE(code!$A$1, code!$B43, code!$C43), D$6, $B$4, "fill=true")</f>
        <v>3.83</v>
      </c>
      <c r="E49" s="28">
        <f ca="1">_xll.IMDP("IR", CHOOSE(code!$A$1, code!$B43, code!$C43), E$6, $B$4, "fill=true")</f>
        <v>3.89</v>
      </c>
      <c r="F49" s="28" t="str">
        <f ca="1">IF( _xll.IMDP("IR", CHOOSE(code!$A$1, code!$B43, code!$C43), F$6, $B$4, "fill=true") = 0, "", _xll.IMDP("IR", CHOOSE(code!$A$1, code!$B43, code!$C43), F$6, $B$4, "fill=true") )</f>
        <v/>
      </c>
      <c r="G49" s="28">
        <f ca="1">_xll.IMDP("IR", CHOOSE(code!$A$1, code!$B43, code!$C43), G$6, $B$4, "fill=true")</f>
        <v>3.99</v>
      </c>
      <c r="H49" s="28">
        <f ca="1">_xll.IMDP("IR", CHOOSE(code!$A$1, code!$B43, code!$C43), H$6, $B$4, "fill=true")</f>
        <v>4.0199999999999996</v>
      </c>
      <c r="I49" s="28">
        <f ca="1">_xll.IMDP("IR", CHOOSE(code!$A$1, code!$B43, code!$C43), I$6, $B$4, "fill=true")</f>
        <v>4.04</v>
      </c>
      <c r="J49" s="28">
        <f ca="1">_xll.IMDP("IR", CHOOSE(code!$A$1, code!$B43, code!$C43), J$6, $B$4, "fill=true")</f>
        <v>4.09</v>
      </c>
      <c r="K49" s="28">
        <f ca="1">_xll.IMDP("IR", CHOOSE(code!$A$1, code!$B43, code!$C43), K$6, $B$4, "fill=true")</f>
        <v>4.13</v>
      </c>
      <c r="L49" s="28">
        <f ca="1">_xll.IMDP("IR", CHOOSE(code!$A$1, code!$B43, code!$C43), L$6, $B$4, "fill=true")</f>
        <v>4.41</v>
      </c>
      <c r="M49" s="28">
        <f ca="1">_xll.IMDP("IR", CHOOSE(code!$A$1, code!$B43, code!$C43), M$6, $B$4, "fill=true")</f>
        <v>4.62</v>
      </c>
      <c r="N49" s="29">
        <f ca="1">_xll.IMDP("IR", CHOOSE(code!$A$1, code!$B43, code!$C43), N$6, $B$4, "fill=true")</f>
        <v>4.7300000000000004</v>
      </c>
    </row>
    <row r="50" spans="2:14" s="21" customFormat="1" ht="13.5">
      <c r="B50" s="114" t="str" cm="1">
        <f t="array" ref="B50">INDEX(code!$E$2:$F$9, 8, code!$A$1)</f>
        <v>BBB</v>
      </c>
      <c r="C50" s="17" t="str">
        <f>IF( code!$A$1=2, "", $C8  )</f>
        <v>3사 평균</v>
      </c>
      <c r="D50" s="18">
        <f ca="1">_xll.IMDP("IR", CHOOSE(code!$A$1, code!$B44, code!$C44), D$6, $B$4, "fill=true")</f>
        <v>3.9</v>
      </c>
      <c r="E50" s="19">
        <f ca="1">_xll.IMDP("IR", CHOOSE(code!$A$1, code!$B44, code!$C44), E$6, $B$4, "fill=true")</f>
        <v>4.0199999999999996</v>
      </c>
      <c r="F50" s="19" t="str">
        <f ca="1">IF( _xll.IMDP("IR", CHOOSE(code!$A$1, code!$B44, code!$C44), F$6, $B$4, "fill=true") = 0, "", _xll.IMDP("IR", CHOOSE(code!$A$1, code!$B44, code!$C44), F$6, $B$4, "fill=true") )</f>
        <v/>
      </c>
      <c r="G50" s="19">
        <f ca="1">_xll.IMDP("IR", CHOOSE(code!$A$1, code!$B44, code!$C44), G$6, $B$4, "fill=true")</f>
        <v>4.1100000000000003</v>
      </c>
      <c r="H50" s="19">
        <f ca="1">_xll.IMDP("IR", CHOOSE(code!$A$1, code!$B44, code!$C44), H$6, $B$4, "fill=true")</f>
        <v>4.18</v>
      </c>
      <c r="I50" s="19">
        <f ca="1">_xll.IMDP("IR", CHOOSE(code!$A$1, code!$B44, code!$C44), I$6, $B$4, "fill=true")</f>
        <v>4.2300000000000004</v>
      </c>
      <c r="J50" s="19">
        <f ca="1">_xll.IMDP("IR", CHOOSE(code!$A$1, code!$B44, code!$C44), J$6, $B$4, "fill=true")</f>
        <v>4.29</v>
      </c>
      <c r="K50" s="19">
        <f ca="1">_xll.IMDP("IR", CHOOSE(code!$A$1, code!$B44, code!$C44), K$6, $B$4, "fill=true")</f>
        <v>4.3499999999999996</v>
      </c>
      <c r="L50" s="19">
        <f ca="1">_xll.IMDP("IR", CHOOSE(code!$A$1, code!$B44, code!$C44), L$6, $B$4, "fill=true")</f>
        <v>4.4800000000000004</v>
      </c>
      <c r="M50" s="19">
        <f ca="1">_xll.IMDP("IR", CHOOSE(code!$A$1, code!$B44, code!$C44), M$6, $B$4, "fill=true")</f>
        <v>4.83</v>
      </c>
      <c r="N50" s="20">
        <f ca="1">_xll.IMDP("IR", CHOOSE(code!$A$1, code!$B44, code!$C44), N$6, $B$4, "fill=true")</f>
        <v>5.6</v>
      </c>
    </row>
    <row r="51" spans="2:14" s="21" customFormat="1" ht="13.5">
      <c r="B51" s="115"/>
      <c r="C51" s="22" t="str">
        <f>IF( code!$A$1=2, "", $C9  )</f>
        <v>4사 평균</v>
      </c>
      <c r="D51" s="23">
        <f ca="1">_xll.IMDP("IR", CHOOSE(code!$A$1, code!$B45, code!$C45), D$6, $B$4, "fill=true")</f>
        <v>3.92</v>
      </c>
      <c r="E51" s="24">
        <f ca="1">_xll.IMDP("IR", CHOOSE(code!$A$1, code!$B45, code!$C45), E$6, $B$4, "fill=true")</f>
        <v>4.0199999999999996</v>
      </c>
      <c r="F51" s="24" t="str">
        <f ca="1">IF( _xll.IMDP("IR", CHOOSE(code!$A$1, code!$B45, code!$C45), F$6, $B$4, "fill=true") = 0, "", _xll.IMDP("IR", CHOOSE(code!$A$1, code!$B45, code!$C45), F$6, $B$4, "fill=true") )</f>
        <v/>
      </c>
      <c r="G51" s="24">
        <f ca="1">_xll.IMDP("IR", CHOOSE(code!$A$1, code!$B45, code!$C45), G$6, $B$4, "fill=true")</f>
        <v>4.12</v>
      </c>
      <c r="H51" s="24">
        <f ca="1">_xll.IMDP("IR", CHOOSE(code!$A$1, code!$B45, code!$C45), H$6, $B$4, "fill=true")</f>
        <v>4.18</v>
      </c>
      <c r="I51" s="24">
        <f ca="1">_xll.IMDP("IR", CHOOSE(code!$A$1, code!$B45, code!$C45), I$6, $B$4, "fill=true")</f>
        <v>4.2300000000000004</v>
      </c>
      <c r="J51" s="24">
        <f ca="1">_xll.IMDP("IR", CHOOSE(code!$A$1, code!$B45, code!$C45), J$6, $B$4, "fill=true")</f>
        <v>4.28</v>
      </c>
      <c r="K51" s="24">
        <f ca="1">_xll.IMDP("IR", CHOOSE(code!$A$1, code!$B45, code!$C45), K$6, $B$4, "fill=true")</f>
        <v>4.34</v>
      </c>
      <c r="L51" s="24">
        <f ca="1">_xll.IMDP("IR", CHOOSE(code!$A$1, code!$B45, code!$C45), L$6, $B$4, "fill=true")</f>
        <v>4.53</v>
      </c>
      <c r="M51" s="24">
        <f ca="1">_xll.IMDP("IR", CHOOSE(code!$A$1, code!$B45, code!$C45), M$6, $B$4, "fill=true")</f>
        <v>4.8499999999999996</v>
      </c>
      <c r="N51" s="25">
        <f ca="1">_xll.IMDP("IR", CHOOSE(code!$A$1, code!$B45, code!$C45), N$6, $B$4, "fill=true")</f>
        <v>5.41</v>
      </c>
    </row>
    <row r="52" spans="2:14" s="21" customFormat="1" ht="13.5">
      <c r="B52" s="115"/>
      <c r="C52" s="22" t="str">
        <f>IF( code!$A$1=2, "", $C10  )</f>
        <v>KAP</v>
      </c>
      <c r="D52" s="23">
        <f ca="1">_xll.IMDP("IR", CHOOSE(code!$A$1, code!$B46, code!$C46), D$6, $B$4, "fill=true")</f>
        <v>3.96</v>
      </c>
      <c r="E52" s="24">
        <f ca="1">_xll.IMDP("IR", CHOOSE(code!$A$1, code!$B46, code!$C46), E$6, $B$4, "fill=true")</f>
        <v>4.04</v>
      </c>
      <c r="F52" s="24" t="str">
        <f ca="1">IF( _xll.IMDP("IR", CHOOSE(code!$A$1, code!$B46, code!$C46), F$6, $B$4, "fill=true") = 0, "", _xll.IMDP("IR", CHOOSE(code!$A$1, code!$B46, code!$C46), F$6, $B$4, "fill=true") )</f>
        <v/>
      </c>
      <c r="G52" s="24">
        <f ca="1">_xll.IMDP("IR", CHOOSE(code!$A$1, code!$B46, code!$C46), G$6, $B$4, "fill=true")</f>
        <v>4.13</v>
      </c>
      <c r="H52" s="24">
        <f ca="1">_xll.IMDP("IR", CHOOSE(code!$A$1, code!$B46, code!$C46), H$6, $B$4, "fill=true")</f>
        <v>4.18</v>
      </c>
      <c r="I52" s="24">
        <f ca="1">_xll.IMDP("IR", CHOOSE(code!$A$1, code!$B46, code!$C46), I$6, $B$4, "fill=true")</f>
        <v>4.24</v>
      </c>
      <c r="J52" s="24">
        <f ca="1">_xll.IMDP("IR", CHOOSE(code!$A$1, code!$B46, code!$C46), J$6, $B$4, "fill=true")</f>
        <v>4.29</v>
      </c>
      <c r="K52" s="24">
        <f ca="1">_xll.IMDP("IR", CHOOSE(code!$A$1, code!$B46, code!$C46), K$6, $B$4, "fill=true")</f>
        <v>4.3099999999999996</v>
      </c>
      <c r="L52" s="24">
        <f ca="1">_xll.IMDP("IR", CHOOSE(code!$A$1, code!$B46, code!$C46), L$6, $B$4, "fill=true")</f>
        <v>4.47</v>
      </c>
      <c r="M52" s="24">
        <f ca="1">_xll.IMDP("IR", CHOOSE(code!$A$1, code!$B46, code!$C46), M$6, $B$4, "fill=true")</f>
        <v>4.78</v>
      </c>
      <c r="N52" s="25">
        <f ca="1">_xll.IMDP("IR", CHOOSE(code!$A$1, code!$B46, code!$C46), N$6, $B$4, "fill=true")</f>
        <v>5.83</v>
      </c>
    </row>
    <row r="53" spans="2:14" s="21" customFormat="1" ht="13.5">
      <c r="B53" s="115"/>
      <c r="C53" s="22" t="str">
        <f>IF( code!$A$1=2, "", $C11  )</f>
        <v>KIS</v>
      </c>
      <c r="D53" s="23">
        <f ca="1">_xll.IMDP("IR", CHOOSE(code!$A$1, code!$B47, code!$C47), D$6, $B$4, "fill=true")</f>
        <v>3.85</v>
      </c>
      <c r="E53" s="24">
        <f ca="1">_xll.IMDP("IR", CHOOSE(code!$A$1, code!$B47, code!$C47), E$6, $B$4, "fill=true")</f>
        <v>4.01</v>
      </c>
      <c r="F53" s="24" t="str">
        <f ca="1">IF( _xll.IMDP("IR", CHOOSE(code!$A$1, code!$B47, code!$C47), F$6, $B$4, "fill=true") = 0, "", _xll.IMDP("IR", CHOOSE(code!$A$1, code!$B47, code!$C47), F$6, $B$4, "fill=true") )</f>
        <v/>
      </c>
      <c r="G53" s="24">
        <f ca="1">_xll.IMDP("IR", CHOOSE(code!$A$1, code!$B47, code!$C47), G$6, $B$4, "fill=true")</f>
        <v>4.09</v>
      </c>
      <c r="H53" s="24">
        <f ca="1">_xll.IMDP("IR", CHOOSE(code!$A$1, code!$B47, code!$C47), H$6, $B$4, "fill=true")</f>
        <v>4.18</v>
      </c>
      <c r="I53" s="24">
        <f ca="1">_xll.IMDP("IR", CHOOSE(code!$A$1, code!$B47, code!$C47), I$6, $B$4, "fill=true")</f>
        <v>4.22</v>
      </c>
      <c r="J53" s="24">
        <f ca="1">_xll.IMDP("IR", CHOOSE(code!$A$1, code!$B47, code!$C47), J$6, $B$4, "fill=true")</f>
        <v>4.29</v>
      </c>
      <c r="K53" s="24">
        <f ca="1">_xll.IMDP("IR", CHOOSE(code!$A$1, code!$B47, code!$C47), K$6, $B$4, "fill=true")</f>
        <v>4.3899999999999997</v>
      </c>
      <c r="L53" s="24">
        <f ca="1">_xll.IMDP("IR", CHOOSE(code!$A$1, code!$B47, code!$C47), L$6, $B$4, "fill=true")</f>
        <v>4.5</v>
      </c>
      <c r="M53" s="24">
        <f ca="1">_xll.IMDP("IR", CHOOSE(code!$A$1, code!$B47, code!$C47), M$6, $B$4, "fill=true")</f>
        <v>4.88</v>
      </c>
      <c r="N53" s="25">
        <f ca="1">_xll.IMDP("IR", CHOOSE(code!$A$1, code!$B47, code!$C47), N$6, $B$4, "fill=true")</f>
        <v>5.37</v>
      </c>
    </row>
    <row r="54" spans="2:14" s="21" customFormat="1" ht="13.5">
      <c r="B54" s="115"/>
      <c r="C54" s="22" t="str">
        <f>IF( code!$A$1=2, "", $C12  )</f>
        <v>NICE</v>
      </c>
      <c r="D54" s="23" t="str">
        <f ca="1">_xll.IMDP("IR", CHOOSE(code!$A$1, code!$B48, code!$C48), D$6, $B$4, "fill=true")</f>
        <v/>
      </c>
      <c r="E54" s="24" t="str">
        <f ca="1">_xll.IMDP("IR", CHOOSE(code!$A$1, code!$B48, code!$C48), E$6, $B$4, "fill=true")</f>
        <v/>
      </c>
      <c r="F54" s="24" t="str">
        <f ca="1">IF( _xll.IMDP("IR", CHOOSE(code!$A$1, code!$B48, code!$C48), F$6, $B$4, "fill=true") = 0, "", _xll.IMDP("IR", CHOOSE(code!$A$1, code!$B48, code!$C48), F$6, $B$4, "fill=true") )</f>
        <v/>
      </c>
      <c r="G54" s="24" t="str">
        <f ca="1">_xll.IMDP("IR", CHOOSE(code!$A$1, code!$B48, code!$C48), G$6, $B$4, "fill=true")</f>
        <v/>
      </c>
      <c r="H54" s="24" t="str">
        <f ca="1">_xll.IMDP("IR", CHOOSE(code!$A$1, code!$B48, code!$C48), H$6, $B$4, "fill=true")</f>
        <v/>
      </c>
      <c r="I54" s="24" t="str">
        <f ca="1">_xll.IMDP("IR", CHOOSE(code!$A$1, code!$B48, code!$C48), I$6, $B$4, "fill=true")</f>
        <v/>
      </c>
      <c r="J54" s="24" t="str">
        <f ca="1">_xll.IMDP("IR", CHOOSE(code!$A$1, code!$B48, code!$C48), J$6, $B$4, "fill=true")</f>
        <v/>
      </c>
      <c r="K54" s="24" t="str">
        <f ca="1">_xll.IMDP("IR", CHOOSE(code!$A$1, code!$B48, code!$C48), K$6, $B$4, "fill=true")</f>
        <v/>
      </c>
      <c r="L54" s="24" t="str">
        <f ca="1">_xll.IMDP("IR", CHOOSE(code!$A$1, code!$B48, code!$C48), L$6, $B$4, "fill=true")</f>
        <v/>
      </c>
      <c r="M54" s="24" t="str">
        <f ca="1">_xll.IMDP("IR", CHOOSE(code!$A$1, code!$B48, code!$C48), M$6, $B$4, "fill=true")</f>
        <v/>
      </c>
      <c r="N54" s="25" t="str">
        <f ca="1">_xll.IMDP("IR", CHOOSE(code!$A$1, code!$B48, code!$C48), N$6, $B$4, "fill=true")</f>
        <v/>
      </c>
    </row>
    <row r="55" spans="2:14" s="21" customFormat="1" ht="14.25" thickBot="1">
      <c r="B55" s="116"/>
      <c r="C55" s="26" t="str">
        <f>IF( code!$A$1=2, "", $C13  )</f>
        <v>FN</v>
      </c>
      <c r="D55" s="27">
        <f ca="1">_xll.IMDP("IR", CHOOSE(code!$A$1, code!$B49, code!$C49), D$6, $B$4, "fill=true")</f>
        <v>3.96</v>
      </c>
      <c r="E55" s="28">
        <f ca="1">_xll.IMDP("IR", CHOOSE(code!$A$1, code!$B49, code!$C49), E$6, $B$4, "fill=true")</f>
        <v>4.0199999999999996</v>
      </c>
      <c r="F55" s="28" t="str">
        <f ca="1">IF( _xll.IMDP("IR", CHOOSE(code!$A$1, code!$B49, code!$C49), F$6, $B$4, "fill=true") = 0, "", _xll.IMDP("IR", CHOOSE(code!$A$1, code!$B49, code!$C49), F$6, $B$4, "fill=true") )</f>
        <v/>
      </c>
      <c r="G55" s="28">
        <f ca="1">_xll.IMDP("IR", CHOOSE(code!$A$1, code!$B49, code!$C49), G$6, $B$4, "fill=true")</f>
        <v>4.1399999999999997</v>
      </c>
      <c r="H55" s="28">
        <f ca="1">_xll.IMDP("IR", CHOOSE(code!$A$1, code!$B49, code!$C49), H$6, $B$4, "fill=true")</f>
        <v>4.1900000000000004</v>
      </c>
      <c r="I55" s="28">
        <f ca="1">_xll.IMDP("IR", CHOOSE(code!$A$1, code!$B49, code!$C49), I$6, $B$4, "fill=true")</f>
        <v>4.2300000000000004</v>
      </c>
      <c r="J55" s="28">
        <f ca="1">_xll.IMDP("IR", CHOOSE(code!$A$1, code!$B49, code!$C49), J$6, $B$4, "fill=true")</f>
        <v>4.2699999999999996</v>
      </c>
      <c r="K55" s="28">
        <f ca="1">_xll.IMDP("IR", CHOOSE(code!$A$1, code!$B49, code!$C49), K$6, $B$4, "fill=true")</f>
        <v>4.33</v>
      </c>
      <c r="L55" s="28">
        <f ca="1">_xll.IMDP("IR", CHOOSE(code!$A$1, code!$B49, code!$C49), L$6, $B$4, "fill=true")</f>
        <v>4.62</v>
      </c>
      <c r="M55" s="28">
        <f ca="1">_xll.IMDP("IR", CHOOSE(code!$A$1, code!$B49, code!$C49), M$6, $B$4, "fill=true")</f>
        <v>4.91</v>
      </c>
      <c r="N55" s="29">
        <f ca="1">_xll.IMDP("IR", CHOOSE(code!$A$1, code!$B49, code!$C49), N$6, $B$4, "fill=true")</f>
        <v>5.04</v>
      </c>
    </row>
  </sheetData>
  <mergeCells count="9">
    <mergeCell ref="B4:C4"/>
    <mergeCell ref="B14:B19"/>
    <mergeCell ref="B8:B13"/>
    <mergeCell ref="B50:B55"/>
    <mergeCell ref="B44:B49"/>
    <mergeCell ref="B38:B43"/>
    <mergeCell ref="B32:B37"/>
    <mergeCell ref="B26:B31"/>
    <mergeCell ref="B20:B25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Option Button 4">
              <controlPr defaultSize="0" autoFill="0" autoLine="0" autoPict="0">
                <anchor moveWithCells="1">
                  <from>
                    <xdr:col>3</xdr:col>
                    <xdr:colOff>57150</xdr:colOff>
                    <xdr:row>3</xdr:row>
                    <xdr:rowOff>19050</xdr:rowOff>
                  </from>
                  <to>
                    <xdr:col>3</xdr:col>
                    <xdr:colOff>457200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Group Box 5">
              <controlPr defaultSize="0" autoFill="0" autoPict="0">
                <anchor moveWithCells="1">
                  <from>
                    <xdr:col>3</xdr:col>
                    <xdr:colOff>38100</xdr:colOff>
                    <xdr:row>2</xdr:row>
                    <xdr:rowOff>47625</xdr:rowOff>
                  </from>
                  <to>
                    <xdr:col>4</xdr:col>
                    <xdr:colOff>219075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Option Button 6">
              <controlPr defaultSize="0" autoFill="0" autoLine="0" autoPict="0">
                <anchor moveWithCells="1">
                  <from>
                    <xdr:col>3</xdr:col>
                    <xdr:colOff>476250</xdr:colOff>
                    <xdr:row>3</xdr:row>
                    <xdr:rowOff>19050</xdr:rowOff>
                  </from>
                  <to>
                    <xdr:col>4</xdr:col>
                    <xdr:colOff>190500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7" name="Drop Down 8">
              <controlPr defaultSize="0" autoLine="0" autoPict="0">
                <anchor moveWithCells="1">
                  <from>
                    <xdr:col>16</xdr:col>
                    <xdr:colOff>104775</xdr:colOff>
                    <xdr:row>6</xdr:row>
                    <xdr:rowOff>57150</xdr:rowOff>
                  </from>
                  <to>
                    <xdr:col>17</xdr:col>
                    <xdr:colOff>142875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8" name="Drop Down 9">
              <controlPr defaultSize="0" autoLine="0" autoPict="0">
                <anchor moveWithCells="1">
                  <from>
                    <xdr:col>15</xdr:col>
                    <xdr:colOff>9525</xdr:colOff>
                    <xdr:row>6</xdr:row>
                    <xdr:rowOff>57150</xdr:rowOff>
                  </from>
                  <to>
                    <xdr:col>16</xdr:col>
                    <xdr:colOff>47625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9" name="Drop Down 11">
              <controlPr defaultSize="0" autoLine="0" autoPict="0">
                <anchor moveWithCells="1">
                  <from>
                    <xdr:col>19</xdr:col>
                    <xdr:colOff>142875</xdr:colOff>
                    <xdr:row>6</xdr:row>
                    <xdr:rowOff>57150</xdr:rowOff>
                  </from>
                  <to>
                    <xdr:col>19</xdr:col>
                    <xdr:colOff>866775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0" name="Drop Down 12">
              <controlPr defaultSize="0" autoLine="0" autoPict="0">
                <anchor moveWithCells="1">
                  <from>
                    <xdr:col>18</xdr:col>
                    <xdr:colOff>47625</xdr:colOff>
                    <xdr:row>6</xdr:row>
                    <xdr:rowOff>57150</xdr:rowOff>
                  </from>
                  <to>
                    <xdr:col>19</xdr:col>
                    <xdr:colOff>85725</xdr:colOff>
                    <xdr:row>6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V10006"/>
  <sheetViews>
    <sheetView showGridLines="0" showRowColHeader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34" sqref="L34"/>
    </sheetView>
  </sheetViews>
  <sheetFormatPr defaultRowHeight="16.5"/>
  <cols>
    <col min="1" max="1" width="1.375" customWidth="1"/>
    <col min="2" max="2" width="11.125" style="6" bestFit="1" customWidth="1"/>
    <col min="3" max="3" width="8.875" customWidth="1"/>
    <col min="4" max="4" width="4.75" customWidth="1"/>
    <col min="5" max="5" width="8.875" customWidth="1"/>
    <col min="6" max="6" width="4.75" customWidth="1"/>
    <col min="7" max="7" width="8.875" customWidth="1"/>
    <col min="8" max="8" width="4.75" customWidth="1"/>
    <col min="9" max="9" width="8.875" customWidth="1"/>
    <col min="10" max="10" width="4.75" customWidth="1"/>
    <col min="11" max="11" width="8.875" customWidth="1"/>
    <col min="12" max="12" width="4.75" customWidth="1"/>
    <col min="13" max="13" width="8.875" customWidth="1"/>
    <col min="14" max="14" width="4.75" customWidth="1"/>
    <col min="15" max="15" width="8.875" customWidth="1"/>
    <col min="16" max="16" width="4.75" customWidth="1"/>
    <col min="17" max="17" width="8.875" customWidth="1"/>
    <col min="18" max="18" width="4.75" customWidth="1"/>
    <col min="19" max="19" width="8.875" customWidth="1"/>
    <col min="20" max="20" width="4.75" customWidth="1"/>
    <col min="21" max="21" width="8.875" customWidth="1"/>
    <col min="22" max="22" width="4.75" customWidth="1"/>
  </cols>
  <sheetData>
    <row r="1" spans="2:22" ht="5.25" customHeight="1"/>
    <row r="2" spans="2:22" ht="26.25">
      <c r="B2" s="5" t="s">
        <v>233</v>
      </c>
      <c r="C2" s="6"/>
    </row>
    <row r="3" spans="2:22" ht="5.25" customHeight="1"/>
    <row r="4" spans="2:22" ht="17.25" thickBot="1">
      <c r="C4" s="39">
        <f ca="1">E4-365</f>
        <v>44754</v>
      </c>
      <c r="D4" s="6" t="s">
        <v>232</v>
      </c>
      <c r="E4" s="39">
        <f ca="1">TODAY()</f>
        <v>45119</v>
      </c>
    </row>
    <row r="5" spans="2:22" ht="47.25" hidden="1" customHeight="1">
      <c r="B5" s="6" t="str">
        <f ca="1">_xll.IMDH("IR", code!$E$12, $B$6:$V$6, $C$4, $E$4, 9999, "Bizday=0, Per=일, Sort=D, real=false, Pos=30, Orient=V, DtFmt=1")</f>
        <v>조회[CDYLDAVG1]</v>
      </c>
    </row>
    <row r="6" spans="2:22" ht="17.25" hidden="1" thickBot="1">
      <c r="B6" s="6" t="s">
        <v>231</v>
      </c>
      <c r="C6" t="s">
        <v>193</v>
      </c>
      <c r="D6" t="s">
        <v>221</v>
      </c>
      <c r="E6" t="s">
        <v>194</v>
      </c>
      <c r="F6" t="s">
        <v>222</v>
      </c>
      <c r="G6" t="s">
        <v>196</v>
      </c>
      <c r="H6" t="s">
        <v>223</v>
      </c>
      <c r="I6" t="s">
        <v>197</v>
      </c>
      <c r="J6" t="s">
        <v>224</v>
      </c>
      <c r="K6" t="s">
        <v>198</v>
      </c>
      <c r="L6" t="s">
        <v>225</v>
      </c>
      <c r="M6" t="s">
        <v>199</v>
      </c>
      <c r="N6" t="s">
        <v>226</v>
      </c>
      <c r="O6" t="s">
        <v>200</v>
      </c>
      <c r="P6" t="s">
        <v>227</v>
      </c>
      <c r="Q6" t="s">
        <v>201</v>
      </c>
      <c r="R6" t="s">
        <v>228</v>
      </c>
      <c r="S6" t="s">
        <v>202</v>
      </c>
      <c r="T6" t="s">
        <v>229</v>
      </c>
      <c r="U6" t="s">
        <v>203</v>
      </c>
      <c r="V6" t="s">
        <v>230</v>
      </c>
    </row>
    <row r="7" spans="2:22" ht="17.25" thickBot="1">
      <c r="B7" s="54"/>
      <c r="C7" s="51" t="s">
        <v>182</v>
      </c>
      <c r="D7" s="45" t="s">
        <v>220</v>
      </c>
      <c r="E7" s="44" t="s">
        <v>183</v>
      </c>
      <c r="F7" s="45" t="s">
        <v>220</v>
      </c>
      <c r="G7" s="44" t="s">
        <v>185</v>
      </c>
      <c r="H7" s="45" t="s">
        <v>220</v>
      </c>
      <c r="I7" s="44" t="s">
        <v>186</v>
      </c>
      <c r="J7" s="45" t="s">
        <v>220</v>
      </c>
      <c r="K7" s="44" t="s">
        <v>187</v>
      </c>
      <c r="L7" s="45" t="s">
        <v>220</v>
      </c>
      <c r="M7" s="44" t="s">
        <v>188</v>
      </c>
      <c r="N7" s="45" t="s">
        <v>220</v>
      </c>
      <c r="O7" s="44" t="s">
        <v>189</v>
      </c>
      <c r="P7" s="45" t="s">
        <v>220</v>
      </c>
      <c r="Q7" s="44" t="s">
        <v>190</v>
      </c>
      <c r="R7" s="45" t="s">
        <v>220</v>
      </c>
      <c r="S7" s="44" t="s">
        <v>191</v>
      </c>
      <c r="T7" s="45" t="s">
        <v>220</v>
      </c>
      <c r="U7" s="44" t="s">
        <v>192</v>
      </c>
      <c r="V7" s="46" t="s">
        <v>220</v>
      </c>
    </row>
    <row r="8" spans="2:22">
      <c r="B8" s="55">
        <v>45118</v>
      </c>
      <c r="C8" s="52">
        <v>3.5</v>
      </c>
      <c r="D8" s="43">
        <v>0</v>
      </c>
      <c r="E8" s="42">
        <v>3.56</v>
      </c>
      <c r="F8" s="43">
        <v>0</v>
      </c>
      <c r="G8" s="42">
        <v>3.63</v>
      </c>
      <c r="H8" s="43">
        <v>0</v>
      </c>
      <c r="I8" s="42">
        <v>3.69</v>
      </c>
      <c r="J8" s="43">
        <v>0</v>
      </c>
      <c r="K8" s="42">
        <v>3.72</v>
      </c>
      <c r="L8" s="43">
        <v>0</v>
      </c>
      <c r="M8" s="42">
        <v>3.75</v>
      </c>
      <c r="N8" s="43">
        <v>0</v>
      </c>
      <c r="O8" s="42">
        <v>3.76</v>
      </c>
      <c r="P8" s="43">
        <v>0</v>
      </c>
      <c r="Q8" s="42">
        <v>3.8</v>
      </c>
      <c r="R8" s="43">
        <v>0</v>
      </c>
      <c r="S8" s="42">
        <v>3.89</v>
      </c>
      <c r="T8" s="43">
        <v>-0.01</v>
      </c>
      <c r="U8" s="42">
        <v>4.34</v>
      </c>
      <c r="V8" s="47">
        <v>-0.01</v>
      </c>
    </row>
    <row r="9" spans="2:22">
      <c r="B9" s="55">
        <v>45117</v>
      </c>
      <c r="C9" s="52">
        <v>3.5</v>
      </c>
      <c r="D9" s="43">
        <v>0</v>
      </c>
      <c r="E9" s="42">
        <v>3.56</v>
      </c>
      <c r="F9" s="43">
        <v>0</v>
      </c>
      <c r="G9" s="42">
        <v>3.63</v>
      </c>
      <c r="H9" s="43">
        <v>0</v>
      </c>
      <c r="I9" s="42">
        <v>3.69</v>
      </c>
      <c r="J9" s="43">
        <v>0</v>
      </c>
      <c r="K9" s="42">
        <v>3.72</v>
      </c>
      <c r="L9" s="43">
        <v>0</v>
      </c>
      <c r="M9" s="42">
        <v>3.75</v>
      </c>
      <c r="N9" s="43">
        <v>0</v>
      </c>
      <c r="O9" s="42">
        <v>3.76</v>
      </c>
      <c r="P9" s="43">
        <v>0</v>
      </c>
      <c r="Q9" s="42">
        <v>3.8</v>
      </c>
      <c r="R9" s="43">
        <v>0</v>
      </c>
      <c r="S9" s="42">
        <v>3.9</v>
      </c>
      <c r="T9" s="43">
        <v>0.01</v>
      </c>
      <c r="U9" s="42">
        <v>4.3499999999999996</v>
      </c>
      <c r="V9" s="47">
        <v>0.01</v>
      </c>
    </row>
    <row r="10" spans="2:22">
      <c r="B10" s="55">
        <v>45114</v>
      </c>
      <c r="C10" s="52">
        <v>3.5</v>
      </c>
      <c r="D10" s="43">
        <v>0</v>
      </c>
      <c r="E10" s="42">
        <v>3.56</v>
      </c>
      <c r="F10" s="43">
        <v>0</v>
      </c>
      <c r="G10" s="42">
        <v>3.63</v>
      </c>
      <c r="H10" s="43">
        <v>0</v>
      </c>
      <c r="I10" s="42">
        <v>3.69</v>
      </c>
      <c r="J10" s="43">
        <v>0</v>
      </c>
      <c r="K10" s="42">
        <v>3.72</v>
      </c>
      <c r="L10" s="43">
        <v>0</v>
      </c>
      <c r="M10" s="42">
        <v>3.75</v>
      </c>
      <c r="N10" s="43">
        <v>0.01</v>
      </c>
      <c r="O10" s="42">
        <v>3.76</v>
      </c>
      <c r="P10" s="43">
        <v>0</v>
      </c>
      <c r="Q10" s="42">
        <v>3.8</v>
      </c>
      <c r="R10" s="43">
        <v>0</v>
      </c>
      <c r="S10" s="42">
        <v>3.89</v>
      </c>
      <c r="T10" s="43">
        <v>0</v>
      </c>
      <c r="U10" s="42">
        <v>4.34</v>
      </c>
      <c r="V10" s="47">
        <v>0</v>
      </c>
    </row>
    <row r="11" spans="2:22">
      <c r="B11" s="55">
        <v>45113</v>
      </c>
      <c r="C11" s="52">
        <v>3.5</v>
      </c>
      <c r="D11" s="43">
        <v>0.01</v>
      </c>
      <c r="E11" s="42">
        <v>3.56</v>
      </c>
      <c r="F11" s="43">
        <v>0</v>
      </c>
      <c r="G11" s="42">
        <v>3.63</v>
      </c>
      <c r="H11" s="43">
        <v>0</v>
      </c>
      <c r="I11" s="42">
        <v>3.69</v>
      </c>
      <c r="J11" s="43">
        <v>0</v>
      </c>
      <c r="K11" s="42">
        <v>3.72</v>
      </c>
      <c r="L11" s="43">
        <v>0</v>
      </c>
      <c r="M11" s="42">
        <v>3.74</v>
      </c>
      <c r="N11" s="43">
        <v>0</v>
      </c>
      <c r="O11" s="42">
        <v>3.76</v>
      </c>
      <c r="P11" s="43">
        <v>0.01</v>
      </c>
      <c r="Q11" s="42">
        <v>3.8</v>
      </c>
      <c r="R11" s="43">
        <v>0</v>
      </c>
      <c r="S11" s="42">
        <v>3.89</v>
      </c>
      <c r="T11" s="43">
        <v>0</v>
      </c>
      <c r="U11" s="42">
        <v>4.34</v>
      </c>
      <c r="V11" s="47">
        <v>0.02</v>
      </c>
    </row>
    <row r="12" spans="2:22">
      <c r="B12" s="55">
        <v>45112</v>
      </c>
      <c r="C12" s="52">
        <v>3.49</v>
      </c>
      <c r="D12" s="43">
        <v>0</v>
      </c>
      <c r="E12" s="42">
        <v>3.56</v>
      </c>
      <c r="F12" s="43">
        <v>0</v>
      </c>
      <c r="G12" s="42">
        <v>3.63</v>
      </c>
      <c r="H12" s="43">
        <v>0</v>
      </c>
      <c r="I12" s="42">
        <v>3.69</v>
      </c>
      <c r="J12" s="43">
        <v>0</v>
      </c>
      <c r="K12" s="42">
        <v>3.72</v>
      </c>
      <c r="L12" s="43">
        <v>0</v>
      </c>
      <c r="M12" s="42">
        <v>3.74</v>
      </c>
      <c r="N12" s="43">
        <v>0</v>
      </c>
      <c r="O12" s="42">
        <v>3.75</v>
      </c>
      <c r="P12" s="43">
        <v>0</v>
      </c>
      <c r="Q12" s="42">
        <v>3.8</v>
      </c>
      <c r="R12" s="43">
        <v>0</v>
      </c>
      <c r="S12" s="42">
        <v>3.89</v>
      </c>
      <c r="T12" s="43">
        <v>0</v>
      </c>
      <c r="U12" s="42">
        <v>4.32</v>
      </c>
      <c r="V12" s="47">
        <v>0</v>
      </c>
    </row>
    <row r="13" spans="2:22">
      <c r="B13" s="55">
        <v>45111</v>
      </c>
      <c r="C13" s="52">
        <v>3.49</v>
      </c>
      <c r="D13" s="43">
        <v>-0.01</v>
      </c>
      <c r="E13" s="42">
        <v>3.56</v>
      </c>
      <c r="F13" s="43">
        <v>-0.01</v>
      </c>
      <c r="G13" s="42">
        <v>3.63</v>
      </c>
      <c r="H13" s="43">
        <v>-0.01</v>
      </c>
      <c r="I13" s="42">
        <v>3.69</v>
      </c>
      <c r="J13" s="43">
        <v>-0.01</v>
      </c>
      <c r="K13" s="42">
        <v>3.72</v>
      </c>
      <c r="L13" s="43">
        <v>-0.01</v>
      </c>
      <c r="M13" s="42">
        <v>3.74</v>
      </c>
      <c r="N13" s="43">
        <v>-0.01</v>
      </c>
      <c r="O13" s="42">
        <v>3.75</v>
      </c>
      <c r="P13" s="43">
        <v>-0.01</v>
      </c>
      <c r="Q13" s="42">
        <v>3.8</v>
      </c>
      <c r="R13" s="43">
        <v>0</v>
      </c>
      <c r="S13" s="42">
        <v>3.89</v>
      </c>
      <c r="T13" s="43">
        <v>0</v>
      </c>
      <c r="U13" s="42">
        <v>4.32</v>
      </c>
      <c r="V13" s="47">
        <v>0</v>
      </c>
    </row>
    <row r="14" spans="2:22">
      <c r="B14" s="55">
        <v>45110</v>
      </c>
      <c r="C14" s="52">
        <v>3.5</v>
      </c>
      <c r="D14" s="43">
        <v>0</v>
      </c>
      <c r="E14" s="42">
        <v>3.57</v>
      </c>
      <c r="F14" s="43">
        <v>0</v>
      </c>
      <c r="G14" s="42">
        <v>3.64</v>
      </c>
      <c r="H14" s="43">
        <v>0</v>
      </c>
      <c r="I14" s="42">
        <v>3.7</v>
      </c>
      <c r="J14" s="43">
        <v>0</v>
      </c>
      <c r="K14" s="42">
        <v>3.73</v>
      </c>
      <c r="L14" s="43">
        <v>0</v>
      </c>
      <c r="M14" s="42">
        <v>3.75</v>
      </c>
      <c r="N14" s="43">
        <v>0</v>
      </c>
      <c r="O14" s="42">
        <v>3.76</v>
      </c>
      <c r="P14" s="43">
        <v>0</v>
      </c>
      <c r="Q14" s="42">
        <v>3.8</v>
      </c>
      <c r="R14" s="43">
        <v>0</v>
      </c>
      <c r="S14" s="42">
        <v>3.89</v>
      </c>
      <c r="T14" s="43">
        <v>0.01</v>
      </c>
      <c r="U14" s="42">
        <v>4.32</v>
      </c>
      <c r="V14" s="47">
        <v>0</v>
      </c>
    </row>
    <row r="15" spans="2:22">
      <c r="B15" s="55">
        <v>45107</v>
      </c>
      <c r="C15" s="52">
        <v>3.5</v>
      </c>
      <c r="D15" s="43">
        <v>0.01</v>
      </c>
      <c r="E15" s="42">
        <v>3.57</v>
      </c>
      <c r="F15" s="43">
        <v>0.01</v>
      </c>
      <c r="G15" s="42">
        <v>3.64</v>
      </c>
      <c r="H15" s="43">
        <v>0</v>
      </c>
      <c r="I15" s="42">
        <v>3.7</v>
      </c>
      <c r="J15" s="43">
        <v>0</v>
      </c>
      <c r="K15" s="42">
        <v>3.73</v>
      </c>
      <c r="L15" s="43">
        <v>0</v>
      </c>
      <c r="M15" s="42">
        <v>3.75</v>
      </c>
      <c r="N15" s="43">
        <v>0</v>
      </c>
      <c r="O15" s="42">
        <v>3.76</v>
      </c>
      <c r="P15" s="43">
        <v>0</v>
      </c>
      <c r="Q15" s="42">
        <v>3.8</v>
      </c>
      <c r="R15" s="43">
        <v>0</v>
      </c>
      <c r="S15" s="42">
        <v>3.88</v>
      </c>
      <c r="T15" s="43">
        <v>0</v>
      </c>
      <c r="U15" s="42">
        <v>4.32</v>
      </c>
      <c r="V15" s="47">
        <v>0.01</v>
      </c>
    </row>
    <row r="16" spans="2:22">
      <c r="B16" s="55">
        <v>45106</v>
      </c>
      <c r="C16" s="52">
        <v>3.49</v>
      </c>
      <c r="D16" s="43">
        <v>0</v>
      </c>
      <c r="E16" s="42">
        <v>3.56</v>
      </c>
      <c r="F16" s="43">
        <v>0</v>
      </c>
      <c r="G16" s="42">
        <v>3.64</v>
      </c>
      <c r="H16" s="43">
        <v>0.01</v>
      </c>
      <c r="I16" s="42">
        <v>3.7</v>
      </c>
      <c r="J16" s="43">
        <v>0</v>
      </c>
      <c r="K16" s="42">
        <v>3.73</v>
      </c>
      <c r="L16" s="43">
        <v>0.01</v>
      </c>
      <c r="M16" s="42">
        <v>3.75</v>
      </c>
      <c r="N16" s="43">
        <v>0</v>
      </c>
      <c r="O16" s="42">
        <v>3.76</v>
      </c>
      <c r="P16" s="43">
        <v>-0.01</v>
      </c>
      <c r="Q16" s="42">
        <v>3.8</v>
      </c>
      <c r="R16" s="43">
        <v>0</v>
      </c>
      <c r="S16" s="42">
        <v>3.88</v>
      </c>
      <c r="T16" s="43">
        <v>0</v>
      </c>
      <c r="U16" s="42">
        <v>4.3099999999999996</v>
      </c>
      <c r="V16" s="47">
        <v>0</v>
      </c>
    </row>
    <row r="17" spans="2:22">
      <c r="B17" s="55">
        <v>45105</v>
      </c>
      <c r="C17" s="52">
        <v>3.49</v>
      </c>
      <c r="D17" s="43">
        <v>0</v>
      </c>
      <c r="E17" s="42">
        <v>3.56</v>
      </c>
      <c r="F17" s="43">
        <v>0.01</v>
      </c>
      <c r="G17" s="42">
        <v>3.63</v>
      </c>
      <c r="H17" s="43">
        <v>0.01</v>
      </c>
      <c r="I17" s="42">
        <v>3.7</v>
      </c>
      <c r="J17" s="43">
        <v>0.01</v>
      </c>
      <c r="K17" s="42">
        <v>3.72</v>
      </c>
      <c r="L17" s="43">
        <v>0</v>
      </c>
      <c r="M17" s="42">
        <v>3.75</v>
      </c>
      <c r="N17" s="43">
        <v>0</v>
      </c>
      <c r="O17" s="42">
        <v>3.77</v>
      </c>
      <c r="P17" s="43">
        <v>0</v>
      </c>
      <c r="Q17" s="42">
        <v>3.8</v>
      </c>
      <c r="R17" s="43">
        <v>0</v>
      </c>
      <c r="S17" s="42">
        <v>3.88</v>
      </c>
      <c r="T17" s="43">
        <v>0</v>
      </c>
      <c r="U17" s="42">
        <v>4.3099999999999996</v>
      </c>
      <c r="V17" s="47">
        <v>0.01</v>
      </c>
    </row>
    <row r="18" spans="2:22">
      <c r="B18" s="55">
        <v>45104</v>
      </c>
      <c r="C18" s="52">
        <v>3.49</v>
      </c>
      <c r="D18" s="43">
        <v>0</v>
      </c>
      <c r="E18" s="42">
        <v>3.55</v>
      </c>
      <c r="F18" s="43">
        <v>0</v>
      </c>
      <c r="G18" s="42">
        <v>3.62</v>
      </c>
      <c r="H18" s="43">
        <v>0</v>
      </c>
      <c r="I18" s="42">
        <v>3.69</v>
      </c>
      <c r="J18" s="43">
        <v>0</v>
      </c>
      <c r="K18" s="42">
        <v>3.72</v>
      </c>
      <c r="L18" s="43">
        <v>0</v>
      </c>
      <c r="M18" s="42">
        <v>3.75</v>
      </c>
      <c r="N18" s="43">
        <v>0</v>
      </c>
      <c r="O18" s="42">
        <v>3.77</v>
      </c>
      <c r="P18" s="43">
        <v>0</v>
      </c>
      <c r="Q18" s="42">
        <v>3.8</v>
      </c>
      <c r="R18" s="43">
        <v>0.01</v>
      </c>
      <c r="S18" s="42">
        <v>3.88</v>
      </c>
      <c r="T18" s="43">
        <v>0.01</v>
      </c>
      <c r="U18" s="42">
        <v>4.3</v>
      </c>
      <c r="V18" s="47">
        <v>0</v>
      </c>
    </row>
    <row r="19" spans="2:22">
      <c r="B19" s="55">
        <v>45103</v>
      </c>
      <c r="C19" s="52">
        <v>3.49</v>
      </c>
      <c r="D19" s="43">
        <v>0</v>
      </c>
      <c r="E19" s="42">
        <v>3.55</v>
      </c>
      <c r="F19" s="43">
        <v>0</v>
      </c>
      <c r="G19" s="42">
        <v>3.62</v>
      </c>
      <c r="H19" s="43">
        <v>0.01</v>
      </c>
      <c r="I19" s="42">
        <v>3.69</v>
      </c>
      <c r="J19" s="43">
        <v>0.01</v>
      </c>
      <c r="K19" s="42">
        <v>3.72</v>
      </c>
      <c r="L19" s="43">
        <v>0</v>
      </c>
      <c r="M19" s="42">
        <v>3.75</v>
      </c>
      <c r="N19" s="43">
        <v>0</v>
      </c>
      <c r="O19" s="42">
        <v>3.77</v>
      </c>
      <c r="P19" s="43">
        <v>0.01</v>
      </c>
      <c r="Q19" s="42">
        <v>3.79</v>
      </c>
      <c r="R19" s="43">
        <v>0</v>
      </c>
      <c r="S19" s="42">
        <v>3.87</v>
      </c>
      <c r="T19" s="43">
        <v>0</v>
      </c>
      <c r="U19" s="42">
        <v>4.3</v>
      </c>
      <c r="V19" s="47">
        <v>-0.01</v>
      </c>
    </row>
    <row r="20" spans="2:22">
      <c r="B20" s="55">
        <v>45100</v>
      </c>
      <c r="C20" s="52">
        <v>3.49</v>
      </c>
      <c r="D20" s="43">
        <v>0</v>
      </c>
      <c r="E20" s="42">
        <v>3.55</v>
      </c>
      <c r="F20" s="43">
        <v>0</v>
      </c>
      <c r="G20" s="42">
        <v>3.61</v>
      </c>
      <c r="H20" s="43">
        <v>0</v>
      </c>
      <c r="I20" s="42">
        <v>3.68</v>
      </c>
      <c r="J20" s="43">
        <v>0</v>
      </c>
      <c r="K20" s="42">
        <v>3.72</v>
      </c>
      <c r="L20" s="43">
        <v>0.01</v>
      </c>
      <c r="M20" s="42">
        <v>3.75</v>
      </c>
      <c r="N20" s="43">
        <v>0</v>
      </c>
      <c r="O20" s="42">
        <v>3.76</v>
      </c>
      <c r="P20" s="43">
        <v>0</v>
      </c>
      <c r="Q20" s="42">
        <v>3.79</v>
      </c>
      <c r="R20" s="43">
        <v>0</v>
      </c>
      <c r="S20" s="42">
        <v>3.87</v>
      </c>
      <c r="T20" s="43">
        <v>0.02</v>
      </c>
      <c r="U20" s="42">
        <v>4.3099999999999996</v>
      </c>
      <c r="V20" s="47">
        <v>0.02</v>
      </c>
    </row>
    <row r="21" spans="2:22">
      <c r="B21" s="55">
        <v>45099</v>
      </c>
      <c r="C21" s="52">
        <v>3.49</v>
      </c>
      <c r="D21" s="43">
        <v>0</v>
      </c>
      <c r="E21" s="42">
        <v>3.55</v>
      </c>
      <c r="F21" s="43">
        <v>0</v>
      </c>
      <c r="G21" s="42">
        <v>3.61</v>
      </c>
      <c r="H21" s="43">
        <v>0</v>
      </c>
      <c r="I21" s="42">
        <v>3.68</v>
      </c>
      <c r="J21" s="43">
        <v>0.01</v>
      </c>
      <c r="K21" s="42">
        <v>3.71</v>
      </c>
      <c r="L21" s="43">
        <v>0</v>
      </c>
      <c r="M21" s="42">
        <v>3.75</v>
      </c>
      <c r="N21" s="43">
        <v>0</v>
      </c>
      <c r="O21" s="42">
        <v>3.76</v>
      </c>
      <c r="P21" s="43">
        <v>0</v>
      </c>
      <c r="Q21" s="42">
        <v>3.79</v>
      </c>
      <c r="R21" s="43">
        <v>0</v>
      </c>
      <c r="S21" s="42">
        <v>3.85</v>
      </c>
      <c r="T21" s="43">
        <v>0</v>
      </c>
      <c r="U21" s="42">
        <v>4.29</v>
      </c>
      <c r="V21" s="47">
        <v>0.01</v>
      </c>
    </row>
    <row r="22" spans="2:22">
      <c r="B22" s="55">
        <v>45098</v>
      </c>
      <c r="C22" s="52">
        <v>3.49</v>
      </c>
      <c r="D22" s="43">
        <v>0</v>
      </c>
      <c r="E22" s="42">
        <v>3.55</v>
      </c>
      <c r="F22" s="43">
        <v>0.01</v>
      </c>
      <c r="G22" s="42">
        <v>3.61</v>
      </c>
      <c r="H22" s="43">
        <v>0</v>
      </c>
      <c r="I22" s="42">
        <v>3.67</v>
      </c>
      <c r="J22" s="43">
        <v>0</v>
      </c>
      <c r="K22" s="42">
        <v>3.71</v>
      </c>
      <c r="L22" s="43">
        <v>0</v>
      </c>
      <c r="M22" s="42">
        <v>3.75</v>
      </c>
      <c r="N22" s="43">
        <v>0</v>
      </c>
      <c r="O22" s="42">
        <v>3.76</v>
      </c>
      <c r="P22" s="43">
        <v>0</v>
      </c>
      <c r="Q22" s="42">
        <v>3.79</v>
      </c>
      <c r="R22" s="43">
        <v>0</v>
      </c>
      <c r="S22" s="42">
        <v>3.85</v>
      </c>
      <c r="T22" s="43">
        <v>0.01</v>
      </c>
      <c r="U22" s="42">
        <v>4.28</v>
      </c>
      <c r="V22" s="47">
        <v>0</v>
      </c>
    </row>
    <row r="23" spans="2:22">
      <c r="B23" s="55">
        <v>45097</v>
      </c>
      <c r="C23" s="52">
        <v>3.49</v>
      </c>
      <c r="D23" s="43">
        <v>0</v>
      </c>
      <c r="E23" s="42">
        <v>3.54</v>
      </c>
      <c r="F23" s="43">
        <v>0</v>
      </c>
      <c r="G23" s="42">
        <v>3.61</v>
      </c>
      <c r="H23" s="43">
        <v>0.01</v>
      </c>
      <c r="I23" s="42">
        <v>3.67</v>
      </c>
      <c r="J23" s="43">
        <v>0.01</v>
      </c>
      <c r="K23" s="42">
        <v>3.71</v>
      </c>
      <c r="L23" s="43">
        <v>0</v>
      </c>
      <c r="M23" s="42">
        <v>3.75</v>
      </c>
      <c r="N23" s="43">
        <v>0</v>
      </c>
      <c r="O23" s="42">
        <v>3.76</v>
      </c>
      <c r="P23" s="43">
        <v>0</v>
      </c>
      <c r="Q23" s="42">
        <v>3.79</v>
      </c>
      <c r="R23" s="43">
        <v>0</v>
      </c>
      <c r="S23" s="42">
        <v>3.84</v>
      </c>
      <c r="T23" s="43">
        <v>0</v>
      </c>
      <c r="U23" s="42">
        <v>4.28</v>
      </c>
      <c r="V23" s="47">
        <v>0.01</v>
      </c>
    </row>
    <row r="24" spans="2:22">
      <c r="B24" s="55">
        <v>45096</v>
      </c>
      <c r="C24" s="52">
        <v>3.49</v>
      </c>
      <c r="D24" s="43">
        <v>0</v>
      </c>
      <c r="E24" s="42">
        <v>3.54</v>
      </c>
      <c r="F24" s="43">
        <v>0</v>
      </c>
      <c r="G24" s="42">
        <v>3.6</v>
      </c>
      <c r="H24" s="43">
        <v>0</v>
      </c>
      <c r="I24" s="42">
        <v>3.66</v>
      </c>
      <c r="J24" s="43">
        <v>0</v>
      </c>
      <c r="K24" s="42">
        <v>3.71</v>
      </c>
      <c r="L24" s="43">
        <v>0.01</v>
      </c>
      <c r="M24" s="42">
        <v>3.75</v>
      </c>
      <c r="N24" s="43">
        <v>0</v>
      </c>
      <c r="O24" s="42">
        <v>3.76</v>
      </c>
      <c r="P24" s="43">
        <v>0</v>
      </c>
      <c r="Q24" s="42">
        <v>3.79</v>
      </c>
      <c r="R24" s="43">
        <v>0</v>
      </c>
      <c r="S24" s="42">
        <v>3.84</v>
      </c>
      <c r="T24" s="43">
        <v>0.01</v>
      </c>
      <c r="U24" s="42">
        <v>4.2699999999999996</v>
      </c>
      <c r="V24" s="47">
        <v>0.01</v>
      </c>
    </row>
    <row r="25" spans="2:22">
      <c r="B25" s="55">
        <v>45093</v>
      </c>
      <c r="C25" s="52">
        <v>3.49</v>
      </c>
      <c r="D25" s="43">
        <v>0</v>
      </c>
      <c r="E25" s="42">
        <v>3.54</v>
      </c>
      <c r="F25" s="43">
        <v>0</v>
      </c>
      <c r="G25" s="42">
        <v>3.6</v>
      </c>
      <c r="H25" s="43">
        <v>0</v>
      </c>
      <c r="I25" s="42">
        <v>3.66</v>
      </c>
      <c r="J25" s="43">
        <v>0</v>
      </c>
      <c r="K25" s="42">
        <v>3.7</v>
      </c>
      <c r="L25" s="43">
        <v>0</v>
      </c>
      <c r="M25" s="42">
        <v>3.75</v>
      </c>
      <c r="N25" s="43">
        <v>0</v>
      </c>
      <c r="O25" s="42">
        <v>3.76</v>
      </c>
      <c r="P25" s="43">
        <v>0</v>
      </c>
      <c r="Q25" s="42">
        <v>3.79</v>
      </c>
      <c r="R25" s="43">
        <v>0</v>
      </c>
      <c r="S25" s="42">
        <v>3.83</v>
      </c>
      <c r="T25" s="43">
        <v>-0.02</v>
      </c>
      <c r="U25" s="42">
        <v>4.26</v>
      </c>
      <c r="V25" s="47">
        <v>-0.01</v>
      </c>
    </row>
    <row r="26" spans="2:22">
      <c r="B26" s="55">
        <v>45092</v>
      </c>
      <c r="C26" s="52">
        <v>3.49</v>
      </c>
      <c r="D26" s="43">
        <v>0</v>
      </c>
      <c r="E26" s="42">
        <v>3.54</v>
      </c>
      <c r="F26" s="43">
        <v>0</v>
      </c>
      <c r="G26" s="42">
        <v>3.6</v>
      </c>
      <c r="H26" s="43">
        <v>0</v>
      </c>
      <c r="I26" s="42">
        <v>3.66</v>
      </c>
      <c r="J26" s="43">
        <v>0</v>
      </c>
      <c r="K26" s="42">
        <v>3.7</v>
      </c>
      <c r="L26" s="43">
        <v>0</v>
      </c>
      <c r="M26" s="42">
        <v>3.75</v>
      </c>
      <c r="N26" s="43">
        <v>0</v>
      </c>
      <c r="O26" s="42">
        <v>3.76</v>
      </c>
      <c r="P26" s="43">
        <v>0</v>
      </c>
      <c r="Q26" s="42">
        <v>3.79</v>
      </c>
      <c r="R26" s="43">
        <v>0</v>
      </c>
      <c r="S26" s="42">
        <v>3.85</v>
      </c>
      <c r="T26" s="43">
        <v>0</v>
      </c>
      <c r="U26" s="42">
        <v>4.2699999999999996</v>
      </c>
      <c r="V26" s="47">
        <v>0.01</v>
      </c>
    </row>
    <row r="27" spans="2:22">
      <c r="B27" s="55">
        <v>45091</v>
      </c>
      <c r="C27" s="52">
        <v>3.49</v>
      </c>
      <c r="D27" s="43">
        <v>0</v>
      </c>
      <c r="E27" s="42">
        <v>3.54</v>
      </c>
      <c r="F27" s="43">
        <v>0.01</v>
      </c>
      <c r="G27" s="42">
        <v>3.6</v>
      </c>
      <c r="H27" s="43">
        <v>0.01</v>
      </c>
      <c r="I27" s="42">
        <v>3.66</v>
      </c>
      <c r="J27" s="43">
        <v>0.01</v>
      </c>
      <c r="K27" s="42">
        <v>3.7</v>
      </c>
      <c r="L27" s="43">
        <v>0.01</v>
      </c>
      <c r="M27" s="42">
        <v>3.75</v>
      </c>
      <c r="N27" s="43">
        <v>0</v>
      </c>
      <c r="O27" s="42">
        <v>3.76</v>
      </c>
      <c r="P27" s="43">
        <v>0</v>
      </c>
      <c r="Q27" s="42">
        <v>3.79</v>
      </c>
      <c r="R27" s="43">
        <v>0</v>
      </c>
      <c r="S27" s="42">
        <v>3.85</v>
      </c>
      <c r="T27" s="43">
        <v>0</v>
      </c>
      <c r="U27" s="42">
        <v>4.26</v>
      </c>
      <c r="V27" s="47">
        <v>0.01</v>
      </c>
    </row>
    <row r="28" spans="2:22">
      <c r="B28" s="55">
        <v>45090</v>
      </c>
      <c r="C28" s="52">
        <v>3.49</v>
      </c>
      <c r="D28" s="43">
        <v>0</v>
      </c>
      <c r="E28" s="42">
        <v>3.53</v>
      </c>
      <c r="F28" s="43">
        <v>0</v>
      </c>
      <c r="G28" s="42">
        <v>3.59</v>
      </c>
      <c r="H28" s="43">
        <v>0.01</v>
      </c>
      <c r="I28" s="42">
        <v>3.65</v>
      </c>
      <c r="J28" s="43">
        <v>0.01</v>
      </c>
      <c r="K28" s="42">
        <v>3.69</v>
      </c>
      <c r="L28" s="43">
        <v>0</v>
      </c>
      <c r="M28" s="42">
        <v>3.75</v>
      </c>
      <c r="N28" s="43">
        <v>0</v>
      </c>
      <c r="O28" s="42">
        <v>3.76</v>
      </c>
      <c r="P28" s="43">
        <v>0</v>
      </c>
      <c r="Q28" s="42">
        <v>3.79</v>
      </c>
      <c r="R28" s="43">
        <v>0</v>
      </c>
      <c r="S28" s="42">
        <v>3.85</v>
      </c>
      <c r="T28" s="43">
        <v>0</v>
      </c>
      <c r="U28" s="42">
        <v>4.25</v>
      </c>
      <c r="V28" s="47">
        <v>0</v>
      </c>
    </row>
    <row r="29" spans="2:22">
      <c r="B29" s="55">
        <v>45089</v>
      </c>
      <c r="C29" s="52">
        <v>3.49</v>
      </c>
      <c r="D29" s="43">
        <v>0</v>
      </c>
      <c r="E29" s="42">
        <v>3.53</v>
      </c>
      <c r="F29" s="43">
        <v>0.01</v>
      </c>
      <c r="G29" s="42">
        <v>3.58</v>
      </c>
      <c r="H29" s="43">
        <v>0</v>
      </c>
      <c r="I29" s="42">
        <v>3.64</v>
      </c>
      <c r="J29" s="43">
        <v>0.01</v>
      </c>
      <c r="K29" s="42">
        <v>3.69</v>
      </c>
      <c r="L29" s="43">
        <v>0</v>
      </c>
      <c r="M29" s="42">
        <v>3.75</v>
      </c>
      <c r="N29" s="43">
        <v>0</v>
      </c>
      <c r="O29" s="42">
        <v>3.76</v>
      </c>
      <c r="P29" s="43">
        <v>0</v>
      </c>
      <c r="Q29" s="42">
        <v>3.79</v>
      </c>
      <c r="R29" s="43">
        <v>0</v>
      </c>
      <c r="S29" s="42">
        <v>3.85</v>
      </c>
      <c r="T29" s="43">
        <v>0</v>
      </c>
      <c r="U29" s="42">
        <v>4.25</v>
      </c>
      <c r="V29" s="47">
        <v>0</v>
      </c>
    </row>
    <row r="30" spans="2:22">
      <c r="B30" s="55">
        <v>45086</v>
      </c>
      <c r="C30" s="52">
        <v>3.49</v>
      </c>
      <c r="D30" s="43">
        <v>0</v>
      </c>
      <c r="E30" s="42">
        <v>3.52</v>
      </c>
      <c r="F30" s="43">
        <v>0</v>
      </c>
      <c r="G30" s="42">
        <v>3.58</v>
      </c>
      <c r="H30" s="43">
        <v>0.01</v>
      </c>
      <c r="I30" s="42">
        <v>3.63</v>
      </c>
      <c r="J30" s="43">
        <v>0</v>
      </c>
      <c r="K30" s="42">
        <v>3.69</v>
      </c>
      <c r="L30" s="43">
        <v>0</v>
      </c>
      <c r="M30" s="42">
        <v>3.75</v>
      </c>
      <c r="N30" s="43">
        <v>0</v>
      </c>
      <c r="O30" s="42">
        <v>3.76</v>
      </c>
      <c r="P30" s="43">
        <v>0</v>
      </c>
      <c r="Q30" s="42">
        <v>3.79</v>
      </c>
      <c r="R30" s="43">
        <v>0</v>
      </c>
      <c r="S30" s="42">
        <v>3.85</v>
      </c>
      <c r="T30" s="43">
        <v>0</v>
      </c>
      <c r="U30" s="42">
        <v>4.25</v>
      </c>
      <c r="V30" s="47">
        <v>-0.01</v>
      </c>
    </row>
    <row r="31" spans="2:22">
      <c r="B31" s="55">
        <v>45085</v>
      </c>
      <c r="C31" s="52">
        <v>3.49</v>
      </c>
      <c r="D31" s="43">
        <v>0.01</v>
      </c>
      <c r="E31" s="42">
        <v>3.52</v>
      </c>
      <c r="F31" s="43">
        <v>0</v>
      </c>
      <c r="G31" s="42">
        <v>3.57</v>
      </c>
      <c r="H31" s="43">
        <v>0</v>
      </c>
      <c r="I31" s="42">
        <v>3.63</v>
      </c>
      <c r="J31" s="43">
        <v>0</v>
      </c>
      <c r="K31" s="42">
        <v>3.69</v>
      </c>
      <c r="L31" s="43">
        <v>0</v>
      </c>
      <c r="M31" s="42">
        <v>3.75</v>
      </c>
      <c r="N31" s="43">
        <v>0</v>
      </c>
      <c r="O31" s="42">
        <v>3.76</v>
      </c>
      <c r="P31" s="43">
        <v>0</v>
      </c>
      <c r="Q31" s="42">
        <v>3.79</v>
      </c>
      <c r="R31" s="43">
        <v>0</v>
      </c>
      <c r="S31" s="42">
        <v>3.85</v>
      </c>
      <c r="T31" s="43">
        <v>0</v>
      </c>
      <c r="U31" s="42">
        <v>4.26</v>
      </c>
      <c r="V31" s="47">
        <v>0.01</v>
      </c>
    </row>
    <row r="32" spans="2:22">
      <c r="B32" s="55">
        <v>45084</v>
      </c>
      <c r="C32" s="52">
        <v>3.48</v>
      </c>
      <c r="D32" s="43">
        <v>0</v>
      </c>
      <c r="E32" s="42">
        <v>3.52</v>
      </c>
      <c r="F32" s="43">
        <v>0</v>
      </c>
      <c r="G32" s="42">
        <v>3.57</v>
      </c>
      <c r="H32" s="43">
        <v>0</v>
      </c>
      <c r="I32" s="42">
        <v>3.63</v>
      </c>
      <c r="J32" s="43">
        <v>0</v>
      </c>
      <c r="K32" s="42">
        <v>3.69</v>
      </c>
      <c r="L32" s="43">
        <v>0</v>
      </c>
      <c r="M32" s="42">
        <v>3.75</v>
      </c>
      <c r="N32" s="43">
        <v>-0.01</v>
      </c>
      <c r="O32" s="42">
        <v>3.76</v>
      </c>
      <c r="P32" s="43">
        <v>-0.01</v>
      </c>
      <c r="Q32" s="42">
        <v>3.79</v>
      </c>
      <c r="R32" s="43">
        <v>0</v>
      </c>
      <c r="S32" s="42">
        <v>3.85</v>
      </c>
      <c r="T32" s="43">
        <v>0</v>
      </c>
      <c r="U32" s="42">
        <v>4.25</v>
      </c>
      <c r="V32" s="47">
        <v>0</v>
      </c>
    </row>
    <row r="33" spans="2:22">
      <c r="B33" s="55">
        <v>45082</v>
      </c>
      <c r="C33" s="52">
        <v>3.48</v>
      </c>
      <c r="D33" s="43">
        <v>0</v>
      </c>
      <c r="E33" s="42">
        <v>3.52</v>
      </c>
      <c r="F33" s="43">
        <v>0</v>
      </c>
      <c r="G33" s="42">
        <v>3.57</v>
      </c>
      <c r="H33" s="43">
        <v>0</v>
      </c>
      <c r="I33" s="42">
        <v>3.63</v>
      </c>
      <c r="J33" s="43">
        <v>0.01</v>
      </c>
      <c r="K33" s="42">
        <v>3.69</v>
      </c>
      <c r="L33" s="43">
        <v>0</v>
      </c>
      <c r="M33" s="42">
        <v>3.76</v>
      </c>
      <c r="N33" s="43">
        <v>0</v>
      </c>
      <c r="O33" s="42">
        <v>3.77</v>
      </c>
      <c r="P33" s="43">
        <v>0.01</v>
      </c>
      <c r="Q33" s="42">
        <v>3.79</v>
      </c>
      <c r="R33" s="43">
        <v>0.01</v>
      </c>
      <c r="S33" s="42">
        <v>3.85</v>
      </c>
      <c r="T33" s="43">
        <v>0</v>
      </c>
      <c r="U33" s="42">
        <v>4.25</v>
      </c>
      <c r="V33" s="47">
        <v>0.01</v>
      </c>
    </row>
    <row r="34" spans="2:22">
      <c r="B34" s="55">
        <v>45079</v>
      </c>
      <c r="C34" s="52">
        <v>3.48</v>
      </c>
      <c r="D34" s="43">
        <v>0</v>
      </c>
      <c r="E34" s="42">
        <v>3.52</v>
      </c>
      <c r="F34" s="43">
        <v>0</v>
      </c>
      <c r="G34" s="42">
        <v>3.57</v>
      </c>
      <c r="H34" s="43">
        <v>0.01</v>
      </c>
      <c r="I34" s="42">
        <v>3.62</v>
      </c>
      <c r="J34" s="43">
        <v>0.01</v>
      </c>
      <c r="K34" s="42">
        <v>3.69</v>
      </c>
      <c r="L34" s="43">
        <v>0.01</v>
      </c>
      <c r="M34" s="42">
        <v>3.76</v>
      </c>
      <c r="N34" s="43">
        <v>0</v>
      </c>
      <c r="O34" s="42">
        <v>3.76</v>
      </c>
      <c r="P34" s="43">
        <v>-0.01</v>
      </c>
      <c r="Q34" s="42">
        <v>3.78</v>
      </c>
      <c r="R34" s="43">
        <v>0</v>
      </c>
      <c r="S34" s="42">
        <v>3.85</v>
      </c>
      <c r="T34" s="43">
        <v>0</v>
      </c>
      <c r="U34" s="42">
        <v>4.24</v>
      </c>
      <c r="V34" s="47">
        <v>0</v>
      </c>
    </row>
    <row r="35" spans="2:22">
      <c r="B35" s="55">
        <v>45078</v>
      </c>
      <c r="C35" s="52">
        <v>3.48</v>
      </c>
      <c r="D35" s="43">
        <v>0</v>
      </c>
      <c r="E35" s="42">
        <v>3.52</v>
      </c>
      <c r="F35" s="43">
        <v>0</v>
      </c>
      <c r="G35" s="42">
        <v>3.56</v>
      </c>
      <c r="H35" s="43">
        <v>0</v>
      </c>
      <c r="I35" s="42">
        <v>3.61</v>
      </c>
      <c r="J35" s="43">
        <v>0</v>
      </c>
      <c r="K35" s="42">
        <v>3.68</v>
      </c>
      <c r="L35" s="43">
        <v>0</v>
      </c>
      <c r="M35" s="42">
        <v>3.76</v>
      </c>
      <c r="N35" s="43">
        <v>0</v>
      </c>
      <c r="O35" s="42">
        <v>3.77</v>
      </c>
      <c r="P35" s="43">
        <v>0</v>
      </c>
      <c r="Q35" s="42">
        <v>3.78</v>
      </c>
      <c r="R35" s="43">
        <v>0</v>
      </c>
      <c r="S35" s="42">
        <v>3.85</v>
      </c>
      <c r="T35" s="43">
        <v>0</v>
      </c>
      <c r="U35" s="42">
        <v>4.24</v>
      </c>
      <c r="V35" s="47">
        <v>0</v>
      </c>
    </row>
    <row r="36" spans="2:22">
      <c r="B36" s="55">
        <v>45077</v>
      </c>
      <c r="C36" s="52">
        <v>3.48</v>
      </c>
      <c r="D36" s="43">
        <v>0.01</v>
      </c>
      <c r="E36" s="42">
        <v>3.52</v>
      </c>
      <c r="F36" s="43">
        <v>0.01</v>
      </c>
      <c r="G36" s="42">
        <v>3.56</v>
      </c>
      <c r="H36" s="43">
        <v>0.01</v>
      </c>
      <c r="I36" s="42">
        <v>3.61</v>
      </c>
      <c r="J36" s="43">
        <v>0.01</v>
      </c>
      <c r="K36" s="42">
        <v>3.68</v>
      </c>
      <c r="L36" s="43">
        <v>0.01</v>
      </c>
      <c r="M36" s="42">
        <v>3.76</v>
      </c>
      <c r="N36" s="43">
        <v>0</v>
      </c>
      <c r="O36" s="42">
        <v>3.77</v>
      </c>
      <c r="P36" s="43">
        <v>0.01</v>
      </c>
      <c r="Q36" s="42">
        <v>3.78</v>
      </c>
      <c r="R36" s="43">
        <v>0.01</v>
      </c>
      <c r="S36" s="42">
        <v>3.85</v>
      </c>
      <c r="T36" s="43">
        <v>0.01</v>
      </c>
      <c r="U36" s="42">
        <v>4.24</v>
      </c>
      <c r="V36" s="47">
        <v>0</v>
      </c>
    </row>
    <row r="37" spans="2:22">
      <c r="B37" s="55">
        <v>45076</v>
      </c>
      <c r="C37" s="52">
        <v>3.47</v>
      </c>
      <c r="D37" s="43">
        <v>0.01</v>
      </c>
      <c r="E37" s="42">
        <v>3.51</v>
      </c>
      <c r="F37" s="43">
        <v>0</v>
      </c>
      <c r="G37" s="42">
        <v>3.55</v>
      </c>
      <c r="H37" s="43">
        <v>0</v>
      </c>
      <c r="I37" s="42">
        <v>3.6</v>
      </c>
      <c r="J37" s="43">
        <v>0</v>
      </c>
      <c r="K37" s="42">
        <v>3.67</v>
      </c>
      <c r="L37" s="43">
        <v>0.01</v>
      </c>
      <c r="M37" s="42">
        <v>3.76</v>
      </c>
      <c r="N37" s="43">
        <v>0.01</v>
      </c>
      <c r="O37" s="42">
        <v>3.76</v>
      </c>
      <c r="P37" s="43">
        <v>0.01</v>
      </c>
      <c r="Q37" s="42">
        <v>3.77</v>
      </c>
      <c r="R37" s="43">
        <v>0.02</v>
      </c>
      <c r="S37" s="42">
        <v>3.84</v>
      </c>
      <c r="T37" s="43">
        <v>0.03</v>
      </c>
      <c r="U37" s="42">
        <v>4.24</v>
      </c>
      <c r="V37" s="47">
        <v>0.02</v>
      </c>
    </row>
    <row r="38" spans="2:22">
      <c r="B38" s="55">
        <v>45072</v>
      </c>
      <c r="C38" s="52">
        <v>3.46</v>
      </c>
      <c r="D38" s="43">
        <v>0</v>
      </c>
      <c r="E38" s="42">
        <v>3.51</v>
      </c>
      <c r="F38" s="43">
        <v>0.01</v>
      </c>
      <c r="G38" s="42">
        <v>3.55</v>
      </c>
      <c r="H38" s="43">
        <v>0</v>
      </c>
      <c r="I38" s="42">
        <v>3.6</v>
      </c>
      <c r="J38" s="43">
        <v>0.01</v>
      </c>
      <c r="K38" s="42">
        <v>3.66</v>
      </c>
      <c r="L38" s="43">
        <v>0.01</v>
      </c>
      <c r="M38" s="42">
        <v>3.75</v>
      </c>
      <c r="N38" s="43">
        <v>0</v>
      </c>
      <c r="O38" s="42">
        <v>3.75</v>
      </c>
      <c r="P38" s="43">
        <v>0</v>
      </c>
      <c r="Q38" s="42">
        <v>3.75</v>
      </c>
      <c r="R38" s="43">
        <v>0</v>
      </c>
      <c r="S38" s="42">
        <v>3.81</v>
      </c>
      <c r="T38" s="43">
        <v>0</v>
      </c>
      <c r="U38" s="42">
        <v>4.22</v>
      </c>
      <c r="V38" s="47">
        <v>0</v>
      </c>
    </row>
    <row r="39" spans="2:22">
      <c r="B39" s="55">
        <v>45071</v>
      </c>
      <c r="C39" s="52">
        <v>3.46</v>
      </c>
      <c r="D39" s="43">
        <v>0.01</v>
      </c>
      <c r="E39" s="42">
        <v>3.5</v>
      </c>
      <c r="F39" s="43">
        <v>0</v>
      </c>
      <c r="G39" s="42">
        <v>3.55</v>
      </c>
      <c r="H39" s="43">
        <v>0.01</v>
      </c>
      <c r="I39" s="42">
        <v>3.59</v>
      </c>
      <c r="J39" s="43">
        <v>0.01</v>
      </c>
      <c r="K39" s="42">
        <v>3.65</v>
      </c>
      <c r="L39" s="43">
        <v>0.01</v>
      </c>
      <c r="M39" s="42">
        <v>3.75</v>
      </c>
      <c r="N39" s="43">
        <v>0.02</v>
      </c>
      <c r="O39" s="42">
        <v>3.75</v>
      </c>
      <c r="P39" s="43">
        <v>0.02</v>
      </c>
      <c r="Q39" s="42">
        <v>3.75</v>
      </c>
      <c r="R39" s="43">
        <v>0.01</v>
      </c>
      <c r="S39" s="42">
        <v>3.81</v>
      </c>
      <c r="T39" s="43">
        <v>0</v>
      </c>
      <c r="U39" s="42">
        <v>4.22</v>
      </c>
      <c r="V39" s="47">
        <v>0.02</v>
      </c>
    </row>
    <row r="40" spans="2:22">
      <c r="B40" s="55">
        <v>45070</v>
      </c>
      <c r="C40" s="52">
        <v>3.45</v>
      </c>
      <c r="D40" s="43">
        <v>0.01</v>
      </c>
      <c r="E40" s="42">
        <v>3.5</v>
      </c>
      <c r="F40" s="43">
        <v>0.02</v>
      </c>
      <c r="G40" s="42">
        <v>3.54</v>
      </c>
      <c r="H40" s="43">
        <v>0.01</v>
      </c>
      <c r="I40" s="42">
        <v>3.58</v>
      </c>
      <c r="J40" s="43">
        <v>0.01</v>
      </c>
      <c r="K40" s="42">
        <v>3.64</v>
      </c>
      <c r="L40" s="43">
        <v>0.02</v>
      </c>
      <c r="M40" s="42">
        <v>3.73</v>
      </c>
      <c r="N40" s="43">
        <v>0.03</v>
      </c>
      <c r="O40" s="42">
        <v>3.73</v>
      </c>
      <c r="P40" s="43">
        <v>0.03</v>
      </c>
      <c r="Q40" s="42">
        <v>3.74</v>
      </c>
      <c r="R40" s="43">
        <v>0.03</v>
      </c>
      <c r="S40" s="42">
        <v>3.81</v>
      </c>
      <c r="T40" s="43">
        <v>0</v>
      </c>
      <c r="U40" s="42">
        <v>4.2</v>
      </c>
      <c r="V40" s="47">
        <v>0</v>
      </c>
    </row>
    <row r="41" spans="2:22">
      <c r="B41" s="55">
        <v>45069</v>
      </c>
      <c r="C41" s="52">
        <v>3.44</v>
      </c>
      <c r="D41" s="43">
        <v>0</v>
      </c>
      <c r="E41" s="42">
        <v>3.48</v>
      </c>
      <c r="F41" s="43">
        <v>0.01</v>
      </c>
      <c r="G41" s="42">
        <v>3.53</v>
      </c>
      <c r="H41" s="43">
        <v>0.02</v>
      </c>
      <c r="I41" s="42">
        <v>3.57</v>
      </c>
      <c r="J41" s="43">
        <v>0.02</v>
      </c>
      <c r="K41" s="42">
        <v>3.62</v>
      </c>
      <c r="L41" s="43">
        <v>0.01</v>
      </c>
      <c r="M41" s="42">
        <v>3.7</v>
      </c>
      <c r="N41" s="43">
        <v>0.02</v>
      </c>
      <c r="O41" s="42">
        <v>3.7</v>
      </c>
      <c r="P41" s="43">
        <v>0.02</v>
      </c>
      <c r="Q41" s="42">
        <v>3.71</v>
      </c>
      <c r="R41" s="43">
        <v>0.02</v>
      </c>
      <c r="S41" s="42">
        <v>3.81</v>
      </c>
      <c r="T41" s="43">
        <v>0</v>
      </c>
      <c r="U41" s="42">
        <v>4.2</v>
      </c>
      <c r="V41" s="47">
        <v>0.01</v>
      </c>
    </row>
    <row r="42" spans="2:22">
      <c r="B42" s="55">
        <v>45068</v>
      </c>
      <c r="C42" s="52">
        <v>3.44</v>
      </c>
      <c r="D42" s="43">
        <v>0</v>
      </c>
      <c r="E42" s="42">
        <v>3.47</v>
      </c>
      <c r="F42" s="43">
        <v>0</v>
      </c>
      <c r="G42" s="42">
        <v>3.51</v>
      </c>
      <c r="H42" s="43">
        <v>0.01</v>
      </c>
      <c r="I42" s="42">
        <v>3.55</v>
      </c>
      <c r="J42" s="43">
        <v>0.01</v>
      </c>
      <c r="K42" s="42">
        <v>3.61</v>
      </c>
      <c r="L42" s="43">
        <v>0.01</v>
      </c>
      <c r="M42" s="42">
        <v>3.68</v>
      </c>
      <c r="N42" s="43">
        <v>0.01</v>
      </c>
      <c r="O42" s="42">
        <v>3.68</v>
      </c>
      <c r="P42" s="43">
        <v>0.01</v>
      </c>
      <c r="Q42" s="42">
        <v>3.69</v>
      </c>
      <c r="R42" s="43">
        <v>0</v>
      </c>
      <c r="S42" s="42">
        <v>3.81</v>
      </c>
      <c r="T42" s="43">
        <v>0</v>
      </c>
      <c r="U42" s="42">
        <v>4.1900000000000004</v>
      </c>
      <c r="V42" s="47">
        <v>-0.01</v>
      </c>
    </row>
    <row r="43" spans="2:22">
      <c r="B43" s="55">
        <v>45065</v>
      </c>
      <c r="C43" s="52">
        <v>3.44</v>
      </c>
      <c r="D43" s="43">
        <v>0</v>
      </c>
      <c r="E43" s="42">
        <v>3.47</v>
      </c>
      <c r="F43" s="43">
        <v>0</v>
      </c>
      <c r="G43" s="42">
        <v>3.5</v>
      </c>
      <c r="H43" s="43">
        <v>0</v>
      </c>
      <c r="I43" s="42">
        <v>3.54</v>
      </c>
      <c r="J43" s="43">
        <v>0</v>
      </c>
      <c r="K43" s="42">
        <v>3.6</v>
      </c>
      <c r="L43" s="43">
        <v>0.01</v>
      </c>
      <c r="M43" s="42">
        <v>3.67</v>
      </c>
      <c r="N43" s="43">
        <v>0.01</v>
      </c>
      <c r="O43" s="42">
        <v>3.67</v>
      </c>
      <c r="P43" s="43">
        <v>0.01</v>
      </c>
      <c r="Q43" s="42">
        <v>3.69</v>
      </c>
      <c r="R43" s="43">
        <v>0.01</v>
      </c>
      <c r="S43" s="42">
        <v>3.81</v>
      </c>
      <c r="T43" s="43">
        <v>0</v>
      </c>
      <c r="U43" s="42">
        <v>4.2</v>
      </c>
      <c r="V43" s="47">
        <v>0.01</v>
      </c>
    </row>
    <row r="44" spans="2:22">
      <c r="B44" s="55">
        <v>45064</v>
      </c>
      <c r="C44" s="52">
        <v>3.44</v>
      </c>
      <c r="D44" s="43">
        <v>0.01</v>
      </c>
      <c r="E44" s="42">
        <v>3.47</v>
      </c>
      <c r="F44" s="43">
        <v>0.01</v>
      </c>
      <c r="G44" s="42">
        <v>3.5</v>
      </c>
      <c r="H44" s="43">
        <v>0.01</v>
      </c>
      <c r="I44" s="42">
        <v>3.54</v>
      </c>
      <c r="J44" s="43">
        <v>0.01</v>
      </c>
      <c r="K44" s="42">
        <v>3.59</v>
      </c>
      <c r="L44" s="43">
        <v>0.01</v>
      </c>
      <c r="M44" s="42">
        <v>3.66</v>
      </c>
      <c r="N44" s="43">
        <v>0.01</v>
      </c>
      <c r="O44" s="42">
        <v>3.66</v>
      </c>
      <c r="P44" s="43">
        <v>0.01</v>
      </c>
      <c r="Q44" s="42">
        <v>3.68</v>
      </c>
      <c r="R44" s="43">
        <v>0.01</v>
      </c>
      <c r="S44" s="42">
        <v>3.81</v>
      </c>
      <c r="T44" s="43">
        <v>0.02</v>
      </c>
      <c r="U44" s="42">
        <v>4.1900000000000004</v>
      </c>
      <c r="V44" s="47">
        <v>0.01</v>
      </c>
    </row>
    <row r="45" spans="2:22">
      <c r="B45" s="55">
        <v>45063</v>
      </c>
      <c r="C45" s="52">
        <v>3.43</v>
      </c>
      <c r="D45" s="43">
        <v>0.01</v>
      </c>
      <c r="E45" s="42">
        <v>3.46</v>
      </c>
      <c r="F45" s="43">
        <v>0.02</v>
      </c>
      <c r="G45" s="42">
        <v>3.49</v>
      </c>
      <c r="H45" s="43">
        <v>0.01</v>
      </c>
      <c r="I45" s="42">
        <v>3.53</v>
      </c>
      <c r="J45" s="43">
        <v>0.02</v>
      </c>
      <c r="K45" s="42">
        <v>3.58</v>
      </c>
      <c r="L45" s="43">
        <v>0.02</v>
      </c>
      <c r="M45" s="42">
        <v>3.65</v>
      </c>
      <c r="N45" s="43">
        <v>0.03</v>
      </c>
      <c r="O45" s="42">
        <v>3.65</v>
      </c>
      <c r="P45" s="43">
        <v>0.02</v>
      </c>
      <c r="Q45" s="42">
        <v>3.67</v>
      </c>
      <c r="R45" s="43">
        <v>0.02</v>
      </c>
      <c r="S45" s="42">
        <v>3.79</v>
      </c>
      <c r="T45" s="43">
        <v>0.03</v>
      </c>
      <c r="U45" s="42">
        <v>4.18</v>
      </c>
      <c r="V45" s="47">
        <v>0.03</v>
      </c>
    </row>
    <row r="46" spans="2:22">
      <c r="B46" s="55">
        <v>45062</v>
      </c>
      <c r="C46" s="52">
        <v>3.42</v>
      </c>
      <c r="D46" s="43">
        <v>0.01</v>
      </c>
      <c r="E46" s="42">
        <v>3.44</v>
      </c>
      <c r="F46" s="43">
        <v>0</v>
      </c>
      <c r="G46" s="42">
        <v>3.48</v>
      </c>
      <c r="H46" s="43">
        <v>0.01</v>
      </c>
      <c r="I46" s="42">
        <v>3.51</v>
      </c>
      <c r="J46" s="43">
        <v>0</v>
      </c>
      <c r="K46" s="42">
        <v>3.56</v>
      </c>
      <c r="L46" s="43">
        <v>0</v>
      </c>
      <c r="M46" s="42">
        <v>3.62</v>
      </c>
      <c r="N46" s="43">
        <v>0</v>
      </c>
      <c r="O46" s="42">
        <v>3.63</v>
      </c>
      <c r="P46" s="43">
        <v>0</v>
      </c>
      <c r="Q46" s="42">
        <v>3.65</v>
      </c>
      <c r="R46" s="43">
        <v>0</v>
      </c>
      <c r="S46" s="42">
        <v>3.76</v>
      </c>
      <c r="T46" s="43">
        <v>0.03</v>
      </c>
      <c r="U46" s="42">
        <v>4.1500000000000004</v>
      </c>
      <c r="V46" s="47">
        <v>0</v>
      </c>
    </row>
    <row r="47" spans="2:22">
      <c r="B47" s="55">
        <v>45061</v>
      </c>
      <c r="C47" s="52">
        <v>3.41</v>
      </c>
      <c r="D47" s="43">
        <v>0</v>
      </c>
      <c r="E47" s="42">
        <v>3.44</v>
      </c>
      <c r="F47" s="43">
        <v>0</v>
      </c>
      <c r="G47" s="42">
        <v>3.47</v>
      </c>
      <c r="H47" s="43">
        <v>0.01</v>
      </c>
      <c r="I47" s="42">
        <v>3.51</v>
      </c>
      <c r="J47" s="43">
        <v>0.01</v>
      </c>
      <c r="K47" s="42">
        <v>3.56</v>
      </c>
      <c r="L47" s="43">
        <v>0.01</v>
      </c>
      <c r="M47" s="42">
        <v>3.62</v>
      </c>
      <c r="N47" s="43">
        <v>0.01</v>
      </c>
      <c r="O47" s="42">
        <v>3.63</v>
      </c>
      <c r="P47" s="43">
        <v>0.01</v>
      </c>
      <c r="Q47" s="42">
        <v>3.65</v>
      </c>
      <c r="R47" s="43">
        <v>0</v>
      </c>
      <c r="S47" s="42">
        <v>3.73</v>
      </c>
      <c r="T47" s="43">
        <v>0</v>
      </c>
      <c r="U47" s="42">
        <v>4.1500000000000004</v>
      </c>
      <c r="V47" s="47">
        <v>0.01</v>
      </c>
    </row>
    <row r="48" spans="2:22">
      <c r="B48" s="55">
        <v>45058</v>
      </c>
      <c r="C48" s="52">
        <v>3.41</v>
      </c>
      <c r="D48" s="43">
        <v>0</v>
      </c>
      <c r="E48" s="42">
        <v>3.44</v>
      </c>
      <c r="F48" s="43">
        <v>0.01</v>
      </c>
      <c r="G48" s="42">
        <v>3.46</v>
      </c>
      <c r="H48" s="43">
        <v>0</v>
      </c>
      <c r="I48" s="42">
        <v>3.5</v>
      </c>
      <c r="J48" s="43">
        <v>0.01</v>
      </c>
      <c r="K48" s="42">
        <v>3.55</v>
      </c>
      <c r="L48" s="43">
        <v>0.02</v>
      </c>
      <c r="M48" s="42">
        <v>3.61</v>
      </c>
      <c r="N48" s="43">
        <v>0.01</v>
      </c>
      <c r="O48" s="42">
        <v>3.62</v>
      </c>
      <c r="P48" s="43">
        <v>0.01</v>
      </c>
      <c r="Q48" s="42">
        <v>3.65</v>
      </c>
      <c r="R48" s="43">
        <v>0</v>
      </c>
      <c r="S48" s="42">
        <v>3.73</v>
      </c>
      <c r="T48" s="43">
        <v>0</v>
      </c>
      <c r="U48" s="42">
        <v>4.1399999999999997</v>
      </c>
      <c r="V48" s="47">
        <v>0</v>
      </c>
    </row>
    <row r="49" spans="2:22">
      <c r="B49" s="55">
        <v>45057</v>
      </c>
      <c r="C49" s="52">
        <v>3.41</v>
      </c>
      <c r="D49" s="43">
        <v>0</v>
      </c>
      <c r="E49" s="42">
        <v>3.43</v>
      </c>
      <c r="F49" s="43">
        <v>0</v>
      </c>
      <c r="G49" s="42">
        <v>3.46</v>
      </c>
      <c r="H49" s="43">
        <v>0</v>
      </c>
      <c r="I49" s="42">
        <v>3.49</v>
      </c>
      <c r="J49" s="43">
        <v>0</v>
      </c>
      <c r="K49" s="42">
        <v>3.53</v>
      </c>
      <c r="L49" s="43">
        <v>0</v>
      </c>
      <c r="M49" s="42">
        <v>3.6</v>
      </c>
      <c r="N49" s="43">
        <v>0.01</v>
      </c>
      <c r="O49" s="42">
        <v>3.61</v>
      </c>
      <c r="P49" s="43">
        <v>0.01</v>
      </c>
      <c r="Q49" s="42">
        <v>3.65</v>
      </c>
      <c r="R49" s="43">
        <v>0.01</v>
      </c>
      <c r="S49" s="42">
        <v>3.73</v>
      </c>
      <c r="T49" s="43">
        <v>0</v>
      </c>
      <c r="U49" s="42">
        <v>4.1399999999999997</v>
      </c>
      <c r="V49" s="47">
        <v>-0.01</v>
      </c>
    </row>
    <row r="50" spans="2:22">
      <c r="B50" s="55">
        <v>45056</v>
      </c>
      <c r="C50" s="52">
        <v>3.41</v>
      </c>
      <c r="D50" s="43">
        <v>0.01</v>
      </c>
      <c r="E50" s="42">
        <v>3.43</v>
      </c>
      <c r="F50" s="43">
        <v>0</v>
      </c>
      <c r="G50" s="42">
        <v>3.46</v>
      </c>
      <c r="H50" s="43">
        <v>0.01</v>
      </c>
      <c r="I50" s="42">
        <v>3.49</v>
      </c>
      <c r="J50" s="43">
        <v>0.01</v>
      </c>
      <c r="K50" s="42">
        <v>3.53</v>
      </c>
      <c r="L50" s="43">
        <v>0.02</v>
      </c>
      <c r="M50" s="42">
        <v>3.59</v>
      </c>
      <c r="N50" s="43">
        <v>0.04</v>
      </c>
      <c r="O50" s="42">
        <v>3.6</v>
      </c>
      <c r="P50" s="43">
        <v>0.02</v>
      </c>
      <c r="Q50" s="42">
        <v>3.64</v>
      </c>
      <c r="R50" s="43">
        <v>0.01</v>
      </c>
      <c r="S50" s="42">
        <v>3.73</v>
      </c>
      <c r="T50" s="43">
        <v>0.01</v>
      </c>
      <c r="U50" s="42">
        <v>4.1500000000000004</v>
      </c>
      <c r="V50" s="47">
        <v>0</v>
      </c>
    </row>
    <row r="51" spans="2:22">
      <c r="B51" s="55">
        <v>45055</v>
      </c>
      <c r="C51" s="52">
        <v>3.4</v>
      </c>
      <c r="D51" s="43">
        <v>0.01</v>
      </c>
      <c r="E51" s="42">
        <v>3.43</v>
      </c>
      <c r="F51" s="43">
        <v>0.01</v>
      </c>
      <c r="G51" s="42">
        <v>3.45</v>
      </c>
      <c r="H51" s="43">
        <v>0</v>
      </c>
      <c r="I51" s="42">
        <v>3.48</v>
      </c>
      <c r="J51" s="43">
        <v>0</v>
      </c>
      <c r="K51" s="42">
        <v>3.51</v>
      </c>
      <c r="L51" s="43">
        <v>0</v>
      </c>
      <c r="M51" s="42">
        <v>3.55</v>
      </c>
      <c r="N51" s="43">
        <v>0</v>
      </c>
      <c r="O51" s="42">
        <v>3.58</v>
      </c>
      <c r="P51" s="43">
        <v>0.01</v>
      </c>
      <c r="Q51" s="42">
        <v>3.63</v>
      </c>
      <c r="R51" s="43">
        <v>0.03</v>
      </c>
      <c r="S51" s="42">
        <v>3.72</v>
      </c>
      <c r="T51" s="43">
        <v>0</v>
      </c>
      <c r="U51" s="42">
        <v>4.1500000000000004</v>
      </c>
      <c r="V51" s="47">
        <v>0.01</v>
      </c>
    </row>
    <row r="52" spans="2:22">
      <c r="B52" s="55">
        <v>45054</v>
      </c>
      <c r="C52" s="52">
        <v>3.39</v>
      </c>
      <c r="D52" s="43">
        <v>0</v>
      </c>
      <c r="E52" s="42">
        <v>3.42</v>
      </c>
      <c r="F52" s="43">
        <v>0.01</v>
      </c>
      <c r="G52" s="42">
        <v>3.45</v>
      </c>
      <c r="H52" s="43">
        <v>0.01</v>
      </c>
      <c r="I52" s="42">
        <v>3.48</v>
      </c>
      <c r="J52" s="43">
        <v>0.01</v>
      </c>
      <c r="K52" s="42">
        <v>3.51</v>
      </c>
      <c r="L52" s="43">
        <v>0.01</v>
      </c>
      <c r="M52" s="42">
        <v>3.55</v>
      </c>
      <c r="N52" s="43">
        <v>0</v>
      </c>
      <c r="O52" s="42">
        <v>3.57</v>
      </c>
      <c r="P52" s="43">
        <v>0.01</v>
      </c>
      <c r="Q52" s="42">
        <v>3.6</v>
      </c>
      <c r="R52" s="43">
        <v>0.02</v>
      </c>
      <c r="S52" s="42">
        <v>3.72</v>
      </c>
      <c r="T52" s="43">
        <v>0</v>
      </c>
      <c r="U52" s="42">
        <v>4.1399999999999997</v>
      </c>
      <c r="V52" s="47">
        <v>0</v>
      </c>
    </row>
    <row r="53" spans="2:22">
      <c r="B53" s="55">
        <v>45050</v>
      </c>
      <c r="C53" s="52">
        <v>3.39</v>
      </c>
      <c r="D53" s="43">
        <v>0</v>
      </c>
      <c r="E53" s="42">
        <v>3.41</v>
      </c>
      <c r="F53" s="43">
        <v>0</v>
      </c>
      <c r="G53" s="42">
        <v>3.44</v>
      </c>
      <c r="H53" s="43">
        <v>0</v>
      </c>
      <c r="I53" s="42">
        <v>3.47</v>
      </c>
      <c r="J53" s="43">
        <v>0</v>
      </c>
      <c r="K53" s="42">
        <v>3.5</v>
      </c>
      <c r="L53" s="43">
        <v>0</v>
      </c>
      <c r="M53" s="42">
        <v>3.55</v>
      </c>
      <c r="N53" s="43">
        <v>0</v>
      </c>
      <c r="O53" s="42">
        <v>3.56</v>
      </c>
      <c r="P53" s="43">
        <v>0</v>
      </c>
      <c r="Q53" s="42">
        <v>3.58</v>
      </c>
      <c r="R53" s="43">
        <v>0</v>
      </c>
      <c r="S53" s="42">
        <v>3.72</v>
      </c>
      <c r="T53" s="43">
        <v>0.02</v>
      </c>
      <c r="U53" s="42">
        <v>4.1399999999999997</v>
      </c>
      <c r="V53" s="47">
        <v>0.01</v>
      </c>
    </row>
    <row r="54" spans="2:22">
      <c r="B54" s="55">
        <v>45049</v>
      </c>
      <c r="C54" s="52">
        <v>3.39</v>
      </c>
      <c r="D54" s="43">
        <v>0</v>
      </c>
      <c r="E54" s="42">
        <v>3.41</v>
      </c>
      <c r="F54" s="43">
        <v>0.01</v>
      </c>
      <c r="G54" s="42">
        <v>3.44</v>
      </c>
      <c r="H54" s="43">
        <v>0.01</v>
      </c>
      <c r="I54" s="42">
        <v>3.47</v>
      </c>
      <c r="J54" s="43">
        <v>0.01</v>
      </c>
      <c r="K54" s="42">
        <v>3.5</v>
      </c>
      <c r="L54" s="43">
        <v>0.01</v>
      </c>
      <c r="M54" s="42">
        <v>3.55</v>
      </c>
      <c r="N54" s="43">
        <v>0.02</v>
      </c>
      <c r="O54" s="42">
        <v>3.56</v>
      </c>
      <c r="P54" s="43">
        <v>0.01</v>
      </c>
      <c r="Q54" s="42">
        <v>3.58</v>
      </c>
      <c r="R54" s="43">
        <v>0</v>
      </c>
      <c r="S54" s="42">
        <v>3.7</v>
      </c>
      <c r="T54" s="43">
        <v>0</v>
      </c>
      <c r="U54" s="42">
        <v>4.13</v>
      </c>
      <c r="V54" s="47">
        <v>0</v>
      </c>
    </row>
    <row r="55" spans="2:22">
      <c r="B55" s="55">
        <v>45048</v>
      </c>
      <c r="C55" s="52">
        <v>3.39</v>
      </c>
      <c r="D55" s="43">
        <v>0.01</v>
      </c>
      <c r="E55" s="42">
        <v>3.4</v>
      </c>
      <c r="F55" s="43">
        <v>0</v>
      </c>
      <c r="G55" s="42">
        <v>3.43</v>
      </c>
      <c r="H55" s="43">
        <v>0.01</v>
      </c>
      <c r="I55" s="42">
        <v>3.46</v>
      </c>
      <c r="J55" s="43">
        <v>0.01</v>
      </c>
      <c r="K55" s="42">
        <v>3.49</v>
      </c>
      <c r="L55" s="43">
        <v>0.01</v>
      </c>
      <c r="M55" s="42">
        <v>3.53</v>
      </c>
      <c r="N55" s="43">
        <v>0.01</v>
      </c>
      <c r="O55" s="42">
        <v>3.55</v>
      </c>
      <c r="P55" s="43">
        <v>0.01</v>
      </c>
      <c r="Q55" s="42">
        <v>3.58</v>
      </c>
      <c r="R55" s="43">
        <v>0</v>
      </c>
      <c r="S55" s="42">
        <v>3.7</v>
      </c>
      <c r="T55" s="43">
        <v>0</v>
      </c>
      <c r="U55" s="42">
        <v>4.13</v>
      </c>
      <c r="V55" s="47">
        <v>0</v>
      </c>
    </row>
    <row r="56" spans="2:22">
      <c r="B56" s="55">
        <v>45044</v>
      </c>
      <c r="C56" s="52">
        <v>3.38</v>
      </c>
      <c r="D56" s="43">
        <v>0</v>
      </c>
      <c r="E56" s="42">
        <v>3.4</v>
      </c>
      <c r="F56" s="43">
        <v>0</v>
      </c>
      <c r="G56" s="42">
        <v>3.42</v>
      </c>
      <c r="H56" s="43">
        <v>0</v>
      </c>
      <c r="I56" s="42">
        <v>3.45</v>
      </c>
      <c r="J56" s="43">
        <v>0</v>
      </c>
      <c r="K56" s="42">
        <v>3.48</v>
      </c>
      <c r="L56" s="43">
        <v>0</v>
      </c>
      <c r="M56" s="42">
        <v>3.52</v>
      </c>
      <c r="N56" s="43">
        <v>0</v>
      </c>
      <c r="O56" s="42">
        <v>3.54</v>
      </c>
      <c r="P56" s="43">
        <v>0</v>
      </c>
      <c r="Q56" s="42">
        <v>3.58</v>
      </c>
      <c r="R56" s="43">
        <v>0</v>
      </c>
      <c r="S56" s="42">
        <v>3.7</v>
      </c>
      <c r="T56" s="43">
        <v>0</v>
      </c>
      <c r="U56" s="42">
        <v>4.13</v>
      </c>
      <c r="V56" s="47">
        <v>0</v>
      </c>
    </row>
    <row r="57" spans="2:22">
      <c r="B57" s="55">
        <v>45043</v>
      </c>
      <c r="C57" s="52">
        <v>3.38</v>
      </c>
      <c r="D57" s="43">
        <v>0</v>
      </c>
      <c r="E57" s="42">
        <v>3.4</v>
      </c>
      <c r="F57" s="43">
        <v>0.01</v>
      </c>
      <c r="G57" s="42">
        <v>3.42</v>
      </c>
      <c r="H57" s="43">
        <v>0</v>
      </c>
      <c r="I57" s="42">
        <v>3.45</v>
      </c>
      <c r="J57" s="43">
        <v>0.01</v>
      </c>
      <c r="K57" s="42">
        <v>3.48</v>
      </c>
      <c r="L57" s="43">
        <v>0.01</v>
      </c>
      <c r="M57" s="42">
        <v>3.52</v>
      </c>
      <c r="N57" s="43">
        <v>0.02</v>
      </c>
      <c r="O57" s="42">
        <v>3.54</v>
      </c>
      <c r="P57" s="43">
        <v>0.02</v>
      </c>
      <c r="Q57" s="42">
        <v>3.58</v>
      </c>
      <c r="R57" s="43">
        <v>0.02</v>
      </c>
      <c r="S57" s="42">
        <v>3.7</v>
      </c>
      <c r="T57" s="43">
        <v>0</v>
      </c>
      <c r="U57" s="42">
        <v>4.13</v>
      </c>
      <c r="V57" s="47">
        <v>0.01</v>
      </c>
    </row>
    <row r="58" spans="2:22">
      <c r="B58" s="55">
        <v>45042</v>
      </c>
      <c r="C58" s="52">
        <v>3.38</v>
      </c>
      <c r="D58" s="43">
        <v>0.01</v>
      </c>
      <c r="E58" s="42">
        <v>3.39</v>
      </c>
      <c r="F58" s="43">
        <v>0</v>
      </c>
      <c r="G58" s="42">
        <v>3.42</v>
      </c>
      <c r="H58" s="43">
        <v>0.01</v>
      </c>
      <c r="I58" s="42">
        <v>3.44</v>
      </c>
      <c r="J58" s="43">
        <v>0.01</v>
      </c>
      <c r="K58" s="42">
        <v>3.47</v>
      </c>
      <c r="L58" s="43">
        <v>0.01</v>
      </c>
      <c r="M58" s="42">
        <v>3.5</v>
      </c>
      <c r="N58" s="43">
        <v>0.01</v>
      </c>
      <c r="O58" s="42">
        <v>3.52</v>
      </c>
      <c r="P58" s="43">
        <v>0.01</v>
      </c>
      <c r="Q58" s="42">
        <v>3.56</v>
      </c>
      <c r="R58" s="43">
        <v>0.01</v>
      </c>
      <c r="S58" s="42">
        <v>3.7</v>
      </c>
      <c r="T58" s="43">
        <v>-0.01</v>
      </c>
      <c r="U58" s="42">
        <v>4.12</v>
      </c>
      <c r="V58" s="47">
        <v>-0.01</v>
      </c>
    </row>
    <row r="59" spans="2:22">
      <c r="B59" s="55">
        <v>45041</v>
      </c>
      <c r="C59" s="52">
        <v>3.37</v>
      </c>
      <c r="D59" s="43">
        <v>0</v>
      </c>
      <c r="E59" s="42">
        <v>3.39</v>
      </c>
      <c r="F59" s="43">
        <v>0.01</v>
      </c>
      <c r="G59" s="42">
        <v>3.41</v>
      </c>
      <c r="H59" s="43">
        <v>0.01</v>
      </c>
      <c r="I59" s="42">
        <v>3.43</v>
      </c>
      <c r="J59" s="43">
        <v>0</v>
      </c>
      <c r="K59" s="42">
        <v>3.46</v>
      </c>
      <c r="L59" s="43">
        <v>0</v>
      </c>
      <c r="M59" s="42">
        <v>3.49</v>
      </c>
      <c r="N59" s="43">
        <v>0</v>
      </c>
      <c r="O59" s="42">
        <v>3.51</v>
      </c>
      <c r="P59" s="43">
        <v>0</v>
      </c>
      <c r="Q59" s="42">
        <v>3.55</v>
      </c>
      <c r="R59" s="43">
        <v>0</v>
      </c>
      <c r="S59" s="42">
        <v>3.71</v>
      </c>
      <c r="T59" s="43">
        <v>-0.01</v>
      </c>
      <c r="U59" s="42">
        <v>4.13</v>
      </c>
      <c r="V59" s="47">
        <v>0</v>
      </c>
    </row>
    <row r="60" spans="2:22">
      <c r="B60" s="55">
        <v>45040</v>
      </c>
      <c r="C60" s="52">
        <v>3.37</v>
      </c>
      <c r="D60" s="43">
        <v>0.01</v>
      </c>
      <c r="E60" s="42">
        <v>3.38</v>
      </c>
      <c r="F60" s="43">
        <v>0</v>
      </c>
      <c r="G60" s="42">
        <v>3.4</v>
      </c>
      <c r="H60" s="43">
        <v>0</v>
      </c>
      <c r="I60" s="42">
        <v>3.43</v>
      </c>
      <c r="J60" s="43">
        <v>0.01</v>
      </c>
      <c r="K60" s="42">
        <v>3.46</v>
      </c>
      <c r="L60" s="43">
        <v>0.01</v>
      </c>
      <c r="M60" s="42">
        <v>3.49</v>
      </c>
      <c r="N60" s="43">
        <v>0</v>
      </c>
      <c r="O60" s="42">
        <v>3.51</v>
      </c>
      <c r="P60" s="43">
        <v>0</v>
      </c>
      <c r="Q60" s="42">
        <v>3.55</v>
      </c>
      <c r="R60" s="43">
        <v>0.01</v>
      </c>
      <c r="S60" s="42">
        <v>3.72</v>
      </c>
      <c r="T60" s="43">
        <v>0</v>
      </c>
      <c r="U60" s="42">
        <v>4.13</v>
      </c>
      <c r="V60" s="47">
        <v>-0.01</v>
      </c>
    </row>
    <row r="61" spans="2:22">
      <c r="B61" s="55">
        <v>45037</v>
      </c>
      <c r="C61" s="52">
        <v>3.36</v>
      </c>
      <c r="D61" s="43">
        <v>0</v>
      </c>
      <c r="E61" s="42">
        <v>3.38</v>
      </c>
      <c r="F61" s="43">
        <v>0.01</v>
      </c>
      <c r="G61" s="42">
        <v>3.4</v>
      </c>
      <c r="H61" s="43">
        <v>0.01</v>
      </c>
      <c r="I61" s="42">
        <v>3.42</v>
      </c>
      <c r="J61" s="43">
        <v>0.01</v>
      </c>
      <c r="K61" s="42">
        <v>3.45</v>
      </c>
      <c r="L61" s="43">
        <v>0.02</v>
      </c>
      <c r="M61" s="42">
        <v>3.49</v>
      </c>
      <c r="N61" s="43">
        <v>0.02</v>
      </c>
      <c r="O61" s="42">
        <v>3.51</v>
      </c>
      <c r="P61" s="43">
        <v>0.02</v>
      </c>
      <c r="Q61" s="42">
        <v>3.54</v>
      </c>
      <c r="R61" s="43">
        <v>0.03</v>
      </c>
      <c r="S61" s="42">
        <v>3.72</v>
      </c>
      <c r="T61" s="43">
        <v>0</v>
      </c>
      <c r="U61" s="42">
        <v>4.1399999999999997</v>
      </c>
      <c r="V61" s="47">
        <v>-0.01</v>
      </c>
    </row>
    <row r="62" spans="2:22">
      <c r="B62" s="55">
        <v>45036</v>
      </c>
      <c r="C62" s="52">
        <v>3.36</v>
      </c>
      <c r="D62" s="43">
        <v>0.01</v>
      </c>
      <c r="E62" s="42">
        <v>3.37</v>
      </c>
      <c r="F62" s="43">
        <v>0</v>
      </c>
      <c r="G62" s="42">
        <v>3.39</v>
      </c>
      <c r="H62" s="43">
        <v>0</v>
      </c>
      <c r="I62" s="42">
        <v>3.41</v>
      </c>
      <c r="J62" s="43">
        <v>0</v>
      </c>
      <c r="K62" s="42">
        <v>3.43</v>
      </c>
      <c r="L62" s="43">
        <v>0.01</v>
      </c>
      <c r="M62" s="42">
        <v>3.47</v>
      </c>
      <c r="N62" s="43">
        <v>0.02</v>
      </c>
      <c r="O62" s="42">
        <v>3.49</v>
      </c>
      <c r="P62" s="43">
        <v>0.02</v>
      </c>
      <c r="Q62" s="42">
        <v>3.51</v>
      </c>
      <c r="R62" s="43">
        <v>0</v>
      </c>
      <c r="S62" s="42">
        <v>3.72</v>
      </c>
      <c r="T62" s="43">
        <v>0</v>
      </c>
      <c r="U62" s="42">
        <v>4.1500000000000004</v>
      </c>
      <c r="V62" s="47">
        <v>0</v>
      </c>
    </row>
    <row r="63" spans="2:22">
      <c r="B63" s="55">
        <v>45035</v>
      </c>
      <c r="C63" s="52">
        <v>3.35</v>
      </c>
      <c r="D63" s="43">
        <v>0</v>
      </c>
      <c r="E63" s="42">
        <v>3.37</v>
      </c>
      <c r="F63" s="43">
        <v>0</v>
      </c>
      <c r="G63" s="42">
        <v>3.39</v>
      </c>
      <c r="H63" s="43">
        <v>0</v>
      </c>
      <c r="I63" s="42">
        <v>3.41</v>
      </c>
      <c r="J63" s="43">
        <v>0.01</v>
      </c>
      <c r="K63" s="42">
        <v>3.42</v>
      </c>
      <c r="L63" s="43">
        <v>0</v>
      </c>
      <c r="M63" s="42">
        <v>3.45</v>
      </c>
      <c r="N63" s="43">
        <v>0.01</v>
      </c>
      <c r="O63" s="42">
        <v>3.47</v>
      </c>
      <c r="P63" s="43">
        <v>0.01</v>
      </c>
      <c r="Q63" s="42">
        <v>3.51</v>
      </c>
      <c r="R63" s="43">
        <v>0.01</v>
      </c>
      <c r="S63" s="42">
        <v>3.72</v>
      </c>
      <c r="T63" s="43">
        <v>0</v>
      </c>
      <c r="U63" s="42">
        <v>4.1500000000000004</v>
      </c>
      <c r="V63" s="47">
        <v>0</v>
      </c>
    </row>
    <row r="64" spans="2:22">
      <c r="B64" s="55">
        <v>45034</v>
      </c>
      <c r="C64" s="52">
        <v>3.35</v>
      </c>
      <c r="D64" s="43">
        <v>0</v>
      </c>
      <c r="E64" s="42">
        <v>3.37</v>
      </c>
      <c r="F64" s="43">
        <v>0.01</v>
      </c>
      <c r="G64" s="42">
        <v>3.39</v>
      </c>
      <c r="H64" s="43">
        <v>0.01</v>
      </c>
      <c r="I64" s="42">
        <v>3.4</v>
      </c>
      <c r="J64" s="43">
        <v>0</v>
      </c>
      <c r="K64" s="42">
        <v>3.42</v>
      </c>
      <c r="L64" s="43">
        <v>0.01</v>
      </c>
      <c r="M64" s="42">
        <v>3.44</v>
      </c>
      <c r="N64" s="43">
        <v>0.01</v>
      </c>
      <c r="O64" s="42">
        <v>3.46</v>
      </c>
      <c r="P64" s="43">
        <v>0.01</v>
      </c>
      <c r="Q64" s="42">
        <v>3.5</v>
      </c>
      <c r="R64" s="43">
        <v>0</v>
      </c>
      <c r="S64" s="42">
        <v>3.72</v>
      </c>
      <c r="T64" s="43">
        <v>0</v>
      </c>
      <c r="U64" s="42">
        <v>4.1500000000000004</v>
      </c>
      <c r="V64" s="47">
        <v>0.01</v>
      </c>
    </row>
    <row r="65" spans="2:22">
      <c r="B65" s="55">
        <v>45033</v>
      </c>
      <c r="C65" s="52">
        <v>3.35</v>
      </c>
      <c r="D65" s="43">
        <v>0.01</v>
      </c>
      <c r="E65" s="42">
        <v>3.36</v>
      </c>
      <c r="F65" s="43">
        <v>0</v>
      </c>
      <c r="G65" s="42">
        <v>3.38</v>
      </c>
      <c r="H65" s="43">
        <v>0</v>
      </c>
      <c r="I65" s="42">
        <v>3.4</v>
      </c>
      <c r="J65" s="43">
        <v>0.01</v>
      </c>
      <c r="K65" s="42">
        <v>3.41</v>
      </c>
      <c r="L65" s="43">
        <v>0</v>
      </c>
      <c r="M65" s="42">
        <v>3.43</v>
      </c>
      <c r="N65" s="43">
        <v>0</v>
      </c>
      <c r="O65" s="42">
        <v>3.45</v>
      </c>
      <c r="P65" s="43">
        <v>0</v>
      </c>
      <c r="Q65" s="42">
        <v>3.5</v>
      </c>
      <c r="R65" s="43">
        <v>0</v>
      </c>
      <c r="S65" s="42">
        <v>3.72</v>
      </c>
      <c r="T65" s="43">
        <v>0</v>
      </c>
      <c r="U65" s="42">
        <v>4.1399999999999997</v>
      </c>
      <c r="V65" s="47">
        <v>0.01</v>
      </c>
    </row>
    <row r="66" spans="2:22">
      <c r="B66" s="55">
        <v>45030</v>
      </c>
      <c r="C66" s="52">
        <v>3.34</v>
      </c>
      <c r="D66" s="43">
        <v>-0.01</v>
      </c>
      <c r="E66" s="42">
        <v>3.36</v>
      </c>
      <c r="F66" s="43">
        <v>-0.01</v>
      </c>
      <c r="G66" s="42">
        <v>3.38</v>
      </c>
      <c r="H66" s="43">
        <v>0</v>
      </c>
      <c r="I66" s="42">
        <v>3.39</v>
      </c>
      <c r="J66" s="43">
        <v>-0.01</v>
      </c>
      <c r="K66" s="42">
        <v>3.41</v>
      </c>
      <c r="L66" s="43">
        <v>0</v>
      </c>
      <c r="M66" s="42">
        <v>3.43</v>
      </c>
      <c r="N66" s="43">
        <v>0</v>
      </c>
      <c r="O66" s="42">
        <v>3.45</v>
      </c>
      <c r="P66" s="43">
        <v>0</v>
      </c>
      <c r="Q66" s="42">
        <v>3.5</v>
      </c>
      <c r="R66" s="43">
        <v>0</v>
      </c>
      <c r="S66" s="42">
        <v>3.72</v>
      </c>
      <c r="T66" s="43">
        <v>0</v>
      </c>
      <c r="U66" s="42">
        <v>4.13</v>
      </c>
      <c r="V66" s="47">
        <v>0</v>
      </c>
    </row>
    <row r="67" spans="2:22">
      <c r="B67" s="55">
        <v>45029</v>
      </c>
      <c r="C67" s="52">
        <v>3.35</v>
      </c>
      <c r="D67" s="43">
        <v>0</v>
      </c>
      <c r="E67" s="42">
        <v>3.37</v>
      </c>
      <c r="F67" s="43">
        <v>0</v>
      </c>
      <c r="G67" s="42">
        <v>3.38</v>
      </c>
      <c r="H67" s="43">
        <v>-0.01</v>
      </c>
      <c r="I67" s="42">
        <v>3.4</v>
      </c>
      <c r="J67" s="43">
        <v>0</v>
      </c>
      <c r="K67" s="42">
        <v>3.41</v>
      </c>
      <c r="L67" s="43">
        <v>0</v>
      </c>
      <c r="M67" s="42">
        <v>3.43</v>
      </c>
      <c r="N67" s="43">
        <v>0</v>
      </c>
      <c r="O67" s="42">
        <v>3.45</v>
      </c>
      <c r="P67" s="43">
        <v>0</v>
      </c>
      <c r="Q67" s="42">
        <v>3.5</v>
      </c>
      <c r="R67" s="43">
        <v>-0.01</v>
      </c>
      <c r="S67" s="42">
        <v>3.72</v>
      </c>
      <c r="T67" s="43">
        <v>-0.01</v>
      </c>
      <c r="U67" s="42">
        <v>4.13</v>
      </c>
      <c r="V67" s="47">
        <v>-0.01</v>
      </c>
    </row>
    <row r="68" spans="2:22">
      <c r="B68" s="55">
        <v>45028</v>
      </c>
      <c r="C68" s="52">
        <v>3.35</v>
      </c>
      <c r="D68" s="43">
        <v>-0.02</v>
      </c>
      <c r="E68" s="42">
        <v>3.37</v>
      </c>
      <c r="F68" s="43">
        <v>-0.02</v>
      </c>
      <c r="G68" s="42">
        <v>3.39</v>
      </c>
      <c r="H68" s="43">
        <v>-0.02</v>
      </c>
      <c r="I68" s="42">
        <v>3.4</v>
      </c>
      <c r="J68" s="43">
        <v>-0.03</v>
      </c>
      <c r="K68" s="42">
        <v>3.41</v>
      </c>
      <c r="L68" s="43">
        <v>-0.04</v>
      </c>
      <c r="M68" s="42">
        <v>3.43</v>
      </c>
      <c r="N68" s="43">
        <v>-0.05</v>
      </c>
      <c r="O68" s="42">
        <v>3.45</v>
      </c>
      <c r="P68" s="43">
        <v>-0.05</v>
      </c>
      <c r="Q68" s="42">
        <v>3.51</v>
      </c>
      <c r="R68" s="43">
        <v>-0.04</v>
      </c>
      <c r="S68" s="42">
        <v>3.73</v>
      </c>
      <c r="T68" s="43">
        <v>-0.01</v>
      </c>
      <c r="U68" s="42">
        <v>4.1399999999999997</v>
      </c>
      <c r="V68" s="47">
        <v>-0.01</v>
      </c>
    </row>
    <row r="69" spans="2:22">
      <c r="B69" s="55">
        <v>45027</v>
      </c>
      <c r="C69" s="52">
        <v>3.37</v>
      </c>
      <c r="D69" s="43">
        <v>-0.01</v>
      </c>
      <c r="E69" s="42">
        <v>3.39</v>
      </c>
      <c r="F69" s="43">
        <v>-0.01</v>
      </c>
      <c r="G69" s="42">
        <v>3.41</v>
      </c>
      <c r="H69" s="43">
        <v>-0.01</v>
      </c>
      <c r="I69" s="42">
        <v>3.43</v>
      </c>
      <c r="J69" s="43">
        <v>-0.02</v>
      </c>
      <c r="K69" s="42">
        <v>3.45</v>
      </c>
      <c r="L69" s="43">
        <v>-0.02</v>
      </c>
      <c r="M69" s="42">
        <v>3.48</v>
      </c>
      <c r="N69" s="43">
        <v>-0.03</v>
      </c>
      <c r="O69" s="42">
        <v>3.5</v>
      </c>
      <c r="P69" s="43">
        <v>-0.03</v>
      </c>
      <c r="Q69" s="42">
        <v>3.55</v>
      </c>
      <c r="R69" s="43">
        <v>-0.01</v>
      </c>
      <c r="S69" s="42">
        <v>3.74</v>
      </c>
      <c r="T69" s="43">
        <v>0</v>
      </c>
      <c r="U69" s="42">
        <v>4.1500000000000004</v>
      </c>
      <c r="V69" s="47">
        <v>0</v>
      </c>
    </row>
    <row r="70" spans="2:22">
      <c r="B70" s="55">
        <v>45026</v>
      </c>
      <c r="C70" s="52">
        <v>3.38</v>
      </c>
      <c r="D70" s="43">
        <v>-0.01</v>
      </c>
      <c r="E70" s="42">
        <v>3.4</v>
      </c>
      <c r="F70" s="43">
        <v>-0.01</v>
      </c>
      <c r="G70" s="42">
        <v>3.42</v>
      </c>
      <c r="H70" s="43">
        <v>-0.01</v>
      </c>
      <c r="I70" s="42">
        <v>3.45</v>
      </c>
      <c r="J70" s="43">
        <v>-0.01</v>
      </c>
      <c r="K70" s="42">
        <v>3.47</v>
      </c>
      <c r="L70" s="43">
        <v>-0.02</v>
      </c>
      <c r="M70" s="42">
        <v>3.51</v>
      </c>
      <c r="N70" s="43">
        <v>-0.02</v>
      </c>
      <c r="O70" s="42">
        <v>3.53</v>
      </c>
      <c r="P70" s="43">
        <v>-0.02</v>
      </c>
      <c r="Q70" s="42">
        <v>3.56</v>
      </c>
      <c r="R70" s="43">
        <v>-0.01</v>
      </c>
      <c r="S70" s="42">
        <v>3.74</v>
      </c>
      <c r="T70" s="43">
        <v>-0.01</v>
      </c>
      <c r="U70" s="42">
        <v>4.1500000000000004</v>
      </c>
      <c r="V70" s="47">
        <v>-0.01</v>
      </c>
    </row>
    <row r="71" spans="2:22">
      <c r="B71" s="55">
        <v>45023</v>
      </c>
      <c r="C71" s="52">
        <v>3.39</v>
      </c>
      <c r="D71" s="43">
        <v>-0.01</v>
      </c>
      <c r="E71" s="42">
        <v>3.41</v>
      </c>
      <c r="F71" s="43">
        <v>-0.01</v>
      </c>
      <c r="G71" s="42">
        <v>3.43</v>
      </c>
      <c r="H71" s="43">
        <v>-0.02</v>
      </c>
      <c r="I71" s="42">
        <v>3.46</v>
      </c>
      <c r="J71" s="43">
        <v>-0.02</v>
      </c>
      <c r="K71" s="42">
        <v>3.49</v>
      </c>
      <c r="L71" s="43">
        <v>-0.03</v>
      </c>
      <c r="M71" s="42">
        <v>3.53</v>
      </c>
      <c r="N71" s="43">
        <v>-0.05</v>
      </c>
      <c r="O71" s="42">
        <v>3.55</v>
      </c>
      <c r="P71" s="43">
        <v>-0.03</v>
      </c>
      <c r="Q71" s="42">
        <v>3.57</v>
      </c>
      <c r="R71" s="43">
        <v>-0.03</v>
      </c>
      <c r="S71" s="42">
        <v>3.75</v>
      </c>
      <c r="T71" s="43">
        <v>0</v>
      </c>
      <c r="U71" s="42">
        <v>4.16</v>
      </c>
      <c r="V71" s="47">
        <v>0</v>
      </c>
    </row>
    <row r="72" spans="2:22">
      <c r="B72" s="55">
        <v>45022</v>
      </c>
      <c r="C72" s="52">
        <v>3.4</v>
      </c>
      <c r="D72" s="43">
        <v>0</v>
      </c>
      <c r="E72" s="42">
        <v>3.42</v>
      </c>
      <c r="F72" s="43">
        <v>-0.01</v>
      </c>
      <c r="G72" s="42">
        <v>3.45</v>
      </c>
      <c r="H72" s="43">
        <v>-0.01</v>
      </c>
      <c r="I72" s="42">
        <v>3.48</v>
      </c>
      <c r="J72" s="43">
        <v>0</v>
      </c>
      <c r="K72" s="42">
        <v>3.52</v>
      </c>
      <c r="L72" s="43">
        <v>0</v>
      </c>
      <c r="M72" s="42">
        <v>3.58</v>
      </c>
      <c r="N72" s="43">
        <v>-0.01</v>
      </c>
      <c r="O72" s="42">
        <v>3.58</v>
      </c>
      <c r="P72" s="43">
        <v>-0.01</v>
      </c>
      <c r="Q72" s="42">
        <v>3.6</v>
      </c>
      <c r="R72" s="43">
        <v>0</v>
      </c>
      <c r="S72" s="42">
        <v>3.75</v>
      </c>
      <c r="T72" s="43">
        <v>-0.01</v>
      </c>
      <c r="U72" s="42">
        <v>4.16</v>
      </c>
      <c r="V72" s="47">
        <v>-0.02</v>
      </c>
    </row>
    <row r="73" spans="2:22">
      <c r="B73" s="55">
        <v>45021</v>
      </c>
      <c r="C73" s="52">
        <v>3.4</v>
      </c>
      <c r="D73" s="43">
        <v>0</v>
      </c>
      <c r="E73" s="42">
        <v>3.43</v>
      </c>
      <c r="F73" s="43">
        <v>0</v>
      </c>
      <c r="G73" s="42">
        <v>3.46</v>
      </c>
      <c r="H73" s="43">
        <v>0</v>
      </c>
      <c r="I73" s="42">
        <v>3.48</v>
      </c>
      <c r="J73" s="43">
        <v>-0.01</v>
      </c>
      <c r="K73" s="42">
        <v>3.52</v>
      </c>
      <c r="L73" s="43">
        <v>-0.01</v>
      </c>
      <c r="M73" s="42">
        <v>3.59</v>
      </c>
      <c r="N73" s="43">
        <v>0</v>
      </c>
      <c r="O73" s="42">
        <v>3.59</v>
      </c>
      <c r="P73" s="43">
        <v>0</v>
      </c>
      <c r="Q73" s="42">
        <v>3.6</v>
      </c>
      <c r="R73" s="43">
        <v>0</v>
      </c>
      <c r="S73" s="42">
        <v>3.76</v>
      </c>
      <c r="T73" s="43">
        <v>0</v>
      </c>
      <c r="U73" s="42">
        <v>4.18</v>
      </c>
      <c r="V73" s="47">
        <v>0</v>
      </c>
    </row>
    <row r="74" spans="2:22">
      <c r="B74" s="55">
        <v>45020</v>
      </c>
      <c r="C74" s="52">
        <v>3.4</v>
      </c>
      <c r="D74" s="43">
        <v>0</v>
      </c>
      <c r="E74" s="42">
        <v>3.43</v>
      </c>
      <c r="F74" s="43">
        <v>0</v>
      </c>
      <c r="G74" s="42">
        <v>3.46</v>
      </c>
      <c r="H74" s="43">
        <v>0</v>
      </c>
      <c r="I74" s="42">
        <v>3.49</v>
      </c>
      <c r="J74" s="43">
        <v>0</v>
      </c>
      <c r="K74" s="42">
        <v>3.53</v>
      </c>
      <c r="L74" s="43">
        <v>0</v>
      </c>
      <c r="M74" s="42">
        <v>3.59</v>
      </c>
      <c r="N74" s="43">
        <v>0</v>
      </c>
      <c r="O74" s="42">
        <v>3.59</v>
      </c>
      <c r="P74" s="43">
        <v>0</v>
      </c>
      <c r="Q74" s="42">
        <v>3.6</v>
      </c>
      <c r="R74" s="43">
        <v>0</v>
      </c>
      <c r="S74" s="42">
        <v>3.76</v>
      </c>
      <c r="T74" s="43">
        <v>0</v>
      </c>
      <c r="U74" s="42">
        <v>4.18</v>
      </c>
      <c r="V74" s="47">
        <v>-0.02</v>
      </c>
    </row>
    <row r="75" spans="2:22">
      <c r="B75" s="55">
        <v>45019</v>
      </c>
      <c r="C75" s="52">
        <v>3.4</v>
      </c>
      <c r="D75" s="43">
        <v>0</v>
      </c>
      <c r="E75" s="42">
        <v>3.43</v>
      </c>
      <c r="F75" s="43">
        <v>0</v>
      </c>
      <c r="G75" s="42">
        <v>3.46</v>
      </c>
      <c r="H75" s="43">
        <v>0</v>
      </c>
      <c r="I75" s="42">
        <v>3.49</v>
      </c>
      <c r="J75" s="43">
        <v>0</v>
      </c>
      <c r="K75" s="42">
        <v>3.53</v>
      </c>
      <c r="L75" s="43">
        <v>0</v>
      </c>
      <c r="M75" s="42">
        <v>3.59</v>
      </c>
      <c r="N75" s="43">
        <v>0</v>
      </c>
      <c r="O75" s="42">
        <v>3.59</v>
      </c>
      <c r="P75" s="43">
        <v>0</v>
      </c>
      <c r="Q75" s="42">
        <v>3.6</v>
      </c>
      <c r="R75" s="43">
        <v>0</v>
      </c>
      <c r="S75" s="42">
        <v>3.76</v>
      </c>
      <c r="T75" s="43">
        <v>0</v>
      </c>
      <c r="U75" s="42">
        <v>4.2</v>
      </c>
      <c r="V75" s="47">
        <v>0</v>
      </c>
    </row>
    <row r="76" spans="2:22">
      <c r="B76" s="55">
        <v>45016</v>
      </c>
      <c r="C76" s="52">
        <v>3.4</v>
      </c>
      <c r="D76" s="43">
        <v>0.01</v>
      </c>
      <c r="E76" s="42">
        <v>3.43</v>
      </c>
      <c r="F76" s="43">
        <v>0</v>
      </c>
      <c r="G76" s="42">
        <v>3.46</v>
      </c>
      <c r="H76" s="43">
        <v>0</v>
      </c>
      <c r="I76" s="42">
        <v>3.49</v>
      </c>
      <c r="J76" s="43">
        <v>0</v>
      </c>
      <c r="K76" s="42">
        <v>3.53</v>
      </c>
      <c r="L76" s="43">
        <v>0</v>
      </c>
      <c r="M76" s="42">
        <v>3.59</v>
      </c>
      <c r="N76" s="43">
        <v>0</v>
      </c>
      <c r="O76" s="42">
        <v>3.59</v>
      </c>
      <c r="P76" s="43">
        <v>0</v>
      </c>
      <c r="Q76" s="42">
        <v>3.6</v>
      </c>
      <c r="R76" s="43">
        <v>-0.01</v>
      </c>
      <c r="S76" s="42">
        <v>3.76</v>
      </c>
      <c r="T76" s="43">
        <v>0</v>
      </c>
      <c r="U76" s="42">
        <v>4.2</v>
      </c>
      <c r="V76" s="47">
        <v>0.01</v>
      </c>
    </row>
    <row r="77" spans="2:22">
      <c r="B77" s="55">
        <v>45015</v>
      </c>
      <c r="C77" s="52">
        <v>3.39</v>
      </c>
      <c r="D77" s="43">
        <v>0</v>
      </c>
      <c r="E77" s="42">
        <v>3.43</v>
      </c>
      <c r="F77" s="43">
        <v>0</v>
      </c>
      <c r="G77" s="42">
        <v>3.46</v>
      </c>
      <c r="H77" s="43">
        <v>0</v>
      </c>
      <c r="I77" s="42">
        <v>3.49</v>
      </c>
      <c r="J77" s="43">
        <v>0</v>
      </c>
      <c r="K77" s="42">
        <v>3.53</v>
      </c>
      <c r="L77" s="43">
        <v>0</v>
      </c>
      <c r="M77" s="42">
        <v>3.59</v>
      </c>
      <c r="N77" s="43">
        <v>0</v>
      </c>
      <c r="O77" s="42">
        <v>3.59</v>
      </c>
      <c r="P77" s="43">
        <v>0</v>
      </c>
      <c r="Q77" s="42">
        <v>3.61</v>
      </c>
      <c r="R77" s="43">
        <v>0</v>
      </c>
      <c r="S77" s="42">
        <v>3.76</v>
      </c>
      <c r="T77" s="43">
        <v>0</v>
      </c>
      <c r="U77" s="42">
        <v>4.1900000000000004</v>
      </c>
      <c r="V77" s="47">
        <v>-0.01</v>
      </c>
    </row>
    <row r="78" spans="2:22">
      <c r="B78" s="55">
        <v>45014</v>
      </c>
      <c r="C78" s="52">
        <v>3.39</v>
      </c>
      <c r="D78" s="43">
        <v>0</v>
      </c>
      <c r="E78" s="42">
        <v>3.43</v>
      </c>
      <c r="F78" s="43">
        <v>0</v>
      </c>
      <c r="G78" s="42">
        <v>3.46</v>
      </c>
      <c r="H78" s="43">
        <v>0</v>
      </c>
      <c r="I78" s="42">
        <v>3.49</v>
      </c>
      <c r="J78" s="43">
        <v>-0.01</v>
      </c>
      <c r="K78" s="42">
        <v>3.53</v>
      </c>
      <c r="L78" s="43">
        <v>0</v>
      </c>
      <c r="M78" s="42">
        <v>3.59</v>
      </c>
      <c r="N78" s="43">
        <v>0</v>
      </c>
      <c r="O78" s="42">
        <v>3.59</v>
      </c>
      <c r="P78" s="43">
        <v>-0.01</v>
      </c>
      <c r="Q78" s="42">
        <v>3.61</v>
      </c>
      <c r="R78" s="43">
        <v>-0.01</v>
      </c>
      <c r="S78" s="42">
        <v>3.76</v>
      </c>
      <c r="T78" s="43">
        <v>0</v>
      </c>
      <c r="U78" s="42">
        <v>4.2</v>
      </c>
      <c r="V78" s="47">
        <v>-0.01</v>
      </c>
    </row>
    <row r="79" spans="2:22">
      <c r="B79" s="55">
        <v>45013</v>
      </c>
      <c r="C79" s="52">
        <v>3.39</v>
      </c>
      <c r="D79" s="43">
        <v>-0.01</v>
      </c>
      <c r="E79" s="42">
        <v>3.43</v>
      </c>
      <c r="F79" s="43">
        <v>0</v>
      </c>
      <c r="G79" s="42">
        <v>3.46</v>
      </c>
      <c r="H79" s="43">
        <v>0</v>
      </c>
      <c r="I79" s="42">
        <v>3.5</v>
      </c>
      <c r="J79" s="43">
        <v>0</v>
      </c>
      <c r="K79" s="42">
        <v>3.53</v>
      </c>
      <c r="L79" s="43">
        <v>-0.01</v>
      </c>
      <c r="M79" s="42">
        <v>3.59</v>
      </c>
      <c r="N79" s="43">
        <v>0</v>
      </c>
      <c r="O79" s="42">
        <v>3.6</v>
      </c>
      <c r="P79" s="43">
        <v>0</v>
      </c>
      <c r="Q79" s="42">
        <v>3.62</v>
      </c>
      <c r="R79" s="43">
        <v>-0.01</v>
      </c>
      <c r="S79" s="42">
        <v>3.76</v>
      </c>
      <c r="T79" s="43">
        <v>0</v>
      </c>
      <c r="U79" s="42">
        <v>4.21</v>
      </c>
      <c r="V79" s="47">
        <v>0</v>
      </c>
    </row>
    <row r="80" spans="2:22">
      <c r="B80" s="55">
        <v>45012</v>
      </c>
      <c r="C80" s="52">
        <v>3.4</v>
      </c>
      <c r="D80" s="43">
        <v>0</v>
      </c>
      <c r="E80" s="42">
        <v>3.43</v>
      </c>
      <c r="F80" s="43">
        <v>0</v>
      </c>
      <c r="G80" s="42">
        <v>3.46</v>
      </c>
      <c r="H80" s="43">
        <v>0</v>
      </c>
      <c r="I80" s="42">
        <v>3.5</v>
      </c>
      <c r="J80" s="43">
        <v>0</v>
      </c>
      <c r="K80" s="42">
        <v>3.54</v>
      </c>
      <c r="L80" s="43">
        <v>0</v>
      </c>
      <c r="M80" s="42">
        <v>3.59</v>
      </c>
      <c r="N80" s="43">
        <v>0</v>
      </c>
      <c r="O80" s="42">
        <v>3.6</v>
      </c>
      <c r="P80" s="43">
        <v>-0.01</v>
      </c>
      <c r="Q80" s="42">
        <v>3.63</v>
      </c>
      <c r="R80" s="43">
        <v>-0.01</v>
      </c>
      <c r="S80" s="42">
        <v>3.76</v>
      </c>
      <c r="T80" s="43">
        <v>0</v>
      </c>
      <c r="U80" s="42">
        <v>4.21</v>
      </c>
      <c r="V80" s="47">
        <v>0</v>
      </c>
    </row>
    <row r="81" spans="2:22">
      <c r="B81" s="55">
        <v>45009</v>
      </c>
      <c r="C81" s="52">
        <v>3.4</v>
      </c>
      <c r="D81" s="43">
        <v>0</v>
      </c>
      <c r="E81" s="42">
        <v>3.43</v>
      </c>
      <c r="F81" s="43">
        <v>0</v>
      </c>
      <c r="G81" s="42">
        <v>3.46</v>
      </c>
      <c r="H81" s="43">
        <v>0</v>
      </c>
      <c r="I81" s="42">
        <v>3.5</v>
      </c>
      <c r="J81" s="43">
        <v>-0.01</v>
      </c>
      <c r="K81" s="42">
        <v>3.54</v>
      </c>
      <c r="L81" s="43">
        <v>-0.01</v>
      </c>
      <c r="M81" s="42">
        <v>3.59</v>
      </c>
      <c r="N81" s="43">
        <v>-0.03</v>
      </c>
      <c r="O81" s="42">
        <v>3.61</v>
      </c>
      <c r="P81" s="43">
        <v>-0.03</v>
      </c>
      <c r="Q81" s="42">
        <v>3.64</v>
      </c>
      <c r="R81" s="43">
        <v>-0.04</v>
      </c>
      <c r="S81" s="42">
        <v>3.76</v>
      </c>
      <c r="T81" s="43">
        <v>-0.01</v>
      </c>
      <c r="U81" s="42">
        <v>4.21</v>
      </c>
      <c r="V81" s="47">
        <v>-0.01</v>
      </c>
    </row>
    <row r="82" spans="2:22">
      <c r="B82" s="55">
        <v>45008</v>
      </c>
      <c r="C82" s="52">
        <v>3.4</v>
      </c>
      <c r="D82" s="43">
        <v>0</v>
      </c>
      <c r="E82" s="42">
        <v>3.43</v>
      </c>
      <c r="F82" s="43">
        <v>0</v>
      </c>
      <c r="G82" s="42">
        <v>3.46</v>
      </c>
      <c r="H82" s="43">
        <v>0</v>
      </c>
      <c r="I82" s="42">
        <v>3.51</v>
      </c>
      <c r="J82" s="43">
        <v>0</v>
      </c>
      <c r="K82" s="42">
        <v>3.55</v>
      </c>
      <c r="L82" s="43">
        <v>-0.01</v>
      </c>
      <c r="M82" s="42">
        <v>3.62</v>
      </c>
      <c r="N82" s="43">
        <v>0</v>
      </c>
      <c r="O82" s="42">
        <v>3.64</v>
      </c>
      <c r="P82" s="43">
        <v>0</v>
      </c>
      <c r="Q82" s="42">
        <v>3.68</v>
      </c>
      <c r="R82" s="43">
        <v>-0.01</v>
      </c>
      <c r="S82" s="42">
        <v>3.77</v>
      </c>
      <c r="T82" s="43">
        <v>0</v>
      </c>
      <c r="U82" s="42">
        <v>4.22</v>
      </c>
      <c r="V82" s="47">
        <v>-0.01</v>
      </c>
    </row>
    <row r="83" spans="2:22">
      <c r="B83" s="55">
        <v>45007</v>
      </c>
      <c r="C83" s="52">
        <v>3.4</v>
      </c>
      <c r="D83" s="43">
        <v>0</v>
      </c>
      <c r="E83" s="42">
        <v>3.43</v>
      </c>
      <c r="F83" s="43">
        <v>0</v>
      </c>
      <c r="G83" s="42">
        <v>3.46</v>
      </c>
      <c r="H83" s="43">
        <v>0</v>
      </c>
      <c r="I83" s="42">
        <v>3.51</v>
      </c>
      <c r="J83" s="43">
        <v>0</v>
      </c>
      <c r="K83" s="42">
        <v>3.56</v>
      </c>
      <c r="L83" s="43">
        <v>0</v>
      </c>
      <c r="M83" s="42">
        <v>3.62</v>
      </c>
      <c r="N83" s="43">
        <v>0</v>
      </c>
      <c r="O83" s="42">
        <v>3.64</v>
      </c>
      <c r="P83" s="43">
        <v>0</v>
      </c>
      <c r="Q83" s="42">
        <v>3.69</v>
      </c>
      <c r="R83" s="43">
        <v>-0.02</v>
      </c>
      <c r="S83" s="42">
        <v>3.77</v>
      </c>
      <c r="T83" s="43">
        <v>-0.01</v>
      </c>
      <c r="U83" s="42">
        <v>4.2300000000000004</v>
      </c>
      <c r="V83" s="47">
        <v>-0.01</v>
      </c>
    </row>
    <row r="84" spans="2:22">
      <c r="B84" s="55">
        <v>45006</v>
      </c>
      <c r="C84" s="52">
        <v>3.4</v>
      </c>
      <c r="D84" s="43">
        <v>0</v>
      </c>
      <c r="E84" s="42">
        <v>3.43</v>
      </c>
      <c r="F84" s="43">
        <v>0</v>
      </c>
      <c r="G84" s="42">
        <v>3.46</v>
      </c>
      <c r="H84" s="43">
        <v>0</v>
      </c>
      <c r="I84" s="42">
        <v>3.51</v>
      </c>
      <c r="J84" s="43">
        <v>0</v>
      </c>
      <c r="K84" s="42">
        <v>3.56</v>
      </c>
      <c r="L84" s="43">
        <v>0.01</v>
      </c>
      <c r="M84" s="42">
        <v>3.62</v>
      </c>
      <c r="N84" s="43">
        <v>0</v>
      </c>
      <c r="O84" s="42">
        <v>3.64</v>
      </c>
      <c r="P84" s="43">
        <v>0</v>
      </c>
      <c r="Q84" s="42">
        <v>3.71</v>
      </c>
      <c r="R84" s="43">
        <v>0</v>
      </c>
      <c r="S84" s="42">
        <v>3.78</v>
      </c>
      <c r="T84" s="43">
        <v>0</v>
      </c>
      <c r="U84" s="42">
        <v>4.24</v>
      </c>
      <c r="V84" s="47">
        <v>0.01</v>
      </c>
    </row>
    <row r="85" spans="2:22">
      <c r="B85" s="55">
        <v>45005</v>
      </c>
      <c r="C85" s="52">
        <v>3.4</v>
      </c>
      <c r="D85" s="43">
        <v>0</v>
      </c>
      <c r="E85" s="42">
        <v>3.43</v>
      </c>
      <c r="F85" s="43">
        <v>0</v>
      </c>
      <c r="G85" s="42">
        <v>3.46</v>
      </c>
      <c r="H85" s="43">
        <v>0</v>
      </c>
      <c r="I85" s="42">
        <v>3.51</v>
      </c>
      <c r="J85" s="43">
        <v>0</v>
      </c>
      <c r="K85" s="42">
        <v>3.55</v>
      </c>
      <c r="L85" s="43">
        <v>0</v>
      </c>
      <c r="M85" s="42">
        <v>3.62</v>
      </c>
      <c r="N85" s="43">
        <v>0</v>
      </c>
      <c r="O85" s="42">
        <v>3.64</v>
      </c>
      <c r="P85" s="43">
        <v>-0.02</v>
      </c>
      <c r="Q85" s="42">
        <v>3.71</v>
      </c>
      <c r="R85" s="43">
        <v>-0.02</v>
      </c>
      <c r="S85" s="42">
        <v>3.78</v>
      </c>
      <c r="T85" s="43">
        <v>0</v>
      </c>
      <c r="U85" s="42">
        <v>4.2300000000000004</v>
      </c>
      <c r="V85" s="47">
        <v>-0.03</v>
      </c>
    </row>
    <row r="86" spans="2:22">
      <c r="B86" s="55">
        <v>45002</v>
      </c>
      <c r="C86" s="52">
        <v>3.4</v>
      </c>
      <c r="D86" s="43">
        <v>0</v>
      </c>
      <c r="E86" s="42">
        <v>3.43</v>
      </c>
      <c r="F86" s="43">
        <v>0</v>
      </c>
      <c r="G86" s="42">
        <v>3.46</v>
      </c>
      <c r="H86" s="43">
        <v>0</v>
      </c>
      <c r="I86" s="42">
        <v>3.51</v>
      </c>
      <c r="J86" s="43">
        <v>0</v>
      </c>
      <c r="K86" s="42">
        <v>3.55</v>
      </c>
      <c r="L86" s="43">
        <v>0</v>
      </c>
      <c r="M86" s="42">
        <v>3.62</v>
      </c>
      <c r="N86" s="43">
        <v>0</v>
      </c>
      <c r="O86" s="42">
        <v>3.66</v>
      </c>
      <c r="P86" s="43">
        <v>0.01</v>
      </c>
      <c r="Q86" s="42">
        <v>3.73</v>
      </c>
      <c r="R86" s="43">
        <v>0</v>
      </c>
      <c r="S86" s="42">
        <v>3.78</v>
      </c>
      <c r="T86" s="43">
        <v>0</v>
      </c>
      <c r="U86" s="42">
        <v>4.26</v>
      </c>
      <c r="V86" s="47">
        <v>0</v>
      </c>
    </row>
    <row r="87" spans="2:22">
      <c r="B87" s="55">
        <v>45001</v>
      </c>
      <c r="C87" s="52">
        <v>3.4</v>
      </c>
      <c r="D87" s="43">
        <v>0</v>
      </c>
      <c r="E87" s="42">
        <v>3.43</v>
      </c>
      <c r="F87" s="43">
        <v>0</v>
      </c>
      <c r="G87" s="42">
        <v>3.46</v>
      </c>
      <c r="H87" s="43">
        <v>0</v>
      </c>
      <c r="I87" s="42">
        <v>3.51</v>
      </c>
      <c r="J87" s="43">
        <v>0.01</v>
      </c>
      <c r="K87" s="42">
        <v>3.55</v>
      </c>
      <c r="L87" s="43">
        <v>0</v>
      </c>
      <c r="M87" s="42">
        <v>3.62</v>
      </c>
      <c r="N87" s="43">
        <v>0.01</v>
      </c>
      <c r="O87" s="42">
        <v>3.65</v>
      </c>
      <c r="P87" s="43">
        <v>0</v>
      </c>
      <c r="Q87" s="42">
        <v>3.73</v>
      </c>
      <c r="R87" s="43">
        <v>0</v>
      </c>
      <c r="S87" s="42">
        <v>3.78</v>
      </c>
      <c r="T87" s="43">
        <v>0</v>
      </c>
      <c r="U87" s="42">
        <v>4.26</v>
      </c>
      <c r="V87" s="47">
        <v>-0.02</v>
      </c>
    </row>
    <row r="88" spans="2:22">
      <c r="B88" s="55">
        <v>45000</v>
      </c>
      <c r="C88" s="52">
        <v>3.4</v>
      </c>
      <c r="D88" s="43">
        <v>0</v>
      </c>
      <c r="E88" s="42">
        <v>3.43</v>
      </c>
      <c r="F88" s="43">
        <v>0</v>
      </c>
      <c r="G88" s="42">
        <v>3.46</v>
      </c>
      <c r="H88" s="43">
        <v>0</v>
      </c>
      <c r="I88" s="42">
        <v>3.5</v>
      </c>
      <c r="J88" s="43">
        <v>0</v>
      </c>
      <c r="K88" s="42">
        <v>3.55</v>
      </c>
      <c r="L88" s="43">
        <v>0</v>
      </c>
      <c r="M88" s="42">
        <v>3.61</v>
      </c>
      <c r="N88" s="43">
        <v>0</v>
      </c>
      <c r="O88" s="42">
        <v>3.65</v>
      </c>
      <c r="P88" s="43">
        <v>-0.01</v>
      </c>
      <c r="Q88" s="42">
        <v>3.73</v>
      </c>
      <c r="R88" s="43">
        <v>-0.02</v>
      </c>
      <c r="S88" s="42">
        <v>3.78</v>
      </c>
      <c r="T88" s="43">
        <v>0</v>
      </c>
      <c r="U88" s="42">
        <v>4.28</v>
      </c>
      <c r="V88" s="47">
        <v>0</v>
      </c>
    </row>
    <row r="89" spans="2:22">
      <c r="B89" s="55">
        <v>44999</v>
      </c>
      <c r="C89" s="52">
        <v>3.4</v>
      </c>
      <c r="D89" s="43">
        <v>0</v>
      </c>
      <c r="E89" s="42">
        <v>3.43</v>
      </c>
      <c r="F89" s="43">
        <v>0</v>
      </c>
      <c r="G89" s="42">
        <v>3.46</v>
      </c>
      <c r="H89" s="43">
        <v>0</v>
      </c>
      <c r="I89" s="42">
        <v>3.5</v>
      </c>
      <c r="J89" s="43">
        <v>0</v>
      </c>
      <c r="K89" s="42">
        <v>3.55</v>
      </c>
      <c r="L89" s="43">
        <v>0</v>
      </c>
      <c r="M89" s="42">
        <v>3.61</v>
      </c>
      <c r="N89" s="43">
        <v>0</v>
      </c>
      <c r="O89" s="42">
        <v>3.66</v>
      </c>
      <c r="P89" s="43">
        <v>0</v>
      </c>
      <c r="Q89" s="42">
        <v>3.75</v>
      </c>
      <c r="R89" s="43">
        <v>0</v>
      </c>
      <c r="S89" s="42">
        <v>3.78</v>
      </c>
      <c r="T89" s="43">
        <v>0</v>
      </c>
      <c r="U89" s="42">
        <v>4.28</v>
      </c>
      <c r="V89" s="47">
        <v>-0.01</v>
      </c>
    </row>
    <row r="90" spans="2:22">
      <c r="B90" s="55">
        <v>44998</v>
      </c>
      <c r="C90" s="52">
        <v>3.4</v>
      </c>
      <c r="D90" s="43">
        <v>0</v>
      </c>
      <c r="E90" s="42">
        <v>3.43</v>
      </c>
      <c r="F90" s="43">
        <v>0</v>
      </c>
      <c r="G90" s="42">
        <v>3.46</v>
      </c>
      <c r="H90" s="43">
        <v>0</v>
      </c>
      <c r="I90" s="42">
        <v>3.5</v>
      </c>
      <c r="J90" s="43">
        <v>0</v>
      </c>
      <c r="K90" s="42">
        <v>3.55</v>
      </c>
      <c r="L90" s="43">
        <v>0</v>
      </c>
      <c r="M90" s="42">
        <v>3.61</v>
      </c>
      <c r="N90" s="43">
        <v>0</v>
      </c>
      <c r="O90" s="42">
        <v>3.66</v>
      </c>
      <c r="P90" s="43">
        <v>0.01</v>
      </c>
      <c r="Q90" s="42">
        <v>3.75</v>
      </c>
      <c r="R90" s="43">
        <v>0</v>
      </c>
      <c r="S90" s="42">
        <v>3.78</v>
      </c>
      <c r="T90" s="43">
        <v>0.01</v>
      </c>
      <c r="U90" s="42">
        <v>4.29</v>
      </c>
      <c r="V90" s="47">
        <v>-0.03</v>
      </c>
    </row>
    <row r="91" spans="2:22">
      <c r="B91" s="55">
        <v>44995</v>
      </c>
      <c r="C91" s="52">
        <v>3.4</v>
      </c>
      <c r="D91" s="43">
        <v>0</v>
      </c>
      <c r="E91" s="42">
        <v>3.43</v>
      </c>
      <c r="F91" s="43">
        <v>0</v>
      </c>
      <c r="G91" s="42">
        <v>3.46</v>
      </c>
      <c r="H91" s="43">
        <v>0</v>
      </c>
      <c r="I91" s="42">
        <v>3.5</v>
      </c>
      <c r="J91" s="43">
        <v>0</v>
      </c>
      <c r="K91" s="42">
        <v>3.55</v>
      </c>
      <c r="L91" s="43">
        <v>0</v>
      </c>
      <c r="M91" s="42">
        <v>3.61</v>
      </c>
      <c r="N91" s="43">
        <v>0</v>
      </c>
      <c r="O91" s="42">
        <v>3.65</v>
      </c>
      <c r="P91" s="43">
        <v>0</v>
      </c>
      <c r="Q91" s="42">
        <v>3.75</v>
      </c>
      <c r="R91" s="43">
        <v>0</v>
      </c>
      <c r="S91" s="42">
        <v>3.77</v>
      </c>
      <c r="T91" s="43">
        <v>0</v>
      </c>
      <c r="U91" s="42">
        <v>4.32</v>
      </c>
      <c r="V91" s="47">
        <v>-0.02</v>
      </c>
    </row>
    <row r="92" spans="2:22">
      <c r="B92" s="55">
        <v>44994</v>
      </c>
      <c r="C92" s="52">
        <v>3.4</v>
      </c>
      <c r="D92" s="43">
        <v>0</v>
      </c>
      <c r="E92" s="42">
        <v>3.43</v>
      </c>
      <c r="F92" s="43">
        <v>0.01</v>
      </c>
      <c r="G92" s="42">
        <v>3.46</v>
      </c>
      <c r="H92" s="43">
        <v>0</v>
      </c>
      <c r="I92" s="42">
        <v>3.5</v>
      </c>
      <c r="J92" s="43">
        <v>0.01</v>
      </c>
      <c r="K92" s="42">
        <v>3.55</v>
      </c>
      <c r="L92" s="43">
        <v>0</v>
      </c>
      <c r="M92" s="42">
        <v>3.61</v>
      </c>
      <c r="N92" s="43">
        <v>0</v>
      </c>
      <c r="O92" s="42">
        <v>3.65</v>
      </c>
      <c r="P92" s="43">
        <v>0</v>
      </c>
      <c r="Q92" s="42">
        <v>3.75</v>
      </c>
      <c r="R92" s="43">
        <v>0</v>
      </c>
      <c r="S92" s="42">
        <v>3.77</v>
      </c>
      <c r="T92" s="43">
        <v>0</v>
      </c>
      <c r="U92" s="42">
        <v>4.34</v>
      </c>
      <c r="V92" s="47">
        <v>0</v>
      </c>
    </row>
    <row r="93" spans="2:22">
      <c r="B93" s="55">
        <v>44993</v>
      </c>
      <c r="C93" s="52">
        <v>3.4</v>
      </c>
      <c r="D93" s="43">
        <v>0</v>
      </c>
      <c r="E93" s="42">
        <v>3.42</v>
      </c>
      <c r="F93" s="43">
        <v>0</v>
      </c>
      <c r="G93" s="42">
        <v>3.46</v>
      </c>
      <c r="H93" s="43">
        <v>0</v>
      </c>
      <c r="I93" s="42">
        <v>3.49</v>
      </c>
      <c r="J93" s="43">
        <v>0</v>
      </c>
      <c r="K93" s="42">
        <v>3.55</v>
      </c>
      <c r="L93" s="43">
        <v>0</v>
      </c>
      <c r="M93" s="42">
        <v>3.61</v>
      </c>
      <c r="N93" s="43">
        <v>0</v>
      </c>
      <c r="O93" s="42">
        <v>3.65</v>
      </c>
      <c r="P93" s="43">
        <v>0</v>
      </c>
      <c r="Q93" s="42">
        <v>3.75</v>
      </c>
      <c r="R93" s="43">
        <v>0</v>
      </c>
      <c r="S93" s="42">
        <v>3.77</v>
      </c>
      <c r="T93" s="43">
        <v>0</v>
      </c>
      <c r="U93" s="42">
        <v>4.34</v>
      </c>
      <c r="V93" s="47">
        <v>0.02</v>
      </c>
    </row>
    <row r="94" spans="2:22">
      <c r="B94" s="55">
        <v>44992</v>
      </c>
      <c r="C94" s="52">
        <v>3.4</v>
      </c>
      <c r="D94" s="43">
        <v>0.01</v>
      </c>
      <c r="E94" s="42">
        <v>3.42</v>
      </c>
      <c r="F94" s="43">
        <v>0</v>
      </c>
      <c r="G94" s="42">
        <v>3.46</v>
      </c>
      <c r="H94" s="43">
        <v>0</v>
      </c>
      <c r="I94" s="42">
        <v>3.49</v>
      </c>
      <c r="J94" s="43">
        <v>0</v>
      </c>
      <c r="K94" s="42">
        <v>3.55</v>
      </c>
      <c r="L94" s="43">
        <v>0</v>
      </c>
      <c r="M94" s="42">
        <v>3.61</v>
      </c>
      <c r="N94" s="43">
        <v>0</v>
      </c>
      <c r="O94" s="42">
        <v>3.65</v>
      </c>
      <c r="P94" s="43">
        <v>0</v>
      </c>
      <c r="Q94" s="42">
        <v>3.75</v>
      </c>
      <c r="R94" s="43">
        <v>0</v>
      </c>
      <c r="S94" s="42">
        <v>3.77</v>
      </c>
      <c r="T94" s="43">
        <v>0.01</v>
      </c>
      <c r="U94" s="42">
        <v>4.32</v>
      </c>
      <c r="V94" s="47">
        <v>0</v>
      </c>
    </row>
    <row r="95" spans="2:22">
      <c r="B95" s="55">
        <v>44991</v>
      </c>
      <c r="C95" s="52">
        <v>3.39</v>
      </c>
      <c r="D95" s="43">
        <v>0</v>
      </c>
      <c r="E95" s="42">
        <v>3.42</v>
      </c>
      <c r="F95" s="43">
        <v>0</v>
      </c>
      <c r="G95" s="42">
        <v>3.46</v>
      </c>
      <c r="H95" s="43">
        <v>0.01</v>
      </c>
      <c r="I95" s="42">
        <v>3.49</v>
      </c>
      <c r="J95" s="43">
        <v>0</v>
      </c>
      <c r="K95" s="42">
        <v>3.55</v>
      </c>
      <c r="L95" s="43">
        <v>0</v>
      </c>
      <c r="M95" s="42">
        <v>3.61</v>
      </c>
      <c r="N95" s="43">
        <v>0</v>
      </c>
      <c r="O95" s="42">
        <v>3.65</v>
      </c>
      <c r="P95" s="43">
        <v>0</v>
      </c>
      <c r="Q95" s="42">
        <v>3.75</v>
      </c>
      <c r="R95" s="43">
        <v>0</v>
      </c>
      <c r="S95" s="42">
        <v>3.76</v>
      </c>
      <c r="T95" s="43">
        <v>0</v>
      </c>
      <c r="U95" s="42">
        <v>4.32</v>
      </c>
      <c r="V95" s="47">
        <v>0</v>
      </c>
    </row>
    <row r="96" spans="2:22">
      <c r="B96" s="55">
        <v>44988</v>
      </c>
      <c r="C96" s="52">
        <v>3.39</v>
      </c>
      <c r="D96" s="43">
        <v>0</v>
      </c>
      <c r="E96" s="42">
        <v>3.42</v>
      </c>
      <c r="F96" s="43">
        <v>0</v>
      </c>
      <c r="G96" s="42">
        <v>3.45</v>
      </c>
      <c r="H96" s="43">
        <v>0</v>
      </c>
      <c r="I96" s="42">
        <v>3.49</v>
      </c>
      <c r="J96" s="43">
        <v>0</v>
      </c>
      <c r="K96" s="42">
        <v>3.55</v>
      </c>
      <c r="L96" s="43">
        <v>0</v>
      </c>
      <c r="M96" s="42">
        <v>3.61</v>
      </c>
      <c r="N96" s="43">
        <v>0</v>
      </c>
      <c r="O96" s="42">
        <v>3.65</v>
      </c>
      <c r="P96" s="43">
        <v>0.01</v>
      </c>
      <c r="Q96" s="42">
        <v>3.75</v>
      </c>
      <c r="R96" s="43">
        <v>0</v>
      </c>
      <c r="S96" s="42">
        <v>3.76</v>
      </c>
      <c r="T96" s="43">
        <v>0</v>
      </c>
      <c r="U96" s="42">
        <v>4.32</v>
      </c>
      <c r="V96" s="47">
        <v>-0.01</v>
      </c>
    </row>
    <row r="97" spans="2:22">
      <c r="B97" s="55">
        <v>44987</v>
      </c>
      <c r="C97" s="52">
        <v>3.39</v>
      </c>
      <c r="D97" s="43">
        <v>0</v>
      </c>
      <c r="E97" s="42">
        <v>3.42</v>
      </c>
      <c r="F97" s="43">
        <v>0</v>
      </c>
      <c r="G97" s="42">
        <v>3.45</v>
      </c>
      <c r="H97" s="43">
        <v>-0.01</v>
      </c>
      <c r="I97" s="42">
        <v>3.49</v>
      </c>
      <c r="J97" s="43">
        <v>0</v>
      </c>
      <c r="K97" s="42">
        <v>3.55</v>
      </c>
      <c r="L97" s="43">
        <v>0.01</v>
      </c>
      <c r="M97" s="42">
        <v>3.61</v>
      </c>
      <c r="N97" s="43">
        <v>0.02</v>
      </c>
      <c r="O97" s="42">
        <v>3.64</v>
      </c>
      <c r="P97" s="43">
        <v>0.01</v>
      </c>
      <c r="Q97" s="42">
        <v>3.75</v>
      </c>
      <c r="R97" s="43">
        <v>0</v>
      </c>
      <c r="S97" s="42">
        <v>3.76</v>
      </c>
      <c r="T97" s="43">
        <v>0</v>
      </c>
      <c r="U97" s="42">
        <v>4.33</v>
      </c>
      <c r="V97" s="47">
        <v>0.01</v>
      </c>
    </row>
    <row r="98" spans="2:22">
      <c r="B98" s="55">
        <v>44985</v>
      </c>
      <c r="C98" s="52">
        <v>3.39</v>
      </c>
      <c r="D98" s="43">
        <v>0</v>
      </c>
      <c r="E98" s="42">
        <v>3.42</v>
      </c>
      <c r="F98" s="43">
        <v>0</v>
      </c>
      <c r="G98" s="42">
        <v>3.46</v>
      </c>
      <c r="H98" s="43">
        <v>0</v>
      </c>
      <c r="I98" s="42">
        <v>3.49</v>
      </c>
      <c r="J98" s="43">
        <v>0</v>
      </c>
      <c r="K98" s="42">
        <v>3.54</v>
      </c>
      <c r="L98" s="43">
        <v>0</v>
      </c>
      <c r="M98" s="42">
        <v>3.59</v>
      </c>
      <c r="N98" s="43">
        <v>0</v>
      </c>
      <c r="O98" s="42">
        <v>3.63</v>
      </c>
      <c r="P98" s="43">
        <v>0</v>
      </c>
      <c r="Q98" s="42">
        <v>3.75</v>
      </c>
      <c r="R98" s="43">
        <v>0</v>
      </c>
      <c r="S98" s="42">
        <v>3.76</v>
      </c>
      <c r="T98" s="43">
        <v>0</v>
      </c>
      <c r="U98" s="42">
        <v>4.32</v>
      </c>
      <c r="V98" s="47">
        <v>0.02</v>
      </c>
    </row>
    <row r="99" spans="2:22">
      <c r="B99" s="55">
        <v>44984</v>
      </c>
      <c r="C99" s="52">
        <v>3.39</v>
      </c>
      <c r="D99" s="43">
        <v>0</v>
      </c>
      <c r="E99" s="42">
        <v>3.42</v>
      </c>
      <c r="F99" s="43">
        <v>0</v>
      </c>
      <c r="G99" s="42">
        <v>3.46</v>
      </c>
      <c r="H99" s="43">
        <v>0</v>
      </c>
      <c r="I99" s="42">
        <v>3.49</v>
      </c>
      <c r="J99" s="43">
        <v>0</v>
      </c>
      <c r="K99" s="42">
        <v>3.54</v>
      </c>
      <c r="L99" s="43">
        <v>0.01</v>
      </c>
      <c r="M99" s="42">
        <v>3.59</v>
      </c>
      <c r="N99" s="43">
        <v>0</v>
      </c>
      <c r="O99" s="42">
        <v>3.63</v>
      </c>
      <c r="P99" s="43">
        <v>0</v>
      </c>
      <c r="Q99" s="42">
        <v>3.75</v>
      </c>
      <c r="R99" s="43">
        <v>0.01</v>
      </c>
      <c r="S99" s="42">
        <v>3.76</v>
      </c>
      <c r="T99" s="43">
        <v>0</v>
      </c>
      <c r="U99" s="42">
        <v>4.3</v>
      </c>
      <c r="V99" s="47">
        <v>0.02</v>
      </c>
    </row>
    <row r="100" spans="2:22">
      <c r="B100" s="55">
        <v>44981</v>
      </c>
      <c r="C100" s="52">
        <v>3.39</v>
      </c>
      <c r="D100" s="43">
        <v>0.01</v>
      </c>
      <c r="E100" s="42">
        <v>3.42</v>
      </c>
      <c r="F100" s="43">
        <v>0.01</v>
      </c>
      <c r="G100" s="42">
        <v>3.46</v>
      </c>
      <c r="H100" s="43">
        <v>0.01</v>
      </c>
      <c r="I100" s="42">
        <v>3.49</v>
      </c>
      <c r="J100" s="43">
        <v>0.02</v>
      </c>
      <c r="K100" s="42">
        <v>3.53</v>
      </c>
      <c r="L100" s="43">
        <v>0.01</v>
      </c>
      <c r="M100" s="42">
        <v>3.59</v>
      </c>
      <c r="N100" s="43">
        <v>0</v>
      </c>
      <c r="O100" s="42">
        <v>3.63</v>
      </c>
      <c r="P100" s="43">
        <v>0</v>
      </c>
      <c r="Q100" s="42">
        <v>3.74</v>
      </c>
      <c r="R100" s="43">
        <v>0.02</v>
      </c>
      <c r="S100" s="42">
        <v>3.76</v>
      </c>
      <c r="T100" s="43">
        <v>0.01</v>
      </c>
      <c r="U100" s="42">
        <v>4.28</v>
      </c>
      <c r="V100" s="47">
        <v>0</v>
      </c>
    </row>
    <row r="101" spans="2:22">
      <c r="B101" s="55">
        <v>44980</v>
      </c>
      <c r="C101" s="52">
        <v>3.38</v>
      </c>
      <c r="D101" s="43">
        <v>0</v>
      </c>
      <c r="E101" s="42">
        <v>3.41</v>
      </c>
      <c r="F101" s="43">
        <v>0</v>
      </c>
      <c r="G101" s="42">
        <v>3.45</v>
      </c>
      <c r="H101" s="43">
        <v>0.01</v>
      </c>
      <c r="I101" s="42">
        <v>3.47</v>
      </c>
      <c r="J101" s="43">
        <v>0.01</v>
      </c>
      <c r="K101" s="42">
        <v>3.52</v>
      </c>
      <c r="L101" s="43">
        <v>0.02</v>
      </c>
      <c r="M101" s="42">
        <v>3.59</v>
      </c>
      <c r="N101" s="43">
        <v>0.03</v>
      </c>
      <c r="O101" s="42">
        <v>3.63</v>
      </c>
      <c r="P101" s="43">
        <v>0.03</v>
      </c>
      <c r="Q101" s="42">
        <v>3.72</v>
      </c>
      <c r="R101" s="43">
        <v>0.04</v>
      </c>
      <c r="S101" s="42">
        <v>3.75</v>
      </c>
      <c r="T101" s="43">
        <v>0.04</v>
      </c>
      <c r="U101" s="42">
        <v>4.28</v>
      </c>
      <c r="V101" s="47">
        <v>0.01</v>
      </c>
    </row>
    <row r="102" spans="2:22">
      <c r="B102" s="55">
        <v>44979</v>
      </c>
      <c r="C102" s="52">
        <v>3.38</v>
      </c>
      <c r="D102" s="43">
        <v>0</v>
      </c>
      <c r="E102" s="42">
        <v>3.41</v>
      </c>
      <c r="F102" s="43">
        <v>0.01</v>
      </c>
      <c r="G102" s="42">
        <v>3.44</v>
      </c>
      <c r="H102" s="43">
        <v>0.01</v>
      </c>
      <c r="I102" s="42">
        <v>3.46</v>
      </c>
      <c r="J102" s="43">
        <v>0.01</v>
      </c>
      <c r="K102" s="42">
        <v>3.5</v>
      </c>
      <c r="L102" s="43">
        <v>0.01</v>
      </c>
      <c r="M102" s="42">
        <v>3.56</v>
      </c>
      <c r="N102" s="43">
        <v>0.02</v>
      </c>
      <c r="O102" s="42">
        <v>3.6</v>
      </c>
      <c r="P102" s="43">
        <v>0.02</v>
      </c>
      <c r="Q102" s="42">
        <v>3.68</v>
      </c>
      <c r="R102" s="43">
        <v>0.01</v>
      </c>
      <c r="S102" s="42">
        <v>3.71</v>
      </c>
      <c r="T102" s="43">
        <v>0.01</v>
      </c>
      <c r="U102" s="42">
        <v>4.2699999999999996</v>
      </c>
      <c r="V102" s="47">
        <v>0.02</v>
      </c>
    </row>
    <row r="103" spans="2:22">
      <c r="B103" s="55">
        <v>44978</v>
      </c>
      <c r="C103" s="52">
        <v>3.38</v>
      </c>
      <c r="D103" s="43">
        <v>0</v>
      </c>
      <c r="E103" s="42">
        <v>3.4</v>
      </c>
      <c r="F103" s="43">
        <v>-0.01</v>
      </c>
      <c r="G103" s="42">
        <v>3.43</v>
      </c>
      <c r="H103" s="43">
        <v>0</v>
      </c>
      <c r="I103" s="42">
        <v>3.45</v>
      </c>
      <c r="J103" s="43">
        <v>0</v>
      </c>
      <c r="K103" s="42">
        <v>3.49</v>
      </c>
      <c r="L103" s="43">
        <v>0.01</v>
      </c>
      <c r="M103" s="42">
        <v>3.54</v>
      </c>
      <c r="N103" s="43">
        <v>0.01</v>
      </c>
      <c r="O103" s="42">
        <v>3.58</v>
      </c>
      <c r="P103" s="43">
        <v>0</v>
      </c>
      <c r="Q103" s="42">
        <v>3.67</v>
      </c>
      <c r="R103" s="43">
        <v>0.01</v>
      </c>
      <c r="S103" s="42">
        <v>3.7</v>
      </c>
      <c r="T103" s="43">
        <v>0.01</v>
      </c>
      <c r="U103" s="42">
        <v>4.25</v>
      </c>
      <c r="V103" s="47">
        <v>-0.01</v>
      </c>
    </row>
    <row r="104" spans="2:22">
      <c r="B104" s="55">
        <v>44977</v>
      </c>
      <c r="C104" s="52">
        <v>3.38</v>
      </c>
      <c r="D104" s="43">
        <v>0</v>
      </c>
      <c r="E104" s="42">
        <v>3.41</v>
      </c>
      <c r="F104" s="43">
        <v>0.01</v>
      </c>
      <c r="G104" s="42">
        <v>3.43</v>
      </c>
      <c r="H104" s="43">
        <v>0</v>
      </c>
      <c r="I104" s="42">
        <v>3.45</v>
      </c>
      <c r="J104" s="43">
        <v>0</v>
      </c>
      <c r="K104" s="42">
        <v>3.48</v>
      </c>
      <c r="L104" s="43">
        <v>0</v>
      </c>
      <c r="M104" s="42">
        <v>3.53</v>
      </c>
      <c r="N104" s="43">
        <v>0.01</v>
      </c>
      <c r="O104" s="42">
        <v>3.58</v>
      </c>
      <c r="P104" s="43">
        <v>0.02</v>
      </c>
      <c r="Q104" s="42">
        <v>3.66</v>
      </c>
      <c r="R104" s="43">
        <v>0.01</v>
      </c>
      <c r="S104" s="42">
        <v>3.69</v>
      </c>
      <c r="T104" s="43">
        <v>0.01</v>
      </c>
      <c r="U104" s="42">
        <v>4.26</v>
      </c>
      <c r="V104" s="47">
        <v>0.02</v>
      </c>
    </row>
    <row r="105" spans="2:22">
      <c r="B105" s="55">
        <v>44974</v>
      </c>
      <c r="C105" s="52">
        <v>3.38</v>
      </c>
      <c r="D105" s="43">
        <v>0.01</v>
      </c>
      <c r="E105" s="42">
        <v>3.4</v>
      </c>
      <c r="F105" s="43">
        <v>0.01</v>
      </c>
      <c r="G105" s="42">
        <v>3.43</v>
      </c>
      <c r="H105" s="43">
        <v>0.02</v>
      </c>
      <c r="I105" s="42">
        <v>3.45</v>
      </c>
      <c r="J105" s="43">
        <v>0.02</v>
      </c>
      <c r="K105" s="42">
        <v>3.48</v>
      </c>
      <c r="L105" s="43">
        <v>0.03</v>
      </c>
      <c r="M105" s="42">
        <v>3.52</v>
      </c>
      <c r="N105" s="43">
        <v>0.02</v>
      </c>
      <c r="O105" s="42">
        <v>3.56</v>
      </c>
      <c r="P105" s="43">
        <v>0.02</v>
      </c>
      <c r="Q105" s="42">
        <v>3.65</v>
      </c>
      <c r="R105" s="43">
        <v>0.06</v>
      </c>
      <c r="S105" s="42">
        <v>3.68</v>
      </c>
      <c r="T105" s="43">
        <v>0.04</v>
      </c>
      <c r="U105" s="42">
        <v>4.24</v>
      </c>
      <c r="V105" s="47">
        <v>0.03</v>
      </c>
    </row>
    <row r="106" spans="2:22">
      <c r="B106" s="55">
        <v>44973</v>
      </c>
      <c r="C106" s="52">
        <v>3.37</v>
      </c>
      <c r="D106" s="43">
        <v>0</v>
      </c>
      <c r="E106" s="42">
        <v>3.39</v>
      </c>
      <c r="F106" s="43">
        <v>0</v>
      </c>
      <c r="G106" s="42">
        <v>3.41</v>
      </c>
      <c r="H106" s="43">
        <v>0</v>
      </c>
      <c r="I106" s="42">
        <v>3.43</v>
      </c>
      <c r="J106" s="43">
        <v>0.01</v>
      </c>
      <c r="K106" s="42">
        <v>3.45</v>
      </c>
      <c r="L106" s="43">
        <v>0</v>
      </c>
      <c r="M106" s="42">
        <v>3.5</v>
      </c>
      <c r="N106" s="43">
        <v>0.01</v>
      </c>
      <c r="O106" s="42">
        <v>3.54</v>
      </c>
      <c r="P106" s="43">
        <v>0.01</v>
      </c>
      <c r="Q106" s="42">
        <v>3.59</v>
      </c>
      <c r="R106" s="43">
        <v>0</v>
      </c>
      <c r="S106" s="42">
        <v>3.64</v>
      </c>
      <c r="T106" s="43">
        <v>0.01</v>
      </c>
      <c r="U106" s="42">
        <v>4.21</v>
      </c>
      <c r="V106" s="47">
        <v>0.01</v>
      </c>
    </row>
    <row r="107" spans="2:22">
      <c r="B107" s="55">
        <v>44972</v>
      </c>
      <c r="C107" s="52">
        <v>3.37</v>
      </c>
      <c r="D107" s="43">
        <v>0</v>
      </c>
      <c r="E107" s="42">
        <v>3.39</v>
      </c>
      <c r="F107" s="43">
        <v>0</v>
      </c>
      <c r="G107" s="42">
        <v>3.41</v>
      </c>
      <c r="H107" s="43">
        <v>0.01</v>
      </c>
      <c r="I107" s="42">
        <v>3.42</v>
      </c>
      <c r="J107" s="43">
        <v>0</v>
      </c>
      <c r="K107" s="42">
        <v>3.45</v>
      </c>
      <c r="L107" s="43">
        <v>0.01</v>
      </c>
      <c r="M107" s="42">
        <v>3.49</v>
      </c>
      <c r="N107" s="43">
        <v>0.01</v>
      </c>
      <c r="O107" s="42">
        <v>3.53</v>
      </c>
      <c r="P107" s="43">
        <v>0.02</v>
      </c>
      <c r="Q107" s="42">
        <v>3.59</v>
      </c>
      <c r="R107" s="43">
        <v>0.04</v>
      </c>
      <c r="S107" s="42">
        <v>3.63</v>
      </c>
      <c r="T107" s="43">
        <v>0.02</v>
      </c>
      <c r="U107" s="42">
        <v>4.2</v>
      </c>
      <c r="V107" s="47">
        <v>0.03</v>
      </c>
    </row>
    <row r="108" spans="2:22">
      <c r="B108" s="55">
        <v>44971</v>
      </c>
      <c r="C108" s="52">
        <v>3.37</v>
      </c>
      <c r="D108" s="43">
        <v>0</v>
      </c>
      <c r="E108" s="42">
        <v>3.39</v>
      </c>
      <c r="F108" s="43">
        <v>0.01</v>
      </c>
      <c r="G108" s="42">
        <v>3.4</v>
      </c>
      <c r="H108" s="43">
        <v>0</v>
      </c>
      <c r="I108" s="42">
        <v>3.42</v>
      </c>
      <c r="J108" s="43">
        <v>0.01</v>
      </c>
      <c r="K108" s="42">
        <v>3.44</v>
      </c>
      <c r="L108" s="43">
        <v>0</v>
      </c>
      <c r="M108" s="42">
        <v>3.48</v>
      </c>
      <c r="N108" s="43">
        <v>0</v>
      </c>
      <c r="O108" s="42">
        <v>3.51</v>
      </c>
      <c r="P108" s="43">
        <v>0</v>
      </c>
      <c r="Q108" s="42">
        <v>3.55</v>
      </c>
      <c r="R108" s="43">
        <v>0</v>
      </c>
      <c r="S108" s="42">
        <v>3.61</v>
      </c>
      <c r="T108" s="43">
        <v>0.01</v>
      </c>
      <c r="U108" s="42">
        <v>4.17</v>
      </c>
      <c r="V108" s="47">
        <v>0</v>
      </c>
    </row>
    <row r="109" spans="2:22">
      <c r="B109" s="55">
        <v>44970</v>
      </c>
      <c r="C109" s="52">
        <v>3.37</v>
      </c>
      <c r="D109" s="43">
        <v>0.01</v>
      </c>
      <c r="E109" s="42">
        <v>3.38</v>
      </c>
      <c r="F109" s="43">
        <v>0</v>
      </c>
      <c r="G109" s="42">
        <v>3.4</v>
      </c>
      <c r="H109" s="43">
        <v>0.01</v>
      </c>
      <c r="I109" s="42">
        <v>3.41</v>
      </c>
      <c r="J109" s="43">
        <v>0</v>
      </c>
      <c r="K109" s="42">
        <v>3.44</v>
      </c>
      <c r="L109" s="43">
        <v>0.01</v>
      </c>
      <c r="M109" s="42">
        <v>3.48</v>
      </c>
      <c r="N109" s="43">
        <v>0.01</v>
      </c>
      <c r="O109" s="42">
        <v>3.51</v>
      </c>
      <c r="P109" s="43">
        <v>0.01</v>
      </c>
      <c r="Q109" s="42">
        <v>3.55</v>
      </c>
      <c r="R109" s="43">
        <v>0.01</v>
      </c>
      <c r="S109" s="42">
        <v>3.6</v>
      </c>
      <c r="T109" s="43">
        <v>0</v>
      </c>
      <c r="U109" s="42">
        <v>4.17</v>
      </c>
      <c r="V109" s="47">
        <v>0</v>
      </c>
    </row>
    <row r="110" spans="2:22">
      <c r="B110" s="55">
        <v>44967</v>
      </c>
      <c r="C110" s="52">
        <v>3.36</v>
      </c>
      <c r="D110" s="43">
        <v>0</v>
      </c>
      <c r="E110" s="42">
        <v>3.38</v>
      </c>
      <c r="F110" s="43">
        <v>0</v>
      </c>
      <c r="G110" s="42">
        <v>3.39</v>
      </c>
      <c r="H110" s="43">
        <v>0</v>
      </c>
      <c r="I110" s="42">
        <v>3.41</v>
      </c>
      <c r="J110" s="43">
        <v>0.01</v>
      </c>
      <c r="K110" s="42">
        <v>3.43</v>
      </c>
      <c r="L110" s="43">
        <v>0.01</v>
      </c>
      <c r="M110" s="42">
        <v>3.47</v>
      </c>
      <c r="N110" s="43">
        <v>0.01</v>
      </c>
      <c r="O110" s="42">
        <v>3.5</v>
      </c>
      <c r="P110" s="43">
        <v>0.01</v>
      </c>
      <c r="Q110" s="42">
        <v>3.54</v>
      </c>
      <c r="R110" s="43">
        <v>0.02</v>
      </c>
      <c r="S110" s="42">
        <v>3.6</v>
      </c>
      <c r="T110" s="43">
        <v>0</v>
      </c>
      <c r="U110" s="42">
        <v>4.17</v>
      </c>
      <c r="V110" s="47">
        <v>0</v>
      </c>
    </row>
    <row r="111" spans="2:22">
      <c r="B111" s="55">
        <v>44966</v>
      </c>
      <c r="C111" s="52">
        <v>3.36</v>
      </c>
      <c r="D111" s="43">
        <v>-0.01</v>
      </c>
      <c r="E111" s="42">
        <v>3.38</v>
      </c>
      <c r="F111" s="43">
        <v>0</v>
      </c>
      <c r="G111" s="42">
        <v>3.39</v>
      </c>
      <c r="H111" s="43">
        <v>-0.01</v>
      </c>
      <c r="I111" s="42">
        <v>3.4</v>
      </c>
      <c r="J111" s="43">
        <v>-0.01</v>
      </c>
      <c r="K111" s="42">
        <v>3.42</v>
      </c>
      <c r="L111" s="43">
        <v>0</v>
      </c>
      <c r="M111" s="42">
        <v>3.46</v>
      </c>
      <c r="N111" s="43">
        <v>0</v>
      </c>
      <c r="O111" s="42">
        <v>3.49</v>
      </c>
      <c r="P111" s="43">
        <v>0</v>
      </c>
      <c r="Q111" s="42">
        <v>3.52</v>
      </c>
      <c r="R111" s="43">
        <v>0.01</v>
      </c>
      <c r="S111" s="42">
        <v>3.6</v>
      </c>
      <c r="T111" s="43">
        <v>0</v>
      </c>
      <c r="U111" s="42">
        <v>4.17</v>
      </c>
      <c r="V111" s="47">
        <v>0.01</v>
      </c>
    </row>
    <row r="112" spans="2:22">
      <c r="B112" s="55">
        <v>44965</v>
      </c>
      <c r="C112" s="52">
        <v>3.37</v>
      </c>
      <c r="D112" s="43">
        <v>0</v>
      </c>
      <c r="E112" s="42">
        <v>3.38</v>
      </c>
      <c r="F112" s="43">
        <v>0</v>
      </c>
      <c r="G112" s="42">
        <v>3.4</v>
      </c>
      <c r="H112" s="43">
        <v>0</v>
      </c>
      <c r="I112" s="42">
        <v>3.41</v>
      </c>
      <c r="J112" s="43">
        <v>0</v>
      </c>
      <c r="K112" s="42">
        <v>3.42</v>
      </c>
      <c r="L112" s="43">
        <v>0</v>
      </c>
      <c r="M112" s="42">
        <v>3.46</v>
      </c>
      <c r="N112" s="43">
        <v>0</v>
      </c>
      <c r="O112" s="42">
        <v>3.49</v>
      </c>
      <c r="P112" s="43">
        <v>0.01</v>
      </c>
      <c r="Q112" s="42">
        <v>3.51</v>
      </c>
      <c r="R112" s="43">
        <v>0</v>
      </c>
      <c r="S112" s="42">
        <v>3.6</v>
      </c>
      <c r="T112" s="43">
        <v>0</v>
      </c>
      <c r="U112" s="42">
        <v>4.16</v>
      </c>
      <c r="V112" s="47">
        <v>0</v>
      </c>
    </row>
    <row r="113" spans="2:22">
      <c r="B113" s="55">
        <v>44964</v>
      </c>
      <c r="C113" s="52">
        <v>3.37</v>
      </c>
      <c r="D113" s="43">
        <v>0</v>
      </c>
      <c r="E113" s="42">
        <v>3.38</v>
      </c>
      <c r="F113" s="43">
        <v>0</v>
      </c>
      <c r="G113" s="42">
        <v>3.4</v>
      </c>
      <c r="H113" s="43">
        <v>0</v>
      </c>
      <c r="I113" s="42">
        <v>3.41</v>
      </c>
      <c r="J113" s="43">
        <v>0</v>
      </c>
      <c r="K113" s="42">
        <v>3.42</v>
      </c>
      <c r="L113" s="43">
        <v>0</v>
      </c>
      <c r="M113" s="42">
        <v>3.46</v>
      </c>
      <c r="N113" s="43">
        <v>-0.01</v>
      </c>
      <c r="O113" s="42">
        <v>3.48</v>
      </c>
      <c r="P113" s="43">
        <v>-0.01</v>
      </c>
      <c r="Q113" s="42">
        <v>3.51</v>
      </c>
      <c r="R113" s="43">
        <v>0.01</v>
      </c>
      <c r="S113" s="42">
        <v>3.6</v>
      </c>
      <c r="T113" s="43">
        <v>0.02</v>
      </c>
      <c r="U113" s="42">
        <v>4.16</v>
      </c>
      <c r="V113" s="47">
        <v>0.01</v>
      </c>
    </row>
    <row r="114" spans="2:22">
      <c r="B114" s="55">
        <v>44963</v>
      </c>
      <c r="C114" s="52">
        <v>3.37</v>
      </c>
      <c r="D114" s="43">
        <v>-0.01</v>
      </c>
      <c r="E114" s="42">
        <v>3.38</v>
      </c>
      <c r="F114" s="43">
        <v>-0.02</v>
      </c>
      <c r="G114" s="42">
        <v>3.4</v>
      </c>
      <c r="H114" s="43">
        <v>-0.02</v>
      </c>
      <c r="I114" s="42">
        <v>3.41</v>
      </c>
      <c r="J114" s="43">
        <v>-0.02</v>
      </c>
      <c r="K114" s="42">
        <v>3.42</v>
      </c>
      <c r="L114" s="43">
        <v>-0.03</v>
      </c>
      <c r="M114" s="42">
        <v>3.47</v>
      </c>
      <c r="N114" s="43">
        <v>-0.02</v>
      </c>
      <c r="O114" s="42">
        <v>3.49</v>
      </c>
      <c r="P114" s="43">
        <v>-0.01</v>
      </c>
      <c r="Q114" s="42">
        <v>3.5</v>
      </c>
      <c r="R114" s="43">
        <v>-0.02</v>
      </c>
      <c r="S114" s="42">
        <v>3.58</v>
      </c>
      <c r="T114" s="43">
        <v>-0.01</v>
      </c>
      <c r="U114" s="42">
        <v>4.1500000000000004</v>
      </c>
      <c r="V114" s="47">
        <v>0.01</v>
      </c>
    </row>
    <row r="115" spans="2:22">
      <c r="B115" s="55">
        <v>44960</v>
      </c>
      <c r="C115" s="52">
        <v>3.38</v>
      </c>
      <c r="D115" s="43">
        <v>-0.01</v>
      </c>
      <c r="E115" s="42">
        <v>3.4</v>
      </c>
      <c r="F115" s="43">
        <v>-0.02</v>
      </c>
      <c r="G115" s="42">
        <v>3.42</v>
      </c>
      <c r="H115" s="43">
        <v>-0.02</v>
      </c>
      <c r="I115" s="42">
        <v>3.43</v>
      </c>
      <c r="J115" s="43">
        <v>-0.02</v>
      </c>
      <c r="K115" s="42">
        <v>3.45</v>
      </c>
      <c r="L115" s="43">
        <v>-0.02</v>
      </c>
      <c r="M115" s="42">
        <v>3.49</v>
      </c>
      <c r="N115" s="43">
        <v>-0.03</v>
      </c>
      <c r="O115" s="42">
        <v>3.5</v>
      </c>
      <c r="P115" s="43">
        <v>-0.03</v>
      </c>
      <c r="Q115" s="42">
        <v>3.52</v>
      </c>
      <c r="R115" s="43">
        <v>-0.03</v>
      </c>
      <c r="S115" s="42">
        <v>3.59</v>
      </c>
      <c r="T115" s="43">
        <v>-0.03</v>
      </c>
      <c r="U115" s="42">
        <v>4.1399999999999997</v>
      </c>
      <c r="V115" s="47">
        <v>-0.03</v>
      </c>
    </row>
    <row r="116" spans="2:22">
      <c r="B116" s="55">
        <v>44959</v>
      </c>
      <c r="C116" s="52">
        <v>3.39</v>
      </c>
      <c r="D116" s="43">
        <v>-0.02</v>
      </c>
      <c r="E116" s="42">
        <v>3.42</v>
      </c>
      <c r="F116" s="43">
        <v>-0.03</v>
      </c>
      <c r="G116" s="42">
        <v>3.44</v>
      </c>
      <c r="H116" s="43">
        <v>-0.02</v>
      </c>
      <c r="I116" s="42">
        <v>3.45</v>
      </c>
      <c r="J116" s="43">
        <v>-0.03</v>
      </c>
      <c r="K116" s="42">
        <v>3.47</v>
      </c>
      <c r="L116" s="43">
        <v>-0.04</v>
      </c>
      <c r="M116" s="42">
        <v>3.52</v>
      </c>
      <c r="N116" s="43">
        <v>-7.0000000000000007E-2</v>
      </c>
      <c r="O116" s="42">
        <v>3.53</v>
      </c>
      <c r="P116" s="43">
        <v>-0.06</v>
      </c>
      <c r="Q116" s="42">
        <v>3.55</v>
      </c>
      <c r="R116" s="43">
        <v>-0.05</v>
      </c>
      <c r="S116" s="42">
        <v>3.62</v>
      </c>
      <c r="T116" s="43">
        <v>-0.05</v>
      </c>
      <c r="U116" s="42">
        <v>4.17</v>
      </c>
      <c r="V116" s="47">
        <v>-0.05</v>
      </c>
    </row>
    <row r="117" spans="2:22">
      <c r="B117" s="55">
        <v>44958</v>
      </c>
      <c r="C117" s="52">
        <v>3.41</v>
      </c>
      <c r="D117" s="43">
        <v>0</v>
      </c>
      <c r="E117" s="42">
        <v>3.45</v>
      </c>
      <c r="F117" s="43">
        <v>-0.02</v>
      </c>
      <c r="G117" s="42">
        <v>3.46</v>
      </c>
      <c r="H117" s="43">
        <v>-0.03</v>
      </c>
      <c r="I117" s="42">
        <v>3.48</v>
      </c>
      <c r="J117" s="43">
        <v>-0.02</v>
      </c>
      <c r="K117" s="42">
        <v>3.51</v>
      </c>
      <c r="L117" s="43">
        <v>-0.01</v>
      </c>
      <c r="M117" s="42">
        <v>3.59</v>
      </c>
      <c r="N117" s="43">
        <v>-0.04</v>
      </c>
      <c r="O117" s="42">
        <v>3.59</v>
      </c>
      <c r="P117" s="43">
        <v>-0.04</v>
      </c>
      <c r="Q117" s="42">
        <v>3.6</v>
      </c>
      <c r="R117" s="43">
        <v>-0.04</v>
      </c>
      <c r="S117" s="42">
        <v>3.67</v>
      </c>
      <c r="T117" s="43">
        <v>-0.04</v>
      </c>
      <c r="U117" s="42">
        <v>4.22</v>
      </c>
      <c r="V117" s="47">
        <v>-0.03</v>
      </c>
    </row>
    <row r="118" spans="2:22">
      <c r="B118" s="55">
        <v>44957</v>
      </c>
      <c r="C118" s="52">
        <v>3.41</v>
      </c>
      <c r="D118" s="43">
        <v>-0.01</v>
      </c>
      <c r="E118" s="42">
        <v>3.47</v>
      </c>
      <c r="F118" s="43">
        <v>0</v>
      </c>
      <c r="G118" s="42">
        <v>3.49</v>
      </c>
      <c r="H118" s="43">
        <v>0</v>
      </c>
      <c r="I118" s="42">
        <v>3.5</v>
      </c>
      <c r="J118" s="43">
        <v>-0.01</v>
      </c>
      <c r="K118" s="42">
        <v>3.52</v>
      </c>
      <c r="L118" s="43">
        <v>-0.01</v>
      </c>
      <c r="M118" s="42">
        <v>3.63</v>
      </c>
      <c r="N118" s="43">
        <v>0</v>
      </c>
      <c r="O118" s="42">
        <v>3.63</v>
      </c>
      <c r="P118" s="43">
        <v>0</v>
      </c>
      <c r="Q118" s="42">
        <v>3.64</v>
      </c>
      <c r="R118" s="43">
        <v>0</v>
      </c>
      <c r="S118" s="42">
        <v>3.71</v>
      </c>
      <c r="T118" s="43">
        <v>-0.01</v>
      </c>
      <c r="U118" s="42">
        <v>4.25</v>
      </c>
      <c r="V118" s="47">
        <v>0</v>
      </c>
    </row>
    <row r="119" spans="2:22">
      <c r="B119" s="55">
        <v>44956</v>
      </c>
      <c r="C119" s="52">
        <v>3.42</v>
      </c>
      <c r="D119" s="43">
        <v>-0.01</v>
      </c>
      <c r="E119" s="42">
        <v>3.47</v>
      </c>
      <c r="F119" s="43">
        <v>-0.01</v>
      </c>
      <c r="G119" s="42">
        <v>3.49</v>
      </c>
      <c r="H119" s="43">
        <v>0</v>
      </c>
      <c r="I119" s="42">
        <v>3.51</v>
      </c>
      <c r="J119" s="43">
        <v>0</v>
      </c>
      <c r="K119" s="42">
        <v>3.53</v>
      </c>
      <c r="L119" s="43">
        <v>0</v>
      </c>
      <c r="M119" s="42">
        <v>3.63</v>
      </c>
      <c r="N119" s="43">
        <v>-0.01</v>
      </c>
      <c r="O119" s="42">
        <v>3.63</v>
      </c>
      <c r="P119" s="43">
        <v>-0.01</v>
      </c>
      <c r="Q119" s="42">
        <v>3.64</v>
      </c>
      <c r="R119" s="43">
        <v>-0.01</v>
      </c>
      <c r="S119" s="42">
        <v>3.72</v>
      </c>
      <c r="T119" s="43">
        <v>-0.01</v>
      </c>
      <c r="U119" s="42">
        <v>4.25</v>
      </c>
      <c r="V119" s="47">
        <v>-0.01</v>
      </c>
    </row>
    <row r="120" spans="2:22">
      <c r="B120" s="55">
        <v>44953</v>
      </c>
      <c r="C120" s="52">
        <v>3.43</v>
      </c>
      <c r="D120" s="43">
        <v>-0.01</v>
      </c>
      <c r="E120" s="42">
        <v>3.48</v>
      </c>
      <c r="F120" s="43">
        <v>0</v>
      </c>
      <c r="G120" s="42">
        <v>3.49</v>
      </c>
      <c r="H120" s="43">
        <v>-0.01</v>
      </c>
      <c r="I120" s="42">
        <v>3.51</v>
      </c>
      <c r="J120" s="43">
        <v>0</v>
      </c>
      <c r="K120" s="42">
        <v>3.53</v>
      </c>
      <c r="L120" s="43">
        <v>0</v>
      </c>
      <c r="M120" s="42">
        <v>3.64</v>
      </c>
      <c r="N120" s="43">
        <v>-0.01</v>
      </c>
      <c r="O120" s="42">
        <v>3.64</v>
      </c>
      <c r="P120" s="43">
        <v>-0.01</v>
      </c>
      <c r="Q120" s="42">
        <v>3.65</v>
      </c>
      <c r="R120" s="43">
        <v>-0.01</v>
      </c>
      <c r="S120" s="42">
        <v>3.73</v>
      </c>
      <c r="T120" s="43">
        <v>-0.01</v>
      </c>
      <c r="U120" s="42">
        <v>4.26</v>
      </c>
      <c r="V120" s="47">
        <v>-0.01</v>
      </c>
    </row>
    <row r="121" spans="2:22">
      <c r="B121" s="55">
        <v>44952</v>
      </c>
      <c r="C121" s="52">
        <v>3.44</v>
      </c>
      <c r="D121" s="43">
        <v>0</v>
      </c>
      <c r="E121" s="42">
        <v>3.48</v>
      </c>
      <c r="F121" s="43">
        <v>0</v>
      </c>
      <c r="G121" s="42">
        <v>3.5</v>
      </c>
      <c r="H121" s="43">
        <v>0</v>
      </c>
      <c r="I121" s="42">
        <v>3.51</v>
      </c>
      <c r="J121" s="43">
        <v>-0.01</v>
      </c>
      <c r="K121" s="42">
        <v>3.53</v>
      </c>
      <c r="L121" s="43">
        <v>-0.03</v>
      </c>
      <c r="M121" s="42">
        <v>3.65</v>
      </c>
      <c r="N121" s="43">
        <v>-0.01</v>
      </c>
      <c r="O121" s="42">
        <v>3.65</v>
      </c>
      <c r="P121" s="43">
        <v>-0.01</v>
      </c>
      <c r="Q121" s="42">
        <v>3.66</v>
      </c>
      <c r="R121" s="43">
        <v>-0.01</v>
      </c>
      <c r="S121" s="42">
        <v>3.74</v>
      </c>
      <c r="T121" s="43">
        <v>-0.01</v>
      </c>
      <c r="U121" s="42">
        <v>4.2699999999999996</v>
      </c>
      <c r="V121" s="47">
        <v>-0.01</v>
      </c>
    </row>
    <row r="122" spans="2:22">
      <c r="B122" s="55">
        <v>44951</v>
      </c>
      <c r="C122" s="52">
        <v>3.44</v>
      </c>
      <c r="D122" s="43">
        <v>0</v>
      </c>
      <c r="E122" s="42">
        <v>3.48</v>
      </c>
      <c r="F122" s="43">
        <v>0</v>
      </c>
      <c r="G122" s="42">
        <v>3.5</v>
      </c>
      <c r="H122" s="43">
        <v>0</v>
      </c>
      <c r="I122" s="42">
        <v>3.52</v>
      </c>
      <c r="J122" s="43">
        <v>0</v>
      </c>
      <c r="K122" s="42">
        <v>3.56</v>
      </c>
      <c r="L122" s="43">
        <v>-0.01</v>
      </c>
      <c r="M122" s="42">
        <v>3.66</v>
      </c>
      <c r="N122" s="43">
        <v>-0.01</v>
      </c>
      <c r="O122" s="42">
        <v>3.66</v>
      </c>
      <c r="P122" s="43">
        <v>-0.01</v>
      </c>
      <c r="Q122" s="42">
        <v>3.67</v>
      </c>
      <c r="R122" s="43">
        <v>-0.01</v>
      </c>
      <c r="S122" s="42">
        <v>3.75</v>
      </c>
      <c r="T122" s="43">
        <v>-0.01</v>
      </c>
      <c r="U122" s="42">
        <v>4.28</v>
      </c>
      <c r="V122" s="47">
        <v>-0.01</v>
      </c>
    </row>
    <row r="123" spans="2:22">
      <c r="B123" s="55">
        <v>44946</v>
      </c>
      <c r="C123" s="52">
        <v>3.44</v>
      </c>
      <c r="D123" s="43">
        <v>0</v>
      </c>
      <c r="E123" s="42">
        <v>3.48</v>
      </c>
      <c r="F123" s="43">
        <v>0</v>
      </c>
      <c r="G123" s="42">
        <v>3.5</v>
      </c>
      <c r="H123" s="43">
        <v>0</v>
      </c>
      <c r="I123" s="42">
        <v>3.52</v>
      </c>
      <c r="J123" s="43">
        <v>0</v>
      </c>
      <c r="K123" s="42">
        <v>3.57</v>
      </c>
      <c r="L123" s="43">
        <v>0</v>
      </c>
      <c r="M123" s="42">
        <v>3.67</v>
      </c>
      <c r="N123" s="43">
        <v>-0.01</v>
      </c>
      <c r="O123" s="42">
        <v>3.67</v>
      </c>
      <c r="P123" s="43">
        <v>-0.01</v>
      </c>
      <c r="Q123" s="42">
        <v>3.68</v>
      </c>
      <c r="R123" s="43">
        <v>-0.02</v>
      </c>
      <c r="S123" s="42">
        <v>3.76</v>
      </c>
      <c r="T123" s="43">
        <v>-0.01</v>
      </c>
      <c r="U123" s="42">
        <v>4.29</v>
      </c>
      <c r="V123" s="47">
        <v>0.01</v>
      </c>
    </row>
    <row r="124" spans="2:22">
      <c r="B124" s="55">
        <v>44945</v>
      </c>
      <c r="C124" s="52">
        <v>3.44</v>
      </c>
      <c r="D124" s="43">
        <v>0</v>
      </c>
      <c r="E124" s="42">
        <v>3.48</v>
      </c>
      <c r="F124" s="43">
        <v>0</v>
      </c>
      <c r="G124" s="42">
        <v>3.5</v>
      </c>
      <c r="H124" s="43">
        <v>0</v>
      </c>
      <c r="I124" s="42">
        <v>3.52</v>
      </c>
      <c r="J124" s="43">
        <v>0</v>
      </c>
      <c r="K124" s="42">
        <v>3.57</v>
      </c>
      <c r="L124" s="43">
        <v>-0.01</v>
      </c>
      <c r="M124" s="42">
        <v>3.68</v>
      </c>
      <c r="N124" s="43">
        <v>-0.02</v>
      </c>
      <c r="O124" s="42">
        <v>3.68</v>
      </c>
      <c r="P124" s="43">
        <v>-0.02</v>
      </c>
      <c r="Q124" s="42">
        <v>3.7</v>
      </c>
      <c r="R124" s="43">
        <v>-0.02</v>
      </c>
      <c r="S124" s="42">
        <v>3.77</v>
      </c>
      <c r="T124" s="43">
        <v>-0.03</v>
      </c>
      <c r="U124" s="42">
        <v>4.28</v>
      </c>
      <c r="V124" s="47">
        <v>-0.03</v>
      </c>
    </row>
    <row r="125" spans="2:22">
      <c r="B125" s="55">
        <v>44944</v>
      </c>
      <c r="C125" s="52">
        <v>3.44</v>
      </c>
      <c r="D125" s="43">
        <v>0</v>
      </c>
      <c r="E125" s="42">
        <v>3.48</v>
      </c>
      <c r="F125" s="43">
        <v>-0.01</v>
      </c>
      <c r="G125" s="42">
        <v>3.5</v>
      </c>
      <c r="H125" s="43">
        <v>-0.01</v>
      </c>
      <c r="I125" s="42">
        <v>3.52</v>
      </c>
      <c r="J125" s="43">
        <v>0</v>
      </c>
      <c r="K125" s="42">
        <v>3.58</v>
      </c>
      <c r="L125" s="43">
        <v>-0.02</v>
      </c>
      <c r="M125" s="42">
        <v>3.7</v>
      </c>
      <c r="N125" s="43">
        <v>-0.04</v>
      </c>
      <c r="O125" s="42">
        <v>3.7</v>
      </c>
      <c r="P125" s="43">
        <v>-0.04</v>
      </c>
      <c r="Q125" s="42">
        <v>3.72</v>
      </c>
      <c r="R125" s="43">
        <v>-0.05</v>
      </c>
      <c r="S125" s="42">
        <v>3.8</v>
      </c>
      <c r="T125" s="43">
        <v>-0.04</v>
      </c>
      <c r="U125" s="42">
        <v>4.3099999999999996</v>
      </c>
      <c r="V125" s="47">
        <v>-0.05</v>
      </c>
    </row>
    <row r="126" spans="2:22">
      <c r="B126" s="55">
        <v>44943</v>
      </c>
      <c r="C126" s="52">
        <v>3.44</v>
      </c>
      <c r="D126" s="43">
        <v>0</v>
      </c>
      <c r="E126" s="42">
        <v>3.49</v>
      </c>
      <c r="F126" s="43">
        <v>0</v>
      </c>
      <c r="G126" s="42">
        <v>3.51</v>
      </c>
      <c r="H126" s="43">
        <v>0</v>
      </c>
      <c r="I126" s="42">
        <v>3.52</v>
      </c>
      <c r="J126" s="43">
        <v>0</v>
      </c>
      <c r="K126" s="42">
        <v>3.6</v>
      </c>
      <c r="L126" s="43">
        <v>-0.01</v>
      </c>
      <c r="M126" s="42">
        <v>3.74</v>
      </c>
      <c r="N126" s="43">
        <v>-0.05</v>
      </c>
      <c r="O126" s="42">
        <v>3.74</v>
      </c>
      <c r="P126" s="43">
        <v>-0.05</v>
      </c>
      <c r="Q126" s="42">
        <v>3.77</v>
      </c>
      <c r="R126" s="43">
        <v>-0.05</v>
      </c>
      <c r="S126" s="42">
        <v>3.84</v>
      </c>
      <c r="T126" s="43">
        <v>-0.04</v>
      </c>
      <c r="U126" s="42">
        <v>4.3600000000000003</v>
      </c>
      <c r="V126" s="47">
        <v>-0.02</v>
      </c>
    </row>
    <row r="127" spans="2:22">
      <c r="B127" s="55">
        <v>44942</v>
      </c>
      <c r="C127" s="52">
        <v>3.44</v>
      </c>
      <c r="D127" s="43">
        <v>0</v>
      </c>
      <c r="E127" s="42">
        <v>3.49</v>
      </c>
      <c r="F127" s="43">
        <v>0</v>
      </c>
      <c r="G127" s="42">
        <v>3.51</v>
      </c>
      <c r="H127" s="43">
        <v>-0.01</v>
      </c>
      <c r="I127" s="42">
        <v>3.52</v>
      </c>
      <c r="J127" s="43">
        <v>-0.02</v>
      </c>
      <c r="K127" s="42">
        <v>3.61</v>
      </c>
      <c r="L127" s="43">
        <v>-0.03</v>
      </c>
      <c r="M127" s="42">
        <v>3.79</v>
      </c>
      <c r="N127" s="43">
        <v>-0.09</v>
      </c>
      <c r="O127" s="42">
        <v>3.79</v>
      </c>
      <c r="P127" s="43">
        <v>-0.09</v>
      </c>
      <c r="Q127" s="42">
        <v>3.82</v>
      </c>
      <c r="R127" s="43">
        <v>-7.0000000000000007E-2</v>
      </c>
      <c r="S127" s="42">
        <v>3.88</v>
      </c>
      <c r="T127" s="43">
        <v>-0.05</v>
      </c>
      <c r="U127" s="42">
        <v>4.38</v>
      </c>
      <c r="V127" s="47">
        <v>-0.03</v>
      </c>
    </row>
    <row r="128" spans="2:22">
      <c r="B128" s="55">
        <v>44939</v>
      </c>
      <c r="C128" s="52">
        <v>3.44</v>
      </c>
      <c r="D128" s="43">
        <v>0.26</v>
      </c>
      <c r="E128" s="42">
        <v>3.49</v>
      </c>
      <c r="F128" s="43">
        <v>0.26</v>
      </c>
      <c r="G128" s="42">
        <v>3.52</v>
      </c>
      <c r="H128" s="43">
        <v>0.25</v>
      </c>
      <c r="I128" s="42">
        <v>3.54</v>
      </c>
      <c r="J128" s="43">
        <v>0.24</v>
      </c>
      <c r="K128" s="42">
        <v>3.64</v>
      </c>
      <c r="L128" s="43">
        <v>0.08</v>
      </c>
      <c r="M128" s="42">
        <v>3.88</v>
      </c>
      <c r="N128" s="43">
        <v>0.01</v>
      </c>
      <c r="O128" s="42">
        <v>3.88</v>
      </c>
      <c r="P128" s="43">
        <v>0.01</v>
      </c>
      <c r="Q128" s="42">
        <v>3.89</v>
      </c>
      <c r="R128" s="43">
        <v>0.01</v>
      </c>
      <c r="S128" s="42">
        <v>3.93</v>
      </c>
      <c r="T128" s="43">
        <v>0</v>
      </c>
      <c r="U128" s="42">
        <v>4.41</v>
      </c>
      <c r="V128" s="47">
        <v>-0.01</v>
      </c>
    </row>
    <row r="129" spans="2:22">
      <c r="B129" s="55">
        <v>44938</v>
      </c>
      <c r="C129" s="52">
        <v>3.18</v>
      </c>
      <c r="D129" s="43">
        <v>0.02</v>
      </c>
      <c r="E129" s="42">
        <v>3.23</v>
      </c>
      <c r="F129" s="43">
        <v>0</v>
      </c>
      <c r="G129" s="42">
        <v>3.27</v>
      </c>
      <c r="H129" s="43">
        <v>0</v>
      </c>
      <c r="I129" s="42">
        <v>3.3</v>
      </c>
      <c r="J129" s="43">
        <v>0</v>
      </c>
      <c r="K129" s="42">
        <v>3.56</v>
      </c>
      <c r="L129" s="43">
        <v>0</v>
      </c>
      <c r="M129" s="42">
        <v>3.87</v>
      </c>
      <c r="N129" s="43">
        <v>-0.01</v>
      </c>
      <c r="O129" s="42">
        <v>3.87</v>
      </c>
      <c r="P129" s="43">
        <v>-0.02</v>
      </c>
      <c r="Q129" s="42">
        <v>3.88</v>
      </c>
      <c r="R129" s="43">
        <v>-0.01</v>
      </c>
      <c r="S129" s="42">
        <v>3.93</v>
      </c>
      <c r="T129" s="43">
        <v>-0.01</v>
      </c>
      <c r="U129" s="42">
        <v>4.42</v>
      </c>
      <c r="V129" s="47">
        <v>-0.01</v>
      </c>
    </row>
    <row r="130" spans="2:22">
      <c r="B130" s="55">
        <v>44937</v>
      </c>
      <c r="C130" s="52">
        <v>3.16</v>
      </c>
      <c r="D130" s="43">
        <v>0</v>
      </c>
      <c r="E130" s="42">
        <v>3.23</v>
      </c>
      <c r="F130" s="43">
        <v>-0.01</v>
      </c>
      <c r="G130" s="42">
        <v>3.27</v>
      </c>
      <c r="H130" s="43">
        <v>-0.01</v>
      </c>
      <c r="I130" s="42">
        <v>3.3</v>
      </c>
      <c r="J130" s="43">
        <v>0</v>
      </c>
      <c r="K130" s="42">
        <v>3.56</v>
      </c>
      <c r="L130" s="43">
        <v>0</v>
      </c>
      <c r="M130" s="42">
        <v>3.88</v>
      </c>
      <c r="N130" s="43">
        <v>-0.02</v>
      </c>
      <c r="O130" s="42">
        <v>3.89</v>
      </c>
      <c r="P130" s="43">
        <v>-0.01</v>
      </c>
      <c r="Q130" s="42">
        <v>3.89</v>
      </c>
      <c r="R130" s="43">
        <v>-0.02</v>
      </c>
      <c r="S130" s="42">
        <v>3.94</v>
      </c>
      <c r="T130" s="43">
        <v>-0.02</v>
      </c>
      <c r="U130" s="42">
        <v>4.43</v>
      </c>
      <c r="V130" s="47">
        <v>-0.04</v>
      </c>
    </row>
    <row r="131" spans="2:22">
      <c r="B131" s="55">
        <v>44936</v>
      </c>
      <c r="C131" s="52">
        <v>3.16</v>
      </c>
      <c r="D131" s="43">
        <v>0</v>
      </c>
      <c r="E131" s="42">
        <v>3.24</v>
      </c>
      <c r="F131" s="43">
        <v>0</v>
      </c>
      <c r="G131" s="42">
        <v>3.28</v>
      </c>
      <c r="H131" s="43">
        <v>0</v>
      </c>
      <c r="I131" s="42">
        <v>3.3</v>
      </c>
      <c r="J131" s="43">
        <v>0</v>
      </c>
      <c r="K131" s="42">
        <v>3.56</v>
      </c>
      <c r="L131" s="43">
        <v>-0.01</v>
      </c>
      <c r="M131" s="42">
        <v>3.9</v>
      </c>
      <c r="N131" s="43">
        <v>-0.02</v>
      </c>
      <c r="O131" s="42">
        <v>3.9</v>
      </c>
      <c r="P131" s="43">
        <v>-0.02</v>
      </c>
      <c r="Q131" s="42">
        <v>3.91</v>
      </c>
      <c r="R131" s="43">
        <v>-0.02</v>
      </c>
      <c r="S131" s="42">
        <v>3.96</v>
      </c>
      <c r="T131" s="43">
        <v>-0.02</v>
      </c>
      <c r="U131" s="42">
        <v>4.47</v>
      </c>
      <c r="V131" s="47">
        <v>-0.02</v>
      </c>
    </row>
    <row r="132" spans="2:22">
      <c r="B132" s="55">
        <v>44935</v>
      </c>
      <c r="C132" s="52">
        <v>3.16</v>
      </c>
      <c r="D132" s="43">
        <v>-0.01</v>
      </c>
      <c r="E132" s="42">
        <v>3.24</v>
      </c>
      <c r="F132" s="43">
        <v>0</v>
      </c>
      <c r="G132" s="42">
        <v>3.28</v>
      </c>
      <c r="H132" s="43">
        <v>-0.01</v>
      </c>
      <c r="I132" s="42">
        <v>3.3</v>
      </c>
      <c r="J132" s="43">
        <v>-0.03</v>
      </c>
      <c r="K132" s="42">
        <v>3.57</v>
      </c>
      <c r="L132" s="43">
        <v>-0.02</v>
      </c>
      <c r="M132" s="42">
        <v>3.92</v>
      </c>
      <c r="N132" s="43">
        <v>0</v>
      </c>
      <c r="O132" s="42">
        <v>3.92</v>
      </c>
      <c r="P132" s="43">
        <v>0</v>
      </c>
      <c r="Q132" s="42">
        <v>3.93</v>
      </c>
      <c r="R132" s="43">
        <v>0</v>
      </c>
      <c r="S132" s="42">
        <v>3.98</v>
      </c>
      <c r="T132" s="43">
        <v>-0.04</v>
      </c>
      <c r="U132" s="42">
        <v>4.49</v>
      </c>
      <c r="V132" s="47">
        <v>-0.04</v>
      </c>
    </row>
    <row r="133" spans="2:22">
      <c r="B133" s="55">
        <v>44932</v>
      </c>
      <c r="C133" s="52">
        <v>3.17</v>
      </c>
      <c r="D133" s="43">
        <v>0</v>
      </c>
      <c r="E133" s="42">
        <v>3.24</v>
      </c>
      <c r="F133" s="43">
        <v>-0.02</v>
      </c>
      <c r="G133" s="42">
        <v>3.29</v>
      </c>
      <c r="H133" s="43">
        <v>-0.03</v>
      </c>
      <c r="I133" s="42">
        <v>3.33</v>
      </c>
      <c r="J133" s="43">
        <v>-0.05</v>
      </c>
      <c r="K133" s="42">
        <v>3.59</v>
      </c>
      <c r="L133" s="43">
        <v>-0.04</v>
      </c>
      <c r="M133" s="42">
        <v>3.92</v>
      </c>
      <c r="N133" s="43">
        <v>-0.04</v>
      </c>
      <c r="O133" s="42">
        <v>3.92</v>
      </c>
      <c r="P133" s="43">
        <v>-0.04</v>
      </c>
      <c r="Q133" s="42">
        <v>3.93</v>
      </c>
      <c r="R133" s="43">
        <v>-0.05</v>
      </c>
      <c r="S133" s="42">
        <v>4.0199999999999996</v>
      </c>
      <c r="T133" s="43">
        <v>-0.08</v>
      </c>
      <c r="U133" s="42">
        <v>4.53</v>
      </c>
      <c r="V133" s="47">
        <v>-0.03</v>
      </c>
    </row>
    <row r="134" spans="2:22">
      <c r="B134" s="55">
        <v>44931</v>
      </c>
      <c r="C134" s="52">
        <v>3.17</v>
      </c>
      <c r="D134" s="43">
        <v>-0.01</v>
      </c>
      <c r="E134" s="42">
        <v>3.26</v>
      </c>
      <c r="F134" s="43">
        <v>-0.02</v>
      </c>
      <c r="G134" s="42">
        <v>3.32</v>
      </c>
      <c r="H134" s="43">
        <v>-0.04</v>
      </c>
      <c r="I134" s="42">
        <v>3.38</v>
      </c>
      <c r="J134" s="43">
        <v>-0.05</v>
      </c>
      <c r="K134" s="42">
        <v>3.63</v>
      </c>
      <c r="L134" s="43">
        <v>-0.05</v>
      </c>
      <c r="M134" s="42">
        <v>3.96</v>
      </c>
      <c r="N134" s="43">
        <v>0</v>
      </c>
      <c r="O134" s="42">
        <v>3.96</v>
      </c>
      <c r="P134" s="43">
        <v>-0.01</v>
      </c>
      <c r="Q134" s="42">
        <v>3.98</v>
      </c>
      <c r="R134" s="43">
        <v>-0.04</v>
      </c>
      <c r="S134" s="42">
        <v>4.0999999999999996</v>
      </c>
      <c r="T134" s="43">
        <v>-0.11</v>
      </c>
      <c r="U134" s="42">
        <v>4.5599999999999996</v>
      </c>
      <c r="V134" s="47">
        <v>-7.0000000000000007E-2</v>
      </c>
    </row>
    <row r="135" spans="2:22">
      <c r="B135" s="55">
        <v>44930</v>
      </c>
      <c r="C135" s="52">
        <v>3.18</v>
      </c>
      <c r="D135" s="43">
        <v>0</v>
      </c>
      <c r="E135" s="42">
        <v>3.28</v>
      </c>
      <c r="F135" s="43">
        <v>0</v>
      </c>
      <c r="G135" s="42">
        <v>3.36</v>
      </c>
      <c r="H135" s="43">
        <v>0</v>
      </c>
      <c r="I135" s="42">
        <v>3.43</v>
      </c>
      <c r="J135" s="43">
        <v>0</v>
      </c>
      <c r="K135" s="42">
        <v>3.68</v>
      </c>
      <c r="L135" s="43">
        <v>0</v>
      </c>
      <c r="M135" s="42">
        <v>3.96</v>
      </c>
      <c r="N135" s="43">
        <v>0</v>
      </c>
      <c r="O135" s="42">
        <v>3.97</v>
      </c>
      <c r="P135" s="43">
        <v>0</v>
      </c>
      <c r="Q135" s="42">
        <v>4.0199999999999996</v>
      </c>
      <c r="R135" s="43">
        <v>-0.02</v>
      </c>
      <c r="S135" s="42">
        <v>4.21</v>
      </c>
      <c r="T135" s="43">
        <v>-0.04</v>
      </c>
      <c r="U135" s="42">
        <v>4.63</v>
      </c>
      <c r="V135" s="47">
        <v>-0.04</v>
      </c>
    </row>
    <row r="136" spans="2:22">
      <c r="B136" s="55">
        <v>44929</v>
      </c>
      <c r="C136" s="52">
        <v>3.18</v>
      </c>
      <c r="D136" s="43">
        <v>-0.01</v>
      </c>
      <c r="E136" s="42">
        <v>3.28</v>
      </c>
      <c r="F136" s="43">
        <v>0</v>
      </c>
      <c r="G136" s="42">
        <v>3.36</v>
      </c>
      <c r="H136" s="43">
        <v>0</v>
      </c>
      <c r="I136" s="42">
        <v>3.43</v>
      </c>
      <c r="J136" s="43">
        <v>-0.01</v>
      </c>
      <c r="K136" s="42">
        <v>3.68</v>
      </c>
      <c r="L136" s="43">
        <v>-0.02</v>
      </c>
      <c r="M136" s="42">
        <v>3.96</v>
      </c>
      <c r="N136" s="43">
        <v>-0.02</v>
      </c>
      <c r="O136" s="42">
        <v>3.97</v>
      </c>
      <c r="P136" s="43">
        <v>-0.02</v>
      </c>
      <c r="Q136" s="42">
        <v>4.04</v>
      </c>
      <c r="R136" s="43">
        <v>-0.05</v>
      </c>
      <c r="S136" s="42">
        <v>4.25</v>
      </c>
      <c r="T136" s="43">
        <v>-0.02</v>
      </c>
      <c r="U136" s="42">
        <v>4.67</v>
      </c>
      <c r="V136" s="47">
        <v>-0.03</v>
      </c>
    </row>
    <row r="137" spans="2:22">
      <c r="B137" s="55">
        <v>44928</v>
      </c>
      <c r="C137" s="52">
        <v>3.19</v>
      </c>
      <c r="D137" s="43">
        <v>-0.02</v>
      </c>
      <c r="E137" s="42">
        <v>3.28</v>
      </c>
      <c r="F137" s="43">
        <v>0</v>
      </c>
      <c r="G137" s="42">
        <v>3.36</v>
      </c>
      <c r="H137" s="43">
        <v>0</v>
      </c>
      <c r="I137" s="42">
        <v>3.44</v>
      </c>
      <c r="J137" s="43">
        <v>0</v>
      </c>
      <c r="K137" s="42">
        <v>3.7</v>
      </c>
      <c r="L137" s="43">
        <v>0</v>
      </c>
      <c r="M137" s="42">
        <v>3.98</v>
      </c>
      <c r="N137" s="43">
        <v>0</v>
      </c>
      <c r="O137" s="42">
        <v>3.99</v>
      </c>
      <c r="P137" s="43">
        <v>-0.03</v>
      </c>
      <c r="Q137" s="42">
        <v>4.09</v>
      </c>
      <c r="R137" s="43">
        <v>-0.06</v>
      </c>
      <c r="S137" s="42">
        <v>4.2699999999999996</v>
      </c>
      <c r="T137" s="43">
        <v>0</v>
      </c>
      <c r="U137" s="42">
        <v>4.7</v>
      </c>
      <c r="V137" s="47">
        <v>0.01</v>
      </c>
    </row>
    <row r="138" spans="2:22">
      <c r="B138" s="55">
        <v>44925</v>
      </c>
      <c r="C138" s="52">
        <v>3.21</v>
      </c>
      <c r="D138" s="43">
        <v>0.03</v>
      </c>
      <c r="E138" s="42">
        <v>3.28</v>
      </c>
      <c r="F138" s="43">
        <v>0</v>
      </c>
      <c r="G138" s="42">
        <v>3.36</v>
      </c>
      <c r="H138" s="43">
        <v>0</v>
      </c>
      <c r="I138" s="42">
        <v>3.44</v>
      </c>
      <c r="J138" s="43">
        <v>0</v>
      </c>
      <c r="K138" s="42">
        <v>3.7</v>
      </c>
      <c r="L138" s="43">
        <v>0</v>
      </c>
      <c r="M138" s="42">
        <v>3.98</v>
      </c>
      <c r="N138" s="43">
        <v>0</v>
      </c>
      <c r="O138" s="42">
        <v>4.0199999999999996</v>
      </c>
      <c r="P138" s="43">
        <v>0</v>
      </c>
      <c r="Q138" s="42">
        <v>4.1500000000000004</v>
      </c>
      <c r="R138" s="43">
        <v>0</v>
      </c>
      <c r="S138" s="42">
        <v>4.2699999999999996</v>
      </c>
      <c r="T138" s="43">
        <v>0</v>
      </c>
      <c r="U138" s="42">
        <v>4.6900000000000004</v>
      </c>
      <c r="V138" s="47">
        <v>0</v>
      </c>
    </row>
    <row r="139" spans="2:22">
      <c r="B139" s="55">
        <v>44924</v>
      </c>
      <c r="C139" s="52">
        <v>3.18</v>
      </c>
      <c r="D139" s="43">
        <v>0</v>
      </c>
      <c r="E139" s="42">
        <v>3.28</v>
      </c>
      <c r="F139" s="43">
        <v>0</v>
      </c>
      <c r="G139" s="42">
        <v>3.36</v>
      </c>
      <c r="H139" s="43">
        <v>0</v>
      </c>
      <c r="I139" s="42">
        <v>3.44</v>
      </c>
      <c r="J139" s="43">
        <v>0</v>
      </c>
      <c r="K139" s="42">
        <v>3.7</v>
      </c>
      <c r="L139" s="43">
        <v>0</v>
      </c>
      <c r="M139" s="42">
        <v>3.98</v>
      </c>
      <c r="N139" s="43">
        <v>0</v>
      </c>
      <c r="O139" s="42">
        <v>4.0199999999999996</v>
      </c>
      <c r="P139" s="43">
        <v>-0.01</v>
      </c>
      <c r="Q139" s="42">
        <v>4.1500000000000004</v>
      </c>
      <c r="R139" s="43">
        <v>-0.02</v>
      </c>
      <c r="S139" s="42">
        <v>4.2699999999999996</v>
      </c>
      <c r="T139" s="43">
        <v>0</v>
      </c>
      <c r="U139" s="42">
        <v>4.6900000000000004</v>
      </c>
      <c r="V139" s="47">
        <v>0</v>
      </c>
    </row>
    <row r="140" spans="2:22">
      <c r="B140" s="55">
        <v>44923</v>
      </c>
      <c r="C140" s="52">
        <v>3.18</v>
      </c>
      <c r="D140" s="43">
        <v>0</v>
      </c>
      <c r="E140" s="42">
        <v>3.28</v>
      </c>
      <c r="F140" s="43">
        <v>0</v>
      </c>
      <c r="G140" s="42">
        <v>3.36</v>
      </c>
      <c r="H140" s="43">
        <v>0</v>
      </c>
      <c r="I140" s="42">
        <v>3.44</v>
      </c>
      <c r="J140" s="43">
        <v>0</v>
      </c>
      <c r="K140" s="42">
        <v>3.7</v>
      </c>
      <c r="L140" s="43">
        <v>0</v>
      </c>
      <c r="M140" s="42">
        <v>3.98</v>
      </c>
      <c r="N140" s="43">
        <v>0</v>
      </c>
      <c r="O140" s="42">
        <v>4.03</v>
      </c>
      <c r="P140" s="43">
        <v>-0.04</v>
      </c>
      <c r="Q140" s="42">
        <v>4.17</v>
      </c>
      <c r="R140" s="43">
        <v>-0.06</v>
      </c>
      <c r="S140" s="42">
        <v>4.2699999999999996</v>
      </c>
      <c r="T140" s="43">
        <v>-0.02</v>
      </c>
      <c r="U140" s="42">
        <v>4.6900000000000004</v>
      </c>
      <c r="V140" s="47">
        <v>-0.01</v>
      </c>
    </row>
    <row r="141" spans="2:22">
      <c r="B141" s="55">
        <v>44922</v>
      </c>
      <c r="C141" s="52">
        <v>3.18</v>
      </c>
      <c r="D141" s="43">
        <v>0</v>
      </c>
      <c r="E141" s="42">
        <v>3.28</v>
      </c>
      <c r="F141" s="43">
        <v>-0.01</v>
      </c>
      <c r="G141" s="42">
        <v>3.36</v>
      </c>
      <c r="H141" s="43">
        <v>-0.01</v>
      </c>
      <c r="I141" s="42">
        <v>3.44</v>
      </c>
      <c r="J141" s="43">
        <v>-0.01</v>
      </c>
      <c r="K141" s="42">
        <v>3.7</v>
      </c>
      <c r="L141" s="43">
        <v>0</v>
      </c>
      <c r="M141" s="42">
        <v>3.98</v>
      </c>
      <c r="N141" s="43">
        <v>-0.05</v>
      </c>
      <c r="O141" s="42">
        <v>4.07</v>
      </c>
      <c r="P141" s="43">
        <v>-0.02</v>
      </c>
      <c r="Q141" s="42">
        <v>4.2300000000000004</v>
      </c>
      <c r="R141" s="43">
        <v>-0.02</v>
      </c>
      <c r="S141" s="42">
        <v>4.29</v>
      </c>
      <c r="T141" s="43">
        <v>-0.01</v>
      </c>
      <c r="U141" s="42">
        <v>4.7</v>
      </c>
      <c r="V141" s="47">
        <v>-0.01</v>
      </c>
    </row>
    <row r="142" spans="2:22">
      <c r="B142" s="55">
        <v>44921</v>
      </c>
      <c r="C142" s="52">
        <v>3.18</v>
      </c>
      <c r="D142" s="43">
        <v>0</v>
      </c>
      <c r="E142" s="42">
        <v>3.29</v>
      </c>
      <c r="F142" s="43">
        <v>0</v>
      </c>
      <c r="G142" s="42">
        <v>3.37</v>
      </c>
      <c r="H142" s="43">
        <v>0</v>
      </c>
      <c r="I142" s="42">
        <v>3.45</v>
      </c>
      <c r="J142" s="43">
        <v>0</v>
      </c>
      <c r="K142" s="42">
        <v>3.7</v>
      </c>
      <c r="L142" s="43">
        <v>0</v>
      </c>
      <c r="M142" s="42">
        <v>4.03</v>
      </c>
      <c r="N142" s="43">
        <v>0</v>
      </c>
      <c r="O142" s="42">
        <v>4.09</v>
      </c>
      <c r="P142" s="43">
        <v>-0.02</v>
      </c>
      <c r="Q142" s="42">
        <v>4.25</v>
      </c>
      <c r="R142" s="43">
        <v>0</v>
      </c>
      <c r="S142" s="42">
        <v>4.3</v>
      </c>
      <c r="T142" s="43">
        <v>0</v>
      </c>
      <c r="U142" s="42">
        <v>4.71</v>
      </c>
      <c r="V142" s="47">
        <v>0</v>
      </c>
    </row>
    <row r="143" spans="2:22">
      <c r="B143" s="55">
        <v>44918</v>
      </c>
      <c r="C143" s="52">
        <v>3.18</v>
      </c>
      <c r="D143" s="43">
        <v>0</v>
      </c>
      <c r="E143" s="42">
        <v>3.29</v>
      </c>
      <c r="F143" s="43">
        <v>0</v>
      </c>
      <c r="G143" s="42">
        <v>3.37</v>
      </c>
      <c r="H143" s="43">
        <v>0</v>
      </c>
      <c r="I143" s="42">
        <v>3.45</v>
      </c>
      <c r="J143" s="43">
        <v>0</v>
      </c>
      <c r="K143" s="42">
        <v>3.7</v>
      </c>
      <c r="L143" s="43">
        <v>0</v>
      </c>
      <c r="M143" s="42">
        <v>4.03</v>
      </c>
      <c r="N143" s="43">
        <v>0</v>
      </c>
      <c r="O143" s="42">
        <v>4.1100000000000003</v>
      </c>
      <c r="P143" s="43">
        <v>0</v>
      </c>
      <c r="Q143" s="42">
        <v>4.25</v>
      </c>
      <c r="R143" s="43">
        <v>0</v>
      </c>
      <c r="S143" s="42">
        <v>4.3</v>
      </c>
      <c r="T143" s="43">
        <v>0</v>
      </c>
      <c r="U143" s="42">
        <v>4.71</v>
      </c>
      <c r="V143" s="47">
        <v>0.01</v>
      </c>
    </row>
    <row r="144" spans="2:22">
      <c r="B144" s="55">
        <v>44917</v>
      </c>
      <c r="C144" s="52">
        <v>3.18</v>
      </c>
      <c r="D144" s="43">
        <v>0</v>
      </c>
      <c r="E144" s="42">
        <v>3.29</v>
      </c>
      <c r="F144" s="43">
        <v>0</v>
      </c>
      <c r="G144" s="42">
        <v>3.37</v>
      </c>
      <c r="H144" s="43">
        <v>0</v>
      </c>
      <c r="I144" s="42">
        <v>3.45</v>
      </c>
      <c r="J144" s="43">
        <v>0</v>
      </c>
      <c r="K144" s="42">
        <v>3.7</v>
      </c>
      <c r="L144" s="43">
        <v>0</v>
      </c>
      <c r="M144" s="42">
        <v>4.03</v>
      </c>
      <c r="N144" s="43">
        <v>0</v>
      </c>
      <c r="O144" s="42">
        <v>4.1100000000000003</v>
      </c>
      <c r="P144" s="43">
        <v>0</v>
      </c>
      <c r="Q144" s="42">
        <v>4.25</v>
      </c>
      <c r="R144" s="43">
        <v>0</v>
      </c>
      <c r="S144" s="42">
        <v>4.3</v>
      </c>
      <c r="T144" s="43">
        <v>-0.01</v>
      </c>
      <c r="U144" s="42">
        <v>4.7</v>
      </c>
      <c r="V144" s="47">
        <v>-0.01</v>
      </c>
    </row>
    <row r="145" spans="2:22">
      <c r="B145" s="55">
        <v>44916</v>
      </c>
      <c r="C145" s="52">
        <v>3.18</v>
      </c>
      <c r="D145" s="43">
        <v>0</v>
      </c>
      <c r="E145" s="42">
        <v>3.29</v>
      </c>
      <c r="F145" s="43">
        <v>0</v>
      </c>
      <c r="G145" s="42">
        <v>3.37</v>
      </c>
      <c r="H145" s="43">
        <v>0</v>
      </c>
      <c r="I145" s="42">
        <v>3.45</v>
      </c>
      <c r="J145" s="43">
        <v>0</v>
      </c>
      <c r="K145" s="42">
        <v>3.7</v>
      </c>
      <c r="L145" s="43">
        <v>0</v>
      </c>
      <c r="M145" s="42">
        <v>4.03</v>
      </c>
      <c r="N145" s="43">
        <v>0</v>
      </c>
      <c r="O145" s="42">
        <v>4.1100000000000003</v>
      </c>
      <c r="P145" s="43">
        <v>0</v>
      </c>
      <c r="Q145" s="42">
        <v>4.25</v>
      </c>
      <c r="R145" s="43">
        <v>-0.02</v>
      </c>
      <c r="S145" s="42">
        <v>4.3099999999999996</v>
      </c>
      <c r="T145" s="43">
        <v>-0.06</v>
      </c>
      <c r="U145" s="42">
        <v>4.71</v>
      </c>
      <c r="V145" s="47">
        <v>-0.05</v>
      </c>
    </row>
    <row r="146" spans="2:22">
      <c r="B146" s="55">
        <v>44915</v>
      </c>
      <c r="C146" s="52">
        <v>3.18</v>
      </c>
      <c r="D146" s="43">
        <v>-0.01</v>
      </c>
      <c r="E146" s="42">
        <v>3.29</v>
      </c>
      <c r="F146" s="43">
        <v>0</v>
      </c>
      <c r="G146" s="42">
        <v>3.37</v>
      </c>
      <c r="H146" s="43">
        <v>0</v>
      </c>
      <c r="I146" s="42">
        <v>3.45</v>
      </c>
      <c r="J146" s="43">
        <v>0</v>
      </c>
      <c r="K146" s="42">
        <v>3.7</v>
      </c>
      <c r="L146" s="43">
        <v>0</v>
      </c>
      <c r="M146" s="42">
        <v>4.03</v>
      </c>
      <c r="N146" s="43">
        <v>0</v>
      </c>
      <c r="O146" s="42">
        <v>4.1100000000000003</v>
      </c>
      <c r="P146" s="43">
        <v>-0.01</v>
      </c>
      <c r="Q146" s="42">
        <v>4.2699999999999996</v>
      </c>
      <c r="R146" s="43">
        <v>-0.02</v>
      </c>
      <c r="S146" s="42">
        <v>4.37</v>
      </c>
      <c r="T146" s="43">
        <v>-0.03</v>
      </c>
      <c r="U146" s="42">
        <v>4.76</v>
      </c>
      <c r="V146" s="47">
        <v>0</v>
      </c>
    </row>
    <row r="147" spans="2:22">
      <c r="B147" s="55">
        <v>44914</v>
      </c>
      <c r="C147" s="52">
        <v>3.19</v>
      </c>
      <c r="D147" s="43">
        <v>0</v>
      </c>
      <c r="E147" s="42">
        <v>3.29</v>
      </c>
      <c r="F147" s="43">
        <v>-0.01</v>
      </c>
      <c r="G147" s="42">
        <v>3.37</v>
      </c>
      <c r="H147" s="43">
        <v>0</v>
      </c>
      <c r="I147" s="42">
        <v>3.45</v>
      </c>
      <c r="J147" s="43">
        <v>0</v>
      </c>
      <c r="K147" s="42">
        <v>3.7</v>
      </c>
      <c r="L147" s="43">
        <v>0</v>
      </c>
      <c r="M147" s="42">
        <v>4.03</v>
      </c>
      <c r="N147" s="43">
        <v>0</v>
      </c>
      <c r="O147" s="42">
        <v>4.12</v>
      </c>
      <c r="P147" s="43">
        <v>0</v>
      </c>
      <c r="Q147" s="42">
        <v>4.29</v>
      </c>
      <c r="R147" s="43">
        <v>-0.02</v>
      </c>
      <c r="S147" s="42">
        <v>4.4000000000000004</v>
      </c>
      <c r="T147" s="43">
        <v>-0.1</v>
      </c>
      <c r="U147" s="42">
        <v>4.76</v>
      </c>
      <c r="V147" s="47">
        <v>-0.06</v>
      </c>
    </row>
    <row r="148" spans="2:22">
      <c r="B148" s="55">
        <v>44911</v>
      </c>
      <c r="C148" s="52">
        <v>3.19</v>
      </c>
      <c r="D148" s="43">
        <v>-0.01</v>
      </c>
      <c r="E148" s="42">
        <v>3.3</v>
      </c>
      <c r="F148" s="43">
        <v>0</v>
      </c>
      <c r="G148" s="42">
        <v>3.37</v>
      </c>
      <c r="H148" s="43">
        <v>0</v>
      </c>
      <c r="I148" s="42">
        <v>3.45</v>
      </c>
      <c r="J148" s="43">
        <v>0</v>
      </c>
      <c r="K148" s="42">
        <v>3.7</v>
      </c>
      <c r="L148" s="43">
        <v>0</v>
      </c>
      <c r="M148" s="42">
        <v>4.03</v>
      </c>
      <c r="N148" s="43">
        <v>0</v>
      </c>
      <c r="O148" s="42">
        <v>4.12</v>
      </c>
      <c r="P148" s="43">
        <v>-0.02</v>
      </c>
      <c r="Q148" s="42">
        <v>4.3099999999999996</v>
      </c>
      <c r="R148" s="43">
        <v>-0.02</v>
      </c>
      <c r="S148" s="42">
        <v>4.5</v>
      </c>
      <c r="T148" s="43">
        <v>-0.06</v>
      </c>
      <c r="U148" s="42">
        <v>4.82</v>
      </c>
      <c r="V148" s="47">
        <v>-0.04</v>
      </c>
    </row>
    <row r="149" spans="2:22">
      <c r="B149" s="55">
        <v>44910</v>
      </c>
      <c r="C149" s="52">
        <v>3.2</v>
      </c>
      <c r="D149" s="43">
        <v>-0.01</v>
      </c>
      <c r="E149" s="42">
        <v>3.3</v>
      </c>
      <c r="F149" s="43">
        <v>0.01</v>
      </c>
      <c r="G149" s="42">
        <v>3.37</v>
      </c>
      <c r="H149" s="43">
        <v>0</v>
      </c>
      <c r="I149" s="42">
        <v>3.45</v>
      </c>
      <c r="J149" s="43">
        <v>0</v>
      </c>
      <c r="K149" s="42">
        <v>3.7</v>
      </c>
      <c r="L149" s="43">
        <v>0</v>
      </c>
      <c r="M149" s="42">
        <v>4.03</v>
      </c>
      <c r="N149" s="43">
        <v>0</v>
      </c>
      <c r="O149" s="42">
        <v>4.1399999999999997</v>
      </c>
      <c r="P149" s="43">
        <v>-0.01</v>
      </c>
      <c r="Q149" s="42">
        <v>4.33</v>
      </c>
      <c r="R149" s="43">
        <v>-0.02</v>
      </c>
      <c r="S149" s="42">
        <v>4.5599999999999996</v>
      </c>
      <c r="T149" s="43">
        <v>-0.04</v>
      </c>
      <c r="U149" s="42">
        <v>4.8600000000000003</v>
      </c>
      <c r="V149" s="47">
        <v>-0.02</v>
      </c>
    </row>
    <row r="150" spans="2:22">
      <c r="B150" s="55">
        <v>44909</v>
      </c>
      <c r="C150" s="52">
        <v>3.21</v>
      </c>
      <c r="D150" s="43">
        <v>0.01</v>
      </c>
      <c r="E150" s="42">
        <v>3.29</v>
      </c>
      <c r="F150" s="43">
        <v>0</v>
      </c>
      <c r="G150" s="42">
        <v>3.37</v>
      </c>
      <c r="H150" s="43">
        <v>0.01</v>
      </c>
      <c r="I150" s="42">
        <v>3.45</v>
      </c>
      <c r="J150" s="43">
        <v>0.01</v>
      </c>
      <c r="K150" s="42">
        <v>3.7</v>
      </c>
      <c r="L150" s="43">
        <v>0</v>
      </c>
      <c r="M150" s="42">
        <v>4.03</v>
      </c>
      <c r="N150" s="43">
        <v>0</v>
      </c>
      <c r="O150" s="42">
        <v>4.1500000000000004</v>
      </c>
      <c r="P150" s="43">
        <v>-0.02</v>
      </c>
      <c r="Q150" s="42">
        <v>4.3499999999999996</v>
      </c>
      <c r="R150" s="43">
        <v>-0.05</v>
      </c>
      <c r="S150" s="42">
        <v>4.5999999999999996</v>
      </c>
      <c r="T150" s="43">
        <v>-0.06</v>
      </c>
      <c r="U150" s="42">
        <v>4.88</v>
      </c>
      <c r="V150" s="47">
        <v>-0.06</v>
      </c>
    </row>
    <row r="151" spans="2:22">
      <c r="B151" s="55">
        <v>44908</v>
      </c>
      <c r="C151" s="52">
        <v>3.2</v>
      </c>
      <c r="D151" s="43">
        <v>0</v>
      </c>
      <c r="E151" s="42">
        <v>3.29</v>
      </c>
      <c r="F151" s="43">
        <v>0</v>
      </c>
      <c r="G151" s="42">
        <v>3.36</v>
      </c>
      <c r="H151" s="43">
        <v>0</v>
      </c>
      <c r="I151" s="42">
        <v>3.44</v>
      </c>
      <c r="J151" s="43">
        <v>0</v>
      </c>
      <c r="K151" s="42">
        <v>3.7</v>
      </c>
      <c r="L151" s="43">
        <v>0</v>
      </c>
      <c r="M151" s="42">
        <v>4.03</v>
      </c>
      <c r="N151" s="43">
        <v>0</v>
      </c>
      <c r="O151" s="42">
        <v>4.17</v>
      </c>
      <c r="P151" s="43">
        <v>0</v>
      </c>
      <c r="Q151" s="42">
        <v>4.4000000000000004</v>
      </c>
      <c r="R151" s="43">
        <v>0</v>
      </c>
      <c r="S151" s="42">
        <v>4.66</v>
      </c>
      <c r="T151" s="43">
        <v>0</v>
      </c>
      <c r="U151" s="42">
        <v>4.9400000000000004</v>
      </c>
      <c r="V151" s="47">
        <v>0</v>
      </c>
    </row>
    <row r="152" spans="2:22">
      <c r="B152" s="55">
        <v>44907</v>
      </c>
      <c r="C152" s="52">
        <v>3.2</v>
      </c>
      <c r="D152" s="43">
        <v>0</v>
      </c>
      <c r="E152" s="42">
        <v>3.29</v>
      </c>
      <c r="F152" s="43">
        <v>0</v>
      </c>
      <c r="G152" s="42">
        <v>3.36</v>
      </c>
      <c r="H152" s="43">
        <v>0</v>
      </c>
      <c r="I152" s="42">
        <v>3.44</v>
      </c>
      <c r="J152" s="43">
        <v>0</v>
      </c>
      <c r="K152" s="42">
        <v>3.7</v>
      </c>
      <c r="L152" s="43">
        <v>0</v>
      </c>
      <c r="M152" s="42">
        <v>4.03</v>
      </c>
      <c r="N152" s="43">
        <v>0</v>
      </c>
      <c r="O152" s="42">
        <v>4.17</v>
      </c>
      <c r="P152" s="43">
        <v>0</v>
      </c>
      <c r="Q152" s="42">
        <v>4.4000000000000004</v>
      </c>
      <c r="R152" s="43">
        <v>0</v>
      </c>
      <c r="S152" s="42">
        <v>4.66</v>
      </c>
      <c r="T152" s="43">
        <v>-0.01</v>
      </c>
      <c r="U152" s="42">
        <v>4.9400000000000004</v>
      </c>
      <c r="V152" s="47">
        <v>-0.01</v>
      </c>
    </row>
    <row r="153" spans="2:22">
      <c r="B153" s="55">
        <v>44904</v>
      </c>
      <c r="C153" s="52">
        <v>3.2</v>
      </c>
      <c r="D153" s="43">
        <v>0.01</v>
      </c>
      <c r="E153" s="42">
        <v>3.29</v>
      </c>
      <c r="F153" s="43">
        <v>0</v>
      </c>
      <c r="G153" s="42">
        <v>3.36</v>
      </c>
      <c r="H153" s="43">
        <v>0</v>
      </c>
      <c r="I153" s="42">
        <v>3.44</v>
      </c>
      <c r="J153" s="43">
        <v>0</v>
      </c>
      <c r="K153" s="42">
        <v>3.7</v>
      </c>
      <c r="L153" s="43">
        <v>0.01</v>
      </c>
      <c r="M153" s="42">
        <v>4.03</v>
      </c>
      <c r="N153" s="43">
        <v>0</v>
      </c>
      <c r="O153" s="42">
        <v>4.17</v>
      </c>
      <c r="P153" s="43">
        <v>-0.01</v>
      </c>
      <c r="Q153" s="42">
        <v>4.4000000000000004</v>
      </c>
      <c r="R153" s="43">
        <v>0</v>
      </c>
      <c r="S153" s="42">
        <v>4.67</v>
      </c>
      <c r="T153" s="43">
        <v>-0.02</v>
      </c>
      <c r="U153" s="42">
        <v>4.95</v>
      </c>
      <c r="V153" s="47">
        <v>-0.02</v>
      </c>
    </row>
    <row r="154" spans="2:22">
      <c r="B154" s="55">
        <v>44903</v>
      </c>
      <c r="C154" s="52">
        <v>3.19</v>
      </c>
      <c r="D154" s="43">
        <v>0.04</v>
      </c>
      <c r="E154" s="42">
        <v>3.29</v>
      </c>
      <c r="F154" s="43">
        <v>0</v>
      </c>
      <c r="G154" s="42">
        <v>3.36</v>
      </c>
      <c r="H154" s="43">
        <v>0</v>
      </c>
      <c r="I154" s="42">
        <v>3.44</v>
      </c>
      <c r="J154" s="43">
        <v>0</v>
      </c>
      <c r="K154" s="42">
        <v>3.69</v>
      </c>
      <c r="L154" s="43">
        <v>0</v>
      </c>
      <c r="M154" s="42">
        <v>4.03</v>
      </c>
      <c r="N154" s="43">
        <v>0</v>
      </c>
      <c r="O154" s="42">
        <v>4.18</v>
      </c>
      <c r="P154" s="43">
        <v>0</v>
      </c>
      <c r="Q154" s="42">
        <v>4.4000000000000004</v>
      </c>
      <c r="R154" s="43">
        <v>0</v>
      </c>
      <c r="S154" s="42">
        <v>4.6900000000000004</v>
      </c>
      <c r="T154" s="43">
        <v>-0.01</v>
      </c>
      <c r="U154" s="42">
        <v>4.97</v>
      </c>
      <c r="V154" s="47">
        <v>-0.01</v>
      </c>
    </row>
    <row r="155" spans="2:22">
      <c r="B155" s="55">
        <v>44902</v>
      </c>
      <c r="C155" s="52">
        <v>3.15</v>
      </c>
      <c r="D155" s="43">
        <v>0</v>
      </c>
      <c r="E155" s="42">
        <v>3.29</v>
      </c>
      <c r="F155" s="43">
        <v>0</v>
      </c>
      <c r="G155" s="42">
        <v>3.36</v>
      </c>
      <c r="H155" s="43">
        <v>0</v>
      </c>
      <c r="I155" s="42">
        <v>3.44</v>
      </c>
      <c r="J155" s="43">
        <v>0</v>
      </c>
      <c r="K155" s="42">
        <v>3.69</v>
      </c>
      <c r="L155" s="43">
        <v>0</v>
      </c>
      <c r="M155" s="42">
        <v>4.03</v>
      </c>
      <c r="N155" s="43">
        <v>0</v>
      </c>
      <c r="O155" s="42">
        <v>4.18</v>
      </c>
      <c r="P155" s="43">
        <v>0</v>
      </c>
      <c r="Q155" s="42">
        <v>4.4000000000000004</v>
      </c>
      <c r="R155" s="43">
        <v>0</v>
      </c>
      <c r="S155" s="42">
        <v>4.7</v>
      </c>
      <c r="T155" s="43">
        <v>-0.01</v>
      </c>
      <c r="U155" s="42">
        <v>4.9800000000000004</v>
      </c>
      <c r="V155" s="47">
        <v>0</v>
      </c>
    </row>
    <row r="156" spans="2:22">
      <c r="B156" s="55">
        <v>44901</v>
      </c>
      <c r="C156" s="52">
        <v>3.15</v>
      </c>
      <c r="D156" s="43">
        <v>0</v>
      </c>
      <c r="E156" s="42">
        <v>3.29</v>
      </c>
      <c r="F156" s="43">
        <v>0</v>
      </c>
      <c r="G156" s="42">
        <v>3.36</v>
      </c>
      <c r="H156" s="43">
        <v>0</v>
      </c>
      <c r="I156" s="42">
        <v>3.44</v>
      </c>
      <c r="J156" s="43">
        <v>0</v>
      </c>
      <c r="K156" s="42">
        <v>3.69</v>
      </c>
      <c r="L156" s="43">
        <v>0</v>
      </c>
      <c r="M156" s="42">
        <v>4.03</v>
      </c>
      <c r="N156" s="43">
        <v>0</v>
      </c>
      <c r="O156" s="42">
        <v>4.18</v>
      </c>
      <c r="P156" s="43">
        <v>-0.01</v>
      </c>
      <c r="Q156" s="42">
        <v>4.4000000000000004</v>
      </c>
      <c r="R156" s="43">
        <v>0</v>
      </c>
      <c r="S156" s="42">
        <v>4.71</v>
      </c>
      <c r="T156" s="43">
        <v>-0.1</v>
      </c>
      <c r="U156" s="42">
        <v>4.9800000000000004</v>
      </c>
      <c r="V156" s="47">
        <v>-0.06</v>
      </c>
    </row>
    <row r="157" spans="2:22">
      <c r="B157" s="55">
        <v>44900</v>
      </c>
      <c r="C157" s="52">
        <v>3.15</v>
      </c>
      <c r="D157" s="43">
        <v>-0.01</v>
      </c>
      <c r="E157" s="42">
        <v>3.29</v>
      </c>
      <c r="F157" s="43">
        <v>0</v>
      </c>
      <c r="G157" s="42">
        <v>3.36</v>
      </c>
      <c r="H157" s="43">
        <v>0</v>
      </c>
      <c r="I157" s="42">
        <v>3.44</v>
      </c>
      <c r="J157" s="43">
        <v>0</v>
      </c>
      <c r="K157" s="42">
        <v>3.69</v>
      </c>
      <c r="L157" s="43">
        <v>0</v>
      </c>
      <c r="M157" s="42">
        <v>4.03</v>
      </c>
      <c r="N157" s="43">
        <v>0</v>
      </c>
      <c r="O157" s="42">
        <v>4.1900000000000004</v>
      </c>
      <c r="P157" s="43">
        <v>0.01</v>
      </c>
      <c r="Q157" s="42">
        <v>4.4000000000000004</v>
      </c>
      <c r="R157" s="43">
        <v>0</v>
      </c>
      <c r="S157" s="42">
        <v>4.8099999999999996</v>
      </c>
      <c r="T157" s="43">
        <v>-0.09</v>
      </c>
      <c r="U157" s="42">
        <v>5.04</v>
      </c>
      <c r="V157" s="47">
        <v>-0.06</v>
      </c>
    </row>
    <row r="158" spans="2:22">
      <c r="B158" s="55">
        <v>44897</v>
      </c>
      <c r="C158" s="52">
        <v>3.16</v>
      </c>
      <c r="D158" s="43">
        <v>-0.03</v>
      </c>
      <c r="E158" s="42">
        <v>3.29</v>
      </c>
      <c r="F158" s="43">
        <v>-0.01</v>
      </c>
      <c r="G158" s="42">
        <v>3.36</v>
      </c>
      <c r="H158" s="43">
        <v>0</v>
      </c>
      <c r="I158" s="42">
        <v>3.44</v>
      </c>
      <c r="J158" s="43">
        <v>0</v>
      </c>
      <c r="K158" s="42">
        <v>3.69</v>
      </c>
      <c r="L158" s="43">
        <v>0</v>
      </c>
      <c r="M158" s="42">
        <v>4.03</v>
      </c>
      <c r="N158" s="43">
        <v>0</v>
      </c>
      <c r="O158" s="42">
        <v>4.18</v>
      </c>
      <c r="P158" s="43">
        <v>-0.01</v>
      </c>
      <c r="Q158" s="42">
        <v>4.4000000000000004</v>
      </c>
      <c r="R158" s="43">
        <v>-0.01</v>
      </c>
      <c r="S158" s="42">
        <v>4.9000000000000004</v>
      </c>
      <c r="T158" s="43">
        <v>-7.0000000000000007E-2</v>
      </c>
      <c r="U158" s="42">
        <v>5.0999999999999996</v>
      </c>
      <c r="V158" s="47">
        <v>-0.05</v>
      </c>
    </row>
    <row r="159" spans="2:22">
      <c r="B159" s="55">
        <v>44896</v>
      </c>
      <c r="C159" s="52">
        <v>3.19</v>
      </c>
      <c r="D159" s="43">
        <v>0</v>
      </c>
      <c r="E159" s="42">
        <v>3.3</v>
      </c>
      <c r="F159" s="43">
        <v>0</v>
      </c>
      <c r="G159" s="42">
        <v>3.36</v>
      </c>
      <c r="H159" s="43">
        <v>0</v>
      </c>
      <c r="I159" s="42">
        <v>3.44</v>
      </c>
      <c r="J159" s="43">
        <v>-0.01</v>
      </c>
      <c r="K159" s="42">
        <v>3.69</v>
      </c>
      <c r="L159" s="43">
        <v>0</v>
      </c>
      <c r="M159" s="42">
        <v>4.03</v>
      </c>
      <c r="N159" s="43">
        <v>0</v>
      </c>
      <c r="O159" s="42">
        <v>4.1900000000000004</v>
      </c>
      <c r="P159" s="43">
        <v>0</v>
      </c>
      <c r="Q159" s="42">
        <v>4.41</v>
      </c>
      <c r="R159" s="43">
        <v>0</v>
      </c>
      <c r="S159" s="42">
        <v>4.97</v>
      </c>
      <c r="T159" s="43">
        <v>-0.01</v>
      </c>
      <c r="U159" s="42">
        <v>5.15</v>
      </c>
      <c r="V159" s="47">
        <v>-0.01</v>
      </c>
    </row>
    <row r="160" spans="2:22">
      <c r="B160" s="55">
        <v>44895</v>
      </c>
      <c r="C160" s="52">
        <v>3.19</v>
      </c>
      <c r="D160" s="43">
        <v>-0.01</v>
      </c>
      <c r="E160" s="42">
        <v>3.3</v>
      </c>
      <c r="F160" s="43">
        <v>0</v>
      </c>
      <c r="G160" s="42">
        <v>3.36</v>
      </c>
      <c r="H160" s="43">
        <v>0</v>
      </c>
      <c r="I160" s="42">
        <v>3.45</v>
      </c>
      <c r="J160" s="43">
        <v>0</v>
      </c>
      <c r="K160" s="42">
        <v>3.69</v>
      </c>
      <c r="L160" s="43">
        <v>0</v>
      </c>
      <c r="M160" s="42">
        <v>4.03</v>
      </c>
      <c r="N160" s="43">
        <v>0</v>
      </c>
      <c r="O160" s="42">
        <v>4.1900000000000004</v>
      </c>
      <c r="P160" s="43">
        <v>0</v>
      </c>
      <c r="Q160" s="42">
        <v>4.41</v>
      </c>
      <c r="R160" s="43">
        <v>0</v>
      </c>
      <c r="S160" s="42">
        <v>4.9800000000000004</v>
      </c>
      <c r="T160" s="43">
        <v>0</v>
      </c>
      <c r="U160" s="42">
        <v>5.16</v>
      </c>
      <c r="V160" s="47">
        <v>0</v>
      </c>
    </row>
    <row r="161" spans="2:22">
      <c r="B161" s="55">
        <v>44894</v>
      </c>
      <c r="C161" s="52">
        <v>3.2</v>
      </c>
      <c r="D161" s="43">
        <v>0</v>
      </c>
      <c r="E161" s="42">
        <v>3.3</v>
      </c>
      <c r="F161" s="43">
        <v>0</v>
      </c>
      <c r="G161" s="42">
        <v>3.36</v>
      </c>
      <c r="H161" s="43">
        <v>-0.01</v>
      </c>
      <c r="I161" s="42">
        <v>3.45</v>
      </c>
      <c r="J161" s="43">
        <v>0</v>
      </c>
      <c r="K161" s="42">
        <v>3.69</v>
      </c>
      <c r="L161" s="43">
        <v>0</v>
      </c>
      <c r="M161" s="42">
        <v>4.03</v>
      </c>
      <c r="N161" s="43">
        <v>0</v>
      </c>
      <c r="O161" s="42">
        <v>4.1900000000000004</v>
      </c>
      <c r="P161" s="43">
        <v>0</v>
      </c>
      <c r="Q161" s="42">
        <v>4.41</v>
      </c>
      <c r="R161" s="43">
        <v>0</v>
      </c>
      <c r="S161" s="42">
        <v>4.9800000000000004</v>
      </c>
      <c r="T161" s="43">
        <v>0</v>
      </c>
      <c r="U161" s="42">
        <v>5.16</v>
      </c>
      <c r="V161" s="47">
        <v>0.01</v>
      </c>
    </row>
    <row r="162" spans="2:22">
      <c r="B162" s="55">
        <v>44893</v>
      </c>
      <c r="C162" s="52">
        <v>3.2</v>
      </c>
      <c r="D162" s="43">
        <v>-0.01</v>
      </c>
      <c r="E162" s="42">
        <v>3.3</v>
      </c>
      <c r="F162" s="43">
        <v>0</v>
      </c>
      <c r="G162" s="42">
        <v>3.37</v>
      </c>
      <c r="H162" s="43">
        <v>0</v>
      </c>
      <c r="I162" s="42">
        <v>3.45</v>
      </c>
      <c r="J162" s="43">
        <v>0</v>
      </c>
      <c r="K162" s="42">
        <v>3.69</v>
      </c>
      <c r="L162" s="43">
        <v>0</v>
      </c>
      <c r="M162" s="42">
        <v>4.03</v>
      </c>
      <c r="N162" s="43">
        <v>0</v>
      </c>
      <c r="O162" s="42">
        <v>4.1900000000000004</v>
      </c>
      <c r="P162" s="43">
        <v>0</v>
      </c>
      <c r="Q162" s="42">
        <v>4.41</v>
      </c>
      <c r="R162" s="43">
        <v>0</v>
      </c>
      <c r="S162" s="42">
        <v>4.9800000000000004</v>
      </c>
      <c r="T162" s="43">
        <v>0</v>
      </c>
      <c r="U162" s="42">
        <v>5.15</v>
      </c>
      <c r="V162" s="47">
        <v>0</v>
      </c>
    </row>
    <row r="163" spans="2:22">
      <c r="B163" s="55">
        <v>44890</v>
      </c>
      <c r="C163" s="52">
        <v>3.21</v>
      </c>
      <c r="D163" s="43">
        <v>-0.01</v>
      </c>
      <c r="E163" s="42">
        <v>3.3</v>
      </c>
      <c r="F163" s="43">
        <v>0</v>
      </c>
      <c r="G163" s="42">
        <v>3.37</v>
      </c>
      <c r="H163" s="43">
        <v>0.01</v>
      </c>
      <c r="I163" s="42">
        <v>3.45</v>
      </c>
      <c r="J163" s="43">
        <v>0</v>
      </c>
      <c r="K163" s="42">
        <v>3.69</v>
      </c>
      <c r="L163" s="43">
        <v>0</v>
      </c>
      <c r="M163" s="42">
        <v>4.03</v>
      </c>
      <c r="N163" s="43">
        <v>0</v>
      </c>
      <c r="O163" s="42">
        <v>4.1900000000000004</v>
      </c>
      <c r="P163" s="43">
        <v>0</v>
      </c>
      <c r="Q163" s="42">
        <v>4.41</v>
      </c>
      <c r="R163" s="43">
        <v>0.01</v>
      </c>
      <c r="S163" s="42">
        <v>4.9800000000000004</v>
      </c>
      <c r="T163" s="43">
        <v>0</v>
      </c>
      <c r="U163" s="42">
        <v>5.15</v>
      </c>
      <c r="V163" s="47">
        <v>-0.01</v>
      </c>
    </row>
    <row r="164" spans="2:22">
      <c r="B164" s="55">
        <v>44889</v>
      </c>
      <c r="C164" s="52">
        <v>3.22</v>
      </c>
      <c r="D164" s="43">
        <v>0.19</v>
      </c>
      <c r="E164" s="42">
        <v>3.3</v>
      </c>
      <c r="F164" s="43">
        <v>0.14000000000000001</v>
      </c>
      <c r="G164" s="42">
        <v>3.36</v>
      </c>
      <c r="H164" s="43">
        <v>0.1</v>
      </c>
      <c r="I164" s="42">
        <v>3.45</v>
      </c>
      <c r="J164" s="43">
        <v>0.02</v>
      </c>
      <c r="K164" s="42">
        <v>3.69</v>
      </c>
      <c r="L164" s="43">
        <v>0.02</v>
      </c>
      <c r="M164" s="42">
        <v>4.03</v>
      </c>
      <c r="N164" s="43">
        <v>0.01</v>
      </c>
      <c r="O164" s="42">
        <v>4.1900000000000004</v>
      </c>
      <c r="P164" s="43">
        <v>0.01</v>
      </c>
      <c r="Q164" s="42">
        <v>4.4000000000000004</v>
      </c>
      <c r="R164" s="43">
        <v>0.01</v>
      </c>
      <c r="S164" s="42">
        <v>4.9800000000000004</v>
      </c>
      <c r="T164" s="43">
        <v>0</v>
      </c>
      <c r="U164" s="42">
        <v>5.16</v>
      </c>
      <c r="V164" s="47">
        <v>0.01</v>
      </c>
    </row>
    <row r="165" spans="2:22">
      <c r="B165" s="55">
        <v>44888</v>
      </c>
      <c r="C165" s="52">
        <v>3.03</v>
      </c>
      <c r="D165" s="43">
        <v>0</v>
      </c>
      <c r="E165" s="42">
        <v>3.16</v>
      </c>
      <c r="F165" s="43">
        <v>0</v>
      </c>
      <c r="G165" s="42">
        <v>3.26</v>
      </c>
      <c r="H165" s="43">
        <v>0</v>
      </c>
      <c r="I165" s="42">
        <v>3.43</v>
      </c>
      <c r="J165" s="43">
        <v>-0.01</v>
      </c>
      <c r="K165" s="42">
        <v>3.67</v>
      </c>
      <c r="L165" s="43">
        <v>0</v>
      </c>
      <c r="M165" s="42">
        <v>4.0199999999999996</v>
      </c>
      <c r="N165" s="43">
        <v>0</v>
      </c>
      <c r="O165" s="42">
        <v>4.18</v>
      </c>
      <c r="P165" s="43">
        <v>0</v>
      </c>
      <c r="Q165" s="42">
        <v>4.3899999999999997</v>
      </c>
      <c r="R165" s="43">
        <v>0</v>
      </c>
      <c r="S165" s="42">
        <v>4.9800000000000004</v>
      </c>
      <c r="T165" s="43">
        <v>0.01</v>
      </c>
      <c r="U165" s="42">
        <v>5.15</v>
      </c>
      <c r="V165" s="47">
        <v>-0.01</v>
      </c>
    </row>
    <row r="166" spans="2:22">
      <c r="B166" s="55">
        <v>44887</v>
      </c>
      <c r="C166" s="52">
        <v>3.03</v>
      </c>
      <c r="D166" s="43">
        <v>0.01</v>
      </c>
      <c r="E166" s="42">
        <v>3.16</v>
      </c>
      <c r="F166" s="43">
        <v>0.01</v>
      </c>
      <c r="G166" s="42">
        <v>3.26</v>
      </c>
      <c r="H166" s="43">
        <v>0.01</v>
      </c>
      <c r="I166" s="42">
        <v>3.44</v>
      </c>
      <c r="J166" s="43">
        <v>0.01</v>
      </c>
      <c r="K166" s="42">
        <v>3.67</v>
      </c>
      <c r="L166" s="43">
        <v>0.01</v>
      </c>
      <c r="M166" s="42">
        <v>4.0199999999999996</v>
      </c>
      <c r="N166" s="43">
        <v>0.01</v>
      </c>
      <c r="O166" s="42">
        <v>4.18</v>
      </c>
      <c r="P166" s="43">
        <v>0.01</v>
      </c>
      <c r="Q166" s="42">
        <v>4.3899999999999997</v>
      </c>
      <c r="R166" s="43">
        <v>0.01</v>
      </c>
      <c r="S166" s="42">
        <v>4.97</v>
      </c>
      <c r="T166" s="43">
        <v>0.01</v>
      </c>
      <c r="U166" s="42">
        <v>5.16</v>
      </c>
      <c r="V166" s="47">
        <v>0.01</v>
      </c>
    </row>
    <row r="167" spans="2:22">
      <c r="B167" s="55">
        <v>44886</v>
      </c>
      <c r="C167" s="52">
        <v>3.02</v>
      </c>
      <c r="D167" s="43">
        <v>0</v>
      </c>
      <c r="E167" s="42">
        <v>3.15</v>
      </c>
      <c r="F167" s="43">
        <v>0.01</v>
      </c>
      <c r="G167" s="42">
        <v>3.25</v>
      </c>
      <c r="H167" s="43">
        <v>0</v>
      </c>
      <c r="I167" s="42">
        <v>3.43</v>
      </c>
      <c r="J167" s="43">
        <v>0.01</v>
      </c>
      <c r="K167" s="42">
        <v>3.66</v>
      </c>
      <c r="L167" s="43">
        <v>0.01</v>
      </c>
      <c r="M167" s="42">
        <v>4.01</v>
      </c>
      <c r="N167" s="43">
        <v>0.02</v>
      </c>
      <c r="O167" s="42">
        <v>4.17</v>
      </c>
      <c r="P167" s="43">
        <v>0.02</v>
      </c>
      <c r="Q167" s="42">
        <v>4.38</v>
      </c>
      <c r="R167" s="43">
        <v>0</v>
      </c>
      <c r="S167" s="42">
        <v>4.96</v>
      </c>
      <c r="T167" s="43">
        <v>0</v>
      </c>
      <c r="U167" s="42">
        <v>5.15</v>
      </c>
      <c r="V167" s="47">
        <v>0.01</v>
      </c>
    </row>
    <row r="168" spans="2:22">
      <c r="B168" s="55">
        <v>44883</v>
      </c>
      <c r="C168" s="52">
        <v>3.02</v>
      </c>
      <c r="D168" s="43">
        <v>0</v>
      </c>
      <c r="E168" s="42">
        <v>3.14</v>
      </c>
      <c r="F168" s="43">
        <v>0</v>
      </c>
      <c r="G168" s="42">
        <v>3.25</v>
      </c>
      <c r="H168" s="43">
        <v>0</v>
      </c>
      <c r="I168" s="42">
        <v>3.42</v>
      </c>
      <c r="J168" s="43">
        <v>0</v>
      </c>
      <c r="K168" s="42">
        <v>3.65</v>
      </c>
      <c r="L168" s="43">
        <v>0</v>
      </c>
      <c r="M168" s="42">
        <v>3.99</v>
      </c>
      <c r="N168" s="43">
        <v>0</v>
      </c>
      <c r="O168" s="42">
        <v>4.1500000000000004</v>
      </c>
      <c r="P168" s="43">
        <v>0</v>
      </c>
      <c r="Q168" s="42">
        <v>4.38</v>
      </c>
      <c r="R168" s="43">
        <v>0.01</v>
      </c>
      <c r="S168" s="42">
        <v>4.96</v>
      </c>
      <c r="T168" s="43">
        <v>0.01</v>
      </c>
      <c r="U168" s="42">
        <v>5.14</v>
      </c>
      <c r="V168" s="47">
        <v>0.01</v>
      </c>
    </row>
    <row r="169" spans="2:22">
      <c r="B169" s="55">
        <v>44882</v>
      </c>
      <c r="C169" s="52">
        <v>3.02</v>
      </c>
      <c r="D169" s="43">
        <v>0</v>
      </c>
      <c r="E169" s="42">
        <v>3.14</v>
      </c>
      <c r="F169" s="43">
        <v>0</v>
      </c>
      <c r="G169" s="42">
        <v>3.25</v>
      </c>
      <c r="H169" s="43">
        <v>0</v>
      </c>
      <c r="I169" s="42">
        <v>3.42</v>
      </c>
      <c r="J169" s="43">
        <v>0</v>
      </c>
      <c r="K169" s="42">
        <v>3.65</v>
      </c>
      <c r="L169" s="43">
        <v>0.01</v>
      </c>
      <c r="M169" s="42">
        <v>3.99</v>
      </c>
      <c r="N169" s="43">
        <v>0.02</v>
      </c>
      <c r="O169" s="42">
        <v>4.1500000000000004</v>
      </c>
      <c r="P169" s="43">
        <v>0.01</v>
      </c>
      <c r="Q169" s="42">
        <v>4.37</v>
      </c>
      <c r="R169" s="43">
        <v>0</v>
      </c>
      <c r="S169" s="42">
        <v>4.95</v>
      </c>
      <c r="T169" s="43">
        <v>0</v>
      </c>
      <c r="U169" s="42">
        <v>5.13</v>
      </c>
      <c r="V169" s="47">
        <v>0</v>
      </c>
    </row>
    <row r="170" spans="2:22">
      <c r="B170" s="55">
        <v>44881</v>
      </c>
      <c r="C170" s="52">
        <v>3.02</v>
      </c>
      <c r="D170" s="43">
        <v>0</v>
      </c>
      <c r="E170" s="42">
        <v>3.14</v>
      </c>
      <c r="F170" s="43">
        <v>0</v>
      </c>
      <c r="G170" s="42">
        <v>3.25</v>
      </c>
      <c r="H170" s="43">
        <v>0</v>
      </c>
      <c r="I170" s="42">
        <v>3.42</v>
      </c>
      <c r="J170" s="43">
        <v>0</v>
      </c>
      <c r="K170" s="42">
        <v>3.64</v>
      </c>
      <c r="L170" s="43">
        <v>0</v>
      </c>
      <c r="M170" s="42">
        <v>3.97</v>
      </c>
      <c r="N170" s="43">
        <v>0</v>
      </c>
      <c r="O170" s="42">
        <v>4.1399999999999997</v>
      </c>
      <c r="P170" s="43">
        <v>0</v>
      </c>
      <c r="Q170" s="42">
        <v>4.37</v>
      </c>
      <c r="R170" s="43">
        <v>0</v>
      </c>
      <c r="S170" s="42">
        <v>4.95</v>
      </c>
      <c r="T170" s="43">
        <v>0.01</v>
      </c>
      <c r="U170" s="42">
        <v>5.13</v>
      </c>
      <c r="V170" s="47">
        <v>0.01</v>
      </c>
    </row>
    <row r="171" spans="2:22">
      <c r="B171" s="55">
        <v>44880</v>
      </c>
      <c r="C171" s="52">
        <v>3.02</v>
      </c>
      <c r="D171" s="43">
        <v>0</v>
      </c>
      <c r="E171" s="42">
        <v>3.14</v>
      </c>
      <c r="F171" s="43">
        <v>0</v>
      </c>
      <c r="G171" s="42">
        <v>3.25</v>
      </c>
      <c r="H171" s="43">
        <v>0</v>
      </c>
      <c r="I171" s="42">
        <v>3.42</v>
      </c>
      <c r="J171" s="43">
        <v>0</v>
      </c>
      <c r="K171" s="42">
        <v>3.64</v>
      </c>
      <c r="L171" s="43">
        <v>0</v>
      </c>
      <c r="M171" s="42">
        <v>3.97</v>
      </c>
      <c r="N171" s="43">
        <v>0</v>
      </c>
      <c r="O171" s="42">
        <v>4.1399999999999997</v>
      </c>
      <c r="P171" s="43">
        <v>0.01</v>
      </c>
      <c r="Q171" s="42">
        <v>4.37</v>
      </c>
      <c r="R171" s="43">
        <v>0.01</v>
      </c>
      <c r="S171" s="42">
        <v>4.9400000000000004</v>
      </c>
      <c r="T171" s="43">
        <v>0</v>
      </c>
      <c r="U171" s="42">
        <v>5.12</v>
      </c>
      <c r="V171" s="47">
        <v>-0.01</v>
      </c>
    </row>
    <row r="172" spans="2:22">
      <c r="B172" s="55">
        <v>44879</v>
      </c>
      <c r="C172" s="52">
        <v>3.02</v>
      </c>
      <c r="D172" s="43">
        <v>0</v>
      </c>
      <c r="E172" s="42">
        <v>3.14</v>
      </c>
      <c r="F172" s="43">
        <v>0</v>
      </c>
      <c r="G172" s="42">
        <v>3.25</v>
      </c>
      <c r="H172" s="43">
        <v>0</v>
      </c>
      <c r="I172" s="42">
        <v>3.42</v>
      </c>
      <c r="J172" s="43">
        <v>0</v>
      </c>
      <c r="K172" s="42">
        <v>3.64</v>
      </c>
      <c r="L172" s="43">
        <v>0</v>
      </c>
      <c r="M172" s="42">
        <v>3.97</v>
      </c>
      <c r="N172" s="43">
        <v>0</v>
      </c>
      <c r="O172" s="42">
        <v>4.13</v>
      </c>
      <c r="P172" s="43">
        <v>0</v>
      </c>
      <c r="Q172" s="42">
        <v>4.3600000000000003</v>
      </c>
      <c r="R172" s="43">
        <v>0</v>
      </c>
      <c r="S172" s="42">
        <v>4.9400000000000004</v>
      </c>
      <c r="T172" s="43">
        <v>0</v>
      </c>
      <c r="U172" s="42">
        <v>5.13</v>
      </c>
      <c r="V172" s="47">
        <v>0.02</v>
      </c>
    </row>
    <row r="173" spans="2:22">
      <c r="B173" s="55">
        <v>44876</v>
      </c>
      <c r="C173" s="52">
        <v>3.02</v>
      </c>
      <c r="D173" s="43">
        <v>0</v>
      </c>
      <c r="E173" s="42">
        <v>3.14</v>
      </c>
      <c r="F173" s="43">
        <v>0</v>
      </c>
      <c r="G173" s="42">
        <v>3.25</v>
      </c>
      <c r="H173" s="43">
        <v>0</v>
      </c>
      <c r="I173" s="42">
        <v>3.42</v>
      </c>
      <c r="J173" s="43">
        <v>0.01</v>
      </c>
      <c r="K173" s="42">
        <v>3.64</v>
      </c>
      <c r="L173" s="43">
        <v>0</v>
      </c>
      <c r="M173" s="42">
        <v>3.97</v>
      </c>
      <c r="N173" s="43">
        <v>0</v>
      </c>
      <c r="O173" s="42">
        <v>4.13</v>
      </c>
      <c r="P173" s="43">
        <v>0</v>
      </c>
      <c r="Q173" s="42">
        <v>4.3600000000000003</v>
      </c>
      <c r="R173" s="43">
        <v>0</v>
      </c>
      <c r="S173" s="42">
        <v>4.9400000000000004</v>
      </c>
      <c r="T173" s="43">
        <v>0.01</v>
      </c>
      <c r="U173" s="42">
        <v>5.1100000000000003</v>
      </c>
      <c r="V173" s="47">
        <v>0</v>
      </c>
    </row>
    <row r="174" spans="2:22">
      <c r="B174" s="55">
        <v>44875</v>
      </c>
      <c r="C174" s="52">
        <v>3.02</v>
      </c>
      <c r="D174" s="43">
        <v>0.01</v>
      </c>
      <c r="E174" s="42">
        <v>3.14</v>
      </c>
      <c r="F174" s="43">
        <v>0</v>
      </c>
      <c r="G174" s="42">
        <v>3.25</v>
      </c>
      <c r="H174" s="43">
        <v>0</v>
      </c>
      <c r="I174" s="42">
        <v>3.41</v>
      </c>
      <c r="J174" s="43">
        <v>0</v>
      </c>
      <c r="K174" s="42">
        <v>3.64</v>
      </c>
      <c r="L174" s="43">
        <v>0</v>
      </c>
      <c r="M174" s="42">
        <v>3.97</v>
      </c>
      <c r="N174" s="43">
        <v>0</v>
      </c>
      <c r="O174" s="42">
        <v>4.13</v>
      </c>
      <c r="P174" s="43">
        <v>0</v>
      </c>
      <c r="Q174" s="42">
        <v>4.3600000000000003</v>
      </c>
      <c r="R174" s="43">
        <v>0</v>
      </c>
      <c r="S174" s="42">
        <v>4.93</v>
      </c>
      <c r="T174" s="43">
        <v>0.01</v>
      </c>
      <c r="U174" s="42">
        <v>5.1100000000000003</v>
      </c>
      <c r="V174" s="47">
        <v>0</v>
      </c>
    </row>
    <row r="175" spans="2:22">
      <c r="B175" s="55">
        <v>44874</v>
      </c>
      <c r="C175" s="52">
        <v>3.01</v>
      </c>
      <c r="D175" s="43">
        <v>0</v>
      </c>
      <c r="E175" s="42">
        <v>3.14</v>
      </c>
      <c r="F175" s="43">
        <v>0</v>
      </c>
      <c r="G175" s="42">
        <v>3.25</v>
      </c>
      <c r="H175" s="43">
        <v>0</v>
      </c>
      <c r="I175" s="42">
        <v>3.41</v>
      </c>
      <c r="J175" s="43">
        <v>0</v>
      </c>
      <c r="K175" s="42">
        <v>3.64</v>
      </c>
      <c r="L175" s="43">
        <v>0</v>
      </c>
      <c r="M175" s="42">
        <v>3.97</v>
      </c>
      <c r="N175" s="43">
        <v>0</v>
      </c>
      <c r="O175" s="42">
        <v>4.13</v>
      </c>
      <c r="P175" s="43">
        <v>0</v>
      </c>
      <c r="Q175" s="42">
        <v>4.3600000000000003</v>
      </c>
      <c r="R175" s="43">
        <v>0</v>
      </c>
      <c r="S175" s="42">
        <v>4.92</v>
      </c>
      <c r="T175" s="43">
        <v>0</v>
      </c>
      <c r="U175" s="42">
        <v>5.1100000000000003</v>
      </c>
      <c r="V175" s="47">
        <v>0</v>
      </c>
    </row>
    <row r="176" spans="2:22">
      <c r="B176" s="55">
        <v>44873</v>
      </c>
      <c r="C176" s="52">
        <v>3.01</v>
      </c>
      <c r="D176" s="43">
        <v>0.01</v>
      </c>
      <c r="E176" s="42">
        <v>3.14</v>
      </c>
      <c r="F176" s="43">
        <v>-0.01</v>
      </c>
      <c r="G176" s="42">
        <v>3.25</v>
      </c>
      <c r="H176" s="43">
        <v>-0.01</v>
      </c>
      <c r="I176" s="42">
        <v>3.41</v>
      </c>
      <c r="J176" s="43">
        <v>0</v>
      </c>
      <c r="K176" s="42">
        <v>3.64</v>
      </c>
      <c r="L176" s="43">
        <v>0</v>
      </c>
      <c r="M176" s="42">
        <v>3.97</v>
      </c>
      <c r="N176" s="43">
        <v>0</v>
      </c>
      <c r="O176" s="42">
        <v>4.13</v>
      </c>
      <c r="P176" s="43">
        <v>0</v>
      </c>
      <c r="Q176" s="42">
        <v>4.3600000000000003</v>
      </c>
      <c r="R176" s="43">
        <v>0</v>
      </c>
      <c r="S176" s="42">
        <v>4.92</v>
      </c>
      <c r="T176" s="43">
        <v>0.01</v>
      </c>
      <c r="U176" s="42">
        <v>5.1100000000000003</v>
      </c>
      <c r="V176" s="47">
        <v>0</v>
      </c>
    </row>
    <row r="177" spans="2:22">
      <c r="B177" s="55">
        <v>44872</v>
      </c>
      <c r="C177" s="52">
        <v>3</v>
      </c>
      <c r="D177" s="43">
        <v>0.01</v>
      </c>
      <c r="E177" s="42">
        <v>3.15</v>
      </c>
      <c r="F177" s="43">
        <v>-0.01</v>
      </c>
      <c r="G177" s="42">
        <v>3.26</v>
      </c>
      <c r="H177" s="43">
        <v>-0.01</v>
      </c>
      <c r="I177" s="42">
        <v>3.41</v>
      </c>
      <c r="J177" s="43">
        <v>0</v>
      </c>
      <c r="K177" s="42">
        <v>3.64</v>
      </c>
      <c r="L177" s="43">
        <v>-0.01</v>
      </c>
      <c r="M177" s="42">
        <v>3.97</v>
      </c>
      <c r="N177" s="43">
        <v>0</v>
      </c>
      <c r="O177" s="42">
        <v>4.13</v>
      </c>
      <c r="P177" s="43">
        <v>0</v>
      </c>
      <c r="Q177" s="42">
        <v>4.3600000000000003</v>
      </c>
      <c r="R177" s="43">
        <v>0</v>
      </c>
      <c r="S177" s="42">
        <v>4.91</v>
      </c>
      <c r="T177" s="43">
        <v>0</v>
      </c>
      <c r="U177" s="42">
        <v>5.1100000000000003</v>
      </c>
      <c r="V177" s="47">
        <v>0.02</v>
      </c>
    </row>
    <row r="178" spans="2:22">
      <c r="B178" s="55">
        <v>44869</v>
      </c>
      <c r="C178" s="52">
        <v>2.99</v>
      </c>
      <c r="D178" s="43">
        <v>-0.01</v>
      </c>
      <c r="E178" s="42">
        <v>3.16</v>
      </c>
      <c r="F178" s="43">
        <v>-0.01</v>
      </c>
      <c r="G178" s="42">
        <v>3.27</v>
      </c>
      <c r="H178" s="43">
        <v>-0.01</v>
      </c>
      <c r="I178" s="42">
        <v>3.41</v>
      </c>
      <c r="J178" s="43">
        <v>-0.01</v>
      </c>
      <c r="K178" s="42">
        <v>3.65</v>
      </c>
      <c r="L178" s="43">
        <v>0</v>
      </c>
      <c r="M178" s="42">
        <v>3.97</v>
      </c>
      <c r="N178" s="43">
        <v>0</v>
      </c>
      <c r="O178" s="42">
        <v>4.13</v>
      </c>
      <c r="P178" s="43">
        <v>0.01</v>
      </c>
      <c r="Q178" s="42">
        <v>4.3600000000000003</v>
      </c>
      <c r="R178" s="43">
        <v>0.02</v>
      </c>
      <c r="S178" s="42">
        <v>4.91</v>
      </c>
      <c r="T178" s="43">
        <v>0.01</v>
      </c>
      <c r="U178" s="42">
        <v>5.09</v>
      </c>
      <c r="V178" s="47">
        <v>0.01</v>
      </c>
    </row>
    <row r="179" spans="2:22">
      <c r="B179" s="55">
        <v>44868</v>
      </c>
      <c r="C179" s="52">
        <v>3</v>
      </c>
      <c r="D179" s="43">
        <v>0</v>
      </c>
      <c r="E179" s="42">
        <v>3.17</v>
      </c>
      <c r="F179" s="43">
        <v>-0.01</v>
      </c>
      <c r="G179" s="42">
        <v>3.28</v>
      </c>
      <c r="H179" s="43">
        <v>0</v>
      </c>
      <c r="I179" s="42">
        <v>3.42</v>
      </c>
      <c r="J179" s="43">
        <v>-0.01</v>
      </c>
      <c r="K179" s="42">
        <v>3.65</v>
      </c>
      <c r="L179" s="43">
        <v>0</v>
      </c>
      <c r="M179" s="42">
        <v>3.97</v>
      </c>
      <c r="N179" s="43">
        <v>0</v>
      </c>
      <c r="O179" s="42">
        <v>4.12</v>
      </c>
      <c r="P179" s="43">
        <v>0.01</v>
      </c>
      <c r="Q179" s="42">
        <v>4.34</v>
      </c>
      <c r="R179" s="43">
        <v>0.01</v>
      </c>
      <c r="S179" s="42">
        <v>4.9000000000000004</v>
      </c>
      <c r="T179" s="43">
        <v>0.01</v>
      </c>
      <c r="U179" s="42">
        <v>5.08</v>
      </c>
      <c r="V179" s="47">
        <v>0.03</v>
      </c>
    </row>
    <row r="180" spans="2:22">
      <c r="B180" s="55">
        <v>44867</v>
      </c>
      <c r="C180" s="52">
        <v>3</v>
      </c>
      <c r="D180" s="43">
        <v>-0.04</v>
      </c>
      <c r="E180" s="42">
        <v>3.18</v>
      </c>
      <c r="F180" s="43">
        <v>-0.01</v>
      </c>
      <c r="G180" s="42">
        <v>3.28</v>
      </c>
      <c r="H180" s="43">
        <v>-0.02</v>
      </c>
      <c r="I180" s="42">
        <v>3.43</v>
      </c>
      <c r="J180" s="43">
        <v>-0.01</v>
      </c>
      <c r="K180" s="42">
        <v>3.65</v>
      </c>
      <c r="L180" s="43">
        <v>0</v>
      </c>
      <c r="M180" s="42">
        <v>3.97</v>
      </c>
      <c r="N180" s="43">
        <v>0</v>
      </c>
      <c r="O180" s="42">
        <v>4.1100000000000003</v>
      </c>
      <c r="P180" s="43">
        <v>0</v>
      </c>
      <c r="Q180" s="42">
        <v>4.33</v>
      </c>
      <c r="R180" s="43">
        <v>0.01</v>
      </c>
      <c r="S180" s="42">
        <v>4.8899999999999997</v>
      </c>
      <c r="T180" s="43">
        <v>0</v>
      </c>
      <c r="U180" s="42">
        <v>5.05</v>
      </c>
      <c r="V180" s="47">
        <v>0</v>
      </c>
    </row>
    <row r="181" spans="2:22">
      <c r="B181" s="55">
        <v>44866</v>
      </c>
      <c r="C181" s="52">
        <v>3.04</v>
      </c>
      <c r="D181" s="43">
        <v>-0.01</v>
      </c>
      <c r="E181" s="42">
        <v>3.19</v>
      </c>
      <c r="F181" s="43">
        <v>-0.01</v>
      </c>
      <c r="G181" s="42">
        <v>3.3</v>
      </c>
      <c r="H181" s="43">
        <v>-0.01</v>
      </c>
      <c r="I181" s="42">
        <v>3.44</v>
      </c>
      <c r="J181" s="43">
        <v>-0.01</v>
      </c>
      <c r="K181" s="42">
        <v>3.65</v>
      </c>
      <c r="L181" s="43">
        <v>0</v>
      </c>
      <c r="M181" s="42">
        <v>3.97</v>
      </c>
      <c r="N181" s="43">
        <v>0.01</v>
      </c>
      <c r="O181" s="42">
        <v>4.1100000000000003</v>
      </c>
      <c r="P181" s="43">
        <v>0.01</v>
      </c>
      <c r="Q181" s="42">
        <v>4.32</v>
      </c>
      <c r="R181" s="43">
        <v>0.01</v>
      </c>
      <c r="S181" s="42">
        <v>4.8899999999999997</v>
      </c>
      <c r="T181" s="43">
        <v>0.02</v>
      </c>
      <c r="U181" s="42">
        <v>5.05</v>
      </c>
      <c r="V181" s="47">
        <v>0.01</v>
      </c>
    </row>
    <row r="182" spans="2:22">
      <c r="B182" s="55">
        <v>44865</v>
      </c>
      <c r="C182" s="52">
        <v>3.05</v>
      </c>
      <c r="D182" s="43">
        <v>0</v>
      </c>
      <c r="E182" s="42">
        <v>3.2</v>
      </c>
      <c r="F182" s="43">
        <v>0</v>
      </c>
      <c r="G182" s="42">
        <v>3.31</v>
      </c>
      <c r="H182" s="43">
        <v>0</v>
      </c>
      <c r="I182" s="42">
        <v>3.45</v>
      </c>
      <c r="J182" s="43">
        <v>0</v>
      </c>
      <c r="K182" s="42">
        <v>3.65</v>
      </c>
      <c r="L182" s="43">
        <v>0</v>
      </c>
      <c r="M182" s="42">
        <v>3.96</v>
      </c>
      <c r="N182" s="43">
        <v>0.01</v>
      </c>
      <c r="O182" s="42">
        <v>4.0999999999999996</v>
      </c>
      <c r="P182" s="43">
        <v>0</v>
      </c>
      <c r="Q182" s="42">
        <v>4.3099999999999996</v>
      </c>
      <c r="R182" s="43">
        <v>0.01</v>
      </c>
      <c r="S182" s="42">
        <v>4.87</v>
      </c>
      <c r="T182" s="43">
        <v>0.01</v>
      </c>
      <c r="U182" s="42">
        <v>5.04</v>
      </c>
      <c r="V182" s="47">
        <v>0.01</v>
      </c>
    </row>
    <row r="183" spans="2:22">
      <c r="B183" s="55">
        <v>44862</v>
      </c>
      <c r="C183" s="52">
        <v>3.05</v>
      </c>
      <c r="D183" s="43">
        <v>-0.01</v>
      </c>
      <c r="E183" s="42">
        <v>3.2</v>
      </c>
      <c r="F183" s="43">
        <v>0</v>
      </c>
      <c r="G183" s="42">
        <v>3.31</v>
      </c>
      <c r="H183" s="43">
        <v>0</v>
      </c>
      <c r="I183" s="42">
        <v>3.45</v>
      </c>
      <c r="J183" s="43">
        <v>0</v>
      </c>
      <c r="K183" s="42">
        <v>3.65</v>
      </c>
      <c r="L183" s="43">
        <v>0</v>
      </c>
      <c r="M183" s="42">
        <v>3.95</v>
      </c>
      <c r="N183" s="43">
        <v>0.01</v>
      </c>
      <c r="O183" s="42">
        <v>4.0999999999999996</v>
      </c>
      <c r="P183" s="43">
        <v>0.01</v>
      </c>
      <c r="Q183" s="42">
        <v>4.3</v>
      </c>
      <c r="R183" s="43">
        <v>0.04</v>
      </c>
      <c r="S183" s="42">
        <v>4.8600000000000003</v>
      </c>
      <c r="T183" s="43">
        <v>0.03</v>
      </c>
      <c r="U183" s="42">
        <v>5.03</v>
      </c>
      <c r="V183" s="47">
        <v>0</v>
      </c>
    </row>
    <row r="184" spans="2:22">
      <c r="B184" s="55">
        <v>44861</v>
      </c>
      <c r="C184" s="52">
        <v>3.06</v>
      </c>
      <c r="D184" s="43">
        <v>-0.01</v>
      </c>
      <c r="E184" s="42">
        <v>3.2</v>
      </c>
      <c r="F184" s="43">
        <v>0.01</v>
      </c>
      <c r="G184" s="42">
        <v>3.31</v>
      </c>
      <c r="H184" s="43">
        <v>0.01</v>
      </c>
      <c r="I184" s="42">
        <v>3.45</v>
      </c>
      <c r="J184" s="43">
        <v>0.01</v>
      </c>
      <c r="K184" s="42">
        <v>3.65</v>
      </c>
      <c r="L184" s="43">
        <v>0.01</v>
      </c>
      <c r="M184" s="42">
        <v>3.94</v>
      </c>
      <c r="N184" s="43">
        <v>0</v>
      </c>
      <c r="O184" s="42">
        <v>4.09</v>
      </c>
      <c r="P184" s="43">
        <v>0.01</v>
      </c>
      <c r="Q184" s="42">
        <v>4.26</v>
      </c>
      <c r="R184" s="43">
        <v>0.01</v>
      </c>
      <c r="S184" s="42">
        <v>4.83</v>
      </c>
      <c r="T184" s="43">
        <v>0</v>
      </c>
      <c r="U184" s="42">
        <v>5.03</v>
      </c>
      <c r="V184" s="47">
        <v>0</v>
      </c>
    </row>
    <row r="185" spans="2:22">
      <c r="B185" s="55">
        <v>44860</v>
      </c>
      <c r="C185" s="52">
        <v>3.07</v>
      </c>
      <c r="D185" s="43">
        <v>0.01</v>
      </c>
      <c r="E185" s="42">
        <v>3.19</v>
      </c>
      <c r="F185" s="43">
        <v>0.01</v>
      </c>
      <c r="G185" s="42">
        <v>3.3</v>
      </c>
      <c r="H185" s="43">
        <v>0.01</v>
      </c>
      <c r="I185" s="42">
        <v>3.44</v>
      </c>
      <c r="J185" s="43">
        <v>0.01</v>
      </c>
      <c r="K185" s="42">
        <v>3.64</v>
      </c>
      <c r="L185" s="43">
        <v>0.01</v>
      </c>
      <c r="M185" s="42">
        <v>3.94</v>
      </c>
      <c r="N185" s="43">
        <v>0.01</v>
      </c>
      <c r="O185" s="42">
        <v>4.08</v>
      </c>
      <c r="P185" s="43">
        <v>0.01</v>
      </c>
      <c r="Q185" s="42">
        <v>4.25</v>
      </c>
      <c r="R185" s="43">
        <v>0.01</v>
      </c>
      <c r="S185" s="42">
        <v>4.83</v>
      </c>
      <c r="T185" s="43">
        <v>0.01</v>
      </c>
      <c r="U185" s="42">
        <v>5.03</v>
      </c>
      <c r="V185" s="47">
        <v>0.01</v>
      </c>
    </row>
    <row r="186" spans="2:22">
      <c r="B186" s="55">
        <v>44859</v>
      </c>
      <c r="C186" s="52">
        <v>3.06</v>
      </c>
      <c r="D186" s="43">
        <v>0.01</v>
      </c>
      <c r="E186" s="42">
        <v>3.18</v>
      </c>
      <c r="F186" s="43">
        <v>0.01</v>
      </c>
      <c r="G186" s="42">
        <v>3.29</v>
      </c>
      <c r="H186" s="43">
        <v>0.01</v>
      </c>
      <c r="I186" s="42">
        <v>3.43</v>
      </c>
      <c r="J186" s="43">
        <v>0.01</v>
      </c>
      <c r="K186" s="42">
        <v>3.63</v>
      </c>
      <c r="L186" s="43">
        <v>0.01</v>
      </c>
      <c r="M186" s="42">
        <v>3.93</v>
      </c>
      <c r="N186" s="43">
        <v>0.01</v>
      </c>
      <c r="O186" s="42">
        <v>4.07</v>
      </c>
      <c r="P186" s="43">
        <v>0.01</v>
      </c>
      <c r="Q186" s="42">
        <v>4.24</v>
      </c>
      <c r="R186" s="43">
        <v>0.01</v>
      </c>
      <c r="S186" s="42">
        <v>4.82</v>
      </c>
      <c r="T186" s="43">
        <v>0.01</v>
      </c>
      <c r="U186" s="42">
        <v>5.0199999999999996</v>
      </c>
      <c r="V186" s="47">
        <v>0</v>
      </c>
    </row>
    <row r="187" spans="2:22">
      <c r="B187" s="55">
        <v>44858</v>
      </c>
      <c r="C187" s="52">
        <v>3.05</v>
      </c>
      <c r="D187" s="43">
        <v>0.01</v>
      </c>
      <c r="E187" s="42">
        <v>3.17</v>
      </c>
      <c r="F187" s="43">
        <v>0.02</v>
      </c>
      <c r="G187" s="42">
        <v>3.28</v>
      </c>
      <c r="H187" s="43">
        <v>0.02</v>
      </c>
      <c r="I187" s="42">
        <v>3.42</v>
      </c>
      <c r="J187" s="43">
        <v>0.03</v>
      </c>
      <c r="K187" s="42">
        <v>3.62</v>
      </c>
      <c r="L187" s="43">
        <v>0.03</v>
      </c>
      <c r="M187" s="42">
        <v>3.92</v>
      </c>
      <c r="N187" s="43">
        <v>0.02</v>
      </c>
      <c r="O187" s="42">
        <v>4.0599999999999996</v>
      </c>
      <c r="P187" s="43">
        <v>0.03</v>
      </c>
      <c r="Q187" s="42">
        <v>4.2300000000000004</v>
      </c>
      <c r="R187" s="43">
        <v>0.03</v>
      </c>
      <c r="S187" s="42">
        <v>4.8099999999999996</v>
      </c>
      <c r="T187" s="43">
        <v>0.02</v>
      </c>
      <c r="U187" s="42">
        <v>5.0199999999999996</v>
      </c>
      <c r="V187" s="47">
        <v>0.02</v>
      </c>
    </row>
    <row r="188" spans="2:22">
      <c r="B188" s="55">
        <v>44855</v>
      </c>
      <c r="C188" s="52">
        <v>3.04</v>
      </c>
      <c r="D188" s="43">
        <v>0.02</v>
      </c>
      <c r="E188" s="42">
        <v>3.15</v>
      </c>
      <c r="F188" s="43">
        <v>0.02</v>
      </c>
      <c r="G188" s="42">
        <v>3.26</v>
      </c>
      <c r="H188" s="43">
        <v>0.03</v>
      </c>
      <c r="I188" s="42">
        <v>3.39</v>
      </c>
      <c r="J188" s="43">
        <v>0.04</v>
      </c>
      <c r="K188" s="42">
        <v>3.59</v>
      </c>
      <c r="L188" s="43">
        <v>0.04</v>
      </c>
      <c r="M188" s="42">
        <v>3.9</v>
      </c>
      <c r="N188" s="43">
        <v>0.05</v>
      </c>
      <c r="O188" s="42">
        <v>4.03</v>
      </c>
      <c r="P188" s="43">
        <v>0.05</v>
      </c>
      <c r="Q188" s="42">
        <v>4.2</v>
      </c>
      <c r="R188" s="43">
        <v>0.06</v>
      </c>
      <c r="S188" s="42">
        <v>4.79</v>
      </c>
      <c r="T188" s="43">
        <v>0.06</v>
      </c>
      <c r="U188" s="42">
        <v>5</v>
      </c>
      <c r="V188" s="47">
        <v>7.0000000000000007E-2</v>
      </c>
    </row>
    <row r="189" spans="2:22">
      <c r="B189" s="55">
        <v>44854</v>
      </c>
      <c r="C189" s="52">
        <v>3.02</v>
      </c>
      <c r="D189" s="43">
        <v>0.02</v>
      </c>
      <c r="E189" s="42">
        <v>3.13</v>
      </c>
      <c r="F189" s="43">
        <v>0.01</v>
      </c>
      <c r="G189" s="42">
        <v>3.23</v>
      </c>
      <c r="H189" s="43">
        <v>0.02</v>
      </c>
      <c r="I189" s="42">
        <v>3.35</v>
      </c>
      <c r="J189" s="43">
        <v>0.02</v>
      </c>
      <c r="K189" s="42">
        <v>3.55</v>
      </c>
      <c r="L189" s="43">
        <v>0.03</v>
      </c>
      <c r="M189" s="42">
        <v>3.85</v>
      </c>
      <c r="N189" s="43">
        <v>0.04</v>
      </c>
      <c r="O189" s="42">
        <v>3.98</v>
      </c>
      <c r="P189" s="43">
        <v>0.04</v>
      </c>
      <c r="Q189" s="42">
        <v>4.1399999999999997</v>
      </c>
      <c r="R189" s="43">
        <v>0.05</v>
      </c>
      <c r="S189" s="42">
        <v>4.7300000000000004</v>
      </c>
      <c r="T189" s="43">
        <v>0.06</v>
      </c>
      <c r="U189" s="42">
        <v>4.93</v>
      </c>
      <c r="V189" s="47">
        <v>0.06</v>
      </c>
    </row>
    <row r="190" spans="2:22">
      <c r="B190" s="55">
        <v>44853</v>
      </c>
      <c r="C190" s="52">
        <v>3</v>
      </c>
      <c r="D190" s="43">
        <v>0</v>
      </c>
      <c r="E190" s="42">
        <v>3.12</v>
      </c>
      <c r="F190" s="43">
        <v>0.01</v>
      </c>
      <c r="G190" s="42">
        <v>3.21</v>
      </c>
      <c r="H190" s="43">
        <v>0</v>
      </c>
      <c r="I190" s="42">
        <v>3.33</v>
      </c>
      <c r="J190" s="43">
        <v>0</v>
      </c>
      <c r="K190" s="42">
        <v>3.52</v>
      </c>
      <c r="L190" s="43">
        <v>0.02</v>
      </c>
      <c r="M190" s="42">
        <v>3.81</v>
      </c>
      <c r="N190" s="43">
        <v>0.06</v>
      </c>
      <c r="O190" s="42">
        <v>3.94</v>
      </c>
      <c r="P190" s="43">
        <v>7.0000000000000007E-2</v>
      </c>
      <c r="Q190" s="42">
        <v>4.09</v>
      </c>
      <c r="R190" s="43">
        <v>0.06</v>
      </c>
      <c r="S190" s="42">
        <v>4.67</v>
      </c>
      <c r="T190" s="43">
        <v>7.0000000000000007E-2</v>
      </c>
      <c r="U190" s="42">
        <v>4.87</v>
      </c>
      <c r="V190" s="47">
        <v>7.0000000000000007E-2</v>
      </c>
    </row>
    <row r="191" spans="2:22">
      <c r="B191" s="55">
        <v>44852</v>
      </c>
      <c r="C191" s="52">
        <v>3</v>
      </c>
      <c r="D191" s="43">
        <v>0</v>
      </c>
      <c r="E191" s="42">
        <v>3.11</v>
      </c>
      <c r="F191" s="43">
        <v>0.02</v>
      </c>
      <c r="G191" s="42">
        <v>3.21</v>
      </c>
      <c r="H191" s="43">
        <v>0.02</v>
      </c>
      <c r="I191" s="42">
        <v>3.33</v>
      </c>
      <c r="J191" s="43">
        <v>0.03</v>
      </c>
      <c r="K191" s="42">
        <v>3.5</v>
      </c>
      <c r="L191" s="43">
        <v>0.03</v>
      </c>
      <c r="M191" s="42">
        <v>3.75</v>
      </c>
      <c r="N191" s="43">
        <v>0.05</v>
      </c>
      <c r="O191" s="42">
        <v>3.87</v>
      </c>
      <c r="P191" s="43">
        <v>0.03</v>
      </c>
      <c r="Q191" s="42">
        <v>4.03</v>
      </c>
      <c r="R191" s="43">
        <v>0.03</v>
      </c>
      <c r="S191" s="42">
        <v>4.5999999999999996</v>
      </c>
      <c r="T191" s="43">
        <v>0.01</v>
      </c>
      <c r="U191" s="42">
        <v>4.8</v>
      </c>
      <c r="V191" s="47">
        <v>0.01</v>
      </c>
    </row>
    <row r="192" spans="2:22">
      <c r="B192" s="55">
        <v>44851</v>
      </c>
      <c r="C192" s="52">
        <v>3</v>
      </c>
      <c r="D192" s="43">
        <v>0.01</v>
      </c>
      <c r="E192" s="42">
        <v>3.09</v>
      </c>
      <c r="F192" s="43">
        <v>0.01</v>
      </c>
      <c r="G192" s="42">
        <v>3.19</v>
      </c>
      <c r="H192" s="43">
        <v>0.01</v>
      </c>
      <c r="I192" s="42">
        <v>3.3</v>
      </c>
      <c r="J192" s="43">
        <v>0.02</v>
      </c>
      <c r="K192" s="42">
        <v>3.47</v>
      </c>
      <c r="L192" s="43">
        <v>0.02</v>
      </c>
      <c r="M192" s="42">
        <v>3.7</v>
      </c>
      <c r="N192" s="43">
        <v>0.04</v>
      </c>
      <c r="O192" s="42">
        <v>3.84</v>
      </c>
      <c r="P192" s="43">
        <v>0.03</v>
      </c>
      <c r="Q192" s="42">
        <v>4</v>
      </c>
      <c r="R192" s="43">
        <v>0.01</v>
      </c>
      <c r="S192" s="42">
        <v>4.59</v>
      </c>
      <c r="T192" s="43">
        <v>0.01</v>
      </c>
      <c r="U192" s="42">
        <v>4.79</v>
      </c>
      <c r="V192" s="47">
        <v>0.01</v>
      </c>
    </row>
    <row r="193" spans="2:22">
      <c r="B193" s="55">
        <v>44848</v>
      </c>
      <c r="C193" s="52">
        <v>2.99</v>
      </c>
      <c r="D193" s="43">
        <v>0</v>
      </c>
      <c r="E193" s="42">
        <v>3.08</v>
      </c>
      <c r="F193" s="43">
        <v>0.01</v>
      </c>
      <c r="G193" s="42">
        <v>3.18</v>
      </c>
      <c r="H193" s="43">
        <v>0.01</v>
      </c>
      <c r="I193" s="42">
        <v>3.28</v>
      </c>
      <c r="J193" s="43">
        <v>0.01</v>
      </c>
      <c r="K193" s="42">
        <v>3.45</v>
      </c>
      <c r="L193" s="43">
        <v>0.01</v>
      </c>
      <c r="M193" s="42">
        <v>3.66</v>
      </c>
      <c r="N193" s="43">
        <v>0</v>
      </c>
      <c r="O193" s="42">
        <v>3.81</v>
      </c>
      <c r="P193" s="43">
        <v>0.02</v>
      </c>
      <c r="Q193" s="42">
        <v>3.99</v>
      </c>
      <c r="R193" s="43">
        <v>0.03</v>
      </c>
      <c r="S193" s="42">
        <v>4.58</v>
      </c>
      <c r="T193" s="43">
        <v>0.02</v>
      </c>
      <c r="U193" s="42">
        <v>4.78</v>
      </c>
      <c r="V193" s="47">
        <v>0.02</v>
      </c>
    </row>
    <row r="194" spans="2:22">
      <c r="B194" s="55">
        <v>44847</v>
      </c>
      <c r="C194" s="52">
        <v>2.99</v>
      </c>
      <c r="D194" s="43">
        <v>0</v>
      </c>
      <c r="E194" s="42">
        <v>3.07</v>
      </c>
      <c r="F194" s="43">
        <v>0</v>
      </c>
      <c r="G194" s="42">
        <v>3.17</v>
      </c>
      <c r="H194" s="43">
        <v>0.02</v>
      </c>
      <c r="I194" s="42">
        <v>3.27</v>
      </c>
      <c r="J194" s="43">
        <v>0.02</v>
      </c>
      <c r="K194" s="42">
        <v>3.44</v>
      </c>
      <c r="L194" s="43">
        <v>0.02</v>
      </c>
      <c r="M194" s="42">
        <v>3.66</v>
      </c>
      <c r="N194" s="43">
        <v>0.03</v>
      </c>
      <c r="O194" s="42">
        <v>3.79</v>
      </c>
      <c r="P194" s="43">
        <v>0.05</v>
      </c>
      <c r="Q194" s="42">
        <v>3.96</v>
      </c>
      <c r="R194" s="43">
        <v>0.04</v>
      </c>
      <c r="S194" s="42">
        <v>4.5599999999999996</v>
      </c>
      <c r="T194" s="43">
        <v>0.01</v>
      </c>
      <c r="U194" s="42">
        <v>4.76</v>
      </c>
      <c r="V194" s="47">
        <v>0.04</v>
      </c>
    </row>
    <row r="195" spans="2:22">
      <c r="B195" s="55">
        <v>44846</v>
      </c>
      <c r="C195" s="52">
        <v>2.99</v>
      </c>
      <c r="D195" s="43">
        <v>0.38</v>
      </c>
      <c r="E195" s="42">
        <v>3.07</v>
      </c>
      <c r="F195" s="43">
        <v>0.33</v>
      </c>
      <c r="G195" s="42">
        <v>3.15</v>
      </c>
      <c r="H195" s="43">
        <v>0.28000000000000003</v>
      </c>
      <c r="I195" s="42">
        <v>3.25</v>
      </c>
      <c r="J195" s="43">
        <v>0.23</v>
      </c>
      <c r="K195" s="42">
        <v>3.42</v>
      </c>
      <c r="L195" s="43">
        <v>0.26</v>
      </c>
      <c r="M195" s="42">
        <v>3.63</v>
      </c>
      <c r="N195" s="43">
        <v>0.31</v>
      </c>
      <c r="O195" s="42">
        <v>3.74</v>
      </c>
      <c r="P195" s="43">
        <v>0.22</v>
      </c>
      <c r="Q195" s="42">
        <v>3.92</v>
      </c>
      <c r="R195" s="43">
        <v>0.12</v>
      </c>
      <c r="S195" s="42">
        <v>4.55</v>
      </c>
      <c r="T195" s="43">
        <v>0.06</v>
      </c>
      <c r="U195" s="42">
        <v>4.72</v>
      </c>
      <c r="V195" s="47">
        <v>0</v>
      </c>
    </row>
    <row r="196" spans="2:22">
      <c r="B196" s="55">
        <v>44845</v>
      </c>
      <c r="C196" s="52">
        <v>2.61</v>
      </c>
      <c r="D196" s="43">
        <v>0</v>
      </c>
      <c r="E196" s="42">
        <v>2.74</v>
      </c>
      <c r="F196" s="43">
        <v>0</v>
      </c>
      <c r="G196" s="42">
        <v>2.87</v>
      </c>
      <c r="H196" s="43">
        <v>0.01</v>
      </c>
      <c r="I196" s="42">
        <v>3.02</v>
      </c>
      <c r="J196" s="43">
        <v>0.01</v>
      </c>
      <c r="K196" s="42">
        <v>3.16</v>
      </c>
      <c r="L196" s="43">
        <v>0</v>
      </c>
      <c r="M196" s="42">
        <v>3.32</v>
      </c>
      <c r="N196" s="43">
        <v>0</v>
      </c>
      <c r="O196" s="42">
        <v>3.52</v>
      </c>
      <c r="P196" s="43">
        <v>0.01</v>
      </c>
      <c r="Q196" s="42">
        <v>3.8</v>
      </c>
      <c r="R196" s="43">
        <v>0.02</v>
      </c>
      <c r="S196" s="42">
        <v>4.49</v>
      </c>
      <c r="T196" s="43">
        <v>0.05</v>
      </c>
      <c r="U196" s="42">
        <v>4.72</v>
      </c>
      <c r="V196" s="47">
        <v>0.06</v>
      </c>
    </row>
    <row r="197" spans="2:22">
      <c r="B197" s="55">
        <v>44841</v>
      </c>
      <c r="C197" s="52">
        <v>2.61</v>
      </c>
      <c r="D197" s="43">
        <v>0.01</v>
      </c>
      <c r="E197" s="42">
        <v>2.74</v>
      </c>
      <c r="F197" s="43">
        <v>0.01</v>
      </c>
      <c r="G197" s="42">
        <v>2.86</v>
      </c>
      <c r="H197" s="43">
        <v>0.01</v>
      </c>
      <c r="I197" s="42">
        <v>3.01</v>
      </c>
      <c r="J197" s="43">
        <v>0.01</v>
      </c>
      <c r="K197" s="42">
        <v>3.16</v>
      </c>
      <c r="L197" s="43">
        <v>0.02</v>
      </c>
      <c r="M197" s="42">
        <v>3.32</v>
      </c>
      <c r="N197" s="43">
        <v>0</v>
      </c>
      <c r="O197" s="42">
        <v>3.51</v>
      </c>
      <c r="P197" s="43">
        <v>0</v>
      </c>
      <c r="Q197" s="42">
        <v>3.78</v>
      </c>
      <c r="R197" s="43">
        <v>0.01</v>
      </c>
      <c r="S197" s="42">
        <v>4.4400000000000004</v>
      </c>
      <c r="T197" s="43">
        <v>0.01</v>
      </c>
      <c r="U197" s="42">
        <v>4.66</v>
      </c>
      <c r="V197" s="47">
        <v>0.04</v>
      </c>
    </row>
    <row r="198" spans="2:22">
      <c r="B198" s="55">
        <v>44840</v>
      </c>
      <c r="C198" s="52">
        <v>2.6</v>
      </c>
      <c r="D198" s="43">
        <v>-0.02</v>
      </c>
      <c r="E198" s="42">
        <v>2.73</v>
      </c>
      <c r="F198" s="43">
        <v>0.01</v>
      </c>
      <c r="G198" s="42">
        <v>2.85</v>
      </c>
      <c r="H198" s="43">
        <v>0.02</v>
      </c>
      <c r="I198" s="42">
        <v>3</v>
      </c>
      <c r="J198" s="43">
        <v>0.03</v>
      </c>
      <c r="K198" s="42">
        <v>3.14</v>
      </c>
      <c r="L198" s="43">
        <v>0.02</v>
      </c>
      <c r="M198" s="42">
        <v>3.32</v>
      </c>
      <c r="N198" s="43">
        <v>0</v>
      </c>
      <c r="O198" s="42">
        <v>3.51</v>
      </c>
      <c r="P198" s="43">
        <v>0.02</v>
      </c>
      <c r="Q198" s="42">
        <v>3.77</v>
      </c>
      <c r="R198" s="43">
        <v>0.06</v>
      </c>
      <c r="S198" s="42">
        <v>4.43</v>
      </c>
      <c r="T198" s="43">
        <v>0.06</v>
      </c>
      <c r="U198" s="42">
        <v>4.62</v>
      </c>
      <c r="V198" s="47">
        <v>0.03</v>
      </c>
    </row>
    <row r="199" spans="2:22">
      <c r="B199" s="55">
        <v>44839</v>
      </c>
      <c r="C199" s="52">
        <v>2.62</v>
      </c>
      <c r="D199" s="43">
        <v>0.03</v>
      </c>
      <c r="E199" s="42">
        <v>2.72</v>
      </c>
      <c r="F199" s="43">
        <v>0.02</v>
      </c>
      <c r="G199" s="42">
        <v>2.83</v>
      </c>
      <c r="H199" s="43">
        <v>0.02</v>
      </c>
      <c r="I199" s="42">
        <v>2.97</v>
      </c>
      <c r="J199" s="43">
        <v>0.03</v>
      </c>
      <c r="K199" s="42">
        <v>3.12</v>
      </c>
      <c r="L199" s="43">
        <v>0.03</v>
      </c>
      <c r="M199" s="42">
        <v>3.32</v>
      </c>
      <c r="N199" s="43">
        <v>0.04</v>
      </c>
      <c r="O199" s="42">
        <v>3.49</v>
      </c>
      <c r="P199" s="43">
        <v>0.04</v>
      </c>
      <c r="Q199" s="42">
        <v>3.71</v>
      </c>
      <c r="R199" s="43">
        <v>0.03</v>
      </c>
      <c r="S199" s="42">
        <v>4.37</v>
      </c>
      <c r="T199" s="43">
        <v>0.04</v>
      </c>
      <c r="U199" s="42">
        <v>4.59</v>
      </c>
      <c r="V199" s="47">
        <v>0.06</v>
      </c>
    </row>
    <row r="200" spans="2:22">
      <c r="B200" s="55">
        <v>44838</v>
      </c>
      <c r="C200" s="52">
        <v>2.59</v>
      </c>
      <c r="D200" s="43">
        <v>0.01</v>
      </c>
      <c r="E200" s="42">
        <v>2.7</v>
      </c>
      <c r="F200" s="43">
        <v>0.02</v>
      </c>
      <c r="G200" s="42">
        <v>2.81</v>
      </c>
      <c r="H200" s="43">
        <v>0.03</v>
      </c>
      <c r="I200" s="42">
        <v>2.94</v>
      </c>
      <c r="J200" s="43">
        <v>0.03</v>
      </c>
      <c r="K200" s="42">
        <v>3.09</v>
      </c>
      <c r="L200" s="43">
        <v>0.03</v>
      </c>
      <c r="M200" s="42">
        <v>3.28</v>
      </c>
      <c r="N200" s="43">
        <v>0.04</v>
      </c>
      <c r="O200" s="42">
        <v>3.45</v>
      </c>
      <c r="P200" s="43">
        <v>0.02</v>
      </c>
      <c r="Q200" s="42">
        <v>3.68</v>
      </c>
      <c r="R200" s="43">
        <v>0.03</v>
      </c>
      <c r="S200" s="42">
        <v>4.33</v>
      </c>
      <c r="T200" s="43">
        <v>0.06</v>
      </c>
      <c r="U200" s="42">
        <v>4.53</v>
      </c>
      <c r="V200" s="47">
        <v>0.01</v>
      </c>
    </row>
    <row r="201" spans="2:22">
      <c r="B201" s="55">
        <v>44834</v>
      </c>
      <c r="C201" s="52">
        <v>2.58</v>
      </c>
      <c r="D201" s="43">
        <v>0.03</v>
      </c>
      <c r="E201" s="42">
        <v>2.68</v>
      </c>
      <c r="F201" s="43">
        <v>0.02</v>
      </c>
      <c r="G201" s="42">
        <v>2.78</v>
      </c>
      <c r="H201" s="43">
        <v>0.02</v>
      </c>
      <c r="I201" s="42">
        <v>2.91</v>
      </c>
      <c r="J201" s="43">
        <v>0.03</v>
      </c>
      <c r="K201" s="42">
        <v>3.06</v>
      </c>
      <c r="L201" s="43">
        <v>0.03</v>
      </c>
      <c r="M201" s="42">
        <v>3.24</v>
      </c>
      <c r="N201" s="43">
        <v>0.04</v>
      </c>
      <c r="O201" s="42">
        <v>3.43</v>
      </c>
      <c r="P201" s="43">
        <v>0.05</v>
      </c>
      <c r="Q201" s="42">
        <v>3.65</v>
      </c>
      <c r="R201" s="43">
        <v>0.06</v>
      </c>
      <c r="S201" s="42">
        <v>4.2699999999999996</v>
      </c>
      <c r="T201" s="43">
        <v>0.06</v>
      </c>
      <c r="U201" s="42">
        <v>4.5199999999999996</v>
      </c>
      <c r="V201" s="47">
        <v>0.01</v>
      </c>
    </row>
    <row r="202" spans="2:22">
      <c r="B202" s="55">
        <v>44833</v>
      </c>
      <c r="C202" s="52">
        <v>2.5499999999999998</v>
      </c>
      <c r="D202" s="43">
        <v>0.03</v>
      </c>
      <c r="E202" s="42">
        <v>2.66</v>
      </c>
      <c r="F202" s="43">
        <v>0.03</v>
      </c>
      <c r="G202" s="42">
        <v>2.76</v>
      </c>
      <c r="H202" s="43">
        <v>0.03</v>
      </c>
      <c r="I202" s="42">
        <v>2.88</v>
      </c>
      <c r="J202" s="43">
        <v>0.03</v>
      </c>
      <c r="K202" s="42">
        <v>3.03</v>
      </c>
      <c r="L202" s="43">
        <v>0.03</v>
      </c>
      <c r="M202" s="42">
        <v>3.2</v>
      </c>
      <c r="N202" s="43">
        <v>0.06</v>
      </c>
      <c r="O202" s="42">
        <v>3.38</v>
      </c>
      <c r="P202" s="43">
        <v>0.05</v>
      </c>
      <c r="Q202" s="42">
        <v>3.59</v>
      </c>
      <c r="R202" s="43">
        <v>0.05</v>
      </c>
      <c r="S202" s="42">
        <v>4.21</v>
      </c>
      <c r="T202" s="43">
        <v>0.05</v>
      </c>
      <c r="U202" s="42">
        <v>4.51</v>
      </c>
      <c r="V202" s="47">
        <v>0.02</v>
      </c>
    </row>
    <row r="203" spans="2:22">
      <c r="B203" s="55">
        <v>44832</v>
      </c>
      <c r="C203" s="52">
        <v>2.52</v>
      </c>
      <c r="D203" s="43">
        <v>0.01</v>
      </c>
      <c r="E203" s="42">
        <v>2.63</v>
      </c>
      <c r="F203" s="43">
        <v>0.01</v>
      </c>
      <c r="G203" s="42">
        <v>2.73</v>
      </c>
      <c r="H203" s="43">
        <v>0.02</v>
      </c>
      <c r="I203" s="42">
        <v>2.85</v>
      </c>
      <c r="J203" s="43">
        <v>0.01</v>
      </c>
      <c r="K203" s="42">
        <v>3</v>
      </c>
      <c r="L203" s="43">
        <v>0.02</v>
      </c>
      <c r="M203" s="42">
        <v>3.14</v>
      </c>
      <c r="N203" s="43">
        <v>0.02</v>
      </c>
      <c r="O203" s="42">
        <v>3.33</v>
      </c>
      <c r="P203" s="43">
        <v>0.05</v>
      </c>
      <c r="Q203" s="42">
        <v>3.54</v>
      </c>
      <c r="R203" s="43">
        <v>0.05</v>
      </c>
      <c r="S203" s="42">
        <v>4.16</v>
      </c>
      <c r="T203" s="43">
        <v>0.06</v>
      </c>
      <c r="U203" s="42">
        <v>4.49</v>
      </c>
      <c r="V203" s="47">
        <v>0.05</v>
      </c>
    </row>
    <row r="204" spans="2:22">
      <c r="B204" s="55">
        <v>44831</v>
      </c>
      <c r="C204" s="52">
        <v>2.5099999999999998</v>
      </c>
      <c r="D204" s="43">
        <v>0</v>
      </c>
      <c r="E204" s="42">
        <v>2.62</v>
      </c>
      <c r="F204" s="43">
        <v>0.03</v>
      </c>
      <c r="G204" s="42">
        <v>2.71</v>
      </c>
      <c r="H204" s="43">
        <v>0.03</v>
      </c>
      <c r="I204" s="42">
        <v>2.84</v>
      </c>
      <c r="J204" s="43">
        <v>0.04</v>
      </c>
      <c r="K204" s="42">
        <v>2.98</v>
      </c>
      <c r="L204" s="43">
        <v>0.04</v>
      </c>
      <c r="M204" s="42">
        <v>3.12</v>
      </c>
      <c r="N204" s="43">
        <v>0.03</v>
      </c>
      <c r="O204" s="42">
        <v>3.28</v>
      </c>
      <c r="P204" s="43">
        <v>0.03</v>
      </c>
      <c r="Q204" s="42">
        <v>3.49</v>
      </c>
      <c r="R204" s="43">
        <v>0.06</v>
      </c>
      <c r="S204" s="42">
        <v>4.0999999999999996</v>
      </c>
      <c r="T204" s="43">
        <v>0.09</v>
      </c>
      <c r="U204" s="42">
        <v>4.4400000000000004</v>
      </c>
      <c r="V204" s="47">
        <v>0.02</v>
      </c>
    </row>
    <row r="205" spans="2:22">
      <c r="B205" s="55">
        <v>44830</v>
      </c>
      <c r="C205" s="52">
        <v>2.5099999999999998</v>
      </c>
      <c r="D205" s="43">
        <v>0.03</v>
      </c>
      <c r="E205" s="42">
        <v>2.59</v>
      </c>
      <c r="F205" s="43">
        <v>0.03</v>
      </c>
      <c r="G205" s="42">
        <v>2.68</v>
      </c>
      <c r="H205" s="43">
        <v>0.04</v>
      </c>
      <c r="I205" s="42">
        <v>2.8</v>
      </c>
      <c r="J205" s="43">
        <v>0.03</v>
      </c>
      <c r="K205" s="42">
        <v>2.94</v>
      </c>
      <c r="L205" s="43">
        <v>0.02</v>
      </c>
      <c r="M205" s="42">
        <v>3.09</v>
      </c>
      <c r="N205" s="43">
        <v>0.02</v>
      </c>
      <c r="O205" s="42">
        <v>3.25</v>
      </c>
      <c r="P205" s="43">
        <v>0.03</v>
      </c>
      <c r="Q205" s="42">
        <v>3.43</v>
      </c>
      <c r="R205" s="43">
        <v>0.06</v>
      </c>
      <c r="S205" s="42">
        <v>4.01</v>
      </c>
      <c r="T205" s="43">
        <v>0.06</v>
      </c>
      <c r="U205" s="42">
        <v>4.42</v>
      </c>
      <c r="V205" s="47">
        <v>0.13</v>
      </c>
    </row>
    <row r="206" spans="2:22">
      <c r="B206" s="55">
        <v>44827</v>
      </c>
      <c r="C206" s="52">
        <v>2.48</v>
      </c>
      <c r="D206" s="43">
        <v>0.02</v>
      </c>
      <c r="E206" s="42">
        <v>2.56</v>
      </c>
      <c r="F206" s="43">
        <v>0.02</v>
      </c>
      <c r="G206" s="42">
        <v>2.64</v>
      </c>
      <c r="H206" s="43">
        <v>0.03</v>
      </c>
      <c r="I206" s="42">
        <v>2.77</v>
      </c>
      <c r="J206" s="43">
        <v>0.03</v>
      </c>
      <c r="K206" s="42">
        <v>2.92</v>
      </c>
      <c r="L206" s="43">
        <v>0.02</v>
      </c>
      <c r="M206" s="42">
        <v>3.07</v>
      </c>
      <c r="N206" s="43">
        <v>0.03</v>
      </c>
      <c r="O206" s="42">
        <v>3.22</v>
      </c>
      <c r="P206" s="43">
        <v>0.04</v>
      </c>
      <c r="Q206" s="42">
        <v>3.37</v>
      </c>
      <c r="R206" s="43">
        <v>0.04</v>
      </c>
      <c r="S206" s="42">
        <v>3.95</v>
      </c>
      <c r="T206" s="43">
        <v>0.04</v>
      </c>
      <c r="U206" s="42">
        <v>4.29</v>
      </c>
      <c r="V206" s="47">
        <v>0.05</v>
      </c>
    </row>
    <row r="207" spans="2:22">
      <c r="B207" s="55">
        <v>44826</v>
      </c>
      <c r="C207" s="52">
        <v>2.46</v>
      </c>
      <c r="D207" s="43">
        <v>0.02</v>
      </c>
      <c r="E207" s="42">
        <v>2.54</v>
      </c>
      <c r="F207" s="43">
        <v>0.01</v>
      </c>
      <c r="G207" s="42">
        <v>2.61</v>
      </c>
      <c r="H207" s="43">
        <v>0.01</v>
      </c>
      <c r="I207" s="42">
        <v>2.74</v>
      </c>
      <c r="J207" s="43">
        <v>0.02</v>
      </c>
      <c r="K207" s="42">
        <v>2.9</v>
      </c>
      <c r="L207" s="43">
        <v>0.02</v>
      </c>
      <c r="M207" s="42">
        <v>3.04</v>
      </c>
      <c r="N207" s="43">
        <v>0.02</v>
      </c>
      <c r="O207" s="42">
        <v>3.18</v>
      </c>
      <c r="P207" s="43">
        <v>0.03</v>
      </c>
      <c r="Q207" s="42">
        <v>3.33</v>
      </c>
      <c r="R207" s="43">
        <v>0.04</v>
      </c>
      <c r="S207" s="42">
        <v>3.91</v>
      </c>
      <c r="T207" s="43">
        <v>0.04</v>
      </c>
      <c r="U207" s="42">
        <v>4.24</v>
      </c>
      <c r="V207" s="47">
        <v>0.08</v>
      </c>
    </row>
    <row r="208" spans="2:22">
      <c r="B208" s="55">
        <v>44825</v>
      </c>
      <c r="C208" s="52">
        <v>2.44</v>
      </c>
      <c r="D208" s="43">
        <v>0</v>
      </c>
      <c r="E208" s="42">
        <v>2.5299999999999998</v>
      </c>
      <c r="F208" s="43">
        <v>0.01</v>
      </c>
      <c r="G208" s="42">
        <v>2.6</v>
      </c>
      <c r="H208" s="43">
        <v>0.02</v>
      </c>
      <c r="I208" s="42">
        <v>2.72</v>
      </c>
      <c r="J208" s="43">
        <v>0.02</v>
      </c>
      <c r="K208" s="42">
        <v>2.88</v>
      </c>
      <c r="L208" s="43">
        <v>0.02</v>
      </c>
      <c r="M208" s="42">
        <v>3.02</v>
      </c>
      <c r="N208" s="43">
        <v>0.02</v>
      </c>
      <c r="O208" s="42">
        <v>3.15</v>
      </c>
      <c r="P208" s="43">
        <v>0.02</v>
      </c>
      <c r="Q208" s="42">
        <v>3.29</v>
      </c>
      <c r="R208" s="43">
        <v>0.01</v>
      </c>
      <c r="S208" s="42">
        <v>3.87</v>
      </c>
      <c r="T208" s="43">
        <v>0.02</v>
      </c>
      <c r="U208" s="42">
        <v>4.16</v>
      </c>
      <c r="V208" s="47">
        <v>0.01</v>
      </c>
    </row>
    <row r="209" spans="2:22">
      <c r="B209" s="55">
        <v>44824</v>
      </c>
      <c r="C209" s="52">
        <v>2.44</v>
      </c>
      <c r="D209" s="43">
        <v>0</v>
      </c>
      <c r="E209" s="42">
        <v>2.52</v>
      </c>
      <c r="F209" s="43">
        <v>0.01</v>
      </c>
      <c r="G209" s="42">
        <v>2.58</v>
      </c>
      <c r="H209" s="43">
        <v>0.01</v>
      </c>
      <c r="I209" s="42">
        <v>2.7</v>
      </c>
      <c r="J209" s="43">
        <v>0.01</v>
      </c>
      <c r="K209" s="42">
        <v>2.86</v>
      </c>
      <c r="L209" s="43">
        <v>0.01</v>
      </c>
      <c r="M209" s="42">
        <v>3</v>
      </c>
      <c r="N209" s="43">
        <v>0.01</v>
      </c>
      <c r="O209" s="42">
        <v>3.13</v>
      </c>
      <c r="P209" s="43">
        <v>0.01</v>
      </c>
      <c r="Q209" s="42">
        <v>3.28</v>
      </c>
      <c r="R209" s="43">
        <v>0.01</v>
      </c>
      <c r="S209" s="42">
        <v>3.85</v>
      </c>
      <c r="T209" s="43">
        <v>0.01</v>
      </c>
      <c r="U209" s="42">
        <v>4.1500000000000004</v>
      </c>
      <c r="V209" s="47">
        <v>0.03</v>
      </c>
    </row>
    <row r="210" spans="2:22">
      <c r="B210" s="55">
        <v>44823</v>
      </c>
      <c r="C210" s="52">
        <v>2.44</v>
      </c>
      <c r="D210" s="43">
        <v>0</v>
      </c>
      <c r="E210" s="42">
        <v>2.5099999999999998</v>
      </c>
      <c r="F210" s="43">
        <v>0.01</v>
      </c>
      <c r="G210" s="42">
        <v>2.57</v>
      </c>
      <c r="H210" s="43">
        <v>0</v>
      </c>
      <c r="I210" s="42">
        <v>2.69</v>
      </c>
      <c r="J210" s="43">
        <v>0.02</v>
      </c>
      <c r="K210" s="42">
        <v>2.85</v>
      </c>
      <c r="L210" s="43">
        <v>0.01</v>
      </c>
      <c r="M210" s="42">
        <v>2.99</v>
      </c>
      <c r="N210" s="43">
        <v>0.02</v>
      </c>
      <c r="O210" s="42">
        <v>3.12</v>
      </c>
      <c r="P210" s="43">
        <v>0.02</v>
      </c>
      <c r="Q210" s="42">
        <v>3.27</v>
      </c>
      <c r="R210" s="43">
        <v>0.02</v>
      </c>
      <c r="S210" s="42">
        <v>3.84</v>
      </c>
      <c r="T210" s="43">
        <v>0.05</v>
      </c>
      <c r="U210" s="42">
        <v>4.12</v>
      </c>
      <c r="V210" s="47">
        <v>0.04</v>
      </c>
    </row>
    <row r="211" spans="2:22">
      <c r="B211" s="55">
        <v>44820</v>
      </c>
      <c r="C211" s="52">
        <v>2.44</v>
      </c>
      <c r="D211" s="43">
        <v>0</v>
      </c>
      <c r="E211" s="42">
        <v>2.5</v>
      </c>
      <c r="F211" s="43">
        <v>0</v>
      </c>
      <c r="G211" s="42">
        <v>2.57</v>
      </c>
      <c r="H211" s="43">
        <v>0</v>
      </c>
      <c r="I211" s="42">
        <v>2.67</v>
      </c>
      <c r="J211" s="43">
        <v>0</v>
      </c>
      <c r="K211" s="42">
        <v>2.84</v>
      </c>
      <c r="L211" s="43">
        <v>0.02</v>
      </c>
      <c r="M211" s="42">
        <v>2.97</v>
      </c>
      <c r="N211" s="43">
        <v>0.01</v>
      </c>
      <c r="O211" s="42">
        <v>3.1</v>
      </c>
      <c r="P211" s="43">
        <v>0.01</v>
      </c>
      <c r="Q211" s="42">
        <v>3.25</v>
      </c>
      <c r="R211" s="43">
        <v>0</v>
      </c>
      <c r="S211" s="42">
        <v>3.79</v>
      </c>
      <c r="T211" s="43">
        <v>0.03</v>
      </c>
      <c r="U211" s="42">
        <v>4.08</v>
      </c>
      <c r="V211" s="47">
        <v>0.02</v>
      </c>
    </row>
    <row r="212" spans="2:22">
      <c r="B212" s="55">
        <v>44819</v>
      </c>
      <c r="C212" s="52">
        <v>2.44</v>
      </c>
      <c r="D212" s="43">
        <v>0</v>
      </c>
      <c r="E212" s="42">
        <v>2.5</v>
      </c>
      <c r="F212" s="43">
        <v>0</v>
      </c>
      <c r="G212" s="42">
        <v>2.57</v>
      </c>
      <c r="H212" s="43">
        <v>0.01</v>
      </c>
      <c r="I212" s="42">
        <v>2.67</v>
      </c>
      <c r="J212" s="43">
        <v>0.01</v>
      </c>
      <c r="K212" s="42">
        <v>2.82</v>
      </c>
      <c r="L212" s="43">
        <v>0.02</v>
      </c>
      <c r="M212" s="42">
        <v>2.96</v>
      </c>
      <c r="N212" s="43">
        <v>0.02</v>
      </c>
      <c r="O212" s="42">
        <v>3.09</v>
      </c>
      <c r="P212" s="43">
        <v>0.03</v>
      </c>
      <c r="Q212" s="42">
        <v>3.25</v>
      </c>
      <c r="R212" s="43">
        <v>0.02</v>
      </c>
      <c r="S212" s="42">
        <v>3.76</v>
      </c>
      <c r="T212" s="43">
        <v>0.03</v>
      </c>
      <c r="U212" s="42">
        <v>4.0599999999999996</v>
      </c>
      <c r="V212" s="47">
        <v>0.05</v>
      </c>
    </row>
    <row r="213" spans="2:22">
      <c r="B213" s="55">
        <v>44818</v>
      </c>
      <c r="C213" s="52">
        <v>2.44</v>
      </c>
      <c r="D213" s="43">
        <v>0</v>
      </c>
      <c r="E213" s="42">
        <v>2.5</v>
      </c>
      <c r="F213" s="43">
        <v>0</v>
      </c>
      <c r="G213" s="42">
        <v>2.56</v>
      </c>
      <c r="H213" s="43">
        <v>0</v>
      </c>
      <c r="I213" s="42">
        <v>2.66</v>
      </c>
      <c r="J213" s="43">
        <v>0.01</v>
      </c>
      <c r="K213" s="42">
        <v>2.8</v>
      </c>
      <c r="L213" s="43">
        <v>0</v>
      </c>
      <c r="M213" s="42">
        <v>2.94</v>
      </c>
      <c r="N213" s="43">
        <v>0.01</v>
      </c>
      <c r="O213" s="42">
        <v>3.06</v>
      </c>
      <c r="P213" s="43">
        <v>0.02</v>
      </c>
      <c r="Q213" s="42">
        <v>3.23</v>
      </c>
      <c r="R213" s="43">
        <v>0.01</v>
      </c>
      <c r="S213" s="42">
        <v>3.73</v>
      </c>
      <c r="T213" s="43">
        <v>0</v>
      </c>
      <c r="U213" s="42">
        <v>4.01</v>
      </c>
      <c r="V213" s="47">
        <v>0.02</v>
      </c>
    </row>
    <row r="214" spans="2:22">
      <c r="B214" s="55">
        <v>44817</v>
      </c>
      <c r="C214" s="52">
        <v>2.44</v>
      </c>
      <c r="D214" s="43">
        <v>0</v>
      </c>
      <c r="E214" s="42">
        <v>2.5</v>
      </c>
      <c r="F214" s="43">
        <v>0</v>
      </c>
      <c r="G214" s="42">
        <v>2.56</v>
      </c>
      <c r="H214" s="43">
        <v>0</v>
      </c>
      <c r="I214" s="42">
        <v>2.65</v>
      </c>
      <c r="J214" s="43">
        <v>0</v>
      </c>
      <c r="K214" s="42">
        <v>2.8</v>
      </c>
      <c r="L214" s="43">
        <v>0.01</v>
      </c>
      <c r="M214" s="42">
        <v>2.93</v>
      </c>
      <c r="N214" s="43">
        <v>0</v>
      </c>
      <c r="O214" s="42">
        <v>3.04</v>
      </c>
      <c r="P214" s="43">
        <v>0</v>
      </c>
      <c r="Q214" s="42">
        <v>3.22</v>
      </c>
      <c r="R214" s="43">
        <v>0</v>
      </c>
      <c r="S214" s="42">
        <v>3.73</v>
      </c>
      <c r="T214" s="43">
        <v>0.03</v>
      </c>
      <c r="U214" s="42">
        <v>3.99</v>
      </c>
      <c r="V214" s="47">
        <v>0.02</v>
      </c>
    </row>
    <row r="215" spans="2:22">
      <c r="B215" s="55">
        <v>44812</v>
      </c>
      <c r="C215" s="52">
        <v>2.44</v>
      </c>
      <c r="D215" s="43">
        <v>0.03</v>
      </c>
      <c r="E215" s="42">
        <v>2.5</v>
      </c>
      <c r="F215" s="43">
        <v>0</v>
      </c>
      <c r="G215" s="42">
        <v>2.56</v>
      </c>
      <c r="H215" s="43">
        <v>0</v>
      </c>
      <c r="I215" s="42">
        <v>2.65</v>
      </c>
      <c r="J215" s="43">
        <v>0</v>
      </c>
      <c r="K215" s="42">
        <v>2.79</v>
      </c>
      <c r="L215" s="43">
        <v>0</v>
      </c>
      <c r="M215" s="42">
        <v>2.93</v>
      </c>
      <c r="N215" s="43">
        <v>0</v>
      </c>
      <c r="O215" s="42">
        <v>3.04</v>
      </c>
      <c r="P215" s="43">
        <v>0.02</v>
      </c>
      <c r="Q215" s="42">
        <v>3.22</v>
      </c>
      <c r="R215" s="43">
        <v>0.01</v>
      </c>
      <c r="S215" s="42">
        <v>3.7</v>
      </c>
      <c r="T215" s="43">
        <v>0.03</v>
      </c>
      <c r="U215" s="42">
        <v>3.97</v>
      </c>
      <c r="V215" s="47">
        <v>-0.01</v>
      </c>
    </row>
    <row r="216" spans="2:22">
      <c r="B216" s="55">
        <v>44811</v>
      </c>
      <c r="C216" s="52">
        <v>2.41</v>
      </c>
      <c r="D216" s="43">
        <v>0</v>
      </c>
      <c r="E216" s="42">
        <v>2.5</v>
      </c>
      <c r="F216" s="43">
        <v>0</v>
      </c>
      <c r="G216" s="42">
        <v>2.56</v>
      </c>
      <c r="H216" s="43">
        <v>0</v>
      </c>
      <c r="I216" s="42">
        <v>2.65</v>
      </c>
      <c r="J216" s="43">
        <v>0</v>
      </c>
      <c r="K216" s="42">
        <v>2.79</v>
      </c>
      <c r="L216" s="43">
        <v>0.01</v>
      </c>
      <c r="M216" s="42">
        <v>2.93</v>
      </c>
      <c r="N216" s="43">
        <v>0</v>
      </c>
      <c r="O216" s="42">
        <v>3.02</v>
      </c>
      <c r="P216" s="43">
        <v>0.01</v>
      </c>
      <c r="Q216" s="42">
        <v>3.21</v>
      </c>
      <c r="R216" s="43">
        <v>0</v>
      </c>
      <c r="S216" s="42">
        <v>3.67</v>
      </c>
      <c r="T216" s="43">
        <v>0.01</v>
      </c>
      <c r="U216" s="42">
        <v>3.98</v>
      </c>
      <c r="V216" s="47">
        <v>0.02</v>
      </c>
    </row>
    <row r="217" spans="2:22">
      <c r="B217" s="55">
        <v>44810</v>
      </c>
      <c r="C217" s="52">
        <v>2.41</v>
      </c>
      <c r="D217" s="43">
        <v>0</v>
      </c>
      <c r="E217" s="42">
        <v>2.5</v>
      </c>
      <c r="F217" s="43">
        <v>0</v>
      </c>
      <c r="G217" s="42">
        <v>2.56</v>
      </c>
      <c r="H217" s="43">
        <v>0</v>
      </c>
      <c r="I217" s="42">
        <v>2.65</v>
      </c>
      <c r="J217" s="43">
        <v>0</v>
      </c>
      <c r="K217" s="42">
        <v>2.78</v>
      </c>
      <c r="L217" s="43">
        <v>0</v>
      </c>
      <c r="M217" s="42">
        <v>2.93</v>
      </c>
      <c r="N217" s="43">
        <v>0</v>
      </c>
      <c r="O217" s="42">
        <v>3.01</v>
      </c>
      <c r="P217" s="43">
        <v>0.01</v>
      </c>
      <c r="Q217" s="42">
        <v>3.21</v>
      </c>
      <c r="R217" s="43">
        <v>0.02</v>
      </c>
      <c r="S217" s="42">
        <v>3.66</v>
      </c>
      <c r="T217" s="43">
        <v>0.05</v>
      </c>
      <c r="U217" s="42">
        <v>3.96</v>
      </c>
      <c r="V217" s="47">
        <v>0.03</v>
      </c>
    </row>
    <row r="218" spans="2:22">
      <c r="B218" s="55">
        <v>44809</v>
      </c>
      <c r="C218" s="52">
        <v>2.41</v>
      </c>
      <c r="D218" s="43">
        <v>-0.01</v>
      </c>
      <c r="E218" s="42">
        <v>2.5</v>
      </c>
      <c r="F218" s="43">
        <v>0</v>
      </c>
      <c r="G218" s="42">
        <v>2.56</v>
      </c>
      <c r="H218" s="43">
        <v>0</v>
      </c>
      <c r="I218" s="42">
        <v>2.65</v>
      </c>
      <c r="J218" s="43">
        <v>0</v>
      </c>
      <c r="K218" s="42">
        <v>2.78</v>
      </c>
      <c r="L218" s="43">
        <v>0.01</v>
      </c>
      <c r="M218" s="42">
        <v>2.93</v>
      </c>
      <c r="N218" s="43">
        <v>0</v>
      </c>
      <c r="O218" s="42">
        <v>3</v>
      </c>
      <c r="P218" s="43">
        <v>0</v>
      </c>
      <c r="Q218" s="42">
        <v>3.19</v>
      </c>
      <c r="R218" s="43">
        <v>0</v>
      </c>
      <c r="S218" s="42">
        <v>3.61</v>
      </c>
      <c r="T218" s="43">
        <v>0</v>
      </c>
      <c r="U218" s="42">
        <v>3.93</v>
      </c>
      <c r="V218" s="47">
        <v>-0.01</v>
      </c>
    </row>
    <row r="219" spans="2:22">
      <c r="B219" s="55">
        <v>44806</v>
      </c>
      <c r="C219" s="52">
        <v>2.42</v>
      </c>
      <c r="D219" s="43">
        <v>-0.01</v>
      </c>
      <c r="E219" s="42">
        <v>2.5</v>
      </c>
      <c r="F219" s="43">
        <v>0</v>
      </c>
      <c r="G219" s="42">
        <v>2.56</v>
      </c>
      <c r="H219" s="43">
        <v>0</v>
      </c>
      <c r="I219" s="42">
        <v>2.65</v>
      </c>
      <c r="J219" s="43">
        <v>0</v>
      </c>
      <c r="K219" s="42">
        <v>2.77</v>
      </c>
      <c r="L219" s="43">
        <v>0</v>
      </c>
      <c r="M219" s="42">
        <v>2.93</v>
      </c>
      <c r="N219" s="43">
        <v>0.01</v>
      </c>
      <c r="O219" s="42">
        <v>3</v>
      </c>
      <c r="P219" s="43">
        <v>0</v>
      </c>
      <c r="Q219" s="42">
        <v>3.19</v>
      </c>
      <c r="R219" s="43">
        <v>0</v>
      </c>
      <c r="S219" s="42">
        <v>3.61</v>
      </c>
      <c r="T219" s="43">
        <v>0</v>
      </c>
      <c r="U219" s="42">
        <v>3.94</v>
      </c>
      <c r="V219" s="47">
        <v>-0.03</v>
      </c>
    </row>
    <row r="220" spans="2:22">
      <c r="B220" s="55">
        <v>44805</v>
      </c>
      <c r="C220" s="52">
        <v>2.4300000000000002</v>
      </c>
      <c r="D220" s="43">
        <v>-0.02</v>
      </c>
      <c r="E220" s="42">
        <v>2.5</v>
      </c>
      <c r="F220" s="43">
        <v>0</v>
      </c>
      <c r="G220" s="42">
        <v>2.56</v>
      </c>
      <c r="H220" s="43">
        <v>0</v>
      </c>
      <c r="I220" s="42">
        <v>2.65</v>
      </c>
      <c r="J220" s="43">
        <v>0</v>
      </c>
      <c r="K220" s="42">
        <v>2.77</v>
      </c>
      <c r="L220" s="43">
        <v>0</v>
      </c>
      <c r="M220" s="42">
        <v>2.92</v>
      </c>
      <c r="N220" s="43">
        <v>0</v>
      </c>
      <c r="O220" s="42">
        <v>3</v>
      </c>
      <c r="P220" s="43">
        <v>0</v>
      </c>
      <c r="Q220" s="42">
        <v>3.19</v>
      </c>
      <c r="R220" s="43">
        <v>0</v>
      </c>
      <c r="S220" s="42">
        <v>3.61</v>
      </c>
      <c r="T220" s="43">
        <v>0</v>
      </c>
      <c r="U220" s="42">
        <v>3.97</v>
      </c>
      <c r="V220" s="47">
        <v>0.03</v>
      </c>
    </row>
    <row r="221" spans="2:22">
      <c r="B221" s="55">
        <v>44804</v>
      </c>
      <c r="C221" s="52">
        <v>2.4500000000000002</v>
      </c>
      <c r="D221" s="43">
        <v>0.02</v>
      </c>
      <c r="E221" s="42">
        <v>2.5</v>
      </c>
      <c r="F221" s="43">
        <v>0.01</v>
      </c>
      <c r="G221" s="42">
        <v>2.56</v>
      </c>
      <c r="H221" s="43">
        <v>0</v>
      </c>
      <c r="I221" s="42">
        <v>2.65</v>
      </c>
      <c r="J221" s="43">
        <v>0.01</v>
      </c>
      <c r="K221" s="42">
        <v>2.77</v>
      </c>
      <c r="L221" s="43">
        <v>0.01</v>
      </c>
      <c r="M221" s="42">
        <v>2.92</v>
      </c>
      <c r="N221" s="43">
        <v>0</v>
      </c>
      <c r="O221" s="42">
        <v>3</v>
      </c>
      <c r="P221" s="43">
        <v>0</v>
      </c>
      <c r="Q221" s="42">
        <v>3.19</v>
      </c>
      <c r="R221" s="43">
        <v>0</v>
      </c>
      <c r="S221" s="42">
        <v>3.61</v>
      </c>
      <c r="T221" s="43">
        <v>0.01</v>
      </c>
      <c r="U221" s="42">
        <v>3.94</v>
      </c>
      <c r="V221" s="47">
        <v>0.01</v>
      </c>
    </row>
    <row r="222" spans="2:22">
      <c r="B222" s="55">
        <v>44803</v>
      </c>
      <c r="C222" s="52">
        <v>2.4300000000000002</v>
      </c>
      <c r="D222" s="43">
        <v>0</v>
      </c>
      <c r="E222" s="42">
        <v>2.4900000000000002</v>
      </c>
      <c r="F222" s="43">
        <v>0</v>
      </c>
      <c r="G222" s="42">
        <v>2.56</v>
      </c>
      <c r="H222" s="43">
        <v>0</v>
      </c>
      <c r="I222" s="42">
        <v>2.64</v>
      </c>
      <c r="J222" s="43">
        <v>0</v>
      </c>
      <c r="K222" s="42">
        <v>2.76</v>
      </c>
      <c r="L222" s="43">
        <v>0.02</v>
      </c>
      <c r="M222" s="42">
        <v>2.92</v>
      </c>
      <c r="N222" s="43">
        <v>0</v>
      </c>
      <c r="O222" s="42">
        <v>3</v>
      </c>
      <c r="P222" s="43">
        <v>0.01</v>
      </c>
      <c r="Q222" s="42">
        <v>3.19</v>
      </c>
      <c r="R222" s="43">
        <v>0.01</v>
      </c>
      <c r="S222" s="42">
        <v>3.6</v>
      </c>
      <c r="T222" s="43">
        <v>0</v>
      </c>
      <c r="U222" s="42">
        <v>3.93</v>
      </c>
      <c r="V222" s="47">
        <v>-0.01</v>
      </c>
    </row>
    <row r="223" spans="2:22">
      <c r="B223" s="55">
        <v>44802</v>
      </c>
      <c r="C223" s="52">
        <v>2.4300000000000002</v>
      </c>
      <c r="D223" s="43">
        <v>-0.01</v>
      </c>
      <c r="E223" s="42">
        <v>2.4900000000000002</v>
      </c>
      <c r="F223" s="43">
        <v>-0.01</v>
      </c>
      <c r="G223" s="42">
        <v>2.56</v>
      </c>
      <c r="H223" s="43">
        <v>-0.01</v>
      </c>
      <c r="I223" s="42">
        <v>2.64</v>
      </c>
      <c r="J223" s="43">
        <v>0</v>
      </c>
      <c r="K223" s="42">
        <v>2.74</v>
      </c>
      <c r="L223" s="43">
        <v>0</v>
      </c>
      <c r="M223" s="42">
        <v>2.92</v>
      </c>
      <c r="N223" s="43">
        <v>0</v>
      </c>
      <c r="O223" s="42">
        <v>2.99</v>
      </c>
      <c r="P223" s="43">
        <v>0.01</v>
      </c>
      <c r="Q223" s="42">
        <v>3.18</v>
      </c>
      <c r="R223" s="43">
        <v>0.01</v>
      </c>
      <c r="S223" s="42">
        <v>3.6</v>
      </c>
      <c r="T223" s="43">
        <v>0.02</v>
      </c>
      <c r="U223" s="42">
        <v>3.94</v>
      </c>
      <c r="V223" s="47">
        <v>0.05</v>
      </c>
    </row>
    <row r="224" spans="2:22">
      <c r="B224" s="55">
        <v>44799</v>
      </c>
      <c r="C224" s="52">
        <v>2.44</v>
      </c>
      <c r="D224" s="43">
        <v>-0.01</v>
      </c>
      <c r="E224" s="42">
        <v>2.5</v>
      </c>
      <c r="F224" s="43">
        <v>-0.02</v>
      </c>
      <c r="G224" s="42">
        <v>2.57</v>
      </c>
      <c r="H224" s="43">
        <v>-0.02</v>
      </c>
      <c r="I224" s="42">
        <v>2.64</v>
      </c>
      <c r="J224" s="43">
        <v>-0.02</v>
      </c>
      <c r="K224" s="42">
        <v>2.74</v>
      </c>
      <c r="L224" s="43">
        <v>-0.01</v>
      </c>
      <c r="M224" s="42">
        <v>2.92</v>
      </c>
      <c r="N224" s="43">
        <v>0</v>
      </c>
      <c r="O224" s="42">
        <v>2.98</v>
      </c>
      <c r="P224" s="43">
        <v>0.01</v>
      </c>
      <c r="Q224" s="42">
        <v>3.17</v>
      </c>
      <c r="R224" s="43">
        <v>0.03</v>
      </c>
      <c r="S224" s="42">
        <v>3.58</v>
      </c>
      <c r="T224" s="43">
        <v>7.0000000000000007E-2</v>
      </c>
      <c r="U224" s="42">
        <v>3.89</v>
      </c>
      <c r="V224" s="47">
        <v>0.05</v>
      </c>
    </row>
    <row r="225" spans="2:22">
      <c r="B225" s="55">
        <v>44798</v>
      </c>
      <c r="C225" s="52">
        <v>2.4500000000000002</v>
      </c>
      <c r="D225" s="43">
        <v>0.24</v>
      </c>
      <c r="E225" s="42">
        <v>2.52</v>
      </c>
      <c r="F225" s="43">
        <v>0.21</v>
      </c>
      <c r="G225" s="42">
        <v>2.59</v>
      </c>
      <c r="H225" s="43">
        <v>0.2</v>
      </c>
      <c r="I225" s="42">
        <v>2.66</v>
      </c>
      <c r="J225" s="43">
        <v>0.18</v>
      </c>
      <c r="K225" s="42">
        <v>2.75</v>
      </c>
      <c r="L225" s="43">
        <v>0.17</v>
      </c>
      <c r="M225" s="42">
        <v>2.92</v>
      </c>
      <c r="N225" s="43">
        <v>0.16</v>
      </c>
      <c r="O225" s="42">
        <v>2.97</v>
      </c>
      <c r="P225" s="43">
        <v>0.15</v>
      </c>
      <c r="Q225" s="42">
        <v>3.14</v>
      </c>
      <c r="R225" s="43">
        <v>7.0000000000000007E-2</v>
      </c>
      <c r="S225" s="42">
        <v>3.51</v>
      </c>
      <c r="T225" s="43">
        <v>7.0000000000000007E-2</v>
      </c>
      <c r="U225" s="42">
        <v>3.84</v>
      </c>
      <c r="V225" s="47">
        <v>7.0000000000000007E-2</v>
      </c>
    </row>
    <row r="226" spans="2:22">
      <c r="B226" s="55">
        <v>44797</v>
      </c>
      <c r="C226" s="52">
        <v>2.21</v>
      </c>
      <c r="D226" s="43">
        <v>0</v>
      </c>
      <c r="E226" s="42">
        <v>2.31</v>
      </c>
      <c r="F226" s="43">
        <v>0.01</v>
      </c>
      <c r="G226" s="42">
        <v>2.39</v>
      </c>
      <c r="H226" s="43">
        <v>0.01</v>
      </c>
      <c r="I226" s="42">
        <v>2.48</v>
      </c>
      <c r="J226" s="43">
        <v>0.01</v>
      </c>
      <c r="K226" s="42">
        <v>2.58</v>
      </c>
      <c r="L226" s="43">
        <v>0.01</v>
      </c>
      <c r="M226" s="42">
        <v>2.76</v>
      </c>
      <c r="N226" s="43">
        <v>0</v>
      </c>
      <c r="O226" s="42">
        <v>2.82</v>
      </c>
      <c r="P226" s="43">
        <v>0</v>
      </c>
      <c r="Q226" s="42">
        <v>3.07</v>
      </c>
      <c r="R226" s="43">
        <v>0.02</v>
      </c>
      <c r="S226" s="42">
        <v>3.44</v>
      </c>
      <c r="T226" s="43">
        <v>0.03</v>
      </c>
      <c r="U226" s="42">
        <v>3.77</v>
      </c>
      <c r="V226" s="47">
        <v>0.02</v>
      </c>
    </row>
    <row r="227" spans="2:22">
      <c r="B227" s="55">
        <v>44796</v>
      </c>
      <c r="C227" s="52">
        <v>2.21</v>
      </c>
      <c r="D227" s="43">
        <v>0</v>
      </c>
      <c r="E227" s="42">
        <v>2.2999999999999998</v>
      </c>
      <c r="F227" s="43">
        <v>0</v>
      </c>
      <c r="G227" s="42">
        <v>2.38</v>
      </c>
      <c r="H227" s="43">
        <v>0</v>
      </c>
      <c r="I227" s="42">
        <v>2.4700000000000002</v>
      </c>
      <c r="J227" s="43">
        <v>0</v>
      </c>
      <c r="K227" s="42">
        <v>2.57</v>
      </c>
      <c r="L227" s="43">
        <v>0</v>
      </c>
      <c r="M227" s="42">
        <v>2.76</v>
      </c>
      <c r="N227" s="43">
        <v>0</v>
      </c>
      <c r="O227" s="42">
        <v>2.82</v>
      </c>
      <c r="P227" s="43">
        <v>0</v>
      </c>
      <c r="Q227" s="42">
        <v>3.05</v>
      </c>
      <c r="R227" s="43">
        <v>0</v>
      </c>
      <c r="S227" s="42">
        <v>3.41</v>
      </c>
      <c r="T227" s="43">
        <v>-0.01</v>
      </c>
      <c r="U227" s="42">
        <v>3.75</v>
      </c>
      <c r="V227" s="47">
        <v>0.01</v>
      </c>
    </row>
    <row r="228" spans="2:22">
      <c r="B228" s="55">
        <v>44795</v>
      </c>
      <c r="C228" s="52">
        <v>2.21</v>
      </c>
      <c r="D228" s="43">
        <v>0.01</v>
      </c>
      <c r="E228" s="42">
        <v>2.2999999999999998</v>
      </c>
      <c r="F228" s="43">
        <v>0</v>
      </c>
      <c r="G228" s="42">
        <v>2.38</v>
      </c>
      <c r="H228" s="43">
        <v>0</v>
      </c>
      <c r="I228" s="42">
        <v>2.4700000000000002</v>
      </c>
      <c r="J228" s="43">
        <v>0</v>
      </c>
      <c r="K228" s="42">
        <v>2.57</v>
      </c>
      <c r="L228" s="43">
        <v>0</v>
      </c>
      <c r="M228" s="42">
        <v>2.76</v>
      </c>
      <c r="N228" s="43">
        <v>0</v>
      </c>
      <c r="O228" s="42">
        <v>2.82</v>
      </c>
      <c r="P228" s="43">
        <v>-0.01</v>
      </c>
      <c r="Q228" s="42">
        <v>3.05</v>
      </c>
      <c r="R228" s="43">
        <v>0</v>
      </c>
      <c r="S228" s="42">
        <v>3.42</v>
      </c>
      <c r="T228" s="43">
        <v>0</v>
      </c>
      <c r="U228" s="42">
        <v>3.74</v>
      </c>
      <c r="V228" s="47">
        <v>0</v>
      </c>
    </row>
    <row r="229" spans="2:22">
      <c r="B229" s="55">
        <v>44792</v>
      </c>
      <c r="C229" s="52">
        <v>2.2000000000000002</v>
      </c>
      <c r="D229" s="43">
        <v>0.01</v>
      </c>
      <c r="E229" s="42">
        <v>2.2999999999999998</v>
      </c>
      <c r="F229" s="43">
        <v>0</v>
      </c>
      <c r="G229" s="42">
        <v>2.38</v>
      </c>
      <c r="H229" s="43">
        <v>0</v>
      </c>
      <c r="I229" s="42">
        <v>2.4700000000000002</v>
      </c>
      <c r="J229" s="43">
        <v>0</v>
      </c>
      <c r="K229" s="42">
        <v>2.57</v>
      </c>
      <c r="L229" s="43">
        <v>0</v>
      </c>
      <c r="M229" s="42">
        <v>2.76</v>
      </c>
      <c r="N229" s="43">
        <v>0</v>
      </c>
      <c r="O229" s="42">
        <v>2.83</v>
      </c>
      <c r="P229" s="43">
        <v>0</v>
      </c>
      <c r="Q229" s="42">
        <v>3.05</v>
      </c>
      <c r="R229" s="43">
        <v>-0.01</v>
      </c>
      <c r="S229" s="42">
        <v>3.42</v>
      </c>
      <c r="T229" s="43">
        <v>0</v>
      </c>
      <c r="U229" s="42">
        <v>3.74</v>
      </c>
      <c r="V229" s="47">
        <v>0.01</v>
      </c>
    </row>
    <row r="230" spans="2:22">
      <c r="B230" s="55">
        <v>44791</v>
      </c>
      <c r="C230" s="52">
        <v>2.19</v>
      </c>
      <c r="D230" s="43">
        <v>0</v>
      </c>
      <c r="E230" s="42">
        <v>2.2999999999999998</v>
      </c>
      <c r="F230" s="43">
        <v>0</v>
      </c>
      <c r="G230" s="42">
        <v>2.38</v>
      </c>
      <c r="H230" s="43">
        <v>0</v>
      </c>
      <c r="I230" s="42">
        <v>2.4700000000000002</v>
      </c>
      <c r="J230" s="43">
        <v>0</v>
      </c>
      <c r="K230" s="42">
        <v>2.57</v>
      </c>
      <c r="L230" s="43">
        <v>0</v>
      </c>
      <c r="M230" s="42">
        <v>2.76</v>
      </c>
      <c r="N230" s="43">
        <v>0</v>
      </c>
      <c r="O230" s="42">
        <v>2.83</v>
      </c>
      <c r="P230" s="43">
        <v>0</v>
      </c>
      <c r="Q230" s="42">
        <v>3.06</v>
      </c>
      <c r="R230" s="43">
        <v>0</v>
      </c>
      <c r="S230" s="42">
        <v>3.42</v>
      </c>
      <c r="T230" s="43">
        <v>0</v>
      </c>
      <c r="U230" s="42">
        <v>3.73</v>
      </c>
      <c r="V230" s="47">
        <v>0.01</v>
      </c>
    </row>
    <row r="231" spans="2:22">
      <c r="B231" s="55">
        <v>44790</v>
      </c>
      <c r="C231" s="52">
        <v>2.19</v>
      </c>
      <c r="D231" s="43">
        <v>-0.01</v>
      </c>
      <c r="E231" s="42">
        <v>2.2999999999999998</v>
      </c>
      <c r="F231" s="43">
        <v>0</v>
      </c>
      <c r="G231" s="42">
        <v>2.38</v>
      </c>
      <c r="H231" s="43">
        <v>0</v>
      </c>
      <c r="I231" s="42">
        <v>2.4700000000000002</v>
      </c>
      <c r="J231" s="43">
        <v>0</v>
      </c>
      <c r="K231" s="42">
        <v>2.57</v>
      </c>
      <c r="L231" s="43">
        <v>0</v>
      </c>
      <c r="M231" s="42">
        <v>2.76</v>
      </c>
      <c r="N231" s="43">
        <v>0</v>
      </c>
      <c r="O231" s="42">
        <v>2.83</v>
      </c>
      <c r="P231" s="43">
        <v>0</v>
      </c>
      <c r="Q231" s="42">
        <v>3.06</v>
      </c>
      <c r="R231" s="43">
        <v>0</v>
      </c>
      <c r="S231" s="42">
        <v>3.42</v>
      </c>
      <c r="T231" s="43">
        <v>0</v>
      </c>
      <c r="U231" s="42">
        <v>3.72</v>
      </c>
      <c r="V231" s="47">
        <v>0</v>
      </c>
    </row>
    <row r="232" spans="2:22">
      <c r="B232" s="55">
        <v>44789</v>
      </c>
      <c r="C232" s="52">
        <v>2.2000000000000002</v>
      </c>
      <c r="D232" s="43">
        <v>0</v>
      </c>
      <c r="E232" s="42">
        <v>2.2999999999999998</v>
      </c>
      <c r="F232" s="43">
        <v>0</v>
      </c>
      <c r="G232" s="42">
        <v>2.38</v>
      </c>
      <c r="H232" s="43">
        <v>0</v>
      </c>
      <c r="I232" s="42">
        <v>2.4700000000000002</v>
      </c>
      <c r="J232" s="43">
        <v>0</v>
      </c>
      <c r="K232" s="42">
        <v>2.57</v>
      </c>
      <c r="L232" s="43">
        <v>0</v>
      </c>
      <c r="M232" s="42">
        <v>2.76</v>
      </c>
      <c r="N232" s="43">
        <v>0</v>
      </c>
      <c r="O232" s="42">
        <v>2.83</v>
      </c>
      <c r="P232" s="43">
        <v>0</v>
      </c>
      <c r="Q232" s="42">
        <v>3.06</v>
      </c>
      <c r="R232" s="43">
        <v>0</v>
      </c>
      <c r="S232" s="42">
        <v>3.42</v>
      </c>
      <c r="T232" s="43">
        <v>-0.02</v>
      </c>
      <c r="U232" s="42">
        <v>3.72</v>
      </c>
      <c r="V232" s="47">
        <v>-0.03</v>
      </c>
    </row>
    <row r="233" spans="2:22">
      <c r="B233" s="55">
        <v>44785</v>
      </c>
      <c r="C233" s="52">
        <v>2.2000000000000002</v>
      </c>
      <c r="D233" s="43">
        <v>-0.01</v>
      </c>
      <c r="E233" s="42">
        <v>2.2999999999999998</v>
      </c>
      <c r="F233" s="43">
        <v>0</v>
      </c>
      <c r="G233" s="42">
        <v>2.38</v>
      </c>
      <c r="H233" s="43">
        <v>0</v>
      </c>
      <c r="I233" s="42">
        <v>2.4700000000000002</v>
      </c>
      <c r="J233" s="43">
        <v>0</v>
      </c>
      <c r="K233" s="42">
        <v>2.57</v>
      </c>
      <c r="L233" s="43">
        <v>0.01</v>
      </c>
      <c r="M233" s="42">
        <v>2.76</v>
      </c>
      <c r="N233" s="43">
        <v>0</v>
      </c>
      <c r="O233" s="42">
        <v>2.83</v>
      </c>
      <c r="P233" s="43">
        <v>0</v>
      </c>
      <c r="Q233" s="42">
        <v>3.06</v>
      </c>
      <c r="R233" s="43">
        <v>0</v>
      </c>
      <c r="S233" s="42">
        <v>3.44</v>
      </c>
      <c r="T233" s="43">
        <v>-0.05</v>
      </c>
      <c r="U233" s="42">
        <v>3.75</v>
      </c>
      <c r="V233" s="47">
        <v>0</v>
      </c>
    </row>
    <row r="234" spans="2:22">
      <c r="B234" s="55">
        <v>44784</v>
      </c>
      <c r="C234" s="52">
        <v>2.21</v>
      </c>
      <c r="D234" s="43">
        <v>0.01</v>
      </c>
      <c r="E234" s="42">
        <v>2.2999999999999998</v>
      </c>
      <c r="F234" s="43">
        <v>0</v>
      </c>
      <c r="G234" s="42">
        <v>2.38</v>
      </c>
      <c r="H234" s="43">
        <v>0</v>
      </c>
      <c r="I234" s="42">
        <v>2.4700000000000002</v>
      </c>
      <c r="J234" s="43">
        <v>0</v>
      </c>
      <c r="K234" s="42">
        <v>2.56</v>
      </c>
      <c r="L234" s="43">
        <v>0</v>
      </c>
      <c r="M234" s="42">
        <v>2.76</v>
      </c>
      <c r="N234" s="43">
        <v>0</v>
      </c>
      <c r="O234" s="42">
        <v>2.83</v>
      </c>
      <c r="P234" s="43">
        <v>0</v>
      </c>
      <c r="Q234" s="42">
        <v>3.06</v>
      </c>
      <c r="R234" s="43">
        <v>0</v>
      </c>
      <c r="S234" s="42">
        <v>3.49</v>
      </c>
      <c r="T234" s="43">
        <v>-0.05</v>
      </c>
      <c r="U234" s="42">
        <v>3.75</v>
      </c>
      <c r="V234" s="47">
        <v>-0.03</v>
      </c>
    </row>
    <row r="235" spans="2:22">
      <c r="B235" s="55">
        <v>44783</v>
      </c>
      <c r="C235" s="52">
        <v>2.2000000000000002</v>
      </c>
      <c r="D235" s="43">
        <v>0</v>
      </c>
      <c r="E235" s="42">
        <v>2.2999999999999998</v>
      </c>
      <c r="F235" s="43">
        <v>0</v>
      </c>
      <c r="G235" s="42">
        <v>2.38</v>
      </c>
      <c r="H235" s="43">
        <v>0</v>
      </c>
      <c r="I235" s="42">
        <v>2.4700000000000002</v>
      </c>
      <c r="J235" s="43">
        <v>0</v>
      </c>
      <c r="K235" s="42">
        <v>2.56</v>
      </c>
      <c r="L235" s="43">
        <v>0</v>
      </c>
      <c r="M235" s="42">
        <v>2.76</v>
      </c>
      <c r="N235" s="43">
        <v>0.01</v>
      </c>
      <c r="O235" s="42">
        <v>2.83</v>
      </c>
      <c r="P235" s="43">
        <v>0</v>
      </c>
      <c r="Q235" s="42">
        <v>3.06</v>
      </c>
      <c r="R235" s="43">
        <v>0</v>
      </c>
      <c r="S235" s="42">
        <v>3.54</v>
      </c>
      <c r="T235" s="43">
        <v>0</v>
      </c>
      <c r="U235" s="42">
        <v>3.78</v>
      </c>
      <c r="V235" s="47">
        <v>0</v>
      </c>
    </row>
    <row r="236" spans="2:22">
      <c r="B236" s="55">
        <v>44782</v>
      </c>
      <c r="C236" s="52">
        <v>2.2000000000000002</v>
      </c>
      <c r="D236" s="43">
        <v>0</v>
      </c>
      <c r="E236" s="42">
        <v>2.2999999999999998</v>
      </c>
      <c r="F236" s="43">
        <v>0</v>
      </c>
      <c r="G236" s="42">
        <v>2.38</v>
      </c>
      <c r="H236" s="43">
        <v>0</v>
      </c>
      <c r="I236" s="42">
        <v>2.4700000000000002</v>
      </c>
      <c r="J236" s="43">
        <v>0</v>
      </c>
      <c r="K236" s="42">
        <v>2.56</v>
      </c>
      <c r="L236" s="43">
        <v>0</v>
      </c>
      <c r="M236" s="42">
        <v>2.75</v>
      </c>
      <c r="N236" s="43">
        <v>0</v>
      </c>
      <c r="O236" s="42">
        <v>2.83</v>
      </c>
      <c r="P236" s="43">
        <v>0</v>
      </c>
      <c r="Q236" s="42">
        <v>3.06</v>
      </c>
      <c r="R236" s="43">
        <v>0</v>
      </c>
      <c r="S236" s="42">
        <v>3.54</v>
      </c>
      <c r="T236" s="43">
        <v>0</v>
      </c>
      <c r="U236" s="42">
        <v>3.78</v>
      </c>
      <c r="V236" s="47">
        <v>0</v>
      </c>
    </row>
    <row r="237" spans="2:22">
      <c r="B237" s="55">
        <v>44781</v>
      </c>
      <c r="C237" s="52">
        <v>2.2000000000000002</v>
      </c>
      <c r="D237" s="43">
        <v>0</v>
      </c>
      <c r="E237" s="42">
        <v>2.2999999999999998</v>
      </c>
      <c r="F237" s="43">
        <v>0</v>
      </c>
      <c r="G237" s="42">
        <v>2.38</v>
      </c>
      <c r="H237" s="43">
        <v>0</v>
      </c>
      <c r="I237" s="42">
        <v>2.4700000000000002</v>
      </c>
      <c r="J237" s="43">
        <v>0.01</v>
      </c>
      <c r="K237" s="42">
        <v>2.56</v>
      </c>
      <c r="L237" s="43">
        <v>0</v>
      </c>
      <c r="M237" s="42">
        <v>2.75</v>
      </c>
      <c r="N237" s="43">
        <v>0.01</v>
      </c>
      <c r="O237" s="42">
        <v>2.83</v>
      </c>
      <c r="P237" s="43">
        <v>0</v>
      </c>
      <c r="Q237" s="42">
        <v>3.06</v>
      </c>
      <c r="R237" s="43">
        <v>0</v>
      </c>
      <c r="S237" s="42">
        <v>3.54</v>
      </c>
      <c r="T237" s="43">
        <v>0</v>
      </c>
      <c r="U237" s="42">
        <v>3.78</v>
      </c>
      <c r="V237" s="47">
        <v>0.01</v>
      </c>
    </row>
    <row r="238" spans="2:22">
      <c r="B238" s="55">
        <v>44778</v>
      </c>
      <c r="C238" s="52">
        <v>2.2000000000000002</v>
      </c>
      <c r="D238" s="43">
        <v>0.01</v>
      </c>
      <c r="E238" s="42">
        <v>2.2999999999999998</v>
      </c>
      <c r="F238" s="43">
        <v>0</v>
      </c>
      <c r="G238" s="42">
        <v>2.38</v>
      </c>
      <c r="H238" s="43">
        <v>0</v>
      </c>
      <c r="I238" s="42">
        <v>2.46</v>
      </c>
      <c r="J238" s="43">
        <v>0</v>
      </c>
      <c r="K238" s="42">
        <v>2.56</v>
      </c>
      <c r="L238" s="43">
        <v>0</v>
      </c>
      <c r="M238" s="42">
        <v>2.74</v>
      </c>
      <c r="N238" s="43">
        <v>0</v>
      </c>
      <c r="O238" s="42">
        <v>2.83</v>
      </c>
      <c r="P238" s="43">
        <v>0</v>
      </c>
      <c r="Q238" s="42">
        <v>3.06</v>
      </c>
      <c r="R238" s="43">
        <v>0</v>
      </c>
      <c r="S238" s="42">
        <v>3.54</v>
      </c>
      <c r="T238" s="43">
        <v>0</v>
      </c>
      <c r="U238" s="42">
        <v>3.77</v>
      </c>
      <c r="V238" s="47">
        <v>-0.01</v>
      </c>
    </row>
    <row r="239" spans="2:22">
      <c r="B239" s="55">
        <v>44777</v>
      </c>
      <c r="C239" s="52">
        <v>2.19</v>
      </c>
      <c r="D239" s="43">
        <v>-0.01</v>
      </c>
      <c r="E239" s="42">
        <v>2.2999999999999998</v>
      </c>
      <c r="F239" s="43">
        <v>0</v>
      </c>
      <c r="G239" s="42">
        <v>2.38</v>
      </c>
      <c r="H239" s="43">
        <v>0</v>
      </c>
      <c r="I239" s="42">
        <v>2.46</v>
      </c>
      <c r="J239" s="43">
        <v>0</v>
      </c>
      <c r="K239" s="42">
        <v>2.56</v>
      </c>
      <c r="L239" s="43">
        <v>0</v>
      </c>
      <c r="M239" s="42">
        <v>2.74</v>
      </c>
      <c r="N239" s="43">
        <v>0.01</v>
      </c>
      <c r="O239" s="42">
        <v>2.83</v>
      </c>
      <c r="P239" s="43">
        <v>0.01</v>
      </c>
      <c r="Q239" s="42">
        <v>3.06</v>
      </c>
      <c r="R239" s="43">
        <v>0</v>
      </c>
      <c r="S239" s="42">
        <v>3.54</v>
      </c>
      <c r="T239" s="43">
        <v>0</v>
      </c>
      <c r="U239" s="42">
        <v>3.78</v>
      </c>
      <c r="V239" s="47">
        <v>0.01</v>
      </c>
    </row>
    <row r="240" spans="2:22">
      <c r="B240" s="55">
        <v>44776</v>
      </c>
      <c r="C240" s="52">
        <v>2.2000000000000002</v>
      </c>
      <c r="D240" s="43">
        <v>-0.01</v>
      </c>
      <c r="E240" s="42">
        <v>2.2999999999999998</v>
      </c>
      <c r="F240" s="43">
        <v>0</v>
      </c>
      <c r="G240" s="42">
        <v>2.38</v>
      </c>
      <c r="H240" s="43">
        <v>0</v>
      </c>
      <c r="I240" s="42">
        <v>2.46</v>
      </c>
      <c r="J240" s="43">
        <v>0</v>
      </c>
      <c r="K240" s="42">
        <v>2.56</v>
      </c>
      <c r="L240" s="43">
        <v>0</v>
      </c>
      <c r="M240" s="42">
        <v>2.73</v>
      </c>
      <c r="N240" s="43">
        <v>0</v>
      </c>
      <c r="O240" s="42">
        <v>2.82</v>
      </c>
      <c r="P240" s="43">
        <v>0</v>
      </c>
      <c r="Q240" s="42">
        <v>3.06</v>
      </c>
      <c r="R240" s="43">
        <v>0</v>
      </c>
      <c r="S240" s="42">
        <v>3.54</v>
      </c>
      <c r="T240" s="43">
        <v>0</v>
      </c>
      <c r="U240" s="42">
        <v>3.77</v>
      </c>
      <c r="V240" s="47">
        <v>0.01</v>
      </c>
    </row>
    <row r="241" spans="2:22">
      <c r="B241" s="55">
        <v>44775</v>
      </c>
      <c r="C241" s="52">
        <v>2.21</v>
      </c>
      <c r="D241" s="43">
        <v>0</v>
      </c>
      <c r="E241" s="42">
        <v>2.2999999999999998</v>
      </c>
      <c r="F241" s="43">
        <v>0</v>
      </c>
      <c r="G241" s="42">
        <v>2.38</v>
      </c>
      <c r="H241" s="43">
        <v>0</v>
      </c>
      <c r="I241" s="42">
        <v>2.46</v>
      </c>
      <c r="J241" s="43">
        <v>0</v>
      </c>
      <c r="K241" s="42">
        <v>2.56</v>
      </c>
      <c r="L241" s="43">
        <v>0.01</v>
      </c>
      <c r="M241" s="42">
        <v>2.73</v>
      </c>
      <c r="N241" s="43">
        <v>0</v>
      </c>
      <c r="O241" s="42">
        <v>2.82</v>
      </c>
      <c r="P241" s="43">
        <v>0</v>
      </c>
      <c r="Q241" s="42">
        <v>3.06</v>
      </c>
      <c r="R241" s="43">
        <v>0</v>
      </c>
      <c r="S241" s="42">
        <v>3.54</v>
      </c>
      <c r="T241" s="43">
        <v>0</v>
      </c>
      <c r="U241" s="42">
        <v>3.76</v>
      </c>
      <c r="V241" s="47">
        <v>-0.01</v>
      </c>
    </row>
    <row r="242" spans="2:22">
      <c r="B242" s="55">
        <v>44774</v>
      </c>
      <c r="C242" s="52">
        <v>2.21</v>
      </c>
      <c r="D242" s="43">
        <v>0</v>
      </c>
      <c r="E242" s="42">
        <v>2.2999999999999998</v>
      </c>
      <c r="F242" s="43">
        <v>0</v>
      </c>
      <c r="G242" s="42">
        <v>2.38</v>
      </c>
      <c r="H242" s="43">
        <v>0</v>
      </c>
      <c r="I242" s="42">
        <v>2.46</v>
      </c>
      <c r="J242" s="43">
        <v>0</v>
      </c>
      <c r="K242" s="42">
        <v>2.5499999999999998</v>
      </c>
      <c r="L242" s="43">
        <v>0.01</v>
      </c>
      <c r="M242" s="42">
        <v>2.73</v>
      </c>
      <c r="N242" s="43">
        <v>0</v>
      </c>
      <c r="O242" s="42">
        <v>2.82</v>
      </c>
      <c r="P242" s="43">
        <v>0</v>
      </c>
      <c r="Q242" s="42">
        <v>3.06</v>
      </c>
      <c r="R242" s="43">
        <v>0</v>
      </c>
      <c r="S242" s="42">
        <v>3.54</v>
      </c>
      <c r="T242" s="43">
        <v>-0.03</v>
      </c>
      <c r="U242" s="42">
        <v>3.77</v>
      </c>
      <c r="V242" s="47">
        <v>-0.01</v>
      </c>
    </row>
    <row r="243" spans="2:22">
      <c r="B243" s="55">
        <v>44771</v>
      </c>
      <c r="C243" s="52">
        <v>2.21</v>
      </c>
      <c r="D243" s="43">
        <v>0.04</v>
      </c>
      <c r="E243" s="42">
        <v>2.2999999999999998</v>
      </c>
      <c r="F243" s="43">
        <v>0</v>
      </c>
      <c r="G243" s="42">
        <v>2.38</v>
      </c>
      <c r="H243" s="43">
        <v>0</v>
      </c>
      <c r="I243" s="42">
        <v>2.46</v>
      </c>
      <c r="J243" s="43">
        <v>0</v>
      </c>
      <c r="K243" s="42">
        <v>2.54</v>
      </c>
      <c r="L243" s="43">
        <v>0</v>
      </c>
      <c r="M243" s="42">
        <v>2.73</v>
      </c>
      <c r="N243" s="43">
        <v>-0.01</v>
      </c>
      <c r="O243" s="42">
        <v>2.82</v>
      </c>
      <c r="P243" s="43">
        <v>-0.01</v>
      </c>
      <c r="Q243" s="42">
        <v>3.06</v>
      </c>
      <c r="R243" s="43">
        <v>0</v>
      </c>
      <c r="S243" s="42">
        <v>3.57</v>
      </c>
      <c r="T243" s="43">
        <v>-0.05</v>
      </c>
      <c r="U243" s="42">
        <v>3.78</v>
      </c>
      <c r="V243" s="47">
        <v>-0.02</v>
      </c>
    </row>
    <row r="244" spans="2:22">
      <c r="B244" s="55">
        <v>44770</v>
      </c>
      <c r="C244" s="52">
        <v>2.17</v>
      </c>
      <c r="D244" s="43">
        <v>-0.01</v>
      </c>
      <c r="E244" s="42">
        <v>2.2999999999999998</v>
      </c>
      <c r="F244" s="43">
        <v>0</v>
      </c>
      <c r="G244" s="42">
        <v>2.38</v>
      </c>
      <c r="H244" s="43">
        <v>0.01</v>
      </c>
      <c r="I244" s="42">
        <v>2.46</v>
      </c>
      <c r="J244" s="43">
        <v>0.01</v>
      </c>
      <c r="K244" s="42">
        <v>2.54</v>
      </c>
      <c r="L244" s="43">
        <v>0.02</v>
      </c>
      <c r="M244" s="42">
        <v>2.74</v>
      </c>
      <c r="N244" s="43">
        <v>0.06</v>
      </c>
      <c r="O244" s="42">
        <v>2.83</v>
      </c>
      <c r="P244" s="43">
        <v>0.05</v>
      </c>
      <c r="Q244" s="42">
        <v>3.06</v>
      </c>
      <c r="R244" s="43">
        <v>0.02</v>
      </c>
      <c r="S244" s="42">
        <v>3.62</v>
      </c>
      <c r="T244" s="43">
        <v>0</v>
      </c>
      <c r="U244" s="42">
        <v>3.8</v>
      </c>
      <c r="V244" s="47">
        <v>0.01</v>
      </c>
    </row>
    <row r="245" spans="2:22">
      <c r="B245" s="55">
        <v>44769</v>
      </c>
      <c r="C245" s="52">
        <v>2.1800000000000002</v>
      </c>
      <c r="D245" s="43">
        <v>-0.03</v>
      </c>
      <c r="E245" s="42">
        <v>2.2999999999999998</v>
      </c>
      <c r="F245" s="43">
        <v>0</v>
      </c>
      <c r="G245" s="42">
        <v>2.37</v>
      </c>
      <c r="H245" s="43">
        <v>0</v>
      </c>
      <c r="I245" s="42">
        <v>2.4500000000000002</v>
      </c>
      <c r="J245" s="43">
        <v>0.01</v>
      </c>
      <c r="K245" s="42">
        <v>2.52</v>
      </c>
      <c r="L245" s="43">
        <v>0.01</v>
      </c>
      <c r="M245" s="42">
        <v>2.68</v>
      </c>
      <c r="N245" s="43">
        <v>7.0000000000000007E-2</v>
      </c>
      <c r="O245" s="42">
        <v>2.78</v>
      </c>
      <c r="P245" s="43">
        <v>0.04</v>
      </c>
      <c r="Q245" s="42">
        <v>3.04</v>
      </c>
      <c r="R245" s="43">
        <v>0.04</v>
      </c>
      <c r="S245" s="42">
        <v>3.62</v>
      </c>
      <c r="T245" s="43">
        <v>0.01</v>
      </c>
      <c r="U245" s="42">
        <v>3.79</v>
      </c>
      <c r="V245" s="47">
        <v>0</v>
      </c>
    </row>
    <row r="246" spans="2:22">
      <c r="B246" s="55">
        <v>44768</v>
      </c>
      <c r="C246" s="52">
        <v>2.21</v>
      </c>
      <c r="D246" s="43">
        <v>0.01</v>
      </c>
      <c r="E246" s="42">
        <v>2.2999999999999998</v>
      </c>
      <c r="F246" s="43">
        <v>0.01</v>
      </c>
      <c r="G246" s="42">
        <v>2.37</v>
      </c>
      <c r="H246" s="43">
        <v>0.02</v>
      </c>
      <c r="I246" s="42">
        <v>2.44</v>
      </c>
      <c r="J246" s="43">
        <v>0.01</v>
      </c>
      <c r="K246" s="42">
        <v>2.5099999999999998</v>
      </c>
      <c r="L246" s="43">
        <v>0.01</v>
      </c>
      <c r="M246" s="42">
        <v>2.61</v>
      </c>
      <c r="N246" s="43">
        <v>0.02</v>
      </c>
      <c r="O246" s="42">
        <v>2.74</v>
      </c>
      <c r="P246" s="43">
        <v>0.02</v>
      </c>
      <c r="Q246" s="42">
        <v>3</v>
      </c>
      <c r="R246" s="43">
        <v>0.02</v>
      </c>
      <c r="S246" s="42">
        <v>3.61</v>
      </c>
      <c r="T246" s="43">
        <v>0.01</v>
      </c>
      <c r="U246" s="42">
        <v>3.79</v>
      </c>
      <c r="V246" s="47">
        <v>0.01</v>
      </c>
    </row>
    <row r="247" spans="2:22">
      <c r="B247" s="55">
        <v>44767</v>
      </c>
      <c r="C247" s="52">
        <v>2.2000000000000002</v>
      </c>
      <c r="D247" s="43">
        <v>0.01</v>
      </c>
      <c r="E247" s="42">
        <v>2.29</v>
      </c>
      <c r="F247" s="43">
        <v>0.01</v>
      </c>
      <c r="G247" s="42">
        <v>2.35</v>
      </c>
      <c r="H247" s="43">
        <v>0</v>
      </c>
      <c r="I247" s="42">
        <v>2.4300000000000002</v>
      </c>
      <c r="J247" s="43">
        <v>0</v>
      </c>
      <c r="K247" s="42">
        <v>2.5</v>
      </c>
      <c r="L247" s="43">
        <v>0</v>
      </c>
      <c r="M247" s="42">
        <v>2.59</v>
      </c>
      <c r="N247" s="43">
        <v>0.01</v>
      </c>
      <c r="O247" s="42">
        <v>2.72</v>
      </c>
      <c r="P247" s="43">
        <v>0.01</v>
      </c>
      <c r="Q247" s="42">
        <v>2.98</v>
      </c>
      <c r="R247" s="43">
        <v>0</v>
      </c>
      <c r="S247" s="42">
        <v>3.6</v>
      </c>
      <c r="T247" s="43">
        <v>0</v>
      </c>
      <c r="U247" s="42">
        <v>3.78</v>
      </c>
      <c r="V247" s="47">
        <v>0.01</v>
      </c>
    </row>
    <row r="248" spans="2:22">
      <c r="B248" s="55">
        <v>44764</v>
      </c>
      <c r="C248" s="52">
        <v>2.19</v>
      </c>
      <c r="D248" s="43">
        <v>-0.01</v>
      </c>
      <c r="E248" s="42">
        <v>2.2799999999999998</v>
      </c>
      <c r="F248" s="43">
        <v>0</v>
      </c>
      <c r="G248" s="42">
        <v>2.35</v>
      </c>
      <c r="H248" s="43">
        <v>0</v>
      </c>
      <c r="I248" s="42">
        <v>2.4300000000000002</v>
      </c>
      <c r="J248" s="43">
        <v>0</v>
      </c>
      <c r="K248" s="42">
        <v>2.5</v>
      </c>
      <c r="L248" s="43">
        <v>0.01</v>
      </c>
      <c r="M248" s="42">
        <v>2.58</v>
      </c>
      <c r="N248" s="43">
        <v>0</v>
      </c>
      <c r="O248" s="42">
        <v>2.71</v>
      </c>
      <c r="P248" s="43">
        <v>0</v>
      </c>
      <c r="Q248" s="42">
        <v>2.98</v>
      </c>
      <c r="R248" s="43">
        <v>0</v>
      </c>
      <c r="S248" s="42">
        <v>3.6</v>
      </c>
      <c r="T248" s="43">
        <v>0</v>
      </c>
      <c r="U248" s="42">
        <v>3.77</v>
      </c>
      <c r="V248" s="47">
        <v>0</v>
      </c>
    </row>
    <row r="249" spans="2:22">
      <c r="B249" s="55">
        <v>44763</v>
      </c>
      <c r="C249" s="52">
        <v>2.2000000000000002</v>
      </c>
      <c r="D249" s="43">
        <v>0.02</v>
      </c>
      <c r="E249" s="42">
        <v>2.2799999999999998</v>
      </c>
      <c r="F249" s="43">
        <v>0</v>
      </c>
      <c r="G249" s="42">
        <v>2.35</v>
      </c>
      <c r="H249" s="43">
        <v>0</v>
      </c>
      <c r="I249" s="42">
        <v>2.4300000000000002</v>
      </c>
      <c r="J249" s="43">
        <v>0</v>
      </c>
      <c r="K249" s="42">
        <v>2.4900000000000002</v>
      </c>
      <c r="L249" s="43">
        <v>0</v>
      </c>
      <c r="M249" s="42">
        <v>2.58</v>
      </c>
      <c r="N249" s="43">
        <v>0</v>
      </c>
      <c r="O249" s="42">
        <v>2.71</v>
      </c>
      <c r="P249" s="43">
        <v>0</v>
      </c>
      <c r="Q249" s="42">
        <v>2.98</v>
      </c>
      <c r="R249" s="43">
        <v>0</v>
      </c>
      <c r="S249" s="42">
        <v>3.6</v>
      </c>
      <c r="T249" s="43">
        <v>0</v>
      </c>
      <c r="U249" s="42">
        <v>3.77</v>
      </c>
      <c r="V249" s="47">
        <v>0.02</v>
      </c>
    </row>
    <row r="250" spans="2:22">
      <c r="B250" s="55">
        <v>44762</v>
      </c>
      <c r="C250" s="52">
        <v>2.1800000000000002</v>
      </c>
      <c r="D250" s="43">
        <v>0</v>
      </c>
      <c r="E250" s="42">
        <v>2.2799999999999998</v>
      </c>
      <c r="F250" s="43">
        <v>0</v>
      </c>
      <c r="G250" s="42">
        <v>2.35</v>
      </c>
      <c r="H250" s="43">
        <v>0</v>
      </c>
      <c r="I250" s="42">
        <v>2.4300000000000002</v>
      </c>
      <c r="J250" s="43">
        <v>0</v>
      </c>
      <c r="K250" s="42">
        <v>2.4900000000000002</v>
      </c>
      <c r="L250" s="43">
        <v>0</v>
      </c>
      <c r="M250" s="42">
        <v>2.58</v>
      </c>
      <c r="N250" s="43">
        <v>0</v>
      </c>
      <c r="O250" s="42">
        <v>2.71</v>
      </c>
      <c r="P250" s="43">
        <v>0</v>
      </c>
      <c r="Q250" s="42">
        <v>2.98</v>
      </c>
      <c r="R250" s="43">
        <v>0</v>
      </c>
      <c r="S250" s="42">
        <v>3.6</v>
      </c>
      <c r="T250" s="43">
        <v>-0.01</v>
      </c>
      <c r="U250" s="42">
        <v>3.75</v>
      </c>
      <c r="V250" s="47">
        <v>0.03</v>
      </c>
    </row>
    <row r="251" spans="2:22">
      <c r="B251" s="55">
        <v>44761</v>
      </c>
      <c r="C251" s="52">
        <v>2.1800000000000002</v>
      </c>
      <c r="D251" s="43">
        <v>0</v>
      </c>
      <c r="E251" s="42">
        <v>2.2799999999999998</v>
      </c>
      <c r="F251" s="43">
        <v>0</v>
      </c>
      <c r="G251" s="42">
        <v>2.35</v>
      </c>
      <c r="H251" s="43">
        <v>0</v>
      </c>
      <c r="I251" s="42">
        <v>2.4300000000000002</v>
      </c>
      <c r="J251" s="43">
        <v>0</v>
      </c>
      <c r="K251" s="42">
        <v>2.4900000000000002</v>
      </c>
      <c r="L251" s="43">
        <v>-0.01</v>
      </c>
      <c r="M251" s="42">
        <v>2.58</v>
      </c>
      <c r="N251" s="43">
        <v>0</v>
      </c>
      <c r="O251" s="42">
        <v>2.71</v>
      </c>
      <c r="P251" s="43">
        <v>0</v>
      </c>
      <c r="Q251" s="42">
        <v>2.98</v>
      </c>
      <c r="R251" s="43">
        <v>0.01</v>
      </c>
      <c r="S251" s="42">
        <v>3.61</v>
      </c>
      <c r="T251" s="43">
        <v>-0.01</v>
      </c>
      <c r="U251" s="42">
        <v>3.72</v>
      </c>
      <c r="V251" s="47">
        <v>-0.01</v>
      </c>
    </row>
    <row r="252" spans="2:22">
      <c r="B252" s="55">
        <v>44760</v>
      </c>
      <c r="C252" s="52">
        <v>2.1800000000000002</v>
      </c>
      <c r="D252" s="43">
        <v>0</v>
      </c>
      <c r="E252" s="42">
        <v>2.2799999999999998</v>
      </c>
      <c r="F252" s="43">
        <v>0</v>
      </c>
      <c r="G252" s="42">
        <v>2.35</v>
      </c>
      <c r="H252" s="43">
        <v>0</v>
      </c>
      <c r="I252" s="42">
        <v>2.4300000000000002</v>
      </c>
      <c r="J252" s="43">
        <v>0</v>
      </c>
      <c r="K252" s="42">
        <v>2.5</v>
      </c>
      <c r="L252" s="43">
        <v>0.01</v>
      </c>
      <c r="M252" s="42">
        <v>2.58</v>
      </c>
      <c r="N252" s="43">
        <v>0</v>
      </c>
      <c r="O252" s="42">
        <v>2.71</v>
      </c>
      <c r="P252" s="43">
        <v>0</v>
      </c>
      <c r="Q252" s="42">
        <v>2.97</v>
      </c>
      <c r="R252" s="43">
        <v>0.02</v>
      </c>
      <c r="S252" s="42">
        <v>3.62</v>
      </c>
      <c r="T252" s="43">
        <v>0</v>
      </c>
      <c r="U252" s="42">
        <v>3.73</v>
      </c>
      <c r="V252" s="47">
        <v>0.01</v>
      </c>
    </row>
    <row r="253" spans="2:22">
      <c r="B253" s="55">
        <v>44757</v>
      </c>
      <c r="C253" s="52">
        <v>2.1800000000000002</v>
      </c>
      <c r="D253" s="43">
        <v>-0.03</v>
      </c>
      <c r="E253" s="42">
        <v>2.2799999999999998</v>
      </c>
      <c r="F253" s="43">
        <v>0</v>
      </c>
      <c r="G253" s="42">
        <v>2.35</v>
      </c>
      <c r="H253" s="43">
        <v>-0.01</v>
      </c>
      <c r="I253" s="42">
        <v>2.4300000000000002</v>
      </c>
      <c r="J253" s="43">
        <v>0</v>
      </c>
      <c r="K253" s="42">
        <v>2.4900000000000002</v>
      </c>
      <c r="L253" s="43">
        <v>0.01</v>
      </c>
      <c r="M253" s="42">
        <v>2.58</v>
      </c>
      <c r="N253" s="43">
        <v>0</v>
      </c>
      <c r="O253" s="42">
        <v>2.71</v>
      </c>
      <c r="P253" s="43">
        <v>0.03</v>
      </c>
      <c r="Q253" s="42">
        <v>2.95</v>
      </c>
      <c r="R253" s="43">
        <v>0.04</v>
      </c>
      <c r="S253" s="42">
        <v>3.62</v>
      </c>
      <c r="T253" s="43">
        <v>0</v>
      </c>
      <c r="U253" s="42">
        <v>3.72</v>
      </c>
      <c r="V253" s="47">
        <v>0</v>
      </c>
    </row>
    <row r="254" spans="2:22">
      <c r="B254" s="55">
        <v>44756</v>
      </c>
      <c r="C254" s="52">
        <v>2.21</v>
      </c>
      <c r="D254" s="43">
        <v>-0.01</v>
      </c>
      <c r="E254" s="42">
        <v>2.2799999999999998</v>
      </c>
      <c r="F254" s="43">
        <v>0</v>
      </c>
      <c r="G254" s="42">
        <v>2.36</v>
      </c>
      <c r="H254" s="43">
        <v>0</v>
      </c>
      <c r="I254" s="42">
        <v>2.4300000000000002</v>
      </c>
      <c r="J254" s="43">
        <v>0.01</v>
      </c>
      <c r="K254" s="42">
        <v>2.48</v>
      </c>
      <c r="L254" s="43">
        <v>0.01</v>
      </c>
      <c r="M254" s="42">
        <v>2.58</v>
      </c>
      <c r="N254" s="43">
        <v>0.01</v>
      </c>
      <c r="O254" s="42">
        <v>2.68</v>
      </c>
      <c r="P254" s="43">
        <v>0.04</v>
      </c>
      <c r="Q254" s="42">
        <v>2.91</v>
      </c>
      <c r="R254" s="43">
        <v>0.08</v>
      </c>
      <c r="S254" s="42">
        <v>3.62</v>
      </c>
      <c r="T254" s="43">
        <v>0.02</v>
      </c>
      <c r="U254" s="42">
        <v>3.72</v>
      </c>
      <c r="V254" s="47">
        <v>0.02</v>
      </c>
    </row>
    <row r="255" spans="2:22" ht="17.25" thickBot="1">
      <c r="B255" s="56">
        <v>44755</v>
      </c>
      <c r="C255" s="53">
        <v>2.2200000000000002</v>
      </c>
      <c r="D255" s="49">
        <v>0.45</v>
      </c>
      <c r="E255" s="48">
        <v>2.2799999999999998</v>
      </c>
      <c r="F255" s="49">
        <v>0.43</v>
      </c>
      <c r="G255" s="48">
        <v>2.36</v>
      </c>
      <c r="H255" s="49">
        <v>0.44</v>
      </c>
      <c r="I255" s="48">
        <v>2.42</v>
      </c>
      <c r="J255" s="49">
        <v>0.43</v>
      </c>
      <c r="K255" s="48">
        <v>2.4700000000000002</v>
      </c>
      <c r="L255" s="49">
        <v>0.43</v>
      </c>
      <c r="M255" s="48">
        <v>2.57</v>
      </c>
      <c r="N255" s="49">
        <v>0.43</v>
      </c>
      <c r="O255" s="48">
        <v>2.64</v>
      </c>
      <c r="P255" s="49">
        <v>0.27</v>
      </c>
      <c r="Q255" s="48">
        <v>2.83</v>
      </c>
      <c r="R255" s="49">
        <v>0.06</v>
      </c>
      <c r="S255" s="48">
        <v>3.6</v>
      </c>
      <c r="T255" s="49">
        <v>0.04</v>
      </c>
      <c r="U255" s="48">
        <v>3.7</v>
      </c>
      <c r="V255" s="50">
        <v>0.04</v>
      </c>
    </row>
    <row r="256" spans="2:22">
      <c r="B256" s="38">
        <v>44754</v>
      </c>
      <c r="C256" s="41">
        <v>1.77</v>
      </c>
      <c r="D256" s="40">
        <v>0.03</v>
      </c>
      <c r="E256" s="41">
        <v>1.85</v>
      </c>
      <c r="F256" s="40">
        <v>0.01</v>
      </c>
      <c r="G256" s="41">
        <v>1.92</v>
      </c>
      <c r="H256" s="40">
        <v>0.02</v>
      </c>
      <c r="I256" s="41">
        <v>1.99</v>
      </c>
      <c r="J256" s="40">
        <v>0.03</v>
      </c>
      <c r="K256" s="41">
        <v>2.04</v>
      </c>
      <c r="L256" s="40">
        <v>0.03</v>
      </c>
      <c r="M256" s="41">
        <v>2.14</v>
      </c>
      <c r="N256" s="40">
        <v>0.02</v>
      </c>
      <c r="O256" s="41">
        <v>2.37</v>
      </c>
      <c r="P256" s="40">
        <v>0.03</v>
      </c>
      <c r="Q256" s="41">
        <v>2.77</v>
      </c>
      <c r="R256" s="40">
        <v>0.03</v>
      </c>
      <c r="S256" s="41">
        <v>3.56</v>
      </c>
      <c r="T256" s="40">
        <v>0.04</v>
      </c>
      <c r="U256" s="41">
        <v>3.66</v>
      </c>
      <c r="V256" s="40">
        <v>0.03</v>
      </c>
    </row>
    <row r="257" spans="2:22">
      <c r="B257" s="38"/>
      <c r="C257" s="37"/>
      <c r="D257" s="36"/>
      <c r="E257" s="37"/>
      <c r="F257" s="36"/>
      <c r="G257" s="37"/>
      <c r="H257" s="36"/>
      <c r="I257" s="37"/>
      <c r="J257" s="36"/>
      <c r="K257" s="37"/>
      <c r="L257" s="36"/>
      <c r="M257" s="37"/>
      <c r="N257" s="36"/>
      <c r="O257" s="37"/>
      <c r="P257" s="36"/>
      <c r="Q257" s="37"/>
      <c r="R257" s="36"/>
      <c r="S257" s="37"/>
      <c r="T257" s="36"/>
      <c r="U257" s="37"/>
      <c r="V257" s="36"/>
    </row>
    <row r="258" spans="2:22">
      <c r="B258" s="38"/>
      <c r="C258" s="37"/>
      <c r="D258" s="36"/>
      <c r="E258" s="37"/>
      <c r="F258" s="36"/>
      <c r="G258" s="37"/>
      <c r="H258" s="36"/>
      <c r="I258" s="37"/>
      <c r="J258" s="36"/>
      <c r="K258" s="37"/>
      <c r="L258" s="36"/>
      <c r="M258" s="37"/>
      <c r="N258" s="36"/>
      <c r="O258" s="37"/>
      <c r="P258" s="36"/>
      <c r="Q258" s="37"/>
      <c r="R258" s="36"/>
      <c r="S258" s="37"/>
      <c r="T258" s="36"/>
      <c r="U258" s="37"/>
      <c r="V258" s="36"/>
    </row>
    <row r="259" spans="2:22">
      <c r="B259" s="38"/>
      <c r="C259" s="37"/>
      <c r="D259" s="36"/>
      <c r="E259" s="37"/>
      <c r="F259" s="36"/>
      <c r="G259" s="37"/>
      <c r="H259" s="36"/>
      <c r="I259" s="37"/>
      <c r="J259" s="36"/>
      <c r="K259" s="37"/>
      <c r="L259" s="36"/>
      <c r="M259" s="37"/>
      <c r="N259" s="36"/>
      <c r="O259" s="37"/>
      <c r="P259" s="36"/>
      <c r="Q259" s="37"/>
      <c r="R259" s="36"/>
      <c r="S259" s="37"/>
      <c r="T259" s="36"/>
      <c r="U259" s="37"/>
      <c r="V259" s="36"/>
    </row>
    <row r="260" spans="2:22">
      <c r="B260" s="38"/>
      <c r="C260" s="37"/>
      <c r="D260" s="36"/>
      <c r="E260" s="37"/>
      <c r="F260" s="36"/>
      <c r="G260" s="37"/>
      <c r="H260" s="36"/>
      <c r="I260" s="37"/>
      <c r="J260" s="36"/>
      <c r="K260" s="37"/>
      <c r="L260" s="36"/>
      <c r="M260" s="37"/>
      <c r="N260" s="36"/>
      <c r="O260" s="37"/>
      <c r="P260" s="36"/>
      <c r="Q260" s="37"/>
      <c r="R260" s="36"/>
      <c r="S260" s="37"/>
      <c r="T260" s="36"/>
      <c r="U260" s="37"/>
      <c r="V260" s="36"/>
    </row>
    <row r="261" spans="2:22">
      <c r="B261" s="38"/>
      <c r="C261" s="37"/>
      <c r="D261" s="36"/>
      <c r="E261" s="37"/>
      <c r="F261" s="36"/>
      <c r="G261" s="37"/>
      <c r="H261" s="36"/>
      <c r="I261" s="37"/>
      <c r="J261" s="36"/>
      <c r="K261" s="37"/>
      <c r="L261" s="36"/>
      <c r="M261" s="37"/>
      <c r="N261" s="36"/>
      <c r="O261" s="37"/>
      <c r="P261" s="36"/>
      <c r="Q261" s="37"/>
      <c r="R261" s="36"/>
      <c r="S261" s="37"/>
      <c r="T261" s="36"/>
      <c r="U261" s="37"/>
      <c r="V261" s="36"/>
    </row>
    <row r="262" spans="2:22">
      <c r="B262" s="38"/>
      <c r="C262" s="37"/>
      <c r="D262" s="36"/>
      <c r="E262" s="37"/>
      <c r="F262" s="36"/>
      <c r="G262" s="37"/>
      <c r="H262" s="36"/>
      <c r="I262" s="37"/>
      <c r="J262" s="36"/>
      <c r="K262" s="37"/>
      <c r="L262" s="36"/>
      <c r="M262" s="37"/>
      <c r="N262" s="36"/>
      <c r="O262" s="37"/>
      <c r="P262" s="36"/>
      <c r="Q262" s="37"/>
      <c r="R262" s="36"/>
      <c r="S262" s="37"/>
      <c r="T262" s="36"/>
      <c r="U262" s="37"/>
      <c r="V262" s="36"/>
    </row>
    <row r="263" spans="2:22">
      <c r="B263" s="38"/>
      <c r="C263" s="37"/>
      <c r="D263" s="36"/>
      <c r="E263" s="37"/>
      <c r="F263" s="36"/>
      <c r="G263" s="37"/>
      <c r="H263" s="36"/>
      <c r="I263" s="37"/>
      <c r="J263" s="36"/>
      <c r="K263" s="37"/>
      <c r="L263" s="36"/>
      <c r="M263" s="37"/>
      <c r="N263" s="36"/>
      <c r="O263" s="37"/>
      <c r="P263" s="36"/>
      <c r="Q263" s="37"/>
      <c r="R263" s="36"/>
      <c r="S263" s="37"/>
      <c r="T263" s="36"/>
      <c r="U263" s="37"/>
      <c r="V263" s="36"/>
    </row>
    <row r="264" spans="2:22">
      <c r="B264" s="38"/>
      <c r="C264" s="37"/>
      <c r="D264" s="36"/>
      <c r="E264" s="37"/>
      <c r="F264" s="36"/>
      <c r="G264" s="37"/>
      <c r="H264" s="36"/>
      <c r="I264" s="37"/>
      <c r="J264" s="36"/>
      <c r="K264" s="37"/>
      <c r="L264" s="36"/>
      <c r="M264" s="37"/>
      <c r="N264" s="36"/>
      <c r="O264" s="37"/>
      <c r="P264" s="36"/>
      <c r="Q264" s="37"/>
      <c r="R264" s="36"/>
      <c r="S264" s="37"/>
      <c r="T264" s="36"/>
      <c r="U264" s="37"/>
      <c r="V264" s="36"/>
    </row>
    <row r="265" spans="2:22">
      <c r="B265" s="38"/>
      <c r="C265" s="37"/>
      <c r="D265" s="36"/>
      <c r="E265" s="37"/>
      <c r="F265" s="36"/>
      <c r="G265" s="37"/>
      <c r="H265" s="36"/>
      <c r="I265" s="37"/>
      <c r="J265" s="36"/>
      <c r="K265" s="37"/>
      <c r="L265" s="36"/>
      <c r="M265" s="37"/>
      <c r="N265" s="36"/>
      <c r="O265" s="37"/>
      <c r="P265" s="36"/>
      <c r="Q265" s="37"/>
      <c r="R265" s="36"/>
      <c r="S265" s="37"/>
      <c r="T265" s="36"/>
      <c r="U265" s="37"/>
      <c r="V265" s="36"/>
    </row>
    <row r="266" spans="2:22">
      <c r="B266" s="38"/>
      <c r="C266" s="37"/>
      <c r="D266" s="36"/>
      <c r="E266" s="37"/>
      <c r="F266" s="36"/>
      <c r="G266" s="37"/>
      <c r="H266" s="36"/>
      <c r="I266" s="37"/>
      <c r="J266" s="36"/>
      <c r="K266" s="37"/>
      <c r="L266" s="36"/>
      <c r="M266" s="37"/>
      <c r="N266" s="36"/>
      <c r="O266" s="37"/>
      <c r="P266" s="36"/>
      <c r="Q266" s="37"/>
      <c r="R266" s="36"/>
      <c r="S266" s="37"/>
      <c r="T266" s="36"/>
      <c r="U266" s="37"/>
      <c r="V266" s="36"/>
    </row>
    <row r="267" spans="2:22">
      <c r="B267" s="38"/>
      <c r="C267" s="37"/>
      <c r="D267" s="36"/>
      <c r="E267" s="37"/>
      <c r="F267" s="36"/>
      <c r="G267" s="37"/>
      <c r="H267" s="36"/>
      <c r="I267" s="37"/>
      <c r="J267" s="36"/>
      <c r="K267" s="37"/>
      <c r="L267" s="36"/>
      <c r="M267" s="37"/>
      <c r="N267" s="36"/>
      <c r="O267" s="37"/>
      <c r="P267" s="36"/>
      <c r="Q267" s="37"/>
      <c r="R267" s="36"/>
      <c r="S267" s="37"/>
      <c r="T267" s="36"/>
      <c r="U267" s="37"/>
      <c r="V267" s="36"/>
    </row>
    <row r="268" spans="2:22">
      <c r="B268" s="38"/>
      <c r="C268" s="37"/>
      <c r="D268" s="36"/>
      <c r="E268" s="37"/>
      <c r="F268" s="36"/>
      <c r="G268" s="37"/>
      <c r="H268" s="36"/>
      <c r="I268" s="37"/>
      <c r="J268" s="36"/>
      <c r="K268" s="37"/>
      <c r="L268" s="36"/>
      <c r="M268" s="37"/>
      <c r="N268" s="36"/>
      <c r="O268" s="37"/>
      <c r="P268" s="36"/>
      <c r="Q268" s="37"/>
      <c r="R268" s="36"/>
      <c r="S268" s="37"/>
      <c r="T268" s="36"/>
      <c r="U268" s="37"/>
      <c r="V268" s="36"/>
    </row>
    <row r="269" spans="2:22">
      <c r="B269" s="38"/>
      <c r="C269" s="37"/>
      <c r="D269" s="36"/>
      <c r="E269" s="37"/>
      <c r="F269" s="36"/>
      <c r="G269" s="37"/>
      <c r="H269" s="36"/>
      <c r="I269" s="37"/>
      <c r="J269" s="36"/>
      <c r="K269" s="37"/>
      <c r="L269" s="36"/>
      <c r="M269" s="37"/>
      <c r="N269" s="36"/>
      <c r="O269" s="37"/>
      <c r="P269" s="36"/>
      <c r="Q269" s="37"/>
      <c r="R269" s="36"/>
      <c r="S269" s="37"/>
      <c r="T269" s="36"/>
      <c r="U269" s="37"/>
      <c r="V269" s="36"/>
    </row>
    <row r="270" spans="2:22">
      <c r="B270" s="38"/>
      <c r="C270" s="37"/>
      <c r="D270" s="36"/>
      <c r="E270" s="37"/>
      <c r="F270" s="36"/>
      <c r="G270" s="37"/>
      <c r="H270" s="36"/>
      <c r="I270" s="37"/>
      <c r="J270" s="36"/>
      <c r="K270" s="37"/>
      <c r="L270" s="36"/>
      <c r="M270" s="37"/>
      <c r="N270" s="36"/>
      <c r="O270" s="37"/>
      <c r="P270" s="36"/>
      <c r="Q270" s="37"/>
      <c r="R270" s="36"/>
      <c r="S270" s="37"/>
      <c r="T270" s="36"/>
      <c r="U270" s="37"/>
      <c r="V270" s="36"/>
    </row>
    <row r="271" spans="2:22">
      <c r="B271" s="38"/>
      <c r="C271" s="37"/>
      <c r="D271" s="36"/>
      <c r="E271" s="37"/>
      <c r="F271" s="36"/>
      <c r="G271" s="37"/>
      <c r="H271" s="36"/>
      <c r="I271" s="37"/>
      <c r="J271" s="36"/>
      <c r="K271" s="37"/>
      <c r="L271" s="36"/>
      <c r="M271" s="37"/>
      <c r="N271" s="36"/>
      <c r="O271" s="37"/>
      <c r="P271" s="36"/>
      <c r="Q271" s="37"/>
      <c r="R271" s="36"/>
      <c r="S271" s="37"/>
      <c r="T271" s="36"/>
      <c r="U271" s="37"/>
      <c r="V271" s="36"/>
    </row>
    <row r="272" spans="2:22">
      <c r="B272" s="38"/>
      <c r="C272" s="37"/>
      <c r="D272" s="36"/>
      <c r="E272" s="37"/>
      <c r="F272" s="36"/>
      <c r="G272" s="37"/>
      <c r="H272" s="36"/>
      <c r="I272" s="37"/>
      <c r="J272" s="36"/>
      <c r="K272" s="37"/>
      <c r="L272" s="36"/>
      <c r="M272" s="37"/>
      <c r="N272" s="36"/>
      <c r="O272" s="37"/>
      <c r="P272" s="36"/>
      <c r="Q272" s="37"/>
      <c r="R272" s="36"/>
      <c r="S272" s="37"/>
      <c r="T272" s="36"/>
      <c r="U272" s="37"/>
      <c r="V272" s="36"/>
    </row>
    <row r="273" spans="2:22">
      <c r="B273" s="38"/>
      <c r="C273" s="37"/>
      <c r="D273" s="36"/>
      <c r="E273" s="37"/>
      <c r="F273" s="36"/>
      <c r="G273" s="37"/>
      <c r="H273" s="36"/>
      <c r="I273" s="37"/>
      <c r="J273" s="36"/>
      <c r="K273" s="37"/>
      <c r="L273" s="36"/>
      <c r="M273" s="37"/>
      <c r="N273" s="36"/>
      <c r="O273" s="37"/>
      <c r="P273" s="36"/>
      <c r="Q273" s="37"/>
      <c r="R273" s="36"/>
      <c r="S273" s="37"/>
      <c r="T273" s="36"/>
      <c r="U273" s="37"/>
      <c r="V273" s="36"/>
    </row>
    <row r="274" spans="2:22">
      <c r="B274" s="38"/>
      <c r="C274" s="37"/>
      <c r="D274" s="36"/>
      <c r="E274" s="37"/>
      <c r="F274" s="36"/>
      <c r="G274" s="37"/>
      <c r="H274" s="36"/>
      <c r="I274" s="37"/>
      <c r="J274" s="36"/>
      <c r="K274" s="37"/>
      <c r="L274" s="36"/>
      <c r="M274" s="37"/>
      <c r="N274" s="36"/>
      <c r="O274" s="37"/>
      <c r="P274" s="36"/>
      <c r="Q274" s="37"/>
      <c r="R274" s="36"/>
      <c r="S274" s="37"/>
      <c r="T274" s="36"/>
      <c r="U274" s="37"/>
      <c r="V274" s="36"/>
    </row>
    <row r="275" spans="2:22">
      <c r="B275" s="38"/>
      <c r="C275" s="37"/>
      <c r="D275" s="36"/>
      <c r="E275" s="37"/>
      <c r="F275" s="36"/>
      <c r="G275" s="37"/>
      <c r="H275" s="36"/>
      <c r="I275" s="37"/>
      <c r="J275" s="36"/>
      <c r="K275" s="37"/>
      <c r="L275" s="36"/>
      <c r="M275" s="37"/>
      <c r="N275" s="36"/>
      <c r="O275" s="37"/>
      <c r="P275" s="36"/>
      <c r="Q275" s="37"/>
      <c r="R275" s="36"/>
      <c r="S275" s="37"/>
      <c r="T275" s="36"/>
      <c r="U275" s="37"/>
      <c r="V275" s="36"/>
    </row>
    <row r="276" spans="2:22">
      <c r="B276" s="38"/>
      <c r="C276" s="37"/>
      <c r="D276" s="36"/>
      <c r="E276" s="37"/>
      <c r="F276" s="36"/>
      <c r="G276" s="37"/>
      <c r="H276" s="36"/>
      <c r="I276" s="37"/>
      <c r="J276" s="36"/>
      <c r="K276" s="37"/>
      <c r="L276" s="36"/>
      <c r="M276" s="37"/>
      <c r="N276" s="36"/>
      <c r="O276" s="37"/>
      <c r="P276" s="36"/>
      <c r="Q276" s="37"/>
      <c r="R276" s="36"/>
      <c r="S276" s="37"/>
      <c r="T276" s="36"/>
      <c r="U276" s="37"/>
      <c r="V276" s="36"/>
    </row>
    <row r="277" spans="2:22">
      <c r="B277" s="38"/>
      <c r="C277" s="37"/>
      <c r="D277" s="36"/>
      <c r="E277" s="37"/>
      <c r="F277" s="36"/>
      <c r="G277" s="37"/>
      <c r="H277" s="36"/>
      <c r="I277" s="37"/>
      <c r="J277" s="36"/>
      <c r="K277" s="37"/>
      <c r="L277" s="36"/>
      <c r="M277" s="37"/>
      <c r="N277" s="36"/>
      <c r="O277" s="37"/>
      <c r="P277" s="36"/>
      <c r="Q277" s="37"/>
      <c r="R277" s="36"/>
      <c r="S277" s="37"/>
      <c r="T277" s="36"/>
      <c r="U277" s="37"/>
      <c r="V277" s="36"/>
    </row>
    <row r="278" spans="2:22">
      <c r="B278" s="38"/>
      <c r="C278" s="37"/>
      <c r="D278" s="36"/>
      <c r="E278" s="37"/>
      <c r="F278" s="36"/>
      <c r="G278" s="37"/>
      <c r="H278" s="36"/>
      <c r="I278" s="37"/>
      <c r="J278" s="36"/>
      <c r="K278" s="37"/>
      <c r="L278" s="36"/>
      <c r="M278" s="37"/>
      <c r="N278" s="36"/>
      <c r="O278" s="37"/>
      <c r="P278" s="36"/>
      <c r="Q278" s="37"/>
      <c r="R278" s="36"/>
      <c r="S278" s="37"/>
      <c r="T278" s="36"/>
      <c r="U278" s="37"/>
      <c r="V278" s="36"/>
    </row>
    <row r="279" spans="2:22">
      <c r="B279" s="38"/>
      <c r="C279" s="37"/>
      <c r="D279" s="36"/>
      <c r="E279" s="37"/>
      <c r="F279" s="36"/>
      <c r="G279" s="37"/>
      <c r="H279" s="36"/>
      <c r="I279" s="37"/>
      <c r="J279" s="36"/>
      <c r="K279" s="37"/>
      <c r="L279" s="36"/>
      <c r="M279" s="37"/>
      <c r="N279" s="36"/>
      <c r="O279" s="37"/>
      <c r="P279" s="36"/>
      <c r="Q279" s="37"/>
      <c r="R279" s="36"/>
      <c r="S279" s="37"/>
      <c r="T279" s="36"/>
      <c r="U279" s="37"/>
      <c r="V279" s="36"/>
    </row>
    <row r="280" spans="2:22">
      <c r="B280" s="38"/>
      <c r="C280" s="37"/>
      <c r="D280" s="36"/>
      <c r="E280" s="37"/>
      <c r="F280" s="36"/>
      <c r="G280" s="37"/>
      <c r="H280" s="36"/>
      <c r="I280" s="37"/>
      <c r="J280" s="36"/>
      <c r="K280" s="37"/>
      <c r="L280" s="36"/>
      <c r="M280" s="37"/>
      <c r="N280" s="36"/>
      <c r="O280" s="37"/>
      <c r="P280" s="36"/>
      <c r="Q280" s="37"/>
      <c r="R280" s="36"/>
      <c r="S280" s="37"/>
      <c r="T280" s="36"/>
      <c r="U280" s="37"/>
      <c r="V280" s="36"/>
    </row>
    <row r="281" spans="2:22">
      <c r="B281" s="38"/>
      <c r="C281" s="37"/>
      <c r="D281" s="36"/>
      <c r="E281" s="37"/>
      <c r="F281" s="36"/>
      <c r="G281" s="37"/>
      <c r="H281" s="36"/>
      <c r="I281" s="37"/>
      <c r="J281" s="36"/>
      <c r="K281" s="37"/>
      <c r="L281" s="36"/>
      <c r="M281" s="37"/>
      <c r="N281" s="36"/>
      <c r="O281" s="37"/>
      <c r="P281" s="36"/>
      <c r="Q281" s="37"/>
      <c r="R281" s="36"/>
      <c r="S281" s="37"/>
      <c r="T281" s="36"/>
      <c r="U281" s="37"/>
      <c r="V281" s="36"/>
    </row>
    <row r="282" spans="2:22">
      <c r="B282" s="38"/>
      <c r="C282" s="37"/>
      <c r="D282" s="36"/>
      <c r="E282" s="37"/>
      <c r="F282" s="36"/>
      <c r="G282" s="37"/>
      <c r="H282" s="36"/>
      <c r="I282" s="37"/>
      <c r="J282" s="36"/>
      <c r="K282" s="37"/>
      <c r="L282" s="36"/>
      <c r="M282" s="37"/>
      <c r="N282" s="36"/>
      <c r="O282" s="37"/>
      <c r="P282" s="36"/>
      <c r="Q282" s="37"/>
      <c r="R282" s="36"/>
      <c r="S282" s="37"/>
      <c r="T282" s="36"/>
      <c r="U282" s="37"/>
      <c r="V282" s="36"/>
    </row>
    <row r="283" spans="2:22">
      <c r="B283" s="38"/>
      <c r="C283" s="37"/>
      <c r="D283" s="36"/>
      <c r="E283" s="37"/>
      <c r="F283" s="36"/>
      <c r="G283" s="37"/>
      <c r="H283" s="36"/>
      <c r="I283" s="37"/>
      <c r="J283" s="36"/>
      <c r="K283" s="37"/>
      <c r="L283" s="36"/>
      <c r="M283" s="37"/>
      <c r="N283" s="36"/>
      <c r="O283" s="37"/>
      <c r="P283" s="36"/>
      <c r="Q283" s="37"/>
      <c r="R283" s="36"/>
      <c r="S283" s="37"/>
      <c r="T283" s="36"/>
      <c r="U283" s="37"/>
      <c r="V283" s="36"/>
    </row>
    <row r="284" spans="2:22">
      <c r="B284" s="38"/>
      <c r="C284" s="37"/>
      <c r="D284" s="36"/>
      <c r="E284" s="37"/>
      <c r="F284" s="36"/>
      <c r="G284" s="37"/>
      <c r="H284" s="36"/>
      <c r="I284" s="37"/>
      <c r="J284" s="36"/>
      <c r="K284" s="37"/>
      <c r="L284" s="36"/>
      <c r="M284" s="37"/>
      <c r="N284" s="36"/>
      <c r="O284" s="37"/>
      <c r="P284" s="36"/>
      <c r="Q284" s="37"/>
      <c r="R284" s="36"/>
      <c r="S284" s="37"/>
      <c r="T284" s="36"/>
      <c r="U284" s="37"/>
      <c r="V284" s="36"/>
    </row>
    <row r="285" spans="2:22">
      <c r="B285" s="38"/>
      <c r="C285" s="37"/>
      <c r="D285" s="36"/>
      <c r="E285" s="37"/>
      <c r="F285" s="36"/>
      <c r="G285" s="37"/>
      <c r="H285" s="36"/>
      <c r="I285" s="37"/>
      <c r="J285" s="36"/>
      <c r="K285" s="37"/>
      <c r="L285" s="36"/>
      <c r="M285" s="37"/>
      <c r="N285" s="36"/>
      <c r="O285" s="37"/>
      <c r="P285" s="36"/>
      <c r="Q285" s="37"/>
      <c r="R285" s="36"/>
      <c r="S285" s="37"/>
      <c r="T285" s="36"/>
      <c r="U285" s="37"/>
      <c r="V285" s="36"/>
    </row>
    <row r="286" spans="2:22">
      <c r="B286" s="38"/>
      <c r="C286" s="37"/>
      <c r="D286" s="36"/>
      <c r="E286" s="37"/>
      <c r="F286" s="36"/>
      <c r="G286" s="37"/>
      <c r="H286" s="36"/>
      <c r="I286" s="37"/>
      <c r="J286" s="36"/>
      <c r="K286" s="37"/>
      <c r="L286" s="36"/>
      <c r="M286" s="37"/>
      <c r="N286" s="36"/>
      <c r="O286" s="37"/>
      <c r="P286" s="36"/>
      <c r="Q286" s="37"/>
      <c r="R286" s="36"/>
      <c r="S286" s="37"/>
      <c r="T286" s="36"/>
      <c r="U286" s="37"/>
      <c r="V286" s="36"/>
    </row>
    <row r="287" spans="2:22">
      <c r="B287" s="38"/>
      <c r="C287" s="37"/>
      <c r="D287" s="36"/>
      <c r="E287" s="37"/>
      <c r="F287" s="36"/>
      <c r="G287" s="37"/>
      <c r="H287" s="36"/>
      <c r="I287" s="37"/>
      <c r="J287" s="36"/>
      <c r="K287" s="37"/>
      <c r="L287" s="36"/>
      <c r="M287" s="37"/>
      <c r="N287" s="36"/>
      <c r="O287" s="37"/>
      <c r="P287" s="36"/>
      <c r="Q287" s="37"/>
      <c r="R287" s="36"/>
      <c r="S287" s="37"/>
      <c r="T287" s="36"/>
      <c r="U287" s="37"/>
      <c r="V287" s="36"/>
    </row>
    <row r="288" spans="2:22">
      <c r="B288" s="38"/>
      <c r="C288" s="37"/>
      <c r="D288" s="36"/>
      <c r="E288" s="37"/>
      <c r="F288" s="36"/>
      <c r="G288" s="37"/>
      <c r="H288" s="36"/>
      <c r="I288" s="37"/>
      <c r="J288" s="36"/>
      <c r="K288" s="37"/>
      <c r="L288" s="36"/>
      <c r="M288" s="37"/>
      <c r="N288" s="36"/>
      <c r="O288" s="37"/>
      <c r="P288" s="36"/>
      <c r="Q288" s="37"/>
      <c r="R288" s="36"/>
      <c r="S288" s="37"/>
      <c r="T288" s="36"/>
      <c r="U288" s="37"/>
      <c r="V288" s="36"/>
    </row>
    <row r="289" spans="2:22">
      <c r="B289" s="38"/>
      <c r="C289" s="37"/>
      <c r="D289" s="36"/>
      <c r="E289" s="37"/>
      <c r="F289" s="36"/>
      <c r="G289" s="37"/>
      <c r="H289" s="36"/>
      <c r="I289" s="37"/>
      <c r="J289" s="36"/>
      <c r="K289" s="37"/>
      <c r="L289" s="36"/>
      <c r="M289" s="37"/>
      <c r="N289" s="36"/>
      <c r="O289" s="37"/>
      <c r="P289" s="36"/>
      <c r="Q289" s="37"/>
      <c r="R289" s="36"/>
      <c r="S289" s="37"/>
      <c r="T289" s="36"/>
      <c r="U289" s="37"/>
      <c r="V289" s="36"/>
    </row>
    <row r="290" spans="2:22">
      <c r="B290" s="38"/>
      <c r="C290" s="37"/>
      <c r="D290" s="36"/>
      <c r="E290" s="37"/>
      <c r="F290" s="36"/>
      <c r="G290" s="37"/>
      <c r="H290" s="36"/>
      <c r="I290" s="37"/>
      <c r="J290" s="36"/>
      <c r="K290" s="37"/>
      <c r="L290" s="36"/>
      <c r="M290" s="37"/>
      <c r="N290" s="36"/>
      <c r="O290" s="37"/>
      <c r="P290" s="36"/>
      <c r="Q290" s="37"/>
      <c r="R290" s="36"/>
      <c r="S290" s="37"/>
      <c r="T290" s="36"/>
      <c r="U290" s="37"/>
      <c r="V290" s="36"/>
    </row>
    <row r="291" spans="2:22">
      <c r="B291" s="38"/>
      <c r="C291" s="37"/>
      <c r="D291" s="36"/>
      <c r="E291" s="37"/>
      <c r="F291" s="36"/>
      <c r="G291" s="37"/>
      <c r="H291" s="36"/>
      <c r="I291" s="37"/>
      <c r="J291" s="36"/>
      <c r="K291" s="37"/>
      <c r="L291" s="36"/>
      <c r="M291" s="37"/>
      <c r="N291" s="36"/>
      <c r="O291" s="37"/>
      <c r="P291" s="36"/>
      <c r="Q291" s="37"/>
      <c r="R291" s="36"/>
      <c r="S291" s="37"/>
      <c r="T291" s="36"/>
      <c r="U291" s="37"/>
      <c r="V291" s="36"/>
    </row>
    <row r="292" spans="2:22">
      <c r="B292" s="38"/>
      <c r="C292" s="37"/>
      <c r="D292" s="36"/>
      <c r="E292" s="37"/>
      <c r="F292" s="36"/>
      <c r="G292" s="37"/>
      <c r="H292" s="36"/>
      <c r="I292" s="37"/>
      <c r="J292" s="36"/>
      <c r="K292" s="37"/>
      <c r="L292" s="36"/>
      <c r="M292" s="37"/>
      <c r="N292" s="36"/>
      <c r="O292" s="37"/>
      <c r="P292" s="36"/>
      <c r="Q292" s="37"/>
      <c r="R292" s="36"/>
      <c r="S292" s="37"/>
      <c r="T292" s="36"/>
      <c r="U292" s="37"/>
      <c r="V292" s="36"/>
    </row>
    <row r="293" spans="2:22">
      <c r="B293" s="38"/>
      <c r="C293" s="37"/>
      <c r="D293" s="36"/>
      <c r="E293" s="37"/>
      <c r="F293" s="36"/>
      <c r="G293" s="37"/>
      <c r="H293" s="36"/>
      <c r="I293" s="37"/>
      <c r="J293" s="36"/>
      <c r="K293" s="37"/>
      <c r="L293" s="36"/>
      <c r="M293" s="37"/>
      <c r="N293" s="36"/>
      <c r="O293" s="37"/>
      <c r="P293" s="36"/>
      <c r="Q293" s="37"/>
      <c r="R293" s="36"/>
      <c r="S293" s="37"/>
      <c r="T293" s="36"/>
      <c r="U293" s="37"/>
      <c r="V293" s="36"/>
    </row>
    <row r="294" spans="2:22">
      <c r="B294" s="38"/>
      <c r="C294" s="37"/>
      <c r="D294" s="36"/>
      <c r="E294" s="37"/>
      <c r="F294" s="36"/>
      <c r="G294" s="37"/>
      <c r="H294" s="36"/>
      <c r="I294" s="37"/>
      <c r="J294" s="36"/>
      <c r="K294" s="37"/>
      <c r="L294" s="36"/>
      <c r="M294" s="37"/>
      <c r="N294" s="36"/>
      <c r="O294" s="37"/>
      <c r="P294" s="36"/>
      <c r="Q294" s="37"/>
      <c r="R294" s="36"/>
      <c r="S294" s="37"/>
      <c r="T294" s="36"/>
      <c r="U294" s="37"/>
      <c r="V294" s="36"/>
    </row>
    <row r="295" spans="2:22">
      <c r="B295" s="38"/>
      <c r="C295" s="37"/>
      <c r="D295" s="36"/>
      <c r="E295" s="37"/>
      <c r="F295" s="36"/>
      <c r="G295" s="37"/>
      <c r="H295" s="36"/>
      <c r="I295" s="37"/>
      <c r="J295" s="36"/>
      <c r="K295" s="37"/>
      <c r="L295" s="36"/>
      <c r="M295" s="37"/>
      <c r="N295" s="36"/>
      <c r="O295" s="37"/>
      <c r="P295" s="36"/>
      <c r="Q295" s="37"/>
      <c r="R295" s="36"/>
      <c r="S295" s="37"/>
      <c r="T295" s="36"/>
      <c r="U295" s="37"/>
      <c r="V295" s="36"/>
    </row>
    <row r="296" spans="2:22">
      <c r="B296" s="38"/>
      <c r="C296" s="37"/>
      <c r="D296" s="36"/>
      <c r="E296" s="37"/>
      <c r="F296" s="36"/>
      <c r="G296" s="37"/>
      <c r="H296" s="36"/>
      <c r="I296" s="37"/>
      <c r="J296" s="36"/>
      <c r="K296" s="37"/>
      <c r="L296" s="36"/>
      <c r="M296" s="37"/>
      <c r="N296" s="36"/>
      <c r="O296" s="37"/>
      <c r="P296" s="36"/>
      <c r="Q296" s="37"/>
      <c r="R296" s="36"/>
      <c r="S296" s="37"/>
      <c r="T296" s="36"/>
      <c r="U296" s="37"/>
      <c r="V296" s="36"/>
    </row>
    <row r="297" spans="2:22">
      <c r="B297" s="38"/>
      <c r="C297" s="37"/>
      <c r="D297" s="36"/>
      <c r="E297" s="37"/>
      <c r="F297" s="36"/>
      <c r="G297" s="37"/>
      <c r="H297" s="36"/>
      <c r="I297" s="37"/>
      <c r="J297" s="36"/>
      <c r="K297" s="37"/>
      <c r="L297" s="36"/>
      <c r="M297" s="37"/>
      <c r="N297" s="36"/>
      <c r="O297" s="37"/>
      <c r="P297" s="36"/>
      <c r="Q297" s="37"/>
      <c r="R297" s="36"/>
      <c r="S297" s="37"/>
      <c r="T297" s="36"/>
      <c r="U297" s="37"/>
      <c r="V297" s="36"/>
    </row>
    <row r="298" spans="2:22">
      <c r="B298" s="38"/>
      <c r="C298" s="37"/>
      <c r="D298" s="36"/>
      <c r="E298" s="37"/>
      <c r="F298" s="36"/>
      <c r="G298" s="37"/>
      <c r="H298" s="36"/>
      <c r="I298" s="37"/>
      <c r="J298" s="36"/>
      <c r="K298" s="37"/>
      <c r="L298" s="36"/>
      <c r="M298" s="37"/>
      <c r="N298" s="36"/>
      <c r="O298" s="37"/>
      <c r="P298" s="36"/>
      <c r="Q298" s="37"/>
      <c r="R298" s="36"/>
      <c r="S298" s="37"/>
      <c r="T298" s="36"/>
      <c r="U298" s="37"/>
      <c r="V298" s="36"/>
    </row>
    <row r="299" spans="2:22">
      <c r="B299" s="38"/>
      <c r="C299" s="37"/>
      <c r="D299" s="36"/>
      <c r="E299" s="37"/>
      <c r="F299" s="36"/>
      <c r="G299" s="37"/>
      <c r="H299" s="36"/>
      <c r="I299" s="37"/>
      <c r="J299" s="36"/>
      <c r="K299" s="37"/>
      <c r="L299" s="36"/>
      <c r="M299" s="37"/>
      <c r="N299" s="36"/>
      <c r="O299" s="37"/>
      <c r="P299" s="36"/>
      <c r="Q299" s="37"/>
      <c r="R299" s="36"/>
      <c r="S299" s="37"/>
      <c r="T299" s="36"/>
      <c r="U299" s="37"/>
      <c r="V299" s="36"/>
    </row>
    <row r="300" spans="2:22">
      <c r="B300" s="38"/>
      <c r="C300" s="37"/>
      <c r="D300" s="36"/>
      <c r="E300" s="37"/>
      <c r="F300" s="36"/>
      <c r="G300" s="37"/>
      <c r="H300" s="36"/>
      <c r="I300" s="37"/>
      <c r="J300" s="36"/>
      <c r="K300" s="37"/>
      <c r="L300" s="36"/>
      <c r="M300" s="37"/>
      <c r="N300" s="36"/>
      <c r="O300" s="37"/>
      <c r="P300" s="36"/>
      <c r="Q300" s="37"/>
      <c r="R300" s="36"/>
      <c r="S300" s="37"/>
      <c r="T300" s="36"/>
      <c r="U300" s="37"/>
      <c r="V300" s="36"/>
    </row>
    <row r="301" spans="2:22">
      <c r="B301" s="38"/>
      <c r="C301" s="37"/>
      <c r="D301" s="36"/>
      <c r="E301" s="37"/>
      <c r="F301" s="36"/>
      <c r="G301" s="37"/>
      <c r="H301" s="36"/>
      <c r="I301" s="37"/>
      <c r="J301" s="36"/>
      <c r="K301" s="37"/>
      <c r="L301" s="36"/>
      <c r="M301" s="37"/>
      <c r="N301" s="36"/>
      <c r="O301" s="37"/>
      <c r="P301" s="36"/>
      <c r="Q301" s="37"/>
      <c r="R301" s="36"/>
      <c r="S301" s="37"/>
      <c r="T301" s="36"/>
      <c r="U301" s="37"/>
      <c r="V301" s="36"/>
    </row>
    <row r="302" spans="2:22">
      <c r="B302" s="38"/>
      <c r="C302" s="37"/>
      <c r="D302" s="36"/>
      <c r="E302" s="37"/>
      <c r="F302" s="36"/>
      <c r="G302" s="37"/>
      <c r="H302" s="36"/>
      <c r="I302" s="37"/>
      <c r="J302" s="36"/>
      <c r="K302" s="37"/>
      <c r="L302" s="36"/>
      <c r="M302" s="37"/>
      <c r="N302" s="36"/>
      <c r="O302" s="37"/>
      <c r="P302" s="36"/>
      <c r="Q302" s="37"/>
      <c r="R302" s="36"/>
      <c r="S302" s="37"/>
      <c r="T302" s="36"/>
      <c r="U302" s="37"/>
      <c r="V302" s="36"/>
    </row>
    <row r="303" spans="2:22">
      <c r="B303" s="38"/>
      <c r="C303" s="37"/>
      <c r="D303" s="36"/>
      <c r="E303" s="37"/>
      <c r="F303" s="36"/>
      <c r="G303" s="37"/>
      <c r="H303" s="36"/>
      <c r="I303" s="37"/>
      <c r="J303" s="36"/>
      <c r="K303" s="37"/>
      <c r="L303" s="36"/>
      <c r="M303" s="37"/>
      <c r="N303" s="36"/>
      <c r="O303" s="37"/>
      <c r="P303" s="36"/>
      <c r="Q303" s="37"/>
      <c r="R303" s="36"/>
      <c r="S303" s="37"/>
      <c r="T303" s="36"/>
      <c r="U303" s="37"/>
      <c r="V303" s="36"/>
    </row>
    <row r="304" spans="2:22">
      <c r="B304" s="38"/>
      <c r="C304" s="37"/>
      <c r="D304" s="36"/>
      <c r="E304" s="37"/>
      <c r="F304" s="36"/>
      <c r="G304" s="37"/>
      <c r="H304" s="36"/>
      <c r="I304" s="37"/>
      <c r="J304" s="36"/>
      <c r="K304" s="37"/>
      <c r="L304" s="36"/>
      <c r="M304" s="37"/>
      <c r="N304" s="36"/>
      <c r="O304" s="37"/>
      <c r="P304" s="36"/>
      <c r="Q304" s="37"/>
      <c r="R304" s="36"/>
      <c r="S304" s="37"/>
      <c r="T304" s="36"/>
      <c r="U304" s="37"/>
      <c r="V304" s="36"/>
    </row>
    <row r="305" spans="2:22">
      <c r="B305" s="38"/>
      <c r="C305" s="37"/>
      <c r="D305" s="36"/>
      <c r="E305" s="37"/>
      <c r="F305" s="36"/>
      <c r="G305" s="37"/>
      <c r="H305" s="36"/>
      <c r="I305" s="37"/>
      <c r="J305" s="36"/>
      <c r="K305" s="37"/>
      <c r="L305" s="36"/>
      <c r="M305" s="37"/>
      <c r="N305" s="36"/>
      <c r="O305" s="37"/>
      <c r="P305" s="36"/>
      <c r="Q305" s="37"/>
      <c r="R305" s="36"/>
      <c r="S305" s="37"/>
      <c r="T305" s="36"/>
      <c r="U305" s="37"/>
      <c r="V305" s="36"/>
    </row>
    <row r="306" spans="2:22">
      <c r="B306" s="38"/>
      <c r="C306" s="37"/>
      <c r="D306" s="36"/>
      <c r="E306" s="37"/>
      <c r="F306" s="36"/>
      <c r="G306" s="37"/>
      <c r="H306" s="36"/>
      <c r="I306" s="37"/>
      <c r="J306" s="36"/>
      <c r="K306" s="37"/>
      <c r="L306" s="36"/>
      <c r="M306" s="37"/>
      <c r="N306" s="36"/>
      <c r="O306" s="37"/>
      <c r="P306" s="36"/>
      <c r="Q306" s="37"/>
      <c r="R306" s="36"/>
      <c r="S306" s="37"/>
      <c r="T306" s="36"/>
      <c r="U306" s="37"/>
      <c r="V306" s="36"/>
    </row>
    <row r="307" spans="2:22">
      <c r="B307" s="38"/>
      <c r="C307" s="37"/>
      <c r="D307" s="36"/>
      <c r="E307" s="37"/>
      <c r="F307" s="36"/>
      <c r="G307" s="37"/>
      <c r="H307" s="36"/>
      <c r="I307" s="37"/>
      <c r="J307" s="36"/>
      <c r="K307" s="37"/>
      <c r="L307" s="36"/>
      <c r="M307" s="37"/>
      <c r="N307" s="36"/>
      <c r="O307" s="37"/>
      <c r="P307" s="36"/>
      <c r="Q307" s="37"/>
      <c r="R307" s="36"/>
      <c r="S307" s="37"/>
      <c r="T307" s="36"/>
      <c r="U307" s="37"/>
      <c r="V307" s="36"/>
    </row>
    <row r="308" spans="2:22">
      <c r="B308" s="38"/>
      <c r="C308" s="37"/>
      <c r="D308" s="36"/>
      <c r="E308" s="37"/>
      <c r="F308" s="36"/>
      <c r="G308" s="37"/>
      <c r="H308" s="36"/>
      <c r="I308" s="37"/>
      <c r="J308" s="36"/>
      <c r="K308" s="37"/>
      <c r="L308" s="36"/>
      <c r="M308" s="37"/>
      <c r="N308" s="36"/>
      <c r="O308" s="37"/>
      <c r="P308" s="36"/>
      <c r="Q308" s="37"/>
      <c r="R308" s="36"/>
      <c r="S308" s="37"/>
      <c r="T308" s="36"/>
      <c r="U308" s="37"/>
      <c r="V308" s="36"/>
    </row>
    <row r="309" spans="2:22">
      <c r="B309" s="38"/>
      <c r="C309" s="37"/>
      <c r="D309" s="36"/>
      <c r="E309" s="37"/>
      <c r="F309" s="36"/>
      <c r="G309" s="37"/>
      <c r="H309" s="36"/>
      <c r="I309" s="37"/>
      <c r="J309" s="36"/>
      <c r="K309" s="37"/>
      <c r="L309" s="36"/>
      <c r="M309" s="37"/>
      <c r="N309" s="36"/>
      <c r="O309" s="37"/>
      <c r="P309" s="36"/>
      <c r="Q309" s="37"/>
      <c r="R309" s="36"/>
      <c r="S309" s="37"/>
      <c r="T309" s="36"/>
      <c r="U309" s="37"/>
      <c r="V309" s="36"/>
    </row>
    <row r="310" spans="2:22">
      <c r="B310" s="38"/>
      <c r="C310" s="37"/>
      <c r="D310" s="36"/>
      <c r="E310" s="37"/>
      <c r="F310" s="36"/>
      <c r="G310" s="37"/>
      <c r="H310" s="36"/>
      <c r="I310" s="37"/>
      <c r="J310" s="36"/>
      <c r="K310" s="37"/>
      <c r="L310" s="36"/>
      <c r="M310" s="37"/>
      <c r="N310" s="36"/>
      <c r="O310" s="37"/>
      <c r="P310" s="36"/>
      <c r="Q310" s="37"/>
      <c r="R310" s="36"/>
      <c r="S310" s="37"/>
      <c r="T310" s="36"/>
      <c r="U310" s="37"/>
      <c r="V310" s="36"/>
    </row>
    <row r="311" spans="2:22">
      <c r="B311" s="38"/>
      <c r="C311" s="37"/>
      <c r="D311" s="36"/>
      <c r="E311" s="37"/>
      <c r="F311" s="36"/>
      <c r="G311" s="37"/>
      <c r="H311" s="36"/>
      <c r="I311" s="37"/>
      <c r="J311" s="36"/>
      <c r="K311" s="37"/>
      <c r="L311" s="36"/>
      <c r="M311" s="37"/>
      <c r="N311" s="36"/>
      <c r="O311" s="37"/>
      <c r="P311" s="36"/>
      <c r="Q311" s="37"/>
      <c r="R311" s="36"/>
      <c r="S311" s="37"/>
      <c r="T311" s="36"/>
      <c r="U311" s="37"/>
      <c r="V311" s="36"/>
    </row>
    <row r="312" spans="2:22">
      <c r="B312" s="38"/>
      <c r="C312" s="37"/>
      <c r="D312" s="36"/>
      <c r="E312" s="37"/>
      <c r="F312" s="36"/>
      <c r="G312" s="37"/>
      <c r="H312" s="36"/>
      <c r="I312" s="37"/>
      <c r="J312" s="36"/>
      <c r="K312" s="37"/>
      <c r="L312" s="36"/>
      <c r="M312" s="37"/>
      <c r="N312" s="36"/>
      <c r="O312" s="37"/>
      <c r="P312" s="36"/>
      <c r="Q312" s="37"/>
      <c r="R312" s="36"/>
      <c r="S312" s="37"/>
      <c r="T312" s="36"/>
      <c r="U312" s="37"/>
      <c r="V312" s="36"/>
    </row>
    <row r="313" spans="2:22">
      <c r="B313" s="38"/>
      <c r="C313" s="37"/>
      <c r="D313" s="36"/>
      <c r="E313" s="37"/>
      <c r="F313" s="36"/>
      <c r="G313" s="37"/>
      <c r="H313" s="36"/>
      <c r="I313" s="37"/>
      <c r="J313" s="36"/>
      <c r="K313" s="37"/>
      <c r="L313" s="36"/>
      <c r="M313" s="37"/>
      <c r="N313" s="36"/>
      <c r="O313" s="37"/>
      <c r="P313" s="36"/>
      <c r="Q313" s="37"/>
      <c r="R313" s="36"/>
      <c r="S313" s="37"/>
      <c r="T313" s="36"/>
      <c r="U313" s="37"/>
      <c r="V313" s="36"/>
    </row>
    <row r="314" spans="2:22">
      <c r="B314" s="38"/>
      <c r="C314" s="37"/>
      <c r="D314" s="36"/>
      <c r="E314" s="37"/>
      <c r="F314" s="36"/>
      <c r="G314" s="37"/>
      <c r="H314" s="36"/>
      <c r="I314" s="37"/>
      <c r="J314" s="36"/>
      <c r="K314" s="37"/>
      <c r="L314" s="36"/>
      <c r="M314" s="37"/>
      <c r="N314" s="36"/>
      <c r="O314" s="37"/>
      <c r="P314" s="36"/>
      <c r="Q314" s="37"/>
      <c r="R314" s="36"/>
      <c r="S314" s="37"/>
      <c r="T314" s="36"/>
      <c r="U314" s="37"/>
      <c r="V314" s="36"/>
    </row>
    <row r="315" spans="2:22">
      <c r="B315" s="38"/>
      <c r="C315" s="37"/>
      <c r="D315" s="36"/>
      <c r="E315" s="37"/>
      <c r="F315" s="36"/>
      <c r="G315" s="37"/>
      <c r="H315" s="36"/>
      <c r="I315" s="37"/>
      <c r="J315" s="36"/>
      <c r="K315" s="37"/>
      <c r="L315" s="36"/>
      <c r="M315" s="37"/>
      <c r="N315" s="36"/>
      <c r="O315" s="37"/>
      <c r="P315" s="36"/>
      <c r="Q315" s="37"/>
      <c r="R315" s="36"/>
      <c r="S315" s="37"/>
      <c r="T315" s="36"/>
      <c r="U315" s="37"/>
      <c r="V315" s="36"/>
    </row>
    <row r="316" spans="2:22">
      <c r="B316" s="38"/>
      <c r="C316" s="37"/>
      <c r="D316" s="36"/>
      <c r="E316" s="37"/>
      <c r="F316" s="36"/>
      <c r="G316" s="37"/>
      <c r="H316" s="36"/>
      <c r="I316" s="37"/>
      <c r="J316" s="36"/>
      <c r="K316" s="37"/>
      <c r="L316" s="36"/>
      <c r="M316" s="37"/>
      <c r="N316" s="36"/>
      <c r="O316" s="37"/>
      <c r="P316" s="36"/>
      <c r="Q316" s="37"/>
      <c r="R316" s="36"/>
      <c r="S316" s="37"/>
      <c r="T316" s="36"/>
      <c r="U316" s="37"/>
      <c r="V316" s="36"/>
    </row>
    <row r="317" spans="2:22">
      <c r="B317" s="38"/>
      <c r="C317" s="37"/>
      <c r="D317" s="36"/>
      <c r="E317" s="37"/>
      <c r="F317" s="36"/>
      <c r="G317" s="37"/>
      <c r="H317" s="36"/>
      <c r="I317" s="37"/>
      <c r="J317" s="36"/>
      <c r="K317" s="37"/>
      <c r="L317" s="36"/>
      <c r="M317" s="37"/>
      <c r="N317" s="36"/>
      <c r="O317" s="37"/>
      <c r="P317" s="36"/>
      <c r="Q317" s="37"/>
      <c r="R317" s="36"/>
      <c r="S317" s="37"/>
      <c r="T317" s="36"/>
      <c r="U317" s="37"/>
      <c r="V317" s="36"/>
    </row>
    <row r="318" spans="2:22">
      <c r="B318" s="38"/>
      <c r="C318" s="37"/>
      <c r="D318" s="36"/>
      <c r="E318" s="37"/>
      <c r="F318" s="36"/>
      <c r="G318" s="37"/>
      <c r="H318" s="36"/>
      <c r="I318" s="37"/>
      <c r="J318" s="36"/>
      <c r="K318" s="37"/>
      <c r="L318" s="36"/>
      <c r="M318" s="37"/>
      <c r="N318" s="36"/>
      <c r="O318" s="37"/>
      <c r="P318" s="36"/>
      <c r="Q318" s="37"/>
      <c r="R318" s="36"/>
      <c r="S318" s="37"/>
      <c r="T318" s="36"/>
      <c r="U318" s="37"/>
      <c r="V318" s="36"/>
    </row>
    <row r="319" spans="2:22">
      <c r="B319" s="38"/>
      <c r="C319" s="37"/>
      <c r="D319" s="36"/>
      <c r="E319" s="37"/>
      <c r="F319" s="36"/>
      <c r="G319" s="37"/>
      <c r="H319" s="36"/>
      <c r="I319" s="37"/>
      <c r="J319" s="36"/>
      <c r="K319" s="37"/>
      <c r="L319" s="36"/>
      <c r="M319" s="37"/>
      <c r="N319" s="36"/>
      <c r="O319" s="37"/>
      <c r="P319" s="36"/>
      <c r="Q319" s="37"/>
      <c r="R319" s="36"/>
      <c r="S319" s="37"/>
      <c r="T319" s="36"/>
      <c r="U319" s="37"/>
      <c r="V319" s="36"/>
    </row>
    <row r="320" spans="2:22">
      <c r="B320" s="38"/>
      <c r="C320" s="37"/>
      <c r="D320" s="36"/>
      <c r="E320" s="37"/>
      <c r="F320" s="36"/>
      <c r="G320" s="37"/>
      <c r="H320" s="36"/>
      <c r="I320" s="37"/>
      <c r="J320" s="36"/>
      <c r="K320" s="37"/>
      <c r="L320" s="36"/>
      <c r="M320" s="37"/>
      <c r="N320" s="36"/>
      <c r="O320" s="37"/>
      <c r="P320" s="36"/>
      <c r="Q320" s="37"/>
      <c r="R320" s="36"/>
      <c r="S320" s="37"/>
      <c r="T320" s="36"/>
      <c r="U320" s="37"/>
      <c r="V320" s="36"/>
    </row>
    <row r="321" spans="2:22">
      <c r="B321" s="38"/>
      <c r="C321" s="37"/>
      <c r="D321" s="36"/>
      <c r="E321" s="37"/>
      <c r="F321" s="36"/>
      <c r="G321" s="37"/>
      <c r="H321" s="36"/>
      <c r="I321" s="37"/>
      <c r="J321" s="36"/>
      <c r="K321" s="37"/>
      <c r="L321" s="36"/>
      <c r="M321" s="37"/>
      <c r="N321" s="36"/>
      <c r="O321" s="37"/>
      <c r="P321" s="36"/>
      <c r="Q321" s="37"/>
      <c r="R321" s="36"/>
      <c r="S321" s="37"/>
      <c r="T321" s="36"/>
      <c r="U321" s="37"/>
      <c r="V321" s="36"/>
    </row>
    <row r="322" spans="2:22">
      <c r="B322" s="38"/>
      <c r="C322" s="37"/>
      <c r="D322" s="36"/>
      <c r="E322" s="37"/>
      <c r="F322" s="36"/>
      <c r="G322" s="37"/>
      <c r="H322" s="36"/>
      <c r="I322" s="37"/>
      <c r="J322" s="36"/>
      <c r="K322" s="37"/>
      <c r="L322" s="36"/>
      <c r="M322" s="37"/>
      <c r="N322" s="36"/>
      <c r="O322" s="37"/>
      <c r="P322" s="36"/>
      <c r="Q322" s="37"/>
      <c r="R322" s="36"/>
      <c r="S322" s="37"/>
      <c r="T322" s="36"/>
      <c r="U322" s="37"/>
      <c r="V322" s="36"/>
    </row>
    <row r="323" spans="2:22">
      <c r="B323" s="38"/>
      <c r="C323" s="37"/>
      <c r="D323" s="36"/>
      <c r="E323" s="37"/>
      <c r="F323" s="36"/>
      <c r="G323" s="37"/>
      <c r="H323" s="36"/>
      <c r="I323" s="37"/>
      <c r="J323" s="36"/>
      <c r="K323" s="37"/>
      <c r="L323" s="36"/>
      <c r="M323" s="37"/>
      <c r="N323" s="36"/>
      <c r="O323" s="37"/>
      <c r="P323" s="36"/>
      <c r="Q323" s="37"/>
      <c r="R323" s="36"/>
      <c r="S323" s="37"/>
      <c r="T323" s="36"/>
      <c r="U323" s="37"/>
      <c r="V323" s="36"/>
    </row>
    <row r="324" spans="2:22">
      <c r="B324" s="38"/>
      <c r="C324" s="37"/>
      <c r="D324" s="36"/>
      <c r="E324" s="37"/>
      <c r="F324" s="36"/>
      <c r="G324" s="37"/>
      <c r="H324" s="36"/>
      <c r="I324" s="37"/>
      <c r="J324" s="36"/>
      <c r="K324" s="37"/>
      <c r="L324" s="36"/>
      <c r="M324" s="37"/>
      <c r="N324" s="36"/>
      <c r="O324" s="37"/>
      <c r="P324" s="36"/>
      <c r="Q324" s="37"/>
      <c r="R324" s="36"/>
      <c r="S324" s="37"/>
      <c r="T324" s="36"/>
      <c r="U324" s="37"/>
      <c r="V324" s="36"/>
    </row>
    <row r="325" spans="2:22">
      <c r="B325" s="38"/>
      <c r="C325" s="37"/>
      <c r="D325" s="36"/>
      <c r="E325" s="37"/>
      <c r="F325" s="36"/>
      <c r="G325" s="37"/>
      <c r="H325" s="36"/>
      <c r="I325" s="37"/>
      <c r="J325" s="36"/>
      <c r="K325" s="37"/>
      <c r="L325" s="36"/>
      <c r="M325" s="37"/>
      <c r="N325" s="36"/>
      <c r="O325" s="37"/>
      <c r="P325" s="36"/>
      <c r="Q325" s="37"/>
      <c r="R325" s="36"/>
      <c r="S325" s="37"/>
      <c r="T325" s="36"/>
      <c r="U325" s="37"/>
      <c r="V325" s="36"/>
    </row>
    <row r="326" spans="2:22">
      <c r="B326" s="38"/>
      <c r="C326" s="37"/>
      <c r="D326" s="36"/>
      <c r="E326" s="37"/>
      <c r="F326" s="36"/>
      <c r="G326" s="37"/>
      <c r="H326" s="36"/>
      <c r="I326" s="37"/>
      <c r="J326" s="36"/>
      <c r="K326" s="37"/>
      <c r="L326" s="36"/>
      <c r="M326" s="37"/>
      <c r="N326" s="36"/>
      <c r="O326" s="37"/>
      <c r="P326" s="36"/>
      <c r="Q326" s="37"/>
      <c r="R326" s="36"/>
      <c r="S326" s="37"/>
      <c r="T326" s="36"/>
      <c r="U326" s="37"/>
      <c r="V326" s="36"/>
    </row>
    <row r="327" spans="2:22">
      <c r="B327" s="38"/>
      <c r="C327" s="37"/>
      <c r="D327" s="36"/>
      <c r="E327" s="37"/>
      <c r="F327" s="36"/>
      <c r="G327" s="37"/>
      <c r="H327" s="36"/>
      <c r="I327" s="37"/>
      <c r="J327" s="36"/>
      <c r="K327" s="37"/>
      <c r="L327" s="36"/>
      <c r="M327" s="37"/>
      <c r="N327" s="36"/>
      <c r="O327" s="37"/>
      <c r="P327" s="36"/>
      <c r="Q327" s="37"/>
      <c r="R327" s="36"/>
      <c r="S327" s="37"/>
      <c r="T327" s="36"/>
      <c r="U327" s="37"/>
      <c r="V327" s="36"/>
    </row>
    <row r="328" spans="2:22">
      <c r="B328" s="38"/>
      <c r="C328" s="37"/>
      <c r="D328" s="36"/>
      <c r="E328" s="37"/>
      <c r="F328" s="36"/>
      <c r="G328" s="37"/>
      <c r="H328" s="36"/>
      <c r="I328" s="37"/>
      <c r="J328" s="36"/>
      <c r="K328" s="37"/>
      <c r="L328" s="36"/>
      <c r="M328" s="37"/>
      <c r="N328" s="36"/>
      <c r="O328" s="37"/>
      <c r="P328" s="36"/>
      <c r="Q328" s="37"/>
      <c r="R328" s="36"/>
      <c r="S328" s="37"/>
      <c r="T328" s="36"/>
      <c r="U328" s="37"/>
      <c r="V328" s="36"/>
    </row>
    <row r="329" spans="2:22">
      <c r="B329" s="38"/>
      <c r="C329" s="37"/>
      <c r="D329" s="36"/>
      <c r="E329" s="37"/>
      <c r="F329" s="36"/>
      <c r="G329" s="37"/>
      <c r="H329" s="36"/>
      <c r="I329" s="37"/>
      <c r="J329" s="36"/>
      <c r="K329" s="37"/>
      <c r="L329" s="36"/>
      <c r="M329" s="37"/>
      <c r="N329" s="36"/>
      <c r="O329" s="37"/>
      <c r="P329" s="36"/>
      <c r="Q329" s="37"/>
      <c r="R329" s="36"/>
      <c r="S329" s="37"/>
      <c r="T329" s="36"/>
      <c r="U329" s="37"/>
      <c r="V329" s="36"/>
    </row>
    <row r="330" spans="2:22">
      <c r="B330" s="38"/>
      <c r="C330" s="37"/>
      <c r="D330" s="36"/>
      <c r="E330" s="37"/>
      <c r="F330" s="36"/>
      <c r="G330" s="37"/>
      <c r="H330" s="36"/>
      <c r="I330" s="37"/>
      <c r="J330" s="36"/>
      <c r="K330" s="37"/>
      <c r="L330" s="36"/>
      <c r="M330" s="37"/>
      <c r="N330" s="36"/>
      <c r="O330" s="37"/>
      <c r="P330" s="36"/>
      <c r="Q330" s="37"/>
      <c r="R330" s="36"/>
      <c r="S330" s="37"/>
      <c r="T330" s="36"/>
      <c r="U330" s="37"/>
      <c r="V330" s="36"/>
    </row>
    <row r="331" spans="2:22">
      <c r="B331" s="38"/>
      <c r="C331" s="37"/>
      <c r="D331" s="36"/>
      <c r="E331" s="37"/>
      <c r="F331" s="36"/>
      <c r="G331" s="37"/>
      <c r="H331" s="36"/>
      <c r="I331" s="37"/>
      <c r="J331" s="36"/>
      <c r="K331" s="37"/>
      <c r="L331" s="36"/>
      <c r="M331" s="37"/>
      <c r="N331" s="36"/>
      <c r="O331" s="37"/>
      <c r="P331" s="36"/>
      <c r="Q331" s="37"/>
      <c r="R331" s="36"/>
      <c r="S331" s="37"/>
      <c r="T331" s="36"/>
      <c r="U331" s="37"/>
      <c r="V331" s="36"/>
    </row>
    <row r="332" spans="2:22">
      <c r="B332" s="38"/>
      <c r="C332" s="37"/>
      <c r="D332" s="36"/>
      <c r="E332" s="37"/>
      <c r="F332" s="36"/>
      <c r="G332" s="37"/>
      <c r="H332" s="36"/>
      <c r="I332" s="37"/>
      <c r="J332" s="36"/>
      <c r="K332" s="37"/>
      <c r="L332" s="36"/>
      <c r="M332" s="37"/>
      <c r="N332" s="36"/>
      <c r="O332" s="37"/>
      <c r="P332" s="36"/>
      <c r="Q332" s="37"/>
      <c r="R332" s="36"/>
      <c r="S332" s="37"/>
      <c r="T332" s="36"/>
      <c r="U332" s="37"/>
      <c r="V332" s="36"/>
    </row>
    <row r="333" spans="2:22">
      <c r="B333" s="38"/>
      <c r="C333" s="37"/>
      <c r="D333" s="36"/>
      <c r="E333" s="37"/>
      <c r="F333" s="36"/>
      <c r="G333" s="37"/>
      <c r="H333" s="36"/>
      <c r="I333" s="37"/>
      <c r="J333" s="36"/>
      <c r="K333" s="37"/>
      <c r="L333" s="36"/>
      <c r="M333" s="37"/>
      <c r="N333" s="36"/>
      <c r="O333" s="37"/>
      <c r="P333" s="36"/>
      <c r="Q333" s="37"/>
      <c r="R333" s="36"/>
      <c r="S333" s="37"/>
      <c r="T333" s="36"/>
      <c r="U333" s="37"/>
      <c r="V333" s="36"/>
    </row>
    <row r="334" spans="2:22">
      <c r="B334" s="38"/>
      <c r="C334" s="37"/>
      <c r="D334" s="36"/>
      <c r="E334" s="37"/>
      <c r="F334" s="36"/>
      <c r="G334" s="37"/>
      <c r="H334" s="36"/>
      <c r="I334" s="37"/>
      <c r="J334" s="36"/>
      <c r="K334" s="37"/>
      <c r="L334" s="36"/>
      <c r="M334" s="37"/>
      <c r="N334" s="36"/>
      <c r="O334" s="37"/>
      <c r="P334" s="36"/>
      <c r="Q334" s="37"/>
      <c r="R334" s="36"/>
      <c r="S334" s="37"/>
      <c r="T334" s="36"/>
      <c r="U334" s="37"/>
      <c r="V334" s="36"/>
    </row>
    <row r="335" spans="2:22">
      <c r="B335" s="38"/>
      <c r="C335" s="37"/>
      <c r="D335" s="36"/>
      <c r="E335" s="37"/>
      <c r="F335" s="36"/>
      <c r="G335" s="37"/>
      <c r="H335" s="36"/>
      <c r="I335" s="37"/>
      <c r="J335" s="36"/>
      <c r="K335" s="37"/>
      <c r="L335" s="36"/>
      <c r="M335" s="37"/>
      <c r="N335" s="36"/>
      <c r="O335" s="37"/>
      <c r="P335" s="36"/>
      <c r="Q335" s="37"/>
      <c r="R335" s="36"/>
      <c r="S335" s="37"/>
      <c r="T335" s="36"/>
      <c r="U335" s="37"/>
      <c r="V335" s="36"/>
    </row>
    <row r="336" spans="2:22">
      <c r="B336" s="38"/>
      <c r="C336" s="37"/>
      <c r="D336" s="36"/>
      <c r="E336" s="37"/>
      <c r="F336" s="36"/>
      <c r="G336" s="37"/>
      <c r="H336" s="36"/>
      <c r="I336" s="37"/>
      <c r="J336" s="36"/>
      <c r="K336" s="37"/>
      <c r="L336" s="36"/>
      <c r="M336" s="37"/>
      <c r="N336" s="36"/>
      <c r="O336" s="37"/>
      <c r="P336" s="36"/>
      <c r="Q336" s="37"/>
      <c r="R336" s="36"/>
      <c r="S336" s="37"/>
      <c r="T336" s="36"/>
      <c r="U336" s="37"/>
      <c r="V336" s="36"/>
    </row>
    <row r="337" spans="2:22">
      <c r="B337" s="38"/>
      <c r="C337" s="37"/>
      <c r="D337" s="36"/>
      <c r="E337" s="37"/>
      <c r="F337" s="36"/>
      <c r="G337" s="37"/>
      <c r="H337" s="36"/>
      <c r="I337" s="37"/>
      <c r="J337" s="36"/>
      <c r="K337" s="37"/>
      <c r="L337" s="36"/>
      <c r="M337" s="37"/>
      <c r="N337" s="36"/>
      <c r="O337" s="37"/>
      <c r="P337" s="36"/>
      <c r="Q337" s="37"/>
      <c r="R337" s="36"/>
      <c r="S337" s="37"/>
      <c r="T337" s="36"/>
      <c r="U337" s="37"/>
      <c r="V337" s="36"/>
    </row>
    <row r="338" spans="2:22">
      <c r="B338" s="38"/>
      <c r="C338" s="37"/>
      <c r="D338" s="36"/>
      <c r="E338" s="37"/>
      <c r="F338" s="36"/>
      <c r="G338" s="37"/>
      <c r="H338" s="36"/>
      <c r="I338" s="37"/>
      <c r="J338" s="36"/>
      <c r="K338" s="37"/>
      <c r="L338" s="36"/>
      <c r="M338" s="37"/>
      <c r="N338" s="36"/>
      <c r="O338" s="37"/>
      <c r="P338" s="36"/>
      <c r="Q338" s="37"/>
      <c r="R338" s="36"/>
      <c r="S338" s="37"/>
      <c r="T338" s="36"/>
      <c r="U338" s="37"/>
      <c r="V338" s="36"/>
    </row>
    <row r="339" spans="2:22">
      <c r="B339" s="38"/>
      <c r="C339" s="37"/>
      <c r="D339" s="36"/>
      <c r="E339" s="37"/>
      <c r="F339" s="36"/>
      <c r="G339" s="37"/>
      <c r="H339" s="36"/>
      <c r="I339" s="37"/>
      <c r="J339" s="36"/>
      <c r="K339" s="37"/>
      <c r="L339" s="36"/>
      <c r="M339" s="37"/>
      <c r="N339" s="36"/>
      <c r="O339" s="37"/>
      <c r="P339" s="36"/>
      <c r="Q339" s="37"/>
      <c r="R339" s="36"/>
      <c r="S339" s="37"/>
      <c r="T339" s="36"/>
      <c r="U339" s="37"/>
      <c r="V339" s="36"/>
    </row>
    <row r="340" spans="2:22">
      <c r="B340" s="38"/>
      <c r="C340" s="37"/>
      <c r="D340" s="36"/>
      <c r="E340" s="37"/>
      <c r="F340" s="36"/>
      <c r="G340" s="37"/>
      <c r="H340" s="36"/>
      <c r="I340" s="37"/>
      <c r="J340" s="36"/>
      <c r="K340" s="37"/>
      <c r="L340" s="36"/>
      <c r="M340" s="37"/>
      <c r="N340" s="36"/>
      <c r="O340" s="37"/>
      <c r="P340" s="36"/>
      <c r="Q340" s="37"/>
      <c r="R340" s="36"/>
      <c r="S340" s="37"/>
      <c r="T340" s="36"/>
      <c r="U340" s="37"/>
      <c r="V340" s="36"/>
    </row>
    <row r="341" spans="2:22">
      <c r="B341" s="38"/>
      <c r="C341" s="37"/>
      <c r="D341" s="36"/>
      <c r="E341" s="37"/>
      <c r="F341" s="36"/>
      <c r="G341" s="37"/>
      <c r="H341" s="36"/>
      <c r="I341" s="37"/>
      <c r="J341" s="36"/>
      <c r="K341" s="37"/>
      <c r="L341" s="36"/>
      <c r="M341" s="37"/>
      <c r="N341" s="36"/>
      <c r="O341" s="37"/>
      <c r="P341" s="36"/>
      <c r="Q341" s="37"/>
      <c r="R341" s="36"/>
      <c r="S341" s="37"/>
      <c r="T341" s="36"/>
      <c r="U341" s="37"/>
      <c r="V341" s="36"/>
    </row>
    <row r="342" spans="2:22">
      <c r="B342" s="38"/>
      <c r="C342" s="37"/>
      <c r="D342" s="36"/>
      <c r="E342" s="37"/>
      <c r="F342" s="36"/>
      <c r="G342" s="37"/>
      <c r="H342" s="36"/>
      <c r="I342" s="37"/>
      <c r="J342" s="36"/>
      <c r="K342" s="37"/>
      <c r="L342" s="36"/>
      <c r="M342" s="37"/>
      <c r="N342" s="36"/>
      <c r="O342" s="37"/>
      <c r="P342" s="36"/>
      <c r="Q342" s="37"/>
      <c r="R342" s="36"/>
      <c r="S342" s="37"/>
      <c r="T342" s="36"/>
      <c r="U342" s="37"/>
      <c r="V342" s="36"/>
    </row>
    <row r="343" spans="2:22">
      <c r="B343" s="38"/>
      <c r="C343" s="37"/>
      <c r="D343" s="36"/>
      <c r="E343" s="37"/>
      <c r="F343" s="36"/>
      <c r="G343" s="37"/>
      <c r="H343" s="36"/>
      <c r="I343" s="37"/>
      <c r="J343" s="36"/>
      <c r="K343" s="37"/>
      <c r="L343" s="36"/>
      <c r="M343" s="37"/>
      <c r="N343" s="36"/>
      <c r="O343" s="37"/>
      <c r="P343" s="36"/>
      <c r="Q343" s="37"/>
      <c r="R343" s="36"/>
      <c r="S343" s="37"/>
      <c r="T343" s="36"/>
      <c r="U343" s="37"/>
      <c r="V343" s="36"/>
    </row>
    <row r="344" spans="2:22">
      <c r="B344" s="38"/>
      <c r="C344" s="37"/>
      <c r="D344" s="36"/>
      <c r="E344" s="37"/>
      <c r="F344" s="36"/>
      <c r="G344" s="37"/>
      <c r="H344" s="36"/>
      <c r="I344" s="37"/>
      <c r="J344" s="36"/>
      <c r="K344" s="37"/>
      <c r="L344" s="36"/>
      <c r="M344" s="37"/>
      <c r="N344" s="36"/>
      <c r="O344" s="37"/>
      <c r="P344" s="36"/>
      <c r="Q344" s="37"/>
      <c r="R344" s="36"/>
      <c r="S344" s="37"/>
      <c r="T344" s="36"/>
      <c r="U344" s="37"/>
      <c r="V344" s="36"/>
    </row>
    <row r="345" spans="2:22">
      <c r="B345" s="38"/>
      <c r="C345" s="37"/>
      <c r="D345" s="36"/>
      <c r="E345" s="37"/>
      <c r="F345" s="36"/>
      <c r="G345" s="37"/>
      <c r="H345" s="36"/>
      <c r="I345" s="37"/>
      <c r="J345" s="36"/>
      <c r="K345" s="37"/>
      <c r="L345" s="36"/>
      <c r="M345" s="37"/>
      <c r="N345" s="36"/>
      <c r="O345" s="37"/>
      <c r="P345" s="36"/>
      <c r="Q345" s="37"/>
      <c r="R345" s="36"/>
      <c r="S345" s="37"/>
      <c r="T345" s="36"/>
      <c r="U345" s="37"/>
      <c r="V345" s="36"/>
    </row>
    <row r="346" spans="2:22">
      <c r="B346" s="38"/>
      <c r="C346" s="37"/>
      <c r="D346" s="36"/>
      <c r="E346" s="37"/>
      <c r="F346" s="36"/>
      <c r="G346" s="37"/>
      <c r="H346" s="36"/>
      <c r="I346" s="37"/>
      <c r="J346" s="36"/>
      <c r="K346" s="37"/>
      <c r="L346" s="36"/>
      <c r="M346" s="37"/>
      <c r="N346" s="36"/>
      <c r="O346" s="37"/>
      <c r="P346" s="36"/>
      <c r="Q346" s="37"/>
      <c r="R346" s="36"/>
      <c r="S346" s="37"/>
      <c r="T346" s="36"/>
      <c r="U346" s="37"/>
      <c r="V346" s="36"/>
    </row>
    <row r="347" spans="2:22">
      <c r="B347" s="38"/>
      <c r="C347" s="37"/>
      <c r="D347" s="36"/>
      <c r="E347" s="37"/>
      <c r="F347" s="36"/>
      <c r="G347" s="37"/>
      <c r="H347" s="36"/>
      <c r="I347" s="37"/>
      <c r="J347" s="36"/>
      <c r="K347" s="37"/>
      <c r="L347" s="36"/>
      <c r="M347" s="37"/>
      <c r="N347" s="36"/>
      <c r="O347" s="37"/>
      <c r="P347" s="36"/>
      <c r="Q347" s="37"/>
      <c r="R347" s="36"/>
      <c r="S347" s="37"/>
      <c r="T347" s="36"/>
      <c r="U347" s="37"/>
      <c r="V347" s="36"/>
    </row>
    <row r="348" spans="2:22">
      <c r="B348" s="38"/>
      <c r="C348" s="37"/>
      <c r="D348" s="36"/>
      <c r="E348" s="37"/>
      <c r="F348" s="36"/>
      <c r="G348" s="37"/>
      <c r="H348" s="36"/>
      <c r="I348" s="37"/>
      <c r="J348" s="36"/>
      <c r="K348" s="37"/>
      <c r="L348" s="36"/>
      <c r="M348" s="37"/>
      <c r="N348" s="36"/>
      <c r="O348" s="37"/>
      <c r="P348" s="36"/>
      <c r="Q348" s="37"/>
      <c r="R348" s="36"/>
      <c r="S348" s="37"/>
      <c r="T348" s="36"/>
      <c r="U348" s="37"/>
      <c r="V348" s="36"/>
    </row>
    <row r="349" spans="2:22">
      <c r="B349" s="38"/>
      <c r="C349" s="37"/>
      <c r="D349" s="36"/>
      <c r="E349" s="37"/>
      <c r="F349" s="36"/>
      <c r="G349" s="37"/>
      <c r="H349" s="36"/>
      <c r="I349" s="37"/>
      <c r="J349" s="36"/>
      <c r="K349" s="37"/>
      <c r="L349" s="36"/>
      <c r="M349" s="37"/>
      <c r="N349" s="36"/>
      <c r="O349" s="37"/>
      <c r="P349" s="36"/>
      <c r="Q349" s="37"/>
      <c r="R349" s="36"/>
      <c r="S349" s="37"/>
      <c r="T349" s="36"/>
      <c r="U349" s="37"/>
      <c r="V349" s="36"/>
    </row>
    <row r="350" spans="2:22">
      <c r="B350" s="38"/>
      <c r="C350" s="37"/>
      <c r="D350" s="36"/>
      <c r="E350" s="37"/>
      <c r="F350" s="36"/>
      <c r="G350" s="37"/>
      <c r="H350" s="36"/>
      <c r="I350" s="37"/>
      <c r="J350" s="36"/>
      <c r="K350" s="37"/>
      <c r="L350" s="36"/>
      <c r="M350" s="37"/>
      <c r="N350" s="36"/>
      <c r="O350" s="37"/>
      <c r="P350" s="36"/>
      <c r="Q350" s="37"/>
      <c r="R350" s="36"/>
      <c r="S350" s="37"/>
      <c r="T350" s="36"/>
      <c r="U350" s="37"/>
      <c r="V350" s="36"/>
    </row>
    <row r="351" spans="2:22">
      <c r="B351" s="38"/>
      <c r="C351" s="37"/>
      <c r="D351" s="36"/>
      <c r="E351" s="37"/>
      <c r="F351" s="36"/>
      <c r="G351" s="37"/>
      <c r="H351" s="36"/>
      <c r="I351" s="37"/>
      <c r="J351" s="36"/>
      <c r="K351" s="37"/>
      <c r="L351" s="36"/>
      <c r="M351" s="37"/>
      <c r="N351" s="36"/>
      <c r="O351" s="37"/>
      <c r="P351" s="36"/>
      <c r="Q351" s="37"/>
      <c r="R351" s="36"/>
      <c r="S351" s="37"/>
      <c r="T351" s="36"/>
      <c r="U351" s="37"/>
      <c r="V351" s="36"/>
    </row>
    <row r="352" spans="2:22">
      <c r="B352" s="38"/>
      <c r="C352" s="37"/>
      <c r="D352" s="36"/>
      <c r="E352" s="37"/>
      <c r="F352" s="36"/>
      <c r="G352" s="37"/>
      <c r="H352" s="36"/>
      <c r="I352" s="37"/>
      <c r="J352" s="36"/>
      <c r="K352" s="37"/>
      <c r="L352" s="36"/>
      <c r="M352" s="37"/>
      <c r="N352" s="36"/>
      <c r="O352" s="37"/>
      <c r="P352" s="36"/>
      <c r="Q352" s="37"/>
      <c r="R352" s="36"/>
      <c r="S352" s="37"/>
      <c r="T352" s="36"/>
      <c r="U352" s="37"/>
      <c r="V352" s="36"/>
    </row>
    <row r="353" spans="2:22">
      <c r="B353" s="38"/>
      <c r="C353" s="37"/>
      <c r="D353" s="36"/>
      <c r="E353" s="37"/>
      <c r="F353" s="36"/>
      <c r="G353" s="37"/>
      <c r="H353" s="36"/>
      <c r="I353" s="37"/>
      <c r="J353" s="36"/>
      <c r="K353" s="37"/>
      <c r="L353" s="36"/>
      <c r="M353" s="37"/>
      <c r="N353" s="36"/>
      <c r="O353" s="37"/>
      <c r="P353" s="36"/>
      <c r="Q353" s="37"/>
      <c r="R353" s="36"/>
      <c r="S353" s="37"/>
      <c r="T353" s="36"/>
      <c r="U353" s="37"/>
      <c r="V353" s="36"/>
    </row>
    <row r="354" spans="2:22">
      <c r="B354" s="38"/>
      <c r="C354" s="37"/>
      <c r="D354" s="36"/>
      <c r="E354" s="37"/>
      <c r="F354" s="36"/>
      <c r="G354" s="37"/>
      <c r="H354" s="36"/>
      <c r="I354" s="37"/>
      <c r="J354" s="36"/>
      <c r="K354" s="37"/>
      <c r="L354" s="36"/>
      <c r="M354" s="37"/>
      <c r="N354" s="36"/>
      <c r="O354" s="37"/>
      <c r="P354" s="36"/>
      <c r="Q354" s="37"/>
      <c r="R354" s="36"/>
      <c r="S354" s="37"/>
      <c r="T354" s="36"/>
      <c r="U354" s="37"/>
      <c r="V354" s="36"/>
    </row>
    <row r="355" spans="2:22">
      <c r="B355" s="38"/>
      <c r="C355" s="37"/>
      <c r="D355" s="36"/>
      <c r="E355" s="37"/>
      <c r="F355" s="36"/>
      <c r="G355" s="37"/>
      <c r="H355" s="36"/>
      <c r="I355" s="37"/>
      <c r="J355" s="36"/>
      <c r="K355" s="37"/>
      <c r="L355" s="36"/>
      <c r="M355" s="37"/>
      <c r="N355" s="36"/>
      <c r="O355" s="37"/>
      <c r="P355" s="36"/>
      <c r="Q355" s="37"/>
      <c r="R355" s="36"/>
      <c r="S355" s="37"/>
      <c r="T355" s="36"/>
      <c r="U355" s="37"/>
      <c r="V355" s="36"/>
    </row>
    <row r="356" spans="2:22">
      <c r="B356" s="38"/>
      <c r="C356" s="37"/>
      <c r="D356" s="36"/>
      <c r="E356" s="37"/>
      <c r="F356" s="36"/>
      <c r="G356" s="37"/>
      <c r="H356" s="36"/>
      <c r="I356" s="37"/>
      <c r="J356" s="36"/>
      <c r="K356" s="37"/>
      <c r="L356" s="36"/>
      <c r="M356" s="37"/>
      <c r="N356" s="36"/>
      <c r="O356" s="37"/>
      <c r="P356" s="36"/>
      <c r="Q356" s="37"/>
      <c r="R356" s="36"/>
      <c r="S356" s="37"/>
      <c r="T356" s="36"/>
      <c r="U356" s="37"/>
      <c r="V356" s="36"/>
    </row>
    <row r="357" spans="2:22">
      <c r="B357" s="38"/>
      <c r="C357" s="37"/>
      <c r="D357" s="36"/>
      <c r="E357" s="37"/>
      <c r="F357" s="36"/>
      <c r="G357" s="37"/>
      <c r="H357" s="36"/>
      <c r="I357" s="37"/>
      <c r="J357" s="36"/>
      <c r="K357" s="37"/>
      <c r="L357" s="36"/>
      <c r="M357" s="37"/>
      <c r="N357" s="36"/>
      <c r="O357" s="37"/>
      <c r="P357" s="36"/>
      <c r="Q357" s="37"/>
      <c r="R357" s="36"/>
      <c r="S357" s="37"/>
      <c r="T357" s="36"/>
      <c r="U357" s="37"/>
      <c r="V357" s="36"/>
    </row>
    <row r="358" spans="2:22">
      <c r="B358" s="38"/>
      <c r="C358" s="37"/>
      <c r="D358" s="36"/>
      <c r="E358" s="37"/>
      <c r="F358" s="36"/>
      <c r="G358" s="37"/>
      <c r="H358" s="36"/>
      <c r="I358" s="37"/>
      <c r="J358" s="36"/>
      <c r="K358" s="37"/>
      <c r="L358" s="36"/>
      <c r="M358" s="37"/>
      <c r="N358" s="36"/>
      <c r="O358" s="37"/>
      <c r="P358" s="36"/>
      <c r="Q358" s="37"/>
      <c r="R358" s="36"/>
      <c r="S358" s="37"/>
      <c r="T358" s="36"/>
      <c r="U358" s="37"/>
      <c r="V358" s="36"/>
    </row>
    <row r="359" spans="2:22">
      <c r="B359" s="38"/>
      <c r="C359" s="37"/>
      <c r="D359" s="36"/>
      <c r="E359" s="37"/>
      <c r="F359" s="36"/>
      <c r="G359" s="37"/>
      <c r="H359" s="36"/>
      <c r="I359" s="37"/>
      <c r="J359" s="36"/>
      <c r="K359" s="37"/>
      <c r="L359" s="36"/>
      <c r="M359" s="37"/>
      <c r="N359" s="36"/>
      <c r="O359" s="37"/>
      <c r="P359" s="36"/>
      <c r="Q359" s="37"/>
      <c r="R359" s="36"/>
      <c r="S359" s="37"/>
      <c r="T359" s="36"/>
      <c r="U359" s="37"/>
      <c r="V359" s="36"/>
    </row>
    <row r="360" spans="2:22">
      <c r="B360" s="38"/>
      <c r="C360" s="37"/>
      <c r="D360" s="36"/>
      <c r="E360" s="37"/>
      <c r="F360" s="36"/>
      <c r="G360" s="37"/>
      <c r="H360" s="36"/>
      <c r="I360" s="37"/>
      <c r="J360" s="36"/>
      <c r="K360" s="37"/>
      <c r="L360" s="36"/>
      <c r="M360" s="37"/>
      <c r="N360" s="36"/>
      <c r="O360" s="37"/>
      <c r="P360" s="36"/>
      <c r="Q360" s="37"/>
      <c r="R360" s="36"/>
      <c r="S360" s="37"/>
      <c r="T360" s="36"/>
      <c r="U360" s="37"/>
      <c r="V360" s="36"/>
    </row>
    <row r="361" spans="2:22">
      <c r="B361" s="38"/>
      <c r="C361" s="37"/>
      <c r="D361" s="36"/>
      <c r="E361" s="37"/>
      <c r="F361" s="36"/>
      <c r="G361" s="37"/>
      <c r="H361" s="36"/>
      <c r="I361" s="37"/>
      <c r="J361" s="36"/>
      <c r="K361" s="37"/>
      <c r="L361" s="36"/>
      <c r="M361" s="37"/>
      <c r="N361" s="36"/>
      <c r="O361" s="37"/>
      <c r="P361" s="36"/>
      <c r="Q361" s="37"/>
      <c r="R361" s="36"/>
      <c r="S361" s="37"/>
      <c r="T361" s="36"/>
      <c r="U361" s="37"/>
      <c r="V361" s="36"/>
    </row>
    <row r="362" spans="2:22">
      <c r="B362" s="38"/>
      <c r="C362" s="37"/>
      <c r="D362" s="36"/>
      <c r="E362" s="37"/>
      <c r="F362" s="36"/>
      <c r="G362" s="37"/>
      <c r="H362" s="36"/>
      <c r="I362" s="37"/>
      <c r="J362" s="36"/>
      <c r="K362" s="37"/>
      <c r="L362" s="36"/>
      <c r="M362" s="37"/>
      <c r="N362" s="36"/>
      <c r="O362" s="37"/>
      <c r="P362" s="36"/>
      <c r="Q362" s="37"/>
      <c r="R362" s="36"/>
      <c r="S362" s="37"/>
      <c r="T362" s="36"/>
      <c r="U362" s="37"/>
      <c r="V362" s="36"/>
    </row>
    <row r="363" spans="2:22">
      <c r="B363" s="38"/>
      <c r="C363" s="37"/>
      <c r="D363" s="36"/>
      <c r="E363" s="37"/>
      <c r="F363" s="36"/>
      <c r="G363" s="37"/>
      <c r="H363" s="36"/>
      <c r="I363" s="37"/>
      <c r="J363" s="36"/>
      <c r="K363" s="37"/>
      <c r="L363" s="36"/>
      <c r="M363" s="37"/>
      <c r="N363" s="36"/>
      <c r="O363" s="37"/>
      <c r="P363" s="36"/>
      <c r="Q363" s="37"/>
      <c r="R363" s="36"/>
      <c r="S363" s="37"/>
      <c r="T363" s="36"/>
      <c r="U363" s="37"/>
      <c r="V363" s="36"/>
    </row>
    <row r="364" spans="2:22">
      <c r="B364" s="38"/>
      <c r="C364" s="37"/>
      <c r="D364" s="36"/>
      <c r="E364" s="37"/>
      <c r="F364" s="36"/>
      <c r="G364" s="37"/>
      <c r="H364" s="36"/>
      <c r="I364" s="37"/>
      <c r="J364" s="36"/>
      <c r="K364" s="37"/>
      <c r="L364" s="36"/>
      <c r="M364" s="37"/>
      <c r="N364" s="36"/>
      <c r="O364" s="37"/>
      <c r="P364" s="36"/>
      <c r="Q364" s="37"/>
      <c r="R364" s="36"/>
      <c r="S364" s="37"/>
      <c r="T364" s="36"/>
      <c r="U364" s="37"/>
      <c r="V364" s="36"/>
    </row>
    <row r="365" spans="2:22">
      <c r="B365" s="38"/>
      <c r="C365" s="37"/>
      <c r="D365" s="36"/>
      <c r="E365" s="37"/>
      <c r="F365" s="36"/>
      <c r="G365" s="37"/>
      <c r="H365" s="36"/>
      <c r="I365" s="37"/>
      <c r="J365" s="36"/>
      <c r="K365" s="37"/>
      <c r="L365" s="36"/>
      <c r="M365" s="37"/>
      <c r="N365" s="36"/>
      <c r="O365" s="37"/>
      <c r="P365" s="36"/>
      <c r="Q365" s="37"/>
      <c r="R365" s="36"/>
      <c r="S365" s="37"/>
      <c r="T365" s="36"/>
      <c r="U365" s="37"/>
      <c r="V365" s="36"/>
    </row>
    <row r="366" spans="2:22">
      <c r="B366" s="38"/>
      <c r="C366" s="37"/>
      <c r="D366" s="36"/>
      <c r="E366" s="37"/>
      <c r="F366" s="36"/>
      <c r="G366" s="37"/>
      <c r="H366" s="36"/>
      <c r="I366" s="37"/>
      <c r="J366" s="36"/>
      <c r="K366" s="37"/>
      <c r="L366" s="36"/>
      <c r="M366" s="37"/>
      <c r="N366" s="36"/>
      <c r="O366" s="37"/>
      <c r="P366" s="36"/>
      <c r="Q366" s="37"/>
      <c r="R366" s="36"/>
      <c r="S366" s="37"/>
      <c r="T366" s="36"/>
      <c r="U366" s="37"/>
      <c r="V366" s="36"/>
    </row>
    <row r="367" spans="2:22">
      <c r="B367" s="38"/>
      <c r="C367" s="37"/>
      <c r="D367" s="36"/>
      <c r="E367" s="37"/>
      <c r="F367" s="36"/>
      <c r="G367" s="37"/>
      <c r="H367" s="36"/>
      <c r="I367" s="37"/>
      <c r="J367" s="36"/>
      <c r="K367" s="37"/>
      <c r="L367" s="36"/>
      <c r="M367" s="37"/>
      <c r="N367" s="36"/>
      <c r="O367" s="37"/>
      <c r="P367" s="36"/>
      <c r="Q367" s="37"/>
      <c r="R367" s="36"/>
      <c r="S367" s="37"/>
      <c r="T367" s="36"/>
      <c r="U367" s="37"/>
      <c r="V367" s="36"/>
    </row>
    <row r="368" spans="2:22">
      <c r="B368" s="38"/>
      <c r="C368" s="37"/>
      <c r="D368" s="36"/>
      <c r="E368" s="37"/>
      <c r="F368" s="36"/>
      <c r="G368" s="37"/>
      <c r="H368" s="36"/>
      <c r="I368" s="37"/>
      <c r="J368" s="36"/>
      <c r="K368" s="37"/>
      <c r="L368" s="36"/>
      <c r="M368" s="37"/>
      <c r="N368" s="36"/>
      <c r="O368" s="37"/>
      <c r="P368" s="36"/>
      <c r="Q368" s="37"/>
      <c r="R368" s="36"/>
      <c r="S368" s="37"/>
      <c r="T368" s="36"/>
      <c r="U368" s="37"/>
      <c r="V368" s="36"/>
    </row>
    <row r="369" spans="2:22">
      <c r="B369" s="38"/>
      <c r="C369" s="37"/>
      <c r="D369" s="36"/>
      <c r="E369" s="37"/>
      <c r="F369" s="36"/>
      <c r="G369" s="37"/>
      <c r="H369" s="36"/>
      <c r="I369" s="37"/>
      <c r="J369" s="36"/>
      <c r="K369" s="37"/>
      <c r="L369" s="36"/>
      <c r="M369" s="37"/>
      <c r="N369" s="36"/>
      <c r="O369" s="37"/>
      <c r="P369" s="36"/>
      <c r="Q369" s="37"/>
      <c r="R369" s="36"/>
      <c r="S369" s="37"/>
      <c r="T369" s="36"/>
      <c r="U369" s="37"/>
      <c r="V369" s="36"/>
    </row>
    <row r="370" spans="2:22">
      <c r="B370" s="38"/>
      <c r="C370" s="37"/>
      <c r="D370" s="36"/>
      <c r="E370" s="37"/>
      <c r="F370" s="36"/>
      <c r="G370" s="37"/>
      <c r="H370" s="36"/>
      <c r="I370" s="37"/>
      <c r="J370" s="36"/>
      <c r="K370" s="37"/>
      <c r="L370" s="36"/>
      <c r="M370" s="37"/>
      <c r="N370" s="36"/>
      <c r="O370" s="37"/>
      <c r="P370" s="36"/>
      <c r="Q370" s="37"/>
      <c r="R370" s="36"/>
      <c r="S370" s="37"/>
      <c r="T370" s="36"/>
      <c r="U370" s="37"/>
      <c r="V370" s="36"/>
    </row>
    <row r="371" spans="2:22">
      <c r="B371" s="38"/>
      <c r="C371" s="37"/>
      <c r="D371" s="36"/>
      <c r="E371" s="37"/>
      <c r="F371" s="36"/>
      <c r="G371" s="37"/>
      <c r="H371" s="36"/>
      <c r="I371" s="37"/>
      <c r="J371" s="36"/>
      <c r="K371" s="37"/>
      <c r="L371" s="36"/>
      <c r="M371" s="37"/>
      <c r="N371" s="36"/>
      <c r="O371" s="37"/>
      <c r="P371" s="36"/>
      <c r="Q371" s="37"/>
      <c r="R371" s="36"/>
      <c r="S371" s="37"/>
      <c r="T371" s="36"/>
      <c r="U371" s="37"/>
      <c r="V371" s="36"/>
    </row>
    <row r="372" spans="2:22">
      <c r="B372" s="38"/>
      <c r="C372" s="37"/>
      <c r="D372" s="36"/>
      <c r="E372" s="37"/>
      <c r="F372" s="36"/>
      <c r="G372" s="37"/>
      <c r="H372" s="36"/>
      <c r="I372" s="37"/>
      <c r="J372" s="36"/>
      <c r="K372" s="37"/>
      <c r="L372" s="36"/>
      <c r="M372" s="37"/>
      <c r="N372" s="36"/>
      <c r="O372" s="37"/>
      <c r="P372" s="36"/>
      <c r="Q372" s="37"/>
      <c r="R372" s="36"/>
      <c r="S372" s="37"/>
      <c r="T372" s="36"/>
      <c r="U372" s="37"/>
      <c r="V372" s="36"/>
    </row>
    <row r="373" spans="2:22">
      <c r="B373" s="38"/>
      <c r="C373" s="37"/>
      <c r="D373" s="36"/>
      <c r="E373" s="37"/>
      <c r="F373" s="36"/>
      <c r="G373" s="37"/>
      <c r="H373" s="36"/>
      <c r="I373" s="37"/>
      <c r="J373" s="36"/>
      <c r="K373" s="37"/>
      <c r="L373" s="36"/>
      <c r="M373" s="37"/>
      <c r="N373" s="36"/>
      <c r="O373" s="37"/>
      <c r="P373" s="36"/>
      <c r="Q373" s="37"/>
      <c r="R373" s="36"/>
      <c r="S373" s="37"/>
      <c r="T373" s="36"/>
      <c r="U373" s="37"/>
      <c r="V373" s="36"/>
    </row>
    <row r="374" spans="2:22">
      <c r="B374" s="38"/>
      <c r="C374" s="37"/>
      <c r="D374" s="36"/>
      <c r="E374" s="37"/>
      <c r="F374" s="36"/>
      <c r="G374" s="37"/>
      <c r="H374" s="36"/>
      <c r="I374" s="37"/>
      <c r="J374" s="36"/>
      <c r="K374" s="37"/>
      <c r="L374" s="36"/>
      <c r="M374" s="37"/>
      <c r="N374" s="36"/>
      <c r="O374" s="37"/>
      <c r="P374" s="36"/>
      <c r="Q374" s="37"/>
      <c r="R374" s="36"/>
      <c r="S374" s="37"/>
      <c r="T374" s="36"/>
      <c r="U374" s="37"/>
      <c r="V374" s="36"/>
    </row>
    <row r="375" spans="2:22">
      <c r="B375" s="38"/>
      <c r="C375" s="37"/>
      <c r="D375" s="36"/>
      <c r="E375" s="37"/>
      <c r="F375" s="36"/>
      <c r="G375" s="37"/>
      <c r="H375" s="36"/>
      <c r="I375" s="37"/>
      <c r="J375" s="36"/>
      <c r="K375" s="37"/>
      <c r="L375" s="36"/>
      <c r="M375" s="37"/>
      <c r="N375" s="36"/>
      <c r="O375" s="37"/>
      <c r="P375" s="36"/>
      <c r="Q375" s="37"/>
      <c r="R375" s="36"/>
      <c r="S375" s="37"/>
      <c r="T375" s="36"/>
      <c r="U375" s="37"/>
      <c r="V375" s="36"/>
    </row>
    <row r="376" spans="2:22">
      <c r="B376" s="38"/>
      <c r="C376" s="37"/>
      <c r="D376" s="36"/>
      <c r="E376" s="37"/>
      <c r="F376" s="36"/>
      <c r="G376" s="37"/>
      <c r="H376" s="36"/>
      <c r="I376" s="37"/>
      <c r="J376" s="36"/>
      <c r="K376" s="37"/>
      <c r="L376" s="36"/>
      <c r="M376" s="37"/>
      <c r="N376" s="36"/>
      <c r="O376" s="37"/>
      <c r="P376" s="36"/>
      <c r="Q376" s="37"/>
      <c r="R376" s="36"/>
      <c r="S376" s="37"/>
      <c r="T376" s="36"/>
      <c r="U376" s="37"/>
      <c r="V376" s="36"/>
    </row>
    <row r="377" spans="2:22">
      <c r="B377" s="38"/>
      <c r="C377" s="37"/>
      <c r="D377" s="36"/>
      <c r="E377" s="37"/>
      <c r="F377" s="36"/>
      <c r="G377" s="37"/>
      <c r="H377" s="36"/>
      <c r="I377" s="37"/>
      <c r="J377" s="36"/>
      <c r="K377" s="37"/>
      <c r="L377" s="36"/>
      <c r="M377" s="37"/>
      <c r="N377" s="36"/>
      <c r="O377" s="37"/>
      <c r="P377" s="36"/>
      <c r="Q377" s="37"/>
      <c r="R377" s="36"/>
      <c r="S377" s="37"/>
      <c r="T377" s="36"/>
      <c r="U377" s="37"/>
      <c r="V377" s="36"/>
    </row>
    <row r="378" spans="2:22">
      <c r="B378" s="38"/>
      <c r="C378" s="37"/>
      <c r="D378" s="36"/>
      <c r="E378" s="37"/>
      <c r="F378" s="36"/>
      <c r="G378" s="37"/>
      <c r="H378" s="36"/>
      <c r="I378" s="37"/>
      <c r="J378" s="36"/>
      <c r="K378" s="37"/>
      <c r="L378" s="36"/>
      <c r="M378" s="37"/>
      <c r="N378" s="36"/>
      <c r="O378" s="37"/>
      <c r="P378" s="36"/>
      <c r="Q378" s="37"/>
      <c r="R378" s="36"/>
      <c r="S378" s="37"/>
      <c r="T378" s="36"/>
      <c r="U378" s="37"/>
      <c r="V378" s="36"/>
    </row>
    <row r="379" spans="2:22">
      <c r="B379" s="38"/>
      <c r="C379" s="37"/>
      <c r="D379" s="36"/>
      <c r="E379" s="37"/>
      <c r="F379" s="36"/>
      <c r="G379" s="37"/>
      <c r="H379" s="36"/>
      <c r="I379" s="37"/>
      <c r="J379" s="36"/>
      <c r="K379" s="37"/>
      <c r="L379" s="36"/>
      <c r="M379" s="37"/>
      <c r="N379" s="36"/>
      <c r="O379" s="37"/>
      <c r="P379" s="36"/>
      <c r="Q379" s="37"/>
      <c r="R379" s="36"/>
      <c r="S379" s="37"/>
      <c r="T379" s="36"/>
      <c r="U379" s="37"/>
      <c r="V379" s="36"/>
    </row>
    <row r="380" spans="2:22">
      <c r="B380" s="38"/>
      <c r="C380" s="37"/>
      <c r="D380" s="36"/>
      <c r="E380" s="37"/>
      <c r="F380" s="36"/>
      <c r="G380" s="37"/>
      <c r="H380" s="36"/>
      <c r="I380" s="37"/>
      <c r="J380" s="36"/>
      <c r="K380" s="37"/>
      <c r="L380" s="36"/>
      <c r="M380" s="37"/>
      <c r="N380" s="36"/>
      <c r="O380" s="37"/>
      <c r="P380" s="36"/>
      <c r="Q380" s="37"/>
      <c r="R380" s="36"/>
      <c r="S380" s="37"/>
      <c r="T380" s="36"/>
      <c r="U380" s="37"/>
      <c r="V380" s="36"/>
    </row>
    <row r="381" spans="2:22">
      <c r="B381" s="38"/>
      <c r="C381" s="37"/>
      <c r="D381" s="36"/>
      <c r="E381" s="37"/>
      <c r="F381" s="36"/>
      <c r="G381" s="37"/>
      <c r="H381" s="36"/>
      <c r="I381" s="37"/>
      <c r="J381" s="36"/>
      <c r="K381" s="37"/>
      <c r="L381" s="36"/>
      <c r="M381" s="37"/>
      <c r="N381" s="36"/>
      <c r="O381" s="37"/>
      <c r="P381" s="36"/>
      <c r="Q381" s="37"/>
      <c r="R381" s="36"/>
      <c r="S381" s="37"/>
      <c r="T381" s="36"/>
      <c r="U381" s="37"/>
      <c r="V381" s="36"/>
    </row>
    <row r="382" spans="2:22">
      <c r="B382" s="38"/>
      <c r="C382" s="37"/>
      <c r="D382" s="36"/>
      <c r="E382" s="37"/>
      <c r="F382" s="36"/>
      <c r="G382" s="37"/>
      <c r="H382" s="36"/>
      <c r="I382" s="37"/>
      <c r="J382" s="36"/>
      <c r="K382" s="37"/>
      <c r="L382" s="36"/>
      <c r="M382" s="37"/>
      <c r="N382" s="36"/>
      <c r="O382" s="37"/>
      <c r="P382" s="36"/>
      <c r="Q382" s="37"/>
      <c r="R382" s="36"/>
      <c r="S382" s="37"/>
      <c r="T382" s="36"/>
      <c r="U382" s="37"/>
      <c r="V382" s="36"/>
    </row>
    <row r="383" spans="2:22">
      <c r="B383" s="38"/>
      <c r="C383" s="37"/>
      <c r="D383" s="36"/>
      <c r="E383" s="37"/>
      <c r="F383" s="36"/>
      <c r="G383" s="37"/>
      <c r="H383" s="36"/>
      <c r="I383" s="37"/>
      <c r="J383" s="36"/>
      <c r="K383" s="37"/>
      <c r="L383" s="36"/>
      <c r="M383" s="37"/>
      <c r="N383" s="36"/>
      <c r="O383" s="37"/>
      <c r="P383" s="36"/>
      <c r="Q383" s="37"/>
      <c r="R383" s="36"/>
      <c r="S383" s="37"/>
      <c r="T383" s="36"/>
      <c r="U383" s="37"/>
      <c r="V383" s="36"/>
    </row>
    <row r="384" spans="2:22">
      <c r="B384" s="38"/>
      <c r="C384" s="37"/>
      <c r="D384" s="36"/>
      <c r="E384" s="37"/>
      <c r="F384" s="36"/>
      <c r="G384" s="37"/>
      <c r="H384" s="36"/>
      <c r="I384" s="37"/>
      <c r="J384" s="36"/>
      <c r="K384" s="37"/>
      <c r="L384" s="36"/>
      <c r="M384" s="37"/>
      <c r="N384" s="36"/>
      <c r="O384" s="37"/>
      <c r="P384" s="36"/>
      <c r="Q384" s="37"/>
      <c r="R384" s="36"/>
      <c r="S384" s="37"/>
      <c r="T384" s="36"/>
      <c r="U384" s="37"/>
      <c r="V384" s="36"/>
    </row>
    <row r="385" spans="2:22">
      <c r="B385" s="38"/>
      <c r="C385" s="37"/>
      <c r="D385" s="36"/>
      <c r="E385" s="37"/>
      <c r="F385" s="36"/>
      <c r="G385" s="37"/>
      <c r="H385" s="36"/>
      <c r="I385" s="37"/>
      <c r="J385" s="36"/>
      <c r="K385" s="37"/>
      <c r="L385" s="36"/>
      <c r="M385" s="37"/>
      <c r="N385" s="36"/>
      <c r="O385" s="37"/>
      <c r="P385" s="36"/>
      <c r="Q385" s="37"/>
      <c r="R385" s="36"/>
      <c r="S385" s="37"/>
      <c r="T385" s="36"/>
      <c r="U385" s="37"/>
      <c r="V385" s="36"/>
    </row>
    <row r="386" spans="2:22">
      <c r="B386" s="38"/>
      <c r="C386" s="37"/>
      <c r="D386" s="36"/>
      <c r="E386" s="37"/>
      <c r="F386" s="36"/>
      <c r="G386" s="37"/>
      <c r="H386" s="36"/>
      <c r="I386" s="37"/>
      <c r="J386" s="36"/>
      <c r="K386" s="37"/>
      <c r="L386" s="36"/>
      <c r="M386" s="37"/>
      <c r="N386" s="36"/>
      <c r="O386" s="37"/>
      <c r="P386" s="36"/>
      <c r="Q386" s="37"/>
      <c r="R386" s="36"/>
      <c r="S386" s="37"/>
      <c r="T386" s="36"/>
      <c r="U386" s="37"/>
      <c r="V386" s="36"/>
    </row>
    <row r="387" spans="2:22">
      <c r="B387" s="38"/>
      <c r="C387" s="37"/>
      <c r="D387" s="36"/>
      <c r="E387" s="37"/>
      <c r="F387" s="36"/>
      <c r="G387" s="37"/>
      <c r="H387" s="36"/>
      <c r="I387" s="37"/>
      <c r="J387" s="36"/>
      <c r="K387" s="37"/>
      <c r="L387" s="36"/>
      <c r="M387" s="37"/>
      <c r="N387" s="36"/>
      <c r="O387" s="37"/>
      <c r="P387" s="36"/>
      <c r="Q387" s="37"/>
      <c r="R387" s="36"/>
      <c r="S387" s="37"/>
      <c r="T387" s="36"/>
      <c r="U387" s="37"/>
      <c r="V387" s="36"/>
    </row>
    <row r="388" spans="2:22">
      <c r="B388" s="38"/>
      <c r="C388" s="37"/>
      <c r="D388" s="36"/>
      <c r="E388" s="37"/>
      <c r="F388" s="36"/>
      <c r="G388" s="37"/>
      <c r="H388" s="36"/>
      <c r="I388" s="37"/>
      <c r="J388" s="36"/>
      <c r="K388" s="37"/>
      <c r="L388" s="36"/>
      <c r="M388" s="37"/>
      <c r="N388" s="36"/>
      <c r="O388" s="37"/>
      <c r="P388" s="36"/>
      <c r="Q388" s="37"/>
      <c r="R388" s="36"/>
      <c r="S388" s="37"/>
      <c r="T388" s="36"/>
      <c r="U388" s="37"/>
      <c r="V388" s="36"/>
    </row>
    <row r="389" spans="2:22">
      <c r="B389" s="38"/>
      <c r="C389" s="37"/>
      <c r="D389" s="36"/>
      <c r="E389" s="37"/>
      <c r="F389" s="36"/>
      <c r="G389" s="37"/>
      <c r="H389" s="36"/>
      <c r="I389" s="37"/>
      <c r="J389" s="36"/>
      <c r="K389" s="37"/>
      <c r="L389" s="36"/>
      <c r="M389" s="37"/>
      <c r="N389" s="36"/>
      <c r="O389" s="37"/>
      <c r="P389" s="36"/>
      <c r="Q389" s="37"/>
      <c r="R389" s="36"/>
      <c r="S389" s="37"/>
      <c r="T389" s="36"/>
      <c r="U389" s="37"/>
      <c r="V389" s="36"/>
    </row>
    <row r="390" spans="2:22">
      <c r="B390" s="38"/>
      <c r="C390" s="37"/>
      <c r="D390" s="36"/>
      <c r="E390" s="37"/>
      <c r="F390" s="36"/>
      <c r="G390" s="37"/>
      <c r="H390" s="36"/>
      <c r="I390" s="37"/>
      <c r="J390" s="36"/>
      <c r="K390" s="37"/>
      <c r="L390" s="36"/>
      <c r="M390" s="37"/>
      <c r="N390" s="36"/>
      <c r="O390" s="37"/>
      <c r="P390" s="36"/>
      <c r="Q390" s="37"/>
      <c r="R390" s="36"/>
      <c r="S390" s="37"/>
      <c r="T390" s="36"/>
      <c r="U390" s="37"/>
      <c r="V390" s="36"/>
    </row>
    <row r="391" spans="2:22">
      <c r="B391" s="38"/>
      <c r="C391" s="37"/>
      <c r="D391" s="36"/>
      <c r="E391" s="37"/>
      <c r="F391" s="36"/>
      <c r="G391" s="37"/>
      <c r="H391" s="36"/>
      <c r="I391" s="37"/>
      <c r="J391" s="36"/>
      <c r="K391" s="37"/>
      <c r="L391" s="36"/>
      <c r="M391" s="37"/>
      <c r="N391" s="36"/>
      <c r="O391" s="37"/>
      <c r="P391" s="36"/>
      <c r="Q391" s="37"/>
      <c r="R391" s="36"/>
      <c r="S391" s="37"/>
      <c r="T391" s="36"/>
      <c r="U391" s="37"/>
      <c r="V391" s="36"/>
    </row>
    <row r="392" spans="2:22">
      <c r="B392" s="38"/>
      <c r="C392" s="37"/>
      <c r="D392" s="36"/>
      <c r="E392" s="37"/>
      <c r="F392" s="36"/>
      <c r="G392" s="37"/>
      <c r="H392" s="36"/>
      <c r="I392" s="37"/>
      <c r="J392" s="36"/>
      <c r="K392" s="37"/>
      <c r="L392" s="36"/>
      <c r="M392" s="37"/>
      <c r="N392" s="36"/>
      <c r="O392" s="37"/>
      <c r="P392" s="36"/>
      <c r="Q392" s="37"/>
      <c r="R392" s="36"/>
      <c r="S392" s="37"/>
      <c r="T392" s="36"/>
      <c r="U392" s="37"/>
      <c r="V392" s="36"/>
    </row>
    <row r="393" spans="2:22">
      <c r="B393" s="38"/>
      <c r="C393" s="37"/>
      <c r="D393" s="36"/>
      <c r="E393" s="37"/>
      <c r="F393" s="36"/>
      <c r="G393" s="37"/>
      <c r="H393" s="36"/>
      <c r="I393" s="37"/>
      <c r="J393" s="36"/>
      <c r="K393" s="37"/>
      <c r="L393" s="36"/>
      <c r="M393" s="37"/>
      <c r="N393" s="36"/>
      <c r="O393" s="37"/>
      <c r="P393" s="36"/>
      <c r="Q393" s="37"/>
      <c r="R393" s="36"/>
      <c r="S393" s="37"/>
      <c r="T393" s="36"/>
      <c r="U393" s="37"/>
      <c r="V393" s="36"/>
    </row>
    <row r="394" spans="2:22">
      <c r="B394" s="38"/>
      <c r="C394" s="37"/>
      <c r="D394" s="36"/>
      <c r="E394" s="37"/>
      <c r="F394" s="36"/>
      <c r="G394" s="37"/>
      <c r="H394" s="36"/>
      <c r="I394" s="37"/>
      <c r="J394" s="36"/>
      <c r="K394" s="37"/>
      <c r="L394" s="36"/>
      <c r="M394" s="37"/>
      <c r="N394" s="36"/>
      <c r="O394" s="37"/>
      <c r="P394" s="36"/>
      <c r="Q394" s="37"/>
      <c r="R394" s="36"/>
      <c r="S394" s="37"/>
      <c r="T394" s="36"/>
      <c r="U394" s="37"/>
      <c r="V394" s="36"/>
    </row>
    <row r="395" spans="2:22">
      <c r="B395" s="38"/>
      <c r="C395" s="37"/>
      <c r="D395" s="36"/>
      <c r="E395" s="37"/>
      <c r="F395" s="36"/>
      <c r="G395" s="37"/>
      <c r="H395" s="36"/>
      <c r="I395" s="37"/>
      <c r="J395" s="36"/>
      <c r="K395" s="37"/>
      <c r="L395" s="36"/>
      <c r="M395" s="37"/>
      <c r="N395" s="36"/>
      <c r="O395" s="37"/>
      <c r="P395" s="36"/>
      <c r="Q395" s="37"/>
      <c r="R395" s="36"/>
      <c r="S395" s="37"/>
      <c r="T395" s="36"/>
      <c r="U395" s="37"/>
      <c r="V395" s="36"/>
    </row>
    <row r="396" spans="2:22">
      <c r="B396" s="38"/>
      <c r="C396" s="37"/>
      <c r="D396" s="36"/>
      <c r="E396" s="37"/>
      <c r="F396" s="36"/>
      <c r="G396" s="37"/>
      <c r="H396" s="36"/>
      <c r="I396" s="37"/>
      <c r="J396" s="36"/>
      <c r="K396" s="37"/>
      <c r="L396" s="36"/>
      <c r="M396" s="37"/>
      <c r="N396" s="36"/>
      <c r="O396" s="37"/>
      <c r="P396" s="36"/>
      <c r="Q396" s="37"/>
      <c r="R396" s="36"/>
      <c r="S396" s="37"/>
      <c r="T396" s="36"/>
      <c r="U396" s="37"/>
      <c r="V396" s="36"/>
    </row>
    <row r="397" spans="2:22">
      <c r="B397" s="38"/>
      <c r="C397" s="37"/>
      <c r="D397" s="36"/>
      <c r="E397" s="37"/>
      <c r="F397" s="36"/>
      <c r="G397" s="37"/>
      <c r="H397" s="36"/>
      <c r="I397" s="37"/>
      <c r="J397" s="36"/>
      <c r="K397" s="37"/>
      <c r="L397" s="36"/>
      <c r="M397" s="37"/>
      <c r="N397" s="36"/>
      <c r="O397" s="37"/>
      <c r="P397" s="36"/>
      <c r="Q397" s="37"/>
      <c r="R397" s="36"/>
      <c r="S397" s="37"/>
      <c r="T397" s="36"/>
      <c r="U397" s="37"/>
      <c r="V397" s="36"/>
    </row>
    <row r="398" spans="2:22">
      <c r="B398" s="38"/>
      <c r="C398" s="37"/>
      <c r="D398" s="36"/>
      <c r="E398" s="37"/>
      <c r="F398" s="36"/>
      <c r="G398" s="37"/>
      <c r="H398" s="36"/>
      <c r="I398" s="37"/>
      <c r="J398" s="36"/>
      <c r="K398" s="37"/>
      <c r="L398" s="36"/>
      <c r="M398" s="37"/>
      <c r="N398" s="36"/>
      <c r="O398" s="37"/>
      <c r="P398" s="36"/>
      <c r="Q398" s="37"/>
      <c r="R398" s="36"/>
      <c r="S398" s="37"/>
      <c r="T398" s="36"/>
      <c r="U398" s="37"/>
      <c r="V398" s="36"/>
    </row>
    <row r="399" spans="2:22">
      <c r="B399" s="38"/>
      <c r="C399" s="37"/>
      <c r="D399" s="36"/>
      <c r="E399" s="37"/>
      <c r="F399" s="36"/>
      <c r="G399" s="37"/>
      <c r="H399" s="36"/>
      <c r="I399" s="37"/>
      <c r="J399" s="36"/>
      <c r="K399" s="37"/>
      <c r="L399" s="36"/>
      <c r="M399" s="37"/>
      <c r="N399" s="36"/>
      <c r="O399" s="37"/>
      <c r="P399" s="36"/>
      <c r="Q399" s="37"/>
      <c r="R399" s="36"/>
      <c r="S399" s="37"/>
      <c r="T399" s="36"/>
      <c r="U399" s="37"/>
      <c r="V399" s="36"/>
    </row>
    <row r="400" spans="2:22">
      <c r="B400" s="38"/>
      <c r="C400" s="37"/>
      <c r="D400" s="36"/>
      <c r="E400" s="37"/>
      <c r="F400" s="36"/>
      <c r="G400" s="37"/>
      <c r="H400" s="36"/>
      <c r="I400" s="37"/>
      <c r="J400" s="36"/>
      <c r="K400" s="37"/>
      <c r="L400" s="36"/>
      <c r="M400" s="37"/>
      <c r="N400" s="36"/>
      <c r="O400" s="37"/>
      <c r="P400" s="36"/>
      <c r="Q400" s="37"/>
      <c r="R400" s="36"/>
      <c r="S400" s="37"/>
      <c r="T400" s="36"/>
      <c r="U400" s="37"/>
      <c r="V400" s="36"/>
    </row>
    <row r="401" spans="2:22">
      <c r="B401" s="38"/>
      <c r="C401" s="37"/>
      <c r="D401" s="36"/>
      <c r="E401" s="37"/>
      <c r="F401" s="36"/>
      <c r="G401" s="37"/>
      <c r="H401" s="36"/>
      <c r="I401" s="37"/>
      <c r="J401" s="36"/>
      <c r="K401" s="37"/>
      <c r="L401" s="36"/>
      <c r="M401" s="37"/>
      <c r="N401" s="36"/>
      <c r="O401" s="37"/>
      <c r="P401" s="36"/>
      <c r="Q401" s="37"/>
      <c r="R401" s="36"/>
      <c r="S401" s="37"/>
      <c r="T401" s="36"/>
      <c r="U401" s="37"/>
      <c r="V401" s="36"/>
    </row>
    <row r="402" spans="2:22">
      <c r="B402" s="38"/>
      <c r="C402" s="37"/>
      <c r="D402" s="36"/>
      <c r="E402" s="37"/>
      <c r="F402" s="36"/>
      <c r="G402" s="37"/>
      <c r="H402" s="36"/>
      <c r="I402" s="37"/>
      <c r="J402" s="36"/>
      <c r="K402" s="37"/>
      <c r="L402" s="36"/>
      <c r="M402" s="37"/>
      <c r="N402" s="36"/>
      <c r="O402" s="37"/>
      <c r="P402" s="36"/>
      <c r="Q402" s="37"/>
      <c r="R402" s="36"/>
      <c r="S402" s="37"/>
      <c r="T402" s="36"/>
      <c r="U402" s="37"/>
      <c r="V402" s="36"/>
    </row>
    <row r="403" spans="2:22">
      <c r="B403" s="38"/>
      <c r="C403" s="37"/>
      <c r="D403" s="36"/>
      <c r="E403" s="37"/>
      <c r="F403" s="36"/>
      <c r="G403" s="37"/>
      <c r="H403" s="36"/>
      <c r="I403" s="37"/>
      <c r="J403" s="36"/>
      <c r="K403" s="37"/>
      <c r="L403" s="36"/>
      <c r="M403" s="37"/>
      <c r="N403" s="36"/>
      <c r="O403" s="37"/>
      <c r="P403" s="36"/>
      <c r="Q403" s="37"/>
      <c r="R403" s="36"/>
      <c r="S403" s="37"/>
      <c r="T403" s="36"/>
      <c r="U403" s="37"/>
      <c r="V403" s="36"/>
    </row>
    <row r="404" spans="2:22">
      <c r="B404" s="38"/>
      <c r="C404" s="37"/>
      <c r="D404" s="36"/>
      <c r="E404" s="37"/>
      <c r="F404" s="36"/>
      <c r="G404" s="37"/>
      <c r="H404" s="36"/>
      <c r="I404" s="37"/>
      <c r="J404" s="36"/>
      <c r="K404" s="37"/>
      <c r="L404" s="36"/>
      <c r="M404" s="37"/>
      <c r="N404" s="36"/>
      <c r="O404" s="37"/>
      <c r="P404" s="36"/>
      <c r="Q404" s="37"/>
      <c r="R404" s="36"/>
      <c r="S404" s="37"/>
      <c r="T404" s="36"/>
      <c r="U404" s="37"/>
      <c r="V404" s="36"/>
    </row>
    <row r="405" spans="2:22">
      <c r="B405" s="38"/>
      <c r="C405" s="37"/>
      <c r="D405" s="36"/>
      <c r="E405" s="37"/>
      <c r="F405" s="36"/>
      <c r="G405" s="37"/>
      <c r="H405" s="36"/>
      <c r="I405" s="37"/>
      <c r="J405" s="36"/>
      <c r="K405" s="37"/>
      <c r="L405" s="36"/>
      <c r="M405" s="37"/>
      <c r="N405" s="36"/>
      <c r="O405" s="37"/>
      <c r="P405" s="36"/>
      <c r="Q405" s="37"/>
      <c r="R405" s="36"/>
      <c r="S405" s="37"/>
      <c r="T405" s="36"/>
      <c r="U405" s="37"/>
      <c r="V405" s="36"/>
    </row>
    <row r="406" spans="2:22">
      <c r="B406" s="38"/>
      <c r="C406" s="37"/>
      <c r="D406" s="36"/>
      <c r="E406" s="37"/>
      <c r="F406" s="36"/>
      <c r="G406" s="37"/>
      <c r="H406" s="36"/>
      <c r="I406" s="37"/>
      <c r="J406" s="36"/>
      <c r="K406" s="37"/>
      <c r="L406" s="36"/>
      <c r="M406" s="37"/>
      <c r="N406" s="36"/>
      <c r="O406" s="37"/>
      <c r="P406" s="36"/>
      <c r="Q406" s="37"/>
      <c r="R406" s="36"/>
      <c r="S406" s="37"/>
      <c r="T406" s="36"/>
      <c r="U406" s="37"/>
      <c r="V406" s="36"/>
    </row>
    <row r="407" spans="2:22">
      <c r="B407" s="38"/>
      <c r="C407" s="37"/>
      <c r="D407" s="36"/>
      <c r="E407" s="37"/>
      <c r="F407" s="36"/>
      <c r="G407" s="37"/>
      <c r="H407" s="36"/>
      <c r="I407" s="37"/>
      <c r="J407" s="36"/>
      <c r="K407" s="37"/>
      <c r="L407" s="36"/>
      <c r="M407" s="37"/>
      <c r="N407" s="36"/>
      <c r="O407" s="37"/>
      <c r="P407" s="36"/>
      <c r="Q407" s="37"/>
      <c r="R407" s="36"/>
      <c r="S407" s="37"/>
      <c r="T407" s="36"/>
      <c r="U407" s="37"/>
      <c r="V407" s="36"/>
    </row>
    <row r="408" spans="2:22">
      <c r="B408" s="38"/>
      <c r="C408" s="37"/>
      <c r="D408" s="36"/>
      <c r="E408" s="37"/>
      <c r="F408" s="36"/>
      <c r="G408" s="37"/>
      <c r="H408" s="36"/>
      <c r="I408" s="37"/>
      <c r="J408" s="36"/>
      <c r="K408" s="37"/>
      <c r="L408" s="36"/>
      <c r="M408" s="37"/>
      <c r="N408" s="36"/>
      <c r="O408" s="37"/>
      <c r="P408" s="36"/>
      <c r="Q408" s="37"/>
      <c r="R408" s="36"/>
      <c r="S408" s="37"/>
      <c r="T408" s="36"/>
      <c r="U408" s="37"/>
      <c r="V408" s="36"/>
    </row>
    <row r="409" spans="2:22">
      <c r="B409" s="38"/>
      <c r="C409" s="37"/>
      <c r="D409" s="36"/>
      <c r="E409" s="37"/>
      <c r="F409" s="36"/>
      <c r="G409" s="37"/>
      <c r="H409" s="36"/>
      <c r="I409" s="37"/>
      <c r="J409" s="36"/>
      <c r="K409" s="37"/>
      <c r="L409" s="36"/>
      <c r="M409" s="37"/>
      <c r="N409" s="36"/>
      <c r="O409" s="37"/>
      <c r="P409" s="36"/>
      <c r="Q409" s="37"/>
      <c r="R409" s="36"/>
      <c r="S409" s="37"/>
      <c r="T409" s="36"/>
      <c r="U409" s="37"/>
      <c r="V409" s="36"/>
    </row>
    <row r="410" spans="2:22">
      <c r="B410" s="38"/>
      <c r="C410" s="37"/>
      <c r="D410" s="36"/>
      <c r="E410" s="37"/>
      <c r="F410" s="36"/>
      <c r="G410" s="37"/>
      <c r="H410" s="36"/>
      <c r="I410" s="37"/>
      <c r="J410" s="36"/>
      <c r="K410" s="37"/>
      <c r="L410" s="36"/>
      <c r="M410" s="37"/>
      <c r="N410" s="36"/>
      <c r="O410" s="37"/>
      <c r="P410" s="36"/>
      <c r="Q410" s="37"/>
      <c r="R410" s="36"/>
      <c r="S410" s="37"/>
      <c r="T410" s="36"/>
      <c r="U410" s="37"/>
      <c r="V410" s="36"/>
    </row>
    <row r="411" spans="2:22">
      <c r="B411" s="38"/>
      <c r="C411" s="37"/>
      <c r="D411" s="36"/>
      <c r="E411" s="37"/>
      <c r="F411" s="36"/>
      <c r="G411" s="37"/>
      <c r="H411" s="36"/>
      <c r="I411" s="37"/>
      <c r="J411" s="36"/>
      <c r="K411" s="37"/>
      <c r="L411" s="36"/>
      <c r="M411" s="37"/>
      <c r="N411" s="36"/>
      <c r="O411" s="37"/>
      <c r="P411" s="36"/>
      <c r="Q411" s="37"/>
      <c r="R411" s="36"/>
      <c r="S411" s="37"/>
      <c r="T411" s="36"/>
      <c r="U411" s="37"/>
      <c r="V411" s="36"/>
    </row>
    <row r="412" spans="2:22">
      <c r="B412" s="38"/>
      <c r="C412" s="37"/>
      <c r="D412" s="36"/>
      <c r="E412" s="37"/>
      <c r="F412" s="36"/>
      <c r="G412" s="37"/>
      <c r="H412" s="36"/>
      <c r="I412" s="37"/>
      <c r="J412" s="36"/>
      <c r="K412" s="37"/>
      <c r="L412" s="36"/>
      <c r="M412" s="37"/>
      <c r="N412" s="36"/>
      <c r="O412" s="37"/>
      <c r="P412" s="36"/>
      <c r="Q412" s="37"/>
      <c r="R412" s="36"/>
      <c r="S412" s="37"/>
      <c r="T412" s="36"/>
      <c r="U412" s="37"/>
      <c r="V412" s="36"/>
    </row>
    <row r="413" spans="2:22">
      <c r="B413" s="38"/>
      <c r="C413" s="37"/>
      <c r="D413" s="36"/>
      <c r="E413" s="37"/>
      <c r="F413" s="36"/>
      <c r="G413" s="37"/>
      <c r="H413" s="36"/>
      <c r="I413" s="37"/>
      <c r="J413" s="36"/>
      <c r="K413" s="37"/>
      <c r="L413" s="36"/>
      <c r="M413" s="37"/>
      <c r="N413" s="36"/>
      <c r="O413" s="37"/>
      <c r="P413" s="36"/>
      <c r="Q413" s="37"/>
      <c r="R413" s="36"/>
      <c r="S413" s="37"/>
      <c r="T413" s="36"/>
      <c r="U413" s="37"/>
      <c r="V413" s="36"/>
    </row>
    <row r="414" spans="2:22">
      <c r="B414" s="38"/>
      <c r="C414" s="37"/>
      <c r="D414" s="36"/>
      <c r="E414" s="37"/>
      <c r="F414" s="36"/>
      <c r="G414" s="37"/>
      <c r="H414" s="36"/>
      <c r="I414" s="37"/>
      <c r="J414" s="36"/>
      <c r="K414" s="37"/>
      <c r="L414" s="36"/>
      <c r="M414" s="37"/>
      <c r="N414" s="36"/>
      <c r="O414" s="37"/>
      <c r="P414" s="36"/>
      <c r="Q414" s="37"/>
      <c r="R414" s="36"/>
      <c r="S414" s="37"/>
      <c r="T414" s="36"/>
      <c r="U414" s="37"/>
      <c r="V414" s="36"/>
    </row>
    <row r="415" spans="2:22">
      <c r="B415" s="38"/>
      <c r="C415" s="37"/>
      <c r="D415" s="36"/>
      <c r="E415" s="37"/>
      <c r="F415" s="36"/>
      <c r="G415" s="37"/>
      <c r="H415" s="36"/>
      <c r="I415" s="37"/>
      <c r="J415" s="36"/>
      <c r="K415" s="37"/>
      <c r="L415" s="36"/>
      <c r="M415" s="37"/>
      <c r="N415" s="36"/>
      <c r="O415" s="37"/>
      <c r="P415" s="36"/>
      <c r="Q415" s="37"/>
      <c r="R415" s="36"/>
      <c r="S415" s="37"/>
      <c r="T415" s="36"/>
      <c r="U415" s="37"/>
      <c r="V415" s="36"/>
    </row>
    <row r="416" spans="2:22">
      <c r="B416" s="38"/>
      <c r="C416" s="37"/>
      <c r="D416" s="36"/>
      <c r="E416" s="37"/>
      <c r="F416" s="36"/>
      <c r="G416" s="37"/>
      <c r="H416" s="36"/>
      <c r="I416" s="37"/>
      <c r="J416" s="36"/>
      <c r="K416" s="37"/>
      <c r="L416" s="36"/>
      <c r="M416" s="37"/>
      <c r="N416" s="36"/>
      <c r="O416" s="37"/>
      <c r="P416" s="36"/>
      <c r="Q416" s="37"/>
      <c r="R416" s="36"/>
      <c r="S416" s="37"/>
      <c r="T416" s="36"/>
      <c r="U416" s="37"/>
      <c r="V416" s="36"/>
    </row>
    <row r="417" spans="2:22">
      <c r="B417" s="38"/>
      <c r="C417" s="37"/>
      <c r="D417" s="36"/>
      <c r="E417" s="37"/>
      <c r="F417" s="36"/>
      <c r="G417" s="37"/>
      <c r="H417" s="36"/>
      <c r="I417" s="37"/>
      <c r="J417" s="36"/>
      <c r="K417" s="37"/>
      <c r="L417" s="36"/>
      <c r="M417" s="37"/>
      <c r="N417" s="36"/>
      <c r="O417" s="37"/>
      <c r="P417" s="36"/>
      <c r="Q417" s="37"/>
      <c r="R417" s="36"/>
      <c r="S417" s="37"/>
      <c r="T417" s="36"/>
      <c r="U417" s="37"/>
      <c r="V417" s="36"/>
    </row>
    <row r="418" spans="2:22">
      <c r="B418" s="38"/>
      <c r="C418" s="37"/>
      <c r="D418" s="36"/>
      <c r="E418" s="37"/>
      <c r="F418" s="36"/>
      <c r="G418" s="37"/>
      <c r="H418" s="36"/>
      <c r="I418" s="37"/>
      <c r="J418" s="36"/>
      <c r="K418" s="37"/>
      <c r="L418" s="36"/>
      <c r="M418" s="37"/>
      <c r="N418" s="36"/>
      <c r="O418" s="37"/>
      <c r="P418" s="36"/>
      <c r="Q418" s="37"/>
      <c r="R418" s="36"/>
      <c r="S418" s="37"/>
      <c r="T418" s="36"/>
      <c r="U418" s="37"/>
      <c r="V418" s="36"/>
    </row>
    <row r="419" spans="2:22">
      <c r="B419" s="38"/>
      <c r="C419" s="37"/>
      <c r="D419" s="36"/>
      <c r="E419" s="37"/>
      <c r="F419" s="36"/>
      <c r="G419" s="37"/>
      <c r="H419" s="36"/>
      <c r="I419" s="37"/>
      <c r="J419" s="36"/>
      <c r="K419" s="37"/>
      <c r="L419" s="36"/>
      <c r="M419" s="37"/>
      <c r="N419" s="36"/>
      <c r="O419" s="37"/>
      <c r="P419" s="36"/>
      <c r="Q419" s="37"/>
      <c r="R419" s="36"/>
      <c r="S419" s="37"/>
      <c r="T419" s="36"/>
      <c r="U419" s="37"/>
      <c r="V419" s="36"/>
    </row>
    <row r="420" spans="2:22">
      <c r="B420" s="38"/>
      <c r="C420" s="37"/>
      <c r="D420" s="36"/>
      <c r="E420" s="37"/>
      <c r="F420" s="36"/>
      <c r="G420" s="37"/>
      <c r="H420" s="36"/>
      <c r="I420" s="37"/>
      <c r="J420" s="36"/>
      <c r="K420" s="37"/>
      <c r="L420" s="36"/>
      <c r="M420" s="37"/>
      <c r="N420" s="36"/>
      <c r="O420" s="37"/>
      <c r="P420" s="36"/>
      <c r="Q420" s="37"/>
      <c r="R420" s="36"/>
      <c r="S420" s="37"/>
      <c r="T420" s="36"/>
      <c r="U420" s="37"/>
      <c r="V420" s="36"/>
    </row>
    <row r="421" spans="2:22">
      <c r="B421" s="38"/>
      <c r="C421" s="37"/>
      <c r="D421" s="36"/>
      <c r="E421" s="37"/>
      <c r="F421" s="36"/>
      <c r="G421" s="37"/>
      <c r="H421" s="36"/>
      <c r="I421" s="37"/>
      <c r="J421" s="36"/>
      <c r="K421" s="37"/>
      <c r="L421" s="36"/>
      <c r="M421" s="37"/>
      <c r="N421" s="36"/>
      <c r="O421" s="37"/>
      <c r="P421" s="36"/>
      <c r="Q421" s="37"/>
      <c r="R421" s="36"/>
      <c r="S421" s="37"/>
      <c r="T421" s="36"/>
      <c r="U421" s="37"/>
      <c r="V421" s="36"/>
    </row>
    <row r="422" spans="2:22">
      <c r="B422" s="38"/>
      <c r="C422" s="37"/>
      <c r="D422" s="36"/>
      <c r="E422" s="37"/>
      <c r="F422" s="36"/>
      <c r="G422" s="37"/>
      <c r="H422" s="36"/>
      <c r="I422" s="37"/>
      <c r="J422" s="36"/>
      <c r="K422" s="37"/>
      <c r="L422" s="36"/>
      <c r="M422" s="37"/>
      <c r="N422" s="36"/>
      <c r="O422" s="37"/>
      <c r="P422" s="36"/>
      <c r="Q422" s="37"/>
      <c r="R422" s="36"/>
      <c r="S422" s="37"/>
      <c r="T422" s="36"/>
      <c r="U422" s="37"/>
      <c r="V422" s="36"/>
    </row>
    <row r="423" spans="2:22">
      <c r="B423" s="38"/>
      <c r="C423" s="37"/>
      <c r="D423" s="36"/>
      <c r="E423" s="37"/>
      <c r="F423" s="36"/>
      <c r="G423" s="37"/>
      <c r="H423" s="36"/>
      <c r="I423" s="37"/>
      <c r="J423" s="36"/>
      <c r="K423" s="37"/>
      <c r="L423" s="36"/>
      <c r="M423" s="37"/>
      <c r="N423" s="36"/>
      <c r="O423" s="37"/>
      <c r="P423" s="36"/>
      <c r="Q423" s="37"/>
      <c r="R423" s="36"/>
      <c r="S423" s="37"/>
      <c r="T423" s="36"/>
      <c r="U423" s="37"/>
      <c r="V423" s="36"/>
    </row>
    <row r="424" spans="2:22">
      <c r="B424" s="38"/>
      <c r="C424" s="37"/>
      <c r="D424" s="36"/>
      <c r="E424" s="37"/>
      <c r="F424" s="36"/>
      <c r="G424" s="37"/>
      <c r="H424" s="36"/>
      <c r="I424" s="37"/>
      <c r="J424" s="36"/>
      <c r="K424" s="37"/>
      <c r="L424" s="36"/>
      <c r="M424" s="37"/>
      <c r="N424" s="36"/>
      <c r="O424" s="37"/>
      <c r="P424" s="36"/>
      <c r="Q424" s="37"/>
      <c r="R424" s="36"/>
      <c r="S424" s="37"/>
      <c r="T424" s="36"/>
      <c r="U424" s="37"/>
      <c r="V424" s="36"/>
    </row>
    <row r="425" spans="2:22">
      <c r="B425" s="38"/>
      <c r="C425" s="37"/>
      <c r="D425" s="36"/>
      <c r="E425" s="37"/>
      <c r="F425" s="36"/>
      <c r="G425" s="37"/>
      <c r="H425" s="36"/>
      <c r="I425" s="37"/>
      <c r="J425" s="36"/>
      <c r="K425" s="37"/>
      <c r="L425" s="36"/>
      <c r="M425" s="37"/>
      <c r="N425" s="36"/>
      <c r="O425" s="37"/>
      <c r="P425" s="36"/>
      <c r="Q425" s="37"/>
      <c r="R425" s="36"/>
      <c r="S425" s="37"/>
      <c r="T425" s="36"/>
      <c r="U425" s="37"/>
      <c r="V425" s="36"/>
    </row>
    <row r="426" spans="2:22">
      <c r="B426" s="38"/>
      <c r="C426" s="37"/>
      <c r="D426" s="36"/>
      <c r="E426" s="37"/>
      <c r="F426" s="36"/>
      <c r="G426" s="37"/>
      <c r="H426" s="36"/>
      <c r="I426" s="37"/>
      <c r="J426" s="36"/>
      <c r="K426" s="37"/>
      <c r="L426" s="36"/>
      <c r="M426" s="37"/>
      <c r="N426" s="36"/>
      <c r="O426" s="37"/>
      <c r="P426" s="36"/>
      <c r="Q426" s="37"/>
      <c r="R426" s="36"/>
      <c r="S426" s="37"/>
      <c r="T426" s="36"/>
      <c r="U426" s="37"/>
      <c r="V426" s="36"/>
    </row>
    <row r="427" spans="2:22">
      <c r="B427" s="38"/>
      <c r="C427" s="37"/>
      <c r="D427" s="36"/>
      <c r="E427" s="37"/>
      <c r="F427" s="36"/>
      <c r="G427" s="37"/>
      <c r="H427" s="36"/>
      <c r="I427" s="37"/>
      <c r="J427" s="36"/>
      <c r="K427" s="37"/>
      <c r="L427" s="36"/>
      <c r="M427" s="37"/>
      <c r="N427" s="36"/>
      <c r="O427" s="37"/>
      <c r="P427" s="36"/>
      <c r="Q427" s="37"/>
      <c r="R427" s="36"/>
      <c r="S427" s="37"/>
      <c r="T427" s="36"/>
      <c r="U427" s="37"/>
      <c r="V427" s="36"/>
    </row>
    <row r="428" spans="2:22">
      <c r="B428" s="38"/>
      <c r="C428" s="37"/>
      <c r="D428" s="36"/>
      <c r="E428" s="37"/>
      <c r="F428" s="36"/>
      <c r="G428" s="37"/>
      <c r="H428" s="36"/>
      <c r="I428" s="37"/>
      <c r="J428" s="36"/>
      <c r="K428" s="37"/>
      <c r="L428" s="36"/>
      <c r="M428" s="37"/>
      <c r="N428" s="36"/>
      <c r="O428" s="37"/>
      <c r="P428" s="36"/>
      <c r="Q428" s="37"/>
      <c r="R428" s="36"/>
      <c r="S428" s="37"/>
      <c r="T428" s="36"/>
      <c r="U428" s="37"/>
      <c r="V428" s="36"/>
    </row>
    <row r="429" spans="2:22">
      <c r="B429" s="38"/>
      <c r="C429" s="37"/>
      <c r="D429" s="36"/>
      <c r="E429" s="37"/>
      <c r="F429" s="36"/>
      <c r="G429" s="37"/>
      <c r="H429" s="36"/>
      <c r="I429" s="37"/>
      <c r="J429" s="36"/>
      <c r="K429" s="37"/>
      <c r="L429" s="36"/>
      <c r="M429" s="37"/>
      <c r="N429" s="36"/>
      <c r="O429" s="37"/>
      <c r="P429" s="36"/>
      <c r="Q429" s="37"/>
      <c r="R429" s="36"/>
      <c r="S429" s="37"/>
      <c r="T429" s="36"/>
      <c r="U429" s="37"/>
      <c r="V429" s="36"/>
    </row>
    <row r="430" spans="2:22">
      <c r="B430" s="38"/>
      <c r="C430" s="37"/>
      <c r="D430" s="36"/>
      <c r="E430" s="37"/>
      <c r="F430" s="36"/>
      <c r="G430" s="37"/>
      <c r="H430" s="36"/>
      <c r="I430" s="37"/>
      <c r="J430" s="36"/>
      <c r="K430" s="37"/>
      <c r="L430" s="36"/>
      <c r="M430" s="37"/>
      <c r="N430" s="36"/>
      <c r="O430" s="37"/>
      <c r="P430" s="36"/>
      <c r="Q430" s="37"/>
      <c r="R430" s="36"/>
      <c r="S430" s="37"/>
      <c r="T430" s="36"/>
      <c r="U430" s="37"/>
      <c r="V430" s="36"/>
    </row>
    <row r="431" spans="2:22">
      <c r="B431" s="38"/>
      <c r="C431" s="37"/>
      <c r="D431" s="36"/>
      <c r="E431" s="37"/>
      <c r="F431" s="36"/>
      <c r="G431" s="37"/>
      <c r="H431" s="36"/>
      <c r="I431" s="37"/>
      <c r="J431" s="36"/>
      <c r="K431" s="37"/>
      <c r="L431" s="36"/>
      <c r="M431" s="37"/>
      <c r="N431" s="36"/>
      <c r="O431" s="37"/>
      <c r="P431" s="36"/>
      <c r="Q431" s="37"/>
      <c r="R431" s="36"/>
      <c r="S431" s="37"/>
      <c r="T431" s="36"/>
      <c r="U431" s="37"/>
      <c r="V431" s="36"/>
    </row>
    <row r="432" spans="2:22">
      <c r="B432" s="38"/>
      <c r="C432" s="37"/>
      <c r="D432" s="36"/>
      <c r="E432" s="37"/>
      <c r="F432" s="36"/>
      <c r="G432" s="37"/>
      <c r="H432" s="36"/>
      <c r="I432" s="37"/>
      <c r="J432" s="36"/>
      <c r="K432" s="37"/>
      <c r="L432" s="36"/>
      <c r="M432" s="37"/>
      <c r="N432" s="36"/>
      <c r="O432" s="37"/>
      <c r="P432" s="36"/>
      <c r="Q432" s="37"/>
      <c r="R432" s="36"/>
      <c r="S432" s="37"/>
      <c r="T432" s="36"/>
      <c r="U432" s="37"/>
      <c r="V432" s="36"/>
    </row>
    <row r="433" spans="2:22">
      <c r="B433" s="38"/>
      <c r="C433" s="37"/>
      <c r="D433" s="36"/>
      <c r="E433" s="37"/>
      <c r="F433" s="36"/>
      <c r="G433" s="37"/>
      <c r="H433" s="36"/>
      <c r="I433" s="37"/>
      <c r="J433" s="36"/>
      <c r="K433" s="37"/>
      <c r="L433" s="36"/>
      <c r="M433" s="37"/>
      <c r="N433" s="36"/>
      <c r="O433" s="37"/>
      <c r="P433" s="36"/>
      <c r="Q433" s="37"/>
      <c r="R433" s="36"/>
      <c r="S433" s="37"/>
      <c r="T433" s="36"/>
      <c r="U433" s="37"/>
      <c r="V433" s="36"/>
    </row>
    <row r="434" spans="2:22">
      <c r="B434" s="38"/>
      <c r="C434" s="37"/>
      <c r="D434" s="36"/>
      <c r="E434" s="37"/>
      <c r="F434" s="36"/>
      <c r="G434" s="37"/>
      <c r="H434" s="36"/>
      <c r="I434" s="37"/>
      <c r="J434" s="36"/>
      <c r="K434" s="37"/>
      <c r="L434" s="36"/>
      <c r="M434" s="37"/>
      <c r="N434" s="36"/>
      <c r="O434" s="37"/>
      <c r="P434" s="36"/>
      <c r="Q434" s="37"/>
      <c r="R434" s="36"/>
      <c r="S434" s="37"/>
      <c r="T434" s="36"/>
      <c r="U434" s="37"/>
      <c r="V434" s="36"/>
    </row>
    <row r="435" spans="2:22">
      <c r="B435" s="38"/>
      <c r="C435" s="37"/>
      <c r="D435" s="36"/>
      <c r="E435" s="37"/>
      <c r="F435" s="36"/>
      <c r="G435" s="37"/>
      <c r="H435" s="36"/>
      <c r="I435" s="37"/>
      <c r="J435" s="36"/>
      <c r="K435" s="37"/>
      <c r="L435" s="36"/>
      <c r="M435" s="37"/>
      <c r="N435" s="36"/>
      <c r="O435" s="37"/>
      <c r="P435" s="36"/>
      <c r="Q435" s="37"/>
      <c r="R435" s="36"/>
      <c r="S435" s="37"/>
      <c r="T435" s="36"/>
      <c r="U435" s="37"/>
      <c r="V435" s="36"/>
    </row>
    <row r="436" spans="2:22">
      <c r="B436" s="38"/>
      <c r="C436" s="37"/>
      <c r="D436" s="36"/>
      <c r="E436" s="37"/>
      <c r="F436" s="36"/>
      <c r="G436" s="37"/>
      <c r="H436" s="36"/>
      <c r="I436" s="37"/>
      <c r="J436" s="36"/>
      <c r="K436" s="37"/>
      <c r="L436" s="36"/>
      <c r="M436" s="37"/>
      <c r="N436" s="36"/>
      <c r="O436" s="37"/>
      <c r="P436" s="36"/>
      <c r="Q436" s="37"/>
      <c r="R436" s="36"/>
      <c r="S436" s="37"/>
      <c r="T436" s="36"/>
      <c r="U436" s="37"/>
      <c r="V436" s="36"/>
    </row>
    <row r="437" spans="2:22">
      <c r="B437" s="38"/>
      <c r="C437" s="37"/>
      <c r="D437" s="36"/>
      <c r="E437" s="37"/>
      <c r="F437" s="36"/>
      <c r="G437" s="37"/>
      <c r="H437" s="36"/>
      <c r="I437" s="37"/>
      <c r="J437" s="36"/>
      <c r="K437" s="37"/>
      <c r="L437" s="36"/>
      <c r="M437" s="37"/>
      <c r="N437" s="36"/>
      <c r="O437" s="37"/>
      <c r="P437" s="36"/>
      <c r="Q437" s="37"/>
      <c r="R437" s="36"/>
      <c r="S437" s="37"/>
      <c r="T437" s="36"/>
      <c r="U437" s="37"/>
      <c r="V437" s="36"/>
    </row>
    <row r="438" spans="2:22">
      <c r="B438" s="38"/>
      <c r="C438" s="37"/>
      <c r="D438" s="36"/>
      <c r="E438" s="37"/>
      <c r="F438" s="36"/>
      <c r="G438" s="37"/>
      <c r="H438" s="36"/>
      <c r="I438" s="37"/>
      <c r="J438" s="36"/>
      <c r="K438" s="37"/>
      <c r="L438" s="36"/>
      <c r="M438" s="37"/>
      <c r="N438" s="36"/>
      <c r="O438" s="37"/>
      <c r="P438" s="36"/>
      <c r="Q438" s="37"/>
      <c r="R438" s="36"/>
      <c r="S438" s="37"/>
      <c r="T438" s="36"/>
      <c r="U438" s="37"/>
      <c r="V438" s="36"/>
    </row>
    <row r="439" spans="2:22">
      <c r="B439" s="38"/>
      <c r="C439" s="37"/>
      <c r="D439" s="36"/>
      <c r="E439" s="37"/>
      <c r="F439" s="36"/>
      <c r="G439" s="37"/>
      <c r="H439" s="36"/>
      <c r="I439" s="37"/>
      <c r="J439" s="36"/>
      <c r="K439" s="37"/>
      <c r="L439" s="36"/>
      <c r="M439" s="37"/>
      <c r="N439" s="36"/>
      <c r="O439" s="37"/>
      <c r="P439" s="36"/>
      <c r="Q439" s="37"/>
      <c r="R439" s="36"/>
      <c r="S439" s="37"/>
      <c r="T439" s="36"/>
      <c r="U439" s="37"/>
      <c r="V439" s="36"/>
    </row>
    <row r="440" spans="2:22">
      <c r="B440" s="38"/>
      <c r="C440" s="37"/>
      <c r="D440" s="36"/>
      <c r="E440" s="37"/>
      <c r="F440" s="36"/>
      <c r="G440" s="37"/>
      <c r="H440" s="36"/>
      <c r="I440" s="37"/>
      <c r="J440" s="36"/>
      <c r="K440" s="37"/>
      <c r="L440" s="36"/>
      <c r="M440" s="37"/>
      <c r="N440" s="36"/>
      <c r="O440" s="37"/>
      <c r="P440" s="36"/>
      <c r="Q440" s="37"/>
      <c r="R440" s="36"/>
      <c r="S440" s="37"/>
      <c r="T440" s="36"/>
      <c r="U440" s="37"/>
      <c r="V440" s="36"/>
    </row>
    <row r="441" spans="2:22">
      <c r="B441" s="38"/>
      <c r="C441" s="37"/>
      <c r="D441" s="36"/>
      <c r="E441" s="37"/>
      <c r="F441" s="36"/>
      <c r="G441" s="37"/>
      <c r="H441" s="36"/>
      <c r="I441" s="37"/>
      <c r="J441" s="36"/>
      <c r="K441" s="37"/>
      <c r="L441" s="36"/>
      <c r="M441" s="37"/>
      <c r="N441" s="36"/>
      <c r="O441" s="37"/>
      <c r="P441" s="36"/>
      <c r="Q441" s="37"/>
      <c r="R441" s="36"/>
      <c r="S441" s="37"/>
      <c r="T441" s="36"/>
      <c r="U441" s="37"/>
      <c r="V441" s="36"/>
    </row>
    <row r="442" spans="2:22">
      <c r="B442" s="38"/>
      <c r="C442" s="37"/>
      <c r="D442" s="36"/>
      <c r="E442" s="37"/>
      <c r="F442" s="36"/>
      <c r="G442" s="37"/>
      <c r="H442" s="36"/>
      <c r="I442" s="37"/>
      <c r="J442" s="36"/>
      <c r="K442" s="37"/>
      <c r="L442" s="36"/>
      <c r="M442" s="37"/>
      <c r="N442" s="36"/>
      <c r="O442" s="37"/>
      <c r="P442" s="36"/>
      <c r="Q442" s="37"/>
      <c r="R442" s="36"/>
      <c r="S442" s="37"/>
      <c r="T442" s="36"/>
      <c r="U442" s="37"/>
      <c r="V442" s="36"/>
    </row>
    <row r="443" spans="2:22">
      <c r="B443" s="38"/>
      <c r="C443" s="37"/>
      <c r="D443" s="36"/>
      <c r="E443" s="37"/>
      <c r="F443" s="36"/>
      <c r="G443" s="37"/>
      <c r="H443" s="36"/>
      <c r="I443" s="37"/>
      <c r="J443" s="36"/>
      <c r="K443" s="37"/>
      <c r="L443" s="36"/>
      <c r="M443" s="37"/>
      <c r="N443" s="36"/>
      <c r="O443" s="37"/>
      <c r="P443" s="36"/>
      <c r="Q443" s="37"/>
      <c r="R443" s="36"/>
      <c r="S443" s="37"/>
      <c r="T443" s="36"/>
      <c r="U443" s="37"/>
      <c r="V443" s="36"/>
    </row>
    <row r="444" spans="2:22">
      <c r="B444" s="38"/>
      <c r="C444" s="37"/>
      <c r="D444" s="36"/>
      <c r="E444" s="37"/>
      <c r="F444" s="36"/>
      <c r="G444" s="37"/>
      <c r="H444" s="36"/>
      <c r="I444" s="37"/>
      <c r="J444" s="36"/>
      <c r="K444" s="37"/>
      <c r="L444" s="36"/>
      <c r="M444" s="37"/>
      <c r="N444" s="36"/>
      <c r="O444" s="37"/>
      <c r="P444" s="36"/>
      <c r="Q444" s="37"/>
      <c r="R444" s="36"/>
      <c r="S444" s="37"/>
      <c r="T444" s="36"/>
      <c r="U444" s="37"/>
      <c r="V444" s="36"/>
    </row>
    <row r="445" spans="2:22">
      <c r="B445" s="38"/>
      <c r="C445" s="37"/>
      <c r="D445" s="36"/>
      <c r="E445" s="37"/>
      <c r="F445" s="36"/>
      <c r="G445" s="37"/>
      <c r="H445" s="36"/>
      <c r="I445" s="37"/>
      <c r="J445" s="36"/>
      <c r="K445" s="37"/>
      <c r="L445" s="36"/>
      <c r="M445" s="37"/>
      <c r="N445" s="36"/>
      <c r="O445" s="37"/>
      <c r="P445" s="36"/>
      <c r="Q445" s="37"/>
      <c r="R445" s="36"/>
      <c r="S445" s="37"/>
      <c r="T445" s="36"/>
      <c r="U445" s="37"/>
      <c r="V445" s="36"/>
    </row>
    <row r="446" spans="2:22">
      <c r="B446" s="38"/>
      <c r="C446" s="37"/>
      <c r="D446" s="36"/>
      <c r="E446" s="37"/>
      <c r="F446" s="36"/>
      <c r="G446" s="37"/>
      <c r="H446" s="36"/>
      <c r="I446" s="37"/>
      <c r="J446" s="36"/>
      <c r="K446" s="37"/>
      <c r="L446" s="36"/>
      <c r="M446" s="37"/>
      <c r="N446" s="36"/>
      <c r="O446" s="37"/>
      <c r="P446" s="36"/>
      <c r="Q446" s="37"/>
      <c r="R446" s="36"/>
      <c r="S446" s="37"/>
      <c r="T446" s="36"/>
      <c r="U446" s="37"/>
      <c r="V446" s="36"/>
    </row>
    <row r="447" spans="2:22">
      <c r="B447" s="38"/>
      <c r="C447" s="37"/>
      <c r="D447" s="36"/>
      <c r="E447" s="37"/>
      <c r="F447" s="36"/>
      <c r="G447" s="37"/>
      <c r="H447" s="36"/>
      <c r="I447" s="37"/>
      <c r="J447" s="36"/>
      <c r="K447" s="37"/>
      <c r="L447" s="36"/>
      <c r="M447" s="37"/>
      <c r="N447" s="36"/>
      <c r="O447" s="37"/>
      <c r="P447" s="36"/>
      <c r="Q447" s="37"/>
      <c r="R447" s="36"/>
      <c r="S447" s="37"/>
      <c r="T447" s="36"/>
      <c r="U447" s="37"/>
      <c r="V447" s="36"/>
    </row>
    <row r="448" spans="2:22">
      <c r="B448" s="38"/>
      <c r="C448" s="37"/>
      <c r="D448" s="36"/>
      <c r="E448" s="37"/>
      <c r="F448" s="36"/>
      <c r="G448" s="37"/>
      <c r="H448" s="36"/>
      <c r="I448" s="37"/>
      <c r="J448" s="36"/>
      <c r="K448" s="37"/>
      <c r="L448" s="36"/>
      <c r="M448" s="37"/>
      <c r="N448" s="36"/>
      <c r="O448" s="37"/>
      <c r="P448" s="36"/>
      <c r="Q448" s="37"/>
      <c r="R448" s="36"/>
      <c r="S448" s="37"/>
      <c r="T448" s="36"/>
      <c r="U448" s="37"/>
      <c r="V448" s="36"/>
    </row>
    <row r="449" spans="2:22">
      <c r="B449" s="38"/>
      <c r="C449" s="37"/>
      <c r="D449" s="36"/>
      <c r="E449" s="37"/>
      <c r="F449" s="36"/>
      <c r="G449" s="37"/>
      <c r="H449" s="36"/>
      <c r="I449" s="37"/>
      <c r="J449" s="36"/>
      <c r="K449" s="37"/>
      <c r="L449" s="36"/>
      <c r="M449" s="37"/>
      <c r="N449" s="36"/>
      <c r="O449" s="37"/>
      <c r="P449" s="36"/>
      <c r="Q449" s="37"/>
      <c r="R449" s="36"/>
      <c r="S449" s="37"/>
      <c r="T449" s="36"/>
      <c r="U449" s="37"/>
      <c r="V449" s="36"/>
    </row>
    <row r="450" spans="2:22">
      <c r="B450" s="38"/>
      <c r="C450" s="37"/>
      <c r="D450" s="36"/>
      <c r="E450" s="37"/>
      <c r="F450" s="36"/>
      <c r="G450" s="37"/>
      <c r="H450" s="36"/>
      <c r="I450" s="37"/>
      <c r="J450" s="36"/>
      <c r="K450" s="37"/>
      <c r="L450" s="36"/>
      <c r="M450" s="37"/>
      <c r="N450" s="36"/>
      <c r="O450" s="37"/>
      <c r="P450" s="36"/>
      <c r="Q450" s="37"/>
      <c r="R450" s="36"/>
      <c r="S450" s="37"/>
      <c r="T450" s="36"/>
      <c r="U450" s="37"/>
      <c r="V450" s="36"/>
    </row>
    <row r="451" spans="2:22">
      <c r="B451" s="38"/>
      <c r="C451" s="37"/>
      <c r="D451" s="36"/>
      <c r="E451" s="37"/>
      <c r="F451" s="36"/>
      <c r="G451" s="37"/>
      <c r="H451" s="36"/>
      <c r="I451" s="37"/>
      <c r="J451" s="36"/>
      <c r="K451" s="37"/>
      <c r="L451" s="36"/>
      <c r="M451" s="37"/>
      <c r="N451" s="36"/>
      <c r="O451" s="37"/>
      <c r="P451" s="36"/>
      <c r="Q451" s="37"/>
      <c r="R451" s="36"/>
      <c r="S451" s="37"/>
      <c r="T451" s="36"/>
      <c r="U451" s="37"/>
      <c r="V451" s="36"/>
    </row>
    <row r="452" spans="2:22">
      <c r="B452" s="38"/>
      <c r="C452" s="37"/>
      <c r="D452" s="36"/>
      <c r="E452" s="37"/>
      <c r="F452" s="36"/>
      <c r="G452" s="37"/>
      <c r="H452" s="36"/>
      <c r="I452" s="37"/>
      <c r="J452" s="36"/>
      <c r="K452" s="37"/>
      <c r="L452" s="36"/>
      <c r="M452" s="37"/>
      <c r="N452" s="36"/>
      <c r="O452" s="37"/>
      <c r="P452" s="36"/>
      <c r="Q452" s="37"/>
      <c r="R452" s="36"/>
      <c r="S452" s="37"/>
      <c r="T452" s="36"/>
      <c r="U452" s="37"/>
      <c r="V452" s="36"/>
    </row>
    <row r="453" spans="2:22">
      <c r="B453" s="38"/>
      <c r="C453" s="37"/>
      <c r="D453" s="36"/>
      <c r="E453" s="37"/>
      <c r="F453" s="36"/>
      <c r="G453" s="37"/>
      <c r="H453" s="36"/>
      <c r="I453" s="37"/>
      <c r="J453" s="36"/>
      <c r="K453" s="37"/>
      <c r="L453" s="36"/>
      <c r="M453" s="37"/>
      <c r="N453" s="36"/>
      <c r="O453" s="37"/>
      <c r="P453" s="36"/>
      <c r="Q453" s="37"/>
      <c r="R453" s="36"/>
      <c r="S453" s="37"/>
      <c r="T453" s="36"/>
      <c r="U453" s="37"/>
      <c r="V453" s="36"/>
    </row>
    <row r="454" spans="2:22">
      <c r="B454" s="38"/>
      <c r="C454" s="37"/>
      <c r="D454" s="36"/>
      <c r="E454" s="37"/>
      <c r="F454" s="36"/>
      <c r="G454" s="37"/>
      <c r="H454" s="36"/>
      <c r="I454" s="37"/>
      <c r="J454" s="36"/>
      <c r="K454" s="37"/>
      <c r="L454" s="36"/>
      <c r="M454" s="37"/>
      <c r="N454" s="36"/>
      <c r="O454" s="37"/>
      <c r="P454" s="36"/>
      <c r="Q454" s="37"/>
      <c r="R454" s="36"/>
      <c r="S454" s="37"/>
      <c r="T454" s="36"/>
      <c r="U454" s="37"/>
      <c r="V454" s="36"/>
    </row>
    <row r="455" spans="2:22">
      <c r="B455" s="38"/>
      <c r="C455" s="37"/>
      <c r="D455" s="36"/>
      <c r="E455" s="37"/>
      <c r="F455" s="36"/>
      <c r="G455" s="37"/>
      <c r="H455" s="36"/>
      <c r="I455" s="37"/>
      <c r="J455" s="36"/>
      <c r="K455" s="37"/>
      <c r="L455" s="36"/>
      <c r="M455" s="37"/>
      <c r="N455" s="36"/>
      <c r="O455" s="37"/>
      <c r="P455" s="36"/>
      <c r="Q455" s="37"/>
      <c r="R455" s="36"/>
      <c r="S455" s="37"/>
      <c r="T455" s="36"/>
      <c r="U455" s="37"/>
      <c r="V455" s="36"/>
    </row>
    <row r="456" spans="2:22">
      <c r="B456" s="38"/>
      <c r="C456" s="37"/>
      <c r="D456" s="36"/>
      <c r="E456" s="37"/>
      <c r="F456" s="36"/>
      <c r="G456" s="37"/>
      <c r="H456" s="36"/>
      <c r="I456" s="37"/>
      <c r="J456" s="36"/>
      <c r="K456" s="37"/>
      <c r="L456" s="36"/>
      <c r="M456" s="37"/>
      <c r="N456" s="36"/>
      <c r="O456" s="37"/>
      <c r="P456" s="36"/>
      <c r="Q456" s="37"/>
      <c r="R456" s="36"/>
      <c r="S456" s="37"/>
      <c r="T456" s="36"/>
      <c r="U456" s="37"/>
      <c r="V456" s="36"/>
    </row>
    <row r="457" spans="2:22">
      <c r="B457" s="38"/>
      <c r="C457" s="37"/>
      <c r="D457" s="36"/>
      <c r="E457" s="37"/>
      <c r="F457" s="36"/>
      <c r="G457" s="37"/>
      <c r="H457" s="36"/>
      <c r="I457" s="37"/>
      <c r="J457" s="36"/>
      <c r="K457" s="37"/>
      <c r="L457" s="36"/>
      <c r="M457" s="37"/>
      <c r="N457" s="36"/>
      <c r="O457" s="37"/>
      <c r="P457" s="36"/>
      <c r="Q457" s="37"/>
      <c r="R457" s="36"/>
      <c r="S457" s="37"/>
      <c r="T457" s="36"/>
      <c r="U457" s="37"/>
      <c r="V457" s="36"/>
    </row>
    <row r="458" spans="2:22">
      <c r="B458" s="38"/>
      <c r="C458" s="37"/>
      <c r="D458" s="36"/>
      <c r="E458" s="37"/>
      <c r="F458" s="36"/>
      <c r="G458" s="37"/>
      <c r="H458" s="36"/>
      <c r="I458" s="37"/>
      <c r="J458" s="36"/>
      <c r="K458" s="37"/>
      <c r="L458" s="36"/>
      <c r="M458" s="37"/>
      <c r="N458" s="36"/>
      <c r="O458" s="37"/>
      <c r="P458" s="36"/>
      <c r="Q458" s="37"/>
      <c r="R458" s="36"/>
      <c r="S458" s="37"/>
      <c r="T458" s="36"/>
      <c r="U458" s="37"/>
      <c r="V458" s="36"/>
    </row>
    <row r="459" spans="2:22">
      <c r="B459" s="38"/>
      <c r="C459" s="37"/>
      <c r="D459" s="36"/>
      <c r="E459" s="37"/>
      <c r="F459" s="36"/>
      <c r="G459" s="37"/>
      <c r="H459" s="36"/>
      <c r="I459" s="37"/>
      <c r="J459" s="36"/>
      <c r="K459" s="37"/>
      <c r="L459" s="36"/>
      <c r="M459" s="37"/>
      <c r="N459" s="36"/>
      <c r="O459" s="37"/>
      <c r="P459" s="36"/>
      <c r="Q459" s="37"/>
      <c r="R459" s="36"/>
      <c r="S459" s="37"/>
      <c r="T459" s="36"/>
      <c r="U459" s="37"/>
      <c r="V459" s="36"/>
    </row>
    <row r="460" spans="2:22">
      <c r="B460" s="38"/>
      <c r="C460" s="37"/>
      <c r="D460" s="36"/>
      <c r="E460" s="37"/>
      <c r="F460" s="36"/>
      <c r="G460" s="37"/>
      <c r="H460" s="36"/>
      <c r="I460" s="37"/>
      <c r="J460" s="36"/>
      <c r="K460" s="37"/>
      <c r="L460" s="36"/>
      <c r="M460" s="37"/>
      <c r="N460" s="36"/>
      <c r="O460" s="37"/>
      <c r="P460" s="36"/>
      <c r="Q460" s="37"/>
      <c r="R460" s="36"/>
      <c r="S460" s="37"/>
      <c r="T460" s="36"/>
      <c r="U460" s="37"/>
      <c r="V460" s="36"/>
    </row>
    <row r="461" spans="2:22">
      <c r="B461" s="38"/>
      <c r="C461" s="37"/>
      <c r="D461" s="36"/>
      <c r="E461" s="37"/>
      <c r="F461" s="36"/>
      <c r="G461" s="37"/>
      <c r="H461" s="36"/>
      <c r="I461" s="37"/>
      <c r="J461" s="36"/>
      <c r="K461" s="37"/>
      <c r="L461" s="36"/>
      <c r="M461" s="37"/>
      <c r="N461" s="36"/>
      <c r="O461" s="37"/>
      <c r="P461" s="36"/>
      <c r="Q461" s="37"/>
      <c r="R461" s="36"/>
      <c r="S461" s="37"/>
      <c r="T461" s="36"/>
      <c r="U461" s="37"/>
      <c r="V461" s="36"/>
    </row>
    <row r="462" spans="2:22">
      <c r="B462" s="38"/>
      <c r="C462" s="37"/>
      <c r="D462" s="36"/>
      <c r="E462" s="37"/>
      <c r="F462" s="36"/>
      <c r="G462" s="37"/>
      <c r="H462" s="36"/>
      <c r="I462" s="37"/>
      <c r="J462" s="36"/>
      <c r="K462" s="37"/>
      <c r="L462" s="36"/>
      <c r="M462" s="37"/>
      <c r="N462" s="36"/>
      <c r="O462" s="37"/>
      <c r="P462" s="36"/>
      <c r="Q462" s="37"/>
      <c r="R462" s="36"/>
      <c r="S462" s="37"/>
      <c r="T462" s="36"/>
      <c r="U462" s="37"/>
      <c r="V462" s="36"/>
    </row>
    <row r="463" spans="2:22">
      <c r="B463" s="38"/>
      <c r="C463" s="37"/>
      <c r="D463" s="36"/>
      <c r="E463" s="37"/>
      <c r="F463" s="36"/>
      <c r="G463" s="37"/>
      <c r="H463" s="36"/>
      <c r="I463" s="37"/>
      <c r="J463" s="36"/>
      <c r="K463" s="37"/>
      <c r="L463" s="36"/>
      <c r="M463" s="37"/>
      <c r="N463" s="36"/>
      <c r="O463" s="37"/>
      <c r="P463" s="36"/>
      <c r="Q463" s="37"/>
      <c r="R463" s="36"/>
      <c r="S463" s="37"/>
      <c r="T463" s="36"/>
      <c r="U463" s="37"/>
      <c r="V463" s="36"/>
    </row>
    <row r="464" spans="2:22">
      <c r="B464" s="38"/>
      <c r="C464" s="37"/>
      <c r="D464" s="36"/>
      <c r="E464" s="37"/>
      <c r="F464" s="36"/>
      <c r="G464" s="37"/>
      <c r="H464" s="36"/>
      <c r="I464" s="37"/>
      <c r="J464" s="36"/>
      <c r="K464" s="37"/>
      <c r="L464" s="36"/>
      <c r="M464" s="37"/>
      <c r="N464" s="36"/>
      <c r="O464" s="37"/>
      <c r="P464" s="36"/>
      <c r="Q464" s="37"/>
      <c r="R464" s="36"/>
      <c r="S464" s="37"/>
      <c r="T464" s="36"/>
      <c r="U464" s="37"/>
      <c r="V464" s="36"/>
    </row>
    <row r="465" spans="2:22">
      <c r="B465" s="38"/>
      <c r="C465" s="37"/>
      <c r="D465" s="36"/>
      <c r="E465" s="37"/>
      <c r="F465" s="36"/>
      <c r="G465" s="37"/>
      <c r="H465" s="36"/>
      <c r="I465" s="37"/>
      <c r="J465" s="36"/>
      <c r="K465" s="37"/>
      <c r="L465" s="36"/>
      <c r="M465" s="37"/>
      <c r="N465" s="36"/>
      <c r="O465" s="37"/>
      <c r="P465" s="36"/>
      <c r="Q465" s="37"/>
      <c r="R465" s="36"/>
      <c r="S465" s="37"/>
      <c r="T465" s="36"/>
      <c r="U465" s="37"/>
      <c r="V465" s="36"/>
    </row>
    <row r="466" spans="2:22">
      <c r="B466" s="38"/>
      <c r="C466" s="37"/>
      <c r="D466" s="36"/>
      <c r="E466" s="37"/>
      <c r="F466" s="36"/>
      <c r="G466" s="37"/>
      <c r="H466" s="36"/>
      <c r="I466" s="37"/>
      <c r="J466" s="36"/>
      <c r="K466" s="37"/>
      <c r="L466" s="36"/>
      <c r="M466" s="37"/>
      <c r="N466" s="36"/>
      <c r="O466" s="37"/>
      <c r="P466" s="36"/>
      <c r="Q466" s="37"/>
      <c r="R466" s="36"/>
      <c r="S466" s="37"/>
      <c r="T466" s="36"/>
      <c r="U466" s="37"/>
      <c r="V466" s="36"/>
    </row>
    <row r="467" spans="2:22">
      <c r="B467" s="38"/>
      <c r="C467" s="37"/>
      <c r="D467" s="36"/>
      <c r="E467" s="37"/>
      <c r="F467" s="36"/>
      <c r="G467" s="37"/>
      <c r="H467" s="36"/>
      <c r="I467" s="37"/>
      <c r="J467" s="36"/>
      <c r="K467" s="37"/>
      <c r="L467" s="36"/>
      <c r="M467" s="37"/>
      <c r="N467" s="36"/>
      <c r="O467" s="37"/>
      <c r="P467" s="36"/>
      <c r="Q467" s="37"/>
      <c r="R467" s="36"/>
      <c r="S467" s="37"/>
      <c r="T467" s="36"/>
      <c r="U467" s="37"/>
      <c r="V467" s="36"/>
    </row>
    <row r="468" spans="2:22">
      <c r="B468" s="38"/>
      <c r="C468" s="37"/>
      <c r="D468" s="36"/>
      <c r="E468" s="37"/>
      <c r="F468" s="36"/>
      <c r="G468" s="37"/>
      <c r="H468" s="36"/>
      <c r="I468" s="37"/>
      <c r="J468" s="36"/>
      <c r="K468" s="37"/>
      <c r="L468" s="36"/>
      <c r="M468" s="37"/>
      <c r="N468" s="36"/>
      <c r="O468" s="37"/>
      <c r="P468" s="36"/>
      <c r="Q468" s="37"/>
      <c r="R468" s="36"/>
      <c r="S468" s="37"/>
      <c r="T468" s="36"/>
      <c r="U468" s="37"/>
      <c r="V468" s="36"/>
    </row>
    <row r="469" spans="2:22">
      <c r="B469" s="38"/>
      <c r="C469" s="37"/>
      <c r="D469" s="36"/>
      <c r="E469" s="37"/>
      <c r="F469" s="36"/>
      <c r="G469" s="37"/>
      <c r="H469" s="36"/>
      <c r="I469" s="37"/>
      <c r="J469" s="36"/>
      <c r="K469" s="37"/>
      <c r="L469" s="36"/>
      <c r="M469" s="37"/>
      <c r="N469" s="36"/>
      <c r="O469" s="37"/>
      <c r="P469" s="36"/>
      <c r="Q469" s="37"/>
      <c r="R469" s="36"/>
      <c r="S469" s="37"/>
      <c r="T469" s="36"/>
      <c r="U469" s="37"/>
      <c r="V469" s="36"/>
    </row>
    <row r="470" spans="2:22">
      <c r="B470" s="38"/>
      <c r="C470" s="37"/>
      <c r="D470" s="36"/>
      <c r="E470" s="37"/>
      <c r="F470" s="36"/>
      <c r="G470" s="37"/>
      <c r="H470" s="36"/>
      <c r="I470" s="37"/>
      <c r="J470" s="36"/>
      <c r="K470" s="37"/>
      <c r="L470" s="36"/>
      <c r="M470" s="37"/>
      <c r="N470" s="36"/>
      <c r="O470" s="37"/>
      <c r="P470" s="36"/>
      <c r="Q470" s="37"/>
      <c r="R470" s="36"/>
      <c r="S470" s="37"/>
      <c r="T470" s="36"/>
      <c r="U470" s="37"/>
      <c r="V470" s="36"/>
    </row>
    <row r="471" spans="2:22">
      <c r="B471" s="38"/>
      <c r="C471" s="37"/>
      <c r="D471" s="36"/>
      <c r="E471" s="37"/>
      <c r="F471" s="36"/>
      <c r="G471" s="37"/>
      <c r="H471" s="36"/>
      <c r="I471" s="37"/>
      <c r="J471" s="36"/>
      <c r="K471" s="37"/>
      <c r="L471" s="36"/>
      <c r="M471" s="37"/>
      <c r="N471" s="36"/>
      <c r="O471" s="37"/>
      <c r="P471" s="36"/>
      <c r="Q471" s="37"/>
      <c r="R471" s="36"/>
      <c r="S471" s="37"/>
      <c r="T471" s="36"/>
      <c r="U471" s="37"/>
      <c r="V471" s="36"/>
    </row>
    <row r="472" spans="2:22">
      <c r="B472" s="38"/>
      <c r="C472" s="37"/>
      <c r="D472" s="36"/>
      <c r="E472" s="37"/>
      <c r="F472" s="36"/>
      <c r="G472" s="37"/>
      <c r="H472" s="36"/>
      <c r="I472" s="37"/>
      <c r="J472" s="36"/>
      <c r="K472" s="37"/>
      <c r="L472" s="36"/>
      <c r="M472" s="37"/>
      <c r="N472" s="36"/>
      <c r="O472" s="37"/>
      <c r="P472" s="36"/>
      <c r="Q472" s="37"/>
      <c r="R472" s="36"/>
      <c r="S472" s="37"/>
      <c r="T472" s="36"/>
      <c r="U472" s="37"/>
      <c r="V472" s="36"/>
    </row>
    <row r="473" spans="2:22">
      <c r="B473" s="38"/>
      <c r="C473" s="37"/>
      <c r="D473" s="36"/>
      <c r="E473" s="37"/>
      <c r="F473" s="36"/>
      <c r="G473" s="37"/>
      <c r="H473" s="36"/>
      <c r="I473" s="37"/>
      <c r="J473" s="36"/>
      <c r="K473" s="37"/>
      <c r="L473" s="36"/>
      <c r="M473" s="37"/>
      <c r="N473" s="36"/>
      <c r="O473" s="37"/>
      <c r="P473" s="36"/>
      <c r="Q473" s="37"/>
      <c r="R473" s="36"/>
      <c r="S473" s="37"/>
      <c r="T473" s="36"/>
      <c r="U473" s="37"/>
      <c r="V473" s="36"/>
    </row>
    <row r="474" spans="2:22">
      <c r="B474" s="38"/>
      <c r="C474" s="37"/>
      <c r="D474" s="36"/>
      <c r="E474" s="37"/>
      <c r="F474" s="36"/>
      <c r="G474" s="37"/>
      <c r="H474" s="36"/>
      <c r="I474" s="37"/>
      <c r="J474" s="36"/>
      <c r="K474" s="37"/>
      <c r="L474" s="36"/>
      <c r="M474" s="37"/>
      <c r="N474" s="36"/>
      <c r="O474" s="37"/>
      <c r="P474" s="36"/>
      <c r="Q474" s="37"/>
      <c r="R474" s="36"/>
      <c r="S474" s="37"/>
      <c r="T474" s="36"/>
      <c r="U474" s="37"/>
      <c r="V474" s="36"/>
    </row>
    <row r="475" spans="2:22">
      <c r="B475" s="38"/>
      <c r="C475" s="37"/>
      <c r="D475" s="36"/>
      <c r="E475" s="37"/>
      <c r="F475" s="36"/>
      <c r="G475" s="37"/>
      <c r="H475" s="36"/>
      <c r="I475" s="37"/>
      <c r="J475" s="36"/>
      <c r="K475" s="37"/>
      <c r="L475" s="36"/>
      <c r="M475" s="37"/>
      <c r="N475" s="36"/>
      <c r="O475" s="37"/>
      <c r="P475" s="36"/>
      <c r="Q475" s="37"/>
      <c r="R475" s="36"/>
      <c r="S475" s="37"/>
      <c r="T475" s="36"/>
      <c r="U475" s="37"/>
      <c r="V475" s="36"/>
    </row>
    <row r="476" spans="2:22">
      <c r="B476" s="38"/>
      <c r="C476" s="37"/>
      <c r="D476" s="36"/>
      <c r="E476" s="37"/>
      <c r="F476" s="36"/>
      <c r="G476" s="37"/>
      <c r="H476" s="36"/>
      <c r="I476" s="37"/>
      <c r="J476" s="36"/>
      <c r="K476" s="37"/>
      <c r="L476" s="36"/>
      <c r="M476" s="37"/>
      <c r="N476" s="36"/>
      <c r="O476" s="37"/>
      <c r="P476" s="36"/>
      <c r="Q476" s="37"/>
      <c r="R476" s="36"/>
      <c r="S476" s="37"/>
      <c r="T476" s="36"/>
      <c r="U476" s="37"/>
      <c r="V476" s="36"/>
    </row>
    <row r="477" spans="2:22">
      <c r="B477" s="38"/>
      <c r="C477" s="37"/>
      <c r="D477" s="36"/>
      <c r="E477" s="37"/>
      <c r="F477" s="36"/>
      <c r="G477" s="37"/>
      <c r="H477" s="36"/>
      <c r="I477" s="37"/>
      <c r="J477" s="36"/>
      <c r="K477" s="37"/>
      <c r="L477" s="36"/>
      <c r="M477" s="37"/>
      <c r="N477" s="36"/>
      <c r="O477" s="37"/>
      <c r="P477" s="36"/>
      <c r="Q477" s="37"/>
      <c r="R477" s="36"/>
      <c r="S477" s="37"/>
      <c r="T477" s="36"/>
      <c r="U477" s="37"/>
      <c r="V477" s="36"/>
    </row>
    <row r="478" spans="2:22">
      <c r="B478" s="38"/>
      <c r="C478" s="37"/>
      <c r="D478" s="36"/>
      <c r="E478" s="37"/>
      <c r="F478" s="36"/>
      <c r="G478" s="37"/>
      <c r="H478" s="36"/>
      <c r="I478" s="37"/>
      <c r="J478" s="36"/>
      <c r="K478" s="37"/>
      <c r="L478" s="36"/>
      <c r="M478" s="37"/>
      <c r="N478" s="36"/>
      <c r="O478" s="37"/>
      <c r="P478" s="36"/>
      <c r="Q478" s="37"/>
      <c r="R478" s="36"/>
      <c r="S478" s="37"/>
      <c r="T478" s="36"/>
      <c r="U478" s="37"/>
      <c r="V478" s="36"/>
    </row>
    <row r="479" spans="2:22">
      <c r="B479" s="38"/>
      <c r="C479" s="37"/>
      <c r="D479" s="36"/>
      <c r="E479" s="37"/>
      <c r="F479" s="36"/>
      <c r="G479" s="37"/>
      <c r="H479" s="36"/>
      <c r="I479" s="37"/>
      <c r="J479" s="36"/>
      <c r="K479" s="37"/>
      <c r="L479" s="36"/>
      <c r="M479" s="37"/>
      <c r="N479" s="36"/>
      <c r="O479" s="37"/>
      <c r="P479" s="36"/>
      <c r="Q479" s="37"/>
      <c r="R479" s="36"/>
      <c r="S479" s="37"/>
      <c r="T479" s="36"/>
      <c r="U479" s="37"/>
      <c r="V479" s="36"/>
    </row>
    <row r="480" spans="2:22">
      <c r="B480" s="38"/>
      <c r="C480" s="37"/>
      <c r="D480" s="36"/>
      <c r="E480" s="37"/>
      <c r="F480" s="36"/>
      <c r="G480" s="37"/>
      <c r="H480" s="36"/>
      <c r="I480" s="37"/>
      <c r="J480" s="36"/>
      <c r="K480" s="37"/>
      <c r="L480" s="36"/>
      <c r="M480" s="37"/>
      <c r="N480" s="36"/>
      <c r="O480" s="37"/>
      <c r="P480" s="36"/>
      <c r="Q480" s="37"/>
      <c r="R480" s="36"/>
      <c r="S480" s="37"/>
      <c r="T480" s="36"/>
      <c r="U480" s="37"/>
      <c r="V480" s="36"/>
    </row>
    <row r="481" spans="2:22">
      <c r="B481" s="38"/>
      <c r="C481" s="37"/>
      <c r="D481" s="36"/>
      <c r="E481" s="37"/>
      <c r="F481" s="36"/>
      <c r="G481" s="37"/>
      <c r="H481" s="36"/>
      <c r="I481" s="37"/>
      <c r="J481" s="36"/>
      <c r="K481" s="37"/>
      <c r="L481" s="36"/>
      <c r="M481" s="37"/>
      <c r="N481" s="36"/>
      <c r="O481" s="37"/>
      <c r="P481" s="36"/>
      <c r="Q481" s="37"/>
      <c r="R481" s="36"/>
      <c r="S481" s="37"/>
      <c r="T481" s="36"/>
      <c r="U481" s="37"/>
      <c r="V481" s="36"/>
    </row>
    <row r="482" spans="2:22">
      <c r="B482" s="38"/>
      <c r="C482" s="37"/>
      <c r="D482" s="36"/>
      <c r="E482" s="37"/>
      <c r="F482" s="36"/>
      <c r="G482" s="37"/>
      <c r="H482" s="36"/>
      <c r="I482" s="37"/>
      <c r="J482" s="36"/>
      <c r="K482" s="37"/>
      <c r="L482" s="36"/>
      <c r="M482" s="37"/>
      <c r="N482" s="36"/>
      <c r="O482" s="37"/>
      <c r="P482" s="36"/>
      <c r="Q482" s="37"/>
      <c r="R482" s="36"/>
      <c r="S482" s="37"/>
      <c r="T482" s="36"/>
      <c r="U482" s="37"/>
      <c r="V482" s="36"/>
    </row>
    <row r="483" spans="2:22">
      <c r="B483" s="38"/>
      <c r="C483" s="37"/>
      <c r="D483" s="36"/>
      <c r="E483" s="37"/>
      <c r="F483" s="36"/>
      <c r="G483" s="37"/>
      <c r="H483" s="36"/>
      <c r="I483" s="37"/>
      <c r="J483" s="36"/>
      <c r="K483" s="37"/>
      <c r="L483" s="36"/>
      <c r="M483" s="37"/>
      <c r="N483" s="36"/>
      <c r="O483" s="37"/>
      <c r="P483" s="36"/>
      <c r="Q483" s="37"/>
      <c r="R483" s="36"/>
      <c r="S483" s="37"/>
      <c r="T483" s="36"/>
      <c r="U483" s="37"/>
      <c r="V483" s="36"/>
    </row>
    <row r="484" spans="2:22">
      <c r="B484" s="38"/>
      <c r="C484" s="37"/>
      <c r="D484" s="36"/>
      <c r="E484" s="37"/>
      <c r="F484" s="36"/>
      <c r="G484" s="37"/>
      <c r="H484" s="36"/>
      <c r="I484" s="37"/>
      <c r="J484" s="36"/>
      <c r="K484" s="37"/>
      <c r="L484" s="36"/>
      <c r="M484" s="37"/>
      <c r="N484" s="36"/>
      <c r="O484" s="37"/>
      <c r="P484" s="36"/>
      <c r="Q484" s="37"/>
      <c r="R484" s="36"/>
      <c r="S484" s="37"/>
      <c r="T484" s="36"/>
      <c r="U484" s="37"/>
      <c r="V484" s="36"/>
    </row>
    <row r="485" spans="2:22">
      <c r="B485" s="38"/>
      <c r="C485" s="37"/>
      <c r="D485" s="36"/>
      <c r="E485" s="37"/>
      <c r="F485" s="36"/>
      <c r="G485" s="37"/>
      <c r="H485" s="36"/>
      <c r="I485" s="37"/>
      <c r="J485" s="36"/>
      <c r="K485" s="37"/>
      <c r="L485" s="36"/>
      <c r="M485" s="37"/>
      <c r="N485" s="36"/>
      <c r="O485" s="37"/>
      <c r="P485" s="36"/>
      <c r="Q485" s="37"/>
      <c r="R485" s="36"/>
      <c r="S485" s="37"/>
      <c r="T485" s="36"/>
      <c r="U485" s="37"/>
      <c r="V485" s="36"/>
    </row>
    <row r="486" spans="2:22">
      <c r="B486" s="38"/>
      <c r="C486" s="37"/>
      <c r="D486" s="36"/>
      <c r="E486" s="37"/>
      <c r="F486" s="36"/>
      <c r="G486" s="37"/>
      <c r="H486" s="36"/>
      <c r="I486" s="37"/>
      <c r="J486" s="36"/>
      <c r="K486" s="37"/>
      <c r="L486" s="36"/>
      <c r="M486" s="37"/>
      <c r="N486" s="36"/>
      <c r="O486" s="37"/>
      <c r="P486" s="36"/>
      <c r="Q486" s="37"/>
      <c r="R486" s="36"/>
      <c r="S486" s="37"/>
      <c r="T486" s="36"/>
      <c r="U486" s="37"/>
      <c r="V486" s="36"/>
    </row>
    <row r="487" spans="2:22">
      <c r="B487" s="38"/>
      <c r="C487" s="37"/>
      <c r="D487" s="36"/>
      <c r="E487" s="37"/>
      <c r="F487" s="36"/>
      <c r="G487" s="37"/>
      <c r="H487" s="36"/>
      <c r="I487" s="37"/>
      <c r="J487" s="36"/>
      <c r="K487" s="37"/>
      <c r="L487" s="36"/>
      <c r="M487" s="37"/>
      <c r="N487" s="36"/>
      <c r="O487" s="37"/>
      <c r="P487" s="36"/>
      <c r="Q487" s="37"/>
      <c r="R487" s="36"/>
      <c r="S487" s="37"/>
      <c r="T487" s="36"/>
      <c r="U487" s="37"/>
      <c r="V487" s="36"/>
    </row>
    <row r="488" spans="2:22">
      <c r="B488" s="38"/>
      <c r="C488" s="37"/>
      <c r="D488" s="36"/>
      <c r="E488" s="37"/>
      <c r="F488" s="36"/>
      <c r="G488" s="37"/>
      <c r="H488" s="36"/>
      <c r="I488" s="37"/>
      <c r="J488" s="36"/>
      <c r="K488" s="37"/>
      <c r="L488" s="36"/>
      <c r="M488" s="37"/>
      <c r="N488" s="36"/>
      <c r="O488" s="37"/>
      <c r="P488" s="36"/>
      <c r="Q488" s="37"/>
      <c r="R488" s="36"/>
      <c r="S488" s="37"/>
      <c r="T488" s="36"/>
      <c r="U488" s="37"/>
      <c r="V488" s="36"/>
    </row>
    <row r="489" spans="2:22">
      <c r="B489" s="38"/>
      <c r="C489" s="37"/>
      <c r="D489" s="36"/>
      <c r="E489" s="37"/>
      <c r="F489" s="36"/>
      <c r="G489" s="37"/>
      <c r="H489" s="36"/>
      <c r="I489" s="37"/>
      <c r="J489" s="36"/>
      <c r="K489" s="37"/>
      <c r="L489" s="36"/>
      <c r="M489" s="37"/>
      <c r="N489" s="36"/>
      <c r="O489" s="37"/>
      <c r="P489" s="36"/>
      <c r="Q489" s="37"/>
      <c r="R489" s="36"/>
      <c r="S489" s="37"/>
      <c r="T489" s="36"/>
      <c r="U489" s="37"/>
      <c r="V489" s="36"/>
    </row>
    <row r="490" spans="2:22">
      <c r="B490" s="38"/>
      <c r="C490" s="37"/>
      <c r="D490" s="36"/>
      <c r="E490" s="37"/>
      <c r="F490" s="36"/>
      <c r="G490" s="37"/>
      <c r="H490" s="36"/>
      <c r="I490" s="37"/>
      <c r="J490" s="36"/>
      <c r="K490" s="37"/>
      <c r="L490" s="36"/>
      <c r="M490" s="37"/>
      <c r="N490" s="36"/>
      <c r="O490" s="37"/>
      <c r="P490" s="36"/>
      <c r="Q490" s="37"/>
      <c r="R490" s="36"/>
      <c r="S490" s="37"/>
      <c r="T490" s="36"/>
      <c r="U490" s="37"/>
      <c r="V490" s="36"/>
    </row>
    <row r="491" spans="2:22">
      <c r="B491" s="38"/>
      <c r="C491" s="37"/>
      <c r="D491" s="36"/>
      <c r="E491" s="37"/>
      <c r="F491" s="36"/>
      <c r="G491" s="37"/>
      <c r="H491" s="36"/>
      <c r="I491" s="37"/>
      <c r="J491" s="36"/>
      <c r="K491" s="37"/>
      <c r="L491" s="36"/>
      <c r="M491" s="37"/>
      <c r="N491" s="36"/>
      <c r="O491" s="37"/>
      <c r="P491" s="36"/>
      <c r="Q491" s="37"/>
      <c r="R491" s="36"/>
      <c r="S491" s="37"/>
      <c r="T491" s="36"/>
      <c r="U491" s="37"/>
      <c r="V491" s="36"/>
    </row>
    <row r="492" spans="2:22">
      <c r="B492" s="38"/>
      <c r="C492" s="37"/>
      <c r="D492" s="36"/>
      <c r="E492" s="37"/>
      <c r="F492" s="36"/>
      <c r="G492" s="37"/>
      <c r="H492" s="36"/>
      <c r="I492" s="37"/>
      <c r="J492" s="36"/>
      <c r="K492" s="37"/>
      <c r="L492" s="36"/>
      <c r="M492" s="37"/>
      <c r="N492" s="36"/>
      <c r="O492" s="37"/>
      <c r="P492" s="36"/>
      <c r="Q492" s="37"/>
      <c r="R492" s="36"/>
      <c r="S492" s="37"/>
      <c r="T492" s="36"/>
      <c r="U492" s="37"/>
      <c r="V492" s="36"/>
    </row>
    <row r="493" spans="2:22">
      <c r="B493" s="38"/>
      <c r="C493" s="37"/>
      <c r="D493" s="36"/>
      <c r="E493" s="37"/>
      <c r="F493" s="36"/>
      <c r="G493" s="37"/>
      <c r="H493" s="36"/>
      <c r="I493" s="37"/>
      <c r="J493" s="36"/>
      <c r="K493" s="37"/>
      <c r="L493" s="36"/>
      <c r="M493" s="37"/>
      <c r="N493" s="36"/>
      <c r="O493" s="37"/>
      <c r="P493" s="36"/>
      <c r="Q493" s="37"/>
      <c r="R493" s="36"/>
      <c r="S493" s="37"/>
      <c r="T493" s="36"/>
      <c r="U493" s="37"/>
      <c r="V493" s="36"/>
    </row>
    <row r="494" spans="2:22">
      <c r="B494" s="38"/>
      <c r="C494" s="37"/>
      <c r="D494" s="36"/>
      <c r="E494" s="37"/>
      <c r="F494" s="36"/>
      <c r="G494" s="37"/>
      <c r="H494" s="36"/>
      <c r="I494" s="37"/>
      <c r="J494" s="36"/>
      <c r="K494" s="37"/>
      <c r="L494" s="36"/>
      <c r="M494" s="37"/>
      <c r="N494" s="36"/>
      <c r="O494" s="37"/>
      <c r="P494" s="36"/>
      <c r="Q494" s="37"/>
      <c r="R494" s="36"/>
      <c r="S494" s="37"/>
      <c r="T494" s="36"/>
      <c r="U494" s="37"/>
      <c r="V494" s="36"/>
    </row>
    <row r="495" spans="2:22">
      <c r="B495" s="38"/>
      <c r="C495" s="37"/>
      <c r="D495" s="36"/>
      <c r="E495" s="37"/>
      <c r="F495" s="36"/>
      <c r="G495" s="37"/>
      <c r="H495" s="36"/>
      <c r="I495" s="37"/>
      <c r="J495" s="36"/>
      <c r="K495" s="37"/>
      <c r="L495" s="36"/>
      <c r="M495" s="37"/>
      <c r="N495" s="36"/>
      <c r="O495" s="37"/>
      <c r="P495" s="36"/>
      <c r="Q495" s="37"/>
      <c r="R495" s="36"/>
      <c r="S495" s="37"/>
      <c r="T495" s="36"/>
      <c r="U495" s="37"/>
      <c r="V495" s="36"/>
    </row>
    <row r="496" spans="2:22">
      <c r="B496" s="38"/>
      <c r="C496" s="37"/>
      <c r="D496" s="36"/>
      <c r="E496" s="37"/>
      <c r="F496" s="36"/>
      <c r="G496" s="37"/>
      <c r="H496" s="36"/>
      <c r="I496" s="37"/>
      <c r="J496" s="36"/>
      <c r="K496" s="37"/>
      <c r="L496" s="36"/>
      <c r="M496" s="37"/>
      <c r="N496" s="36"/>
      <c r="O496" s="37"/>
      <c r="P496" s="36"/>
      <c r="Q496" s="37"/>
      <c r="R496" s="36"/>
      <c r="S496" s="37"/>
      <c r="T496" s="36"/>
      <c r="U496" s="37"/>
      <c r="V496" s="36"/>
    </row>
    <row r="497" spans="2:22">
      <c r="B497" s="38"/>
      <c r="C497" s="37"/>
      <c r="D497" s="36"/>
      <c r="E497" s="37"/>
      <c r="F497" s="36"/>
      <c r="G497" s="37"/>
      <c r="H497" s="36"/>
      <c r="I497" s="37"/>
      <c r="J497" s="36"/>
      <c r="K497" s="37"/>
      <c r="L497" s="36"/>
      <c r="M497" s="37"/>
      <c r="N497" s="36"/>
      <c r="O497" s="37"/>
      <c r="P497" s="36"/>
      <c r="Q497" s="37"/>
      <c r="R497" s="36"/>
      <c r="S497" s="37"/>
      <c r="T497" s="36"/>
      <c r="U497" s="37"/>
      <c r="V497" s="36"/>
    </row>
    <row r="498" spans="2:22">
      <c r="B498" s="38"/>
      <c r="C498" s="37"/>
      <c r="D498" s="36"/>
      <c r="E498" s="37"/>
      <c r="F498" s="36"/>
      <c r="G498" s="37"/>
      <c r="H498" s="36"/>
      <c r="I498" s="37"/>
      <c r="J498" s="36"/>
      <c r="K498" s="37"/>
      <c r="L498" s="36"/>
      <c r="M498" s="37"/>
      <c r="N498" s="36"/>
      <c r="O498" s="37"/>
      <c r="P498" s="36"/>
      <c r="Q498" s="37"/>
      <c r="R498" s="36"/>
      <c r="S498" s="37"/>
      <c r="T498" s="36"/>
      <c r="U498" s="37"/>
      <c r="V498" s="36"/>
    </row>
    <row r="499" spans="2:22">
      <c r="B499" s="38"/>
      <c r="C499" s="37"/>
      <c r="D499" s="36"/>
      <c r="E499" s="37"/>
      <c r="F499" s="36"/>
      <c r="G499" s="37"/>
      <c r="H499" s="36"/>
      <c r="I499" s="37"/>
      <c r="J499" s="36"/>
      <c r="K499" s="37"/>
      <c r="L499" s="36"/>
      <c r="M499" s="37"/>
      <c r="N499" s="36"/>
      <c r="O499" s="37"/>
      <c r="P499" s="36"/>
      <c r="Q499" s="37"/>
      <c r="R499" s="36"/>
      <c r="S499" s="37"/>
      <c r="T499" s="36"/>
      <c r="U499" s="37"/>
      <c r="V499" s="36"/>
    </row>
    <row r="500" spans="2:22">
      <c r="B500" s="38"/>
      <c r="C500" s="37"/>
      <c r="D500" s="36"/>
      <c r="E500" s="37"/>
      <c r="F500" s="36"/>
      <c r="G500" s="37"/>
      <c r="H500" s="36"/>
      <c r="I500" s="37"/>
      <c r="J500" s="36"/>
      <c r="K500" s="37"/>
      <c r="L500" s="36"/>
      <c r="M500" s="37"/>
      <c r="N500" s="36"/>
      <c r="O500" s="37"/>
      <c r="P500" s="36"/>
      <c r="Q500" s="37"/>
      <c r="R500" s="36"/>
      <c r="S500" s="37"/>
      <c r="T500" s="36"/>
      <c r="U500" s="37"/>
      <c r="V500" s="36"/>
    </row>
    <row r="501" spans="2:22">
      <c r="B501" s="38"/>
      <c r="C501" s="37"/>
      <c r="D501" s="36"/>
      <c r="E501" s="37"/>
      <c r="F501" s="36"/>
      <c r="G501" s="37"/>
      <c r="H501" s="36"/>
      <c r="I501" s="37"/>
      <c r="J501" s="36"/>
      <c r="K501" s="37"/>
      <c r="L501" s="36"/>
      <c r="M501" s="37"/>
      <c r="N501" s="36"/>
      <c r="O501" s="37"/>
      <c r="P501" s="36"/>
      <c r="Q501" s="37"/>
      <c r="R501" s="36"/>
      <c r="S501" s="37"/>
      <c r="T501" s="36"/>
      <c r="U501" s="37"/>
      <c r="V501" s="36"/>
    </row>
    <row r="502" spans="2:22">
      <c r="B502" s="38"/>
      <c r="C502" s="37"/>
      <c r="D502" s="36"/>
      <c r="E502" s="37"/>
      <c r="F502" s="36"/>
      <c r="G502" s="37"/>
      <c r="H502" s="36"/>
      <c r="I502" s="37"/>
      <c r="J502" s="36"/>
      <c r="K502" s="37"/>
      <c r="L502" s="36"/>
      <c r="M502" s="37"/>
      <c r="N502" s="36"/>
      <c r="O502" s="37"/>
      <c r="P502" s="36"/>
      <c r="Q502" s="37"/>
      <c r="R502" s="36"/>
      <c r="S502" s="37"/>
      <c r="T502" s="36"/>
      <c r="U502" s="37"/>
      <c r="V502" s="36"/>
    </row>
    <row r="503" spans="2:22">
      <c r="B503" s="38"/>
      <c r="C503" s="37"/>
      <c r="D503" s="36"/>
      <c r="E503" s="37"/>
      <c r="F503" s="36"/>
      <c r="G503" s="37"/>
      <c r="H503" s="36"/>
      <c r="I503" s="37"/>
      <c r="J503" s="36"/>
      <c r="K503" s="37"/>
      <c r="L503" s="36"/>
      <c r="M503" s="37"/>
      <c r="N503" s="36"/>
      <c r="O503" s="37"/>
      <c r="P503" s="36"/>
      <c r="Q503" s="37"/>
      <c r="R503" s="36"/>
      <c r="S503" s="37"/>
      <c r="T503" s="36"/>
      <c r="U503" s="37"/>
      <c r="V503" s="36"/>
    </row>
    <row r="504" spans="2:22">
      <c r="B504" s="38"/>
      <c r="C504" s="37"/>
      <c r="D504" s="36"/>
      <c r="E504" s="37"/>
      <c r="F504" s="36"/>
      <c r="G504" s="37"/>
      <c r="H504" s="36"/>
      <c r="I504" s="37"/>
      <c r="J504" s="36"/>
      <c r="K504" s="37"/>
      <c r="L504" s="36"/>
      <c r="M504" s="37"/>
      <c r="N504" s="36"/>
      <c r="O504" s="37"/>
      <c r="P504" s="36"/>
      <c r="Q504" s="37"/>
      <c r="R504" s="36"/>
      <c r="S504" s="37"/>
      <c r="T504" s="36"/>
      <c r="U504" s="37"/>
      <c r="V504" s="36"/>
    </row>
    <row r="505" spans="2:22">
      <c r="B505" s="38"/>
      <c r="C505" s="37"/>
      <c r="D505" s="36"/>
      <c r="E505" s="37"/>
      <c r="F505" s="36"/>
      <c r="G505" s="37"/>
      <c r="H505" s="36"/>
      <c r="I505" s="37"/>
      <c r="J505" s="36"/>
      <c r="K505" s="37"/>
      <c r="L505" s="36"/>
      <c r="M505" s="37"/>
      <c r="N505" s="36"/>
      <c r="O505" s="37"/>
      <c r="P505" s="36"/>
      <c r="Q505" s="37"/>
      <c r="R505" s="36"/>
      <c r="S505" s="37"/>
      <c r="T505" s="36"/>
      <c r="U505" s="37"/>
      <c r="V505" s="36"/>
    </row>
    <row r="506" spans="2:22">
      <c r="B506" s="38"/>
      <c r="C506" s="37"/>
      <c r="D506" s="36"/>
      <c r="E506" s="37"/>
      <c r="F506" s="36"/>
      <c r="G506" s="37"/>
      <c r="H506" s="36"/>
      <c r="I506" s="37"/>
      <c r="J506" s="36"/>
      <c r="K506" s="37"/>
      <c r="L506" s="36"/>
      <c r="M506" s="37"/>
      <c r="N506" s="36"/>
      <c r="O506" s="37"/>
      <c r="P506" s="36"/>
      <c r="Q506" s="37"/>
      <c r="R506" s="36"/>
      <c r="S506" s="37"/>
      <c r="T506" s="36"/>
      <c r="U506" s="37"/>
      <c r="V506" s="36"/>
    </row>
    <row r="507" spans="2:22">
      <c r="B507" s="38"/>
      <c r="C507" s="37"/>
      <c r="D507" s="36"/>
      <c r="E507" s="37"/>
      <c r="F507" s="36"/>
      <c r="G507" s="37"/>
      <c r="H507" s="36"/>
      <c r="I507" s="37"/>
      <c r="J507" s="36"/>
      <c r="K507" s="37"/>
      <c r="L507" s="36"/>
      <c r="M507" s="37"/>
      <c r="N507" s="36"/>
      <c r="O507" s="37"/>
      <c r="P507" s="36"/>
      <c r="Q507" s="37"/>
      <c r="R507" s="36"/>
      <c r="S507" s="37"/>
      <c r="T507" s="36"/>
      <c r="U507" s="37"/>
      <c r="V507" s="36"/>
    </row>
    <row r="508" spans="2:22">
      <c r="B508" s="38"/>
    </row>
    <row r="509" spans="2:22">
      <c r="B509" s="38"/>
    </row>
    <row r="510" spans="2:22">
      <c r="B510" s="38"/>
    </row>
    <row r="511" spans="2:22">
      <c r="B511" s="38"/>
    </row>
    <row r="512" spans="2:22">
      <c r="B512" s="38"/>
    </row>
    <row r="513" spans="2:2">
      <c r="B513" s="38"/>
    </row>
    <row r="514" spans="2:2">
      <c r="B514" s="38"/>
    </row>
    <row r="515" spans="2:2">
      <c r="B515" s="38"/>
    </row>
    <row r="516" spans="2:2">
      <c r="B516" s="38"/>
    </row>
    <row r="517" spans="2:2">
      <c r="B517" s="38"/>
    </row>
    <row r="518" spans="2:2">
      <c r="B518" s="38"/>
    </row>
    <row r="519" spans="2:2">
      <c r="B519" s="38"/>
    </row>
    <row r="520" spans="2:2">
      <c r="B520" s="38"/>
    </row>
    <row r="521" spans="2:2">
      <c r="B521" s="38"/>
    </row>
    <row r="522" spans="2:2">
      <c r="B522" s="38"/>
    </row>
    <row r="523" spans="2:2">
      <c r="B523" s="38"/>
    </row>
    <row r="524" spans="2:2">
      <c r="B524" s="38"/>
    </row>
    <row r="525" spans="2:2">
      <c r="B525" s="38"/>
    </row>
    <row r="526" spans="2:2">
      <c r="B526" s="38"/>
    </row>
    <row r="527" spans="2:2">
      <c r="B527" s="38"/>
    </row>
    <row r="528" spans="2:2">
      <c r="B528" s="38"/>
    </row>
    <row r="529" spans="2:2">
      <c r="B529" s="38"/>
    </row>
    <row r="530" spans="2:2">
      <c r="B530" s="38"/>
    </row>
    <row r="531" spans="2:2">
      <c r="B531" s="38"/>
    </row>
    <row r="532" spans="2:2">
      <c r="B532" s="38"/>
    </row>
    <row r="533" spans="2:2">
      <c r="B533" s="38"/>
    </row>
    <row r="534" spans="2:2">
      <c r="B534" s="38"/>
    </row>
    <row r="535" spans="2:2">
      <c r="B535" s="38"/>
    </row>
    <row r="536" spans="2:2">
      <c r="B536" s="38"/>
    </row>
    <row r="537" spans="2:2">
      <c r="B537" s="38"/>
    </row>
    <row r="538" spans="2:2">
      <c r="B538" s="38"/>
    </row>
    <row r="539" spans="2:2">
      <c r="B539" s="38"/>
    </row>
    <row r="540" spans="2:2">
      <c r="B540" s="38"/>
    </row>
    <row r="541" spans="2:2">
      <c r="B541" s="38"/>
    </row>
    <row r="542" spans="2:2">
      <c r="B542" s="38"/>
    </row>
    <row r="543" spans="2:2">
      <c r="B543" s="38"/>
    </row>
    <row r="544" spans="2:2">
      <c r="B544" s="38"/>
    </row>
    <row r="545" spans="2:2">
      <c r="B545" s="38"/>
    </row>
    <row r="546" spans="2:2">
      <c r="B546" s="38"/>
    </row>
    <row r="547" spans="2:2">
      <c r="B547" s="38"/>
    </row>
    <row r="548" spans="2:2">
      <c r="B548" s="38"/>
    </row>
    <row r="549" spans="2:2">
      <c r="B549" s="38"/>
    </row>
    <row r="550" spans="2:2">
      <c r="B550" s="38"/>
    </row>
    <row r="551" spans="2:2">
      <c r="B551" s="38"/>
    </row>
    <row r="552" spans="2:2">
      <c r="B552" s="38"/>
    </row>
    <row r="553" spans="2:2">
      <c r="B553" s="38"/>
    </row>
    <row r="554" spans="2:2">
      <c r="B554" s="38"/>
    </row>
    <row r="555" spans="2:2">
      <c r="B555" s="38"/>
    </row>
    <row r="556" spans="2:2">
      <c r="B556" s="38"/>
    </row>
    <row r="557" spans="2:2">
      <c r="B557" s="38"/>
    </row>
    <row r="558" spans="2:2">
      <c r="B558" s="38"/>
    </row>
    <row r="559" spans="2:2">
      <c r="B559" s="38"/>
    </row>
    <row r="560" spans="2:2">
      <c r="B560" s="38"/>
    </row>
    <row r="561" spans="2:2">
      <c r="B561" s="38"/>
    </row>
    <row r="562" spans="2:2">
      <c r="B562" s="38"/>
    </row>
    <row r="563" spans="2:2">
      <c r="B563" s="38"/>
    </row>
    <row r="564" spans="2:2">
      <c r="B564" s="38"/>
    </row>
    <row r="565" spans="2:2">
      <c r="B565" s="38"/>
    </row>
    <row r="566" spans="2:2">
      <c r="B566" s="38"/>
    </row>
    <row r="567" spans="2:2">
      <c r="B567" s="38"/>
    </row>
    <row r="568" spans="2:2">
      <c r="B568" s="38"/>
    </row>
    <row r="569" spans="2:2">
      <c r="B569" s="38"/>
    </row>
    <row r="570" spans="2:2">
      <c r="B570" s="38"/>
    </row>
    <row r="571" spans="2:2">
      <c r="B571" s="38"/>
    </row>
    <row r="572" spans="2:2">
      <c r="B572" s="38"/>
    </row>
    <row r="573" spans="2:2">
      <c r="B573" s="38"/>
    </row>
    <row r="574" spans="2:2">
      <c r="B574" s="38"/>
    </row>
    <row r="575" spans="2:2">
      <c r="B575" s="38"/>
    </row>
    <row r="576" spans="2:2">
      <c r="B576" s="38"/>
    </row>
    <row r="577" spans="2:2">
      <c r="B577" s="38"/>
    </row>
    <row r="578" spans="2:2">
      <c r="B578" s="38"/>
    </row>
    <row r="579" spans="2:2">
      <c r="B579" s="38"/>
    </row>
    <row r="580" spans="2:2">
      <c r="B580" s="38"/>
    </row>
    <row r="581" spans="2:2">
      <c r="B581" s="38"/>
    </row>
    <row r="582" spans="2:2">
      <c r="B582" s="38"/>
    </row>
    <row r="583" spans="2:2">
      <c r="B583" s="38"/>
    </row>
    <row r="584" spans="2:2">
      <c r="B584" s="38"/>
    </row>
    <row r="585" spans="2:2">
      <c r="B585" s="38"/>
    </row>
    <row r="586" spans="2:2">
      <c r="B586" s="38"/>
    </row>
    <row r="587" spans="2:2">
      <c r="B587" s="38"/>
    </row>
    <row r="588" spans="2:2">
      <c r="B588" s="38"/>
    </row>
    <row r="589" spans="2:2">
      <c r="B589" s="38"/>
    </row>
    <row r="590" spans="2:2">
      <c r="B590" s="38"/>
    </row>
    <row r="591" spans="2:2">
      <c r="B591" s="38"/>
    </row>
    <row r="592" spans="2:2">
      <c r="B592" s="38"/>
    </row>
    <row r="593" spans="2:2">
      <c r="B593" s="38"/>
    </row>
    <row r="594" spans="2:2">
      <c r="B594" s="38"/>
    </row>
    <row r="595" spans="2:2">
      <c r="B595" s="38"/>
    </row>
    <row r="596" spans="2:2">
      <c r="B596" s="38"/>
    </row>
    <row r="597" spans="2:2">
      <c r="B597" s="38"/>
    </row>
    <row r="598" spans="2:2">
      <c r="B598" s="38"/>
    </row>
    <row r="599" spans="2:2">
      <c r="B599" s="38"/>
    </row>
    <row r="600" spans="2:2">
      <c r="B600" s="38"/>
    </row>
    <row r="601" spans="2:2">
      <c r="B601" s="38"/>
    </row>
    <row r="602" spans="2:2">
      <c r="B602" s="38"/>
    </row>
    <row r="603" spans="2:2">
      <c r="B603" s="38"/>
    </row>
    <row r="604" spans="2:2">
      <c r="B604" s="38"/>
    </row>
    <row r="605" spans="2:2">
      <c r="B605" s="38"/>
    </row>
    <row r="606" spans="2:2">
      <c r="B606" s="38"/>
    </row>
    <row r="607" spans="2:2">
      <c r="B607" s="38"/>
    </row>
    <row r="608" spans="2:2">
      <c r="B608" s="38"/>
    </row>
    <row r="609" spans="2:2">
      <c r="B609" s="38"/>
    </row>
    <row r="610" spans="2:2">
      <c r="B610" s="38"/>
    </row>
    <row r="611" spans="2:2">
      <c r="B611" s="38"/>
    </row>
    <row r="612" spans="2:2">
      <c r="B612" s="38"/>
    </row>
    <row r="613" spans="2:2">
      <c r="B613" s="38"/>
    </row>
    <row r="614" spans="2:2">
      <c r="B614" s="38"/>
    </row>
    <row r="615" spans="2:2">
      <c r="B615" s="38"/>
    </row>
    <row r="616" spans="2:2">
      <c r="B616" s="38"/>
    </row>
    <row r="617" spans="2:2">
      <c r="B617" s="38"/>
    </row>
    <row r="618" spans="2:2">
      <c r="B618" s="38"/>
    </row>
    <row r="619" spans="2:2">
      <c r="B619" s="38"/>
    </row>
    <row r="620" spans="2:2">
      <c r="B620" s="38"/>
    </row>
    <row r="621" spans="2:2">
      <c r="B621" s="38"/>
    </row>
    <row r="622" spans="2:2">
      <c r="B622" s="38"/>
    </row>
    <row r="623" spans="2:2">
      <c r="B623" s="38"/>
    </row>
    <row r="624" spans="2:2">
      <c r="B624" s="38"/>
    </row>
    <row r="625" spans="2:2">
      <c r="B625" s="38"/>
    </row>
    <row r="626" spans="2:2">
      <c r="B626" s="38"/>
    </row>
    <row r="627" spans="2:2">
      <c r="B627" s="38"/>
    </row>
    <row r="628" spans="2:2">
      <c r="B628" s="38"/>
    </row>
    <row r="629" spans="2:2">
      <c r="B629" s="38"/>
    </row>
    <row r="630" spans="2:2">
      <c r="B630" s="38"/>
    </row>
    <row r="631" spans="2:2">
      <c r="B631" s="38"/>
    </row>
    <row r="632" spans="2:2">
      <c r="B632" s="38"/>
    </row>
    <row r="633" spans="2:2">
      <c r="B633" s="38"/>
    </row>
    <row r="634" spans="2:2">
      <c r="B634" s="38"/>
    </row>
    <row r="635" spans="2:2">
      <c r="B635" s="38"/>
    </row>
    <row r="636" spans="2:2">
      <c r="B636" s="38"/>
    </row>
    <row r="637" spans="2:2">
      <c r="B637" s="38"/>
    </row>
    <row r="638" spans="2:2">
      <c r="B638" s="38"/>
    </row>
    <row r="639" spans="2:2">
      <c r="B639" s="38"/>
    </row>
    <row r="640" spans="2:2">
      <c r="B640" s="38"/>
    </row>
    <row r="641" spans="2:2">
      <c r="B641" s="38"/>
    </row>
    <row r="642" spans="2:2">
      <c r="B642" s="38"/>
    </row>
    <row r="643" spans="2:2">
      <c r="B643" s="38"/>
    </row>
    <row r="644" spans="2:2">
      <c r="B644" s="38"/>
    </row>
    <row r="645" spans="2:2">
      <c r="B645" s="38"/>
    </row>
    <row r="646" spans="2:2">
      <c r="B646" s="38"/>
    </row>
    <row r="647" spans="2:2">
      <c r="B647" s="38"/>
    </row>
    <row r="648" spans="2:2">
      <c r="B648" s="38"/>
    </row>
    <row r="649" spans="2:2">
      <c r="B649" s="38"/>
    </row>
    <row r="650" spans="2:2">
      <c r="B650" s="38"/>
    </row>
    <row r="651" spans="2:2">
      <c r="B651" s="38"/>
    </row>
    <row r="652" spans="2:2">
      <c r="B652" s="38"/>
    </row>
    <row r="653" spans="2:2">
      <c r="B653" s="38"/>
    </row>
    <row r="654" spans="2:2">
      <c r="B654" s="38"/>
    </row>
    <row r="655" spans="2:2">
      <c r="B655" s="38"/>
    </row>
    <row r="656" spans="2:2">
      <c r="B656" s="38"/>
    </row>
    <row r="657" spans="2:2">
      <c r="B657" s="38"/>
    </row>
    <row r="658" spans="2:2">
      <c r="B658" s="38"/>
    </row>
    <row r="659" spans="2:2">
      <c r="B659" s="38"/>
    </row>
    <row r="660" spans="2:2">
      <c r="B660" s="38"/>
    </row>
    <row r="661" spans="2:2">
      <c r="B661" s="38"/>
    </row>
    <row r="662" spans="2:2">
      <c r="B662" s="38"/>
    </row>
    <row r="663" spans="2:2">
      <c r="B663" s="38"/>
    </row>
    <row r="664" spans="2:2">
      <c r="B664" s="38"/>
    </row>
    <row r="665" spans="2:2">
      <c r="B665" s="38"/>
    </row>
    <row r="666" spans="2:2">
      <c r="B666" s="38"/>
    </row>
    <row r="667" spans="2:2">
      <c r="B667" s="38"/>
    </row>
    <row r="668" spans="2:2">
      <c r="B668" s="38"/>
    </row>
    <row r="669" spans="2:2">
      <c r="B669" s="38"/>
    </row>
    <row r="670" spans="2:2">
      <c r="B670" s="38"/>
    </row>
    <row r="671" spans="2:2">
      <c r="B671" s="38"/>
    </row>
    <row r="672" spans="2:2">
      <c r="B672" s="38"/>
    </row>
    <row r="673" spans="2:2">
      <c r="B673" s="38"/>
    </row>
    <row r="674" spans="2:2">
      <c r="B674" s="38"/>
    </row>
    <row r="675" spans="2:2">
      <c r="B675" s="38"/>
    </row>
    <row r="676" spans="2:2">
      <c r="B676" s="38"/>
    </row>
    <row r="677" spans="2:2">
      <c r="B677" s="38"/>
    </row>
    <row r="678" spans="2:2">
      <c r="B678" s="38"/>
    </row>
    <row r="679" spans="2:2">
      <c r="B679" s="38"/>
    </row>
    <row r="680" spans="2:2">
      <c r="B680" s="38"/>
    </row>
    <row r="681" spans="2:2">
      <c r="B681" s="38"/>
    </row>
    <row r="682" spans="2:2">
      <c r="B682" s="38"/>
    </row>
    <row r="683" spans="2:2">
      <c r="B683" s="38"/>
    </row>
    <row r="684" spans="2:2">
      <c r="B684" s="38"/>
    </row>
    <row r="685" spans="2:2">
      <c r="B685" s="38"/>
    </row>
    <row r="686" spans="2:2">
      <c r="B686" s="38"/>
    </row>
    <row r="687" spans="2:2">
      <c r="B687" s="38"/>
    </row>
    <row r="688" spans="2:2">
      <c r="B688" s="38"/>
    </row>
    <row r="689" spans="2:2">
      <c r="B689" s="38"/>
    </row>
    <row r="690" spans="2:2">
      <c r="B690" s="38"/>
    </row>
    <row r="691" spans="2:2">
      <c r="B691" s="38"/>
    </row>
    <row r="692" spans="2:2">
      <c r="B692" s="38"/>
    </row>
    <row r="693" spans="2:2">
      <c r="B693" s="38"/>
    </row>
    <row r="694" spans="2:2">
      <c r="B694" s="38"/>
    </row>
    <row r="695" spans="2:2">
      <c r="B695" s="38"/>
    </row>
    <row r="696" spans="2:2">
      <c r="B696" s="38"/>
    </row>
    <row r="697" spans="2:2">
      <c r="B697" s="38"/>
    </row>
    <row r="698" spans="2:2">
      <c r="B698" s="38"/>
    </row>
    <row r="699" spans="2:2">
      <c r="B699" s="38"/>
    </row>
    <row r="700" spans="2:2">
      <c r="B700" s="38"/>
    </row>
    <row r="701" spans="2:2">
      <c r="B701" s="38"/>
    </row>
    <row r="702" spans="2:2">
      <c r="B702" s="38"/>
    </row>
    <row r="703" spans="2:2">
      <c r="B703" s="38"/>
    </row>
    <row r="704" spans="2:2">
      <c r="B704" s="38"/>
    </row>
    <row r="705" spans="2:2">
      <c r="B705" s="38"/>
    </row>
    <row r="706" spans="2:2">
      <c r="B706" s="38"/>
    </row>
    <row r="707" spans="2:2">
      <c r="B707" s="38"/>
    </row>
    <row r="708" spans="2:2">
      <c r="B708" s="38"/>
    </row>
    <row r="709" spans="2:2">
      <c r="B709" s="38"/>
    </row>
    <row r="710" spans="2:2">
      <c r="B710" s="38"/>
    </row>
    <row r="711" spans="2:2">
      <c r="B711" s="38"/>
    </row>
    <row r="712" spans="2:2">
      <c r="B712" s="38"/>
    </row>
    <row r="713" spans="2:2">
      <c r="B713" s="38"/>
    </row>
    <row r="714" spans="2:2">
      <c r="B714" s="38"/>
    </row>
    <row r="715" spans="2:2">
      <c r="B715" s="38"/>
    </row>
    <row r="716" spans="2:2">
      <c r="B716" s="38"/>
    </row>
    <row r="717" spans="2:2">
      <c r="B717" s="38"/>
    </row>
    <row r="718" spans="2:2">
      <c r="B718" s="38"/>
    </row>
    <row r="719" spans="2:2">
      <c r="B719" s="38"/>
    </row>
    <row r="720" spans="2:2">
      <c r="B720" s="38"/>
    </row>
    <row r="721" spans="2:2">
      <c r="B721" s="38"/>
    </row>
    <row r="722" spans="2:2">
      <c r="B722" s="38"/>
    </row>
    <row r="723" spans="2:2">
      <c r="B723" s="38"/>
    </row>
    <row r="724" spans="2:2">
      <c r="B724" s="38"/>
    </row>
    <row r="725" spans="2:2">
      <c r="B725" s="38"/>
    </row>
    <row r="726" spans="2:2">
      <c r="B726" s="38"/>
    </row>
    <row r="727" spans="2:2">
      <c r="B727" s="38"/>
    </row>
    <row r="728" spans="2:2">
      <c r="B728" s="38"/>
    </row>
    <row r="729" spans="2:2">
      <c r="B729" s="38"/>
    </row>
    <row r="730" spans="2:2">
      <c r="B730" s="38"/>
    </row>
    <row r="731" spans="2:2">
      <c r="B731" s="38"/>
    </row>
    <row r="732" spans="2:2">
      <c r="B732" s="38"/>
    </row>
    <row r="733" spans="2:2">
      <c r="B733" s="38"/>
    </row>
    <row r="734" spans="2:2">
      <c r="B734" s="38"/>
    </row>
    <row r="735" spans="2:2">
      <c r="B735" s="38"/>
    </row>
    <row r="736" spans="2:2">
      <c r="B736" s="38"/>
    </row>
    <row r="737" spans="2:2">
      <c r="B737" s="38"/>
    </row>
    <row r="738" spans="2:2">
      <c r="B738" s="38"/>
    </row>
    <row r="739" spans="2:2">
      <c r="B739" s="38"/>
    </row>
    <row r="740" spans="2:2">
      <c r="B740" s="38"/>
    </row>
    <row r="741" spans="2:2">
      <c r="B741" s="38"/>
    </row>
    <row r="742" spans="2:2">
      <c r="B742" s="38"/>
    </row>
    <row r="743" spans="2:2">
      <c r="B743" s="38"/>
    </row>
    <row r="744" spans="2:2">
      <c r="B744" s="38"/>
    </row>
    <row r="745" spans="2:2">
      <c r="B745" s="38"/>
    </row>
    <row r="746" spans="2:2">
      <c r="B746" s="38"/>
    </row>
    <row r="747" spans="2:2">
      <c r="B747" s="38"/>
    </row>
    <row r="748" spans="2:2">
      <c r="B748" s="38"/>
    </row>
    <row r="749" spans="2:2">
      <c r="B749" s="38"/>
    </row>
    <row r="750" spans="2:2">
      <c r="B750" s="38"/>
    </row>
    <row r="751" spans="2:2">
      <c r="B751" s="38"/>
    </row>
    <row r="752" spans="2:2">
      <c r="B752" s="38"/>
    </row>
    <row r="753" spans="2:2">
      <c r="B753" s="38"/>
    </row>
    <row r="754" spans="2:2">
      <c r="B754" s="38"/>
    </row>
    <row r="755" spans="2:2">
      <c r="B755" s="38"/>
    </row>
    <row r="756" spans="2:2">
      <c r="B756" s="38"/>
    </row>
    <row r="757" spans="2:2">
      <c r="B757" s="38"/>
    </row>
    <row r="758" spans="2:2">
      <c r="B758" s="38"/>
    </row>
    <row r="759" spans="2:2">
      <c r="B759" s="38"/>
    </row>
    <row r="760" spans="2:2">
      <c r="B760" s="38"/>
    </row>
    <row r="761" spans="2:2">
      <c r="B761" s="38"/>
    </row>
    <row r="762" spans="2:2">
      <c r="B762" s="38"/>
    </row>
    <row r="763" spans="2:2">
      <c r="B763" s="38"/>
    </row>
    <row r="764" spans="2:2">
      <c r="B764" s="38"/>
    </row>
    <row r="765" spans="2:2">
      <c r="B765" s="38"/>
    </row>
    <row r="766" spans="2:2">
      <c r="B766" s="38"/>
    </row>
    <row r="767" spans="2:2">
      <c r="B767" s="38"/>
    </row>
    <row r="768" spans="2:2">
      <c r="B768" s="38"/>
    </row>
    <row r="769" spans="2:2">
      <c r="B769" s="38"/>
    </row>
    <row r="770" spans="2:2">
      <c r="B770" s="38"/>
    </row>
    <row r="771" spans="2:2">
      <c r="B771" s="38"/>
    </row>
    <row r="772" spans="2:2">
      <c r="B772" s="38"/>
    </row>
    <row r="773" spans="2:2">
      <c r="B773" s="38"/>
    </row>
    <row r="774" spans="2:2">
      <c r="B774" s="38"/>
    </row>
    <row r="775" spans="2:2">
      <c r="B775" s="38"/>
    </row>
    <row r="776" spans="2:2">
      <c r="B776" s="38"/>
    </row>
    <row r="777" spans="2:2">
      <c r="B777" s="38"/>
    </row>
    <row r="778" spans="2:2">
      <c r="B778" s="38"/>
    </row>
    <row r="779" spans="2:2">
      <c r="B779" s="38"/>
    </row>
    <row r="780" spans="2:2">
      <c r="B780" s="38"/>
    </row>
    <row r="781" spans="2:2">
      <c r="B781" s="38"/>
    </row>
    <row r="782" spans="2:2">
      <c r="B782" s="38"/>
    </row>
    <row r="783" spans="2:2">
      <c r="B783" s="38"/>
    </row>
    <row r="784" spans="2:2">
      <c r="B784" s="38"/>
    </row>
    <row r="785" spans="2:2">
      <c r="B785" s="38"/>
    </row>
    <row r="786" spans="2:2">
      <c r="B786" s="38"/>
    </row>
    <row r="787" spans="2:2">
      <c r="B787" s="38"/>
    </row>
    <row r="788" spans="2:2">
      <c r="B788" s="38"/>
    </row>
    <row r="789" spans="2:2">
      <c r="B789" s="38"/>
    </row>
    <row r="790" spans="2:2">
      <c r="B790" s="38"/>
    </row>
    <row r="791" spans="2:2">
      <c r="B791" s="38"/>
    </row>
    <row r="792" spans="2:2">
      <c r="B792" s="38"/>
    </row>
    <row r="793" spans="2:2">
      <c r="B793" s="38"/>
    </row>
    <row r="794" spans="2:2">
      <c r="B794" s="38"/>
    </row>
    <row r="795" spans="2:2">
      <c r="B795" s="38"/>
    </row>
    <row r="796" spans="2:2">
      <c r="B796" s="38"/>
    </row>
    <row r="797" spans="2:2">
      <c r="B797" s="38"/>
    </row>
    <row r="798" spans="2:2">
      <c r="B798" s="38"/>
    </row>
    <row r="799" spans="2:2">
      <c r="B799" s="38"/>
    </row>
    <row r="800" spans="2:2">
      <c r="B800" s="38"/>
    </row>
    <row r="801" spans="2:2">
      <c r="B801" s="38"/>
    </row>
    <row r="802" spans="2:2">
      <c r="B802" s="38"/>
    </row>
    <row r="803" spans="2:2">
      <c r="B803" s="38"/>
    </row>
    <row r="804" spans="2:2">
      <c r="B804" s="38"/>
    </row>
    <row r="805" spans="2:2">
      <c r="B805" s="38"/>
    </row>
    <row r="806" spans="2:2">
      <c r="B806" s="38"/>
    </row>
    <row r="807" spans="2:2">
      <c r="B807" s="38"/>
    </row>
    <row r="808" spans="2:2">
      <c r="B808" s="38"/>
    </row>
    <row r="809" spans="2:2">
      <c r="B809" s="38"/>
    </row>
    <row r="810" spans="2:2">
      <c r="B810" s="38"/>
    </row>
    <row r="811" spans="2:2">
      <c r="B811" s="38"/>
    </row>
    <row r="812" spans="2:2">
      <c r="B812" s="38"/>
    </row>
    <row r="813" spans="2:2">
      <c r="B813" s="38"/>
    </row>
    <row r="814" spans="2:2">
      <c r="B814" s="38"/>
    </row>
    <row r="815" spans="2:2">
      <c r="B815" s="38"/>
    </row>
    <row r="816" spans="2:2">
      <c r="B816" s="38"/>
    </row>
    <row r="817" spans="2:2">
      <c r="B817" s="38"/>
    </row>
    <row r="818" spans="2:2">
      <c r="B818" s="38"/>
    </row>
    <row r="819" spans="2:2">
      <c r="B819" s="38"/>
    </row>
    <row r="820" spans="2:2">
      <c r="B820" s="38"/>
    </row>
    <row r="821" spans="2:2">
      <c r="B821" s="38"/>
    </row>
    <row r="822" spans="2:2">
      <c r="B822" s="38"/>
    </row>
    <row r="823" spans="2:2">
      <c r="B823" s="38"/>
    </row>
    <row r="824" spans="2:2">
      <c r="B824" s="38"/>
    </row>
    <row r="825" spans="2:2">
      <c r="B825" s="38"/>
    </row>
    <row r="826" spans="2:2">
      <c r="B826" s="38"/>
    </row>
    <row r="827" spans="2:2">
      <c r="B827" s="38"/>
    </row>
    <row r="828" spans="2:2">
      <c r="B828" s="38"/>
    </row>
    <row r="829" spans="2:2">
      <c r="B829" s="38"/>
    </row>
    <row r="830" spans="2:2">
      <c r="B830" s="38"/>
    </row>
    <row r="831" spans="2:2">
      <c r="B831" s="38"/>
    </row>
    <row r="832" spans="2:2">
      <c r="B832" s="38"/>
    </row>
    <row r="833" spans="2:2">
      <c r="B833" s="38"/>
    </row>
    <row r="834" spans="2:2">
      <c r="B834" s="38"/>
    </row>
    <row r="835" spans="2:2">
      <c r="B835" s="38"/>
    </row>
    <row r="836" spans="2:2">
      <c r="B836" s="38"/>
    </row>
    <row r="837" spans="2:2">
      <c r="B837" s="38"/>
    </row>
    <row r="838" spans="2:2">
      <c r="B838" s="38"/>
    </row>
    <row r="839" spans="2:2">
      <c r="B839" s="38"/>
    </row>
    <row r="840" spans="2:2">
      <c r="B840" s="38"/>
    </row>
    <row r="841" spans="2:2">
      <c r="B841" s="38"/>
    </row>
    <row r="842" spans="2:2">
      <c r="B842" s="38"/>
    </row>
    <row r="843" spans="2:2">
      <c r="B843" s="38"/>
    </row>
    <row r="844" spans="2:2">
      <c r="B844" s="38"/>
    </row>
    <row r="845" spans="2:2">
      <c r="B845" s="38"/>
    </row>
    <row r="846" spans="2:2">
      <c r="B846" s="38"/>
    </row>
    <row r="847" spans="2:2">
      <c r="B847" s="38"/>
    </row>
    <row r="848" spans="2:2">
      <c r="B848" s="38"/>
    </row>
    <row r="849" spans="2:2">
      <c r="B849" s="38"/>
    </row>
    <row r="850" spans="2:2">
      <c r="B850" s="38"/>
    </row>
    <row r="851" spans="2:2">
      <c r="B851" s="38"/>
    </row>
    <row r="852" spans="2:2">
      <c r="B852" s="38"/>
    </row>
    <row r="853" spans="2:2">
      <c r="B853" s="38"/>
    </row>
    <row r="854" spans="2:2">
      <c r="B854" s="38"/>
    </row>
    <row r="855" spans="2:2">
      <c r="B855" s="38"/>
    </row>
    <row r="856" spans="2:2">
      <c r="B856" s="38"/>
    </row>
    <row r="857" spans="2:2">
      <c r="B857" s="38"/>
    </row>
    <row r="858" spans="2:2">
      <c r="B858" s="38"/>
    </row>
    <row r="859" spans="2:2">
      <c r="B859" s="38"/>
    </row>
    <row r="860" spans="2:2">
      <c r="B860" s="38"/>
    </row>
    <row r="861" spans="2:2">
      <c r="B861" s="38"/>
    </row>
    <row r="862" spans="2:2">
      <c r="B862" s="38"/>
    </row>
    <row r="863" spans="2:2">
      <c r="B863" s="38"/>
    </row>
    <row r="864" spans="2:2">
      <c r="B864" s="38"/>
    </row>
    <row r="865" spans="2:2">
      <c r="B865" s="38"/>
    </row>
    <row r="866" spans="2:2">
      <c r="B866" s="38"/>
    </row>
    <row r="867" spans="2:2">
      <c r="B867" s="38"/>
    </row>
    <row r="868" spans="2:2">
      <c r="B868" s="38"/>
    </row>
    <row r="869" spans="2:2">
      <c r="B869" s="38"/>
    </row>
    <row r="870" spans="2:2">
      <c r="B870" s="38"/>
    </row>
    <row r="871" spans="2:2">
      <c r="B871" s="38"/>
    </row>
    <row r="872" spans="2:2">
      <c r="B872" s="38"/>
    </row>
    <row r="873" spans="2:2">
      <c r="B873" s="38"/>
    </row>
    <row r="874" spans="2:2">
      <c r="B874" s="38"/>
    </row>
    <row r="875" spans="2:2">
      <c r="B875" s="38"/>
    </row>
    <row r="876" spans="2:2">
      <c r="B876" s="38"/>
    </row>
    <row r="877" spans="2:2">
      <c r="B877" s="38"/>
    </row>
    <row r="878" spans="2:2">
      <c r="B878" s="38"/>
    </row>
    <row r="879" spans="2:2">
      <c r="B879" s="38"/>
    </row>
    <row r="880" spans="2:2">
      <c r="B880" s="38"/>
    </row>
    <row r="881" spans="2:2">
      <c r="B881" s="38"/>
    </row>
    <row r="882" spans="2:2">
      <c r="B882" s="38"/>
    </row>
    <row r="883" spans="2:2">
      <c r="B883" s="38"/>
    </row>
    <row r="884" spans="2:2">
      <c r="B884" s="38"/>
    </row>
    <row r="885" spans="2:2">
      <c r="B885" s="38"/>
    </row>
    <row r="886" spans="2:2">
      <c r="B886" s="38"/>
    </row>
    <row r="887" spans="2:2">
      <c r="B887" s="38"/>
    </row>
    <row r="888" spans="2:2">
      <c r="B888" s="38"/>
    </row>
    <row r="889" spans="2:2">
      <c r="B889" s="38"/>
    </row>
    <row r="890" spans="2:2">
      <c r="B890" s="38"/>
    </row>
    <row r="891" spans="2:2">
      <c r="B891" s="38"/>
    </row>
    <row r="892" spans="2:2">
      <c r="B892" s="38"/>
    </row>
    <row r="893" spans="2:2">
      <c r="B893" s="38"/>
    </row>
    <row r="894" spans="2:2">
      <c r="B894" s="38"/>
    </row>
    <row r="895" spans="2:2">
      <c r="B895" s="38"/>
    </row>
    <row r="896" spans="2:2">
      <c r="B896" s="38"/>
    </row>
    <row r="897" spans="2:2">
      <c r="B897" s="38"/>
    </row>
    <row r="898" spans="2:2">
      <c r="B898" s="38"/>
    </row>
    <row r="899" spans="2:2">
      <c r="B899" s="38"/>
    </row>
    <row r="900" spans="2:2">
      <c r="B900" s="38"/>
    </row>
    <row r="901" spans="2:2">
      <c r="B901" s="38"/>
    </row>
    <row r="902" spans="2:2">
      <c r="B902" s="38"/>
    </row>
    <row r="903" spans="2:2">
      <c r="B903" s="38"/>
    </row>
    <row r="904" spans="2:2">
      <c r="B904" s="38"/>
    </row>
    <row r="905" spans="2:2">
      <c r="B905" s="38"/>
    </row>
    <row r="906" spans="2:2">
      <c r="B906" s="38"/>
    </row>
    <row r="907" spans="2:2">
      <c r="B907" s="38"/>
    </row>
    <row r="908" spans="2:2">
      <c r="B908" s="38"/>
    </row>
    <row r="909" spans="2:2">
      <c r="B909" s="38"/>
    </row>
    <row r="910" spans="2:2">
      <c r="B910" s="38"/>
    </row>
    <row r="911" spans="2:2">
      <c r="B911" s="38"/>
    </row>
    <row r="912" spans="2:2">
      <c r="B912" s="38"/>
    </row>
    <row r="913" spans="2:2">
      <c r="B913" s="38"/>
    </row>
    <row r="914" spans="2:2">
      <c r="B914" s="38"/>
    </row>
    <row r="915" spans="2:2">
      <c r="B915" s="38"/>
    </row>
    <row r="916" spans="2:2">
      <c r="B916" s="38"/>
    </row>
    <row r="917" spans="2:2">
      <c r="B917" s="38"/>
    </row>
    <row r="918" spans="2:2">
      <c r="B918" s="38"/>
    </row>
    <row r="919" spans="2:2">
      <c r="B919" s="38"/>
    </row>
    <row r="920" spans="2:2">
      <c r="B920" s="38"/>
    </row>
    <row r="921" spans="2:2">
      <c r="B921" s="38"/>
    </row>
    <row r="922" spans="2:2">
      <c r="B922" s="38"/>
    </row>
    <row r="923" spans="2:2">
      <c r="B923" s="38"/>
    </row>
    <row r="924" spans="2:2">
      <c r="B924" s="38"/>
    </row>
    <row r="925" spans="2:2">
      <c r="B925" s="38"/>
    </row>
    <row r="926" spans="2:2">
      <c r="B926" s="38"/>
    </row>
    <row r="927" spans="2:2">
      <c r="B927" s="38"/>
    </row>
    <row r="928" spans="2:2">
      <c r="B928" s="38"/>
    </row>
    <row r="929" spans="2:2">
      <c r="B929" s="38"/>
    </row>
    <row r="930" spans="2:2">
      <c r="B930" s="38"/>
    </row>
    <row r="931" spans="2:2">
      <c r="B931" s="38"/>
    </row>
    <row r="932" spans="2:2">
      <c r="B932" s="38"/>
    </row>
    <row r="933" spans="2:2">
      <c r="B933" s="38"/>
    </row>
    <row r="934" spans="2:2">
      <c r="B934" s="38"/>
    </row>
    <row r="935" spans="2:2">
      <c r="B935" s="38"/>
    </row>
    <row r="936" spans="2:2">
      <c r="B936" s="38"/>
    </row>
    <row r="937" spans="2:2">
      <c r="B937" s="38"/>
    </row>
    <row r="938" spans="2:2">
      <c r="B938" s="38"/>
    </row>
    <row r="939" spans="2:2">
      <c r="B939" s="38"/>
    </row>
    <row r="940" spans="2:2">
      <c r="B940" s="38"/>
    </row>
    <row r="941" spans="2:2">
      <c r="B941" s="38"/>
    </row>
    <row r="942" spans="2:2">
      <c r="B942" s="38"/>
    </row>
    <row r="943" spans="2:2">
      <c r="B943" s="38"/>
    </row>
    <row r="944" spans="2:2">
      <c r="B944" s="38"/>
    </row>
    <row r="945" spans="2:2">
      <c r="B945" s="38"/>
    </row>
    <row r="946" spans="2:2">
      <c r="B946" s="38"/>
    </row>
    <row r="947" spans="2:2">
      <c r="B947" s="38"/>
    </row>
    <row r="948" spans="2:2">
      <c r="B948" s="38"/>
    </row>
    <row r="949" spans="2:2">
      <c r="B949" s="38"/>
    </row>
    <row r="950" spans="2:2">
      <c r="B950" s="38"/>
    </row>
    <row r="951" spans="2:2">
      <c r="B951" s="38"/>
    </row>
    <row r="952" spans="2:2">
      <c r="B952" s="38"/>
    </row>
    <row r="953" spans="2:2">
      <c r="B953" s="38"/>
    </row>
    <row r="954" spans="2:2">
      <c r="B954" s="38"/>
    </row>
    <row r="955" spans="2:2">
      <c r="B955" s="38"/>
    </row>
    <row r="956" spans="2:2">
      <c r="B956" s="38"/>
    </row>
    <row r="957" spans="2:2">
      <c r="B957" s="38"/>
    </row>
    <row r="958" spans="2:2">
      <c r="B958" s="38"/>
    </row>
    <row r="959" spans="2:2">
      <c r="B959" s="38"/>
    </row>
    <row r="960" spans="2:2">
      <c r="B960" s="38"/>
    </row>
    <row r="961" spans="2:2">
      <c r="B961" s="38"/>
    </row>
    <row r="962" spans="2:2">
      <c r="B962" s="38"/>
    </row>
    <row r="963" spans="2:2">
      <c r="B963" s="38"/>
    </row>
    <row r="964" spans="2:2">
      <c r="B964" s="38"/>
    </row>
    <row r="965" spans="2:2">
      <c r="B965" s="38"/>
    </row>
    <row r="966" spans="2:2">
      <c r="B966" s="38"/>
    </row>
    <row r="967" spans="2:2">
      <c r="B967" s="38"/>
    </row>
    <row r="968" spans="2:2">
      <c r="B968" s="38"/>
    </row>
    <row r="969" spans="2:2">
      <c r="B969" s="38"/>
    </row>
    <row r="970" spans="2:2">
      <c r="B970" s="38"/>
    </row>
    <row r="971" spans="2:2">
      <c r="B971" s="38"/>
    </row>
    <row r="972" spans="2:2">
      <c r="B972" s="38"/>
    </row>
    <row r="973" spans="2:2">
      <c r="B973" s="38"/>
    </row>
    <row r="974" spans="2:2">
      <c r="B974" s="38"/>
    </row>
    <row r="975" spans="2:2">
      <c r="B975" s="38"/>
    </row>
    <row r="976" spans="2:2">
      <c r="B976" s="38"/>
    </row>
    <row r="977" spans="2:2">
      <c r="B977" s="38"/>
    </row>
    <row r="978" spans="2:2">
      <c r="B978" s="38"/>
    </row>
    <row r="979" spans="2:2">
      <c r="B979" s="38"/>
    </row>
    <row r="980" spans="2:2">
      <c r="B980" s="38"/>
    </row>
    <row r="981" spans="2:2">
      <c r="B981" s="38"/>
    </row>
    <row r="982" spans="2:2">
      <c r="B982" s="38"/>
    </row>
    <row r="983" spans="2:2">
      <c r="B983" s="38"/>
    </row>
    <row r="984" spans="2:2">
      <c r="B984" s="38"/>
    </row>
    <row r="985" spans="2:2">
      <c r="B985" s="38"/>
    </row>
    <row r="986" spans="2:2">
      <c r="B986" s="38"/>
    </row>
    <row r="987" spans="2:2">
      <c r="B987" s="38"/>
    </row>
    <row r="988" spans="2:2">
      <c r="B988" s="38"/>
    </row>
    <row r="989" spans="2:2">
      <c r="B989" s="38"/>
    </row>
    <row r="990" spans="2:2">
      <c r="B990" s="38"/>
    </row>
    <row r="991" spans="2:2">
      <c r="B991" s="38"/>
    </row>
    <row r="992" spans="2:2">
      <c r="B992" s="38"/>
    </row>
    <row r="993" spans="2:2">
      <c r="B993" s="38"/>
    </row>
    <row r="994" spans="2:2">
      <c r="B994" s="38"/>
    </row>
    <row r="995" spans="2:2">
      <c r="B995" s="38"/>
    </row>
    <row r="996" spans="2:2">
      <c r="B996" s="38"/>
    </row>
    <row r="997" spans="2:2">
      <c r="B997" s="38"/>
    </row>
    <row r="998" spans="2:2">
      <c r="B998" s="38"/>
    </row>
    <row r="999" spans="2:2">
      <c r="B999" s="38"/>
    </row>
    <row r="1000" spans="2:2">
      <c r="B1000" s="38"/>
    </row>
    <row r="1001" spans="2:2">
      <c r="B1001" s="38"/>
    </row>
    <row r="1002" spans="2:2">
      <c r="B1002" s="38"/>
    </row>
    <row r="1003" spans="2:2">
      <c r="B1003" s="38"/>
    </row>
    <row r="1004" spans="2:2">
      <c r="B1004" s="38"/>
    </row>
    <row r="1005" spans="2:2">
      <c r="B1005" s="38"/>
    </row>
    <row r="1006" spans="2:2">
      <c r="B1006" s="38"/>
    </row>
    <row r="1007" spans="2:2">
      <c r="B1007" s="38"/>
    </row>
    <row r="1008" spans="2:2">
      <c r="B1008" s="38"/>
    </row>
    <row r="1009" spans="2:2">
      <c r="B1009" s="38"/>
    </row>
    <row r="1010" spans="2:2">
      <c r="B1010" s="38"/>
    </row>
    <row r="1011" spans="2:2">
      <c r="B1011" s="38"/>
    </row>
    <row r="1012" spans="2:2">
      <c r="B1012" s="38"/>
    </row>
    <row r="1013" spans="2:2">
      <c r="B1013" s="38"/>
    </row>
    <row r="1014" spans="2:2">
      <c r="B1014" s="38"/>
    </row>
    <row r="1015" spans="2:2">
      <c r="B1015" s="38"/>
    </row>
    <row r="1016" spans="2:2">
      <c r="B1016" s="38"/>
    </row>
    <row r="1017" spans="2:2">
      <c r="B1017" s="38"/>
    </row>
    <row r="1018" spans="2:2">
      <c r="B1018" s="38"/>
    </row>
    <row r="1019" spans="2:2">
      <c r="B1019" s="38"/>
    </row>
    <row r="1020" spans="2:2">
      <c r="B1020" s="38"/>
    </row>
    <row r="1021" spans="2:2">
      <c r="B1021" s="38"/>
    </row>
    <row r="1022" spans="2:2">
      <c r="B1022" s="38"/>
    </row>
    <row r="1023" spans="2:2">
      <c r="B1023" s="38"/>
    </row>
    <row r="1024" spans="2:2">
      <c r="B1024" s="38"/>
    </row>
    <row r="1025" spans="2:2">
      <c r="B1025" s="38"/>
    </row>
    <row r="1026" spans="2:2">
      <c r="B1026" s="38"/>
    </row>
    <row r="1027" spans="2:2">
      <c r="B1027" s="38"/>
    </row>
    <row r="1028" spans="2:2">
      <c r="B1028" s="38"/>
    </row>
    <row r="1029" spans="2:2">
      <c r="B1029" s="38"/>
    </row>
    <row r="1030" spans="2:2">
      <c r="B1030" s="38"/>
    </row>
    <row r="1031" spans="2:2">
      <c r="B1031" s="38"/>
    </row>
    <row r="1032" spans="2:2">
      <c r="B1032" s="38"/>
    </row>
    <row r="1033" spans="2:2">
      <c r="B1033" s="38"/>
    </row>
    <row r="1034" spans="2:2">
      <c r="B1034" s="38"/>
    </row>
    <row r="1035" spans="2:2">
      <c r="B1035" s="38"/>
    </row>
    <row r="1036" spans="2:2">
      <c r="B1036" s="38"/>
    </row>
    <row r="1037" spans="2:2">
      <c r="B1037" s="38"/>
    </row>
    <row r="1038" spans="2:2">
      <c r="B1038" s="38"/>
    </row>
    <row r="1039" spans="2:2">
      <c r="B1039" s="38"/>
    </row>
    <row r="1040" spans="2:2">
      <c r="B1040" s="38"/>
    </row>
    <row r="1041" spans="2:2">
      <c r="B1041" s="38"/>
    </row>
    <row r="1042" spans="2:2">
      <c r="B1042" s="38"/>
    </row>
    <row r="1043" spans="2:2">
      <c r="B1043" s="38"/>
    </row>
    <row r="1044" spans="2:2">
      <c r="B1044" s="38"/>
    </row>
    <row r="1045" spans="2:2">
      <c r="B1045" s="38"/>
    </row>
    <row r="1046" spans="2:2">
      <c r="B1046" s="38"/>
    </row>
    <row r="1047" spans="2:2">
      <c r="B1047" s="38"/>
    </row>
    <row r="1048" spans="2:2">
      <c r="B1048" s="38"/>
    </row>
    <row r="1049" spans="2:2">
      <c r="B1049" s="38"/>
    </row>
    <row r="1050" spans="2:2">
      <c r="B1050" s="38"/>
    </row>
    <row r="1051" spans="2:2">
      <c r="B1051" s="38"/>
    </row>
    <row r="1052" spans="2:2">
      <c r="B1052" s="38"/>
    </row>
    <row r="1053" spans="2:2">
      <c r="B1053" s="38"/>
    </row>
    <row r="1054" spans="2:2">
      <c r="B1054" s="38"/>
    </row>
    <row r="1055" spans="2:2">
      <c r="B1055" s="38"/>
    </row>
    <row r="1056" spans="2:2">
      <c r="B1056" s="38"/>
    </row>
    <row r="1057" spans="2:2">
      <c r="B1057" s="38"/>
    </row>
    <row r="1058" spans="2:2">
      <c r="B1058" s="38"/>
    </row>
    <row r="1059" spans="2:2">
      <c r="B1059" s="38"/>
    </row>
    <row r="1060" spans="2:2">
      <c r="B1060" s="38"/>
    </row>
    <row r="1061" spans="2:2">
      <c r="B1061" s="38"/>
    </row>
    <row r="1062" spans="2:2">
      <c r="B1062" s="38"/>
    </row>
    <row r="1063" spans="2:2">
      <c r="B1063" s="38"/>
    </row>
    <row r="1064" spans="2:2">
      <c r="B1064" s="38"/>
    </row>
    <row r="1065" spans="2:2">
      <c r="B1065" s="38"/>
    </row>
    <row r="1066" spans="2:2">
      <c r="B1066" s="38"/>
    </row>
    <row r="1067" spans="2:2">
      <c r="B1067" s="38"/>
    </row>
    <row r="1068" spans="2:2">
      <c r="B1068" s="38"/>
    </row>
    <row r="1069" spans="2:2">
      <c r="B1069" s="38"/>
    </row>
    <row r="1070" spans="2:2">
      <c r="B1070" s="38"/>
    </row>
    <row r="1071" spans="2:2">
      <c r="B1071" s="38"/>
    </row>
    <row r="1072" spans="2:2">
      <c r="B1072" s="38"/>
    </row>
    <row r="1073" spans="2:2">
      <c r="B1073" s="38"/>
    </row>
    <row r="1074" spans="2:2">
      <c r="B1074" s="38"/>
    </row>
    <row r="1075" spans="2:2">
      <c r="B1075" s="38"/>
    </row>
    <row r="1076" spans="2:2">
      <c r="B1076" s="38"/>
    </row>
    <row r="1077" spans="2:2">
      <c r="B1077" s="38"/>
    </row>
    <row r="1078" spans="2:2">
      <c r="B1078" s="38"/>
    </row>
    <row r="1079" spans="2:2">
      <c r="B1079" s="38"/>
    </row>
    <row r="1080" spans="2:2">
      <c r="B1080" s="38"/>
    </row>
    <row r="1081" spans="2:2">
      <c r="B1081" s="38"/>
    </row>
    <row r="1082" spans="2:2">
      <c r="B1082" s="38"/>
    </row>
    <row r="1083" spans="2:2">
      <c r="B1083" s="38"/>
    </row>
    <row r="1084" spans="2:2">
      <c r="B1084" s="38"/>
    </row>
    <row r="1085" spans="2:2">
      <c r="B1085" s="38"/>
    </row>
    <row r="1086" spans="2:2">
      <c r="B1086" s="38"/>
    </row>
    <row r="1087" spans="2:2">
      <c r="B1087" s="38"/>
    </row>
    <row r="1088" spans="2:2">
      <c r="B1088" s="38"/>
    </row>
    <row r="1089" spans="2:2">
      <c r="B1089" s="38"/>
    </row>
    <row r="1090" spans="2:2">
      <c r="B1090" s="38"/>
    </row>
    <row r="1091" spans="2:2">
      <c r="B1091" s="38"/>
    </row>
    <row r="1092" spans="2:2">
      <c r="B1092" s="38"/>
    </row>
    <row r="1093" spans="2:2">
      <c r="B1093" s="38"/>
    </row>
    <row r="1094" spans="2:2">
      <c r="B1094" s="38"/>
    </row>
    <row r="1095" spans="2:2">
      <c r="B1095" s="38"/>
    </row>
    <row r="1096" spans="2:2">
      <c r="B1096" s="38"/>
    </row>
    <row r="1097" spans="2:2">
      <c r="B1097" s="38"/>
    </row>
    <row r="1098" spans="2:2">
      <c r="B1098" s="38"/>
    </row>
    <row r="1099" spans="2:2">
      <c r="B1099" s="38"/>
    </row>
    <row r="1100" spans="2:2">
      <c r="B1100" s="38"/>
    </row>
    <row r="1101" spans="2:2">
      <c r="B1101" s="38"/>
    </row>
    <row r="1102" spans="2:2">
      <c r="B1102" s="38"/>
    </row>
    <row r="1103" spans="2:2">
      <c r="B1103" s="38"/>
    </row>
    <row r="1104" spans="2:2">
      <c r="B1104" s="38"/>
    </row>
    <row r="1105" spans="2:2">
      <c r="B1105" s="38"/>
    </row>
    <row r="1106" spans="2:2">
      <c r="B1106" s="38"/>
    </row>
    <row r="1107" spans="2:2">
      <c r="B1107" s="38"/>
    </row>
    <row r="1108" spans="2:2">
      <c r="B1108" s="38"/>
    </row>
    <row r="1109" spans="2:2">
      <c r="B1109" s="38"/>
    </row>
    <row r="1110" spans="2:2">
      <c r="B1110" s="38"/>
    </row>
    <row r="1111" spans="2:2">
      <c r="B1111" s="38"/>
    </row>
    <row r="1112" spans="2:2">
      <c r="B1112" s="38"/>
    </row>
    <row r="1113" spans="2:2">
      <c r="B1113" s="38"/>
    </row>
    <row r="1114" spans="2:2">
      <c r="B1114" s="38"/>
    </row>
    <row r="1115" spans="2:2">
      <c r="B1115" s="38"/>
    </row>
    <row r="1116" spans="2:2">
      <c r="B1116" s="38"/>
    </row>
    <row r="1117" spans="2:2">
      <c r="B1117" s="38"/>
    </row>
    <row r="1118" spans="2:2">
      <c r="B1118" s="38"/>
    </row>
    <row r="1119" spans="2:2">
      <c r="B1119" s="38"/>
    </row>
    <row r="1120" spans="2:2">
      <c r="B1120" s="38"/>
    </row>
    <row r="1121" spans="2:2">
      <c r="B1121" s="38"/>
    </row>
    <row r="1122" spans="2:2">
      <c r="B1122" s="38"/>
    </row>
    <row r="1123" spans="2:2">
      <c r="B1123" s="38"/>
    </row>
    <row r="1124" spans="2:2">
      <c r="B1124" s="38"/>
    </row>
    <row r="1125" spans="2:2">
      <c r="B1125" s="38"/>
    </row>
    <row r="1126" spans="2:2">
      <c r="B1126" s="38"/>
    </row>
    <row r="1127" spans="2:2">
      <c r="B1127" s="38"/>
    </row>
    <row r="1128" spans="2:2">
      <c r="B1128" s="38"/>
    </row>
    <row r="1129" spans="2:2">
      <c r="B1129" s="38"/>
    </row>
    <row r="1130" spans="2:2">
      <c r="B1130" s="38"/>
    </row>
    <row r="1131" spans="2:2">
      <c r="B1131" s="38"/>
    </row>
    <row r="1132" spans="2:2">
      <c r="B1132" s="38"/>
    </row>
    <row r="1133" spans="2:2">
      <c r="B1133" s="38"/>
    </row>
    <row r="1134" spans="2:2">
      <c r="B1134" s="38"/>
    </row>
    <row r="1135" spans="2:2">
      <c r="B1135" s="38"/>
    </row>
    <row r="1136" spans="2:2">
      <c r="B1136" s="38"/>
    </row>
    <row r="1137" spans="2:2">
      <c r="B1137" s="38"/>
    </row>
    <row r="1138" spans="2:2">
      <c r="B1138" s="38"/>
    </row>
    <row r="1139" spans="2:2">
      <c r="B1139" s="38"/>
    </row>
    <row r="1140" spans="2:2">
      <c r="B1140" s="38"/>
    </row>
    <row r="1141" spans="2:2">
      <c r="B1141" s="38"/>
    </row>
    <row r="1142" spans="2:2">
      <c r="B1142" s="38"/>
    </row>
    <row r="1143" spans="2:2">
      <c r="B1143" s="38"/>
    </row>
    <row r="1144" spans="2:2">
      <c r="B1144" s="38"/>
    </row>
    <row r="1145" spans="2:2">
      <c r="B1145" s="38"/>
    </row>
    <row r="1146" spans="2:2">
      <c r="B1146" s="38"/>
    </row>
    <row r="1147" spans="2:2">
      <c r="B1147" s="38"/>
    </row>
    <row r="1148" spans="2:2">
      <c r="B1148" s="38"/>
    </row>
    <row r="1149" spans="2:2">
      <c r="B1149" s="38"/>
    </row>
    <row r="1150" spans="2:2">
      <c r="B1150" s="38"/>
    </row>
    <row r="1151" spans="2:2">
      <c r="B1151" s="38"/>
    </row>
    <row r="1152" spans="2:2">
      <c r="B1152" s="38"/>
    </row>
    <row r="1153" spans="2:2">
      <c r="B1153" s="38"/>
    </row>
    <row r="1154" spans="2:2">
      <c r="B1154" s="38"/>
    </row>
    <row r="1155" spans="2:2">
      <c r="B1155" s="38"/>
    </row>
    <row r="1156" spans="2:2">
      <c r="B1156" s="38"/>
    </row>
    <row r="1157" spans="2:2">
      <c r="B1157" s="38"/>
    </row>
    <row r="1158" spans="2:2">
      <c r="B1158" s="38"/>
    </row>
    <row r="1159" spans="2:2">
      <c r="B1159" s="38"/>
    </row>
    <row r="1160" spans="2:2">
      <c r="B1160" s="38"/>
    </row>
    <row r="1161" spans="2:2">
      <c r="B1161" s="38"/>
    </row>
    <row r="1162" spans="2:2">
      <c r="B1162" s="38"/>
    </row>
    <row r="1163" spans="2:2">
      <c r="B1163" s="38"/>
    </row>
    <row r="1164" spans="2:2">
      <c r="B1164" s="38"/>
    </row>
    <row r="1165" spans="2:2">
      <c r="B1165" s="38"/>
    </row>
    <row r="1166" spans="2:2">
      <c r="B1166" s="38"/>
    </row>
    <row r="1167" spans="2:2">
      <c r="B1167" s="38"/>
    </row>
    <row r="1168" spans="2:2">
      <c r="B1168" s="38"/>
    </row>
    <row r="1169" spans="2:2">
      <c r="B1169" s="38"/>
    </row>
    <row r="1170" spans="2:2">
      <c r="B1170" s="38"/>
    </row>
    <row r="1171" spans="2:2">
      <c r="B1171" s="38"/>
    </row>
    <row r="1172" spans="2:2">
      <c r="B1172" s="38"/>
    </row>
    <row r="1173" spans="2:2">
      <c r="B1173" s="38"/>
    </row>
    <row r="1174" spans="2:2">
      <c r="B1174" s="38"/>
    </row>
    <row r="1175" spans="2:2">
      <c r="B1175" s="38"/>
    </row>
    <row r="1176" spans="2:2">
      <c r="B1176" s="38"/>
    </row>
    <row r="1177" spans="2:2">
      <c r="B1177" s="38"/>
    </row>
    <row r="1178" spans="2:2">
      <c r="B1178" s="38"/>
    </row>
    <row r="1179" spans="2:2">
      <c r="B1179" s="38"/>
    </row>
    <row r="1180" spans="2:2">
      <c r="B1180" s="38"/>
    </row>
    <row r="1181" spans="2:2">
      <c r="B1181" s="38"/>
    </row>
    <row r="1182" spans="2:2">
      <c r="B1182" s="38"/>
    </row>
    <row r="1183" spans="2:2">
      <c r="B1183" s="38"/>
    </row>
    <row r="1184" spans="2:2">
      <c r="B1184" s="38"/>
    </row>
    <row r="1185" spans="2:2">
      <c r="B1185" s="38"/>
    </row>
    <row r="1186" spans="2:2">
      <c r="B1186" s="38"/>
    </row>
    <row r="1187" spans="2:2">
      <c r="B1187" s="38"/>
    </row>
    <row r="1188" spans="2:2">
      <c r="B1188" s="38"/>
    </row>
    <row r="1189" spans="2:2">
      <c r="B1189" s="38"/>
    </row>
    <row r="1190" spans="2:2">
      <c r="B1190" s="38"/>
    </row>
    <row r="1191" spans="2:2">
      <c r="B1191" s="38"/>
    </row>
    <row r="1192" spans="2:2">
      <c r="B1192" s="38"/>
    </row>
    <row r="1193" spans="2:2">
      <c r="B1193" s="38"/>
    </row>
    <row r="1194" spans="2:2">
      <c r="B1194" s="38"/>
    </row>
    <row r="1195" spans="2:2">
      <c r="B1195" s="38"/>
    </row>
    <row r="1196" spans="2:2">
      <c r="B1196" s="38"/>
    </row>
    <row r="1197" spans="2:2">
      <c r="B1197" s="38"/>
    </row>
    <row r="1198" spans="2:2">
      <c r="B1198" s="38"/>
    </row>
    <row r="1199" spans="2:2">
      <c r="B1199" s="38"/>
    </row>
    <row r="1200" spans="2:2">
      <c r="B1200" s="38"/>
    </row>
    <row r="1201" spans="2:2">
      <c r="B1201" s="38"/>
    </row>
    <row r="1202" spans="2:2">
      <c r="B1202" s="38"/>
    </row>
    <row r="1203" spans="2:2">
      <c r="B1203" s="38"/>
    </row>
    <row r="1204" spans="2:2">
      <c r="B1204" s="38"/>
    </row>
    <row r="1205" spans="2:2">
      <c r="B1205" s="38"/>
    </row>
    <row r="1206" spans="2:2">
      <c r="B1206" s="38"/>
    </row>
    <row r="1207" spans="2:2">
      <c r="B1207" s="38"/>
    </row>
    <row r="1208" spans="2:2">
      <c r="B1208" s="38"/>
    </row>
    <row r="1209" spans="2:2">
      <c r="B1209" s="38"/>
    </row>
    <row r="1210" spans="2:2">
      <c r="B1210" s="38"/>
    </row>
    <row r="1211" spans="2:2">
      <c r="B1211" s="38"/>
    </row>
    <row r="1212" spans="2:2">
      <c r="B1212" s="38"/>
    </row>
    <row r="1213" spans="2:2">
      <c r="B1213" s="38"/>
    </row>
    <row r="1214" spans="2:2">
      <c r="B1214" s="38"/>
    </row>
    <row r="1215" spans="2:2">
      <c r="B1215" s="38"/>
    </row>
    <row r="1216" spans="2:2">
      <c r="B1216" s="38"/>
    </row>
    <row r="1217" spans="2:2">
      <c r="B1217" s="38"/>
    </row>
    <row r="1218" spans="2:2">
      <c r="B1218" s="38"/>
    </row>
    <row r="1219" spans="2:2">
      <c r="B1219" s="38"/>
    </row>
    <row r="1220" spans="2:2">
      <c r="B1220" s="38"/>
    </row>
    <row r="1221" spans="2:2">
      <c r="B1221" s="38"/>
    </row>
    <row r="1222" spans="2:2">
      <c r="B1222" s="38"/>
    </row>
    <row r="1223" spans="2:2">
      <c r="B1223" s="38"/>
    </row>
    <row r="1224" spans="2:2">
      <c r="B1224" s="38"/>
    </row>
    <row r="1225" spans="2:2">
      <c r="B1225" s="38"/>
    </row>
    <row r="1226" spans="2:2">
      <c r="B1226" s="38"/>
    </row>
    <row r="1227" spans="2:2">
      <c r="B1227" s="38"/>
    </row>
    <row r="1228" spans="2:2">
      <c r="B1228" s="38"/>
    </row>
    <row r="1229" spans="2:2">
      <c r="B1229" s="38"/>
    </row>
    <row r="1230" spans="2:2">
      <c r="B1230" s="38"/>
    </row>
    <row r="1231" spans="2:2">
      <c r="B1231" s="38"/>
    </row>
    <row r="1232" spans="2:2">
      <c r="B1232" s="38"/>
    </row>
    <row r="1233" spans="2:2">
      <c r="B1233" s="38"/>
    </row>
    <row r="1234" spans="2:2">
      <c r="B1234" s="38"/>
    </row>
    <row r="1235" spans="2:2">
      <c r="B1235" s="38"/>
    </row>
    <row r="1236" spans="2:2">
      <c r="B1236" s="38"/>
    </row>
    <row r="1237" spans="2:2">
      <c r="B1237" s="38"/>
    </row>
    <row r="1238" spans="2:2">
      <c r="B1238" s="38"/>
    </row>
    <row r="1239" spans="2:2">
      <c r="B1239" s="38"/>
    </row>
    <row r="1240" spans="2:2">
      <c r="B1240" s="38"/>
    </row>
    <row r="1241" spans="2:2">
      <c r="B1241" s="38"/>
    </row>
    <row r="1242" spans="2:2">
      <c r="B1242" s="38"/>
    </row>
    <row r="1243" spans="2:2">
      <c r="B1243" s="38"/>
    </row>
    <row r="1244" spans="2:2">
      <c r="B1244" s="38"/>
    </row>
    <row r="1245" spans="2:2">
      <c r="B1245" s="38"/>
    </row>
    <row r="1246" spans="2:2">
      <c r="B1246" s="38"/>
    </row>
    <row r="1247" spans="2:2">
      <c r="B1247" s="38"/>
    </row>
    <row r="1248" spans="2:2">
      <c r="B1248" s="38"/>
    </row>
    <row r="1249" spans="2:2">
      <c r="B1249" s="38"/>
    </row>
    <row r="1250" spans="2:2">
      <c r="B1250" s="38"/>
    </row>
    <row r="1251" spans="2:2">
      <c r="B1251" s="38"/>
    </row>
    <row r="1252" spans="2:2">
      <c r="B1252" s="38"/>
    </row>
    <row r="1253" spans="2:2">
      <c r="B1253" s="38"/>
    </row>
    <row r="1254" spans="2:2">
      <c r="B1254" s="38"/>
    </row>
    <row r="1255" spans="2:2">
      <c r="B1255" s="38"/>
    </row>
    <row r="1256" spans="2:2">
      <c r="B1256" s="38"/>
    </row>
    <row r="1257" spans="2:2">
      <c r="B1257" s="38"/>
    </row>
    <row r="1258" spans="2:2">
      <c r="B1258" s="38"/>
    </row>
    <row r="1259" spans="2:2">
      <c r="B1259" s="38"/>
    </row>
    <row r="1260" spans="2:2">
      <c r="B1260" s="38"/>
    </row>
    <row r="1261" spans="2:2">
      <c r="B1261" s="38"/>
    </row>
    <row r="1262" spans="2:2">
      <c r="B1262" s="38"/>
    </row>
    <row r="1263" spans="2:2">
      <c r="B1263" s="38"/>
    </row>
    <row r="1264" spans="2:2">
      <c r="B1264" s="38"/>
    </row>
    <row r="1265" spans="2:2">
      <c r="B1265" s="38"/>
    </row>
    <row r="1266" spans="2:2">
      <c r="B1266" s="38"/>
    </row>
    <row r="1267" spans="2:2">
      <c r="B1267" s="38"/>
    </row>
    <row r="1268" spans="2:2">
      <c r="B1268" s="38"/>
    </row>
    <row r="1269" spans="2:2">
      <c r="B1269" s="38"/>
    </row>
    <row r="1270" spans="2:2">
      <c r="B1270" s="38"/>
    </row>
    <row r="1271" spans="2:2">
      <c r="B1271" s="38"/>
    </row>
    <row r="1272" spans="2:2">
      <c r="B1272" s="38"/>
    </row>
    <row r="1273" spans="2:2">
      <c r="B1273" s="38"/>
    </row>
    <row r="1274" spans="2:2">
      <c r="B1274" s="38"/>
    </row>
    <row r="1275" spans="2:2">
      <c r="B1275" s="38"/>
    </row>
    <row r="1276" spans="2:2">
      <c r="B1276" s="38"/>
    </row>
    <row r="1277" spans="2:2">
      <c r="B1277" s="38"/>
    </row>
    <row r="1278" spans="2:2">
      <c r="B1278" s="38"/>
    </row>
    <row r="1279" spans="2:2">
      <c r="B1279" s="38"/>
    </row>
    <row r="1280" spans="2:2">
      <c r="B1280" s="38"/>
    </row>
    <row r="1281" spans="2:2">
      <c r="B1281" s="38"/>
    </row>
    <row r="1282" spans="2:2">
      <c r="B1282" s="38"/>
    </row>
    <row r="1283" spans="2:2">
      <c r="B1283" s="38"/>
    </row>
    <row r="1284" spans="2:2">
      <c r="B1284" s="38"/>
    </row>
    <row r="1285" spans="2:2">
      <c r="B1285" s="38"/>
    </row>
    <row r="1286" spans="2:2">
      <c r="B1286" s="38"/>
    </row>
    <row r="1287" spans="2:2">
      <c r="B1287" s="38"/>
    </row>
    <row r="1288" spans="2:2">
      <c r="B1288" s="38"/>
    </row>
    <row r="1289" spans="2:2">
      <c r="B1289" s="38"/>
    </row>
    <row r="1290" spans="2:2">
      <c r="B1290" s="38"/>
    </row>
    <row r="1291" spans="2:2">
      <c r="B1291" s="38"/>
    </row>
    <row r="1292" spans="2:2">
      <c r="B1292" s="38"/>
    </row>
    <row r="1293" spans="2:2">
      <c r="B1293" s="38"/>
    </row>
    <row r="1294" spans="2:2">
      <c r="B1294" s="38"/>
    </row>
    <row r="1295" spans="2:2">
      <c r="B1295" s="38"/>
    </row>
    <row r="1296" spans="2:2">
      <c r="B1296" s="38"/>
    </row>
    <row r="1297" spans="2:2">
      <c r="B1297" s="38"/>
    </row>
    <row r="1298" spans="2:2">
      <c r="B1298" s="38"/>
    </row>
    <row r="1299" spans="2:2">
      <c r="B1299" s="38"/>
    </row>
    <row r="1300" spans="2:2">
      <c r="B1300" s="38"/>
    </row>
    <row r="1301" spans="2:2">
      <c r="B1301" s="38"/>
    </row>
    <row r="1302" spans="2:2">
      <c r="B1302" s="38"/>
    </row>
    <row r="1303" spans="2:2">
      <c r="B1303" s="38"/>
    </row>
    <row r="1304" spans="2:2">
      <c r="B1304" s="38"/>
    </row>
    <row r="1305" spans="2:2">
      <c r="B1305" s="38"/>
    </row>
    <row r="1306" spans="2:2">
      <c r="B1306" s="38"/>
    </row>
    <row r="1307" spans="2:2">
      <c r="B1307" s="38"/>
    </row>
    <row r="1308" spans="2:2">
      <c r="B1308" s="38"/>
    </row>
    <row r="1309" spans="2:2">
      <c r="B1309" s="38"/>
    </row>
    <row r="1310" spans="2:2">
      <c r="B1310" s="38"/>
    </row>
    <row r="1311" spans="2:2">
      <c r="B1311" s="38"/>
    </row>
    <row r="1312" spans="2:2">
      <c r="B1312" s="38"/>
    </row>
    <row r="1313" spans="2:2">
      <c r="B1313" s="38"/>
    </row>
    <row r="1314" spans="2:2">
      <c r="B1314" s="38"/>
    </row>
    <row r="1315" spans="2:2">
      <c r="B1315" s="38"/>
    </row>
    <row r="1316" spans="2:2">
      <c r="B1316" s="38"/>
    </row>
    <row r="1317" spans="2:2">
      <c r="B1317" s="38"/>
    </row>
    <row r="1318" spans="2:2">
      <c r="B1318" s="38"/>
    </row>
    <row r="1319" spans="2:2">
      <c r="B1319" s="38"/>
    </row>
    <row r="1320" spans="2:2">
      <c r="B1320" s="38"/>
    </row>
    <row r="1321" spans="2:2">
      <c r="B1321" s="38"/>
    </row>
    <row r="1322" spans="2:2">
      <c r="B1322" s="38"/>
    </row>
    <row r="1323" spans="2:2">
      <c r="B1323" s="38"/>
    </row>
    <row r="1324" spans="2:2">
      <c r="B1324" s="38"/>
    </row>
    <row r="1325" spans="2:2">
      <c r="B1325" s="38"/>
    </row>
    <row r="1326" spans="2:2">
      <c r="B1326" s="38"/>
    </row>
    <row r="1327" spans="2:2">
      <c r="B1327" s="38"/>
    </row>
    <row r="1328" spans="2:2">
      <c r="B1328" s="38"/>
    </row>
    <row r="1329" spans="2:2">
      <c r="B1329" s="38"/>
    </row>
    <row r="1330" spans="2:2">
      <c r="B1330" s="38"/>
    </row>
    <row r="1331" spans="2:2">
      <c r="B1331" s="38"/>
    </row>
    <row r="1332" spans="2:2">
      <c r="B1332" s="38"/>
    </row>
    <row r="1333" spans="2:2">
      <c r="B1333" s="38"/>
    </row>
    <row r="1334" spans="2:2">
      <c r="B1334" s="38"/>
    </row>
    <row r="1335" spans="2:2">
      <c r="B1335" s="38"/>
    </row>
    <row r="1336" spans="2:2">
      <c r="B1336" s="38"/>
    </row>
    <row r="1337" spans="2:2">
      <c r="B1337" s="38"/>
    </row>
    <row r="1338" spans="2:2">
      <c r="B1338" s="38"/>
    </row>
    <row r="1339" spans="2:2">
      <c r="B1339" s="38"/>
    </row>
    <row r="1340" spans="2:2">
      <c r="B1340" s="38"/>
    </row>
    <row r="1341" spans="2:2">
      <c r="B1341" s="38"/>
    </row>
    <row r="1342" spans="2:2">
      <c r="B1342" s="38"/>
    </row>
    <row r="1343" spans="2:2">
      <c r="B1343" s="38"/>
    </row>
    <row r="1344" spans="2:2">
      <c r="B1344" s="38"/>
    </row>
    <row r="1345" spans="2:2">
      <c r="B1345" s="38"/>
    </row>
    <row r="1346" spans="2:2">
      <c r="B1346" s="38"/>
    </row>
    <row r="1347" spans="2:2">
      <c r="B1347" s="38"/>
    </row>
    <row r="1348" spans="2:2">
      <c r="B1348" s="38"/>
    </row>
    <row r="1349" spans="2:2">
      <c r="B1349" s="38"/>
    </row>
    <row r="1350" spans="2:2">
      <c r="B1350" s="38"/>
    </row>
    <row r="1351" spans="2:2">
      <c r="B1351" s="38"/>
    </row>
    <row r="1352" spans="2:2">
      <c r="B1352" s="38"/>
    </row>
    <row r="1353" spans="2:2">
      <c r="B1353" s="38"/>
    </row>
    <row r="1354" spans="2:2">
      <c r="B1354" s="38"/>
    </row>
    <row r="1355" spans="2:2">
      <c r="B1355" s="38"/>
    </row>
    <row r="1356" spans="2:2">
      <c r="B1356" s="38"/>
    </row>
    <row r="1357" spans="2:2">
      <c r="B1357" s="38"/>
    </row>
    <row r="1358" spans="2:2">
      <c r="B1358" s="38"/>
    </row>
    <row r="1359" spans="2:2">
      <c r="B1359" s="38"/>
    </row>
    <row r="1360" spans="2:2">
      <c r="B1360" s="38"/>
    </row>
    <row r="1361" spans="2:2">
      <c r="B1361" s="38"/>
    </row>
    <row r="1362" spans="2:2">
      <c r="B1362" s="38"/>
    </row>
    <row r="1363" spans="2:2">
      <c r="B1363" s="38"/>
    </row>
    <row r="1364" spans="2:2">
      <c r="B1364" s="38"/>
    </row>
    <row r="1365" spans="2:2">
      <c r="B1365" s="38"/>
    </row>
    <row r="1366" spans="2:2">
      <c r="B1366" s="38"/>
    </row>
    <row r="1367" spans="2:2">
      <c r="B1367" s="38"/>
    </row>
    <row r="1368" spans="2:2">
      <c r="B1368" s="38"/>
    </row>
    <row r="1369" spans="2:2">
      <c r="B1369" s="38"/>
    </row>
    <row r="1370" spans="2:2">
      <c r="B1370" s="38"/>
    </row>
    <row r="1371" spans="2:2">
      <c r="B1371" s="38"/>
    </row>
    <row r="1372" spans="2:2">
      <c r="B1372" s="38"/>
    </row>
    <row r="1373" spans="2:2">
      <c r="B1373" s="38"/>
    </row>
    <row r="1374" spans="2:2">
      <c r="B1374" s="38"/>
    </row>
    <row r="1375" spans="2:2">
      <c r="B1375" s="38"/>
    </row>
    <row r="1376" spans="2:2">
      <c r="B1376" s="38"/>
    </row>
    <row r="1377" spans="2:2">
      <c r="B1377" s="38"/>
    </row>
    <row r="1378" spans="2:2">
      <c r="B1378" s="38"/>
    </row>
    <row r="1379" spans="2:2">
      <c r="B1379" s="38"/>
    </row>
    <row r="1380" spans="2:2">
      <c r="B1380" s="38"/>
    </row>
    <row r="1381" spans="2:2">
      <c r="B1381" s="38"/>
    </row>
    <row r="1382" spans="2:2">
      <c r="B1382" s="38"/>
    </row>
    <row r="1383" spans="2:2">
      <c r="B1383" s="38"/>
    </row>
    <row r="1384" spans="2:2">
      <c r="B1384" s="38"/>
    </row>
    <row r="1385" spans="2:2">
      <c r="B1385" s="38"/>
    </row>
    <row r="1386" spans="2:2">
      <c r="B1386" s="38"/>
    </row>
    <row r="1387" spans="2:2">
      <c r="B1387" s="38"/>
    </row>
    <row r="1388" spans="2:2">
      <c r="B1388" s="38"/>
    </row>
    <row r="1389" spans="2:2">
      <c r="B1389" s="38"/>
    </row>
    <row r="1390" spans="2:2">
      <c r="B1390" s="38"/>
    </row>
    <row r="1391" spans="2:2">
      <c r="B1391" s="38"/>
    </row>
    <row r="1392" spans="2:2">
      <c r="B1392" s="38"/>
    </row>
    <row r="1393" spans="2:2">
      <c r="B1393" s="38"/>
    </row>
    <row r="1394" spans="2:2">
      <c r="B1394" s="38"/>
    </row>
    <row r="1395" spans="2:2">
      <c r="B1395" s="38"/>
    </row>
    <row r="1396" spans="2:2">
      <c r="B1396" s="38"/>
    </row>
    <row r="1397" spans="2:2">
      <c r="B1397" s="38"/>
    </row>
    <row r="1398" spans="2:2">
      <c r="B1398" s="38"/>
    </row>
    <row r="1399" spans="2:2">
      <c r="B1399" s="38"/>
    </row>
    <row r="1400" spans="2:2">
      <c r="B1400" s="38"/>
    </row>
    <row r="1401" spans="2:2">
      <c r="B1401" s="38"/>
    </row>
    <row r="1402" spans="2:2">
      <c r="B1402" s="38"/>
    </row>
    <row r="1403" spans="2:2">
      <c r="B1403" s="38"/>
    </row>
    <row r="1404" spans="2:2">
      <c r="B1404" s="38"/>
    </row>
    <row r="1405" spans="2:2">
      <c r="B1405" s="38"/>
    </row>
    <row r="1406" spans="2:2">
      <c r="B1406" s="38"/>
    </row>
    <row r="1407" spans="2:2">
      <c r="B1407" s="38"/>
    </row>
    <row r="1408" spans="2:2">
      <c r="B1408" s="38"/>
    </row>
    <row r="1409" spans="2:2">
      <c r="B1409" s="38"/>
    </row>
    <row r="1410" spans="2:2">
      <c r="B1410" s="38"/>
    </row>
    <row r="1411" spans="2:2">
      <c r="B1411" s="38"/>
    </row>
    <row r="1412" spans="2:2">
      <c r="B1412" s="38"/>
    </row>
    <row r="1413" spans="2:2">
      <c r="B1413" s="38"/>
    </row>
    <row r="1414" spans="2:2">
      <c r="B1414" s="38"/>
    </row>
    <row r="1415" spans="2:2">
      <c r="B1415" s="38"/>
    </row>
    <row r="1416" spans="2:2">
      <c r="B1416" s="38"/>
    </row>
    <row r="1417" spans="2:2">
      <c r="B1417" s="38"/>
    </row>
    <row r="1418" spans="2:2">
      <c r="B1418" s="38"/>
    </row>
    <row r="1419" spans="2:2">
      <c r="B1419" s="38"/>
    </row>
    <row r="1420" spans="2:2">
      <c r="B1420" s="38"/>
    </row>
    <row r="1421" spans="2:2">
      <c r="B1421" s="38"/>
    </row>
    <row r="1422" spans="2:2">
      <c r="B1422" s="38"/>
    </row>
    <row r="1423" spans="2:2">
      <c r="B1423" s="38"/>
    </row>
    <row r="1424" spans="2:2">
      <c r="B1424" s="38"/>
    </row>
    <row r="1425" spans="2:2">
      <c r="B1425" s="38"/>
    </row>
    <row r="1426" spans="2:2">
      <c r="B1426" s="38"/>
    </row>
    <row r="1427" spans="2:2">
      <c r="B1427" s="38"/>
    </row>
    <row r="1428" spans="2:2">
      <c r="B1428" s="38"/>
    </row>
    <row r="1429" spans="2:2">
      <c r="B1429" s="38"/>
    </row>
    <row r="1430" spans="2:2">
      <c r="B1430" s="38"/>
    </row>
    <row r="1431" spans="2:2">
      <c r="B1431" s="38"/>
    </row>
    <row r="1432" spans="2:2">
      <c r="B1432" s="38"/>
    </row>
    <row r="1433" spans="2:2">
      <c r="B1433" s="38"/>
    </row>
    <row r="1434" spans="2:2">
      <c r="B1434" s="38"/>
    </row>
    <row r="1435" spans="2:2">
      <c r="B1435" s="38"/>
    </row>
    <row r="1436" spans="2:2">
      <c r="B1436" s="38"/>
    </row>
    <row r="1437" spans="2:2">
      <c r="B1437" s="38"/>
    </row>
    <row r="1438" spans="2:2">
      <c r="B1438" s="38"/>
    </row>
    <row r="1439" spans="2:2">
      <c r="B1439" s="38"/>
    </row>
    <row r="1440" spans="2:2">
      <c r="B1440" s="38"/>
    </row>
    <row r="1441" spans="2:2">
      <c r="B1441" s="38"/>
    </row>
    <row r="1442" spans="2:2">
      <c r="B1442" s="38"/>
    </row>
    <row r="1443" spans="2:2">
      <c r="B1443" s="38"/>
    </row>
    <row r="1444" spans="2:2">
      <c r="B1444" s="38"/>
    </row>
    <row r="1445" spans="2:2">
      <c r="B1445" s="38"/>
    </row>
    <row r="1446" spans="2:2">
      <c r="B1446" s="38"/>
    </row>
    <row r="1447" spans="2:2">
      <c r="B1447" s="38"/>
    </row>
    <row r="1448" spans="2:2">
      <c r="B1448" s="38"/>
    </row>
    <row r="1449" spans="2:2">
      <c r="B1449" s="38"/>
    </row>
    <row r="1450" spans="2:2">
      <c r="B1450" s="38"/>
    </row>
    <row r="1451" spans="2:2">
      <c r="B1451" s="38"/>
    </row>
    <row r="1452" spans="2:2">
      <c r="B1452" s="38"/>
    </row>
    <row r="1453" spans="2:2">
      <c r="B1453" s="38"/>
    </row>
    <row r="1454" spans="2:2">
      <c r="B1454" s="38"/>
    </row>
    <row r="1455" spans="2:2">
      <c r="B1455" s="38"/>
    </row>
    <row r="1456" spans="2:2">
      <c r="B1456" s="38"/>
    </row>
    <row r="1457" spans="2:2">
      <c r="B1457" s="38"/>
    </row>
    <row r="1458" spans="2:2">
      <c r="B1458" s="38"/>
    </row>
    <row r="1459" spans="2:2">
      <c r="B1459" s="38"/>
    </row>
    <row r="1460" spans="2:2">
      <c r="B1460" s="38"/>
    </row>
    <row r="1461" spans="2:2">
      <c r="B1461" s="38"/>
    </row>
    <row r="1462" spans="2:2">
      <c r="B1462" s="38"/>
    </row>
    <row r="1463" spans="2:2">
      <c r="B1463" s="38"/>
    </row>
    <row r="1464" spans="2:2">
      <c r="B1464" s="38"/>
    </row>
    <row r="1465" spans="2:2">
      <c r="B1465" s="38"/>
    </row>
    <row r="1466" spans="2:2">
      <c r="B1466" s="38"/>
    </row>
    <row r="1467" spans="2:2">
      <c r="B1467" s="38"/>
    </row>
    <row r="1468" spans="2:2">
      <c r="B1468" s="38"/>
    </row>
    <row r="1469" spans="2:2">
      <c r="B1469" s="38"/>
    </row>
    <row r="1470" spans="2:2">
      <c r="B1470" s="38"/>
    </row>
    <row r="1471" spans="2:2">
      <c r="B1471" s="38"/>
    </row>
    <row r="1472" spans="2:2">
      <c r="B1472" s="38"/>
    </row>
    <row r="1473" spans="2:2">
      <c r="B1473" s="38"/>
    </row>
    <row r="1474" spans="2:2">
      <c r="B1474" s="38"/>
    </row>
    <row r="1475" spans="2:2">
      <c r="B1475" s="38"/>
    </row>
    <row r="1476" spans="2:2">
      <c r="B1476" s="38"/>
    </row>
    <row r="1477" spans="2:2">
      <c r="B1477" s="38"/>
    </row>
    <row r="1478" spans="2:2">
      <c r="B1478" s="38"/>
    </row>
    <row r="1479" spans="2:2">
      <c r="B1479" s="38"/>
    </row>
    <row r="1480" spans="2:2">
      <c r="B1480" s="38"/>
    </row>
    <row r="1481" spans="2:2">
      <c r="B1481" s="38"/>
    </row>
    <row r="1482" spans="2:2">
      <c r="B1482" s="38"/>
    </row>
    <row r="1483" spans="2:2">
      <c r="B1483" s="38"/>
    </row>
    <row r="1484" spans="2:2">
      <c r="B1484" s="38"/>
    </row>
    <row r="1485" spans="2:2">
      <c r="B1485" s="38"/>
    </row>
    <row r="1486" spans="2:2">
      <c r="B1486" s="38"/>
    </row>
    <row r="1487" spans="2:2">
      <c r="B1487" s="38"/>
    </row>
    <row r="1488" spans="2:2">
      <c r="B1488" s="38"/>
    </row>
    <row r="1489" spans="2:2">
      <c r="B1489" s="38"/>
    </row>
    <row r="1490" spans="2:2">
      <c r="B1490" s="38"/>
    </row>
    <row r="1491" spans="2:2">
      <c r="B1491" s="38"/>
    </row>
    <row r="1492" spans="2:2">
      <c r="B1492" s="38"/>
    </row>
    <row r="1493" spans="2:2">
      <c r="B1493" s="38"/>
    </row>
    <row r="1494" spans="2:2">
      <c r="B1494" s="38"/>
    </row>
    <row r="1495" spans="2:2">
      <c r="B1495" s="38"/>
    </row>
    <row r="1496" spans="2:2">
      <c r="B1496" s="38"/>
    </row>
    <row r="1497" spans="2:2">
      <c r="B1497" s="38"/>
    </row>
    <row r="1498" spans="2:2">
      <c r="B1498" s="38"/>
    </row>
    <row r="1499" spans="2:2">
      <c r="B1499" s="38"/>
    </row>
    <row r="1500" spans="2:2">
      <c r="B1500" s="38"/>
    </row>
    <row r="1501" spans="2:2">
      <c r="B1501" s="38"/>
    </row>
    <row r="1502" spans="2:2">
      <c r="B1502" s="38"/>
    </row>
    <row r="1503" spans="2:2">
      <c r="B1503" s="38"/>
    </row>
    <row r="1504" spans="2:2">
      <c r="B1504" s="38"/>
    </row>
    <row r="1505" spans="2:2">
      <c r="B1505" s="38"/>
    </row>
    <row r="1506" spans="2:2">
      <c r="B1506" s="38"/>
    </row>
    <row r="1507" spans="2:2">
      <c r="B1507" s="38"/>
    </row>
    <row r="1508" spans="2:2">
      <c r="B1508" s="38"/>
    </row>
    <row r="1509" spans="2:2">
      <c r="B1509" s="38"/>
    </row>
    <row r="1510" spans="2:2">
      <c r="B1510" s="38"/>
    </row>
    <row r="1511" spans="2:2">
      <c r="B1511" s="38"/>
    </row>
    <row r="1512" spans="2:2">
      <c r="B1512" s="38"/>
    </row>
    <row r="1513" spans="2:2">
      <c r="B1513" s="38"/>
    </row>
    <row r="1514" spans="2:2">
      <c r="B1514" s="38"/>
    </row>
    <row r="1515" spans="2:2">
      <c r="B1515" s="38"/>
    </row>
    <row r="1516" spans="2:2">
      <c r="B1516" s="38"/>
    </row>
    <row r="1517" spans="2:2">
      <c r="B1517" s="38"/>
    </row>
    <row r="1518" spans="2:2">
      <c r="B1518" s="38"/>
    </row>
    <row r="1519" spans="2:2">
      <c r="B1519" s="38"/>
    </row>
    <row r="1520" spans="2:2">
      <c r="B1520" s="38"/>
    </row>
    <row r="1521" spans="2:2">
      <c r="B1521" s="38"/>
    </row>
    <row r="1522" spans="2:2">
      <c r="B1522" s="38"/>
    </row>
    <row r="1523" spans="2:2">
      <c r="B1523" s="38"/>
    </row>
    <row r="1524" spans="2:2">
      <c r="B1524" s="38"/>
    </row>
    <row r="1525" spans="2:2">
      <c r="B1525" s="38"/>
    </row>
    <row r="1526" spans="2:2">
      <c r="B1526" s="38"/>
    </row>
    <row r="1527" spans="2:2">
      <c r="B1527" s="38"/>
    </row>
    <row r="1528" spans="2:2">
      <c r="B1528" s="38"/>
    </row>
    <row r="1529" spans="2:2">
      <c r="B1529" s="38"/>
    </row>
    <row r="1530" spans="2:2">
      <c r="B1530" s="38"/>
    </row>
    <row r="1531" spans="2:2">
      <c r="B1531" s="38"/>
    </row>
    <row r="1532" spans="2:2">
      <c r="B1532" s="38"/>
    </row>
    <row r="1533" spans="2:2">
      <c r="B1533" s="38"/>
    </row>
    <row r="1534" spans="2:2">
      <c r="B1534" s="38"/>
    </row>
    <row r="1535" spans="2:2">
      <c r="B1535" s="38"/>
    </row>
    <row r="1536" spans="2:2">
      <c r="B1536" s="38"/>
    </row>
    <row r="1537" spans="2:2">
      <c r="B1537" s="38"/>
    </row>
    <row r="1538" spans="2:2">
      <c r="B1538" s="38"/>
    </row>
    <row r="1539" spans="2:2">
      <c r="B1539" s="38"/>
    </row>
    <row r="1540" spans="2:2">
      <c r="B1540" s="38"/>
    </row>
    <row r="1541" spans="2:2">
      <c r="B1541" s="38"/>
    </row>
    <row r="1542" spans="2:2">
      <c r="B1542" s="38"/>
    </row>
    <row r="1543" spans="2:2">
      <c r="B1543" s="38"/>
    </row>
    <row r="1544" spans="2:2">
      <c r="B1544" s="38"/>
    </row>
    <row r="1545" spans="2:2">
      <c r="B1545" s="38"/>
    </row>
    <row r="1546" spans="2:2">
      <c r="B1546" s="38"/>
    </row>
    <row r="1547" spans="2:2">
      <c r="B1547" s="38"/>
    </row>
    <row r="1548" spans="2:2">
      <c r="B1548" s="38"/>
    </row>
    <row r="1549" spans="2:2">
      <c r="B1549" s="38"/>
    </row>
    <row r="1550" spans="2:2">
      <c r="B1550" s="38"/>
    </row>
    <row r="1551" spans="2:2">
      <c r="B1551" s="38"/>
    </row>
    <row r="1552" spans="2:2">
      <c r="B1552" s="38"/>
    </row>
    <row r="1553" spans="2:2">
      <c r="B1553" s="38"/>
    </row>
    <row r="1554" spans="2:2">
      <c r="B1554" s="38"/>
    </row>
    <row r="1555" spans="2:2">
      <c r="B1555" s="38"/>
    </row>
    <row r="1556" spans="2:2">
      <c r="B1556" s="38"/>
    </row>
    <row r="1557" spans="2:2">
      <c r="B1557" s="38"/>
    </row>
    <row r="1558" spans="2:2">
      <c r="B1558" s="38"/>
    </row>
    <row r="1559" spans="2:2">
      <c r="B1559" s="38"/>
    </row>
    <row r="1560" spans="2:2">
      <c r="B1560" s="38"/>
    </row>
    <row r="1561" spans="2:2">
      <c r="B1561" s="38"/>
    </row>
    <row r="1562" spans="2:2">
      <c r="B1562" s="38"/>
    </row>
    <row r="1563" spans="2:2">
      <c r="B1563" s="38"/>
    </row>
    <row r="1564" spans="2:2">
      <c r="B1564" s="38"/>
    </row>
    <row r="1565" spans="2:2">
      <c r="B1565" s="38"/>
    </row>
    <row r="1566" spans="2:2">
      <c r="B1566" s="38"/>
    </row>
    <row r="1567" spans="2:2">
      <c r="B1567" s="38"/>
    </row>
    <row r="1568" spans="2:2">
      <c r="B1568" s="38"/>
    </row>
    <row r="1569" spans="2:2">
      <c r="B1569" s="38"/>
    </row>
    <row r="1570" spans="2:2">
      <c r="B1570" s="38"/>
    </row>
    <row r="1571" spans="2:2">
      <c r="B1571" s="38"/>
    </row>
    <row r="1572" spans="2:2">
      <c r="B1572" s="38"/>
    </row>
    <row r="1573" spans="2:2">
      <c r="B1573" s="38"/>
    </row>
    <row r="1574" spans="2:2">
      <c r="B1574" s="38"/>
    </row>
    <row r="1575" spans="2:2">
      <c r="B1575" s="38"/>
    </row>
    <row r="1576" spans="2:2">
      <c r="B1576" s="38"/>
    </row>
    <row r="1577" spans="2:2">
      <c r="B1577" s="38"/>
    </row>
    <row r="1578" spans="2:2">
      <c r="B1578" s="38"/>
    </row>
    <row r="1579" spans="2:2">
      <c r="B1579" s="38"/>
    </row>
    <row r="1580" spans="2:2">
      <c r="B1580" s="38"/>
    </row>
    <row r="1581" spans="2:2">
      <c r="B1581" s="38"/>
    </row>
    <row r="1582" spans="2:2">
      <c r="B1582" s="38"/>
    </row>
    <row r="1583" spans="2:2">
      <c r="B1583" s="38"/>
    </row>
    <row r="1584" spans="2:2">
      <c r="B1584" s="38"/>
    </row>
    <row r="1585" spans="2:2">
      <c r="B1585" s="38"/>
    </row>
    <row r="1586" spans="2:2">
      <c r="B1586" s="38"/>
    </row>
    <row r="1587" spans="2:2">
      <c r="B1587" s="38"/>
    </row>
    <row r="1588" spans="2:2">
      <c r="B1588" s="38"/>
    </row>
    <row r="1589" spans="2:2">
      <c r="B1589" s="38"/>
    </row>
    <row r="1590" spans="2:2">
      <c r="B1590" s="38"/>
    </row>
    <row r="1591" spans="2:2">
      <c r="B1591" s="38"/>
    </row>
    <row r="1592" spans="2:2">
      <c r="B1592" s="38"/>
    </row>
    <row r="1593" spans="2:2">
      <c r="B1593" s="38"/>
    </row>
    <row r="1594" spans="2:2">
      <c r="B1594" s="38"/>
    </row>
    <row r="1595" spans="2:2">
      <c r="B1595" s="38"/>
    </row>
    <row r="1596" spans="2:2">
      <c r="B1596" s="38"/>
    </row>
    <row r="1597" spans="2:2">
      <c r="B1597" s="38"/>
    </row>
    <row r="1598" spans="2:2">
      <c r="B1598" s="38"/>
    </row>
    <row r="1599" spans="2:2">
      <c r="B1599" s="38"/>
    </row>
    <row r="1600" spans="2:2">
      <c r="B1600" s="38"/>
    </row>
    <row r="1601" spans="2:2">
      <c r="B1601" s="38"/>
    </row>
    <row r="1602" spans="2:2">
      <c r="B1602" s="38"/>
    </row>
    <row r="1603" spans="2:2">
      <c r="B1603" s="38"/>
    </row>
    <row r="1604" spans="2:2">
      <c r="B1604" s="38"/>
    </row>
    <row r="1605" spans="2:2">
      <c r="B1605" s="38"/>
    </row>
    <row r="1606" spans="2:2">
      <c r="B1606" s="38"/>
    </row>
    <row r="1607" spans="2:2">
      <c r="B1607" s="38"/>
    </row>
    <row r="1608" spans="2:2">
      <c r="B1608" s="38"/>
    </row>
    <row r="1609" spans="2:2">
      <c r="B1609" s="38"/>
    </row>
    <row r="1610" spans="2:2">
      <c r="B1610" s="38"/>
    </row>
    <row r="1611" spans="2:2">
      <c r="B1611" s="38"/>
    </row>
    <row r="1612" spans="2:2">
      <c r="B1612" s="38"/>
    </row>
    <row r="1613" spans="2:2">
      <c r="B1613" s="38"/>
    </row>
    <row r="1614" spans="2:2">
      <c r="B1614" s="38"/>
    </row>
    <row r="1615" spans="2:2">
      <c r="B1615" s="38"/>
    </row>
    <row r="1616" spans="2:2">
      <c r="B1616" s="38"/>
    </row>
    <row r="1617" spans="2:2">
      <c r="B1617" s="38"/>
    </row>
    <row r="1618" spans="2:2">
      <c r="B1618" s="38"/>
    </row>
    <row r="1619" spans="2:2">
      <c r="B1619" s="38"/>
    </row>
    <row r="1620" spans="2:2">
      <c r="B1620" s="38"/>
    </row>
    <row r="1621" spans="2:2">
      <c r="B1621" s="38"/>
    </row>
    <row r="1622" spans="2:2">
      <c r="B1622" s="38"/>
    </row>
    <row r="1623" spans="2:2">
      <c r="B1623" s="38"/>
    </row>
    <row r="1624" spans="2:2">
      <c r="B1624" s="38"/>
    </row>
    <row r="1625" spans="2:2">
      <c r="B1625" s="38"/>
    </row>
    <row r="1626" spans="2:2">
      <c r="B1626" s="38"/>
    </row>
    <row r="1627" spans="2:2">
      <c r="B1627" s="38"/>
    </row>
    <row r="1628" spans="2:2">
      <c r="B1628" s="38"/>
    </row>
    <row r="1629" spans="2:2">
      <c r="B1629" s="38"/>
    </row>
    <row r="1630" spans="2:2">
      <c r="B1630" s="38"/>
    </row>
    <row r="1631" spans="2:2">
      <c r="B1631" s="38"/>
    </row>
    <row r="1632" spans="2:2">
      <c r="B1632" s="38"/>
    </row>
    <row r="1633" spans="2:2">
      <c r="B1633" s="38"/>
    </row>
    <row r="1634" spans="2:2">
      <c r="B1634" s="38"/>
    </row>
    <row r="1635" spans="2:2">
      <c r="B1635" s="38"/>
    </row>
    <row r="1636" spans="2:2">
      <c r="B1636" s="38"/>
    </row>
    <row r="1637" spans="2:2">
      <c r="B1637" s="38"/>
    </row>
    <row r="1638" spans="2:2">
      <c r="B1638" s="38"/>
    </row>
    <row r="1639" spans="2:2">
      <c r="B1639" s="38"/>
    </row>
    <row r="1640" spans="2:2">
      <c r="B1640" s="38"/>
    </row>
    <row r="1641" spans="2:2">
      <c r="B1641" s="38"/>
    </row>
    <row r="1642" spans="2:2">
      <c r="B1642" s="38"/>
    </row>
    <row r="1643" spans="2:2">
      <c r="B1643" s="38"/>
    </row>
    <row r="1644" spans="2:2">
      <c r="B1644" s="38"/>
    </row>
    <row r="1645" spans="2:2">
      <c r="B1645" s="38"/>
    </row>
    <row r="1646" spans="2:2">
      <c r="B1646" s="38"/>
    </row>
    <row r="1647" spans="2:2">
      <c r="B1647" s="38"/>
    </row>
    <row r="1648" spans="2:2">
      <c r="B1648" s="38"/>
    </row>
    <row r="1649" spans="2:2">
      <c r="B1649" s="38"/>
    </row>
    <row r="1650" spans="2:2">
      <c r="B1650" s="38"/>
    </row>
    <row r="1651" spans="2:2">
      <c r="B1651" s="38"/>
    </row>
    <row r="1652" spans="2:2">
      <c r="B1652" s="38"/>
    </row>
    <row r="1653" spans="2:2">
      <c r="B1653" s="38"/>
    </row>
    <row r="1654" spans="2:2">
      <c r="B1654" s="38"/>
    </row>
    <row r="1655" spans="2:2">
      <c r="B1655" s="38"/>
    </row>
    <row r="1656" spans="2:2">
      <c r="B1656" s="38"/>
    </row>
    <row r="1657" spans="2:2">
      <c r="B1657" s="38"/>
    </row>
    <row r="1658" spans="2:2">
      <c r="B1658" s="38"/>
    </row>
    <row r="1659" spans="2:2">
      <c r="B1659" s="38"/>
    </row>
    <row r="1660" spans="2:2">
      <c r="B1660" s="38"/>
    </row>
    <row r="1661" spans="2:2">
      <c r="B1661" s="38"/>
    </row>
    <row r="1662" spans="2:2">
      <c r="B1662" s="38"/>
    </row>
    <row r="1663" spans="2:2">
      <c r="B1663" s="38"/>
    </row>
    <row r="1664" spans="2:2">
      <c r="B1664" s="38"/>
    </row>
    <row r="1665" spans="2:2">
      <c r="B1665" s="38"/>
    </row>
    <row r="1666" spans="2:2">
      <c r="B1666" s="38"/>
    </row>
    <row r="1667" spans="2:2">
      <c r="B1667" s="38"/>
    </row>
    <row r="1668" spans="2:2">
      <c r="B1668" s="38"/>
    </row>
    <row r="1669" spans="2:2">
      <c r="B1669" s="38"/>
    </row>
    <row r="1670" spans="2:2">
      <c r="B1670" s="38"/>
    </row>
    <row r="1671" spans="2:2">
      <c r="B1671" s="38"/>
    </row>
    <row r="1672" spans="2:2">
      <c r="B1672" s="38"/>
    </row>
    <row r="1673" spans="2:2">
      <c r="B1673" s="38"/>
    </row>
    <row r="1674" spans="2:2">
      <c r="B1674" s="38"/>
    </row>
    <row r="1675" spans="2:2">
      <c r="B1675" s="38"/>
    </row>
    <row r="1676" spans="2:2">
      <c r="B1676" s="38"/>
    </row>
    <row r="1677" spans="2:2">
      <c r="B1677" s="38"/>
    </row>
    <row r="1678" spans="2:2">
      <c r="B1678" s="38"/>
    </row>
    <row r="1679" spans="2:2">
      <c r="B1679" s="38"/>
    </row>
    <row r="1680" spans="2:2">
      <c r="B1680" s="38"/>
    </row>
    <row r="1681" spans="2:2">
      <c r="B1681" s="38"/>
    </row>
    <row r="1682" spans="2:2">
      <c r="B1682" s="38"/>
    </row>
    <row r="1683" spans="2:2">
      <c r="B1683" s="38"/>
    </row>
    <row r="1684" spans="2:2">
      <c r="B1684" s="38"/>
    </row>
    <row r="1685" spans="2:2">
      <c r="B1685" s="38"/>
    </row>
    <row r="1686" spans="2:2">
      <c r="B1686" s="38"/>
    </row>
    <row r="1687" spans="2:2">
      <c r="B1687" s="38"/>
    </row>
    <row r="1688" spans="2:2">
      <c r="B1688" s="38"/>
    </row>
    <row r="1689" spans="2:2">
      <c r="B1689" s="38"/>
    </row>
    <row r="1690" spans="2:2">
      <c r="B1690" s="38"/>
    </row>
    <row r="1691" spans="2:2">
      <c r="B1691" s="38"/>
    </row>
    <row r="1692" spans="2:2">
      <c r="B1692" s="38"/>
    </row>
    <row r="1693" spans="2:2">
      <c r="B1693" s="38"/>
    </row>
    <row r="1694" spans="2:2">
      <c r="B1694" s="38"/>
    </row>
    <row r="1695" spans="2:2">
      <c r="B1695" s="38"/>
    </row>
    <row r="1696" spans="2:2">
      <c r="B1696" s="38"/>
    </row>
    <row r="1697" spans="2:2">
      <c r="B1697" s="38"/>
    </row>
    <row r="1698" spans="2:2">
      <c r="B1698" s="38"/>
    </row>
    <row r="1699" spans="2:2">
      <c r="B1699" s="38"/>
    </row>
    <row r="1700" spans="2:2">
      <c r="B1700" s="38"/>
    </row>
    <row r="1701" spans="2:2">
      <c r="B1701" s="38"/>
    </row>
    <row r="1702" spans="2:2">
      <c r="B1702" s="38"/>
    </row>
    <row r="1703" spans="2:2">
      <c r="B1703" s="38"/>
    </row>
    <row r="1704" spans="2:2">
      <c r="B1704" s="38"/>
    </row>
    <row r="1705" spans="2:2">
      <c r="B1705" s="38"/>
    </row>
    <row r="1706" spans="2:2">
      <c r="B1706" s="38"/>
    </row>
    <row r="1707" spans="2:2">
      <c r="B1707" s="38"/>
    </row>
    <row r="1708" spans="2:2">
      <c r="B1708" s="38"/>
    </row>
    <row r="1709" spans="2:2">
      <c r="B1709" s="38"/>
    </row>
    <row r="1710" spans="2:2">
      <c r="B1710" s="38"/>
    </row>
    <row r="1711" spans="2:2">
      <c r="B1711" s="38"/>
    </row>
    <row r="1712" spans="2:2">
      <c r="B1712" s="38"/>
    </row>
    <row r="1713" spans="2:2">
      <c r="B1713" s="38"/>
    </row>
    <row r="1714" spans="2:2">
      <c r="B1714" s="38"/>
    </row>
    <row r="1715" spans="2:2">
      <c r="B1715" s="38"/>
    </row>
    <row r="1716" spans="2:2">
      <c r="B1716" s="38"/>
    </row>
    <row r="1717" spans="2:2">
      <c r="B1717" s="38"/>
    </row>
    <row r="1718" spans="2:2">
      <c r="B1718" s="38"/>
    </row>
    <row r="1719" spans="2:2">
      <c r="B1719" s="38"/>
    </row>
    <row r="1720" spans="2:2">
      <c r="B1720" s="38"/>
    </row>
    <row r="1721" spans="2:2">
      <c r="B1721" s="38"/>
    </row>
    <row r="1722" spans="2:2">
      <c r="B1722" s="38"/>
    </row>
    <row r="1723" spans="2:2">
      <c r="B1723" s="38"/>
    </row>
    <row r="1724" spans="2:2">
      <c r="B1724" s="38"/>
    </row>
    <row r="1725" spans="2:2">
      <c r="B1725" s="38"/>
    </row>
    <row r="1726" spans="2:2">
      <c r="B1726" s="38"/>
    </row>
    <row r="1727" spans="2:2">
      <c r="B1727" s="38"/>
    </row>
    <row r="1728" spans="2:2">
      <c r="B1728" s="38"/>
    </row>
    <row r="1729" spans="2:2">
      <c r="B1729" s="38"/>
    </row>
    <row r="1730" spans="2:2">
      <c r="B1730" s="38"/>
    </row>
    <row r="1731" spans="2:2">
      <c r="B1731" s="38"/>
    </row>
    <row r="1732" spans="2:2">
      <c r="B1732" s="38"/>
    </row>
    <row r="1733" spans="2:2">
      <c r="B1733" s="38"/>
    </row>
    <row r="1734" spans="2:2">
      <c r="B1734" s="38"/>
    </row>
    <row r="1735" spans="2:2">
      <c r="B1735" s="38"/>
    </row>
    <row r="1736" spans="2:2">
      <c r="B1736" s="38"/>
    </row>
    <row r="1737" spans="2:2">
      <c r="B1737" s="38"/>
    </row>
    <row r="1738" spans="2:2">
      <c r="B1738" s="38"/>
    </row>
    <row r="1739" spans="2:2">
      <c r="B1739" s="38"/>
    </row>
    <row r="1740" spans="2:2">
      <c r="B1740" s="38"/>
    </row>
    <row r="1741" spans="2:2">
      <c r="B1741" s="38"/>
    </row>
    <row r="1742" spans="2:2">
      <c r="B1742" s="38"/>
    </row>
    <row r="1743" spans="2:2">
      <c r="B1743" s="38"/>
    </row>
    <row r="1744" spans="2:2">
      <c r="B1744" s="38"/>
    </row>
    <row r="1745" spans="2:2">
      <c r="B1745" s="38"/>
    </row>
    <row r="1746" spans="2:2">
      <c r="B1746" s="38"/>
    </row>
    <row r="1747" spans="2:2">
      <c r="B1747" s="38"/>
    </row>
    <row r="1748" spans="2:2">
      <c r="B1748" s="38"/>
    </row>
    <row r="1749" spans="2:2">
      <c r="B1749" s="38"/>
    </row>
    <row r="1750" spans="2:2">
      <c r="B1750" s="38"/>
    </row>
    <row r="1751" spans="2:2">
      <c r="B1751" s="38"/>
    </row>
    <row r="1752" spans="2:2">
      <c r="B1752" s="38"/>
    </row>
    <row r="1753" spans="2:2">
      <c r="B1753" s="38"/>
    </row>
    <row r="1754" spans="2:2">
      <c r="B1754" s="38"/>
    </row>
    <row r="1755" spans="2:2">
      <c r="B1755" s="38"/>
    </row>
    <row r="1756" spans="2:2">
      <c r="B1756" s="38"/>
    </row>
    <row r="1757" spans="2:2">
      <c r="B1757" s="38"/>
    </row>
    <row r="1758" spans="2:2">
      <c r="B1758" s="38"/>
    </row>
    <row r="1759" spans="2:2">
      <c r="B1759" s="38"/>
    </row>
    <row r="1760" spans="2:2">
      <c r="B1760" s="38"/>
    </row>
    <row r="1761" spans="2:2">
      <c r="B1761" s="38"/>
    </row>
    <row r="1762" spans="2:2">
      <c r="B1762" s="38"/>
    </row>
    <row r="1763" spans="2:2">
      <c r="B1763" s="38"/>
    </row>
    <row r="1764" spans="2:2">
      <c r="B1764" s="38"/>
    </row>
    <row r="1765" spans="2:2">
      <c r="B1765" s="38"/>
    </row>
    <row r="1766" spans="2:2">
      <c r="B1766" s="38"/>
    </row>
    <row r="1767" spans="2:2">
      <c r="B1767" s="38"/>
    </row>
    <row r="1768" spans="2:2">
      <c r="B1768" s="38"/>
    </row>
    <row r="1769" spans="2:2">
      <c r="B1769" s="38"/>
    </row>
    <row r="1770" spans="2:2">
      <c r="B1770" s="38"/>
    </row>
    <row r="1771" spans="2:2">
      <c r="B1771" s="38"/>
    </row>
    <row r="1772" spans="2:2">
      <c r="B1772" s="38"/>
    </row>
    <row r="1773" spans="2:2">
      <c r="B1773" s="38"/>
    </row>
    <row r="1774" spans="2:2">
      <c r="B1774" s="38"/>
    </row>
    <row r="1775" spans="2:2">
      <c r="B1775" s="38"/>
    </row>
    <row r="1776" spans="2:2">
      <c r="B1776" s="38"/>
    </row>
    <row r="1777" spans="2:2">
      <c r="B1777" s="38"/>
    </row>
    <row r="1778" spans="2:2">
      <c r="B1778" s="38"/>
    </row>
    <row r="1779" spans="2:2">
      <c r="B1779" s="38"/>
    </row>
    <row r="1780" spans="2:2">
      <c r="B1780" s="38"/>
    </row>
    <row r="1781" spans="2:2">
      <c r="B1781" s="38"/>
    </row>
    <row r="1782" spans="2:2">
      <c r="B1782" s="38"/>
    </row>
    <row r="1783" spans="2:2">
      <c r="B1783" s="38"/>
    </row>
    <row r="1784" spans="2:2">
      <c r="B1784" s="38"/>
    </row>
    <row r="1785" spans="2:2">
      <c r="B1785" s="38"/>
    </row>
    <row r="1786" spans="2:2">
      <c r="B1786" s="38"/>
    </row>
    <row r="1787" spans="2:2">
      <c r="B1787" s="38"/>
    </row>
    <row r="1788" spans="2:2">
      <c r="B1788" s="38"/>
    </row>
    <row r="1789" spans="2:2">
      <c r="B1789" s="38"/>
    </row>
    <row r="1790" spans="2:2">
      <c r="B1790" s="38"/>
    </row>
    <row r="1791" spans="2:2">
      <c r="B1791" s="38"/>
    </row>
    <row r="1792" spans="2:2">
      <c r="B1792" s="38"/>
    </row>
    <row r="1793" spans="2:2">
      <c r="B1793" s="38"/>
    </row>
    <row r="1794" spans="2:2">
      <c r="B1794" s="38"/>
    </row>
    <row r="1795" spans="2:2">
      <c r="B1795" s="38"/>
    </row>
    <row r="1796" spans="2:2">
      <c r="B1796" s="38"/>
    </row>
    <row r="1797" spans="2:2">
      <c r="B1797" s="38"/>
    </row>
    <row r="1798" spans="2:2">
      <c r="B1798" s="38"/>
    </row>
    <row r="1799" spans="2:2">
      <c r="B1799" s="38"/>
    </row>
    <row r="1800" spans="2:2">
      <c r="B1800" s="38"/>
    </row>
    <row r="1801" spans="2:2">
      <c r="B1801" s="38"/>
    </row>
    <row r="1802" spans="2:2">
      <c r="B1802" s="38"/>
    </row>
    <row r="1803" spans="2:2">
      <c r="B1803" s="38"/>
    </row>
    <row r="1804" spans="2:2">
      <c r="B1804" s="38"/>
    </row>
    <row r="1805" spans="2:2">
      <c r="B1805" s="38"/>
    </row>
    <row r="1806" spans="2:2">
      <c r="B1806" s="38"/>
    </row>
    <row r="1807" spans="2:2">
      <c r="B1807" s="38"/>
    </row>
    <row r="1808" spans="2:2">
      <c r="B1808" s="38"/>
    </row>
    <row r="1809" spans="2:2">
      <c r="B1809" s="38"/>
    </row>
    <row r="1810" spans="2:2">
      <c r="B1810" s="38"/>
    </row>
    <row r="1811" spans="2:2">
      <c r="B1811" s="38"/>
    </row>
    <row r="1812" spans="2:2">
      <c r="B1812" s="38"/>
    </row>
    <row r="1813" spans="2:2">
      <c r="B1813" s="38"/>
    </row>
    <row r="1814" spans="2:2">
      <c r="B1814" s="38"/>
    </row>
    <row r="1815" spans="2:2">
      <c r="B1815" s="38"/>
    </row>
    <row r="1816" spans="2:2">
      <c r="B1816" s="38"/>
    </row>
    <row r="1817" spans="2:2">
      <c r="B1817" s="38"/>
    </row>
    <row r="1818" spans="2:2">
      <c r="B1818" s="38"/>
    </row>
    <row r="1819" spans="2:2">
      <c r="B1819" s="38"/>
    </row>
    <row r="1820" spans="2:2">
      <c r="B1820" s="38"/>
    </row>
    <row r="1821" spans="2:2">
      <c r="B1821" s="38"/>
    </row>
    <row r="1822" spans="2:2">
      <c r="B1822" s="38"/>
    </row>
    <row r="1823" spans="2:2">
      <c r="B1823" s="38"/>
    </row>
    <row r="1824" spans="2:2">
      <c r="B1824" s="38"/>
    </row>
    <row r="1825" spans="2:2">
      <c r="B1825" s="38"/>
    </row>
    <row r="1826" spans="2:2">
      <c r="B1826" s="38"/>
    </row>
    <row r="1827" spans="2:2">
      <c r="B1827" s="38"/>
    </row>
    <row r="1828" spans="2:2">
      <c r="B1828" s="38"/>
    </row>
    <row r="1829" spans="2:2">
      <c r="B1829" s="38"/>
    </row>
    <row r="1830" spans="2:2">
      <c r="B1830" s="38"/>
    </row>
    <row r="1831" spans="2:2">
      <c r="B1831" s="38"/>
    </row>
    <row r="1832" spans="2:2">
      <c r="B1832" s="38"/>
    </row>
    <row r="1833" spans="2:2">
      <c r="B1833" s="38"/>
    </row>
    <row r="1834" spans="2:2">
      <c r="B1834" s="38"/>
    </row>
    <row r="1835" spans="2:2">
      <c r="B1835" s="38"/>
    </row>
    <row r="1836" spans="2:2">
      <c r="B1836" s="38"/>
    </row>
    <row r="1837" spans="2:2">
      <c r="B1837" s="38"/>
    </row>
    <row r="1838" spans="2:2">
      <c r="B1838" s="38"/>
    </row>
    <row r="1839" spans="2:2">
      <c r="B1839" s="38"/>
    </row>
    <row r="1840" spans="2:2">
      <c r="B1840" s="38"/>
    </row>
    <row r="1841" spans="2:2">
      <c r="B1841" s="38"/>
    </row>
    <row r="1842" spans="2:2">
      <c r="B1842" s="38"/>
    </row>
    <row r="1843" spans="2:2">
      <c r="B1843" s="38"/>
    </row>
    <row r="1844" spans="2:2">
      <c r="B1844" s="38"/>
    </row>
    <row r="1845" spans="2:2">
      <c r="B1845" s="38"/>
    </row>
    <row r="1846" spans="2:2">
      <c r="B1846" s="38"/>
    </row>
    <row r="1847" spans="2:2">
      <c r="B1847" s="38"/>
    </row>
    <row r="1848" spans="2:2">
      <c r="B1848" s="38"/>
    </row>
    <row r="1849" spans="2:2">
      <c r="B1849" s="38"/>
    </row>
    <row r="1850" spans="2:2">
      <c r="B1850" s="38"/>
    </row>
    <row r="1851" spans="2:2">
      <c r="B1851" s="38"/>
    </row>
    <row r="1852" spans="2:2">
      <c r="B1852" s="38"/>
    </row>
    <row r="1853" spans="2:2">
      <c r="B1853" s="38"/>
    </row>
    <row r="1854" spans="2:2">
      <c r="B1854" s="38"/>
    </row>
    <row r="1855" spans="2:2">
      <c r="B1855" s="38"/>
    </row>
    <row r="1856" spans="2:2">
      <c r="B1856" s="38"/>
    </row>
    <row r="1857" spans="2:2">
      <c r="B1857" s="38"/>
    </row>
    <row r="1858" spans="2:2">
      <c r="B1858" s="38"/>
    </row>
    <row r="1859" spans="2:2">
      <c r="B1859" s="38"/>
    </row>
    <row r="1860" spans="2:2">
      <c r="B1860" s="38"/>
    </row>
    <row r="1861" spans="2:2">
      <c r="B1861" s="38"/>
    </row>
    <row r="1862" spans="2:2">
      <c r="B1862" s="38"/>
    </row>
    <row r="1863" spans="2:2">
      <c r="B1863" s="38"/>
    </row>
    <row r="1864" spans="2:2">
      <c r="B1864" s="38"/>
    </row>
    <row r="1865" spans="2:2">
      <c r="B1865" s="38"/>
    </row>
    <row r="1866" spans="2:2">
      <c r="B1866" s="38"/>
    </row>
    <row r="1867" spans="2:2">
      <c r="B1867" s="38"/>
    </row>
    <row r="1868" spans="2:2">
      <c r="B1868" s="38"/>
    </row>
    <row r="1869" spans="2:2">
      <c r="B1869" s="38"/>
    </row>
    <row r="1870" spans="2:2">
      <c r="B1870" s="38"/>
    </row>
    <row r="1871" spans="2:2">
      <c r="B1871" s="38"/>
    </row>
    <row r="1872" spans="2:2">
      <c r="B1872" s="38"/>
    </row>
    <row r="1873" spans="2:2">
      <c r="B1873" s="38"/>
    </row>
    <row r="1874" spans="2:2">
      <c r="B1874" s="38"/>
    </row>
    <row r="1875" spans="2:2">
      <c r="B1875" s="38"/>
    </row>
    <row r="1876" spans="2:2">
      <c r="B1876" s="38"/>
    </row>
    <row r="1877" spans="2:2">
      <c r="B1877" s="38"/>
    </row>
    <row r="1878" spans="2:2">
      <c r="B1878" s="38"/>
    </row>
    <row r="1879" spans="2:2">
      <c r="B1879" s="38"/>
    </row>
    <row r="1880" spans="2:2">
      <c r="B1880" s="38"/>
    </row>
    <row r="1881" spans="2:2">
      <c r="B1881" s="38"/>
    </row>
    <row r="1882" spans="2:2">
      <c r="B1882" s="38"/>
    </row>
    <row r="1883" spans="2:2">
      <c r="B1883" s="38"/>
    </row>
    <row r="1884" spans="2:2">
      <c r="B1884" s="38"/>
    </row>
    <row r="1885" spans="2:2">
      <c r="B1885" s="38"/>
    </row>
    <row r="1886" spans="2:2">
      <c r="B1886" s="38"/>
    </row>
    <row r="1887" spans="2:2">
      <c r="B1887" s="38"/>
    </row>
    <row r="1888" spans="2:2">
      <c r="B1888" s="38"/>
    </row>
    <row r="1889" spans="2:2">
      <c r="B1889" s="38"/>
    </row>
    <row r="1890" spans="2:2">
      <c r="B1890" s="38"/>
    </row>
    <row r="1891" spans="2:2">
      <c r="B1891" s="38"/>
    </row>
    <row r="1892" spans="2:2">
      <c r="B1892" s="38"/>
    </row>
    <row r="1893" spans="2:2">
      <c r="B1893" s="38"/>
    </row>
    <row r="1894" spans="2:2">
      <c r="B1894" s="38"/>
    </row>
    <row r="1895" spans="2:2">
      <c r="B1895" s="38"/>
    </row>
    <row r="1896" spans="2:2">
      <c r="B1896" s="38"/>
    </row>
    <row r="1897" spans="2:2">
      <c r="B1897" s="38"/>
    </row>
    <row r="1898" spans="2:2">
      <c r="B1898" s="38"/>
    </row>
    <row r="1899" spans="2:2">
      <c r="B1899" s="38"/>
    </row>
    <row r="1900" spans="2:2">
      <c r="B1900" s="38"/>
    </row>
    <row r="1901" spans="2:2">
      <c r="B1901" s="38"/>
    </row>
    <row r="1902" spans="2:2">
      <c r="B1902" s="38"/>
    </row>
    <row r="1903" spans="2:2">
      <c r="B1903" s="38"/>
    </row>
    <row r="1904" spans="2:2">
      <c r="B1904" s="38"/>
    </row>
    <row r="1905" spans="2:2">
      <c r="B1905" s="38"/>
    </row>
    <row r="1906" spans="2:2">
      <c r="B1906" s="38"/>
    </row>
    <row r="1907" spans="2:2">
      <c r="B1907" s="38"/>
    </row>
    <row r="1908" spans="2:2">
      <c r="B1908" s="38"/>
    </row>
    <row r="1909" spans="2:2">
      <c r="B1909" s="38"/>
    </row>
    <row r="1910" spans="2:2">
      <c r="B1910" s="38"/>
    </row>
    <row r="1911" spans="2:2">
      <c r="B1911" s="38"/>
    </row>
    <row r="1912" spans="2:2">
      <c r="B1912" s="38"/>
    </row>
    <row r="1913" spans="2:2">
      <c r="B1913" s="38"/>
    </row>
    <row r="1914" spans="2:2">
      <c r="B1914" s="38"/>
    </row>
    <row r="1915" spans="2:2">
      <c r="B1915" s="38"/>
    </row>
    <row r="1916" spans="2:2">
      <c r="B1916" s="38"/>
    </row>
    <row r="1917" spans="2:2">
      <c r="B1917" s="38"/>
    </row>
    <row r="1918" spans="2:2">
      <c r="B1918" s="38"/>
    </row>
    <row r="1919" spans="2:2">
      <c r="B1919" s="38"/>
    </row>
    <row r="1920" spans="2:2">
      <c r="B1920" s="38"/>
    </row>
    <row r="1921" spans="2:2">
      <c r="B1921" s="38"/>
    </row>
    <row r="1922" spans="2:2">
      <c r="B1922" s="38"/>
    </row>
    <row r="1923" spans="2:2">
      <c r="B1923" s="38"/>
    </row>
    <row r="1924" spans="2:2">
      <c r="B1924" s="38"/>
    </row>
    <row r="1925" spans="2:2">
      <c r="B1925" s="38"/>
    </row>
    <row r="1926" spans="2:2">
      <c r="B1926" s="38"/>
    </row>
    <row r="1927" spans="2:2">
      <c r="B1927" s="38"/>
    </row>
    <row r="1928" spans="2:2">
      <c r="B1928" s="38"/>
    </row>
    <row r="1929" spans="2:2">
      <c r="B1929" s="38"/>
    </row>
    <row r="1930" spans="2:2">
      <c r="B1930" s="38"/>
    </row>
    <row r="1931" spans="2:2">
      <c r="B1931" s="38"/>
    </row>
    <row r="1932" spans="2:2">
      <c r="B1932" s="38"/>
    </row>
    <row r="1933" spans="2:2">
      <c r="B1933" s="38"/>
    </row>
    <row r="1934" spans="2:2">
      <c r="B1934" s="38"/>
    </row>
    <row r="1935" spans="2:2">
      <c r="B1935" s="38"/>
    </row>
    <row r="1936" spans="2:2">
      <c r="B1936" s="38"/>
    </row>
    <row r="1937" spans="2:2">
      <c r="B1937" s="38"/>
    </row>
    <row r="1938" spans="2:2">
      <c r="B1938" s="38"/>
    </row>
    <row r="1939" spans="2:2">
      <c r="B1939" s="38"/>
    </row>
    <row r="1940" spans="2:2">
      <c r="B1940" s="38"/>
    </row>
    <row r="1941" spans="2:2">
      <c r="B1941" s="38"/>
    </row>
    <row r="1942" spans="2:2">
      <c r="B1942" s="38"/>
    </row>
    <row r="1943" spans="2:2">
      <c r="B1943" s="38"/>
    </row>
    <row r="1944" spans="2:2">
      <c r="B1944" s="38"/>
    </row>
    <row r="1945" spans="2:2">
      <c r="B1945" s="38"/>
    </row>
    <row r="1946" spans="2:2">
      <c r="B1946" s="38"/>
    </row>
    <row r="1947" spans="2:2">
      <c r="B1947" s="38"/>
    </row>
    <row r="1948" spans="2:2">
      <c r="B1948" s="38"/>
    </row>
    <row r="1949" spans="2:2">
      <c r="B1949" s="38"/>
    </row>
    <row r="1950" spans="2:2">
      <c r="B1950" s="38"/>
    </row>
    <row r="1951" spans="2:2">
      <c r="B1951" s="38"/>
    </row>
    <row r="1952" spans="2:2">
      <c r="B1952" s="38"/>
    </row>
    <row r="1953" spans="2:2">
      <c r="B1953" s="38"/>
    </row>
    <row r="1954" spans="2:2">
      <c r="B1954" s="38"/>
    </row>
    <row r="1955" spans="2:2">
      <c r="B1955" s="38"/>
    </row>
    <row r="1956" spans="2:2">
      <c r="B1956" s="38"/>
    </row>
    <row r="1957" spans="2:2">
      <c r="B1957" s="38"/>
    </row>
    <row r="1958" spans="2:2">
      <c r="B1958" s="38"/>
    </row>
    <row r="1959" spans="2:2">
      <c r="B1959" s="38"/>
    </row>
    <row r="1960" spans="2:2">
      <c r="B1960" s="38"/>
    </row>
    <row r="1961" spans="2:2">
      <c r="B1961" s="38"/>
    </row>
    <row r="1962" spans="2:2">
      <c r="B1962" s="38"/>
    </row>
    <row r="1963" spans="2:2">
      <c r="B1963" s="38"/>
    </row>
    <row r="1964" spans="2:2">
      <c r="B1964" s="38"/>
    </row>
    <row r="1965" spans="2:2">
      <c r="B1965" s="38"/>
    </row>
    <row r="1966" spans="2:2">
      <c r="B1966" s="38"/>
    </row>
    <row r="1967" spans="2:2">
      <c r="B1967" s="38"/>
    </row>
    <row r="1968" spans="2:2">
      <c r="B1968" s="38"/>
    </row>
    <row r="1969" spans="2:2">
      <c r="B1969" s="38"/>
    </row>
    <row r="1970" spans="2:2">
      <c r="B1970" s="38"/>
    </row>
    <row r="1971" spans="2:2">
      <c r="B1971" s="38"/>
    </row>
    <row r="1972" spans="2:2">
      <c r="B1972" s="38"/>
    </row>
    <row r="1973" spans="2:2">
      <c r="B1973" s="38"/>
    </row>
    <row r="1974" spans="2:2">
      <c r="B1974" s="38"/>
    </row>
    <row r="1975" spans="2:2">
      <c r="B1975" s="38"/>
    </row>
    <row r="1976" spans="2:2">
      <c r="B1976" s="38"/>
    </row>
    <row r="1977" spans="2:2">
      <c r="B1977" s="38"/>
    </row>
    <row r="1978" spans="2:2">
      <c r="B1978" s="38"/>
    </row>
    <row r="1979" spans="2:2">
      <c r="B1979" s="38"/>
    </row>
    <row r="1980" spans="2:2">
      <c r="B1980" s="38"/>
    </row>
    <row r="1981" spans="2:2">
      <c r="B1981" s="38"/>
    </row>
    <row r="1982" spans="2:2">
      <c r="B1982" s="38"/>
    </row>
    <row r="1983" spans="2:2">
      <c r="B1983" s="38"/>
    </row>
    <row r="1984" spans="2:2">
      <c r="B1984" s="38"/>
    </row>
    <row r="1985" spans="2:2">
      <c r="B1985" s="38"/>
    </row>
    <row r="1986" spans="2:2">
      <c r="B1986" s="38"/>
    </row>
    <row r="1987" spans="2:2">
      <c r="B1987" s="38"/>
    </row>
    <row r="1988" spans="2:2">
      <c r="B1988" s="38"/>
    </row>
    <row r="1989" spans="2:2">
      <c r="B1989" s="38"/>
    </row>
    <row r="1990" spans="2:2">
      <c r="B1990" s="38"/>
    </row>
    <row r="1991" spans="2:2">
      <c r="B1991" s="38"/>
    </row>
    <row r="1992" spans="2:2">
      <c r="B1992" s="38"/>
    </row>
    <row r="1993" spans="2:2">
      <c r="B1993" s="38"/>
    </row>
    <row r="1994" spans="2:2">
      <c r="B1994" s="38"/>
    </row>
    <row r="1995" spans="2:2">
      <c r="B1995" s="38"/>
    </row>
    <row r="1996" spans="2:2">
      <c r="B1996" s="38"/>
    </row>
    <row r="1997" spans="2:2">
      <c r="B1997" s="38"/>
    </row>
    <row r="1998" spans="2:2">
      <c r="B1998" s="38"/>
    </row>
    <row r="1999" spans="2:2">
      <c r="B1999" s="38"/>
    </row>
    <row r="2000" spans="2:2">
      <c r="B2000" s="38"/>
    </row>
    <row r="2001" spans="2:2">
      <c r="B2001" s="38"/>
    </row>
    <row r="2002" spans="2:2">
      <c r="B2002" s="38"/>
    </row>
    <row r="2003" spans="2:2">
      <c r="B2003" s="38"/>
    </row>
    <row r="2004" spans="2:2">
      <c r="B2004" s="38"/>
    </row>
    <row r="2005" spans="2:2">
      <c r="B2005" s="38"/>
    </row>
    <row r="2006" spans="2:2">
      <c r="B2006" s="38"/>
    </row>
    <row r="2007" spans="2:2">
      <c r="B2007" s="38"/>
    </row>
    <row r="2008" spans="2:2">
      <c r="B2008" s="38"/>
    </row>
    <row r="2009" spans="2:2">
      <c r="B2009" s="38"/>
    </row>
    <row r="2010" spans="2:2">
      <c r="B2010" s="38"/>
    </row>
    <row r="2011" spans="2:2">
      <c r="B2011" s="38"/>
    </row>
    <row r="2012" spans="2:2">
      <c r="B2012" s="38"/>
    </row>
    <row r="2013" spans="2:2">
      <c r="B2013" s="38"/>
    </row>
    <row r="2014" spans="2:2">
      <c r="B2014" s="38"/>
    </row>
    <row r="2015" spans="2:2">
      <c r="B2015" s="38"/>
    </row>
    <row r="2016" spans="2:2">
      <c r="B2016" s="38"/>
    </row>
    <row r="2017" spans="2:2">
      <c r="B2017" s="38"/>
    </row>
    <row r="2018" spans="2:2">
      <c r="B2018" s="38"/>
    </row>
    <row r="2019" spans="2:2">
      <c r="B2019" s="38"/>
    </row>
    <row r="2020" spans="2:2">
      <c r="B2020" s="38"/>
    </row>
    <row r="2021" spans="2:2">
      <c r="B2021" s="38"/>
    </row>
    <row r="2022" spans="2:2">
      <c r="B2022" s="38"/>
    </row>
    <row r="2023" spans="2:2">
      <c r="B2023" s="38"/>
    </row>
    <row r="2024" spans="2:2">
      <c r="B2024" s="38"/>
    </row>
    <row r="2025" spans="2:2">
      <c r="B2025" s="38"/>
    </row>
    <row r="2026" spans="2:2">
      <c r="B2026" s="38"/>
    </row>
    <row r="2027" spans="2:2">
      <c r="B2027" s="38"/>
    </row>
    <row r="2028" spans="2:2">
      <c r="B2028" s="38"/>
    </row>
    <row r="2029" spans="2:2">
      <c r="B2029" s="38"/>
    </row>
    <row r="2030" spans="2:2">
      <c r="B2030" s="38"/>
    </row>
    <row r="2031" spans="2:2">
      <c r="B2031" s="38"/>
    </row>
    <row r="2032" spans="2:2">
      <c r="B2032" s="38"/>
    </row>
    <row r="2033" spans="2:2">
      <c r="B2033" s="38"/>
    </row>
    <row r="2034" spans="2:2">
      <c r="B2034" s="38"/>
    </row>
    <row r="2035" spans="2:2">
      <c r="B2035" s="38"/>
    </row>
    <row r="2036" spans="2:2">
      <c r="B2036" s="38"/>
    </row>
    <row r="2037" spans="2:2">
      <c r="B2037" s="38"/>
    </row>
    <row r="2038" spans="2:2">
      <c r="B2038" s="38"/>
    </row>
    <row r="2039" spans="2:2">
      <c r="B2039" s="38"/>
    </row>
    <row r="2040" spans="2:2">
      <c r="B2040" s="38"/>
    </row>
    <row r="2041" spans="2:2">
      <c r="B2041" s="38"/>
    </row>
    <row r="2042" spans="2:2">
      <c r="B2042" s="38"/>
    </row>
    <row r="2043" spans="2:2">
      <c r="B2043" s="38"/>
    </row>
    <row r="2044" spans="2:2">
      <c r="B2044" s="38"/>
    </row>
    <row r="2045" spans="2:2">
      <c r="B2045" s="38"/>
    </row>
    <row r="2046" spans="2:2">
      <c r="B2046" s="38"/>
    </row>
    <row r="2047" spans="2:2">
      <c r="B2047" s="38"/>
    </row>
    <row r="2048" spans="2:2">
      <c r="B2048" s="38"/>
    </row>
    <row r="2049" spans="2:2">
      <c r="B2049" s="38"/>
    </row>
    <row r="2050" spans="2:2">
      <c r="B2050" s="38"/>
    </row>
    <row r="2051" spans="2:2">
      <c r="B2051" s="38"/>
    </row>
    <row r="2052" spans="2:2">
      <c r="B2052" s="38"/>
    </row>
    <row r="2053" spans="2:2">
      <c r="B2053" s="38"/>
    </row>
    <row r="2054" spans="2:2">
      <c r="B2054" s="38"/>
    </row>
    <row r="2055" spans="2:2">
      <c r="B2055" s="38"/>
    </row>
    <row r="2056" spans="2:2">
      <c r="B2056" s="38"/>
    </row>
    <row r="2057" spans="2:2">
      <c r="B2057" s="38"/>
    </row>
    <row r="2058" spans="2:2">
      <c r="B2058" s="38"/>
    </row>
    <row r="2059" spans="2:2">
      <c r="B2059" s="38"/>
    </row>
    <row r="2060" spans="2:2">
      <c r="B2060" s="38"/>
    </row>
    <row r="2061" spans="2:2">
      <c r="B2061" s="38"/>
    </row>
    <row r="2062" spans="2:2">
      <c r="B2062" s="38"/>
    </row>
    <row r="2063" spans="2:2">
      <c r="B2063" s="38"/>
    </row>
    <row r="2064" spans="2:2">
      <c r="B2064" s="38"/>
    </row>
    <row r="2065" spans="2:2">
      <c r="B2065" s="38"/>
    </row>
    <row r="2066" spans="2:2">
      <c r="B2066" s="38"/>
    </row>
    <row r="2067" spans="2:2">
      <c r="B2067" s="38"/>
    </row>
    <row r="2068" spans="2:2">
      <c r="B2068" s="38"/>
    </row>
    <row r="2069" spans="2:2">
      <c r="B2069" s="38"/>
    </row>
    <row r="2070" spans="2:2">
      <c r="B2070" s="38"/>
    </row>
    <row r="2071" spans="2:2">
      <c r="B2071" s="38"/>
    </row>
    <row r="2072" spans="2:2">
      <c r="B2072" s="38"/>
    </row>
    <row r="2073" spans="2:2">
      <c r="B2073" s="38"/>
    </row>
    <row r="2074" spans="2:2">
      <c r="B2074" s="38"/>
    </row>
    <row r="2075" spans="2:2">
      <c r="B2075" s="38"/>
    </row>
    <row r="2076" spans="2:2">
      <c r="B2076" s="38"/>
    </row>
    <row r="2077" spans="2:2">
      <c r="B2077" s="38"/>
    </row>
    <row r="2078" spans="2:2">
      <c r="B2078" s="38"/>
    </row>
    <row r="2079" spans="2:2">
      <c r="B2079" s="38"/>
    </row>
    <row r="2080" spans="2:2">
      <c r="B2080" s="38"/>
    </row>
    <row r="2081" spans="2:2">
      <c r="B2081" s="38"/>
    </row>
    <row r="2082" spans="2:2">
      <c r="B2082" s="38"/>
    </row>
    <row r="2083" spans="2:2">
      <c r="B2083" s="38"/>
    </row>
    <row r="2084" spans="2:2">
      <c r="B2084" s="38"/>
    </row>
    <row r="2085" spans="2:2">
      <c r="B2085" s="38"/>
    </row>
    <row r="2086" spans="2:2">
      <c r="B2086" s="38"/>
    </row>
    <row r="2087" spans="2:2">
      <c r="B2087" s="38"/>
    </row>
    <row r="2088" spans="2:2">
      <c r="B2088" s="38"/>
    </row>
    <row r="2089" spans="2:2">
      <c r="B2089" s="38"/>
    </row>
    <row r="2090" spans="2:2">
      <c r="B2090" s="38"/>
    </row>
    <row r="2091" spans="2:2">
      <c r="B2091" s="38"/>
    </row>
    <row r="2092" spans="2:2">
      <c r="B2092" s="38"/>
    </row>
    <row r="2093" spans="2:2">
      <c r="B2093" s="38"/>
    </row>
    <row r="2094" spans="2:2">
      <c r="B2094" s="38"/>
    </row>
    <row r="2095" spans="2:2">
      <c r="B2095" s="38"/>
    </row>
    <row r="2096" spans="2:2">
      <c r="B2096" s="38"/>
    </row>
    <row r="2097" spans="2:2">
      <c r="B2097" s="38"/>
    </row>
    <row r="2098" spans="2:2">
      <c r="B2098" s="38"/>
    </row>
    <row r="2099" spans="2:2">
      <c r="B2099" s="38"/>
    </row>
    <row r="2100" spans="2:2">
      <c r="B2100" s="38"/>
    </row>
    <row r="2101" spans="2:2">
      <c r="B2101" s="38"/>
    </row>
    <row r="2102" spans="2:2">
      <c r="B2102" s="38"/>
    </row>
    <row r="2103" spans="2:2">
      <c r="B2103" s="38"/>
    </row>
    <row r="2104" spans="2:2">
      <c r="B2104" s="38"/>
    </row>
    <row r="2105" spans="2:2">
      <c r="B2105" s="38"/>
    </row>
    <row r="2106" spans="2:2">
      <c r="B2106" s="38"/>
    </row>
    <row r="2107" spans="2:2">
      <c r="B2107" s="38"/>
    </row>
    <row r="2108" spans="2:2">
      <c r="B2108" s="38"/>
    </row>
    <row r="2109" spans="2:2">
      <c r="B2109" s="38"/>
    </row>
    <row r="2110" spans="2:2">
      <c r="B2110" s="38"/>
    </row>
    <row r="2111" spans="2:2">
      <c r="B2111" s="38"/>
    </row>
    <row r="2112" spans="2:2">
      <c r="B2112" s="38"/>
    </row>
    <row r="2113" spans="2:2">
      <c r="B2113" s="38"/>
    </row>
    <row r="2114" spans="2:2">
      <c r="B2114" s="38"/>
    </row>
    <row r="2115" spans="2:2">
      <c r="B2115" s="38"/>
    </row>
    <row r="2116" spans="2:2">
      <c r="B2116" s="38"/>
    </row>
    <row r="2117" spans="2:2">
      <c r="B2117" s="38"/>
    </row>
    <row r="2118" spans="2:2">
      <c r="B2118" s="38"/>
    </row>
    <row r="2119" spans="2:2">
      <c r="B2119" s="38"/>
    </row>
    <row r="2120" spans="2:2">
      <c r="B2120" s="38"/>
    </row>
    <row r="2121" spans="2:2">
      <c r="B2121" s="38"/>
    </row>
    <row r="2122" spans="2:2">
      <c r="B2122" s="38"/>
    </row>
    <row r="2123" spans="2:2">
      <c r="B2123" s="38"/>
    </row>
    <row r="2124" spans="2:2">
      <c r="B2124" s="38"/>
    </row>
    <row r="2125" spans="2:2">
      <c r="B2125" s="38"/>
    </row>
    <row r="2126" spans="2:2">
      <c r="B2126" s="38"/>
    </row>
    <row r="2127" spans="2:2">
      <c r="B2127" s="38"/>
    </row>
    <row r="2128" spans="2:2">
      <c r="B2128" s="38"/>
    </row>
    <row r="2129" spans="2:2">
      <c r="B2129" s="38"/>
    </row>
    <row r="2130" spans="2:2">
      <c r="B2130" s="38"/>
    </row>
    <row r="2131" spans="2:2">
      <c r="B2131" s="38"/>
    </row>
    <row r="2132" spans="2:2">
      <c r="B2132" s="38"/>
    </row>
    <row r="2133" spans="2:2">
      <c r="B2133" s="38"/>
    </row>
    <row r="2134" spans="2:2">
      <c r="B2134" s="38"/>
    </row>
    <row r="2135" spans="2:2">
      <c r="B2135" s="38"/>
    </row>
    <row r="2136" spans="2:2">
      <c r="B2136" s="38"/>
    </row>
    <row r="2137" spans="2:2">
      <c r="B2137" s="38"/>
    </row>
    <row r="2138" spans="2:2">
      <c r="B2138" s="38"/>
    </row>
    <row r="2139" spans="2:2">
      <c r="B2139" s="38"/>
    </row>
    <row r="2140" spans="2:2">
      <c r="B2140" s="38"/>
    </row>
    <row r="2141" spans="2:2">
      <c r="B2141" s="38"/>
    </row>
    <row r="2142" spans="2:2">
      <c r="B2142" s="38"/>
    </row>
    <row r="2143" spans="2:2">
      <c r="B2143" s="38"/>
    </row>
    <row r="2144" spans="2:2">
      <c r="B2144" s="38"/>
    </row>
    <row r="2145" spans="2:2">
      <c r="B2145" s="38"/>
    </row>
    <row r="2146" spans="2:2">
      <c r="B2146" s="38"/>
    </row>
    <row r="2147" spans="2:2">
      <c r="B2147" s="38"/>
    </row>
    <row r="2148" spans="2:2">
      <c r="B2148" s="38"/>
    </row>
    <row r="2149" spans="2:2">
      <c r="B2149" s="38"/>
    </row>
    <row r="2150" spans="2:2">
      <c r="B2150" s="38"/>
    </row>
    <row r="2151" spans="2:2">
      <c r="B2151" s="38"/>
    </row>
    <row r="2152" spans="2:2">
      <c r="B2152" s="38"/>
    </row>
    <row r="2153" spans="2:2">
      <c r="B2153" s="38"/>
    </row>
    <row r="2154" spans="2:2">
      <c r="B2154" s="38"/>
    </row>
    <row r="2155" spans="2:2">
      <c r="B2155" s="38"/>
    </row>
    <row r="2156" spans="2:2">
      <c r="B2156" s="38"/>
    </row>
    <row r="2157" spans="2:2">
      <c r="B2157" s="38"/>
    </row>
    <row r="2158" spans="2:2">
      <c r="B2158" s="38"/>
    </row>
    <row r="2159" spans="2:2">
      <c r="B2159" s="38"/>
    </row>
    <row r="2160" spans="2:2">
      <c r="B2160" s="38"/>
    </row>
    <row r="2161" spans="2:2">
      <c r="B2161" s="38"/>
    </row>
    <row r="2162" spans="2:2">
      <c r="B2162" s="38"/>
    </row>
    <row r="2163" spans="2:2">
      <c r="B2163" s="38"/>
    </row>
    <row r="2164" spans="2:2">
      <c r="B2164" s="38"/>
    </row>
    <row r="2165" spans="2:2">
      <c r="B2165" s="38"/>
    </row>
    <row r="2166" spans="2:2">
      <c r="B2166" s="38"/>
    </row>
    <row r="2167" spans="2:2">
      <c r="B2167" s="38"/>
    </row>
    <row r="2168" spans="2:2">
      <c r="B2168" s="38"/>
    </row>
    <row r="2169" spans="2:2">
      <c r="B2169" s="38"/>
    </row>
    <row r="2170" spans="2:2">
      <c r="B2170" s="38"/>
    </row>
    <row r="2171" spans="2:2">
      <c r="B2171" s="38"/>
    </row>
    <row r="2172" spans="2:2">
      <c r="B2172" s="38"/>
    </row>
    <row r="2173" spans="2:2">
      <c r="B2173" s="38"/>
    </row>
    <row r="2174" spans="2:2">
      <c r="B2174" s="38"/>
    </row>
    <row r="2175" spans="2:2">
      <c r="B2175" s="38"/>
    </row>
    <row r="2176" spans="2:2">
      <c r="B2176" s="38"/>
    </row>
    <row r="2177" spans="2:2">
      <c r="B2177" s="38"/>
    </row>
    <row r="2178" spans="2:2">
      <c r="B2178" s="38"/>
    </row>
    <row r="2179" spans="2:2">
      <c r="B2179" s="38"/>
    </row>
    <row r="2180" spans="2:2">
      <c r="B2180" s="38"/>
    </row>
    <row r="2181" spans="2:2">
      <c r="B2181" s="38"/>
    </row>
    <row r="2182" spans="2:2">
      <c r="B2182" s="38"/>
    </row>
    <row r="2183" spans="2:2">
      <c r="B2183" s="38"/>
    </row>
    <row r="2184" spans="2:2">
      <c r="B2184" s="38"/>
    </row>
    <row r="2185" spans="2:2">
      <c r="B2185" s="38"/>
    </row>
    <row r="2186" spans="2:2">
      <c r="B2186" s="38"/>
    </row>
    <row r="2187" spans="2:2">
      <c r="B2187" s="38"/>
    </row>
    <row r="2188" spans="2:2">
      <c r="B2188" s="38"/>
    </row>
    <row r="2189" spans="2:2">
      <c r="B2189" s="38"/>
    </row>
    <row r="2190" spans="2:2">
      <c r="B2190" s="38"/>
    </row>
    <row r="2191" spans="2:2">
      <c r="B2191" s="38"/>
    </row>
    <row r="2192" spans="2:2">
      <c r="B2192" s="38"/>
    </row>
    <row r="2193" spans="2:2">
      <c r="B2193" s="38"/>
    </row>
    <row r="2194" spans="2:2">
      <c r="B2194" s="38"/>
    </row>
    <row r="2195" spans="2:2">
      <c r="B2195" s="38"/>
    </row>
    <row r="2196" spans="2:2">
      <c r="B2196" s="38"/>
    </row>
    <row r="2197" spans="2:2">
      <c r="B2197" s="38"/>
    </row>
    <row r="2198" spans="2:2">
      <c r="B2198" s="38"/>
    </row>
    <row r="2199" spans="2:2">
      <c r="B2199" s="38"/>
    </row>
    <row r="2200" spans="2:2">
      <c r="B2200" s="38"/>
    </row>
    <row r="2201" spans="2:2">
      <c r="B2201" s="38"/>
    </row>
    <row r="2202" spans="2:2">
      <c r="B2202" s="38"/>
    </row>
    <row r="2203" spans="2:2">
      <c r="B2203" s="38"/>
    </row>
    <row r="2204" spans="2:2">
      <c r="B2204" s="38"/>
    </row>
    <row r="2205" spans="2:2">
      <c r="B2205" s="38"/>
    </row>
    <row r="2206" spans="2:2">
      <c r="B2206" s="38"/>
    </row>
    <row r="2207" spans="2:2">
      <c r="B2207" s="38"/>
    </row>
    <row r="2208" spans="2:2">
      <c r="B2208" s="38"/>
    </row>
    <row r="2209" spans="2:2">
      <c r="B2209" s="38"/>
    </row>
    <row r="2210" spans="2:2">
      <c r="B2210" s="38"/>
    </row>
    <row r="2211" spans="2:2">
      <c r="B2211" s="38"/>
    </row>
    <row r="2212" spans="2:2">
      <c r="B2212" s="38"/>
    </row>
    <row r="2213" spans="2:2">
      <c r="B2213" s="38"/>
    </row>
    <row r="2214" spans="2:2">
      <c r="B2214" s="38"/>
    </row>
    <row r="2215" spans="2:2">
      <c r="B2215" s="38"/>
    </row>
    <row r="2216" spans="2:2">
      <c r="B2216" s="38"/>
    </row>
    <row r="2217" spans="2:2">
      <c r="B2217" s="38"/>
    </row>
    <row r="2218" spans="2:2">
      <c r="B2218" s="38"/>
    </row>
    <row r="2219" spans="2:2">
      <c r="B2219" s="38"/>
    </row>
    <row r="2220" spans="2:2">
      <c r="B2220" s="38"/>
    </row>
    <row r="2221" spans="2:2">
      <c r="B2221" s="38"/>
    </row>
    <row r="2222" spans="2:2">
      <c r="B2222" s="38"/>
    </row>
    <row r="2223" spans="2:2">
      <c r="B2223" s="38"/>
    </row>
    <row r="2224" spans="2:2">
      <c r="B2224" s="38"/>
    </row>
    <row r="2225" spans="2:2">
      <c r="B2225" s="38"/>
    </row>
    <row r="2226" spans="2:2">
      <c r="B2226" s="38"/>
    </row>
    <row r="2227" spans="2:2">
      <c r="B2227" s="38"/>
    </row>
    <row r="2228" spans="2:2">
      <c r="B2228" s="38"/>
    </row>
    <row r="2229" spans="2:2">
      <c r="B2229" s="38"/>
    </row>
    <row r="2230" spans="2:2">
      <c r="B2230" s="38"/>
    </row>
    <row r="2231" spans="2:2">
      <c r="B2231" s="38"/>
    </row>
    <row r="2232" spans="2:2">
      <c r="B2232" s="38"/>
    </row>
    <row r="2233" spans="2:2">
      <c r="B2233" s="38"/>
    </row>
    <row r="2234" spans="2:2">
      <c r="B2234" s="38"/>
    </row>
    <row r="2235" spans="2:2">
      <c r="B2235" s="38"/>
    </row>
    <row r="2236" spans="2:2">
      <c r="B2236" s="38"/>
    </row>
    <row r="2237" spans="2:2">
      <c r="B2237" s="38"/>
    </row>
    <row r="2238" spans="2:2">
      <c r="B2238" s="38"/>
    </row>
    <row r="2239" spans="2:2">
      <c r="B2239" s="38"/>
    </row>
    <row r="2240" spans="2:2">
      <c r="B2240" s="38"/>
    </row>
    <row r="2241" spans="2:2">
      <c r="B2241" s="38"/>
    </row>
    <row r="2242" spans="2:2">
      <c r="B2242" s="38"/>
    </row>
    <row r="2243" spans="2:2">
      <c r="B2243" s="38"/>
    </row>
    <row r="2244" spans="2:2">
      <c r="B2244" s="38"/>
    </row>
    <row r="2245" spans="2:2">
      <c r="B2245" s="38"/>
    </row>
    <row r="2246" spans="2:2">
      <c r="B2246" s="38"/>
    </row>
    <row r="2247" spans="2:2">
      <c r="B2247" s="38"/>
    </row>
    <row r="2248" spans="2:2">
      <c r="B2248" s="38"/>
    </row>
    <row r="2249" spans="2:2">
      <c r="B2249" s="38"/>
    </row>
    <row r="2250" spans="2:2">
      <c r="B2250" s="38"/>
    </row>
    <row r="2251" spans="2:2">
      <c r="B2251" s="38"/>
    </row>
    <row r="2252" spans="2:2">
      <c r="B2252" s="38"/>
    </row>
    <row r="2253" spans="2:2">
      <c r="B2253" s="38"/>
    </row>
    <row r="2254" spans="2:2">
      <c r="B2254" s="38"/>
    </row>
    <row r="2255" spans="2:2">
      <c r="B2255" s="38"/>
    </row>
    <row r="2256" spans="2:2">
      <c r="B2256" s="38"/>
    </row>
    <row r="2257" spans="2:2">
      <c r="B2257" s="38"/>
    </row>
    <row r="2258" spans="2:2">
      <c r="B2258" s="38"/>
    </row>
    <row r="2259" spans="2:2">
      <c r="B2259" s="38"/>
    </row>
    <row r="2260" spans="2:2">
      <c r="B2260" s="38"/>
    </row>
    <row r="2261" spans="2:2">
      <c r="B2261" s="38"/>
    </row>
    <row r="2262" spans="2:2">
      <c r="B2262" s="38"/>
    </row>
    <row r="2263" spans="2:2">
      <c r="B2263" s="38"/>
    </row>
    <row r="2264" spans="2:2">
      <c r="B2264" s="38"/>
    </row>
    <row r="2265" spans="2:2">
      <c r="B2265" s="38"/>
    </row>
    <row r="2266" spans="2:2">
      <c r="B2266" s="38"/>
    </row>
    <row r="2267" spans="2:2">
      <c r="B2267" s="38"/>
    </row>
    <row r="2268" spans="2:2">
      <c r="B2268" s="38"/>
    </row>
    <row r="2269" spans="2:2">
      <c r="B2269" s="38"/>
    </row>
    <row r="2270" spans="2:2">
      <c r="B2270" s="38"/>
    </row>
    <row r="2271" spans="2:2">
      <c r="B2271" s="38"/>
    </row>
    <row r="2272" spans="2:2">
      <c r="B2272" s="38"/>
    </row>
    <row r="2273" spans="2:2">
      <c r="B2273" s="38"/>
    </row>
    <row r="2274" spans="2:2">
      <c r="B2274" s="38"/>
    </row>
    <row r="2275" spans="2:2">
      <c r="B2275" s="38"/>
    </row>
    <row r="2276" spans="2:2">
      <c r="B2276" s="38"/>
    </row>
    <row r="2277" spans="2:2">
      <c r="B2277" s="38"/>
    </row>
    <row r="2278" spans="2:2">
      <c r="B2278" s="38"/>
    </row>
    <row r="2279" spans="2:2">
      <c r="B2279" s="38"/>
    </row>
    <row r="2280" spans="2:2">
      <c r="B2280" s="38"/>
    </row>
    <row r="2281" spans="2:2">
      <c r="B2281" s="38"/>
    </row>
    <row r="2282" spans="2:2">
      <c r="B2282" s="38"/>
    </row>
    <row r="2283" spans="2:2">
      <c r="B2283" s="38"/>
    </row>
    <row r="2284" spans="2:2">
      <c r="B2284" s="38"/>
    </row>
    <row r="2285" spans="2:2">
      <c r="B2285" s="38"/>
    </row>
    <row r="2286" spans="2:2">
      <c r="B2286" s="38"/>
    </row>
    <row r="2287" spans="2:2">
      <c r="B2287" s="38"/>
    </row>
    <row r="2288" spans="2:2">
      <c r="B2288" s="38"/>
    </row>
    <row r="2289" spans="2:2">
      <c r="B2289" s="38"/>
    </row>
    <row r="2290" spans="2:2">
      <c r="B2290" s="38"/>
    </row>
    <row r="2291" spans="2:2">
      <c r="B2291" s="38"/>
    </row>
    <row r="2292" spans="2:2">
      <c r="B2292" s="38"/>
    </row>
    <row r="2293" spans="2:2">
      <c r="B2293" s="38"/>
    </row>
    <row r="2294" spans="2:2">
      <c r="B2294" s="38"/>
    </row>
    <row r="2295" spans="2:2">
      <c r="B2295" s="38"/>
    </row>
    <row r="2296" spans="2:2">
      <c r="B2296" s="38"/>
    </row>
    <row r="2297" spans="2:2">
      <c r="B2297" s="38"/>
    </row>
    <row r="2298" spans="2:2">
      <c r="B2298" s="38"/>
    </row>
    <row r="2299" spans="2:2">
      <c r="B2299" s="38"/>
    </row>
    <row r="2300" spans="2:2">
      <c r="B2300" s="38"/>
    </row>
    <row r="2301" spans="2:2">
      <c r="B2301" s="38"/>
    </row>
    <row r="2302" spans="2:2">
      <c r="B2302" s="38"/>
    </row>
    <row r="2303" spans="2:2">
      <c r="B2303" s="38"/>
    </row>
    <row r="2304" spans="2:2">
      <c r="B2304" s="38"/>
    </row>
    <row r="2305" spans="2:2">
      <c r="B2305" s="38"/>
    </row>
    <row r="2306" spans="2:2">
      <c r="B2306" s="38"/>
    </row>
    <row r="2307" spans="2:2">
      <c r="B2307" s="38"/>
    </row>
    <row r="2308" spans="2:2">
      <c r="B2308" s="38"/>
    </row>
    <row r="2309" spans="2:2">
      <c r="B2309" s="38"/>
    </row>
    <row r="2310" spans="2:2">
      <c r="B2310" s="38"/>
    </row>
    <row r="2311" spans="2:2">
      <c r="B2311" s="38"/>
    </row>
    <row r="2312" spans="2:2">
      <c r="B2312" s="38"/>
    </row>
    <row r="2313" spans="2:2">
      <c r="B2313" s="38"/>
    </row>
    <row r="2314" spans="2:2">
      <c r="B2314" s="38"/>
    </row>
    <row r="2315" spans="2:2">
      <c r="B2315" s="38"/>
    </row>
    <row r="2316" spans="2:2">
      <c r="B2316" s="38"/>
    </row>
    <row r="2317" spans="2:2">
      <c r="B2317" s="38"/>
    </row>
    <row r="2318" spans="2:2">
      <c r="B2318" s="38"/>
    </row>
    <row r="2319" spans="2:2">
      <c r="B2319" s="38"/>
    </row>
    <row r="2320" spans="2:2">
      <c r="B2320" s="38"/>
    </row>
    <row r="2321" spans="2:2">
      <c r="B2321" s="38"/>
    </row>
    <row r="2322" spans="2:2">
      <c r="B2322" s="38"/>
    </row>
    <row r="2323" spans="2:2">
      <c r="B2323" s="38"/>
    </row>
    <row r="2324" spans="2:2">
      <c r="B2324" s="38"/>
    </row>
    <row r="2325" spans="2:2">
      <c r="B2325" s="38"/>
    </row>
    <row r="2326" spans="2:2">
      <c r="B2326" s="38"/>
    </row>
    <row r="2327" spans="2:2">
      <c r="B2327" s="38"/>
    </row>
    <row r="2328" spans="2:2">
      <c r="B2328" s="38"/>
    </row>
    <row r="2329" spans="2:2">
      <c r="B2329" s="38"/>
    </row>
    <row r="2330" spans="2:2">
      <c r="B2330" s="38"/>
    </row>
    <row r="2331" spans="2:2">
      <c r="B2331" s="38"/>
    </row>
    <row r="2332" spans="2:2">
      <c r="B2332" s="38"/>
    </row>
    <row r="2333" spans="2:2">
      <c r="B2333" s="38"/>
    </row>
    <row r="2334" spans="2:2">
      <c r="B2334" s="38"/>
    </row>
    <row r="2335" spans="2:2">
      <c r="B2335" s="38"/>
    </row>
    <row r="2336" spans="2:2">
      <c r="B2336" s="38"/>
    </row>
    <row r="2337" spans="2:2">
      <c r="B2337" s="38"/>
    </row>
    <row r="2338" spans="2:2">
      <c r="B2338" s="38"/>
    </row>
    <row r="2339" spans="2:2">
      <c r="B2339" s="38"/>
    </row>
    <row r="2340" spans="2:2">
      <c r="B2340" s="38"/>
    </row>
    <row r="2341" spans="2:2">
      <c r="B2341" s="38"/>
    </row>
    <row r="2342" spans="2:2">
      <c r="B2342" s="38"/>
    </row>
    <row r="2343" spans="2:2">
      <c r="B2343" s="38"/>
    </row>
    <row r="2344" spans="2:2">
      <c r="B2344" s="38"/>
    </row>
    <row r="2345" spans="2:2">
      <c r="B2345" s="38"/>
    </row>
    <row r="2346" spans="2:2">
      <c r="B2346" s="38"/>
    </row>
    <row r="2347" spans="2:2">
      <c r="B2347" s="38"/>
    </row>
    <row r="2348" spans="2:2">
      <c r="B2348" s="38"/>
    </row>
    <row r="2349" spans="2:2">
      <c r="B2349" s="38"/>
    </row>
    <row r="2350" spans="2:2">
      <c r="B2350" s="38"/>
    </row>
    <row r="2351" spans="2:2">
      <c r="B2351" s="38"/>
    </row>
    <row r="2352" spans="2:2">
      <c r="B2352" s="38"/>
    </row>
    <row r="2353" spans="2:2">
      <c r="B2353" s="38"/>
    </row>
    <row r="2354" spans="2:2">
      <c r="B2354" s="38"/>
    </row>
    <row r="2355" spans="2:2">
      <c r="B2355" s="38"/>
    </row>
    <row r="2356" spans="2:2">
      <c r="B2356" s="38"/>
    </row>
    <row r="2357" spans="2:2">
      <c r="B2357" s="38"/>
    </row>
    <row r="2358" spans="2:2">
      <c r="B2358" s="38"/>
    </row>
    <row r="2359" spans="2:2">
      <c r="B2359" s="38"/>
    </row>
    <row r="2360" spans="2:2">
      <c r="B2360" s="38"/>
    </row>
    <row r="2361" spans="2:2">
      <c r="B2361" s="38"/>
    </row>
    <row r="2362" spans="2:2">
      <c r="B2362" s="38"/>
    </row>
    <row r="2363" spans="2:2">
      <c r="B2363" s="38"/>
    </row>
    <row r="2364" spans="2:2">
      <c r="B2364" s="38"/>
    </row>
    <row r="2365" spans="2:2">
      <c r="B2365" s="38"/>
    </row>
    <row r="2366" spans="2:2">
      <c r="B2366" s="38"/>
    </row>
    <row r="2367" spans="2:2">
      <c r="B2367" s="38"/>
    </row>
    <row r="2368" spans="2:2">
      <c r="B2368" s="38"/>
    </row>
    <row r="2369" spans="2:2">
      <c r="B2369" s="38"/>
    </row>
    <row r="2370" spans="2:2">
      <c r="B2370" s="38"/>
    </row>
    <row r="2371" spans="2:2">
      <c r="B2371" s="38"/>
    </row>
    <row r="2372" spans="2:2">
      <c r="B2372" s="38"/>
    </row>
    <row r="2373" spans="2:2">
      <c r="B2373" s="38"/>
    </row>
    <row r="2374" spans="2:2">
      <c r="B2374" s="38"/>
    </row>
    <row r="2375" spans="2:2">
      <c r="B2375" s="38"/>
    </row>
    <row r="2376" spans="2:2">
      <c r="B2376" s="38"/>
    </row>
    <row r="2377" spans="2:2">
      <c r="B2377" s="38"/>
    </row>
    <row r="2378" spans="2:2">
      <c r="B2378" s="38"/>
    </row>
    <row r="2379" spans="2:2">
      <c r="B2379" s="38"/>
    </row>
    <row r="2380" spans="2:2">
      <c r="B2380" s="38"/>
    </row>
    <row r="2381" spans="2:2">
      <c r="B2381" s="38"/>
    </row>
    <row r="2382" spans="2:2">
      <c r="B2382" s="38"/>
    </row>
    <row r="2383" spans="2:2">
      <c r="B2383" s="38"/>
    </row>
    <row r="2384" spans="2:2">
      <c r="B2384" s="38"/>
    </row>
    <row r="2385" spans="2:2">
      <c r="B2385" s="38"/>
    </row>
    <row r="2386" spans="2:2">
      <c r="B2386" s="38"/>
    </row>
    <row r="2387" spans="2:2">
      <c r="B2387" s="38"/>
    </row>
    <row r="2388" spans="2:2">
      <c r="B2388" s="38"/>
    </row>
    <row r="2389" spans="2:2">
      <c r="B2389" s="38"/>
    </row>
    <row r="2390" spans="2:2">
      <c r="B2390" s="38"/>
    </row>
    <row r="2391" spans="2:2">
      <c r="B2391" s="38"/>
    </row>
    <row r="2392" spans="2:2">
      <c r="B2392" s="38"/>
    </row>
    <row r="2393" spans="2:2">
      <c r="B2393" s="38"/>
    </row>
    <row r="2394" spans="2:2">
      <c r="B2394" s="38"/>
    </row>
    <row r="2395" spans="2:2">
      <c r="B2395" s="38"/>
    </row>
    <row r="2396" spans="2:2">
      <c r="B2396" s="38"/>
    </row>
    <row r="2397" spans="2:2">
      <c r="B2397" s="38"/>
    </row>
    <row r="2398" spans="2:2">
      <c r="B2398" s="38"/>
    </row>
    <row r="2399" spans="2:2">
      <c r="B2399" s="38"/>
    </row>
    <row r="2400" spans="2:2">
      <c r="B2400" s="38"/>
    </row>
    <row r="2401" spans="2:2">
      <c r="B2401" s="38"/>
    </row>
    <row r="2402" spans="2:2">
      <c r="B2402" s="38"/>
    </row>
    <row r="2403" spans="2:2">
      <c r="B2403" s="38"/>
    </row>
    <row r="2404" spans="2:2">
      <c r="B2404" s="38"/>
    </row>
    <row r="2405" spans="2:2">
      <c r="B2405" s="38"/>
    </row>
    <row r="2406" spans="2:2">
      <c r="B2406" s="38"/>
    </row>
    <row r="2407" spans="2:2">
      <c r="B2407" s="38"/>
    </row>
    <row r="2408" spans="2:2">
      <c r="B2408" s="38"/>
    </row>
    <row r="2409" spans="2:2">
      <c r="B2409" s="38"/>
    </row>
    <row r="2410" spans="2:2">
      <c r="B2410" s="38"/>
    </row>
    <row r="2411" spans="2:2">
      <c r="B2411" s="38"/>
    </row>
    <row r="2412" spans="2:2">
      <c r="B2412" s="38"/>
    </row>
    <row r="2413" spans="2:2">
      <c r="B2413" s="38"/>
    </row>
    <row r="2414" spans="2:2">
      <c r="B2414" s="38"/>
    </row>
    <row r="2415" spans="2:2">
      <c r="B2415" s="38"/>
    </row>
    <row r="2416" spans="2:2">
      <c r="B2416" s="38"/>
    </row>
    <row r="2417" spans="2:2">
      <c r="B2417" s="38"/>
    </row>
    <row r="2418" spans="2:2">
      <c r="B2418" s="38"/>
    </row>
    <row r="2419" spans="2:2">
      <c r="B2419" s="38"/>
    </row>
    <row r="2420" spans="2:2">
      <c r="B2420" s="38"/>
    </row>
    <row r="2421" spans="2:2">
      <c r="B2421" s="38"/>
    </row>
    <row r="2422" spans="2:2">
      <c r="B2422" s="38"/>
    </row>
    <row r="2423" spans="2:2">
      <c r="B2423" s="38"/>
    </row>
    <row r="2424" spans="2:2">
      <c r="B2424" s="38"/>
    </row>
    <row r="2425" spans="2:2">
      <c r="B2425" s="38"/>
    </row>
    <row r="2426" spans="2:2">
      <c r="B2426" s="38"/>
    </row>
    <row r="2427" spans="2:2">
      <c r="B2427" s="38"/>
    </row>
    <row r="2428" spans="2:2">
      <c r="B2428" s="38"/>
    </row>
    <row r="2429" spans="2:2">
      <c r="B2429" s="38"/>
    </row>
    <row r="2430" spans="2:2">
      <c r="B2430" s="38"/>
    </row>
    <row r="2431" spans="2:2">
      <c r="B2431" s="38"/>
    </row>
    <row r="2432" spans="2:2">
      <c r="B2432" s="38"/>
    </row>
    <row r="2433" spans="2:2">
      <c r="B2433" s="38"/>
    </row>
    <row r="2434" spans="2:2">
      <c r="B2434" s="38"/>
    </row>
    <row r="2435" spans="2:2">
      <c r="B2435" s="38"/>
    </row>
    <row r="2436" spans="2:2">
      <c r="B2436" s="38"/>
    </row>
    <row r="2437" spans="2:2">
      <c r="B2437" s="38"/>
    </row>
    <row r="2438" spans="2:2">
      <c r="B2438" s="38"/>
    </row>
    <row r="2439" spans="2:2">
      <c r="B2439" s="38"/>
    </row>
    <row r="2440" spans="2:2">
      <c r="B2440" s="38"/>
    </row>
    <row r="2441" spans="2:2">
      <c r="B2441" s="38"/>
    </row>
    <row r="2442" spans="2:2">
      <c r="B2442" s="38"/>
    </row>
    <row r="2443" spans="2:2">
      <c r="B2443" s="38"/>
    </row>
    <row r="2444" spans="2:2">
      <c r="B2444" s="38"/>
    </row>
    <row r="2445" spans="2:2">
      <c r="B2445" s="38"/>
    </row>
    <row r="2446" spans="2:2">
      <c r="B2446" s="38"/>
    </row>
    <row r="2447" spans="2:2">
      <c r="B2447" s="38"/>
    </row>
    <row r="2448" spans="2:2">
      <c r="B2448" s="38"/>
    </row>
    <row r="2449" spans="2:2">
      <c r="B2449" s="38"/>
    </row>
    <row r="2450" spans="2:2">
      <c r="B2450" s="38"/>
    </row>
    <row r="2451" spans="2:2">
      <c r="B2451" s="38"/>
    </row>
    <row r="2452" spans="2:2">
      <c r="B2452" s="38"/>
    </row>
    <row r="2453" spans="2:2">
      <c r="B2453" s="38"/>
    </row>
    <row r="2454" spans="2:2">
      <c r="B2454" s="38"/>
    </row>
    <row r="2455" spans="2:2">
      <c r="B2455" s="38"/>
    </row>
    <row r="2456" spans="2:2">
      <c r="B2456" s="38"/>
    </row>
    <row r="2457" spans="2:2">
      <c r="B2457" s="38"/>
    </row>
    <row r="2458" spans="2:2">
      <c r="B2458" s="38"/>
    </row>
    <row r="2459" spans="2:2">
      <c r="B2459" s="38"/>
    </row>
    <row r="2460" spans="2:2">
      <c r="B2460" s="38"/>
    </row>
    <row r="2461" spans="2:2">
      <c r="B2461" s="38"/>
    </row>
    <row r="2462" spans="2:2">
      <c r="B2462" s="38"/>
    </row>
    <row r="2463" spans="2:2">
      <c r="B2463" s="38"/>
    </row>
    <row r="2464" spans="2:2">
      <c r="B2464" s="38"/>
    </row>
    <row r="2465" spans="2:2">
      <c r="B2465" s="38"/>
    </row>
    <row r="2466" spans="2:2">
      <c r="B2466" s="38"/>
    </row>
    <row r="2467" spans="2:2">
      <c r="B2467" s="38"/>
    </row>
    <row r="2468" spans="2:2">
      <c r="B2468" s="38"/>
    </row>
    <row r="2469" spans="2:2">
      <c r="B2469" s="38"/>
    </row>
    <row r="2470" spans="2:2">
      <c r="B2470" s="38"/>
    </row>
    <row r="2471" spans="2:2">
      <c r="B2471" s="38"/>
    </row>
    <row r="2472" spans="2:2">
      <c r="B2472" s="38"/>
    </row>
    <row r="2473" spans="2:2">
      <c r="B2473" s="38"/>
    </row>
    <row r="2474" spans="2:2">
      <c r="B2474" s="38"/>
    </row>
    <row r="2475" spans="2:2">
      <c r="B2475" s="38"/>
    </row>
    <row r="2476" spans="2:2">
      <c r="B2476" s="38"/>
    </row>
    <row r="2477" spans="2:2">
      <c r="B2477" s="38"/>
    </row>
    <row r="2478" spans="2:2">
      <c r="B2478" s="38"/>
    </row>
    <row r="2479" spans="2:2">
      <c r="B2479" s="38"/>
    </row>
    <row r="2480" spans="2:2">
      <c r="B2480" s="38"/>
    </row>
    <row r="2481" spans="2:2">
      <c r="B2481" s="38"/>
    </row>
    <row r="2482" spans="2:2">
      <c r="B2482" s="38"/>
    </row>
    <row r="2483" spans="2:2">
      <c r="B2483" s="38"/>
    </row>
    <row r="2484" spans="2:2">
      <c r="B2484" s="38"/>
    </row>
    <row r="2485" spans="2:2">
      <c r="B2485" s="38"/>
    </row>
    <row r="2486" spans="2:2">
      <c r="B2486" s="38"/>
    </row>
    <row r="2487" spans="2:2">
      <c r="B2487" s="38"/>
    </row>
    <row r="2488" spans="2:2">
      <c r="B2488" s="38"/>
    </row>
    <row r="2489" spans="2:2">
      <c r="B2489" s="38"/>
    </row>
    <row r="2490" spans="2:2">
      <c r="B2490" s="38"/>
    </row>
    <row r="2491" spans="2:2">
      <c r="B2491" s="38"/>
    </row>
    <row r="2492" spans="2:2">
      <c r="B2492" s="38"/>
    </row>
    <row r="2493" spans="2:2">
      <c r="B2493" s="38"/>
    </row>
    <row r="2494" spans="2:2">
      <c r="B2494" s="38"/>
    </row>
    <row r="2495" spans="2:2">
      <c r="B2495" s="38"/>
    </row>
    <row r="2496" spans="2:2">
      <c r="B2496" s="38"/>
    </row>
    <row r="2497" spans="2:2">
      <c r="B2497" s="38"/>
    </row>
    <row r="2498" spans="2:2">
      <c r="B2498" s="38"/>
    </row>
    <row r="2499" spans="2:2">
      <c r="B2499" s="38"/>
    </row>
    <row r="2500" spans="2:2">
      <c r="B2500" s="38"/>
    </row>
    <row r="2501" spans="2:2">
      <c r="B2501" s="38"/>
    </row>
    <row r="2502" spans="2:2">
      <c r="B2502" s="38"/>
    </row>
    <row r="2503" spans="2:2">
      <c r="B2503" s="38"/>
    </row>
    <row r="2504" spans="2:2">
      <c r="B2504" s="38"/>
    </row>
    <row r="2505" spans="2:2">
      <c r="B2505" s="38"/>
    </row>
    <row r="2506" spans="2:2">
      <c r="B2506" s="38"/>
    </row>
    <row r="2507" spans="2:2">
      <c r="B2507" s="38"/>
    </row>
    <row r="2508" spans="2:2">
      <c r="B2508" s="38"/>
    </row>
    <row r="2509" spans="2:2">
      <c r="B2509" s="38"/>
    </row>
    <row r="2510" spans="2:2">
      <c r="B2510" s="38"/>
    </row>
    <row r="2511" spans="2:2">
      <c r="B2511" s="38"/>
    </row>
    <row r="2512" spans="2:2">
      <c r="B2512" s="38"/>
    </row>
    <row r="2513" spans="2:2">
      <c r="B2513" s="38"/>
    </row>
    <row r="2514" spans="2:2">
      <c r="B2514" s="38"/>
    </row>
    <row r="2515" spans="2:2">
      <c r="B2515" s="38"/>
    </row>
    <row r="2516" spans="2:2">
      <c r="B2516" s="38"/>
    </row>
    <row r="2517" spans="2:2">
      <c r="B2517" s="38"/>
    </row>
    <row r="2518" spans="2:2">
      <c r="B2518" s="38"/>
    </row>
    <row r="2519" spans="2:2">
      <c r="B2519" s="38"/>
    </row>
    <row r="2520" spans="2:2">
      <c r="B2520" s="38"/>
    </row>
    <row r="2521" spans="2:2">
      <c r="B2521" s="38"/>
    </row>
    <row r="2522" spans="2:2">
      <c r="B2522" s="38"/>
    </row>
    <row r="2523" spans="2:2">
      <c r="B2523" s="38"/>
    </row>
    <row r="2524" spans="2:2">
      <c r="B2524" s="38"/>
    </row>
    <row r="2525" spans="2:2">
      <c r="B2525" s="38"/>
    </row>
    <row r="2526" spans="2:2">
      <c r="B2526" s="38"/>
    </row>
    <row r="2527" spans="2:2">
      <c r="B2527" s="38"/>
    </row>
    <row r="2528" spans="2:2">
      <c r="B2528" s="38"/>
    </row>
    <row r="2529" spans="2:2">
      <c r="B2529" s="38"/>
    </row>
    <row r="2530" spans="2:2">
      <c r="B2530" s="38"/>
    </row>
    <row r="2531" spans="2:2">
      <c r="B2531" s="38"/>
    </row>
    <row r="2532" spans="2:2">
      <c r="B2532" s="38"/>
    </row>
    <row r="2533" spans="2:2">
      <c r="B2533" s="38"/>
    </row>
    <row r="2534" spans="2:2">
      <c r="B2534" s="38"/>
    </row>
    <row r="2535" spans="2:2">
      <c r="B2535" s="38"/>
    </row>
    <row r="2536" spans="2:2">
      <c r="B2536" s="38"/>
    </row>
    <row r="2537" spans="2:2">
      <c r="B2537" s="38"/>
    </row>
    <row r="2538" spans="2:2">
      <c r="B2538" s="38"/>
    </row>
    <row r="2539" spans="2:2">
      <c r="B2539" s="38"/>
    </row>
    <row r="2540" spans="2:2">
      <c r="B2540" s="38"/>
    </row>
    <row r="2541" spans="2:2">
      <c r="B2541" s="38"/>
    </row>
    <row r="2542" spans="2:2">
      <c r="B2542" s="38"/>
    </row>
    <row r="2543" spans="2:2">
      <c r="B2543" s="38"/>
    </row>
    <row r="2544" spans="2:2">
      <c r="B2544" s="38"/>
    </row>
    <row r="2545" spans="2:2">
      <c r="B2545" s="38"/>
    </row>
    <row r="2546" spans="2:2">
      <c r="B2546" s="38"/>
    </row>
    <row r="2547" spans="2:2">
      <c r="B2547" s="38"/>
    </row>
    <row r="2548" spans="2:2">
      <c r="B2548" s="38"/>
    </row>
    <row r="2549" spans="2:2">
      <c r="B2549" s="38"/>
    </row>
    <row r="2550" spans="2:2">
      <c r="B2550" s="38"/>
    </row>
    <row r="2551" spans="2:2">
      <c r="B2551" s="38"/>
    </row>
    <row r="2552" spans="2:2">
      <c r="B2552" s="38"/>
    </row>
    <row r="2553" spans="2:2">
      <c r="B2553" s="38"/>
    </row>
    <row r="2554" spans="2:2">
      <c r="B2554" s="38"/>
    </row>
    <row r="2555" spans="2:2">
      <c r="B2555" s="38"/>
    </row>
    <row r="2556" spans="2:2">
      <c r="B2556" s="38"/>
    </row>
    <row r="2557" spans="2:2">
      <c r="B2557" s="38"/>
    </row>
    <row r="2558" spans="2:2">
      <c r="B2558" s="38"/>
    </row>
    <row r="2559" spans="2:2">
      <c r="B2559" s="38"/>
    </row>
    <row r="2560" spans="2:2">
      <c r="B2560" s="38"/>
    </row>
    <row r="2561" spans="2:2">
      <c r="B2561" s="38"/>
    </row>
    <row r="2562" spans="2:2">
      <c r="B2562" s="38"/>
    </row>
    <row r="2563" spans="2:2">
      <c r="B2563" s="38"/>
    </row>
    <row r="2564" spans="2:2">
      <c r="B2564" s="38"/>
    </row>
    <row r="2565" spans="2:2">
      <c r="B2565" s="38"/>
    </row>
    <row r="2566" spans="2:2">
      <c r="B2566" s="38"/>
    </row>
    <row r="2567" spans="2:2">
      <c r="B2567" s="38"/>
    </row>
    <row r="2568" spans="2:2">
      <c r="B2568" s="38"/>
    </row>
    <row r="2569" spans="2:2">
      <c r="B2569" s="38"/>
    </row>
    <row r="2570" spans="2:2">
      <c r="B2570" s="38"/>
    </row>
    <row r="2571" spans="2:2">
      <c r="B2571" s="38"/>
    </row>
    <row r="2572" spans="2:2">
      <c r="B2572" s="38"/>
    </row>
    <row r="2573" spans="2:2">
      <c r="B2573" s="38"/>
    </row>
    <row r="2574" spans="2:2">
      <c r="B2574" s="38"/>
    </row>
    <row r="2575" spans="2:2">
      <c r="B2575" s="38"/>
    </row>
    <row r="2576" spans="2:2">
      <c r="B2576" s="38"/>
    </row>
    <row r="2577" spans="2:2">
      <c r="B2577" s="38"/>
    </row>
    <row r="2578" spans="2:2">
      <c r="B2578" s="38"/>
    </row>
    <row r="2579" spans="2:2">
      <c r="B2579" s="38"/>
    </row>
    <row r="2580" spans="2:2">
      <c r="B2580" s="38"/>
    </row>
    <row r="2581" spans="2:2">
      <c r="B2581" s="38"/>
    </row>
    <row r="2582" spans="2:2">
      <c r="B2582" s="38"/>
    </row>
    <row r="2583" spans="2:2">
      <c r="B2583" s="38"/>
    </row>
    <row r="2584" spans="2:2">
      <c r="B2584" s="38"/>
    </row>
    <row r="2585" spans="2:2">
      <c r="B2585" s="38"/>
    </row>
    <row r="2586" spans="2:2">
      <c r="B2586" s="38"/>
    </row>
    <row r="2587" spans="2:2">
      <c r="B2587" s="38"/>
    </row>
    <row r="2588" spans="2:2">
      <c r="B2588" s="38"/>
    </row>
    <row r="2589" spans="2:2">
      <c r="B2589" s="38"/>
    </row>
    <row r="2590" spans="2:2">
      <c r="B2590" s="38"/>
    </row>
    <row r="2591" spans="2:2">
      <c r="B2591" s="38"/>
    </row>
    <row r="2592" spans="2:2">
      <c r="B2592" s="38"/>
    </row>
    <row r="2593" spans="2:2">
      <c r="B2593" s="38"/>
    </row>
    <row r="2594" spans="2:2">
      <c r="B2594" s="38"/>
    </row>
    <row r="2595" spans="2:2">
      <c r="B2595" s="38"/>
    </row>
    <row r="2596" spans="2:2">
      <c r="B2596" s="38"/>
    </row>
    <row r="2597" spans="2:2">
      <c r="B2597" s="38"/>
    </row>
    <row r="2598" spans="2:2">
      <c r="B2598" s="38"/>
    </row>
    <row r="2599" spans="2:2">
      <c r="B2599" s="38"/>
    </row>
    <row r="2600" spans="2:2">
      <c r="B2600" s="38"/>
    </row>
    <row r="2601" spans="2:2">
      <c r="B2601" s="38"/>
    </row>
    <row r="2602" spans="2:2">
      <c r="B2602" s="38"/>
    </row>
    <row r="2603" spans="2:2">
      <c r="B2603" s="38"/>
    </row>
    <row r="2604" spans="2:2">
      <c r="B2604" s="38"/>
    </row>
    <row r="2605" spans="2:2">
      <c r="B2605" s="38"/>
    </row>
    <row r="2606" spans="2:2">
      <c r="B2606" s="38"/>
    </row>
    <row r="2607" spans="2:2">
      <c r="B2607" s="38"/>
    </row>
    <row r="2608" spans="2:2">
      <c r="B2608" s="38"/>
    </row>
    <row r="2609" spans="2:2">
      <c r="B2609" s="38"/>
    </row>
    <row r="2610" spans="2:2">
      <c r="B2610" s="38"/>
    </row>
    <row r="2611" spans="2:2">
      <c r="B2611" s="38"/>
    </row>
    <row r="2612" spans="2:2">
      <c r="B2612" s="38"/>
    </row>
    <row r="2613" spans="2:2">
      <c r="B2613" s="38"/>
    </row>
    <row r="2614" spans="2:2">
      <c r="B2614" s="38"/>
    </row>
    <row r="2615" spans="2:2">
      <c r="B2615" s="38"/>
    </row>
    <row r="2616" spans="2:2">
      <c r="B2616" s="38"/>
    </row>
    <row r="2617" spans="2:2">
      <c r="B2617" s="38"/>
    </row>
    <row r="2618" spans="2:2">
      <c r="B2618" s="38"/>
    </row>
    <row r="2619" spans="2:2">
      <c r="B2619" s="38"/>
    </row>
    <row r="2620" spans="2:2">
      <c r="B2620" s="38"/>
    </row>
    <row r="2621" spans="2:2">
      <c r="B2621" s="38"/>
    </row>
    <row r="2622" spans="2:2">
      <c r="B2622" s="38"/>
    </row>
    <row r="2623" spans="2:2">
      <c r="B2623" s="38"/>
    </row>
    <row r="2624" spans="2:2">
      <c r="B2624" s="38"/>
    </row>
    <row r="2625" spans="2:2">
      <c r="B2625" s="38"/>
    </row>
    <row r="2626" spans="2:2">
      <c r="B2626" s="38"/>
    </row>
    <row r="2627" spans="2:2">
      <c r="B2627" s="38"/>
    </row>
    <row r="2628" spans="2:2">
      <c r="B2628" s="38"/>
    </row>
    <row r="2629" spans="2:2">
      <c r="B2629" s="38"/>
    </row>
    <row r="2630" spans="2:2">
      <c r="B2630" s="38"/>
    </row>
    <row r="2631" spans="2:2">
      <c r="B2631" s="38"/>
    </row>
    <row r="2632" spans="2:2">
      <c r="B2632" s="38"/>
    </row>
    <row r="2633" spans="2:2">
      <c r="B2633" s="38"/>
    </row>
    <row r="2634" spans="2:2">
      <c r="B2634" s="38"/>
    </row>
    <row r="2635" spans="2:2">
      <c r="B2635" s="38"/>
    </row>
    <row r="2636" spans="2:2">
      <c r="B2636" s="38"/>
    </row>
    <row r="2637" spans="2:2">
      <c r="B2637" s="38"/>
    </row>
    <row r="2638" spans="2:2">
      <c r="B2638" s="38"/>
    </row>
    <row r="2639" spans="2:2">
      <c r="B2639" s="38"/>
    </row>
    <row r="2640" spans="2:2">
      <c r="B2640" s="38"/>
    </row>
    <row r="2641" spans="2:2">
      <c r="B2641" s="38"/>
    </row>
    <row r="2642" spans="2:2">
      <c r="B2642" s="38"/>
    </row>
    <row r="2643" spans="2:2">
      <c r="B2643" s="38"/>
    </row>
    <row r="2644" spans="2:2">
      <c r="B2644" s="38"/>
    </row>
    <row r="2645" spans="2:2">
      <c r="B2645" s="38"/>
    </row>
    <row r="2646" spans="2:2">
      <c r="B2646" s="38"/>
    </row>
    <row r="2647" spans="2:2">
      <c r="B2647" s="38"/>
    </row>
    <row r="2648" spans="2:2">
      <c r="B2648" s="38"/>
    </row>
    <row r="2649" spans="2:2">
      <c r="B2649" s="38"/>
    </row>
    <row r="2650" spans="2:2">
      <c r="B2650" s="38"/>
    </row>
    <row r="2651" spans="2:2">
      <c r="B2651" s="38"/>
    </row>
    <row r="2652" spans="2:2">
      <c r="B2652" s="38"/>
    </row>
    <row r="2653" spans="2:2">
      <c r="B2653" s="38"/>
    </row>
    <row r="2654" spans="2:2">
      <c r="B2654" s="38"/>
    </row>
    <row r="2655" spans="2:2">
      <c r="B2655" s="38"/>
    </row>
    <row r="2656" spans="2:2">
      <c r="B2656" s="38"/>
    </row>
    <row r="2657" spans="2:2">
      <c r="B2657" s="38"/>
    </row>
    <row r="2658" spans="2:2">
      <c r="B2658" s="38"/>
    </row>
    <row r="2659" spans="2:2">
      <c r="B2659" s="38"/>
    </row>
    <row r="2660" spans="2:2">
      <c r="B2660" s="38"/>
    </row>
    <row r="2661" spans="2:2">
      <c r="B2661" s="38"/>
    </row>
    <row r="2662" spans="2:2">
      <c r="B2662" s="38"/>
    </row>
    <row r="2663" spans="2:2">
      <c r="B2663" s="38"/>
    </row>
    <row r="2664" spans="2:2">
      <c r="B2664" s="38"/>
    </row>
    <row r="2665" spans="2:2">
      <c r="B2665" s="38"/>
    </row>
    <row r="2666" spans="2:2">
      <c r="B2666" s="38"/>
    </row>
    <row r="2667" spans="2:2">
      <c r="B2667" s="38"/>
    </row>
    <row r="2668" spans="2:2">
      <c r="B2668" s="38"/>
    </row>
    <row r="2669" spans="2:2">
      <c r="B2669" s="38"/>
    </row>
    <row r="2670" spans="2:2">
      <c r="B2670" s="38"/>
    </row>
    <row r="2671" spans="2:2">
      <c r="B2671" s="38"/>
    </row>
    <row r="2672" spans="2:2">
      <c r="B2672" s="38"/>
    </row>
    <row r="2673" spans="2:2">
      <c r="B2673" s="38"/>
    </row>
    <row r="2674" spans="2:2">
      <c r="B2674" s="38"/>
    </row>
    <row r="2675" spans="2:2">
      <c r="B2675" s="38"/>
    </row>
    <row r="2676" spans="2:2">
      <c r="B2676" s="38"/>
    </row>
    <row r="2677" spans="2:2">
      <c r="B2677" s="38"/>
    </row>
    <row r="2678" spans="2:2">
      <c r="B2678" s="38"/>
    </row>
    <row r="2679" spans="2:2">
      <c r="B2679" s="38"/>
    </row>
    <row r="2680" spans="2:2">
      <c r="B2680" s="38"/>
    </row>
    <row r="2681" spans="2:2">
      <c r="B2681" s="38"/>
    </row>
    <row r="2682" spans="2:2">
      <c r="B2682" s="38"/>
    </row>
    <row r="2683" spans="2:2">
      <c r="B2683" s="38"/>
    </row>
    <row r="2684" spans="2:2">
      <c r="B2684" s="38"/>
    </row>
    <row r="2685" spans="2:2">
      <c r="B2685" s="38"/>
    </row>
    <row r="2686" spans="2:2">
      <c r="B2686" s="38"/>
    </row>
    <row r="2687" spans="2:2">
      <c r="B2687" s="38"/>
    </row>
    <row r="2688" spans="2:2">
      <c r="B2688" s="38"/>
    </row>
    <row r="2689" spans="2:2">
      <c r="B2689" s="38"/>
    </row>
    <row r="2690" spans="2:2">
      <c r="B2690" s="38"/>
    </row>
    <row r="2691" spans="2:2">
      <c r="B2691" s="38"/>
    </row>
    <row r="2692" spans="2:2">
      <c r="B2692" s="38"/>
    </row>
    <row r="2693" spans="2:2">
      <c r="B2693" s="38"/>
    </row>
    <row r="2694" spans="2:2">
      <c r="B2694" s="38"/>
    </row>
    <row r="2695" spans="2:2">
      <c r="B2695" s="38"/>
    </row>
    <row r="2696" spans="2:2">
      <c r="B2696" s="38"/>
    </row>
    <row r="2697" spans="2:2">
      <c r="B2697" s="38"/>
    </row>
    <row r="2698" spans="2:2">
      <c r="B2698" s="38"/>
    </row>
    <row r="2699" spans="2:2">
      <c r="B2699" s="38"/>
    </row>
    <row r="2700" spans="2:2">
      <c r="B2700" s="38"/>
    </row>
    <row r="2701" spans="2:2">
      <c r="B2701" s="38"/>
    </row>
    <row r="2702" spans="2:2">
      <c r="B2702" s="38"/>
    </row>
    <row r="2703" spans="2:2">
      <c r="B2703" s="38"/>
    </row>
    <row r="2704" spans="2:2">
      <c r="B2704" s="38"/>
    </row>
    <row r="2705" spans="2:2">
      <c r="B2705" s="38"/>
    </row>
    <row r="2706" spans="2:2">
      <c r="B2706" s="38"/>
    </row>
    <row r="2707" spans="2:2">
      <c r="B2707" s="38"/>
    </row>
    <row r="2708" spans="2:2">
      <c r="B2708" s="38"/>
    </row>
    <row r="2709" spans="2:2">
      <c r="B2709" s="38"/>
    </row>
    <row r="2710" spans="2:2">
      <c r="B2710" s="38"/>
    </row>
    <row r="2711" spans="2:2">
      <c r="B2711" s="38"/>
    </row>
    <row r="2712" spans="2:2">
      <c r="B2712" s="38"/>
    </row>
    <row r="2713" spans="2:2">
      <c r="B2713" s="38"/>
    </row>
    <row r="2714" spans="2:2">
      <c r="B2714" s="38"/>
    </row>
    <row r="2715" spans="2:2">
      <c r="B2715" s="38"/>
    </row>
    <row r="2716" spans="2:2">
      <c r="B2716" s="38"/>
    </row>
    <row r="2717" spans="2:2">
      <c r="B2717" s="38"/>
    </row>
    <row r="2718" spans="2:2">
      <c r="B2718" s="38"/>
    </row>
    <row r="2719" spans="2:2">
      <c r="B2719" s="38"/>
    </row>
    <row r="2720" spans="2:2">
      <c r="B2720" s="38"/>
    </row>
    <row r="2721" spans="2:2">
      <c r="B2721" s="38"/>
    </row>
    <row r="2722" spans="2:2">
      <c r="B2722" s="38"/>
    </row>
    <row r="2723" spans="2:2">
      <c r="B2723" s="38"/>
    </row>
    <row r="2724" spans="2:2">
      <c r="B2724" s="38"/>
    </row>
    <row r="2725" spans="2:2">
      <c r="B2725" s="38"/>
    </row>
    <row r="2726" spans="2:2">
      <c r="B2726" s="38"/>
    </row>
    <row r="2727" spans="2:2">
      <c r="B2727" s="38"/>
    </row>
    <row r="2728" spans="2:2">
      <c r="B2728" s="38"/>
    </row>
    <row r="2729" spans="2:2">
      <c r="B2729" s="38"/>
    </row>
    <row r="2730" spans="2:2">
      <c r="B2730" s="38"/>
    </row>
    <row r="2731" spans="2:2">
      <c r="B2731" s="38"/>
    </row>
    <row r="2732" spans="2:2">
      <c r="B2732" s="38"/>
    </row>
    <row r="2733" spans="2:2">
      <c r="B2733" s="38"/>
    </row>
    <row r="2734" spans="2:2">
      <c r="B2734" s="38"/>
    </row>
    <row r="2735" spans="2:2">
      <c r="B2735" s="38"/>
    </row>
    <row r="2736" spans="2:2">
      <c r="B2736" s="38"/>
    </row>
    <row r="2737" spans="2:2">
      <c r="B2737" s="38"/>
    </row>
    <row r="2738" spans="2:2">
      <c r="B2738" s="38"/>
    </row>
    <row r="2739" spans="2:2">
      <c r="B2739" s="38"/>
    </row>
    <row r="2740" spans="2:2">
      <c r="B2740" s="38"/>
    </row>
    <row r="2741" spans="2:2">
      <c r="B2741" s="38"/>
    </row>
    <row r="2742" spans="2:2">
      <c r="B2742" s="38"/>
    </row>
    <row r="2743" spans="2:2">
      <c r="B2743" s="38"/>
    </row>
    <row r="2744" spans="2:2">
      <c r="B2744" s="38"/>
    </row>
    <row r="2745" spans="2:2">
      <c r="B2745" s="38"/>
    </row>
    <row r="2746" spans="2:2">
      <c r="B2746" s="38"/>
    </row>
    <row r="2747" spans="2:2">
      <c r="B2747" s="38"/>
    </row>
    <row r="2748" spans="2:2">
      <c r="B2748" s="38"/>
    </row>
    <row r="2749" spans="2:2">
      <c r="B2749" s="38"/>
    </row>
    <row r="2750" spans="2:2">
      <c r="B2750" s="38"/>
    </row>
    <row r="2751" spans="2:2">
      <c r="B2751" s="38"/>
    </row>
    <row r="2752" spans="2:2">
      <c r="B2752" s="38"/>
    </row>
    <row r="2753" spans="2:2">
      <c r="B2753" s="38"/>
    </row>
    <row r="2754" spans="2:2">
      <c r="B2754" s="38"/>
    </row>
    <row r="2755" spans="2:2">
      <c r="B2755" s="38"/>
    </row>
    <row r="2756" spans="2:2">
      <c r="B2756" s="38"/>
    </row>
    <row r="2757" spans="2:2">
      <c r="B2757" s="38"/>
    </row>
    <row r="2758" spans="2:2">
      <c r="B2758" s="38"/>
    </row>
    <row r="2759" spans="2:2">
      <c r="B2759" s="38"/>
    </row>
    <row r="2760" spans="2:2">
      <c r="B2760" s="38"/>
    </row>
    <row r="2761" spans="2:2">
      <c r="B2761" s="38"/>
    </row>
    <row r="2762" spans="2:2">
      <c r="B2762" s="38"/>
    </row>
    <row r="2763" spans="2:2">
      <c r="B2763" s="38"/>
    </row>
    <row r="2764" spans="2:2">
      <c r="B2764" s="38"/>
    </row>
    <row r="2765" spans="2:2">
      <c r="B2765" s="38"/>
    </row>
    <row r="2766" spans="2:2">
      <c r="B2766" s="38"/>
    </row>
    <row r="2767" spans="2:2">
      <c r="B2767" s="38"/>
    </row>
    <row r="2768" spans="2:2">
      <c r="B2768" s="38"/>
    </row>
    <row r="2769" spans="2:2">
      <c r="B2769" s="38"/>
    </row>
    <row r="2770" spans="2:2">
      <c r="B2770" s="38"/>
    </row>
    <row r="2771" spans="2:2">
      <c r="B2771" s="38"/>
    </row>
    <row r="2772" spans="2:2">
      <c r="B2772" s="38"/>
    </row>
    <row r="2773" spans="2:2">
      <c r="B2773" s="38"/>
    </row>
    <row r="2774" spans="2:2">
      <c r="B2774" s="38"/>
    </row>
    <row r="2775" spans="2:2">
      <c r="B2775" s="38"/>
    </row>
    <row r="2776" spans="2:2">
      <c r="B2776" s="38"/>
    </row>
    <row r="2777" spans="2:2">
      <c r="B2777" s="38"/>
    </row>
    <row r="2778" spans="2:2">
      <c r="B2778" s="38"/>
    </row>
    <row r="2779" spans="2:2">
      <c r="B2779" s="38"/>
    </row>
    <row r="2780" spans="2:2">
      <c r="B2780" s="38"/>
    </row>
    <row r="2781" spans="2:2">
      <c r="B2781" s="38"/>
    </row>
    <row r="2782" spans="2:2">
      <c r="B2782" s="38"/>
    </row>
    <row r="2783" spans="2:2">
      <c r="B2783" s="38"/>
    </row>
    <row r="2784" spans="2:2">
      <c r="B2784" s="38"/>
    </row>
    <row r="2785" spans="2:2">
      <c r="B2785" s="38"/>
    </row>
    <row r="2786" spans="2:2">
      <c r="B2786" s="38"/>
    </row>
    <row r="2787" spans="2:2">
      <c r="B2787" s="38"/>
    </row>
    <row r="2788" spans="2:2">
      <c r="B2788" s="38"/>
    </row>
    <row r="2789" spans="2:2">
      <c r="B2789" s="38"/>
    </row>
    <row r="2790" spans="2:2">
      <c r="B2790" s="38"/>
    </row>
    <row r="2791" spans="2:2">
      <c r="B2791" s="38"/>
    </row>
    <row r="2792" spans="2:2">
      <c r="B2792" s="38"/>
    </row>
    <row r="2793" spans="2:2">
      <c r="B2793" s="38"/>
    </row>
    <row r="2794" spans="2:2">
      <c r="B2794" s="38"/>
    </row>
    <row r="2795" spans="2:2">
      <c r="B2795" s="38"/>
    </row>
    <row r="2796" spans="2:2">
      <c r="B2796" s="38"/>
    </row>
    <row r="2797" spans="2:2">
      <c r="B2797" s="38"/>
    </row>
    <row r="2798" spans="2:2">
      <c r="B2798" s="38"/>
    </row>
    <row r="2799" spans="2:2">
      <c r="B2799" s="38"/>
    </row>
    <row r="2800" spans="2:2">
      <c r="B2800" s="38"/>
    </row>
    <row r="2801" spans="2:2">
      <c r="B2801" s="38"/>
    </row>
    <row r="2802" spans="2:2">
      <c r="B2802" s="38"/>
    </row>
    <row r="2803" spans="2:2">
      <c r="B2803" s="38"/>
    </row>
    <row r="2804" spans="2:2">
      <c r="B2804" s="38"/>
    </row>
    <row r="2805" spans="2:2">
      <c r="B2805" s="38"/>
    </row>
    <row r="2806" spans="2:2">
      <c r="B2806" s="38"/>
    </row>
    <row r="2807" spans="2:2">
      <c r="B2807" s="38"/>
    </row>
    <row r="2808" spans="2:2">
      <c r="B2808" s="38"/>
    </row>
    <row r="2809" spans="2:2">
      <c r="B2809" s="38"/>
    </row>
    <row r="2810" spans="2:2">
      <c r="B2810" s="38"/>
    </row>
    <row r="2811" spans="2:2">
      <c r="B2811" s="38"/>
    </row>
    <row r="2812" spans="2:2">
      <c r="B2812" s="38"/>
    </row>
    <row r="2813" spans="2:2">
      <c r="B2813" s="38"/>
    </row>
    <row r="2814" spans="2:2">
      <c r="B2814" s="38"/>
    </row>
    <row r="2815" spans="2:2">
      <c r="B2815" s="38"/>
    </row>
    <row r="2816" spans="2:2">
      <c r="B2816" s="38"/>
    </row>
    <row r="2817" spans="2:2">
      <c r="B2817" s="38"/>
    </row>
    <row r="2818" spans="2:2">
      <c r="B2818" s="38"/>
    </row>
    <row r="2819" spans="2:2">
      <c r="B2819" s="38"/>
    </row>
    <row r="2820" spans="2:2">
      <c r="B2820" s="38"/>
    </row>
    <row r="2821" spans="2:2">
      <c r="B2821" s="38"/>
    </row>
    <row r="2822" spans="2:2">
      <c r="B2822" s="38"/>
    </row>
    <row r="2823" spans="2:2">
      <c r="B2823" s="38"/>
    </row>
    <row r="2824" spans="2:2">
      <c r="B2824" s="38"/>
    </row>
    <row r="2825" spans="2:2">
      <c r="B2825" s="38"/>
    </row>
    <row r="2826" spans="2:2">
      <c r="B2826" s="38"/>
    </row>
    <row r="2827" spans="2:2">
      <c r="B2827" s="38"/>
    </row>
    <row r="2828" spans="2:2">
      <c r="B2828" s="38"/>
    </row>
    <row r="2829" spans="2:2">
      <c r="B2829" s="38"/>
    </row>
    <row r="2830" spans="2:2">
      <c r="B2830" s="38"/>
    </row>
    <row r="2831" spans="2:2">
      <c r="B2831" s="38"/>
    </row>
    <row r="2832" spans="2:2">
      <c r="B2832" s="38"/>
    </row>
    <row r="2833" spans="2:2">
      <c r="B2833" s="38"/>
    </row>
    <row r="2834" spans="2:2">
      <c r="B2834" s="38"/>
    </row>
    <row r="2835" spans="2:2">
      <c r="B2835" s="38"/>
    </row>
    <row r="2836" spans="2:2">
      <c r="B2836" s="38"/>
    </row>
    <row r="2837" spans="2:2">
      <c r="B2837" s="38"/>
    </row>
    <row r="2838" spans="2:2">
      <c r="B2838" s="38"/>
    </row>
    <row r="2839" spans="2:2">
      <c r="B2839" s="38"/>
    </row>
    <row r="2840" spans="2:2">
      <c r="B2840" s="38"/>
    </row>
    <row r="2841" spans="2:2">
      <c r="B2841" s="38"/>
    </row>
    <row r="2842" spans="2:2">
      <c r="B2842" s="38"/>
    </row>
    <row r="2843" spans="2:2">
      <c r="B2843" s="38"/>
    </row>
    <row r="2844" spans="2:2">
      <c r="B2844" s="38"/>
    </row>
    <row r="2845" spans="2:2">
      <c r="B2845" s="38"/>
    </row>
    <row r="2846" spans="2:2">
      <c r="B2846" s="38"/>
    </row>
    <row r="2847" spans="2:2">
      <c r="B2847" s="38"/>
    </row>
    <row r="2848" spans="2:2">
      <c r="B2848" s="38"/>
    </row>
    <row r="2849" spans="2:2">
      <c r="B2849" s="38"/>
    </row>
    <row r="2850" spans="2:2">
      <c r="B2850" s="38"/>
    </row>
    <row r="2851" spans="2:2">
      <c r="B2851" s="38"/>
    </row>
    <row r="2852" spans="2:2">
      <c r="B2852" s="38"/>
    </row>
    <row r="2853" spans="2:2">
      <c r="B2853" s="38"/>
    </row>
    <row r="2854" spans="2:2">
      <c r="B2854" s="38"/>
    </row>
    <row r="2855" spans="2:2">
      <c r="B2855" s="38"/>
    </row>
    <row r="2856" spans="2:2">
      <c r="B2856" s="38"/>
    </row>
    <row r="2857" spans="2:2">
      <c r="B2857" s="38"/>
    </row>
    <row r="2858" spans="2:2">
      <c r="B2858" s="38"/>
    </row>
    <row r="2859" spans="2:2">
      <c r="B2859" s="38"/>
    </row>
    <row r="2860" spans="2:2">
      <c r="B2860" s="38"/>
    </row>
    <row r="2861" spans="2:2">
      <c r="B2861" s="38"/>
    </row>
    <row r="2862" spans="2:2">
      <c r="B2862" s="38"/>
    </row>
    <row r="2863" spans="2:2">
      <c r="B2863" s="38"/>
    </row>
    <row r="2864" spans="2:2">
      <c r="B2864" s="38"/>
    </row>
    <row r="2865" spans="2:2">
      <c r="B2865" s="38"/>
    </row>
    <row r="2866" spans="2:2">
      <c r="B2866" s="38"/>
    </row>
    <row r="2867" spans="2:2">
      <c r="B2867" s="38"/>
    </row>
    <row r="2868" spans="2:2">
      <c r="B2868" s="38"/>
    </row>
    <row r="2869" spans="2:2">
      <c r="B2869" s="38"/>
    </row>
    <row r="2870" spans="2:2">
      <c r="B2870" s="38"/>
    </row>
    <row r="2871" spans="2:2">
      <c r="B2871" s="38"/>
    </row>
    <row r="2872" spans="2:2">
      <c r="B2872" s="38"/>
    </row>
    <row r="2873" spans="2:2">
      <c r="B2873" s="38"/>
    </row>
    <row r="2874" spans="2:2">
      <c r="B2874" s="38"/>
    </row>
    <row r="2875" spans="2:2">
      <c r="B2875" s="38"/>
    </row>
    <row r="2876" spans="2:2">
      <c r="B2876" s="38"/>
    </row>
    <row r="2877" spans="2:2">
      <c r="B2877" s="38"/>
    </row>
    <row r="2878" spans="2:2">
      <c r="B2878" s="38"/>
    </row>
    <row r="2879" spans="2:2">
      <c r="B2879" s="38"/>
    </row>
    <row r="2880" spans="2:2">
      <c r="B2880" s="38"/>
    </row>
    <row r="2881" spans="2:2">
      <c r="B2881" s="38"/>
    </row>
    <row r="2882" spans="2:2">
      <c r="B2882" s="38"/>
    </row>
    <row r="2883" spans="2:2">
      <c r="B2883" s="38"/>
    </row>
    <row r="2884" spans="2:2">
      <c r="B2884" s="38"/>
    </row>
    <row r="2885" spans="2:2">
      <c r="B2885" s="38"/>
    </row>
    <row r="2886" spans="2:2">
      <c r="B2886" s="38"/>
    </row>
    <row r="2887" spans="2:2">
      <c r="B2887" s="38"/>
    </row>
    <row r="2888" spans="2:2">
      <c r="B2888" s="38"/>
    </row>
    <row r="2889" spans="2:2">
      <c r="B2889" s="38"/>
    </row>
    <row r="2890" spans="2:2">
      <c r="B2890" s="38"/>
    </row>
    <row r="2891" spans="2:2">
      <c r="B2891" s="38"/>
    </row>
    <row r="2892" spans="2:2">
      <c r="B2892" s="38"/>
    </row>
    <row r="2893" spans="2:2">
      <c r="B2893" s="38"/>
    </row>
    <row r="2894" spans="2:2">
      <c r="B2894" s="38"/>
    </row>
    <row r="2895" spans="2:2">
      <c r="B2895" s="38"/>
    </row>
    <row r="2896" spans="2:2">
      <c r="B2896" s="38"/>
    </row>
    <row r="2897" spans="2:2">
      <c r="B2897" s="38"/>
    </row>
    <row r="2898" spans="2:2">
      <c r="B2898" s="38"/>
    </row>
    <row r="2899" spans="2:2">
      <c r="B2899" s="38"/>
    </row>
    <row r="2900" spans="2:2">
      <c r="B2900" s="38"/>
    </row>
    <row r="2901" spans="2:2">
      <c r="B2901" s="38"/>
    </row>
    <row r="2902" spans="2:2">
      <c r="B2902" s="38"/>
    </row>
    <row r="2903" spans="2:2">
      <c r="B2903" s="38"/>
    </row>
    <row r="2904" spans="2:2">
      <c r="B2904" s="38"/>
    </row>
    <row r="2905" spans="2:2">
      <c r="B2905" s="38"/>
    </row>
    <row r="2906" spans="2:2">
      <c r="B2906" s="38"/>
    </row>
    <row r="2907" spans="2:2">
      <c r="B2907" s="38"/>
    </row>
    <row r="2908" spans="2:2">
      <c r="B2908" s="38"/>
    </row>
    <row r="2909" spans="2:2">
      <c r="B2909" s="38"/>
    </row>
    <row r="2910" spans="2:2">
      <c r="B2910" s="38"/>
    </row>
    <row r="2911" spans="2:2">
      <c r="B2911" s="38"/>
    </row>
    <row r="2912" spans="2:2">
      <c r="B2912" s="38"/>
    </row>
    <row r="2913" spans="2:2">
      <c r="B2913" s="38"/>
    </row>
    <row r="2914" spans="2:2">
      <c r="B2914" s="38"/>
    </row>
    <row r="2915" spans="2:2">
      <c r="B2915" s="38"/>
    </row>
    <row r="2916" spans="2:2">
      <c r="B2916" s="38"/>
    </row>
    <row r="2917" spans="2:2">
      <c r="B2917" s="38"/>
    </row>
    <row r="2918" spans="2:2">
      <c r="B2918" s="38"/>
    </row>
    <row r="2919" spans="2:2">
      <c r="B2919" s="38"/>
    </row>
    <row r="2920" spans="2:2">
      <c r="B2920" s="38"/>
    </row>
    <row r="2921" spans="2:2">
      <c r="B2921" s="38"/>
    </row>
    <row r="2922" spans="2:2">
      <c r="B2922" s="38"/>
    </row>
    <row r="2923" spans="2:2">
      <c r="B2923" s="38"/>
    </row>
    <row r="2924" spans="2:2">
      <c r="B2924" s="38"/>
    </row>
    <row r="2925" spans="2:2">
      <c r="B2925" s="38"/>
    </row>
    <row r="2926" spans="2:2">
      <c r="B2926" s="38"/>
    </row>
    <row r="2927" spans="2:2">
      <c r="B2927" s="38"/>
    </row>
    <row r="2928" spans="2:2">
      <c r="B2928" s="38"/>
    </row>
    <row r="2929" spans="2:2">
      <c r="B2929" s="38"/>
    </row>
    <row r="2930" spans="2:2">
      <c r="B2930" s="38"/>
    </row>
    <row r="2931" spans="2:2">
      <c r="B2931" s="38"/>
    </row>
    <row r="2932" spans="2:2">
      <c r="B2932" s="38"/>
    </row>
    <row r="2933" spans="2:2">
      <c r="B2933" s="38"/>
    </row>
    <row r="2934" spans="2:2">
      <c r="B2934" s="38"/>
    </row>
    <row r="2935" spans="2:2">
      <c r="B2935" s="38"/>
    </row>
    <row r="2936" spans="2:2">
      <c r="B2936" s="38"/>
    </row>
    <row r="2937" spans="2:2">
      <c r="B2937" s="38"/>
    </row>
    <row r="2938" spans="2:2">
      <c r="B2938" s="38"/>
    </row>
    <row r="2939" spans="2:2">
      <c r="B2939" s="38"/>
    </row>
    <row r="2940" spans="2:2">
      <c r="B2940" s="38"/>
    </row>
    <row r="2941" spans="2:2">
      <c r="B2941" s="38"/>
    </row>
    <row r="2942" spans="2:2">
      <c r="B2942" s="38"/>
    </row>
    <row r="2943" spans="2:2">
      <c r="B2943" s="38"/>
    </row>
    <row r="2944" spans="2:2">
      <c r="B2944" s="38"/>
    </row>
    <row r="2945" spans="2:2">
      <c r="B2945" s="38"/>
    </row>
    <row r="2946" spans="2:2">
      <c r="B2946" s="38"/>
    </row>
    <row r="2947" spans="2:2">
      <c r="B2947" s="38"/>
    </row>
    <row r="2948" spans="2:2">
      <c r="B2948" s="38"/>
    </row>
    <row r="2949" spans="2:2">
      <c r="B2949" s="38"/>
    </row>
    <row r="2950" spans="2:2">
      <c r="B2950" s="38"/>
    </row>
    <row r="2951" spans="2:2">
      <c r="B2951" s="38"/>
    </row>
    <row r="2952" spans="2:2">
      <c r="B2952" s="38"/>
    </row>
    <row r="2953" spans="2:2">
      <c r="B2953" s="38"/>
    </row>
    <row r="2954" spans="2:2">
      <c r="B2954" s="38"/>
    </row>
    <row r="2955" spans="2:2">
      <c r="B2955" s="38"/>
    </row>
    <row r="2956" spans="2:2">
      <c r="B2956" s="38"/>
    </row>
    <row r="2957" spans="2:2">
      <c r="B2957" s="38"/>
    </row>
    <row r="2958" spans="2:2">
      <c r="B2958" s="38"/>
    </row>
    <row r="2959" spans="2:2">
      <c r="B2959" s="38"/>
    </row>
    <row r="2960" spans="2:2">
      <c r="B2960" s="38"/>
    </row>
    <row r="2961" spans="2:2">
      <c r="B2961" s="38"/>
    </row>
    <row r="2962" spans="2:2">
      <c r="B2962" s="38"/>
    </row>
    <row r="2963" spans="2:2">
      <c r="B2963" s="38"/>
    </row>
    <row r="2964" spans="2:2">
      <c r="B2964" s="38"/>
    </row>
    <row r="2965" spans="2:2">
      <c r="B2965" s="38"/>
    </row>
    <row r="2966" spans="2:2">
      <c r="B2966" s="38"/>
    </row>
    <row r="2967" spans="2:2">
      <c r="B2967" s="38"/>
    </row>
    <row r="2968" spans="2:2">
      <c r="B2968" s="38"/>
    </row>
    <row r="2969" spans="2:2">
      <c r="B2969" s="38"/>
    </row>
    <row r="2970" spans="2:2">
      <c r="B2970" s="38"/>
    </row>
    <row r="2971" spans="2:2">
      <c r="B2971" s="38"/>
    </row>
    <row r="2972" spans="2:2">
      <c r="B2972" s="38"/>
    </row>
    <row r="2973" spans="2:2">
      <c r="B2973" s="38"/>
    </row>
    <row r="2974" spans="2:2">
      <c r="B2974" s="38"/>
    </row>
    <row r="2975" spans="2:2">
      <c r="B2975" s="38"/>
    </row>
    <row r="2976" spans="2:2">
      <c r="B2976" s="38"/>
    </row>
    <row r="2977" spans="2:2">
      <c r="B2977" s="38"/>
    </row>
    <row r="2978" spans="2:2">
      <c r="B2978" s="38"/>
    </row>
    <row r="2979" spans="2:2">
      <c r="B2979" s="38"/>
    </row>
    <row r="2980" spans="2:2">
      <c r="B2980" s="38"/>
    </row>
    <row r="2981" spans="2:2">
      <c r="B2981" s="38"/>
    </row>
    <row r="2982" spans="2:2">
      <c r="B2982" s="38"/>
    </row>
    <row r="2983" spans="2:2">
      <c r="B2983" s="38"/>
    </row>
    <row r="2984" spans="2:2">
      <c r="B2984" s="38"/>
    </row>
    <row r="2985" spans="2:2">
      <c r="B2985" s="38"/>
    </row>
    <row r="2986" spans="2:2">
      <c r="B2986" s="38"/>
    </row>
    <row r="2987" spans="2:2">
      <c r="B2987" s="38"/>
    </row>
    <row r="2988" spans="2:2">
      <c r="B2988" s="38"/>
    </row>
    <row r="2989" spans="2:2">
      <c r="B2989" s="38"/>
    </row>
    <row r="2990" spans="2:2">
      <c r="B2990" s="38"/>
    </row>
    <row r="2991" spans="2:2">
      <c r="B2991" s="38"/>
    </row>
    <row r="2992" spans="2:2">
      <c r="B2992" s="38"/>
    </row>
    <row r="2993" spans="2:2">
      <c r="B2993" s="38"/>
    </row>
    <row r="2994" spans="2:2">
      <c r="B2994" s="38"/>
    </row>
    <row r="2995" spans="2:2">
      <c r="B2995" s="38"/>
    </row>
    <row r="2996" spans="2:2">
      <c r="B2996" s="38"/>
    </row>
    <row r="2997" spans="2:2">
      <c r="B2997" s="38"/>
    </row>
    <row r="2998" spans="2:2">
      <c r="B2998" s="38"/>
    </row>
    <row r="2999" spans="2:2">
      <c r="B2999" s="38"/>
    </row>
    <row r="3000" spans="2:2">
      <c r="B3000" s="38"/>
    </row>
    <row r="3001" spans="2:2">
      <c r="B3001" s="38"/>
    </row>
    <row r="3002" spans="2:2">
      <c r="B3002" s="38"/>
    </row>
    <row r="3003" spans="2:2">
      <c r="B3003" s="38"/>
    </row>
    <row r="3004" spans="2:2">
      <c r="B3004" s="38"/>
    </row>
    <row r="3005" spans="2:2">
      <c r="B3005" s="38"/>
    </row>
    <row r="3006" spans="2:2">
      <c r="B3006" s="38"/>
    </row>
    <row r="3007" spans="2:2">
      <c r="B3007" s="38"/>
    </row>
    <row r="3008" spans="2:2">
      <c r="B3008" s="38"/>
    </row>
    <row r="3009" spans="2:2">
      <c r="B3009" s="38"/>
    </row>
    <row r="3010" spans="2:2">
      <c r="B3010" s="38"/>
    </row>
    <row r="3011" spans="2:2">
      <c r="B3011" s="38"/>
    </row>
    <row r="3012" spans="2:2">
      <c r="B3012" s="38"/>
    </row>
    <row r="3013" spans="2:2">
      <c r="B3013" s="38"/>
    </row>
    <row r="3014" spans="2:2">
      <c r="B3014" s="38"/>
    </row>
    <row r="3015" spans="2:2">
      <c r="B3015" s="38"/>
    </row>
    <row r="3016" spans="2:2">
      <c r="B3016" s="38"/>
    </row>
    <row r="3017" spans="2:2">
      <c r="B3017" s="38"/>
    </row>
    <row r="3018" spans="2:2">
      <c r="B3018" s="38"/>
    </row>
    <row r="3019" spans="2:2">
      <c r="B3019" s="38"/>
    </row>
    <row r="3020" spans="2:2">
      <c r="B3020" s="38"/>
    </row>
    <row r="3021" spans="2:2">
      <c r="B3021" s="38"/>
    </row>
    <row r="3022" spans="2:2">
      <c r="B3022" s="38"/>
    </row>
    <row r="3023" spans="2:2">
      <c r="B3023" s="38"/>
    </row>
    <row r="3024" spans="2:2">
      <c r="B3024" s="38"/>
    </row>
    <row r="3025" spans="2:2">
      <c r="B3025" s="38"/>
    </row>
    <row r="3026" spans="2:2">
      <c r="B3026" s="38"/>
    </row>
    <row r="3027" spans="2:2">
      <c r="B3027" s="38"/>
    </row>
    <row r="3028" spans="2:2">
      <c r="B3028" s="38"/>
    </row>
    <row r="3029" spans="2:2">
      <c r="B3029" s="38"/>
    </row>
    <row r="3030" spans="2:2">
      <c r="B3030" s="38"/>
    </row>
    <row r="3031" spans="2:2">
      <c r="B3031" s="38"/>
    </row>
    <row r="3032" spans="2:2">
      <c r="B3032" s="38"/>
    </row>
    <row r="3033" spans="2:2">
      <c r="B3033" s="38"/>
    </row>
    <row r="3034" spans="2:2">
      <c r="B3034" s="38"/>
    </row>
    <row r="3035" spans="2:2">
      <c r="B3035" s="38"/>
    </row>
    <row r="3036" spans="2:2">
      <c r="B3036" s="38"/>
    </row>
    <row r="3037" spans="2:2">
      <c r="B3037" s="38"/>
    </row>
    <row r="3038" spans="2:2">
      <c r="B3038" s="38"/>
    </row>
    <row r="3039" spans="2:2">
      <c r="B3039" s="38"/>
    </row>
    <row r="3040" spans="2:2">
      <c r="B3040" s="38"/>
    </row>
    <row r="3041" spans="2:2">
      <c r="B3041" s="38"/>
    </row>
    <row r="3042" spans="2:2">
      <c r="B3042" s="38"/>
    </row>
    <row r="3043" spans="2:2">
      <c r="B3043" s="38"/>
    </row>
    <row r="3044" spans="2:2">
      <c r="B3044" s="38"/>
    </row>
    <row r="3045" spans="2:2">
      <c r="B3045" s="38"/>
    </row>
    <row r="3046" spans="2:2">
      <c r="B3046" s="38"/>
    </row>
    <row r="3047" spans="2:2">
      <c r="B3047" s="38"/>
    </row>
    <row r="3048" spans="2:2">
      <c r="B3048" s="38"/>
    </row>
    <row r="3049" spans="2:2">
      <c r="B3049" s="38"/>
    </row>
    <row r="3050" spans="2:2">
      <c r="B3050" s="38"/>
    </row>
    <row r="3051" spans="2:2">
      <c r="B3051" s="38"/>
    </row>
    <row r="3052" spans="2:2">
      <c r="B3052" s="38"/>
    </row>
    <row r="3053" spans="2:2">
      <c r="B3053" s="38"/>
    </row>
    <row r="3054" spans="2:2">
      <c r="B3054" s="38"/>
    </row>
    <row r="3055" spans="2:2">
      <c r="B3055" s="38"/>
    </row>
    <row r="3056" spans="2:2">
      <c r="B3056" s="38"/>
    </row>
    <row r="3057" spans="2:2">
      <c r="B3057" s="38"/>
    </row>
    <row r="3058" spans="2:2">
      <c r="B3058" s="38"/>
    </row>
    <row r="3059" spans="2:2">
      <c r="B3059" s="38"/>
    </row>
    <row r="3060" spans="2:2">
      <c r="B3060" s="38"/>
    </row>
    <row r="3061" spans="2:2">
      <c r="B3061" s="38"/>
    </row>
    <row r="3062" spans="2:2">
      <c r="B3062" s="38"/>
    </row>
    <row r="3063" spans="2:2">
      <c r="B3063" s="38"/>
    </row>
    <row r="3064" spans="2:2">
      <c r="B3064" s="38"/>
    </row>
    <row r="3065" spans="2:2">
      <c r="B3065" s="38"/>
    </row>
    <row r="3066" spans="2:2">
      <c r="B3066" s="38"/>
    </row>
    <row r="3067" spans="2:2">
      <c r="B3067" s="38"/>
    </row>
    <row r="3068" spans="2:2">
      <c r="B3068" s="38"/>
    </row>
    <row r="3069" spans="2:2">
      <c r="B3069" s="38"/>
    </row>
    <row r="3070" spans="2:2">
      <c r="B3070" s="38"/>
    </row>
    <row r="3071" spans="2:2">
      <c r="B3071" s="38"/>
    </row>
    <row r="3072" spans="2:2">
      <c r="B3072" s="38"/>
    </row>
    <row r="3073" spans="2:2">
      <c r="B3073" s="38"/>
    </row>
    <row r="3074" spans="2:2">
      <c r="B3074" s="38"/>
    </row>
    <row r="3075" spans="2:2">
      <c r="B3075" s="38"/>
    </row>
    <row r="3076" spans="2:2">
      <c r="B3076" s="38"/>
    </row>
    <row r="3077" spans="2:2">
      <c r="B3077" s="38"/>
    </row>
    <row r="3078" spans="2:2">
      <c r="B3078" s="38"/>
    </row>
    <row r="3079" spans="2:2">
      <c r="B3079" s="38"/>
    </row>
    <row r="3080" spans="2:2">
      <c r="B3080" s="38"/>
    </row>
    <row r="3081" spans="2:2">
      <c r="B3081" s="38"/>
    </row>
    <row r="3082" spans="2:2">
      <c r="B3082" s="38"/>
    </row>
    <row r="3083" spans="2:2">
      <c r="B3083" s="38"/>
    </row>
    <row r="3084" spans="2:2">
      <c r="B3084" s="38"/>
    </row>
    <row r="3085" spans="2:2">
      <c r="B3085" s="38"/>
    </row>
    <row r="3086" spans="2:2">
      <c r="B3086" s="38"/>
    </row>
    <row r="3087" spans="2:2">
      <c r="B3087" s="38"/>
    </row>
    <row r="3088" spans="2:2">
      <c r="B3088" s="38"/>
    </row>
    <row r="3089" spans="2:2">
      <c r="B3089" s="38"/>
    </row>
    <row r="3090" spans="2:2">
      <c r="B3090" s="38"/>
    </row>
    <row r="3091" spans="2:2">
      <c r="B3091" s="38"/>
    </row>
    <row r="3092" spans="2:2">
      <c r="B3092" s="38"/>
    </row>
    <row r="3093" spans="2:2">
      <c r="B3093" s="38"/>
    </row>
    <row r="3094" spans="2:2">
      <c r="B3094" s="38"/>
    </row>
    <row r="3095" spans="2:2">
      <c r="B3095" s="38"/>
    </row>
    <row r="3096" spans="2:2">
      <c r="B3096" s="38"/>
    </row>
    <row r="3097" spans="2:2">
      <c r="B3097" s="38"/>
    </row>
    <row r="3098" spans="2:2">
      <c r="B3098" s="38"/>
    </row>
    <row r="3099" spans="2:2">
      <c r="B3099" s="38"/>
    </row>
    <row r="3100" spans="2:2">
      <c r="B3100" s="38"/>
    </row>
    <row r="3101" spans="2:2">
      <c r="B3101" s="38"/>
    </row>
    <row r="3102" spans="2:2">
      <c r="B3102" s="38"/>
    </row>
    <row r="3103" spans="2:2">
      <c r="B3103" s="38"/>
    </row>
    <row r="3104" spans="2:2">
      <c r="B3104" s="38"/>
    </row>
    <row r="3105" spans="2:2">
      <c r="B3105" s="38"/>
    </row>
    <row r="3106" spans="2:2">
      <c r="B3106" s="38"/>
    </row>
    <row r="3107" spans="2:2">
      <c r="B3107" s="38"/>
    </row>
    <row r="3108" spans="2:2">
      <c r="B3108" s="38"/>
    </row>
    <row r="3109" spans="2:2">
      <c r="B3109" s="38"/>
    </row>
    <row r="3110" spans="2:2">
      <c r="B3110" s="38"/>
    </row>
    <row r="3111" spans="2:2">
      <c r="B3111" s="38"/>
    </row>
    <row r="3112" spans="2:2">
      <c r="B3112" s="38"/>
    </row>
    <row r="3113" spans="2:2">
      <c r="B3113" s="38"/>
    </row>
    <row r="3114" spans="2:2">
      <c r="B3114" s="38"/>
    </row>
    <row r="3115" spans="2:2">
      <c r="B3115" s="38"/>
    </row>
    <row r="3116" spans="2:2">
      <c r="B3116" s="38"/>
    </row>
    <row r="3117" spans="2:2">
      <c r="B3117" s="38"/>
    </row>
    <row r="3118" spans="2:2">
      <c r="B3118" s="38"/>
    </row>
    <row r="3119" spans="2:2">
      <c r="B3119" s="38"/>
    </row>
    <row r="3120" spans="2:2">
      <c r="B3120" s="38"/>
    </row>
    <row r="3121" spans="2:2">
      <c r="B3121" s="38"/>
    </row>
    <row r="3122" spans="2:2">
      <c r="B3122" s="38"/>
    </row>
    <row r="3123" spans="2:2">
      <c r="B3123" s="38"/>
    </row>
    <row r="3124" spans="2:2">
      <c r="B3124" s="38"/>
    </row>
    <row r="3125" spans="2:2">
      <c r="B3125" s="38"/>
    </row>
    <row r="3126" spans="2:2">
      <c r="B3126" s="38"/>
    </row>
    <row r="3127" spans="2:2">
      <c r="B3127" s="38"/>
    </row>
    <row r="3128" spans="2:2">
      <c r="B3128" s="38"/>
    </row>
    <row r="3129" spans="2:2">
      <c r="B3129" s="38"/>
    </row>
    <row r="3130" spans="2:2">
      <c r="B3130" s="38"/>
    </row>
    <row r="3131" spans="2:2">
      <c r="B3131" s="38"/>
    </row>
    <row r="3132" spans="2:2">
      <c r="B3132" s="38"/>
    </row>
    <row r="3133" spans="2:2">
      <c r="B3133" s="38"/>
    </row>
    <row r="3134" spans="2:2">
      <c r="B3134" s="38"/>
    </row>
    <row r="3135" spans="2:2">
      <c r="B3135" s="38"/>
    </row>
    <row r="3136" spans="2:2">
      <c r="B3136" s="38"/>
    </row>
    <row r="3137" spans="2:2">
      <c r="B3137" s="38"/>
    </row>
    <row r="3138" spans="2:2">
      <c r="B3138" s="38"/>
    </row>
    <row r="3139" spans="2:2">
      <c r="B3139" s="38"/>
    </row>
    <row r="3140" spans="2:2">
      <c r="B3140" s="38"/>
    </row>
    <row r="3141" spans="2:2">
      <c r="B3141" s="38"/>
    </row>
    <row r="3142" spans="2:2">
      <c r="B3142" s="38"/>
    </row>
    <row r="3143" spans="2:2">
      <c r="B3143" s="38"/>
    </row>
    <row r="3144" spans="2:2">
      <c r="B3144" s="38"/>
    </row>
    <row r="3145" spans="2:2">
      <c r="B3145" s="38"/>
    </row>
    <row r="3146" spans="2:2">
      <c r="B3146" s="38"/>
    </row>
    <row r="3147" spans="2:2">
      <c r="B3147" s="38"/>
    </row>
    <row r="3148" spans="2:2">
      <c r="B3148" s="38"/>
    </row>
    <row r="3149" spans="2:2">
      <c r="B3149" s="38"/>
    </row>
    <row r="3150" spans="2:2">
      <c r="B3150" s="38"/>
    </row>
    <row r="3151" spans="2:2">
      <c r="B3151" s="38"/>
    </row>
    <row r="3152" spans="2:2">
      <c r="B3152" s="38"/>
    </row>
    <row r="3153" spans="2:2">
      <c r="B3153" s="38"/>
    </row>
    <row r="3154" spans="2:2">
      <c r="B3154" s="38"/>
    </row>
    <row r="3155" spans="2:2">
      <c r="B3155" s="38"/>
    </row>
    <row r="3156" spans="2:2">
      <c r="B3156" s="38"/>
    </row>
    <row r="3157" spans="2:2">
      <c r="B3157" s="38"/>
    </row>
    <row r="3158" spans="2:2">
      <c r="B3158" s="38"/>
    </row>
    <row r="3159" spans="2:2">
      <c r="B3159" s="38"/>
    </row>
    <row r="3160" spans="2:2">
      <c r="B3160" s="38"/>
    </row>
    <row r="3161" spans="2:2">
      <c r="B3161" s="38"/>
    </row>
    <row r="3162" spans="2:2">
      <c r="B3162" s="38"/>
    </row>
    <row r="3163" spans="2:2">
      <c r="B3163" s="38"/>
    </row>
    <row r="3164" spans="2:2">
      <c r="B3164" s="38"/>
    </row>
    <row r="3165" spans="2:2">
      <c r="B3165" s="38"/>
    </row>
    <row r="3166" spans="2:2">
      <c r="B3166" s="38"/>
    </row>
    <row r="3167" spans="2:2">
      <c r="B3167" s="38"/>
    </row>
    <row r="3168" spans="2:2">
      <c r="B3168" s="38"/>
    </row>
    <row r="3169" spans="2:2">
      <c r="B3169" s="38"/>
    </row>
    <row r="3170" spans="2:2">
      <c r="B3170" s="38"/>
    </row>
    <row r="3171" spans="2:2">
      <c r="B3171" s="38"/>
    </row>
    <row r="3172" spans="2:2">
      <c r="B3172" s="38"/>
    </row>
    <row r="3173" spans="2:2">
      <c r="B3173" s="38"/>
    </row>
    <row r="3174" spans="2:2">
      <c r="B3174" s="38"/>
    </row>
    <row r="3175" spans="2:2">
      <c r="B3175" s="38"/>
    </row>
    <row r="3176" spans="2:2">
      <c r="B3176" s="38"/>
    </row>
    <row r="3177" spans="2:2">
      <c r="B3177" s="38"/>
    </row>
    <row r="3178" spans="2:2">
      <c r="B3178" s="38"/>
    </row>
    <row r="3179" spans="2:2">
      <c r="B3179" s="38"/>
    </row>
    <row r="3180" spans="2:2">
      <c r="B3180" s="38"/>
    </row>
    <row r="3181" spans="2:2">
      <c r="B3181" s="38"/>
    </row>
    <row r="3182" spans="2:2">
      <c r="B3182" s="38"/>
    </row>
    <row r="3183" spans="2:2">
      <c r="B3183" s="38"/>
    </row>
    <row r="3184" spans="2:2">
      <c r="B3184" s="38"/>
    </row>
    <row r="3185" spans="2:2">
      <c r="B3185" s="38"/>
    </row>
    <row r="3186" spans="2:2">
      <c r="B3186" s="38"/>
    </row>
    <row r="3187" spans="2:2">
      <c r="B3187" s="38"/>
    </row>
    <row r="3188" spans="2:2">
      <c r="B3188" s="38"/>
    </row>
    <row r="3189" spans="2:2">
      <c r="B3189" s="38"/>
    </row>
    <row r="3190" spans="2:2">
      <c r="B3190" s="38"/>
    </row>
    <row r="3191" spans="2:2">
      <c r="B3191" s="38"/>
    </row>
    <row r="3192" spans="2:2">
      <c r="B3192" s="38"/>
    </row>
    <row r="3193" spans="2:2">
      <c r="B3193" s="38"/>
    </row>
    <row r="3194" spans="2:2">
      <c r="B3194" s="38"/>
    </row>
    <row r="3195" spans="2:2">
      <c r="B3195" s="38"/>
    </row>
    <row r="3196" spans="2:2">
      <c r="B3196" s="38"/>
    </row>
    <row r="3197" spans="2:2">
      <c r="B3197" s="38"/>
    </row>
    <row r="3198" spans="2:2">
      <c r="B3198" s="38"/>
    </row>
    <row r="3199" spans="2:2">
      <c r="B3199" s="38"/>
    </row>
    <row r="3200" spans="2:2">
      <c r="B3200" s="38"/>
    </row>
    <row r="3201" spans="2:2">
      <c r="B3201" s="38"/>
    </row>
    <row r="3202" spans="2:2">
      <c r="B3202" s="38"/>
    </row>
    <row r="3203" spans="2:2">
      <c r="B3203" s="38"/>
    </row>
    <row r="3204" spans="2:2">
      <c r="B3204" s="38"/>
    </row>
    <row r="3205" spans="2:2">
      <c r="B3205" s="38"/>
    </row>
    <row r="3206" spans="2:2">
      <c r="B3206" s="38"/>
    </row>
    <row r="3207" spans="2:2">
      <c r="B3207" s="38"/>
    </row>
    <row r="3208" spans="2:2">
      <c r="B3208" s="38"/>
    </row>
    <row r="3209" spans="2:2">
      <c r="B3209" s="38"/>
    </row>
    <row r="3210" spans="2:2">
      <c r="B3210" s="38"/>
    </row>
    <row r="3211" spans="2:2">
      <c r="B3211" s="38"/>
    </row>
    <row r="3212" spans="2:2">
      <c r="B3212" s="38"/>
    </row>
    <row r="3213" spans="2:2">
      <c r="B3213" s="38"/>
    </row>
    <row r="3214" spans="2:2">
      <c r="B3214" s="38"/>
    </row>
    <row r="3215" spans="2:2">
      <c r="B3215" s="38"/>
    </row>
    <row r="3216" spans="2:2">
      <c r="B3216" s="38"/>
    </row>
    <row r="3217" spans="2:2">
      <c r="B3217" s="38"/>
    </row>
    <row r="3218" spans="2:2">
      <c r="B3218" s="38"/>
    </row>
    <row r="3219" spans="2:2">
      <c r="B3219" s="38"/>
    </row>
    <row r="3220" spans="2:2">
      <c r="B3220" s="38"/>
    </row>
    <row r="3221" spans="2:2">
      <c r="B3221" s="38"/>
    </row>
    <row r="3222" spans="2:2">
      <c r="B3222" s="38"/>
    </row>
    <row r="3223" spans="2:2">
      <c r="B3223" s="38"/>
    </row>
    <row r="3224" spans="2:2">
      <c r="B3224" s="38"/>
    </row>
    <row r="3225" spans="2:2">
      <c r="B3225" s="38"/>
    </row>
    <row r="3226" spans="2:2">
      <c r="B3226" s="38"/>
    </row>
    <row r="3227" spans="2:2">
      <c r="B3227" s="38"/>
    </row>
    <row r="3228" spans="2:2">
      <c r="B3228" s="38"/>
    </row>
    <row r="3229" spans="2:2">
      <c r="B3229" s="38"/>
    </row>
    <row r="3230" spans="2:2">
      <c r="B3230" s="38"/>
    </row>
    <row r="3231" spans="2:2">
      <c r="B3231" s="38"/>
    </row>
    <row r="3232" spans="2:2">
      <c r="B3232" s="38"/>
    </row>
    <row r="3233" spans="2:2">
      <c r="B3233" s="38"/>
    </row>
    <row r="3234" spans="2:2">
      <c r="B3234" s="38"/>
    </row>
    <row r="3235" spans="2:2">
      <c r="B3235" s="38"/>
    </row>
    <row r="3236" spans="2:2">
      <c r="B3236" s="38"/>
    </row>
    <row r="3237" spans="2:2">
      <c r="B3237" s="38"/>
    </row>
    <row r="3238" spans="2:2">
      <c r="B3238" s="38"/>
    </row>
    <row r="3239" spans="2:2">
      <c r="B3239" s="38"/>
    </row>
    <row r="3240" spans="2:2">
      <c r="B3240" s="38"/>
    </row>
    <row r="3241" spans="2:2">
      <c r="B3241" s="38"/>
    </row>
    <row r="3242" spans="2:2">
      <c r="B3242" s="38"/>
    </row>
    <row r="3243" spans="2:2">
      <c r="B3243" s="38"/>
    </row>
    <row r="3244" spans="2:2">
      <c r="B3244" s="38"/>
    </row>
    <row r="3245" spans="2:2">
      <c r="B3245" s="38"/>
    </row>
    <row r="3246" spans="2:2">
      <c r="B3246" s="38"/>
    </row>
    <row r="3247" spans="2:2">
      <c r="B3247" s="38"/>
    </row>
    <row r="3248" spans="2:2">
      <c r="B3248" s="38"/>
    </row>
    <row r="3249" spans="2:2">
      <c r="B3249" s="38"/>
    </row>
    <row r="3250" spans="2:2">
      <c r="B3250" s="38"/>
    </row>
    <row r="3251" spans="2:2">
      <c r="B3251" s="38"/>
    </row>
    <row r="3252" spans="2:2">
      <c r="B3252" s="38"/>
    </row>
    <row r="3253" spans="2:2">
      <c r="B3253" s="38"/>
    </row>
    <row r="3254" spans="2:2">
      <c r="B3254" s="38"/>
    </row>
    <row r="3255" spans="2:2">
      <c r="B3255" s="38"/>
    </row>
    <row r="3256" spans="2:2">
      <c r="B3256" s="38"/>
    </row>
    <row r="3257" spans="2:2">
      <c r="B3257" s="38"/>
    </row>
    <row r="3258" spans="2:2">
      <c r="B3258" s="38"/>
    </row>
    <row r="3259" spans="2:2">
      <c r="B3259" s="38"/>
    </row>
    <row r="3260" spans="2:2">
      <c r="B3260" s="38"/>
    </row>
    <row r="3261" spans="2:2">
      <c r="B3261" s="38"/>
    </row>
    <row r="3262" spans="2:2">
      <c r="B3262" s="38"/>
    </row>
    <row r="3263" spans="2:2">
      <c r="B3263" s="38"/>
    </row>
    <row r="3264" spans="2:2">
      <c r="B3264" s="38"/>
    </row>
    <row r="3265" spans="2:2">
      <c r="B3265" s="38"/>
    </row>
    <row r="3266" spans="2:2">
      <c r="B3266" s="38"/>
    </row>
    <row r="3267" spans="2:2">
      <c r="B3267" s="38"/>
    </row>
    <row r="3268" spans="2:2">
      <c r="B3268" s="38"/>
    </row>
    <row r="3269" spans="2:2">
      <c r="B3269" s="38"/>
    </row>
    <row r="3270" spans="2:2">
      <c r="B3270" s="38"/>
    </row>
    <row r="3271" spans="2:2">
      <c r="B3271" s="38"/>
    </row>
    <row r="3272" spans="2:2">
      <c r="B3272" s="38"/>
    </row>
    <row r="3273" spans="2:2">
      <c r="B3273" s="38"/>
    </row>
    <row r="3274" spans="2:2">
      <c r="B3274" s="38"/>
    </row>
    <row r="3275" spans="2:2">
      <c r="B3275" s="38"/>
    </row>
    <row r="3276" spans="2:2">
      <c r="B3276" s="38"/>
    </row>
    <row r="3277" spans="2:2">
      <c r="B3277" s="38"/>
    </row>
    <row r="3278" spans="2:2">
      <c r="B3278" s="38"/>
    </row>
    <row r="3279" spans="2:2">
      <c r="B3279" s="38"/>
    </row>
    <row r="3280" spans="2:2">
      <c r="B3280" s="38"/>
    </row>
    <row r="3281" spans="2:2">
      <c r="B3281" s="38"/>
    </row>
    <row r="3282" spans="2:2">
      <c r="B3282" s="38"/>
    </row>
    <row r="3283" spans="2:2">
      <c r="B3283" s="38"/>
    </row>
    <row r="3284" spans="2:2">
      <c r="B3284" s="38"/>
    </row>
    <row r="3285" spans="2:2">
      <c r="B3285" s="38"/>
    </row>
    <row r="3286" spans="2:2">
      <c r="B3286" s="38"/>
    </row>
    <row r="3287" spans="2:2">
      <c r="B3287" s="38"/>
    </row>
    <row r="3288" spans="2:2">
      <c r="B3288" s="38"/>
    </row>
    <row r="3289" spans="2:2">
      <c r="B3289" s="38"/>
    </row>
    <row r="3290" spans="2:2">
      <c r="B3290" s="38"/>
    </row>
    <row r="3291" spans="2:2">
      <c r="B3291" s="38"/>
    </row>
    <row r="3292" spans="2:2">
      <c r="B3292" s="38"/>
    </row>
    <row r="3293" spans="2:2">
      <c r="B3293" s="38"/>
    </row>
    <row r="3294" spans="2:2">
      <c r="B3294" s="38"/>
    </row>
    <row r="3295" spans="2:2">
      <c r="B3295" s="38"/>
    </row>
    <row r="3296" spans="2:2">
      <c r="B3296" s="38"/>
    </row>
    <row r="3297" spans="2:2">
      <c r="B3297" s="38"/>
    </row>
    <row r="3298" spans="2:2">
      <c r="B3298" s="38"/>
    </row>
    <row r="3299" spans="2:2">
      <c r="B3299" s="38"/>
    </row>
    <row r="3300" spans="2:2">
      <c r="B3300" s="38"/>
    </row>
    <row r="3301" spans="2:2">
      <c r="B3301" s="38"/>
    </row>
    <row r="3302" spans="2:2">
      <c r="B3302" s="38"/>
    </row>
    <row r="3303" spans="2:2">
      <c r="B3303" s="38"/>
    </row>
    <row r="3304" spans="2:2">
      <c r="B3304" s="38"/>
    </row>
    <row r="3305" spans="2:2">
      <c r="B3305" s="38"/>
    </row>
    <row r="3306" spans="2:2">
      <c r="B3306" s="38"/>
    </row>
    <row r="3307" spans="2:2">
      <c r="B3307" s="38"/>
    </row>
    <row r="3308" spans="2:2">
      <c r="B3308" s="38"/>
    </row>
    <row r="3309" spans="2:2">
      <c r="B3309" s="38"/>
    </row>
    <row r="3310" spans="2:2">
      <c r="B3310" s="38"/>
    </row>
    <row r="3311" spans="2:2">
      <c r="B3311" s="38"/>
    </row>
    <row r="3312" spans="2:2">
      <c r="B3312" s="38"/>
    </row>
    <row r="3313" spans="2:2">
      <c r="B3313" s="38"/>
    </row>
    <row r="3314" spans="2:2">
      <c r="B3314" s="38"/>
    </row>
    <row r="3315" spans="2:2">
      <c r="B3315" s="38"/>
    </row>
    <row r="3316" spans="2:2">
      <c r="B3316" s="38"/>
    </row>
    <row r="3317" spans="2:2">
      <c r="B3317" s="38"/>
    </row>
    <row r="3318" spans="2:2">
      <c r="B3318" s="38"/>
    </row>
    <row r="3319" spans="2:2">
      <c r="B3319" s="38"/>
    </row>
    <row r="3320" spans="2:2">
      <c r="B3320" s="38"/>
    </row>
    <row r="3321" spans="2:2">
      <c r="B3321" s="38"/>
    </row>
    <row r="3322" spans="2:2">
      <c r="B3322" s="38"/>
    </row>
    <row r="3323" spans="2:2">
      <c r="B3323" s="38"/>
    </row>
    <row r="3324" spans="2:2">
      <c r="B3324" s="38"/>
    </row>
    <row r="3325" spans="2:2">
      <c r="B3325" s="38"/>
    </row>
    <row r="3326" spans="2:2">
      <c r="B3326" s="38"/>
    </row>
    <row r="3327" spans="2:2">
      <c r="B3327" s="38"/>
    </row>
    <row r="3328" spans="2:2">
      <c r="B3328" s="38"/>
    </row>
    <row r="3329" spans="2:2">
      <c r="B3329" s="38"/>
    </row>
    <row r="3330" spans="2:2">
      <c r="B3330" s="38"/>
    </row>
    <row r="3331" spans="2:2">
      <c r="B3331" s="38"/>
    </row>
    <row r="3332" spans="2:2">
      <c r="B3332" s="38"/>
    </row>
    <row r="3333" spans="2:2">
      <c r="B3333" s="38"/>
    </row>
    <row r="3334" spans="2:2">
      <c r="B3334" s="38"/>
    </row>
    <row r="3335" spans="2:2">
      <c r="B3335" s="38"/>
    </row>
    <row r="3336" spans="2:2">
      <c r="B3336" s="38"/>
    </row>
    <row r="3337" spans="2:2">
      <c r="B3337" s="38"/>
    </row>
    <row r="3338" spans="2:2">
      <c r="B3338" s="38"/>
    </row>
    <row r="3339" spans="2:2">
      <c r="B3339" s="38"/>
    </row>
    <row r="3340" spans="2:2">
      <c r="B3340" s="38"/>
    </row>
    <row r="3341" spans="2:2">
      <c r="B3341" s="38"/>
    </row>
    <row r="3342" spans="2:2">
      <c r="B3342" s="38"/>
    </row>
    <row r="3343" spans="2:2">
      <c r="B3343" s="38"/>
    </row>
    <row r="3344" spans="2:2">
      <c r="B3344" s="38"/>
    </row>
    <row r="3345" spans="2:2">
      <c r="B3345" s="38"/>
    </row>
    <row r="3346" spans="2:2">
      <c r="B3346" s="38"/>
    </row>
    <row r="3347" spans="2:2">
      <c r="B3347" s="38"/>
    </row>
    <row r="3348" spans="2:2">
      <c r="B3348" s="38"/>
    </row>
    <row r="3349" spans="2:2">
      <c r="B3349" s="38"/>
    </row>
    <row r="3350" spans="2:2">
      <c r="B3350" s="38"/>
    </row>
    <row r="3351" spans="2:2">
      <c r="B3351" s="38"/>
    </row>
    <row r="3352" spans="2:2">
      <c r="B3352" s="38"/>
    </row>
    <row r="3353" spans="2:2">
      <c r="B3353" s="38"/>
    </row>
    <row r="3354" spans="2:2">
      <c r="B3354" s="38"/>
    </row>
    <row r="3355" spans="2:2">
      <c r="B3355" s="38"/>
    </row>
    <row r="3356" spans="2:2">
      <c r="B3356" s="38"/>
    </row>
    <row r="3357" spans="2:2">
      <c r="B3357" s="38"/>
    </row>
    <row r="3358" spans="2:2">
      <c r="B3358" s="38"/>
    </row>
    <row r="3359" spans="2:2">
      <c r="B3359" s="38"/>
    </row>
    <row r="3360" spans="2:2">
      <c r="B3360" s="38"/>
    </row>
    <row r="3361" spans="2:2">
      <c r="B3361" s="38"/>
    </row>
    <row r="3362" spans="2:2">
      <c r="B3362" s="38"/>
    </row>
    <row r="3363" spans="2:2">
      <c r="B3363" s="38"/>
    </row>
    <row r="3364" spans="2:2">
      <c r="B3364" s="38"/>
    </row>
    <row r="3365" spans="2:2">
      <c r="B3365" s="38"/>
    </row>
    <row r="3366" spans="2:2">
      <c r="B3366" s="38"/>
    </row>
    <row r="3367" spans="2:2">
      <c r="B3367" s="38"/>
    </row>
    <row r="3368" spans="2:2">
      <c r="B3368" s="38"/>
    </row>
    <row r="3369" spans="2:2">
      <c r="B3369" s="38"/>
    </row>
    <row r="3370" spans="2:2">
      <c r="B3370" s="38"/>
    </row>
    <row r="3371" spans="2:2">
      <c r="B3371" s="38"/>
    </row>
    <row r="3372" spans="2:2">
      <c r="B3372" s="38"/>
    </row>
    <row r="3373" spans="2:2">
      <c r="B3373" s="38"/>
    </row>
    <row r="3374" spans="2:2">
      <c r="B3374" s="38"/>
    </row>
    <row r="3375" spans="2:2">
      <c r="B3375" s="38"/>
    </row>
    <row r="3376" spans="2:2">
      <c r="B3376" s="38"/>
    </row>
    <row r="3377" spans="2:2">
      <c r="B3377" s="38"/>
    </row>
    <row r="3378" spans="2:2">
      <c r="B3378" s="38"/>
    </row>
    <row r="3379" spans="2:2">
      <c r="B3379" s="38"/>
    </row>
    <row r="3380" spans="2:2">
      <c r="B3380" s="38"/>
    </row>
    <row r="3381" spans="2:2">
      <c r="B3381" s="38"/>
    </row>
    <row r="3382" spans="2:2">
      <c r="B3382" s="38"/>
    </row>
    <row r="3383" spans="2:2">
      <c r="B3383" s="38"/>
    </row>
    <row r="3384" spans="2:2">
      <c r="B3384" s="38"/>
    </row>
    <row r="3385" spans="2:2">
      <c r="B3385" s="38"/>
    </row>
    <row r="3386" spans="2:2">
      <c r="B3386" s="38"/>
    </row>
    <row r="3387" spans="2:2">
      <c r="B3387" s="38"/>
    </row>
    <row r="3388" spans="2:2">
      <c r="B3388" s="38"/>
    </row>
    <row r="3389" spans="2:2">
      <c r="B3389" s="38"/>
    </row>
    <row r="3390" spans="2:2">
      <c r="B3390" s="38"/>
    </row>
    <row r="3391" spans="2:2">
      <c r="B3391" s="38"/>
    </row>
    <row r="3392" spans="2:2">
      <c r="B3392" s="38"/>
    </row>
    <row r="3393" spans="2:2">
      <c r="B3393" s="38"/>
    </row>
    <row r="3394" spans="2:2">
      <c r="B3394" s="38"/>
    </row>
    <row r="3395" spans="2:2">
      <c r="B3395" s="38"/>
    </row>
    <row r="3396" spans="2:2">
      <c r="B3396" s="38"/>
    </row>
    <row r="3397" spans="2:2">
      <c r="B3397" s="38"/>
    </row>
    <row r="3398" spans="2:2">
      <c r="B3398" s="38"/>
    </row>
    <row r="3399" spans="2:2">
      <c r="B3399" s="38"/>
    </row>
    <row r="3400" spans="2:2">
      <c r="B3400" s="38"/>
    </row>
    <row r="3401" spans="2:2">
      <c r="B3401" s="38"/>
    </row>
    <row r="3402" spans="2:2">
      <c r="B3402" s="38"/>
    </row>
    <row r="3403" spans="2:2">
      <c r="B3403" s="38"/>
    </row>
    <row r="3404" spans="2:2">
      <c r="B3404" s="38"/>
    </row>
    <row r="3405" spans="2:2">
      <c r="B3405" s="38"/>
    </row>
    <row r="3406" spans="2:2">
      <c r="B3406" s="38"/>
    </row>
    <row r="3407" spans="2:2">
      <c r="B3407" s="38"/>
    </row>
    <row r="3408" spans="2:2">
      <c r="B3408" s="38"/>
    </row>
    <row r="3409" spans="2:2">
      <c r="B3409" s="38"/>
    </row>
    <row r="3410" spans="2:2">
      <c r="B3410" s="38"/>
    </row>
    <row r="3411" spans="2:2">
      <c r="B3411" s="38"/>
    </row>
    <row r="3412" spans="2:2">
      <c r="B3412" s="38"/>
    </row>
    <row r="3413" spans="2:2">
      <c r="B3413" s="38"/>
    </row>
    <row r="3414" spans="2:2">
      <c r="B3414" s="38"/>
    </row>
    <row r="3415" spans="2:2">
      <c r="B3415" s="38"/>
    </row>
    <row r="3416" spans="2:2">
      <c r="B3416" s="38"/>
    </row>
    <row r="3417" spans="2:2">
      <c r="B3417" s="38"/>
    </row>
    <row r="3418" spans="2:2">
      <c r="B3418" s="38"/>
    </row>
    <row r="3419" spans="2:2">
      <c r="B3419" s="38"/>
    </row>
    <row r="3420" spans="2:2">
      <c r="B3420" s="38"/>
    </row>
    <row r="3421" spans="2:2">
      <c r="B3421" s="38"/>
    </row>
    <row r="3422" spans="2:2">
      <c r="B3422" s="38"/>
    </row>
    <row r="3423" spans="2:2">
      <c r="B3423" s="38"/>
    </row>
    <row r="3424" spans="2:2">
      <c r="B3424" s="38"/>
    </row>
    <row r="3425" spans="2:2">
      <c r="B3425" s="38"/>
    </row>
    <row r="3426" spans="2:2">
      <c r="B3426" s="38"/>
    </row>
    <row r="3427" spans="2:2">
      <c r="B3427" s="38"/>
    </row>
    <row r="3428" spans="2:2">
      <c r="B3428" s="38"/>
    </row>
    <row r="3429" spans="2:2">
      <c r="B3429" s="38"/>
    </row>
    <row r="3430" spans="2:2">
      <c r="B3430" s="38"/>
    </row>
    <row r="3431" spans="2:2">
      <c r="B3431" s="38"/>
    </row>
    <row r="3432" spans="2:2">
      <c r="B3432" s="38"/>
    </row>
    <row r="3433" spans="2:2">
      <c r="B3433" s="38"/>
    </row>
    <row r="3434" spans="2:2">
      <c r="B3434" s="38"/>
    </row>
    <row r="3435" spans="2:2">
      <c r="B3435" s="38"/>
    </row>
    <row r="3436" spans="2:2">
      <c r="B3436" s="38"/>
    </row>
    <row r="3437" spans="2:2">
      <c r="B3437" s="38"/>
    </row>
    <row r="3438" spans="2:2">
      <c r="B3438" s="38"/>
    </row>
    <row r="3439" spans="2:2">
      <c r="B3439" s="38"/>
    </row>
    <row r="3440" spans="2:2">
      <c r="B3440" s="38"/>
    </row>
    <row r="3441" spans="2:2">
      <c r="B3441" s="38"/>
    </row>
    <row r="3442" spans="2:2">
      <c r="B3442" s="38"/>
    </row>
    <row r="3443" spans="2:2">
      <c r="B3443" s="38"/>
    </row>
    <row r="3444" spans="2:2">
      <c r="B3444" s="38"/>
    </row>
    <row r="3445" spans="2:2">
      <c r="B3445" s="38"/>
    </row>
    <row r="3446" spans="2:2">
      <c r="B3446" s="38"/>
    </row>
    <row r="3447" spans="2:2">
      <c r="B3447" s="38"/>
    </row>
    <row r="3448" spans="2:2">
      <c r="B3448" s="38"/>
    </row>
    <row r="3449" spans="2:2">
      <c r="B3449" s="38"/>
    </row>
    <row r="3450" spans="2:2">
      <c r="B3450" s="38"/>
    </row>
    <row r="3451" spans="2:2">
      <c r="B3451" s="38"/>
    </row>
    <row r="3452" spans="2:2">
      <c r="B3452" s="38"/>
    </row>
    <row r="3453" spans="2:2">
      <c r="B3453" s="38"/>
    </row>
    <row r="3454" spans="2:2">
      <c r="B3454" s="38"/>
    </row>
    <row r="3455" spans="2:2">
      <c r="B3455" s="38"/>
    </row>
    <row r="3456" spans="2:2">
      <c r="B3456" s="38"/>
    </row>
    <row r="3457" spans="2:2">
      <c r="B3457" s="38"/>
    </row>
    <row r="3458" spans="2:2">
      <c r="B3458" s="38"/>
    </row>
    <row r="3459" spans="2:2">
      <c r="B3459" s="38"/>
    </row>
    <row r="3460" spans="2:2">
      <c r="B3460" s="38"/>
    </row>
    <row r="3461" spans="2:2">
      <c r="B3461" s="38"/>
    </row>
    <row r="3462" spans="2:2">
      <c r="B3462" s="38"/>
    </row>
    <row r="3463" spans="2:2">
      <c r="B3463" s="38"/>
    </row>
    <row r="3464" spans="2:2">
      <c r="B3464" s="38"/>
    </row>
    <row r="3465" spans="2:2">
      <c r="B3465" s="38"/>
    </row>
    <row r="3466" spans="2:2">
      <c r="B3466" s="38"/>
    </row>
    <row r="3467" spans="2:2">
      <c r="B3467" s="38"/>
    </row>
    <row r="3468" spans="2:2">
      <c r="B3468" s="38"/>
    </row>
    <row r="3469" spans="2:2">
      <c r="B3469" s="38"/>
    </row>
    <row r="3470" spans="2:2">
      <c r="B3470" s="38"/>
    </row>
    <row r="3471" spans="2:2">
      <c r="B3471" s="38"/>
    </row>
    <row r="3472" spans="2:2">
      <c r="B3472" s="38"/>
    </row>
    <row r="3473" spans="2:2">
      <c r="B3473" s="38"/>
    </row>
    <row r="3474" spans="2:2">
      <c r="B3474" s="38"/>
    </row>
    <row r="3475" spans="2:2">
      <c r="B3475" s="38"/>
    </row>
    <row r="3476" spans="2:2">
      <c r="B3476" s="38"/>
    </row>
    <row r="3477" spans="2:2">
      <c r="B3477" s="38"/>
    </row>
    <row r="3478" spans="2:2">
      <c r="B3478" s="38"/>
    </row>
    <row r="3479" spans="2:2">
      <c r="B3479" s="38"/>
    </row>
    <row r="3480" spans="2:2">
      <c r="B3480" s="38"/>
    </row>
    <row r="3481" spans="2:2">
      <c r="B3481" s="38"/>
    </row>
    <row r="3482" spans="2:2">
      <c r="B3482" s="38"/>
    </row>
    <row r="3483" spans="2:2">
      <c r="B3483" s="38"/>
    </row>
    <row r="3484" spans="2:2">
      <c r="B3484" s="38"/>
    </row>
    <row r="3485" spans="2:2">
      <c r="B3485" s="38"/>
    </row>
    <row r="3486" spans="2:2">
      <c r="B3486" s="38"/>
    </row>
    <row r="3487" spans="2:2">
      <c r="B3487" s="38"/>
    </row>
    <row r="3488" spans="2:2">
      <c r="B3488" s="38"/>
    </row>
    <row r="3489" spans="2:2">
      <c r="B3489" s="38"/>
    </row>
    <row r="3490" spans="2:2">
      <c r="B3490" s="38"/>
    </row>
    <row r="3491" spans="2:2">
      <c r="B3491" s="38"/>
    </row>
    <row r="3492" spans="2:2">
      <c r="B3492" s="38"/>
    </row>
    <row r="3493" spans="2:2">
      <c r="B3493" s="38"/>
    </row>
    <row r="3494" spans="2:2">
      <c r="B3494" s="38"/>
    </row>
    <row r="3495" spans="2:2">
      <c r="B3495" s="38"/>
    </row>
    <row r="3496" spans="2:2">
      <c r="B3496" s="38"/>
    </row>
    <row r="3497" spans="2:2">
      <c r="B3497" s="38"/>
    </row>
    <row r="3498" spans="2:2">
      <c r="B3498" s="38"/>
    </row>
    <row r="3499" spans="2:2">
      <c r="B3499" s="38"/>
    </row>
    <row r="3500" spans="2:2">
      <c r="B3500" s="38"/>
    </row>
    <row r="3501" spans="2:2">
      <c r="B3501" s="38"/>
    </row>
    <row r="3502" spans="2:2">
      <c r="B3502" s="38"/>
    </row>
    <row r="3503" spans="2:2">
      <c r="B3503" s="38"/>
    </row>
    <row r="3504" spans="2:2">
      <c r="B3504" s="38"/>
    </row>
    <row r="3505" spans="2:2">
      <c r="B3505" s="38"/>
    </row>
    <row r="3506" spans="2:2">
      <c r="B3506" s="38"/>
    </row>
    <row r="3507" spans="2:2">
      <c r="B3507" s="38"/>
    </row>
    <row r="3508" spans="2:2">
      <c r="B3508" s="38"/>
    </row>
    <row r="3509" spans="2:2">
      <c r="B3509" s="38"/>
    </row>
    <row r="3510" spans="2:2">
      <c r="B3510" s="38"/>
    </row>
    <row r="3511" spans="2:2">
      <c r="B3511" s="38"/>
    </row>
    <row r="3512" spans="2:2">
      <c r="B3512" s="38"/>
    </row>
    <row r="3513" spans="2:2">
      <c r="B3513" s="38"/>
    </row>
    <row r="3514" spans="2:2">
      <c r="B3514" s="38"/>
    </row>
    <row r="3515" spans="2:2">
      <c r="B3515" s="38"/>
    </row>
    <row r="3516" spans="2:2">
      <c r="B3516" s="38"/>
    </row>
    <row r="3517" spans="2:2">
      <c r="B3517" s="38"/>
    </row>
    <row r="3518" spans="2:2">
      <c r="B3518" s="38"/>
    </row>
    <row r="3519" spans="2:2">
      <c r="B3519" s="38"/>
    </row>
    <row r="3520" spans="2:2">
      <c r="B3520" s="38"/>
    </row>
    <row r="3521" spans="2:2">
      <c r="B3521" s="38"/>
    </row>
    <row r="3522" spans="2:2">
      <c r="B3522" s="38"/>
    </row>
    <row r="3523" spans="2:2">
      <c r="B3523" s="38"/>
    </row>
    <row r="3524" spans="2:2">
      <c r="B3524" s="38"/>
    </row>
    <row r="3525" spans="2:2">
      <c r="B3525" s="38"/>
    </row>
    <row r="3526" spans="2:2">
      <c r="B3526" s="38"/>
    </row>
    <row r="3527" spans="2:2">
      <c r="B3527" s="38"/>
    </row>
    <row r="3528" spans="2:2">
      <c r="B3528" s="38"/>
    </row>
    <row r="3529" spans="2:2">
      <c r="B3529" s="38"/>
    </row>
    <row r="3530" spans="2:2">
      <c r="B3530" s="38"/>
    </row>
    <row r="3531" spans="2:2">
      <c r="B3531" s="38"/>
    </row>
    <row r="3532" spans="2:2">
      <c r="B3532" s="38"/>
    </row>
    <row r="3533" spans="2:2">
      <c r="B3533" s="38"/>
    </row>
    <row r="3534" spans="2:2">
      <c r="B3534" s="38"/>
    </row>
    <row r="3535" spans="2:2">
      <c r="B3535" s="38"/>
    </row>
    <row r="3536" spans="2:2">
      <c r="B3536" s="38"/>
    </row>
    <row r="3537" spans="2:2">
      <c r="B3537" s="38"/>
    </row>
    <row r="3538" spans="2:2">
      <c r="B3538" s="38"/>
    </row>
    <row r="3539" spans="2:2">
      <c r="B3539" s="38"/>
    </row>
    <row r="3540" spans="2:2">
      <c r="B3540" s="38"/>
    </row>
    <row r="3541" spans="2:2">
      <c r="B3541" s="38"/>
    </row>
    <row r="3542" spans="2:2">
      <c r="B3542" s="38"/>
    </row>
    <row r="3543" spans="2:2">
      <c r="B3543" s="38"/>
    </row>
    <row r="3544" spans="2:2">
      <c r="B3544" s="38"/>
    </row>
    <row r="3545" spans="2:2">
      <c r="B3545" s="38"/>
    </row>
    <row r="3546" spans="2:2">
      <c r="B3546" s="38"/>
    </row>
    <row r="3547" spans="2:2">
      <c r="B3547" s="38"/>
    </row>
    <row r="3548" spans="2:2">
      <c r="B3548" s="38"/>
    </row>
    <row r="3549" spans="2:2">
      <c r="B3549" s="38"/>
    </row>
    <row r="3550" spans="2:2">
      <c r="B3550" s="38"/>
    </row>
    <row r="3551" spans="2:2">
      <c r="B3551" s="38"/>
    </row>
    <row r="3552" spans="2:2">
      <c r="B3552" s="38"/>
    </row>
    <row r="3553" spans="2:2">
      <c r="B3553" s="38"/>
    </row>
    <row r="3554" spans="2:2">
      <c r="B3554" s="38"/>
    </row>
    <row r="3555" spans="2:2">
      <c r="B3555" s="38"/>
    </row>
    <row r="3556" spans="2:2">
      <c r="B3556" s="38"/>
    </row>
    <row r="3557" spans="2:2">
      <c r="B3557" s="38"/>
    </row>
    <row r="3558" spans="2:2">
      <c r="B3558" s="38"/>
    </row>
    <row r="3559" spans="2:2">
      <c r="B3559" s="38"/>
    </row>
    <row r="3560" spans="2:2">
      <c r="B3560" s="38"/>
    </row>
    <row r="3561" spans="2:2">
      <c r="B3561" s="38"/>
    </row>
    <row r="3562" spans="2:2">
      <c r="B3562" s="38"/>
    </row>
    <row r="3563" spans="2:2">
      <c r="B3563" s="38"/>
    </row>
    <row r="3564" spans="2:2">
      <c r="B3564" s="38"/>
    </row>
    <row r="3565" spans="2:2">
      <c r="B3565" s="38"/>
    </row>
    <row r="3566" spans="2:2">
      <c r="B3566" s="38"/>
    </row>
    <row r="3567" spans="2:2">
      <c r="B3567" s="38"/>
    </row>
    <row r="3568" spans="2:2">
      <c r="B3568" s="38"/>
    </row>
    <row r="3569" spans="2:2">
      <c r="B3569" s="38"/>
    </row>
    <row r="3570" spans="2:2">
      <c r="B3570" s="38"/>
    </row>
    <row r="3571" spans="2:2">
      <c r="B3571" s="38"/>
    </row>
    <row r="3572" spans="2:2">
      <c r="B3572" s="38"/>
    </row>
    <row r="3573" spans="2:2">
      <c r="B3573" s="38"/>
    </row>
    <row r="3574" spans="2:2">
      <c r="B3574" s="38"/>
    </row>
    <row r="3575" spans="2:2">
      <c r="B3575" s="38"/>
    </row>
    <row r="3576" spans="2:2">
      <c r="B3576" s="38"/>
    </row>
    <row r="3577" spans="2:2">
      <c r="B3577" s="38"/>
    </row>
    <row r="3578" spans="2:2">
      <c r="B3578" s="38"/>
    </row>
    <row r="3579" spans="2:2">
      <c r="B3579" s="38"/>
    </row>
    <row r="3580" spans="2:2">
      <c r="B3580" s="38"/>
    </row>
    <row r="3581" spans="2:2">
      <c r="B3581" s="38"/>
    </row>
    <row r="3582" spans="2:2">
      <c r="B3582" s="38"/>
    </row>
    <row r="3583" spans="2:2">
      <c r="B3583" s="38"/>
    </row>
    <row r="3584" spans="2:2">
      <c r="B3584" s="38"/>
    </row>
    <row r="3585" spans="2:2">
      <c r="B3585" s="38"/>
    </row>
    <row r="3586" spans="2:2">
      <c r="B3586" s="38"/>
    </row>
    <row r="3587" spans="2:2">
      <c r="B3587" s="38"/>
    </row>
    <row r="3588" spans="2:2">
      <c r="B3588" s="38"/>
    </row>
    <row r="3589" spans="2:2">
      <c r="B3589" s="38"/>
    </row>
    <row r="3590" spans="2:2">
      <c r="B3590" s="38"/>
    </row>
    <row r="3591" spans="2:2">
      <c r="B3591" s="38"/>
    </row>
    <row r="3592" spans="2:2">
      <c r="B3592" s="38"/>
    </row>
    <row r="3593" spans="2:2">
      <c r="B3593" s="38"/>
    </row>
    <row r="3594" spans="2:2">
      <c r="B3594" s="38"/>
    </row>
    <row r="3595" spans="2:2">
      <c r="B3595" s="38"/>
    </row>
    <row r="3596" spans="2:2">
      <c r="B3596" s="38"/>
    </row>
    <row r="3597" spans="2:2">
      <c r="B3597" s="38"/>
    </row>
    <row r="3598" spans="2:2">
      <c r="B3598" s="38"/>
    </row>
    <row r="3599" spans="2:2">
      <c r="B3599" s="38"/>
    </row>
    <row r="3600" spans="2:2">
      <c r="B3600" s="38"/>
    </row>
    <row r="3601" spans="2:2">
      <c r="B3601" s="38"/>
    </row>
    <row r="3602" spans="2:2">
      <c r="B3602" s="38"/>
    </row>
    <row r="3603" spans="2:2">
      <c r="B3603" s="38"/>
    </row>
    <row r="3604" spans="2:2">
      <c r="B3604" s="38"/>
    </row>
    <row r="3605" spans="2:2">
      <c r="B3605" s="38"/>
    </row>
    <row r="3606" spans="2:2">
      <c r="B3606" s="38"/>
    </row>
    <row r="3607" spans="2:2">
      <c r="B3607" s="38"/>
    </row>
    <row r="3608" spans="2:2">
      <c r="B3608" s="38"/>
    </row>
    <row r="3609" spans="2:2">
      <c r="B3609" s="38"/>
    </row>
    <row r="3610" spans="2:2">
      <c r="B3610" s="38"/>
    </row>
    <row r="3611" spans="2:2">
      <c r="B3611" s="38"/>
    </row>
    <row r="3612" spans="2:2">
      <c r="B3612" s="38"/>
    </row>
    <row r="3613" spans="2:2">
      <c r="B3613" s="38"/>
    </row>
    <row r="3614" spans="2:2">
      <c r="B3614" s="38"/>
    </row>
    <row r="3615" spans="2:2">
      <c r="B3615" s="38"/>
    </row>
    <row r="3616" spans="2:2">
      <c r="B3616" s="38"/>
    </row>
    <row r="3617" spans="2:2">
      <c r="B3617" s="38"/>
    </row>
    <row r="3618" spans="2:2">
      <c r="B3618" s="38"/>
    </row>
    <row r="3619" spans="2:2">
      <c r="B3619" s="38"/>
    </row>
    <row r="3620" spans="2:2">
      <c r="B3620" s="38"/>
    </row>
    <row r="3621" spans="2:2">
      <c r="B3621" s="38"/>
    </row>
    <row r="3622" spans="2:2">
      <c r="B3622" s="38"/>
    </row>
    <row r="3623" spans="2:2">
      <c r="B3623" s="38"/>
    </row>
    <row r="3624" spans="2:2">
      <c r="B3624" s="38"/>
    </row>
    <row r="3625" spans="2:2">
      <c r="B3625" s="38"/>
    </row>
    <row r="3626" spans="2:2">
      <c r="B3626" s="38"/>
    </row>
    <row r="3627" spans="2:2">
      <c r="B3627" s="38"/>
    </row>
    <row r="3628" spans="2:2">
      <c r="B3628" s="38"/>
    </row>
    <row r="3629" spans="2:2">
      <c r="B3629" s="38"/>
    </row>
    <row r="3630" spans="2:2">
      <c r="B3630" s="38"/>
    </row>
    <row r="3631" spans="2:2">
      <c r="B3631" s="38"/>
    </row>
    <row r="3632" spans="2:2">
      <c r="B3632" s="38"/>
    </row>
    <row r="3633" spans="2:2">
      <c r="B3633" s="38"/>
    </row>
    <row r="3634" spans="2:2">
      <c r="B3634" s="38"/>
    </row>
    <row r="3635" spans="2:2">
      <c r="B3635" s="38"/>
    </row>
    <row r="3636" spans="2:2">
      <c r="B3636" s="38"/>
    </row>
    <row r="3637" spans="2:2">
      <c r="B3637" s="38"/>
    </row>
    <row r="3638" spans="2:2">
      <c r="B3638" s="38"/>
    </row>
    <row r="3639" spans="2:2">
      <c r="B3639" s="38"/>
    </row>
    <row r="3640" spans="2:2">
      <c r="B3640" s="38"/>
    </row>
    <row r="3641" spans="2:2">
      <c r="B3641" s="38"/>
    </row>
    <row r="3642" spans="2:2">
      <c r="B3642" s="38"/>
    </row>
    <row r="3643" spans="2:2">
      <c r="B3643" s="38"/>
    </row>
    <row r="3644" spans="2:2">
      <c r="B3644" s="38"/>
    </row>
    <row r="3645" spans="2:2">
      <c r="B3645" s="38"/>
    </row>
    <row r="3646" spans="2:2">
      <c r="B3646" s="38"/>
    </row>
    <row r="3647" spans="2:2">
      <c r="B3647" s="38"/>
    </row>
    <row r="3648" spans="2:2">
      <c r="B3648" s="38"/>
    </row>
    <row r="3649" spans="2:2">
      <c r="B3649" s="38"/>
    </row>
    <row r="3650" spans="2:2">
      <c r="B3650" s="38"/>
    </row>
    <row r="3651" spans="2:2">
      <c r="B3651" s="38"/>
    </row>
    <row r="3652" spans="2:2">
      <c r="B3652" s="38"/>
    </row>
    <row r="3653" spans="2:2">
      <c r="B3653" s="38"/>
    </row>
    <row r="3654" spans="2:2">
      <c r="B3654" s="38"/>
    </row>
    <row r="3655" spans="2:2">
      <c r="B3655" s="38"/>
    </row>
    <row r="3656" spans="2:2">
      <c r="B3656" s="38"/>
    </row>
    <row r="3657" spans="2:2">
      <c r="B3657" s="38"/>
    </row>
    <row r="3658" spans="2:2">
      <c r="B3658" s="38"/>
    </row>
    <row r="3659" spans="2:2">
      <c r="B3659" s="38"/>
    </row>
    <row r="3660" spans="2:2">
      <c r="B3660" s="38"/>
    </row>
    <row r="3661" spans="2:2">
      <c r="B3661" s="38"/>
    </row>
    <row r="3662" spans="2:2">
      <c r="B3662" s="38"/>
    </row>
    <row r="3663" spans="2:2">
      <c r="B3663" s="38"/>
    </row>
    <row r="3664" spans="2:2">
      <c r="B3664" s="38"/>
    </row>
    <row r="3665" spans="2:2">
      <c r="B3665" s="38"/>
    </row>
    <row r="3666" spans="2:2">
      <c r="B3666" s="38"/>
    </row>
    <row r="3667" spans="2:2">
      <c r="B3667" s="38"/>
    </row>
    <row r="3668" spans="2:2">
      <c r="B3668" s="38"/>
    </row>
    <row r="3669" spans="2:2">
      <c r="B3669" s="38"/>
    </row>
    <row r="3670" spans="2:2">
      <c r="B3670" s="38"/>
    </row>
    <row r="3671" spans="2:2">
      <c r="B3671" s="38"/>
    </row>
    <row r="3672" spans="2:2">
      <c r="B3672" s="38"/>
    </row>
    <row r="3673" spans="2:2">
      <c r="B3673" s="38"/>
    </row>
    <row r="3674" spans="2:2">
      <c r="B3674" s="38"/>
    </row>
    <row r="3675" spans="2:2">
      <c r="B3675" s="38"/>
    </row>
    <row r="3676" spans="2:2">
      <c r="B3676" s="38"/>
    </row>
    <row r="3677" spans="2:2">
      <c r="B3677" s="38"/>
    </row>
    <row r="3678" spans="2:2">
      <c r="B3678" s="38"/>
    </row>
    <row r="3679" spans="2:2">
      <c r="B3679" s="38"/>
    </row>
    <row r="3680" spans="2:2">
      <c r="B3680" s="38"/>
    </row>
    <row r="3681" spans="2:2">
      <c r="B3681" s="38"/>
    </row>
    <row r="3682" spans="2:2">
      <c r="B3682" s="38"/>
    </row>
    <row r="3683" spans="2:2">
      <c r="B3683" s="38"/>
    </row>
    <row r="3684" spans="2:2">
      <c r="B3684" s="38"/>
    </row>
    <row r="3685" spans="2:2">
      <c r="B3685" s="38"/>
    </row>
    <row r="3686" spans="2:2">
      <c r="B3686" s="38"/>
    </row>
    <row r="3687" spans="2:2">
      <c r="B3687" s="38"/>
    </row>
    <row r="3688" spans="2:2">
      <c r="B3688" s="38"/>
    </row>
    <row r="3689" spans="2:2">
      <c r="B3689" s="38"/>
    </row>
    <row r="3690" spans="2:2">
      <c r="B3690" s="38"/>
    </row>
    <row r="3691" spans="2:2">
      <c r="B3691" s="38"/>
    </row>
    <row r="3692" spans="2:2">
      <c r="B3692" s="38"/>
    </row>
    <row r="3693" spans="2:2">
      <c r="B3693" s="38"/>
    </row>
    <row r="3694" spans="2:2">
      <c r="B3694" s="38"/>
    </row>
    <row r="3695" spans="2:2">
      <c r="B3695" s="38"/>
    </row>
    <row r="3696" spans="2:2">
      <c r="B3696" s="38"/>
    </row>
    <row r="3697" spans="2:2">
      <c r="B3697" s="38"/>
    </row>
    <row r="3698" spans="2:2">
      <c r="B3698" s="38"/>
    </row>
    <row r="3699" spans="2:2">
      <c r="B3699" s="38"/>
    </row>
    <row r="3700" spans="2:2">
      <c r="B3700" s="38"/>
    </row>
    <row r="3701" spans="2:2">
      <c r="B3701" s="38"/>
    </row>
    <row r="3702" spans="2:2">
      <c r="B3702" s="38"/>
    </row>
    <row r="3703" spans="2:2">
      <c r="B3703" s="38"/>
    </row>
    <row r="3704" spans="2:2">
      <c r="B3704" s="38"/>
    </row>
    <row r="3705" spans="2:2">
      <c r="B3705" s="38"/>
    </row>
    <row r="3706" spans="2:2">
      <c r="B3706" s="38"/>
    </row>
    <row r="3707" spans="2:2">
      <c r="B3707" s="38"/>
    </row>
    <row r="3708" spans="2:2">
      <c r="B3708" s="38"/>
    </row>
    <row r="3709" spans="2:2">
      <c r="B3709" s="38"/>
    </row>
    <row r="3710" spans="2:2">
      <c r="B3710" s="38"/>
    </row>
    <row r="3711" spans="2:2">
      <c r="B3711" s="38"/>
    </row>
    <row r="3712" spans="2:2">
      <c r="B3712" s="38"/>
    </row>
    <row r="3713" spans="2:2">
      <c r="B3713" s="38"/>
    </row>
    <row r="3714" spans="2:2">
      <c r="B3714" s="38"/>
    </row>
    <row r="3715" spans="2:2">
      <c r="B3715" s="38"/>
    </row>
    <row r="3716" spans="2:2">
      <c r="B3716" s="38"/>
    </row>
    <row r="3717" spans="2:2">
      <c r="B3717" s="38"/>
    </row>
    <row r="3718" spans="2:2">
      <c r="B3718" s="38"/>
    </row>
    <row r="3719" spans="2:2">
      <c r="B3719" s="38"/>
    </row>
    <row r="3720" spans="2:2">
      <c r="B3720" s="38"/>
    </row>
    <row r="3721" spans="2:2">
      <c r="B3721" s="38"/>
    </row>
    <row r="3722" spans="2:2">
      <c r="B3722" s="38"/>
    </row>
    <row r="3723" spans="2:2">
      <c r="B3723" s="38"/>
    </row>
    <row r="3724" spans="2:2">
      <c r="B3724" s="38"/>
    </row>
    <row r="3725" spans="2:2">
      <c r="B3725" s="38"/>
    </row>
    <row r="3726" spans="2:2">
      <c r="B3726" s="38"/>
    </row>
    <row r="3727" spans="2:2">
      <c r="B3727" s="38"/>
    </row>
    <row r="3728" spans="2:2">
      <c r="B3728" s="38"/>
    </row>
    <row r="3729" spans="2:2">
      <c r="B3729" s="38"/>
    </row>
    <row r="3730" spans="2:2">
      <c r="B3730" s="38"/>
    </row>
    <row r="3731" spans="2:2">
      <c r="B3731" s="38"/>
    </row>
    <row r="3732" spans="2:2">
      <c r="B3732" s="38"/>
    </row>
    <row r="3733" spans="2:2">
      <c r="B3733" s="38"/>
    </row>
    <row r="3734" spans="2:2">
      <c r="B3734" s="38"/>
    </row>
    <row r="3735" spans="2:2">
      <c r="B3735" s="38"/>
    </row>
    <row r="3736" spans="2:2">
      <c r="B3736" s="38"/>
    </row>
    <row r="3737" spans="2:2">
      <c r="B3737" s="38"/>
    </row>
    <row r="3738" spans="2:2">
      <c r="B3738" s="38"/>
    </row>
    <row r="3739" spans="2:2">
      <c r="B3739" s="38"/>
    </row>
    <row r="3740" spans="2:2">
      <c r="B3740" s="38"/>
    </row>
    <row r="3741" spans="2:2">
      <c r="B3741" s="38"/>
    </row>
    <row r="3742" spans="2:2">
      <c r="B3742" s="38"/>
    </row>
    <row r="3743" spans="2:2">
      <c r="B3743" s="38"/>
    </row>
    <row r="3744" spans="2:2">
      <c r="B3744" s="38"/>
    </row>
    <row r="3745" spans="2:2">
      <c r="B3745" s="38"/>
    </row>
    <row r="3746" spans="2:2">
      <c r="B3746" s="38"/>
    </row>
    <row r="3747" spans="2:2">
      <c r="B3747" s="38"/>
    </row>
    <row r="3748" spans="2:2">
      <c r="B3748" s="38"/>
    </row>
    <row r="3749" spans="2:2">
      <c r="B3749" s="38"/>
    </row>
    <row r="3750" spans="2:2">
      <c r="B3750" s="38"/>
    </row>
    <row r="3751" spans="2:2">
      <c r="B3751" s="38"/>
    </row>
    <row r="3752" spans="2:2">
      <c r="B3752" s="38"/>
    </row>
    <row r="3753" spans="2:2">
      <c r="B3753" s="38"/>
    </row>
    <row r="3754" spans="2:2">
      <c r="B3754" s="38"/>
    </row>
    <row r="3755" spans="2:2">
      <c r="B3755" s="38"/>
    </row>
    <row r="3756" spans="2:2">
      <c r="B3756" s="38"/>
    </row>
    <row r="3757" spans="2:2">
      <c r="B3757" s="38"/>
    </row>
    <row r="3758" spans="2:2">
      <c r="B3758" s="38"/>
    </row>
    <row r="3759" spans="2:2">
      <c r="B3759" s="38"/>
    </row>
    <row r="3760" spans="2:2">
      <c r="B3760" s="38"/>
    </row>
    <row r="3761" spans="2:2">
      <c r="B3761" s="38"/>
    </row>
    <row r="3762" spans="2:2">
      <c r="B3762" s="38"/>
    </row>
    <row r="3763" spans="2:2">
      <c r="B3763" s="38"/>
    </row>
    <row r="3764" spans="2:2">
      <c r="B3764" s="38"/>
    </row>
    <row r="3765" spans="2:2">
      <c r="B3765" s="38"/>
    </row>
    <row r="3766" spans="2:2">
      <c r="B3766" s="38"/>
    </row>
    <row r="3767" spans="2:2">
      <c r="B3767" s="38"/>
    </row>
    <row r="3768" spans="2:2">
      <c r="B3768" s="38"/>
    </row>
    <row r="3769" spans="2:2">
      <c r="B3769" s="38"/>
    </row>
    <row r="3770" spans="2:2">
      <c r="B3770" s="38"/>
    </row>
    <row r="3771" spans="2:2">
      <c r="B3771" s="38"/>
    </row>
    <row r="3772" spans="2:2">
      <c r="B3772" s="38"/>
    </row>
    <row r="3773" spans="2:2">
      <c r="B3773" s="38"/>
    </row>
    <row r="3774" spans="2:2">
      <c r="B3774" s="38"/>
    </row>
    <row r="3775" spans="2:2">
      <c r="B3775" s="38"/>
    </row>
    <row r="3776" spans="2:2">
      <c r="B3776" s="38"/>
    </row>
    <row r="3777" spans="2:2">
      <c r="B3777" s="38"/>
    </row>
    <row r="3778" spans="2:2">
      <c r="B3778" s="38"/>
    </row>
    <row r="3779" spans="2:2">
      <c r="B3779" s="38"/>
    </row>
    <row r="3780" spans="2:2">
      <c r="B3780" s="38"/>
    </row>
    <row r="3781" spans="2:2">
      <c r="B3781" s="38"/>
    </row>
    <row r="3782" spans="2:2">
      <c r="B3782" s="38"/>
    </row>
    <row r="3783" spans="2:2">
      <c r="B3783" s="38"/>
    </row>
    <row r="3784" spans="2:2">
      <c r="B3784" s="38"/>
    </row>
    <row r="3785" spans="2:2">
      <c r="B3785" s="38"/>
    </row>
    <row r="3786" spans="2:2">
      <c r="B3786" s="38"/>
    </row>
    <row r="3787" spans="2:2">
      <c r="B3787" s="38"/>
    </row>
    <row r="3788" spans="2:2">
      <c r="B3788" s="38"/>
    </row>
    <row r="3789" spans="2:2">
      <c r="B3789" s="38"/>
    </row>
    <row r="3790" spans="2:2">
      <c r="B3790" s="38"/>
    </row>
    <row r="3791" spans="2:2">
      <c r="B3791" s="38"/>
    </row>
    <row r="3792" spans="2:2">
      <c r="B3792" s="38"/>
    </row>
    <row r="3793" spans="2:2">
      <c r="B3793" s="38"/>
    </row>
    <row r="3794" spans="2:2">
      <c r="B3794" s="38"/>
    </row>
    <row r="3795" spans="2:2">
      <c r="B3795" s="38"/>
    </row>
    <row r="3796" spans="2:2">
      <c r="B3796" s="38"/>
    </row>
    <row r="3797" spans="2:2">
      <c r="B3797" s="38"/>
    </row>
    <row r="3798" spans="2:2">
      <c r="B3798" s="38"/>
    </row>
    <row r="3799" spans="2:2">
      <c r="B3799" s="38"/>
    </row>
    <row r="3800" spans="2:2">
      <c r="B3800" s="38"/>
    </row>
    <row r="3801" spans="2:2">
      <c r="B3801" s="38"/>
    </row>
    <row r="3802" spans="2:2">
      <c r="B3802" s="38"/>
    </row>
    <row r="3803" spans="2:2">
      <c r="B3803" s="38"/>
    </row>
    <row r="3804" spans="2:2">
      <c r="B3804" s="38"/>
    </row>
    <row r="3805" spans="2:2">
      <c r="B3805" s="38"/>
    </row>
    <row r="3806" spans="2:2">
      <c r="B3806" s="38"/>
    </row>
    <row r="3807" spans="2:2">
      <c r="B3807" s="38"/>
    </row>
    <row r="3808" spans="2:2">
      <c r="B3808" s="38"/>
    </row>
    <row r="3809" spans="2:2">
      <c r="B3809" s="38"/>
    </row>
    <row r="3810" spans="2:2">
      <c r="B3810" s="38"/>
    </row>
    <row r="3811" spans="2:2">
      <c r="B3811" s="38"/>
    </row>
    <row r="3812" spans="2:2">
      <c r="B3812" s="38"/>
    </row>
    <row r="3813" spans="2:2">
      <c r="B3813" s="38"/>
    </row>
    <row r="3814" spans="2:2">
      <c r="B3814" s="38"/>
    </row>
    <row r="3815" spans="2:2">
      <c r="B3815" s="38"/>
    </row>
    <row r="3816" spans="2:2">
      <c r="B3816" s="38"/>
    </row>
    <row r="3817" spans="2:2">
      <c r="B3817" s="38"/>
    </row>
    <row r="3818" spans="2:2">
      <c r="B3818" s="38"/>
    </row>
    <row r="3819" spans="2:2">
      <c r="B3819" s="38"/>
    </row>
    <row r="3820" spans="2:2">
      <c r="B3820" s="38"/>
    </row>
    <row r="3821" spans="2:2">
      <c r="B3821" s="38"/>
    </row>
    <row r="3822" spans="2:2">
      <c r="B3822" s="38"/>
    </row>
    <row r="3823" spans="2:2">
      <c r="B3823" s="38"/>
    </row>
    <row r="3824" spans="2:2">
      <c r="B3824" s="38"/>
    </row>
    <row r="3825" spans="2:2">
      <c r="B3825" s="38"/>
    </row>
    <row r="3826" spans="2:2">
      <c r="B3826" s="38"/>
    </row>
    <row r="3827" spans="2:2">
      <c r="B3827" s="38"/>
    </row>
    <row r="3828" spans="2:2">
      <c r="B3828" s="38"/>
    </row>
    <row r="3829" spans="2:2">
      <c r="B3829" s="38"/>
    </row>
    <row r="3830" spans="2:2">
      <c r="B3830" s="38"/>
    </row>
    <row r="3831" spans="2:2">
      <c r="B3831" s="38"/>
    </row>
    <row r="3832" spans="2:2">
      <c r="B3832" s="38"/>
    </row>
    <row r="3833" spans="2:2">
      <c r="B3833" s="38"/>
    </row>
    <row r="3834" spans="2:2">
      <c r="B3834" s="38"/>
    </row>
    <row r="3835" spans="2:2">
      <c r="B3835" s="38"/>
    </row>
    <row r="3836" spans="2:2">
      <c r="B3836" s="38"/>
    </row>
    <row r="3837" spans="2:2">
      <c r="B3837" s="38"/>
    </row>
    <row r="3838" spans="2:2">
      <c r="B3838" s="38"/>
    </row>
    <row r="3839" spans="2:2">
      <c r="B3839" s="38"/>
    </row>
    <row r="3840" spans="2:2">
      <c r="B3840" s="38"/>
    </row>
    <row r="3841" spans="2:2">
      <c r="B3841" s="38"/>
    </row>
    <row r="3842" spans="2:2">
      <c r="B3842" s="38"/>
    </row>
    <row r="3843" spans="2:2">
      <c r="B3843" s="38"/>
    </row>
    <row r="3844" spans="2:2">
      <c r="B3844" s="38"/>
    </row>
    <row r="3845" spans="2:2">
      <c r="B3845" s="38"/>
    </row>
    <row r="3846" spans="2:2">
      <c r="B3846" s="38"/>
    </row>
    <row r="3847" spans="2:2">
      <c r="B3847" s="38"/>
    </row>
    <row r="3848" spans="2:2">
      <c r="B3848" s="38"/>
    </row>
    <row r="3849" spans="2:2">
      <c r="B3849" s="38"/>
    </row>
    <row r="3850" spans="2:2">
      <c r="B3850" s="38"/>
    </row>
    <row r="3851" spans="2:2">
      <c r="B3851" s="38"/>
    </row>
    <row r="3852" spans="2:2">
      <c r="B3852" s="38"/>
    </row>
    <row r="3853" spans="2:2">
      <c r="B3853" s="38"/>
    </row>
    <row r="3854" spans="2:2">
      <c r="B3854" s="38"/>
    </row>
    <row r="3855" spans="2:2">
      <c r="B3855" s="38"/>
    </row>
    <row r="3856" spans="2:2">
      <c r="B3856" s="38"/>
    </row>
    <row r="3857" spans="2:2">
      <c r="B3857" s="38"/>
    </row>
    <row r="3858" spans="2:2">
      <c r="B3858" s="38"/>
    </row>
    <row r="3859" spans="2:2">
      <c r="B3859" s="38"/>
    </row>
    <row r="3860" spans="2:2">
      <c r="B3860" s="38"/>
    </row>
    <row r="3861" spans="2:2">
      <c r="B3861" s="38"/>
    </row>
    <row r="3862" spans="2:2">
      <c r="B3862" s="38"/>
    </row>
    <row r="3863" spans="2:2">
      <c r="B3863" s="38"/>
    </row>
    <row r="3864" spans="2:2">
      <c r="B3864" s="38"/>
    </row>
    <row r="3865" spans="2:2">
      <c r="B3865" s="38"/>
    </row>
    <row r="3866" spans="2:2">
      <c r="B3866" s="38"/>
    </row>
    <row r="3867" spans="2:2">
      <c r="B3867" s="38"/>
    </row>
    <row r="3868" spans="2:2">
      <c r="B3868" s="38"/>
    </row>
    <row r="3869" spans="2:2">
      <c r="B3869" s="38"/>
    </row>
    <row r="3870" spans="2:2">
      <c r="B3870" s="38"/>
    </row>
    <row r="3871" spans="2:2">
      <c r="B3871" s="38"/>
    </row>
    <row r="3872" spans="2:2">
      <c r="B3872" s="38"/>
    </row>
    <row r="3873" spans="2:2">
      <c r="B3873" s="38"/>
    </row>
    <row r="3874" spans="2:2">
      <c r="B3874" s="38"/>
    </row>
    <row r="3875" spans="2:2">
      <c r="B3875" s="38"/>
    </row>
    <row r="3876" spans="2:2">
      <c r="B3876" s="38"/>
    </row>
    <row r="3877" spans="2:2">
      <c r="B3877" s="38"/>
    </row>
    <row r="3878" spans="2:2">
      <c r="B3878" s="38"/>
    </row>
    <row r="3879" spans="2:2">
      <c r="B3879" s="38"/>
    </row>
    <row r="3880" spans="2:2">
      <c r="B3880" s="38"/>
    </row>
    <row r="3881" spans="2:2">
      <c r="B3881" s="38"/>
    </row>
    <row r="3882" spans="2:2">
      <c r="B3882" s="38"/>
    </row>
    <row r="3883" spans="2:2">
      <c r="B3883" s="38"/>
    </row>
    <row r="3884" spans="2:2">
      <c r="B3884" s="38"/>
    </row>
    <row r="3885" spans="2:2">
      <c r="B3885" s="38"/>
    </row>
    <row r="3886" spans="2:2">
      <c r="B3886" s="38"/>
    </row>
    <row r="3887" spans="2:2">
      <c r="B3887" s="38"/>
    </row>
    <row r="3888" spans="2:2">
      <c r="B3888" s="38"/>
    </row>
    <row r="3889" spans="2:2">
      <c r="B3889" s="38"/>
    </row>
    <row r="3890" spans="2:2">
      <c r="B3890" s="38"/>
    </row>
    <row r="3891" spans="2:2">
      <c r="B3891" s="38"/>
    </row>
    <row r="3892" spans="2:2">
      <c r="B3892" s="38"/>
    </row>
    <row r="3893" spans="2:2">
      <c r="B3893" s="38"/>
    </row>
    <row r="3894" spans="2:2">
      <c r="B3894" s="38"/>
    </row>
    <row r="3895" spans="2:2">
      <c r="B3895" s="38"/>
    </row>
    <row r="3896" spans="2:2">
      <c r="B3896" s="38"/>
    </row>
    <row r="3897" spans="2:2">
      <c r="B3897" s="38"/>
    </row>
    <row r="3898" spans="2:2">
      <c r="B3898" s="38"/>
    </row>
    <row r="3899" spans="2:2">
      <c r="B3899" s="38"/>
    </row>
    <row r="3900" spans="2:2">
      <c r="B3900" s="38"/>
    </row>
    <row r="3901" spans="2:2">
      <c r="B3901" s="38"/>
    </row>
    <row r="3902" spans="2:2">
      <c r="B3902" s="38"/>
    </row>
    <row r="3903" spans="2:2">
      <c r="B3903" s="38"/>
    </row>
    <row r="3904" spans="2:2">
      <c r="B3904" s="38"/>
    </row>
    <row r="3905" spans="2:2">
      <c r="B3905" s="38"/>
    </row>
    <row r="3906" spans="2:2">
      <c r="B3906" s="38"/>
    </row>
    <row r="3907" spans="2:2">
      <c r="B3907" s="38"/>
    </row>
    <row r="3908" spans="2:2">
      <c r="B3908" s="38"/>
    </row>
    <row r="3909" spans="2:2">
      <c r="B3909" s="38"/>
    </row>
    <row r="3910" spans="2:2">
      <c r="B3910" s="38"/>
    </row>
    <row r="3911" spans="2:2">
      <c r="B3911" s="38"/>
    </row>
    <row r="3912" spans="2:2">
      <c r="B3912" s="38"/>
    </row>
    <row r="3913" spans="2:2">
      <c r="B3913" s="38"/>
    </row>
    <row r="3914" spans="2:2">
      <c r="B3914" s="38"/>
    </row>
    <row r="3915" spans="2:2">
      <c r="B3915" s="38"/>
    </row>
    <row r="3916" spans="2:2">
      <c r="B3916" s="38"/>
    </row>
    <row r="3917" spans="2:2">
      <c r="B3917" s="38"/>
    </row>
    <row r="3918" spans="2:2">
      <c r="B3918" s="38"/>
    </row>
    <row r="3919" spans="2:2">
      <c r="B3919" s="38"/>
    </row>
    <row r="3920" spans="2:2">
      <c r="B3920" s="38"/>
    </row>
    <row r="3921" spans="2:2">
      <c r="B3921" s="38"/>
    </row>
    <row r="3922" spans="2:2">
      <c r="B3922" s="38"/>
    </row>
    <row r="3923" spans="2:2">
      <c r="B3923" s="38"/>
    </row>
    <row r="3924" spans="2:2">
      <c r="B3924" s="38"/>
    </row>
    <row r="3925" spans="2:2">
      <c r="B3925" s="38"/>
    </row>
    <row r="3926" spans="2:2">
      <c r="B3926" s="38"/>
    </row>
    <row r="3927" spans="2:2">
      <c r="B3927" s="38"/>
    </row>
    <row r="3928" spans="2:2">
      <c r="B3928" s="38"/>
    </row>
    <row r="3929" spans="2:2">
      <c r="B3929" s="38"/>
    </row>
    <row r="3930" spans="2:2">
      <c r="B3930" s="38"/>
    </row>
    <row r="3931" spans="2:2">
      <c r="B3931" s="38"/>
    </row>
    <row r="3932" spans="2:2">
      <c r="B3932" s="38"/>
    </row>
    <row r="3933" spans="2:2">
      <c r="B3933" s="38"/>
    </row>
    <row r="3934" spans="2:2">
      <c r="B3934" s="38"/>
    </row>
    <row r="3935" spans="2:2">
      <c r="B3935" s="38"/>
    </row>
    <row r="3936" spans="2:2">
      <c r="B3936" s="38"/>
    </row>
    <row r="3937" spans="2:2">
      <c r="B3937" s="38"/>
    </row>
    <row r="3938" spans="2:2">
      <c r="B3938" s="38"/>
    </row>
    <row r="3939" spans="2:2">
      <c r="B3939" s="38"/>
    </row>
    <row r="3940" spans="2:2">
      <c r="B3940" s="38"/>
    </row>
    <row r="3941" spans="2:2">
      <c r="B3941" s="38"/>
    </row>
    <row r="3942" spans="2:2">
      <c r="B3942" s="38"/>
    </row>
    <row r="3943" spans="2:2">
      <c r="B3943" s="38"/>
    </row>
    <row r="3944" spans="2:2">
      <c r="B3944" s="38"/>
    </row>
    <row r="3945" spans="2:2">
      <c r="B3945" s="38"/>
    </row>
    <row r="3946" spans="2:2">
      <c r="B3946" s="38"/>
    </row>
    <row r="3947" spans="2:2">
      <c r="B3947" s="38"/>
    </row>
    <row r="3948" spans="2:2">
      <c r="B3948" s="38"/>
    </row>
    <row r="3949" spans="2:2">
      <c r="B3949" s="38"/>
    </row>
    <row r="3950" spans="2:2">
      <c r="B3950" s="38"/>
    </row>
    <row r="3951" spans="2:2">
      <c r="B3951" s="38"/>
    </row>
    <row r="3952" spans="2:2">
      <c r="B3952" s="38"/>
    </row>
    <row r="3953" spans="2:2">
      <c r="B3953" s="38"/>
    </row>
    <row r="3954" spans="2:2">
      <c r="B3954" s="38"/>
    </row>
    <row r="3955" spans="2:2">
      <c r="B3955" s="38"/>
    </row>
    <row r="3956" spans="2:2">
      <c r="B3956" s="38"/>
    </row>
    <row r="3957" spans="2:2">
      <c r="B3957" s="38"/>
    </row>
    <row r="3958" spans="2:2">
      <c r="B3958" s="38"/>
    </row>
    <row r="3959" spans="2:2">
      <c r="B3959" s="38"/>
    </row>
    <row r="3960" spans="2:2">
      <c r="B3960" s="38"/>
    </row>
    <row r="3961" spans="2:2">
      <c r="B3961" s="38"/>
    </row>
    <row r="3962" spans="2:2">
      <c r="B3962" s="38"/>
    </row>
    <row r="3963" spans="2:2">
      <c r="B3963" s="38"/>
    </row>
    <row r="3964" spans="2:2">
      <c r="B3964" s="38"/>
    </row>
    <row r="3965" spans="2:2">
      <c r="B3965" s="38"/>
    </row>
    <row r="3966" spans="2:2">
      <c r="B3966" s="38"/>
    </row>
    <row r="3967" spans="2:2">
      <c r="B3967" s="38"/>
    </row>
    <row r="3968" spans="2:2">
      <c r="B3968" s="38"/>
    </row>
    <row r="3969" spans="2:2">
      <c r="B3969" s="38"/>
    </row>
    <row r="3970" spans="2:2">
      <c r="B3970" s="38"/>
    </row>
    <row r="3971" spans="2:2">
      <c r="B3971" s="38"/>
    </row>
    <row r="3972" spans="2:2">
      <c r="B3972" s="38"/>
    </row>
    <row r="3973" spans="2:2">
      <c r="B3973" s="38"/>
    </row>
    <row r="3974" spans="2:2">
      <c r="B3974" s="38"/>
    </row>
    <row r="3975" spans="2:2">
      <c r="B3975" s="38"/>
    </row>
    <row r="3976" spans="2:2">
      <c r="B3976" s="38"/>
    </row>
    <row r="3977" spans="2:2">
      <c r="B3977" s="38"/>
    </row>
    <row r="3978" spans="2:2">
      <c r="B3978" s="38"/>
    </row>
    <row r="3979" spans="2:2">
      <c r="B3979" s="38"/>
    </row>
    <row r="3980" spans="2:2">
      <c r="B3980" s="38"/>
    </row>
    <row r="3981" spans="2:2">
      <c r="B3981" s="38"/>
    </row>
    <row r="3982" spans="2:2">
      <c r="B3982" s="38"/>
    </row>
    <row r="3983" spans="2:2">
      <c r="B3983" s="38"/>
    </row>
    <row r="3984" spans="2:2">
      <c r="B3984" s="38"/>
    </row>
    <row r="3985" spans="2:2">
      <c r="B3985" s="38"/>
    </row>
    <row r="3986" spans="2:2">
      <c r="B3986" s="38"/>
    </row>
    <row r="3987" spans="2:2">
      <c r="B3987" s="38"/>
    </row>
    <row r="3988" spans="2:2">
      <c r="B3988" s="38"/>
    </row>
    <row r="3989" spans="2:2">
      <c r="B3989" s="38"/>
    </row>
    <row r="3990" spans="2:2">
      <c r="B3990" s="38"/>
    </row>
    <row r="3991" spans="2:2">
      <c r="B3991" s="38"/>
    </row>
    <row r="3992" spans="2:2">
      <c r="B3992" s="38"/>
    </row>
    <row r="3993" spans="2:2">
      <c r="B3993" s="38"/>
    </row>
    <row r="3994" spans="2:2">
      <c r="B3994" s="38"/>
    </row>
    <row r="3995" spans="2:2">
      <c r="B3995" s="38"/>
    </row>
    <row r="3996" spans="2:2">
      <c r="B3996" s="38"/>
    </row>
    <row r="3997" spans="2:2">
      <c r="B3997" s="38"/>
    </row>
    <row r="3998" spans="2:2">
      <c r="B3998" s="38"/>
    </row>
    <row r="3999" spans="2:2">
      <c r="B3999" s="38"/>
    </row>
    <row r="4000" spans="2:2">
      <c r="B4000" s="38"/>
    </row>
    <row r="4001" spans="2:2">
      <c r="B4001" s="38"/>
    </row>
    <row r="4002" spans="2:2">
      <c r="B4002" s="38"/>
    </row>
    <row r="4003" spans="2:2">
      <c r="B4003" s="38"/>
    </row>
    <row r="4004" spans="2:2">
      <c r="B4004" s="38"/>
    </row>
    <row r="4005" spans="2:2">
      <c r="B4005" s="38"/>
    </row>
    <row r="4006" spans="2:2">
      <c r="B4006" s="38"/>
    </row>
    <row r="4007" spans="2:2">
      <c r="B4007" s="38"/>
    </row>
    <row r="4008" spans="2:2">
      <c r="B4008" s="38"/>
    </row>
    <row r="4009" spans="2:2">
      <c r="B4009" s="38"/>
    </row>
    <row r="4010" spans="2:2">
      <c r="B4010" s="38"/>
    </row>
    <row r="4011" spans="2:2">
      <c r="B4011" s="38"/>
    </row>
    <row r="4012" spans="2:2">
      <c r="B4012" s="38"/>
    </row>
    <row r="4013" spans="2:2">
      <c r="B4013" s="38"/>
    </row>
    <row r="4014" spans="2:2">
      <c r="B4014" s="38"/>
    </row>
    <row r="4015" spans="2:2">
      <c r="B4015" s="38"/>
    </row>
    <row r="4016" spans="2:2">
      <c r="B4016" s="38"/>
    </row>
    <row r="4017" spans="2:2">
      <c r="B4017" s="38"/>
    </row>
    <row r="4018" spans="2:2">
      <c r="B4018" s="38"/>
    </row>
    <row r="4019" spans="2:2">
      <c r="B4019" s="38"/>
    </row>
    <row r="4020" spans="2:2">
      <c r="B4020" s="38"/>
    </row>
    <row r="4021" spans="2:2">
      <c r="B4021" s="38"/>
    </row>
    <row r="4022" spans="2:2">
      <c r="B4022" s="38"/>
    </row>
    <row r="4023" spans="2:2">
      <c r="B4023" s="38"/>
    </row>
    <row r="4024" spans="2:2">
      <c r="B4024" s="38"/>
    </row>
    <row r="4025" spans="2:2">
      <c r="B4025" s="38"/>
    </row>
    <row r="4026" spans="2:2">
      <c r="B4026" s="38"/>
    </row>
    <row r="4027" spans="2:2">
      <c r="B4027" s="38"/>
    </row>
    <row r="4028" spans="2:2">
      <c r="B4028" s="38"/>
    </row>
    <row r="4029" spans="2:2">
      <c r="B4029" s="38"/>
    </row>
    <row r="4030" spans="2:2">
      <c r="B4030" s="38"/>
    </row>
    <row r="4031" spans="2:2">
      <c r="B4031" s="38"/>
    </row>
    <row r="4032" spans="2:2">
      <c r="B4032" s="38"/>
    </row>
    <row r="4033" spans="2:2">
      <c r="B4033" s="38"/>
    </row>
    <row r="4034" spans="2:2">
      <c r="B4034" s="38"/>
    </row>
    <row r="4035" spans="2:2">
      <c r="B4035" s="38"/>
    </row>
    <row r="4036" spans="2:2">
      <c r="B4036" s="38"/>
    </row>
    <row r="4037" spans="2:2">
      <c r="B4037" s="38"/>
    </row>
    <row r="4038" spans="2:2">
      <c r="B4038" s="38"/>
    </row>
    <row r="4039" spans="2:2">
      <c r="B4039" s="38"/>
    </row>
    <row r="4040" spans="2:2">
      <c r="B4040" s="38"/>
    </row>
    <row r="4041" spans="2:2">
      <c r="B4041" s="38"/>
    </row>
    <row r="4042" spans="2:2">
      <c r="B4042" s="38"/>
    </row>
    <row r="4043" spans="2:2">
      <c r="B4043" s="38"/>
    </row>
    <row r="4044" spans="2:2">
      <c r="B4044" s="38"/>
    </row>
    <row r="4045" spans="2:2">
      <c r="B4045" s="38"/>
    </row>
    <row r="4046" spans="2:2">
      <c r="B4046" s="38"/>
    </row>
    <row r="4047" spans="2:2">
      <c r="B4047" s="38"/>
    </row>
    <row r="4048" spans="2:2">
      <c r="B4048" s="38"/>
    </row>
    <row r="4049" spans="2:2">
      <c r="B4049" s="38"/>
    </row>
    <row r="4050" spans="2:2">
      <c r="B4050" s="38"/>
    </row>
    <row r="4051" spans="2:2">
      <c r="B4051" s="38"/>
    </row>
    <row r="4052" spans="2:2">
      <c r="B4052" s="38"/>
    </row>
    <row r="4053" spans="2:2">
      <c r="B4053" s="38"/>
    </row>
    <row r="4054" spans="2:2">
      <c r="B4054" s="38"/>
    </row>
    <row r="4055" spans="2:2">
      <c r="B4055" s="38"/>
    </row>
    <row r="4056" spans="2:2">
      <c r="B4056" s="38"/>
    </row>
    <row r="4057" spans="2:2">
      <c r="B4057" s="38"/>
    </row>
    <row r="4058" spans="2:2">
      <c r="B4058" s="38"/>
    </row>
    <row r="4059" spans="2:2">
      <c r="B4059" s="38"/>
    </row>
    <row r="4060" spans="2:2">
      <c r="B4060" s="38"/>
    </row>
    <row r="4061" spans="2:2">
      <c r="B4061" s="38"/>
    </row>
    <row r="4062" spans="2:2">
      <c r="B4062" s="38"/>
    </row>
    <row r="4063" spans="2:2">
      <c r="B4063" s="38"/>
    </row>
    <row r="4064" spans="2:2">
      <c r="B4064" s="38"/>
    </row>
    <row r="4065" spans="2:2">
      <c r="B4065" s="38"/>
    </row>
    <row r="4066" spans="2:2">
      <c r="B4066" s="38"/>
    </row>
    <row r="4067" spans="2:2">
      <c r="B4067" s="38"/>
    </row>
    <row r="4068" spans="2:2">
      <c r="B4068" s="38"/>
    </row>
    <row r="4069" spans="2:2">
      <c r="B4069" s="38"/>
    </row>
    <row r="4070" spans="2:2">
      <c r="B4070" s="38"/>
    </row>
    <row r="4071" spans="2:2">
      <c r="B4071" s="38"/>
    </row>
    <row r="4072" spans="2:2">
      <c r="B4072" s="38"/>
    </row>
    <row r="4073" spans="2:2">
      <c r="B4073" s="38"/>
    </row>
    <row r="4074" spans="2:2">
      <c r="B4074" s="38"/>
    </row>
    <row r="4075" spans="2:2">
      <c r="B4075" s="38"/>
    </row>
    <row r="4076" spans="2:2">
      <c r="B4076" s="38"/>
    </row>
    <row r="4077" spans="2:2">
      <c r="B4077" s="38"/>
    </row>
    <row r="4078" spans="2:2">
      <c r="B4078" s="38"/>
    </row>
    <row r="4079" spans="2:2">
      <c r="B4079" s="38"/>
    </row>
    <row r="4080" spans="2:2">
      <c r="B4080" s="38"/>
    </row>
    <row r="4081" spans="2:2">
      <c r="B4081" s="38"/>
    </row>
    <row r="4082" spans="2:2">
      <c r="B4082" s="38"/>
    </row>
    <row r="4083" spans="2:2">
      <c r="B4083" s="38"/>
    </row>
    <row r="4084" spans="2:2">
      <c r="B4084" s="38"/>
    </row>
    <row r="4085" spans="2:2">
      <c r="B4085" s="38"/>
    </row>
    <row r="4086" spans="2:2">
      <c r="B4086" s="38"/>
    </row>
    <row r="4087" spans="2:2">
      <c r="B4087" s="38"/>
    </row>
    <row r="4088" spans="2:2">
      <c r="B4088" s="38"/>
    </row>
    <row r="4089" spans="2:2">
      <c r="B4089" s="38"/>
    </row>
    <row r="4090" spans="2:2">
      <c r="B4090" s="38"/>
    </row>
    <row r="4091" spans="2:2">
      <c r="B4091" s="38"/>
    </row>
    <row r="4092" spans="2:2">
      <c r="B4092" s="38"/>
    </row>
    <row r="4093" spans="2:2">
      <c r="B4093" s="38"/>
    </row>
    <row r="4094" spans="2:2">
      <c r="B4094" s="38"/>
    </row>
    <row r="4095" spans="2:2">
      <c r="B4095" s="38"/>
    </row>
    <row r="4096" spans="2:2">
      <c r="B4096" s="38"/>
    </row>
    <row r="4097" spans="2:2">
      <c r="B4097" s="38"/>
    </row>
    <row r="4098" spans="2:2">
      <c r="B4098" s="38"/>
    </row>
    <row r="4099" spans="2:2">
      <c r="B4099" s="38"/>
    </row>
    <row r="4100" spans="2:2">
      <c r="B4100" s="38"/>
    </row>
    <row r="4101" spans="2:2">
      <c r="B4101" s="38"/>
    </row>
    <row r="4102" spans="2:2">
      <c r="B4102" s="38"/>
    </row>
    <row r="4103" spans="2:2">
      <c r="B4103" s="38"/>
    </row>
    <row r="4104" spans="2:2">
      <c r="B4104" s="38"/>
    </row>
    <row r="4105" spans="2:2">
      <c r="B4105" s="38"/>
    </row>
    <row r="4106" spans="2:2">
      <c r="B4106" s="38"/>
    </row>
    <row r="4107" spans="2:2">
      <c r="B4107" s="38"/>
    </row>
    <row r="4108" spans="2:2">
      <c r="B4108" s="38"/>
    </row>
    <row r="4109" spans="2:2">
      <c r="B4109" s="38"/>
    </row>
    <row r="4110" spans="2:2">
      <c r="B4110" s="38"/>
    </row>
    <row r="4111" spans="2:2">
      <c r="B4111" s="38"/>
    </row>
    <row r="4112" spans="2:2">
      <c r="B4112" s="38"/>
    </row>
    <row r="4113" spans="2:2">
      <c r="B4113" s="38"/>
    </row>
    <row r="4114" spans="2:2">
      <c r="B4114" s="38"/>
    </row>
    <row r="4115" spans="2:2">
      <c r="B4115" s="38"/>
    </row>
    <row r="4116" spans="2:2">
      <c r="B4116" s="38"/>
    </row>
    <row r="4117" spans="2:2">
      <c r="B4117" s="38"/>
    </row>
    <row r="4118" spans="2:2">
      <c r="B4118" s="38"/>
    </row>
    <row r="4119" spans="2:2">
      <c r="B4119" s="38"/>
    </row>
    <row r="4120" spans="2:2">
      <c r="B4120" s="38"/>
    </row>
    <row r="4121" spans="2:2">
      <c r="B4121" s="38"/>
    </row>
    <row r="4122" spans="2:2">
      <c r="B4122" s="38"/>
    </row>
    <row r="4123" spans="2:2">
      <c r="B4123" s="38"/>
    </row>
    <row r="4124" spans="2:2">
      <c r="B4124" s="38"/>
    </row>
    <row r="4125" spans="2:2">
      <c r="B4125" s="38"/>
    </row>
    <row r="4126" spans="2:2">
      <c r="B4126" s="38"/>
    </row>
    <row r="4127" spans="2:2">
      <c r="B4127" s="38"/>
    </row>
    <row r="4128" spans="2:2">
      <c r="B4128" s="38"/>
    </row>
    <row r="4129" spans="2:2">
      <c r="B4129" s="38"/>
    </row>
    <row r="4130" spans="2:2">
      <c r="B4130" s="38"/>
    </row>
    <row r="4131" spans="2:2">
      <c r="B4131" s="38"/>
    </row>
    <row r="4132" spans="2:2">
      <c r="B4132" s="38"/>
    </row>
    <row r="4133" spans="2:2">
      <c r="B4133" s="38"/>
    </row>
    <row r="4134" spans="2:2">
      <c r="B4134" s="38"/>
    </row>
    <row r="4135" spans="2:2">
      <c r="B4135" s="38"/>
    </row>
    <row r="4136" spans="2:2">
      <c r="B4136" s="38"/>
    </row>
    <row r="4137" spans="2:2">
      <c r="B4137" s="38"/>
    </row>
    <row r="4138" spans="2:2">
      <c r="B4138" s="38"/>
    </row>
    <row r="4139" spans="2:2">
      <c r="B4139" s="38"/>
    </row>
    <row r="4140" spans="2:2">
      <c r="B4140" s="38"/>
    </row>
    <row r="4141" spans="2:2">
      <c r="B4141" s="38"/>
    </row>
    <row r="4142" spans="2:2">
      <c r="B4142" s="38"/>
    </row>
    <row r="4143" spans="2:2">
      <c r="B4143" s="38"/>
    </row>
    <row r="4144" spans="2:2">
      <c r="B4144" s="38"/>
    </row>
    <row r="4145" spans="2:2">
      <c r="B4145" s="38"/>
    </row>
    <row r="4146" spans="2:2">
      <c r="B4146" s="38"/>
    </row>
    <row r="4147" spans="2:2">
      <c r="B4147" s="38"/>
    </row>
    <row r="4148" spans="2:2">
      <c r="B4148" s="38"/>
    </row>
    <row r="4149" spans="2:2">
      <c r="B4149" s="38"/>
    </row>
    <row r="4150" spans="2:2">
      <c r="B4150" s="38"/>
    </row>
    <row r="4151" spans="2:2">
      <c r="B4151" s="38"/>
    </row>
    <row r="4152" spans="2:2">
      <c r="B4152" s="38"/>
    </row>
    <row r="4153" spans="2:2">
      <c r="B4153" s="38"/>
    </row>
    <row r="4154" spans="2:2">
      <c r="B4154" s="38"/>
    </row>
    <row r="4155" spans="2:2">
      <c r="B4155" s="38"/>
    </row>
    <row r="4156" spans="2:2">
      <c r="B4156" s="38"/>
    </row>
    <row r="4157" spans="2:2">
      <c r="B4157" s="38"/>
    </row>
    <row r="4158" spans="2:2">
      <c r="B4158" s="38"/>
    </row>
    <row r="4159" spans="2:2">
      <c r="B4159" s="38"/>
    </row>
    <row r="4160" spans="2:2">
      <c r="B4160" s="38"/>
    </row>
    <row r="4161" spans="2:2">
      <c r="B4161" s="38"/>
    </row>
    <row r="4162" spans="2:2">
      <c r="B4162" s="38"/>
    </row>
    <row r="4163" spans="2:2">
      <c r="B4163" s="38"/>
    </row>
    <row r="4164" spans="2:2">
      <c r="B4164" s="38"/>
    </row>
    <row r="4165" spans="2:2">
      <c r="B4165" s="38"/>
    </row>
    <row r="4166" spans="2:2">
      <c r="B4166" s="38"/>
    </row>
    <row r="4167" spans="2:2">
      <c r="B4167" s="38"/>
    </row>
    <row r="4168" spans="2:2">
      <c r="B4168" s="38"/>
    </row>
    <row r="4169" spans="2:2">
      <c r="B4169" s="38"/>
    </row>
    <row r="4170" spans="2:2">
      <c r="B4170" s="38"/>
    </row>
    <row r="4171" spans="2:2">
      <c r="B4171" s="38"/>
    </row>
    <row r="4172" spans="2:2">
      <c r="B4172" s="38"/>
    </row>
    <row r="4173" spans="2:2">
      <c r="B4173" s="38"/>
    </row>
    <row r="4174" spans="2:2">
      <c r="B4174" s="38"/>
    </row>
    <row r="4175" spans="2:2">
      <c r="B4175" s="38"/>
    </row>
    <row r="4176" spans="2:2">
      <c r="B4176" s="38"/>
    </row>
    <row r="4177" spans="2:2">
      <c r="B4177" s="38"/>
    </row>
    <row r="4178" spans="2:2">
      <c r="B4178" s="38"/>
    </row>
    <row r="4179" spans="2:2">
      <c r="B4179" s="38"/>
    </row>
    <row r="4180" spans="2:2">
      <c r="B4180" s="38"/>
    </row>
    <row r="4181" spans="2:2">
      <c r="B4181" s="38"/>
    </row>
    <row r="4182" spans="2:2">
      <c r="B4182" s="38"/>
    </row>
    <row r="4183" spans="2:2">
      <c r="B4183" s="38"/>
    </row>
    <row r="4184" spans="2:2">
      <c r="B4184" s="38"/>
    </row>
    <row r="4185" spans="2:2">
      <c r="B4185" s="38"/>
    </row>
    <row r="4186" spans="2:2">
      <c r="B4186" s="38"/>
    </row>
    <row r="4187" spans="2:2">
      <c r="B4187" s="38"/>
    </row>
    <row r="4188" spans="2:2">
      <c r="B4188" s="38"/>
    </row>
    <row r="4189" spans="2:2">
      <c r="B4189" s="38"/>
    </row>
    <row r="4190" spans="2:2">
      <c r="B4190" s="38"/>
    </row>
    <row r="4191" spans="2:2">
      <c r="B4191" s="38"/>
    </row>
    <row r="4192" spans="2:2">
      <c r="B4192" s="38"/>
    </row>
    <row r="4193" spans="2:2">
      <c r="B4193" s="38"/>
    </row>
    <row r="4194" spans="2:2">
      <c r="B4194" s="38"/>
    </row>
    <row r="4195" spans="2:2">
      <c r="B4195" s="38"/>
    </row>
    <row r="4196" spans="2:2">
      <c r="B4196" s="38"/>
    </row>
    <row r="4197" spans="2:2">
      <c r="B4197" s="38"/>
    </row>
    <row r="4198" spans="2:2">
      <c r="B4198" s="38"/>
    </row>
    <row r="4199" spans="2:2">
      <c r="B4199" s="38"/>
    </row>
    <row r="4200" spans="2:2">
      <c r="B4200" s="38"/>
    </row>
    <row r="4201" spans="2:2">
      <c r="B4201" s="38"/>
    </row>
    <row r="4202" spans="2:2">
      <c r="B4202" s="38"/>
    </row>
    <row r="4203" spans="2:2">
      <c r="B4203" s="38"/>
    </row>
    <row r="4204" spans="2:2">
      <c r="B4204" s="38"/>
    </row>
    <row r="4205" spans="2:2">
      <c r="B4205" s="38"/>
    </row>
    <row r="4206" spans="2:2">
      <c r="B4206" s="38"/>
    </row>
    <row r="4207" spans="2:2">
      <c r="B4207" s="38"/>
    </row>
    <row r="4208" spans="2:2">
      <c r="B4208" s="38"/>
    </row>
    <row r="4209" spans="2:2">
      <c r="B4209" s="38"/>
    </row>
    <row r="4210" spans="2:2">
      <c r="B4210" s="38"/>
    </row>
    <row r="4211" spans="2:2">
      <c r="B4211" s="38"/>
    </row>
    <row r="4212" spans="2:2">
      <c r="B4212" s="38"/>
    </row>
    <row r="4213" spans="2:2">
      <c r="B4213" s="38"/>
    </row>
    <row r="4214" spans="2:2">
      <c r="B4214" s="38"/>
    </row>
    <row r="4215" spans="2:2">
      <c r="B4215" s="38"/>
    </row>
    <row r="4216" spans="2:2">
      <c r="B4216" s="38"/>
    </row>
    <row r="4217" spans="2:2">
      <c r="B4217" s="38"/>
    </row>
    <row r="4218" spans="2:2">
      <c r="B4218" s="38"/>
    </row>
    <row r="4219" spans="2:2">
      <c r="B4219" s="38"/>
    </row>
    <row r="4220" spans="2:2">
      <c r="B4220" s="38"/>
    </row>
    <row r="4221" spans="2:2">
      <c r="B4221" s="38"/>
    </row>
    <row r="4222" spans="2:2">
      <c r="B4222" s="38"/>
    </row>
    <row r="4223" spans="2:2">
      <c r="B4223" s="38"/>
    </row>
    <row r="4224" spans="2:2">
      <c r="B4224" s="38"/>
    </row>
    <row r="4225" spans="2:2">
      <c r="B4225" s="38"/>
    </row>
    <row r="4226" spans="2:2">
      <c r="B4226" s="38"/>
    </row>
    <row r="4227" spans="2:2">
      <c r="B4227" s="38"/>
    </row>
    <row r="4228" spans="2:2">
      <c r="B4228" s="38"/>
    </row>
    <row r="4229" spans="2:2">
      <c r="B4229" s="38"/>
    </row>
    <row r="4230" spans="2:2">
      <c r="B4230" s="38"/>
    </row>
    <row r="4231" spans="2:2">
      <c r="B4231" s="38"/>
    </row>
    <row r="4232" spans="2:2">
      <c r="B4232" s="38"/>
    </row>
    <row r="4233" spans="2:2">
      <c r="B4233" s="38"/>
    </row>
    <row r="4234" spans="2:2">
      <c r="B4234" s="38"/>
    </row>
    <row r="4235" spans="2:2">
      <c r="B4235" s="38"/>
    </row>
    <row r="4236" spans="2:2">
      <c r="B4236" s="38"/>
    </row>
    <row r="4237" spans="2:2">
      <c r="B4237" s="38"/>
    </row>
    <row r="4238" spans="2:2">
      <c r="B4238" s="38"/>
    </row>
    <row r="4239" spans="2:2">
      <c r="B4239" s="38"/>
    </row>
    <row r="4240" spans="2:2">
      <c r="B4240" s="38"/>
    </row>
    <row r="4241" spans="2:2">
      <c r="B4241" s="38"/>
    </row>
    <row r="4242" spans="2:2">
      <c r="B4242" s="38"/>
    </row>
    <row r="4243" spans="2:2">
      <c r="B4243" s="38"/>
    </row>
    <row r="4244" spans="2:2">
      <c r="B4244" s="38"/>
    </row>
    <row r="4245" spans="2:2">
      <c r="B4245" s="38"/>
    </row>
    <row r="4246" spans="2:2">
      <c r="B4246" s="38"/>
    </row>
    <row r="4247" spans="2:2">
      <c r="B4247" s="38"/>
    </row>
    <row r="4248" spans="2:2">
      <c r="B4248" s="38"/>
    </row>
    <row r="4249" spans="2:2">
      <c r="B4249" s="38"/>
    </row>
    <row r="4250" spans="2:2">
      <c r="B4250" s="38"/>
    </row>
    <row r="4251" spans="2:2">
      <c r="B4251" s="38"/>
    </row>
    <row r="4252" spans="2:2">
      <c r="B4252" s="38"/>
    </row>
    <row r="4253" spans="2:2">
      <c r="B4253" s="38"/>
    </row>
    <row r="4254" spans="2:2">
      <c r="B4254" s="38"/>
    </row>
    <row r="4255" spans="2:2">
      <c r="B4255" s="38"/>
    </row>
    <row r="4256" spans="2:2">
      <c r="B4256" s="38"/>
    </row>
    <row r="4257" spans="2:2">
      <c r="B4257" s="38"/>
    </row>
    <row r="4258" spans="2:2">
      <c r="B4258" s="38"/>
    </row>
    <row r="4259" spans="2:2">
      <c r="B4259" s="38"/>
    </row>
    <row r="4260" spans="2:2">
      <c r="B4260" s="38"/>
    </row>
    <row r="4261" spans="2:2">
      <c r="B4261" s="38"/>
    </row>
    <row r="4262" spans="2:2">
      <c r="B4262" s="38"/>
    </row>
    <row r="4263" spans="2:2">
      <c r="B4263" s="38"/>
    </row>
    <row r="4264" spans="2:2">
      <c r="B4264" s="38"/>
    </row>
    <row r="4265" spans="2:2">
      <c r="B4265" s="38"/>
    </row>
    <row r="4266" spans="2:2">
      <c r="B4266" s="38"/>
    </row>
    <row r="4267" spans="2:2">
      <c r="B4267" s="38"/>
    </row>
    <row r="4268" spans="2:2">
      <c r="B4268" s="38"/>
    </row>
    <row r="4269" spans="2:2">
      <c r="B4269" s="38"/>
    </row>
    <row r="4270" spans="2:2">
      <c r="B4270" s="38"/>
    </row>
    <row r="4271" spans="2:2">
      <c r="B4271" s="38"/>
    </row>
    <row r="4272" spans="2:2">
      <c r="B4272" s="38"/>
    </row>
    <row r="4273" spans="2:2">
      <c r="B4273" s="38"/>
    </row>
    <row r="4274" spans="2:2">
      <c r="B4274" s="38"/>
    </row>
    <row r="4275" spans="2:2">
      <c r="B4275" s="38"/>
    </row>
    <row r="4276" spans="2:2">
      <c r="B4276" s="38"/>
    </row>
    <row r="4277" spans="2:2">
      <c r="B4277" s="38"/>
    </row>
    <row r="4278" spans="2:2">
      <c r="B4278" s="38"/>
    </row>
    <row r="4279" spans="2:2">
      <c r="B4279" s="38"/>
    </row>
    <row r="4280" spans="2:2">
      <c r="B4280" s="38"/>
    </row>
    <row r="4281" spans="2:2">
      <c r="B4281" s="38"/>
    </row>
    <row r="4282" spans="2:2">
      <c r="B4282" s="38"/>
    </row>
    <row r="4283" spans="2:2">
      <c r="B4283" s="38"/>
    </row>
    <row r="4284" spans="2:2">
      <c r="B4284" s="38"/>
    </row>
    <row r="4285" spans="2:2">
      <c r="B4285" s="38"/>
    </row>
    <row r="4286" spans="2:2">
      <c r="B4286" s="38"/>
    </row>
    <row r="4287" spans="2:2">
      <c r="B4287" s="38"/>
    </row>
    <row r="4288" spans="2:2">
      <c r="B4288" s="38"/>
    </row>
    <row r="4289" spans="2:2">
      <c r="B4289" s="38"/>
    </row>
    <row r="4290" spans="2:2">
      <c r="B4290" s="38"/>
    </row>
    <row r="4291" spans="2:2">
      <c r="B4291" s="38"/>
    </row>
    <row r="4292" spans="2:2">
      <c r="B4292" s="38"/>
    </row>
    <row r="4293" spans="2:2">
      <c r="B4293" s="38"/>
    </row>
    <row r="4294" spans="2:2">
      <c r="B4294" s="38"/>
    </row>
    <row r="4295" spans="2:2">
      <c r="B4295" s="38"/>
    </row>
    <row r="4296" spans="2:2">
      <c r="B4296" s="38"/>
    </row>
    <row r="4297" spans="2:2">
      <c r="B4297" s="38"/>
    </row>
    <row r="4298" spans="2:2">
      <c r="B4298" s="38"/>
    </row>
    <row r="4299" spans="2:2">
      <c r="B4299" s="38"/>
    </row>
    <row r="4300" spans="2:2">
      <c r="B4300" s="38"/>
    </row>
    <row r="4301" spans="2:2">
      <c r="B4301" s="38"/>
    </row>
    <row r="4302" spans="2:2">
      <c r="B4302" s="38"/>
    </row>
    <row r="4303" spans="2:2">
      <c r="B4303" s="38"/>
    </row>
    <row r="4304" spans="2:2">
      <c r="B4304" s="38"/>
    </row>
    <row r="4305" spans="2:2">
      <c r="B4305" s="38"/>
    </row>
    <row r="4306" spans="2:2">
      <c r="B4306" s="38"/>
    </row>
    <row r="4307" spans="2:2">
      <c r="B4307" s="38"/>
    </row>
    <row r="4308" spans="2:2">
      <c r="B4308" s="38"/>
    </row>
    <row r="4309" spans="2:2">
      <c r="B4309" s="38"/>
    </row>
    <row r="4310" spans="2:2">
      <c r="B4310" s="38"/>
    </row>
    <row r="4311" spans="2:2">
      <c r="B4311" s="38"/>
    </row>
    <row r="4312" spans="2:2">
      <c r="B4312" s="38"/>
    </row>
    <row r="4313" spans="2:2">
      <c r="B4313" s="38"/>
    </row>
    <row r="4314" spans="2:2">
      <c r="B4314" s="38"/>
    </row>
    <row r="4315" spans="2:2">
      <c r="B4315" s="38"/>
    </row>
    <row r="4316" spans="2:2">
      <c r="B4316" s="38"/>
    </row>
    <row r="4317" spans="2:2">
      <c r="B4317" s="38"/>
    </row>
    <row r="4318" spans="2:2">
      <c r="B4318" s="38"/>
    </row>
    <row r="4319" spans="2:2">
      <c r="B4319" s="38"/>
    </row>
    <row r="4320" spans="2:2">
      <c r="B4320" s="38"/>
    </row>
    <row r="4321" spans="2:2">
      <c r="B4321" s="38"/>
    </row>
    <row r="4322" spans="2:2">
      <c r="B4322" s="38"/>
    </row>
    <row r="4323" spans="2:2">
      <c r="B4323" s="38"/>
    </row>
    <row r="4324" spans="2:2">
      <c r="B4324" s="38"/>
    </row>
    <row r="4325" spans="2:2">
      <c r="B4325" s="38"/>
    </row>
    <row r="4326" spans="2:2">
      <c r="B4326" s="38"/>
    </row>
    <row r="4327" spans="2:2">
      <c r="B4327" s="38"/>
    </row>
    <row r="4328" spans="2:2">
      <c r="B4328" s="38"/>
    </row>
    <row r="4329" spans="2:2">
      <c r="B4329" s="38"/>
    </row>
    <row r="4330" spans="2:2">
      <c r="B4330" s="38"/>
    </row>
    <row r="4331" spans="2:2">
      <c r="B4331" s="38"/>
    </row>
    <row r="4332" spans="2:2">
      <c r="B4332" s="38"/>
    </row>
    <row r="4333" spans="2:2">
      <c r="B4333" s="38"/>
    </row>
    <row r="4334" spans="2:2">
      <c r="B4334" s="38"/>
    </row>
    <row r="4335" spans="2:2">
      <c r="B4335" s="38"/>
    </row>
    <row r="4336" spans="2:2">
      <c r="B4336" s="38"/>
    </row>
    <row r="4337" spans="2:2">
      <c r="B4337" s="38"/>
    </row>
    <row r="4338" spans="2:2">
      <c r="B4338" s="38"/>
    </row>
    <row r="4339" spans="2:2">
      <c r="B4339" s="38"/>
    </row>
    <row r="4340" spans="2:2">
      <c r="B4340" s="38"/>
    </row>
    <row r="4341" spans="2:2">
      <c r="B4341" s="38"/>
    </row>
    <row r="4342" spans="2:2">
      <c r="B4342" s="38"/>
    </row>
    <row r="4343" spans="2:2">
      <c r="B4343" s="38"/>
    </row>
    <row r="4344" spans="2:2">
      <c r="B4344" s="38"/>
    </row>
    <row r="4345" spans="2:2">
      <c r="B4345" s="38"/>
    </row>
    <row r="4346" spans="2:2">
      <c r="B4346" s="38"/>
    </row>
    <row r="4347" spans="2:2">
      <c r="B4347" s="38"/>
    </row>
    <row r="4348" spans="2:2">
      <c r="B4348" s="38"/>
    </row>
    <row r="4349" spans="2:2">
      <c r="B4349" s="38"/>
    </row>
    <row r="4350" spans="2:2">
      <c r="B4350" s="38"/>
    </row>
    <row r="4351" spans="2:2">
      <c r="B4351" s="38"/>
    </row>
    <row r="4352" spans="2:2">
      <c r="B4352" s="38"/>
    </row>
    <row r="4353" spans="2:2">
      <c r="B4353" s="38"/>
    </row>
    <row r="4354" spans="2:2">
      <c r="B4354" s="38"/>
    </row>
    <row r="4355" spans="2:2">
      <c r="B4355" s="38"/>
    </row>
    <row r="4356" spans="2:2">
      <c r="B4356" s="38"/>
    </row>
    <row r="4357" spans="2:2">
      <c r="B4357" s="38"/>
    </row>
    <row r="4358" spans="2:2">
      <c r="B4358" s="38"/>
    </row>
    <row r="4359" spans="2:2">
      <c r="B4359" s="38"/>
    </row>
    <row r="4360" spans="2:2">
      <c r="B4360" s="38"/>
    </row>
    <row r="4361" spans="2:2">
      <c r="B4361" s="38"/>
    </row>
    <row r="4362" spans="2:2">
      <c r="B4362" s="38"/>
    </row>
    <row r="4363" spans="2:2">
      <c r="B4363" s="38"/>
    </row>
    <row r="4364" spans="2:2">
      <c r="B4364" s="38"/>
    </row>
    <row r="4365" spans="2:2">
      <c r="B4365" s="38"/>
    </row>
    <row r="4366" spans="2:2">
      <c r="B4366" s="38"/>
    </row>
    <row r="4367" spans="2:2">
      <c r="B4367" s="38"/>
    </row>
    <row r="4368" spans="2:2">
      <c r="B4368" s="38"/>
    </row>
    <row r="4369" spans="2:2">
      <c r="B4369" s="38"/>
    </row>
    <row r="4370" spans="2:2">
      <c r="B4370" s="38"/>
    </row>
    <row r="4371" spans="2:2">
      <c r="B4371" s="38"/>
    </row>
    <row r="4372" spans="2:2">
      <c r="B4372" s="38"/>
    </row>
    <row r="4373" spans="2:2">
      <c r="B4373" s="38"/>
    </row>
    <row r="4374" spans="2:2">
      <c r="B4374" s="38"/>
    </row>
    <row r="4375" spans="2:2">
      <c r="B4375" s="38"/>
    </row>
    <row r="4376" spans="2:2">
      <c r="B4376" s="38"/>
    </row>
    <row r="4377" spans="2:2">
      <c r="B4377" s="38"/>
    </row>
    <row r="4378" spans="2:2">
      <c r="B4378" s="38"/>
    </row>
    <row r="4379" spans="2:2">
      <c r="B4379" s="38"/>
    </row>
    <row r="4380" spans="2:2">
      <c r="B4380" s="38"/>
    </row>
    <row r="4381" spans="2:2">
      <c r="B4381" s="38"/>
    </row>
    <row r="4382" spans="2:2">
      <c r="B4382" s="38"/>
    </row>
    <row r="4383" spans="2:2">
      <c r="B4383" s="38"/>
    </row>
    <row r="4384" spans="2:2">
      <c r="B4384" s="38"/>
    </row>
    <row r="4385" spans="2:2">
      <c r="B4385" s="38"/>
    </row>
    <row r="4386" spans="2:2">
      <c r="B4386" s="38"/>
    </row>
    <row r="4387" spans="2:2">
      <c r="B4387" s="38"/>
    </row>
    <row r="4388" spans="2:2">
      <c r="B4388" s="38"/>
    </row>
    <row r="4389" spans="2:2">
      <c r="B4389" s="38"/>
    </row>
    <row r="4390" spans="2:2">
      <c r="B4390" s="38"/>
    </row>
    <row r="4391" spans="2:2">
      <c r="B4391" s="38"/>
    </row>
    <row r="4392" spans="2:2">
      <c r="B4392" s="38"/>
    </row>
    <row r="4393" spans="2:2">
      <c r="B4393" s="38"/>
    </row>
    <row r="4394" spans="2:2">
      <c r="B4394" s="38"/>
    </row>
    <row r="4395" spans="2:2">
      <c r="B4395" s="38"/>
    </row>
    <row r="4396" spans="2:2">
      <c r="B4396" s="38"/>
    </row>
    <row r="4397" spans="2:2">
      <c r="B4397" s="38"/>
    </row>
    <row r="4398" spans="2:2">
      <c r="B4398" s="38"/>
    </row>
    <row r="4399" spans="2:2">
      <c r="B4399" s="38"/>
    </row>
    <row r="4400" spans="2:2">
      <c r="B4400" s="38"/>
    </row>
    <row r="4401" spans="2:2">
      <c r="B4401" s="38"/>
    </row>
    <row r="4402" spans="2:2">
      <c r="B4402" s="38"/>
    </row>
    <row r="4403" spans="2:2">
      <c r="B4403" s="38"/>
    </row>
    <row r="4404" spans="2:2">
      <c r="B4404" s="38"/>
    </row>
    <row r="4405" spans="2:2">
      <c r="B4405" s="38"/>
    </row>
    <row r="4406" spans="2:2">
      <c r="B4406" s="38"/>
    </row>
    <row r="4407" spans="2:2">
      <c r="B4407" s="38"/>
    </row>
    <row r="4408" spans="2:2">
      <c r="B4408" s="38"/>
    </row>
    <row r="4409" spans="2:2">
      <c r="B4409" s="38"/>
    </row>
    <row r="4410" spans="2:2">
      <c r="B4410" s="38"/>
    </row>
    <row r="4411" spans="2:2">
      <c r="B4411" s="38"/>
    </row>
    <row r="4412" spans="2:2">
      <c r="B4412" s="38"/>
    </row>
    <row r="4413" spans="2:2">
      <c r="B4413" s="38"/>
    </row>
    <row r="4414" spans="2:2">
      <c r="B4414" s="38"/>
    </row>
    <row r="4415" spans="2:2">
      <c r="B4415" s="38"/>
    </row>
    <row r="4416" spans="2:2">
      <c r="B4416" s="38"/>
    </row>
    <row r="4417" spans="2:2">
      <c r="B4417" s="38"/>
    </row>
    <row r="4418" spans="2:2">
      <c r="B4418" s="38"/>
    </row>
    <row r="4419" spans="2:2">
      <c r="B4419" s="38"/>
    </row>
    <row r="4420" spans="2:2">
      <c r="B4420" s="38"/>
    </row>
    <row r="4421" spans="2:2">
      <c r="B4421" s="38"/>
    </row>
    <row r="4422" spans="2:2">
      <c r="B4422" s="38"/>
    </row>
    <row r="4423" spans="2:2">
      <c r="B4423" s="38"/>
    </row>
    <row r="4424" spans="2:2">
      <c r="B4424" s="38"/>
    </row>
    <row r="4425" spans="2:2">
      <c r="B4425" s="38"/>
    </row>
    <row r="4426" spans="2:2">
      <c r="B4426" s="38"/>
    </row>
    <row r="4427" spans="2:2">
      <c r="B4427" s="38"/>
    </row>
    <row r="4428" spans="2:2">
      <c r="B4428" s="38"/>
    </row>
    <row r="4429" spans="2:2">
      <c r="B4429" s="38"/>
    </row>
    <row r="4430" spans="2:2">
      <c r="B4430" s="38"/>
    </row>
    <row r="4431" spans="2:2">
      <c r="B4431" s="38"/>
    </row>
    <row r="4432" spans="2:2">
      <c r="B4432" s="38"/>
    </row>
    <row r="4433" spans="2:2">
      <c r="B4433" s="38"/>
    </row>
    <row r="4434" spans="2:2">
      <c r="B4434" s="38"/>
    </row>
    <row r="4435" spans="2:2">
      <c r="B4435" s="38"/>
    </row>
    <row r="4436" spans="2:2">
      <c r="B4436" s="38"/>
    </row>
    <row r="4437" spans="2:2">
      <c r="B4437" s="38"/>
    </row>
    <row r="4438" spans="2:2">
      <c r="B4438" s="38"/>
    </row>
    <row r="4439" spans="2:2">
      <c r="B4439" s="38"/>
    </row>
    <row r="4440" spans="2:2">
      <c r="B4440" s="38"/>
    </row>
    <row r="4441" spans="2:2">
      <c r="B4441" s="38"/>
    </row>
    <row r="4442" spans="2:2">
      <c r="B4442" s="38"/>
    </row>
    <row r="4443" spans="2:2">
      <c r="B4443" s="38"/>
    </row>
    <row r="4444" spans="2:2">
      <c r="B4444" s="38"/>
    </row>
    <row r="4445" spans="2:2">
      <c r="B4445" s="38"/>
    </row>
    <row r="4446" spans="2:2">
      <c r="B4446" s="38"/>
    </row>
    <row r="4447" spans="2:2">
      <c r="B4447" s="38"/>
    </row>
    <row r="4448" spans="2:2">
      <c r="B4448" s="38"/>
    </row>
    <row r="4449" spans="2:2">
      <c r="B4449" s="38"/>
    </row>
    <row r="4450" spans="2:2">
      <c r="B4450" s="38"/>
    </row>
    <row r="4451" spans="2:2">
      <c r="B4451" s="38"/>
    </row>
    <row r="4452" spans="2:2">
      <c r="B4452" s="38"/>
    </row>
    <row r="4453" spans="2:2">
      <c r="B4453" s="38"/>
    </row>
    <row r="4454" spans="2:2">
      <c r="B4454" s="38"/>
    </row>
    <row r="4455" spans="2:2">
      <c r="B4455" s="38"/>
    </row>
    <row r="4456" spans="2:2">
      <c r="B4456" s="38"/>
    </row>
    <row r="4457" spans="2:2">
      <c r="B4457" s="38"/>
    </row>
    <row r="4458" spans="2:2">
      <c r="B4458" s="38"/>
    </row>
    <row r="4459" spans="2:2">
      <c r="B4459" s="38"/>
    </row>
    <row r="4460" spans="2:2">
      <c r="B4460" s="38"/>
    </row>
    <row r="4461" spans="2:2">
      <c r="B4461" s="38"/>
    </row>
    <row r="4462" spans="2:2">
      <c r="B4462" s="38"/>
    </row>
    <row r="4463" spans="2:2">
      <c r="B4463" s="38"/>
    </row>
    <row r="4464" spans="2:2">
      <c r="B4464" s="38"/>
    </row>
    <row r="4465" spans="2:2">
      <c r="B4465" s="38"/>
    </row>
    <row r="4466" spans="2:2">
      <c r="B4466" s="38"/>
    </row>
    <row r="4467" spans="2:2">
      <c r="B4467" s="38"/>
    </row>
    <row r="4468" spans="2:2">
      <c r="B4468" s="38"/>
    </row>
    <row r="4469" spans="2:2">
      <c r="B4469" s="38"/>
    </row>
    <row r="4470" spans="2:2">
      <c r="B4470" s="38"/>
    </row>
    <row r="4471" spans="2:2">
      <c r="B4471" s="38"/>
    </row>
    <row r="4472" spans="2:2">
      <c r="B4472" s="38"/>
    </row>
    <row r="4473" spans="2:2">
      <c r="B4473" s="38"/>
    </row>
    <row r="4474" spans="2:2">
      <c r="B4474" s="38"/>
    </row>
    <row r="4475" spans="2:2">
      <c r="B4475" s="38"/>
    </row>
    <row r="4476" spans="2:2">
      <c r="B4476" s="38"/>
    </row>
    <row r="4477" spans="2:2">
      <c r="B4477" s="38"/>
    </row>
    <row r="4478" spans="2:2">
      <c r="B4478" s="38"/>
    </row>
    <row r="4479" spans="2:2">
      <c r="B4479" s="38"/>
    </row>
    <row r="4480" spans="2:2">
      <c r="B4480" s="38"/>
    </row>
    <row r="4481" spans="2:2">
      <c r="B4481" s="38"/>
    </row>
    <row r="4482" spans="2:2">
      <c r="B4482" s="38"/>
    </row>
    <row r="4483" spans="2:2">
      <c r="B4483" s="38"/>
    </row>
    <row r="4484" spans="2:2">
      <c r="B4484" s="38"/>
    </row>
    <row r="4485" spans="2:2">
      <c r="B4485" s="38"/>
    </row>
    <row r="4486" spans="2:2">
      <c r="B4486" s="38"/>
    </row>
    <row r="4487" spans="2:2">
      <c r="B4487" s="38"/>
    </row>
    <row r="4488" spans="2:2">
      <c r="B4488" s="38"/>
    </row>
    <row r="4489" spans="2:2">
      <c r="B4489" s="38"/>
    </row>
    <row r="4490" spans="2:2">
      <c r="B4490" s="38"/>
    </row>
    <row r="4491" spans="2:2">
      <c r="B4491" s="38"/>
    </row>
    <row r="4492" spans="2:2">
      <c r="B4492" s="38"/>
    </row>
    <row r="4493" spans="2:2">
      <c r="B4493" s="38"/>
    </row>
    <row r="4494" spans="2:2">
      <c r="B4494" s="38"/>
    </row>
    <row r="4495" spans="2:2">
      <c r="B4495" s="38"/>
    </row>
    <row r="4496" spans="2:2">
      <c r="B4496" s="38"/>
    </row>
    <row r="4497" spans="2:2">
      <c r="B4497" s="38"/>
    </row>
    <row r="4498" spans="2:2">
      <c r="B4498" s="38"/>
    </row>
    <row r="4499" spans="2:2">
      <c r="B4499" s="38"/>
    </row>
    <row r="4500" spans="2:2">
      <c r="B4500" s="38"/>
    </row>
    <row r="4501" spans="2:2">
      <c r="B4501" s="38"/>
    </row>
    <row r="4502" spans="2:2">
      <c r="B4502" s="38"/>
    </row>
    <row r="4503" spans="2:2">
      <c r="B4503" s="38"/>
    </row>
    <row r="4504" spans="2:2">
      <c r="B4504" s="38"/>
    </row>
    <row r="4505" spans="2:2">
      <c r="B4505" s="38"/>
    </row>
    <row r="4506" spans="2:2">
      <c r="B4506" s="38"/>
    </row>
    <row r="4507" spans="2:2">
      <c r="B4507" s="38"/>
    </row>
    <row r="4508" spans="2:2">
      <c r="B4508" s="38"/>
    </row>
    <row r="4509" spans="2:2">
      <c r="B4509" s="38"/>
    </row>
    <row r="4510" spans="2:2">
      <c r="B4510" s="38"/>
    </row>
    <row r="4511" spans="2:2">
      <c r="B4511" s="38"/>
    </row>
    <row r="4512" spans="2:2">
      <c r="B4512" s="38"/>
    </row>
    <row r="4513" spans="2:2">
      <c r="B4513" s="38"/>
    </row>
    <row r="4514" spans="2:2">
      <c r="B4514" s="38"/>
    </row>
    <row r="4515" spans="2:2">
      <c r="B4515" s="38"/>
    </row>
    <row r="4516" spans="2:2">
      <c r="B4516" s="38"/>
    </row>
    <row r="4517" spans="2:2">
      <c r="B4517" s="38"/>
    </row>
    <row r="4518" spans="2:2">
      <c r="B4518" s="38"/>
    </row>
    <row r="4519" spans="2:2">
      <c r="B4519" s="38"/>
    </row>
    <row r="4520" spans="2:2">
      <c r="B4520" s="38"/>
    </row>
    <row r="4521" spans="2:2">
      <c r="B4521" s="38"/>
    </row>
    <row r="4522" spans="2:2">
      <c r="B4522" s="38"/>
    </row>
    <row r="4523" spans="2:2">
      <c r="B4523" s="38"/>
    </row>
    <row r="4524" spans="2:2">
      <c r="B4524" s="38"/>
    </row>
    <row r="4525" spans="2:2">
      <c r="B4525" s="38"/>
    </row>
    <row r="4526" spans="2:2">
      <c r="B4526" s="38"/>
    </row>
    <row r="4527" spans="2:2">
      <c r="B4527" s="38"/>
    </row>
    <row r="4528" spans="2:2">
      <c r="B4528" s="38"/>
    </row>
    <row r="4529" spans="2:2">
      <c r="B4529" s="38"/>
    </row>
    <row r="4530" spans="2:2">
      <c r="B4530" s="38"/>
    </row>
    <row r="4531" spans="2:2">
      <c r="B4531" s="38"/>
    </row>
    <row r="4532" spans="2:2">
      <c r="B4532" s="38"/>
    </row>
    <row r="4533" spans="2:2">
      <c r="B4533" s="38"/>
    </row>
    <row r="4534" spans="2:2">
      <c r="B4534" s="38"/>
    </row>
    <row r="4535" spans="2:2">
      <c r="B4535" s="38"/>
    </row>
    <row r="4536" spans="2:2">
      <c r="B4536" s="38"/>
    </row>
    <row r="4537" spans="2:2">
      <c r="B4537" s="38"/>
    </row>
    <row r="4538" spans="2:2">
      <c r="B4538" s="38"/>
    </row>
    <row r="4539" spans="2:2">
      <c r="B4539" s="38"/>
    </row>
    <row r="4540" spans="2:2">
      <c r="B4540" s="38"/>
    </row>
    <row r="4541" spans="2:2">
      <c r="B4541" s="38"/>
    </row>
    <row r="4542" spans="2:2">
      <c r="B4542" s="38"/>
    </row>
    <row r="4543" spans="2:2">
      <c r="B4543" s="38"/>
    </row>
    <row r="4544" spans="2:2">
      <c r="B4544" s="38"/>
    </row>
    <row r="4545" spans="2:2">
      <c r="B4545" s="38"/>
    </row>
    <row r="4546" spans="2:2">
      <c r="B4546" s="38"/>
    </row>
    <row r="4547" spans="2:2">
      <c r="B4547" s="38"/>
    </row>
    <row r="4548" spans="2:2">
      <c r="B4548" s="38"/>
    </row>
    <row r="4549" spans="2:2">
      <c r="B4549" s="38"/>
    </row>
    <row r="4550" spans="2:2">
      <c r="B4550" s="38"/>
    </row>
    <row r="4551" spans="2:2">
      <c r="B4551" s="38"/>
    </row>
    <row r="4552" spans="2:2">
      <c r="B4552" s="38"/>
    </row>
    <row r="4553" spans="2:2">
      <c r="B4553" s="38"/>
    </row>
    <row r="4554" spans="2:2">
      <c r="B4554" s="38"/>
    </row>
    <row r="4555" spans="2:2">
      <c r="B4555" s="38"/>
    </row>
    <row r="4556" spans="2:2">
      <c r="B4556" s="38"/>
    </row>
    <row r="4557" spans="2:2">
      <c r="B4557" s="38"/>
    </row>
    <row r="4558" spans="2:2">
      <c r="B4558" s="38"/>
    </row>
    <row r="4559" spans="2:2">
      <c r="B4559" s="38"/>
    </row>
    <row r="4560" spans="2:2">
      <c r="B4560" s="38"/>
    </row>
    <row r="4561" spans="2:2">
      <c r="B4561" s="38"/>
    </row>
    <row r="4562" spans="2:2">
      <c r="B4562" s="38"/>
    </row>
    <row r="4563" spans="2:2">
      <c r="B4563" s="38"/>
    </row>
    <row r="4564" spans="2:2">
      <c r="B4564" s="38"/>
    </row>
    <row r="4565" spans="2:2">
      <c r="B4565" s="38"/>
    </row>
    <row r="4566" spans="2:2">
      <c r="B4566" s="38"/>
    </row>
    <row r="4567" spans="2:2">
      <c r="B4567" s="38"/>
    </row>
    <row r="4568" spans="2:2">
      <c r="B4568" s="38"/>
    </row>
    <row r="4569" spans="2:2">
      <c r="B4569" s="38"/>
    </row>
    <row r="4570" spans="2:2">
      <c r="B4570" s="38"/>
    </row>
    <row r="4571" spans="2:2">
      <c r="B4571" s="38"/>
    </row>
    <row r="4572" spans="2:2">
      <c r="B4572" s="38"/>
    </row>
    <row r="4573" spans="2:2">
      <c r="B4573" s="38"/>
    </row>
    <row r="4574" spans="2:2">
      <c r="B4574" s="38"/>
    </row>
    <row r="4575" spans="2:2">
      <c r="B4575" s="38"/>
    </row>
    <row r="4576" spans="2:2">
      <c r="B4576" s="38"/>
    </row>
    <row r="4577" spans="2:2">
      <c r="B4577" s="38"/>
    </row>
    <row r="4578" spans="2:2">
      <c r="B4578" s="38"/>
    </row>
    <row r="4579" spans="2:2">
      <c r="B4579" s="38"/>
    </row>
    <row r="4580" spans="2:2">
      <c r="B4580" s="38"/>
    </row>
    <row r="4581" spans="2:2">
      <c r="B4581" s="38"/>
    </row>
    <row r="4582" spans="2:2">
      <c r="B4582" s="38"/>
    </row>
    <row r="4583" spans="2:2">
      <c r="B4583" s="38"/>
    </row>
    <row r="4584" spans="2:2">
      <c r="B4584" s="38"/>
    </row>
    <row r="4585" spans="2:2">
      <c r="B4585" s="38"/>
    </row>
    <row r="4586" spans="2:2">
      <c r="B4586" s="38"/>
    </row>
    <row r="4587" spans="2:2">
      <c r="B4587" s="38"/>
    </row>
    <row r="4588" spans="2:2">
      <c r="B4588" s="38"/>
    </row>
    <row r="4589" spans="2:2">
      <c r="B4589" s="38"/>
    </row>
    <row r="4590" spans="2:2">
      <c r="B4590" s="38"/>
    </row>
    <row r="4591" spans="2:2">
      <c r="B4591" s="38"/>
    </row>
    <row r="4592" spans="2:2">
      <c r="B4592" s="38"/>
    </row>
    <row r="4593" spans="2:2">
      <c r="B4593" s="38"/>
    </row>
    <row r="4594" spans="2:2">
      <c r="B4594" s="38"/>
    </row>
    <row r="4595" spans="2:2">
      <c r="B4595" s="38"/>
    </row>
    <row r="4596" spans="2:2">
      <c r="B4596" s="38"/>
    </row>
    <row r="4597" spans="2:2">
      <c r="B4597" s="38"/>
    </row>
    <row r="4598" spans="2:2">
      <c r="B4598" s="38"/>
    </row>
    <row r="4599" spans="2:2">
      <c r="B4599" s="38"/>
    </row>
    <row r="4600" spans="2:2">
      <c r="B4600" s="38"/>
    </row>
    <row r="4601" spans="2:2">
      <c r="B4601" s="38"/>
    </row>
    <row r="4602" spans="2:2">
      <c r="B4602" s="38"/>
    </row>
    <row r="4603" spans="2:2">
      <c r="B4603" s="38"/>
    </row>
    <row r="4604" spans="2:2">
      <c r="B4604" s="38"/>
    </row>
    <row r="4605" spans="2:2">
      <c r="B4605" s="38"/>
    </row>
    <row r="4606" spans="2:2">
      <c r="B4606" s="38"/>
    </row>
    <row r="4607" spans="2:2">
      <c r="B4607" s="38"/>
    </row>
    <row r="4608" spans="2:2">
      <c r="B4608" s="38"/>
    </row>
    <row r="4609" spans="2:2">
      <c r="B4609" s="38"/>
    </row>
    <row r="4610" spans="2:2">
      <c r="B4610" s="38"/>
    </row>
    <row r="4611" spans="2:2">
      <c r="B4611" s="38"/>
    </row>
    <row r="4612" spans="2:2">
      <c r="B4612" s="38"/>
    </row>
    <row r="4613" spans="2:2">
      <c r="B4613" s="38"/>
    </row>
    <row r="4614" spans="2:2">
      <c r="B4614" s="38"/>
    </row>
    <row r="4615" spans="2:2">
      <c r="B4615" s="38"/>
    </row>
    <row r="4616" spans="2:2">
      <c r="B4616" s="38"/>
    </row>
    <row r="4617" spans="2:2">
      <c r="B4617" s="38"/>
    </row>
    <row r="4618" spans="2:2">
      <c r="B4618" s="38"/>
    </row>
    <row r="4619" spans="2:2">
      <c r="B4619" s="38"/>
    </row>
    <row r="4620" spans="2:2">
      <c r="B4620" s="38"/>
    </row>
    <row r="4621" spans="2:2">
      <c r="B4621" s="38"/>
    </row>
    <row r="4622" spans="2:2">
      <c r="B4622" s="38"/>
    </row>
    <row r="4623" spans="2:2">
      <c r="B4623" s="38"/>
    </row>
    <row r="4624" spans="2:2">
      <c r="B4624" s="38"/>
    </row>
    <row r="4625" spans="2:2">
      <c r="B4625" s="38"/>
    </row>
    <row r="4626" spans="2:2">
      <c r="B4626" s="38"/>
    </row>
    <row r="4627" spans="2:2">
      <c r="B4627" s="38"/>
    </row>
    <row r="4628" spans="2:2">
      <c r="B4628" s="38"/>
    </row>
    <row r="4629" spans="2:2">
      <c r="B4629" s="38"/>
    </row>
    <row r="4630" spans="2:2">
      <c r="B4630" s="38"/>
    </row>
    <row r="4631" spans="2:2">
      <c r="B4631" s="38"/>
    </row>
    <row r="4632" spans="2:2">
      <c r="B4632" s="38"/>
    </row>
    <row r="4633" spans="2:2">
      <c r="B4633" s="38"/>
    </row>
    <row r="4634" spans="2:2">
      <c r="B4634" s="38"/>
    </row>
    <row r="4635" spans="2:2">
      <c r="B4635" s="38"/>
    </row>
    <row r="4636" spans="2:2">
      <c r="B4636" s="38"/>
    </row>
    <row r="4637" spans="2:2">
      <c r="B4637" s="38"/>
    </row>
    <row r="4638" spans="2:2">
      <c r="B4638" s="38"/>
    </row>
    <row r="4639" spans="2:2">
      <c r="B4639" s="38"/>
    </row>
    <row r="4640" spans="2:2">
      <c r="B4640" s="38"/>
    </row>
    <row r="4641" spans="2:2">
      <c r="B4641" s="38"/>
    </row>
    <row r="4642" spans="2:2">
      <c r="B4642" s="38"/>
    </row>
    <row r="4643" spans="2:2">
      <c r="B4643" s="38"/>
    </row>
    <row r="4644" spans="2:2">
      <c r="B4644" s="38"/>
    </row>
    <row r="4645" spans="2:2">
      <c r="B4645" s="38"/>
    </row>
    <row r="4646" spans="2:2">
      <c r="B4646" s="38"/>
    </row>
    <row r="4647" spans="2:2">
      <c r="B4647" s="38"/>
    </row>
    <row r="4648" spans="2:2">
      <c r="B4648" s="38"/>
    </row>
    <row r="4649" spans="2:2">
      <c r="B4649" s="38"/>
    </row>
    <row r="4650" spans="2:2">
      <c r="B4650" s="38"/>
    </row>
    <row r="4651" spans="2:2">
      <c r="B4651" s="38"/>
    </row>
    <row r="4652" spans="2:2">
      <c r="B4652" s="38"/>
    </row>
    <row r="4653" spans="2:2">
      <c r="B4653" s="38"/>
    </row>
    <row r="4654" spans="2:2">
      <c r="B4654" s="38"/>
    </row>
    <row r="4655" spans="2:2">
      <c r="B4655" s="38"/>
    </row>
    <row r="4656" spans="2:2">
      <c r="B4656" s="38"/>
    </row>
    <row r="4657" spans="2:2">
      <c r="B4657" s="38"/>
    </row>
    <row r="4658" spans="2:2">
      <c r="B4658" s="38"/>
    </row>
    <row r="4659" spans="2:2">
      <c r="B4659" s="38"/>
    </row>
    <row r="4660" spans="2:2">
      <c r="B4660" s="38"/>
    </row>
    <row r="4661" spans="2:2">
      <c r="B4661" s="38"/>
    </row>
    <row r="4662" spans="2:2">
      <c r="B4662" s="38"/>
    </row>
    <row r="4663" spans="2:2">
      <c r="B4663" s="38"/>
    </row>
    <row r="4664" spans="2:2">
      <c r="B4664" s="38"/>
    </row>
    <row r="4665" spans="2:2">
      <c r="B4665" s="38"/>
    </row>
    <row r="4666" spans="2:2">
      <c r="B4666" s="38"/>
    </row>
    <row r="4667" spans="2:2">
      <c r="B4667" s="38"/>
    </row>
    <row r="4668" spans="2:2">
      <c r="B4668" s="38"/>
    </row>
    <row r="4669" spans="2:2">
      <c r="B4669" s="38"/>
    </row>
    <row r="4670" spans="2:2">
      <c r="B4670" s="38"/>
    </row>
    <row r="4671" spans="2:2">
      <c r="B4671" s="38"/>
    </row>
    <row r="4672" spans="2:2">
      <c r="B4672" s="38"/>
    </row>
    <row r="4673" spans="2:2">
      <c r="B4673" s="38"/>
    </row>
    <row r="4674" spans="2:2">
      <c r="B4674" s="38"/>
    </row>
    <row r="4675" spans="2:2">
      <c r="B4675" s="38"/>
    </row>
    <row r="4676" spans="2:2">
      <c r="B4676" s="38"/>
    </row>
    <row r="4677" spans="2:2">
      <c r="B4677" s="38"/>
    </row>
    <row r="4678" spans="2:2">
      <c r="B4678" s="38"/>
    </row>
    <row r="4679" spans="2:2">
      <c r="B4679" s="38"/>
    </row>
    <row r="4680" spans="2:2">
      <c r="B4680" s="38"/>
    </row>
    <row r="4681" spans="2:2">
      <c r="B4681" s="38"/>
    </row>
    <row r="4682" spans="2:2">
      <c r="B4682" s="38"/>
    </row>
    <row r="4683" spans="2:2">
      <c r="B4683" s="38"/>
    </row>
    <row r="4684" spans="2:2">
      <c r="B4684" s="38"/>
    </row>
    <row r="4685" spans="2:2">
      <c r="B4685" s="38"/>
    </row>
    <row r="4686" spans="2:2">
      <c r="B4686" s="38"/>
    </row>
    <row r="4687" spans="2:2">
      <c r="B4687" s="38"/>
    </row>
    <row r="4688" spans="2:2">
      <c r="B4688" s="38"/>
    </row>
    <row r="4689" spans="2:2">
      <c r="B4689" s="38"/>
    </row>
    <row r="4690" spans="2:2">
      <c r="B4690" s="38"/>
    </row>
    <row r="4691" spans="2:2">
      <c r="B4691" s="38"/>
    </row>
    <row r="4692" spans="2:2">
      <c r="B4692" s="38"/>
    </row>
    <row r="4693" spans="2:2">
      <c r="B4693" s="38"/>
    </row>
    <row r="4694" spans="2:2">
      <c r="B4694" s="38"/>
    </row>
    <row r="4695" spans="2:2">
      <c r="B4695" s="38"/>
    </row>
    <row r="4696" spans="2:2">
      <c r="B4696" s="38"/>
    </row>
    <row r="4697" spans="2:2">
      <c r="B4697" s="38"/>
    </row>
    <row r="4698" spans="2:2">
      <c r="B4698" s="38"/>
    </row>
    <row r="4699" spans="2:2">
      <c r="B4699" s="38"/>
    </row>
    <row r="4700" spans="2:2">
      <c r="B4700" s="38"/>
    </row>
    <row r="4701" spans="2:2">
      <c r="B4701" s="38"/>
    </row>
    <row r="4702" spans="2:2">
      <c r="B4702" s="38"/>
    </row>
    <row r="4703" spans="2:2">
      <c r="B4703" s="38"/>
    </row>
    <row r="4704" spans="2:2">
      <c r="B4704" s="38"/>
    </row>
    <row r="4705" spans="2:2">
      <c r="B4705" s="38"/>
    </row>
    <row r="4706" spans="2:2">
      <c r="B4706" s="38"/>
    </row>
    <row r="4707" spans="2:2">
      <c r="B4707" s="38"/>
    </row>
    <row r="4708" spans="2:2">
      <c r="B4708" s="38"/>
    </row>
    <row r="4709" spans="2:2">
      <c r="B4709" s="38"/>
    </row>
    <row r="4710" spans="2:2">
      <c r="B4710" s="38"/>
    </row>
    <row r="4711" spans="2:2">
      <c r="B4711" s="38"/>
    </row>
    <row r="4712" spans="2:2">
      <c r="B4712" s="38"/>
    </row>
    <row r="4713" spans="2:2">
      <c r="B4713" s="38"/>
    </row>
    <row r="4714" spans="2:2">
      <c r="B4714" s="38"/>
    </row>
    <row r="4715" spans="2:2">
      <c r="B4715" s="38"/>
    </row>
    <row r="4716" spans="2:2">
      <c r="B4716" s="38"/>
    </row>
    <row r="4717" spans="2:2">
      <c r="B4717" s="38"/>
    </row>
    <row r="4718" spans="2:2">
      <c r="B4718" s="38"/>
    </row>
    <row r="4719" spans="2:2">
      <c r="B4719" s="38"/>
    </row>
    <row r="4720" spans="2:2">
      <c r="B4720" s="38"/>
    </row>
    <row r="4721" spans="2:2">
      <c r="B4721" s="38"/>
    </row>
    <row r="4722" spans="2:2">
      <c r="B4722" s="38"/>
    </row>
    <row r="4723" spans="2:2">
      <c r="B4723" s="38"/>
    </row>
    <row r="4724" spans="2:2">
      <c r="B4724" s="38"/>
    </row>
    <row r="4725" spans="2:2">
      <c r="B4725" s="38"/>
    </row>
    <row r="4726" spans="2:2">
      <c r="B4726" s="38"/>
    </row>
    <row r="4727" spans="2:2">
      <c r="B4727" s="38"/>
    </row>
    <row r="4728" spans="2:2">
      <c r="B4728" s="38"/>
    </row>
    <row r="4729" spans="2:2">
      <c r="B4729" s="38"/>
    </row>
    <row r="4730" spans="2:2">
      <c r="B4730" s="38"/>
    </row>
    <row r="4731" spans="2:2">
      <c r="B4731" s="38"/>
    </row>
    <row r="4732" spans="2:2">
      <c r="B4732" s="38"/>
    </row>
    <row r="4733" spans="2:2">
      <c r="B4733" s="38"/>
    </row>
    <row r="4734" spans="2:2">
      <c r="B4734" s="38"/>
    </row>
    <row r="4735" spans="2:2">
      <c r="B4735" s="38"/>
    </row>
    <row r="4736" spans="2:2">
      <c r="B4736" s="38"/>
    </row>
    <row r="4737" spans="2:2">
      <c r="B4737" s="38"/>
    </row>
    <row r="4738" spans="2:2">
      <c r="B4738" s="38"/>
    </row>
    <row r="4739" spans="2:2">
      <c r="B4739" s="38"/>
    </row>
    <row r="4740" spans="2:2">
      <c r="B4740" s="38"/>
    </row>
    <row r="4741" spans="2:2">
      <c r="B4741" s="38"/>
    </row>
    <row r="4742" spans="2:2">
      <c r="B4742" s="38"/>
    </row>
    <row r="4743" spans="2:2">
      <c r="B4743" s="38"/>
    </row>
    <row r="4744" spans="2:2">
      <c r="B4744" s="38"/>
    </row>
    <row r="4745" spans="2:2">
      <c r="B4745" s="38"/>
    </row>
    <row r="4746" spans="2:2">
      <c r="B4746" s="38"/>
    </row>
    <row r="4747" spans="2:2">
      <c r="B4747" s="38"/>
    </row>
    <row r="4748" spans="2:2">
      <c r="B4748" s="38"/>
    </row>
    <row r="4749" spans="2:2">
      <c r="B4749" s="38"/>
    </row>
    <row r="4750" spans="2:2">
      <c r="B4750" s="38"/>
    </row>
    <row r="4751" spans="2:2">
      <c r="B4751" s="38"/>
    </row>
    <row r="4752" spans="2:2">
      <c r="B4752" s="38"/>
    </row>
    <row r="4753" spans="2:2">
      <c r="B4753" s="38"/>
    </row>
    <row r="4754" spans="2:2">
      <c r="B4754" s="38"/>
    </row>
    <row r="4755" spans="2:2">
      <c r="B4755" s="38"/>
    </row>
    <row r="4756" spans="2:2">
      <c r="B4756" s="38"/>
    </row>
    <row r="4757" spans="2:2">
      <c r="B4757" s="38"/>
    </row>
    <row r="4758" spans="2:2">
      <c r="B4758" s="38"/>
    </row>
    <row r="4759" spans="2:2">
      <c r="B4759" s="38"/>
    </row>
    <row r="4760" spans="2:2">
      <c r="B4760" s="38"/>
    </row>
    <row r="4761" spans="2:2">
      <c r="B4761" s="38"/>
    </row>
    <row r="4762" spans="2:2">
      <c r="B4762" s="38"/>
    </row>
    <row r="4763" spans="2:2">
      <c r="B4763" s="38"/>
    </row>
    <row r="4764" spans="2:2">
      <c r="B4764" s="38"/>
    </row>
    <row r="4765" spans="2:2">
      <c r="B4765" s="38"/>
    </row>
    <row r="4766" spans="2:2">
      <c r="B4766" s="38"/>
    </row>
    <row r="4767" spans="2:2">
      <c r="B4767" s="38"/>
    </row>
    <row r="4768" spans="2:2">
      <c r="B4768" s="38"/>
    </row>
    <row r="4769" spans="2:2">
      <c r="B4769" s="38"/>
    </row>
    <row r="4770" spans="2:2">
      <c r="B4770" s="38"/>
    </row>
    <row r="4771" spans="2:2">
      <c r="B4771" s="38"/>
    </row>
    <row r="4772" spans="2:2">
      <c r="B4772" s="38"/>
    </row>
    <row r="4773" spans="2:2">
      <c r="B4773" s="38"/>
    </row>
    <row r="4774" spans="2:2">
      <c r="B4774" s="38"/>
    </row>
    <row r="4775" spans="2:2">
      <c r="B4775" s="38"/>
    </row>
    <row r="4776" spans="2:2">
      <c r="B4776" s="38"/>
    </row>
    <row r="4777" spans="2:2">
      <c r="B4777" s="38"/>
    </row>
    <row r="4778" spans="2:2">
      <c r="B4778" s="38"/>
    </row>
    <row r="4779" spans="2:2">
      <c r="B4779" s="38"/>
    </row>
    <row r="4780" spans="2:2">
      <c r="B4780" s="38"/>
    </row>
    <row r="4781" spans="2:2">
      <c r="B4781" s="38"/>
    </row>
    <row r="4782" spans="2:2">
      <c r="B4782" s="38"/>
    </row>
    <row r="4783" spans="2:2">
      <c r="B4783" s="38"/>
    </row>
    <row r="4784" spans="2:2">
      <c r="B4784" s="38"/>
    </row>
    <row r="4785" spans="2:2">
      <c r="B4785" s="38"/>
    </row>
    <row r="4786" spans="2:2">
      <c r="B4786" s="38"/>
    </row>
    <row r="4787" spans="2:2">
      <c r="B4787" s="38"/>
    </row>
    <row r="4788" spans="2:2">
      <c r="B4788" s="38"/>
    </row>
    <row r="4789" spans="2:2">
      <c r="B4789" s="38"/>
    </row>
    <row r="4790" spans="2:2">
      <c r="B4790" s="38"/>
    </row>
    <row r="4791" spans="2:2">
      <c r="B4791" s="38"/>
    </row>
    <row r="4792" spans="2:2">
      <c r="B4792" s="38"/>
    </row>
    <row r="4793" spans="2:2">
      <c r="B4793" s="38"/>
    </row>
    <row r="4794" spans="2:2">
      <c r="B4794" s="38"/>
    </row>
    <row r="4795" spans="2:2">
      <c r="B4795" s="38"/>
    </row>
    <row r="4796" spans="2:2">
      <c r="B4796" s="38"/>
    </row>
    <row r="4797" spans="2:2">
      <c r="B4797" s="38"/>
    </row>
    <row r="4798" spans="2:2">
      <c r="B4798" s="38"/>
    </row>
    <row r="4799" spans="2:2">
      <c r="B4799" s="38"/>
    </row>
    <row r="4800" spans="2:2">
      <c r="B4800" s="38"/>
    </row>
    <row r="4801" spans="2:2">
      <c r="B4801" s="38"/>
    </row>
    <row r="4802" spans="2:2">
      <c r="B4802" s="38"/>
    </row>
    <row r="4803" spans="2:2">
      <c r="B4803" s="38"/>
    </row>
    <row r="4804" spans="2:2">
      <c r="B4804" s="38"/>
    </row>
    <row r="4805" spans="2:2">
      <c r="B4805" s="38"/>
    </row>
    <row r="4806" spans="2:2">
      <c r="B4806" s="38"/>
    </row>
    <row r="4807" spans="2:2">
      <c r="B4807" s="38"/>
    </row>
    <row r="4808" spans="2:2">
      <c r="B4808" s="38"/>
    </row>
    <row r="4809" spans="2:2">
      <c r="B4809" s="38"/>
    </row>
    <row r="4810" spans="2:2">
      <c r="B4810" s="38"/>
    </row>
    <row r="4811" spans="2:2">
      <c r="B4811" s="38"/>
    </row>
    <row r="4812" spans="2:2">
      <c r="B4812" s="38"/>
    </row>
    <row r="4813" spans="2:2">
      <c r="B4813" s="38"/>
    </row>
    <row r="4814" spans="2:2">
      <c r="B4814" s="38"/>
    </row>
    <row r="4815" spans="2:2">
      <c r="B4815" s="38"/>
    </row>
    <row r="4816" spans="2:2">
      <c r="B4816" s="38"/>
    </row>
    <row r="4817" spans="2:2">
      <c r="B4817" s="38"/>
    </row>
    <row r="4818" spans="2:2">
      <c r="B4818" s="38"/>
    </row>
    <row r="4819" spans="2:2">
      <c r="B4819" s="38"/>
    </row>
    <row r="4820" spans="2:2">
      <c r="B4820" s="38"/>
    </row>
    <row r="4821" spans="2:2">
      <c r="B4821" s="38"/>
    </row>
    <row r="4822" spans="2:2">
      <c r="B4822" s="38"/>
    </row>
    <row r="4823" spans="2:2">
      <c r="B4823" s="38"/>
    </row>
    <row r="4824" spans="2:2">
      <c r="B4824" s="38"/>
    </row>
    <row r="4825" spans="2:2">
      <c r="B4825" s="38"/>
    </row>
    <row r="4826" spans="2:2">
      <c r="B4826" s="38"/>
    </row>
    <row r="4827" spans="2:2">
      <c r="B4827" s="38"/>
    </row>
    <row r="4828" spans="2:2">
      <c r="B4828" s="38"/>
    </row>
    <row r="4829" spans="2:2">
      <c r="B4829" s="38"/>
    </row>
    <row r="4830" spans="2:2">
      <c r="B4830" s="38"/>
    </row>
    <row r="4831" spans="2:2">
      <c r="B4831" s="38"/>
    </row>
    <row r="4832" spans="2:2">
      <c r="B4832" s="38"/>
    </row>
    <row r="4833" spans="2:2">
      <c r="B4833" s="38"/>
    </row>
    <row r="4834" spans="2:2">
      <c r="B4834" s="38"/>
    </row>
    <row r="4835" spans="2:2">
      <c r="B4835" s="38"/>
    </row>
    <row r="4836" spans="2:2">
      <c r="B4836" s="38"/>
    </row>
    <row r="4837" spans="2:2">
      <c r="B4837" s="38"/>
    </row>
    <row r="4838" spans="2:2">
      <c r="B4838" s="38"/>
    </row>
    <row r="4839" spans="2:2">
      <c r="B4839" s="38"/>
    </row>
    <row r="4840" spans="2:2">
      <c r="B4840" s="38"/>
    </row>
    <row r="4841" spans="2:2">
      <c r="B4841" s="38"/>
    </row>
    <row r="4842" spans="2:2">
      <c r="B4842" s="38"/>
    </row>
    <row r="4843" spans="2:2">
      <c r="B4843" s="38"/>
    </row>
    <row r="4844" spans="2:2">
      <c r="B4844" s="38"/>
    </row>
    <row r="4845" spans="2:2">
      <c r="B4845" s="38"/>
    </row>
    <row r="4846" spans="2:2">
      <c r="B4846" s="38"/>
    </row>
    <row r="4847" spans="2:2">
      <c r="B4847" s="38"/>
    </row>
    <row r="4848" spans="2:2">
      <c r="B4848" s="38"/>
    </row>
    <row r="4849" spans="2:2">
      <c r="B4849" s="38"/>
    </row>
    <row r="4850" spans="2:2">
      <c r="B4850" s="38"/>
    </row>
    <row r="4851" spans="2:2">
      <c r="B4851" s="38"/>
    </row>
    <row r="4852" spans="2:2">
      <c r="B4852" s="38"/>
    </row>
    <row r="4853" spans="2:2">
      <c r="B4853" s="38"/>
    </row>
    <row r="4854" spans="2:2">
      <c r="B4854" s="38"/>
    </row>
    <row r="4855" spans="2:2">
      <c r="B4855" s="38"/>
    </row>
    <row r="4856" spans="2:2">
      <c r="B4856" s="38"/>
    </row>
    <row r="4857" spans="2:2">
      <c r="B4857" s="38"/>
    </row>
    <row r="4858" spans="2:2">
      <c r="B4858" s="38"/>
    </row>
    <row r="4859" spans="2:2">
      <c r="B4859" s="38"/>
    </row>
    <row r="4860" spans="2:2">
      <c r="B4860" s="38"/>
    </row>
    <row r="4861" spans="2:2">
      <c r="B4861" s="38"/>
    </row>
    <row r="4862" spans="2:2">
      <c r="B4862" s="38"/>
    </row>
    <row r="4863" spans="2:2">
      <c r="B4863" s="38"/>
    </row>
    <row r="4864" spans="2:2">
      <c r="B4864" s="38"/>
    </row>
    <row r="4865" spans="2:2">
      <c r="B4865" s="38"/>
    </row>
    <row r="4866" spans="2:2">
      <c r="B4866" s="38"/>
    </row>
    <row r="4867" spans="2:2">
      <c r="B4867" s="38"/>
    </row>
    <row r="4868" spans="2:2">
      <c r="B4868" s="38"/>
    </row>
    <row r="4869" spans="2:2">
      <c r="B4869" s="38"/>
    </row>
    <row r="4870" spans="2:2">
      <c r="B4870" s="38"/>
    </row>
    <row r="4871" spans="2:2">
      <c r="B4871" s="38"/>
    </row>
    <row r="4872" spans="2:2">
      <c r="B4872" s="38"/>
    </row>
    <row r="4873" spans="2:2">
      <c r="B4873" s="38"/>
    </row>
    <row r="4874" spans="2:2">
      <c r="B4874" s="38"/>
    </row>
    <row r="4875" spans="2:2">
      <c r="B4875" s="38"/>
    </row>
    <row r="4876" spans="2:2">
      <c r="B4876" s="38"/>
    </row>
    <row r="4877" spans="2:2">
      <c r="B4877" s="38"/>
    </row>
    <row r="4878" spans="2:2">
      <c r="B4878" s="38"/>
    </row>
    <row r="4879" spans="2:2">
      <c r="B4879" s="38"/>
    </row>
    <row r="4880" spans="2:2">
      <c r="B4880" s="38"/>
    </row>
    <row r="4881" spans="2:2">
      <c r="B4881" s="38"/>
    </row>
    <row r="4882" spans="2:2">
      <c r="B4882" s="38"/>
    </row>
    <row r="4883" spans="2:2">
      <c r="B4883" s="38"/>
    </row>
    <row r="4884" spans="2:2">
      <c r="B4884" s="38"/>
    </row>
    <row r="4885" spans="2:2">
      <c r="B4885" s="38"/>
    </row>
    <row r="4886" spans="2:2">
      <c r="B4886" s="38"/>
    </row>
    <row r="4887" spans="2:2">
      <c r="B4887" s="38"/>
    </row>
    <row r="4888" spans="2:2">
      <c r="B4888" s="38"/>
    </row>
    <row r="4889" spans="2:2">
      <c r="B4889" s="38"/>
    </row>
    <row r="4890" spans="2:2">
      <c r="B4890" s="38"/>
    </row>
    <row r="4891" spans="2:2">
      <c r="B4891" s="38"/>
    </row>
    <row r="4892" spans="2:2">
      <c r="B4892" s="38"/>
    </row>
    <row r="4893" spans="2:2">
      <c r="B4893" s="38"/>
    </row>
    <row r="4894" spans="2:2">
      <c r="B4894" s="38"/>
    </row>
    <row r="4895" spans="2:2">
      <c r="B4895" s="38"/>
    </row>
    <row r="4896" spans="2:2">
      <c r="B4896" s="38"/>
    </row>
    <row r="4897" spans="2:2">
      <c r="B4897" s="38"/>
    </row>
    <row r="4898" spans="2:2">
      <c r="B4898" s="38"/>
    </row>
    <row r="4899" spans="2:2">
      <c r="B4899" s="38"/>
    </row>
    <row r="4900" spans="2:2">
      <c r="B4900" s="38"/>
    </row>
    <row r="4901" spans="2:2">
      <c r="B4901" s="38"/>
    </row>
    <row r="4902" spans="2:2">
      <c r="B4902" s="38"/>
    </row>
    <row r="4903" spans="2:2">
      <c r="B4903" s="38"/>
    </row>
    <row r="4904" spans="2:2">
      <c r="B4904" s="38"/>
    </row>
    <row r="4905" spans="2:2">
      <c r="B4905" s="38"/>
    </row>
    <row r="4906" spans="2:2">
      <c r="B4906" s="38"/>
    </row>
    <row r="4907" spans="2:2">
      <c r="B4907" s="38"/>
    </row>
    <row r="4908" spans="2:2">
      <c r="B4908" s="38"/>
    </row>
    <row r="4909" spans="2:2">
      <c r="B4909" s="38"/>
    </row>
    <row r="4910" spans="2:2">
      <c r="B4910" s="38"/>
    </row>
    <row r="4911" spans="2:2">
      <c r="B4911" s="38"/>
    </row>
    <row r="4912" spans="2:2">
      <c r="B4912" s="38"/>
    </row>
    <row r="4913" spans="2:2">
      <c r="B4913" s="38"/>
    </row>
    <row r="4914" spans="2:2">
      <c r="B4914" s="38"/>
    </row>
    <row r="4915" spans="2:2">
      <c r="B4915" s="38"/>
    </row>
    <row r="4916" spans="2:2">
      <c r="B4916" s="38"/>
    </row>
    <row r="4917" spans="2:2">
      <c r="B4917" s="38"/>
    </row>
    <row r="4918" spans="2:2">
      <c r="B4918" s="38"/>
    </row>
    <row r="4919" spans="2:2">
      <c r="B4919" s="38"/>
    </row>
    <row r="4920" spans="2:2">
      <c r="B4920" s="38"/>
    </row>
    <row r="4921" spans="2:2">
      <c r="B4921" s="38"/>
    </row>
    <row r="4922" spans="2:2">
      <c r="B4922" s="38"/>
    </row>
    <row r="4923" spans="2:2">
      <c r="B4923" s="38"/>
    </row>
    <row r="4924" spans="2:2">
      <c r="B4924" s="38"/>
    </row>
    <row r="4925" spans="2:2">
      <c r="B4925" s="38"/>
    </row>
    <row r="4926" spans="2:2">
      <c r="B4926" s="38"/>
    </row>
    <row r="4927" spans="2:2">
      <c r="B4927" s="38"/>
    </row>
    <row r="4928" spans="2:2">
      <c r="B4928" s="38"/>
    </row>
    <row r="4929" spans="2:2">
      <c r="B4929" s="38"/>
    </row>
    <row r="4930" spans="2:2">
      <c r="B4930" s="38"/>
    </row>
    <row r="4931" spans="2:2">
      <c r="B4931" s="38"/>
    </row>
    <row r="4932" spans="2:2">
      <c r="B4932" s="38"/>
    </row>
    <row r="4933" spans="2:2">
      <c r="B4933" s="38"/>
    </row>
    <row r="4934" spans="2:2">
      <c r="B4934" s="38"/>
    </row>
    <row r="4935" spans="2:2">
      <c r="B4935" s="38"/>
    </row>
    <row r="4936" spans="2:2">
      <c r="B4936" s="38"/>
    </row>
    <row r="4937" spans="2:2">
      <c r="B4937" s="38"/>
    </row>
    <row r="4938" spans="2:2">
      <c r="B4938" s="38"/>
    </row>
    <row r="4939" spans="2:2">
      <c r="B4939" s="38"/>
    </row>
    <row r="4940" spans="2:2">
      <c r="B4940" s="38"/>
    </row>
    <row r="4941" spans="2:2">
      <c r="B4941" s="38"/>
    </row>
    <row r="4942" spans="2:2">
      <c r="B4942" s="38"/>
    </row>
    <row r="4943" spans="2:2">
      <c r="B4943" s="38"/>
    </row>
    <row r="4944" spans="2:2">
      <c r="B4944" s="38"/>
    </row>
    <row r="4945" spans="2:2">
      <c r="B4945" s="38"/>
    </row>
    <row r="4946" spans="2:2">
      <c r="B4946" s="38"/>
    </row>
    <row r="4947" spans="2:2">
      <c r="B4947" s="38"/>
    </row>
    <row r="4948" spans="2:2">
      <c r="B4948" s="38"/>
    </row>
    <row r="4949" spans="2:2">
      <c r="B4949" s="38"/>
    </row>
    <row r="4950" spans="2:2">
      <c r="B4950" s="38"/>
    </row>
    <row r="4951" spans="2:2">
      <c r="B4951" s="38"/>
    </row>
    <row r="4952" spans="2:2">
      <c r="B4952" s="38"/>
    </row>
    <row r="4953" spans="2:2">
      <c r="B4953" s="38"/>
    </row>
    <row r="4954" spans="2:2">
      <c r="B4954" s="38"/>
    </row>
    <row r="4955" spans="2:2">
      <c r="B4955" s="38"/>
    </row>
    <row r="4956" spans="2:2">
      <c r="B4956" s="38"/>
    </row>
    <row r="4957" spans="2:2">
      <c r="B4957" s="38"/>
    </row>
    <row r="4958" spans="2:2">
      <c r="B4958" s="38"/>
    </row>
    <row r="4959" spans="2:2">
      <c r="B4959" s="38"/>
    </row>
    <row r="4960" spans="2:2">
      <c r="B4960" s="38"/>
    </row>
    <row r="4961" spans="2:2">
      <c r="B4961" s="38"/>
    </row>
    <row r="4962" spans="2:2">
      <c r="B4962" s="38"/>
    </row>
    <row r="4963" spans="2:2">
      <c r="B4963" s="38"/>
    </row>
    <row r="4964" spans="2:2">
      <c r="B4964" s="38"/>
    </row>
    <row r="4965" spans="2:2">
      <c r="B4965" s="38"/>
    </row>
    <row r="4966" spans="2:2">
      <c r="B4966" s="38"/>
    </row>
    <row r="4967" spans="2:2">
      <c r="B4967" s="38"/>
    </row>
    <row r="4968" spans="2:2">
      <c r="B4968" s="38"/>
    </row>
    <row r="4969" spans="2:2">
      <c r="B4969" s="38"/>
    </row>
    <row r="4970" spans="2:2">
      <c r="B4970" s="38"/>
    </row>
    <row r="4971" spans="2:2">
      <c r="B4971" s="38"/>
    </row>
    <row r="4972" spans="2:2">
      <c r="B4972" s="38"/>
    </row>
    <row r="4973" spans="2:2">
      <c r="B4973" s="38"/>
    </row>
    <row r="4974" spans="2:2">
      <c r="B4974" s="38"/>
    </row>
    <row r="4975" spans="2:2">
      <c r="B4975" s="38"/>
    </row>
    <row r="4976" spans="2:2">
      <c r="B4976" s="38"/>
    </row>
    <row r="4977" spans="2:2">
      <c r="B4977" s="38"/>
    </row>
    <row r="4978" spans="2:2">
      <c r="B4978" s="38"/>
    </row>
    <row r="4979" spans="2:2">
      <c r="B4979" s="38"/>
    </row>
    <row r="4980" spans="2:2">
      <c r="B4980" s="38"/>
    </row>
    <row r="4981" spans="2:2">
      <c r="B4981" s="38"/>
    </row>
    <row r="4982" spans="2:2">
      <c r="B4982" s="38"/>
    </row>
    <row r="4983" spans="2:2">
      <c r="B4983" s="38"/>
    </row>
    <row r="4984" spans="2:2">
      <c r="B4984" s="38"/>
    </row>
    <row r="4985" spans="2:2">
      <c r="B4985" s="38"/>
    </row>
    <row r="4986" spans="2:2">
      <c r="B4986" s="38"/>
    </row>
    <row r="4987" spans="2:2">
      <c r="B4987" s="38"/>
    </row>
    <row r="4988" spans="2:2">
      <c r="B4988" s="38"/>
    </row>
    <row r="4989" spans="2:2">
      <c r="B4989" s="38"/>
    </row>
    <row r="4990" spans="2:2">
      <c r="B4990" s="38"/>
    </row>
    <row r="4991" spans="2:2">
      <c r="B4991" s="38"/>
    </row>
    <row r="4992" spans="2:2">
      <c r="B4992" s="38"/>
    </row>
    <row r="4993" spans="2:2">
      <c r="B4993" s="38"/>
    </row>
    <row r="4994" spans="2:2">
      <c r="B4994" s="38"/>
    </row>
    <row r="4995" spans="2:2">
      <c r="B4995" s="38"/>
    </row>
    <row r="4996" spans="2:2">
      <c r="B4996" s="38"/>
    </row>
    <row r="4997" spans="2:2">
      <c r="B4997" s="38"/>
    </row>
    <row r="4998" spans="2:2">
      <c r="B4998" s="38"/>
    </row>
    <row r="4999" spans="2:2">
      <c r="B4999" s="38"/>
    </row>
    <row r="5000" spans="2:2">
      <c r="B5000" s="38"/>
    </row>
    <row r="5001" spans="2:2">
      <c r="B5001" s="38"/>
    </row>
    <row r="5002" spans="2:2">
      <c r="B5002" s="38"/>
    </row>
    <row r="5003" spans="2:2">
      <c r="B5003" s="38"/>
    </row>
    <row r="5004" spans="2:2">
      <c r="B5004" s="38"/>
    </row>
    <row r="5005" spans="2:2">
      <c r="B5005" s="38"/>
    </row>
    <row r="5006" spans="2:2">
      <c r="B5006" s="38"/>
    </row>
    <row r="5007" spans="2:2">
      <c r="B5007" s="38"/>
    </row>
    <row r="5008" spans="2:2">
      <c r="B5008" s="38"/>
    </row>
    <row r="5009" spans="2:2">
      <c r="B5009" s="38"/>
    </row>
    <row r="5010" spans="2:2">
      <c r="B5010" s="38"/>
    </row>
    <row r="5011" spans="2:2">
      <c r="B5011" s="38"/>
    </row>
    <row r="5012" spans="2:2">
      <c r="B5012" s="38"/>
    </row>
    <row r="5013" spans="2:2">
      <c r="B5013" s="38"/>
    </row>
    <row r="5014" spans="2:2">
      <c r="B5014" s="38"/>
    </row>
    <row r="5015" spans="2:2">
      <c r="B5015" s="38"/>
    </row>
    <row r="5016" spans="2:2">
      <c r="B5016" s="38"/>
    </row>
    <row r="5017" spans="2:2">
      <c r="B5017" s="38"/>
    </row>
    <row r="5018" spans="2:2">
      <c r="B5018" s="38"/>
    </row>
    <row r="5019" spans="2:2">
      <c r="B5019" s="38"/>
    </row>
    <row r="5020" spans="2:2">
      <c r="B5020" s="38"/>
    </row>
    <row r="5021" spans="2:2">
      <c r="B5021" s="38"/>
    </row>
    <row r="5022" spans="2:2">
      <c r="B5022" s="38"/>
    </row>
    <row r="5023" spans="2:2">
      <c r="B5023" s="38"/>
    </row>
    <row r="5024" spans="2:2">
      <c r="B5024" s="38"/>
    </row>
    <row r="5025" spans="2:2">
      <c r="B5025" s="38"/>
    </row>
    <row r="5026" spans="2:2">
      <c r="B5026" s="38"/>
    </row>
    <row r="5027" spans="2:2">
      <c r="B5027" s="38"/>
    </row>
    <row r="5028" spans="2:2">
      <c r="B5028" s="38"/>
    </row>
    <row r="5029" spans="2:2">
      <c r="B5029" s="38"/>
    </row>
    <row r="5030" spans="2:2">
      <c r="B5030" s="38"/>
    </row>
    <row r="5031" spans="2:2">
      <c r="B5031" s="38"/>
    </row>
    <row r="5032" spans="2:2">
      <c r="B5032" s="38"/>
    </row>
    <row r="5033" spans="2:2">
      <c r="B5033" s="38"/>
    </row>
    <row r="5034" spans="2:2">
      <c r="B5034" s="38"/>
    </row>
    <row r="5035" spans="2:2">
      <c r="B5035" s="38"/>
    </row>
    <row r="5036" spans="2:2">
      <c r="B5036" s="38"/>
    </row>
    <row r="5037" spans="2:2">
      <c r="B5037" s="38"/>
    </row>
    <row r="5038" spans="2:2">
      <c r="B5038" s="38"/>
    </row>
    <row r="5039" spans="2:2">
      <c r="B5039" s="38"/>
    </row>
    <row r="5040" spans="2:2">
      <c r="B5040" s="38"/>
    </row>
    <row r="5041" spans="2:2">
      <c r="B5041" s="38"/>
    </row>
    <row r="5042" spans="2:2">
      <c r="B5042" s="38"/>
    </row>
    <row r="5043" spans="2:2">
      <c r="B5043" s="38"/>
    </row>
    <row r="5044" spans="2:2">
      <c r="B5044" s="38"/>
    </row>
    <row r="5045" spans="2:2">
      <c r="B5045" s="38"/>
    </row>
    <row r="5046" spans="2:2">
      <c r="B5046" s="38"/>
    </row>
    <row r="5047" spans="2:2">
      <c r="B5047" s="38"/>
    </row>
    <row r="5048" spans="2:2">
      <c r="B5048" s="38"/>
    </row>
    <row r="5049" spans="2:2">
      <c r="B5049" s="38"/>
    </row>
    <row r="5050" spans="2:2">
      <c r="B5050" s="38"/>
    </row>
    <row r="5051" spans="2:2">
      <c r="B5051" s="38"/>
    </row>
    <row r="5052" spans="2:2">
      <c r="B5052" s="38"/>
    </row>
    <row r="5053" spans="2:2">
      <c r="B5053" s="38"/>
    </row>
    <row r="5054" spans="2:2">
      <c r="B5054" s="38"/>
    </row>
    <row r="5055" spans="2:2">
      <c r="B5055" s="38"/>
    </row>
    <row r="5056" spans="2:2">
      <c r="B5056" s="38"/>
    </row>
    <row r="5057" spans="2:2">
      <c r="B5057" s="38"/>
    </row>
    <row r="5058" spans="2:2">
      <c r="B5058" s="38"/>
    </row>
    <row r="5059" spans="2:2">
      <c r="B5059" s="38"/>
    </row>
    <row r="5060" spans="2:2">
      <c r="B5060" s="38"/>
    </row>
    <row r="5061" spans="2:2">
      <c r="B5061" s="38"/>
    </row>
    <row r="5062" spans="2:2">
      <c r="B5062" s="38"/>
    </row>
    <row r="5063" spans="2:2">
      <c r="B5063" s="38"/>
    </row>
    <row r="5064" spans="2:2">
      <c r="B5064" s="38"/>
    </row>
    <row r="5065" spans="2:2">
      <c r="B5065" s="38"/>
    </row>
    <row r="5066" spans="2:2">
      <c r="B5066" s="38"/>
    </row>
    <row r="5067" spans="2:2">
      <c r="B5067" s="38"/>
    </row>
    <row r="5068" spans="2:2">
      <c r="B5068" s="38"/>
    </row>
    <row r="5069" spans="2:2">
      <c r="B5069" s="38"/>
    </row>
    <row r="5070" spans="2:2">
      <c r="B5070" s="38"/>
    </row>
    <row r="5071" spans="2:2">
      <c r="B5071" s="38"/>
    </row>
    <row r="5072" spans="2:2">
      <c r="B5072" s="38"/>
    </row>
    <row r="5073" spans="2:2">
      <c r="B5073" s="38"/>
    </row>
    <row r="5074" spans="2:2">
      <c r="B5074" s="38"/>
    </row>
    <row r="5075" spans="2:2">
      <c r="B5075" s="38"/>
    </row>
    <row r="5076" spans="2:2">
      <c r="B5076" s="38"/>
    </row>
    <row r="5077" spans="2:2">
      <c r="B5077" s="38"/>
    </row>
    <row r="5078" spans="2:2">
      <c r="B5078" s="38"/>
    </row>
    <row r="5079" spans="2:2">
      <c r="B5079" s="38"/>
    </row>
    <row r="5080" spans="2:2">
      <c r="B5080" s="38"/>
    </row>
    <row r="5081" spans="2:2">
      <c r="B5081" s="38"/>
    </row>
    <row r="5082" spans="2:2">
      <c r="B5082" s="38"/>
    </row>
    <row r="5083" spans="2:2">
      <c r="B5083" s="38"/>
    </row>
    <row r="5084" spans="2:2">
      <c r="B5084" s="38"/>
    </row>
    <row r="5085" spans="2:2">
      <c r="B5085" s="38"/>
    </row>
    <row r="5086" spans="2:2">
      <c r="B5086" s="38"/>
    </row>
    <row r="5087" spans="2:2">
      <c r="B5087" s="38"/>
    </row>
    <row r="5088" spans="2:2">
      <c r="B5088" s="38"/>
    </row>
    <row r="5089" spans="2:2">
      <c r="B5089" s="38"/>
    </row>
    <row r="5090" spans="2:2">
      <c r="B5090" s="38"/>
    </row>
    <row r="5091" spans="2:2">
      <c r="B5091" s="38"/>
    </row>
    <row r="5092" spans="2:2">
      <c r="B5092" s="38"/>
    </row>
    <row r="5093" spans="2:2">
      <c r="B5093" s="38"/>
    </row>
    <row r="5094" spans="2:2">
      <c r="B5094" s="38"/>
    </row>
    <row r="5095" spans="2:2">
      <c r="B5095" s="38"/>
    </row>
    <row r="5096" spans="2:2">
      <c r="B5096" s="38"/>
    </row>
    <row r="5097" spans="2:2">
      <c r="B5097" s="38"/>
    </row>
    <row r="5098" spans="2:2">
      <c r="B5098" s="38"/>
    </row>
    <row r="5099" spans="2:2">
      <c r="B5099" s="38"/>
    </row>
    <row r="5100" spans="2:2">
      <c r="B5100" s="38"/>
    </row>
    <row r="5101" spans="2:2">
      <c r="B5101" s="38"/>
    </row>
    <row r="5102" spans="2:2">
      <c r="B5102" s="38"/>
    </row>
    <row r="5103" spans="2:2">
      <c r="B5103" s="38"/>
    </row>
    <row r="5104" spans="2:2">
      <c r="B5104" s="38"/>
    </row>
    <row r="5105" spans="2:2">
      <c r="B5105" s="38"/>
    </row>
    <row r="5106" spans="2:2">
      <c r="B5106" s="38"/>
    </row>
    <row r="5107" spans="2:2">
      <c r="B5107" s="38"/>
    </row>
    <row r="5108" spans="2:2">
      <c r="B5108" s="38"/>
    </row>
    <row r="5109" spans="2:2">
      <c r="B5109" s="38"/>
    </row>
    <row r="5110" spans="2:2">
      <c r="B5110" s="38"/>
    </row>
    <row r="5111" spans="2:2">
      <c r="B5111" s="38"/>
    </row>
    <row r="5112" spans="2:2">
      <c r="B5112" s="38"/>
    </row>
    <row r="5113" spans="2:2">
      <c r="B5113" s="38"/>
    </row>
    <row r="5114" spans="2:2">
      <c r="B5114" s="38"/>
    </row>
    <row r="5115" spans="2:2">
      <c r="B5115" s="38"/>
    </row>
    <row r="5116" spans="2:2">
      <c r="B5116" s="38"/>
    </row>
    <row r="5117" spans="2:2">
      <c r="B5117" s="38"/>
    </row>
    <row r="5118" spans="2:2">
      <c r="B5118" s="38"/>
    </row>
    <row r="5119" spans="2:2">
      <c r="B5119" s="38"/>
    </row>
    <row r="5120" spans="2:2">
      <c r="B5120" s="38"/>
    </row>
    <row r="5121" spans="2:2">
      <c r="B5121" s="38"/>
    </row>
    <row r="5122" spans="2:2">
      <c r="B5122" s="38"/>
    </row>
    <row r="5123" spans="2:2">
      <c r="B5123" s="38"/>
    </row>
    <row r="5124" spans="2:2">
      <c r="B5124" s="38"/>
    </row>
    <row r="5125" spans="2:2">
      <c r="B5125" s="38"/>
    </row>
    <row r="5126" spans="2:2">
      <c r="B5126" s="38"/>
    </row>
    <row r="5127" spans="2:2">
      <c r="B5127" s="38"/>
    </row>
    <row r="5128" spans="2:2">
      <c r="B5128" s="38"/>
    </row>
    <row r="5129" spans="2:2">
      <c r="B5129" s="38"/>
    </row>
    <row r="5130" spans="2:2">
      <c r="B5130" s="38"/>
    </row>
    <row r="5131" spans="2:2">
      <c r="B5131" s="38"/>
    </row>
    <row r="5132" spans="2:2">
      <c r="B5132" s="38"/>
    </row>
    <row r="5133" spans="2:2">
      <c r="B5133" s="38"/>
    </row>
    <row r="5134" spans="2:2">
      <c r="B5134" s="38"/>
    </row>
    <row r="5135" spans="2:2">
      <c r="B5135" s="38"/>
    </row>
    <row r="5136" spans="2:2">
      <c r="B5136" s="38"/>
    </row>
    <row r="5137" spans="2:2">
      <c r="B5137" s="38"/>
    </row>
    <row r="5138" spans="2:2">
      <c r="B5138" s="38"/>
    </row>
    <row r="5139" spans="2:2">
      <c r="B5139" s="38"/>
    </row>
    <row r="5140" spans="2:2">
      <c r="B5140" s="38"/>
    </row>
    <row r="5141" spans="2:2">
      <c r="B5141" s="38"/>
    </row>
    <row r="5142" spans="2:2">
      <c r="B5142" s="38"/>
    </row>
    <row r="5143" spans="2:2">
      <c r="B5143" s="38"/>
    </row>
    <row r="5144" spans="2:2">
      <c r="B5144" s="38"/>
    </row>
    <row r="5145" spans="2:2">
      <c r="B5145" s="38"/>
    </row>
    <row r="5146" spans="2:2">
      <c r="B5146" s="38"/>
    </row>
    <row r="5147" spans="2:2">
      <c r="B5147" s="38"/>
    </row>
    <row r="5148" spans="2:2">
      <c r="B5148" s="38"/>
    </row>
    <row r="5149" spans="2:2">
      <c r="B5149" s="38"/>
    </row>
    <row r="5150" spans="2:2">
      <c r="B5150" s="38"/>
    </row>
    <row r="5151" spans="2:2">
      <c r="B5151" s="38"/>
    </row>
    <row r="5152" spans="2:2">
      <c r="B5152" s="38"/>
    </row>
    <row r="5153" spans="2:2">
      <c r="B5153" s="38"/>
    </row>
    <row r="5154" spans="2:2">
      <c r="B5154" s="38"/>
    </row>
    <row r="5155" spans="2:2">
      <c r="B5155" s="38"/>
    </row>
    <row r="5156" spans="2:2">
      <c r="B5156" s="38"/>
    </row>
    <row r="5157" spans="2:2">
      <c r="B5157" s="38"/>
    </row>
    <row r="5158" spans="2:2">
      <c r="B5158" s="38"/>
    </row>
    <row r="5159" spans="2:2">
      <c r="B5159" s="38"/>
    </row>
    <row r="5160" spans="2:2">
      <c r="B5160" s="38"/>
    </row>
    <row r="5161" spans="2:2">
      <c r="B5161" s="38"/>
    </row>
    <row r="5162" spans="2:2">
      <c r="B5162" s="38"/>
    </row>
    <row r="5163" spans="2:2">
      <c r="B5163" s="38"/>
    </row>
    <row r="5164" spans="2:2">
      <c r="B5164" s="38"/>
    </row>
    <row r="5165" spans="2:2">
      <c r="B5165" s="38"/>
    </row>
    <row r="5166" spans="2:2">
      <c r="B5166" s="38"/>
    </row>
    <row r="5167" spans="2:2">
      <c r="B5167" s="38"/>
    </row>
    <row r="5168" spans="2:2">
      <c r="B5168" s="38"/>
    </row>
    <row r="5169" spans="2:2">
      <c r="B5169" s="38"/>
    </row>
    <row r="5170" spans="2:2">
      <c r="B5170" s="38"/>
    </row>
    <row r="5171" spans="2:2">
      <c r="B5171" s="38"/>
    </row>
    <row r="5172" spans="2:2">
      <c r="B5172" s="38"/>
    </row>
    <row r="5173" spans="2:2">
      <c r="B5173" s="38"/>
    </row>
    <row r="5174" spans="2:2">
      <c r="B5174" s="38"/>
    </row>
    <row r="5175" spans="2:2">
      <c r="B5175" s="38"/>
    </row>
    <row r="5176" spans="2:2">
      <c r="B5176" s="38"/>
    </row>
    <row r="5177" spans="2:2">
      <c r="B5177" s="38"/>
    </row>
    <row r="5178" spans="2:2">
      <c r="B5178" s="38"/>
    </row>
    <row r="5179" spans="2:2">
      <c r="B5179" s="38"/>
    </row>
    <row r="5180" spans="2:2">
      <c r="B5180" s="38"/>
    </row>
    <row r="5181" spans="2:2">
      <c r="B5181" s="38"/>
    </row>
    <row r="5182" spans="2:2">
      <c r="B5182" s="38"/>
    </row>
    <row r="5183" spans="2:2">
      <c r="B5183" s="38"/>
    </row>
    <row r="5184" spans="2:2">
      <c r="B5184" s="38"/>
    </row>
    <row r="5185" spans="2:2">
      <c r="B5185" s="38"/>
    </row>
    <row r="5186" spans="2:2">
      <c r="B5186" s="38"/>
    </row>
    <row r="5187" spans="2:2">
      <c r="B5187" s="38"/>
    </row>
    <row r="5188" spans="2:2">
      <c r="B5188" s="38"/>
    </row>
    <row r="5189" spans="2:2">
      <c r="B5189" s="38"/>
    </row>
    <row r="5190" spans="2:2">
      <c r="B5190" s="38"/>
    </row>
    <row r="5191" spans="2:2">
      <c r="B5191" s="38"/>
    </row>
    <row r="5192" spans="2:2">
      <c r="B5192" s="38"/>
    </row>
    <row r="5193" spans="2:2">
      <c r="B5193" s="38"/>
    </row>
    <row r="5194" spans="2:2">
      <c r="B5194" s="38"/>
    </row>
    <row r="5195" spans="2:2">
      <c r="B5195" s="38"/>
    </row>
    <row r="5196" spans="2:2">
      <c r="B5196" s="38"/>
    </row>
    <row r="5197" spans="2:2">
      <c r="B5197" s="38"/>
    </row>
    <row r="5198" spans="2:2">
      <c r="B5198" s="38"/>
    </row>
    <row r="5199" spans="2:2">
      <c r="B5199" s="38"/>
    </row>
    <row r="5200" spans="2:2">
      <c r="B5200" s="38"/>
    </row>
    <row r="5201" spans="2:2">
      <c r="B5201" s="38"/>
    </row>
    <row r="5202" spans="2:2">
      <c r="B5202" s="38"/>
    </row>
    <row r="5203" spans="2:2">
      <c r="B5203" s="38"/>
    </row>
    <row r="5204" spans="2:2">
      <c r="B5204" s="38"/>
    </row>
    <row r="5205" spans="2:2">
      <c r="B5205" s="38"/>
    </row>
    <row r="5206" spans="2:2">
      <c r="B5206" s="38"/>
    </row>
    <row r="5207" spans="2:2">
      <c r="B5207" s="38"/>
    </row>
    <row r="5208" spans="2:2">
      <c r="B5208" s="38"/>
    </row>
    <row r="5209" spans="2:2">
      <c r="B5209" s="38"/>
    </row>
    <row r="5210" spans="2:2">
      <c r="B5210" s="38"/>
    </row>
    <row r="5211" spans="2:2">
      <c r="B5211" s="38"/>
    </row>
    <row r="5212" spans="2:2">
      <c r="B5212" s="38"/>
    </row>
    <row r="5213" spans="2:2">
      <c r="B5213" s="38"/>
    </row>
    <row r="5214" spans="2:2">
      <c r="B5214" s="38"/>
    </row>
    <row r="5215" spans="2:2">
      <c r="B5215" s="38"/>
    </row>
    <row r="5216" spans="2:2">
      <c r="B5216" s="38"/>
    </row>
    <row r="5217" spans="2:2">
      <c r="B5217" s="38"/>
    </row>
    <row r="5218" spans="2:2">
      <c r="B5218" s="38"/>
    </row>
    <row r="5219" spans="2:2">
      <c r="B5219" s="38"/>
    </row>
    <row r="5220" spans="2:2">
      <c r="B5220" s="38"/>
    </row>
    <row r="5221" spans="2:2">
      <c r="B5221" s="38"/>
    </row>
    <row r="5222" spans="2:2">
      <c r="B5222" s="38"/>
    </row>
    <row r="5223" spans="2:2">
      <c r="B5223" s="38"/>
    </row>
    <row r="5224" spans="2:2">
      <c r="B5224" s="38"/>
    </row>
    <row r="5225" spans="2:2">
      <c r="B5225" s="38"/>
    </row>
    <row r="5226" spans="2:2">
      <c r="B5226" s="38"/>
    </row>
    <row r="5227" spans="2:2">
      <c r="B5227" s="38"/>
    </row>
    <row r="5228" spans="2:2">
      <c r="B5228" s="38"/>
    </row>
    <row r="5229" spans="2:2">
      <c r="B5229" s="38"/>
    </row>
    <row r="5230" spans="2:2">
      <c r="B5230" s="38"/>
    </row>
    <row r="5231" spans="2:2">
      <c r="B5231" s="38"/>
    </row>
    <row r="5232" spans="2:2">
      <c r="B5232" s="38"/>
    </row>
    <row r="5233" spans="2:2">
      <c r="B5233" s="38"/>
    </row>
    <row r="5234" spans="2:2">
      <c r="B5234" s="38"/>
    </row>
    <row r="5235" spans="2:2">
      <c r="B5235" s="38"/>
    </row>
    <row r="5236" spans="2:2">
      <c r="B5236" s="38"/>
    </row>
    <row r="5237" spans="2:2">
      <c r="B5237" s="38"/>
    </row>
    <row r="5238" spans="2:2">
      <c r="B5238" s="38"/>
    </row>
    <row r="5239" spans="2:2">
      <c r="B5239" s="38"/>
    </row>
    <row r="5240" spans="2:2">
      <c r="B5240" s="38"/>
    </row>
    <row r="5241" spans="2:2">
      <c r="B5241" s="38"/>
    </row>
    <row r="5242" spans="2:2">
      <c r="B5242" s="38"/>
    </row>
    <row r="5243" spans="2:2">
      <c r="B5243" s="38"/>
    </row>
    <row r="5244" spans="2:2">
      <c r="B5244" s="38"/>
    </row>
    <row r="5245" spans="2:2">
      <c r="B5245" s="38"/>
    </row>
    <row r="5246" spans="2:2">
      <c r="B5246" s="38"/>
    </row>
    <row r="5247" spans="2:2">
      <c r="B5247" s="38"/>
    </row>
    <row r="5248" spans="2:2">
      <c r="B5248" s="38"/>
    </row>
    <row r="5249" spans="2:2">
      <c r="B5249" s="38"/>
    </row>
    <row r="5250" spans="2:2">
      <c r="B5250" s="38"/>
    </row>
    <row r="5251" spans="2:2">
      <c r="B5251" s="38"/>
    </row>
    <row r="5252" spans="2:2">
      <c r="B5252" s="38"/>
    </row>
    <row r="5253" spans="2:2">
      <c r="B5253" s="38"/>
    </row>
    <row r="5254" spans="2:2">
      <c r="B5254" s="38"/>
    </row>
    <row r="5255" spans="2:2">
      <c r="B5255" s="38"/>
    </row>
    <row r="5256" spans="2:2">
      <c r="B5256" s="38"/>
    </row>
    <row r="5257" spans="2:2">
      <c r="B5257" s="38"/>
    </row>
    <row r="5258" spans="2:2">
      <c r="B5258" s="38"/>
    </row>
    <row r="5259" spans="2:2">
      <c r="B5259" s="38"/>
    </row>
    <row r="5260" spans="2:2">
      <c r="B5260" s="38"/>
    </row>
    <row r="5261" spans="2:2">
      <c r="B5261" s="38"/>
    </row>
    <row r="5262" spans="2:2">
      <c r="B5262" s="38"/>
    </row>
    <row r="5263" spans="2:2">
      <c r="B5263" s="38"/>
    </row>
    <row r="5264" spans="2:2">
      <c r="B5264" s="38"/>
    </row>
    <row r="5265" spans="2:2">
      <c r="B5265" s="38"/>
    </row>
    <row r="5266" spans="2:2">
      <c r="B5266" s="38"/>
    </row>
    <row r="5267" spans="2:2">
      <c r="B5267" s="38"/>
    </row>
    <row r="5268" spans="2:2">
      <c r="B5268" s="38"/>
    </row>
    <row r="5269" spans="2:2">
      <c r="B5269" s="38"/>
    </row>
    <row r="5270" spans="2:2">
      <c r="B5270" s="38"/>
    </row>
    <row r="5271" spans="2:2">
      <c r="B5271" s="38"/>
    </row>
    <row r="5272" spans="2:2">
      <c r="B5272" s="38"/>
    </row>
    <row r="5273" spans="2:2">
      <c r="B5273" s="38"/>
    </row>
    <row r="5274" spans="2:2">
      <c r="B5274" s="38"/>
    </row>
    <row r="5275" spans="2:2">
      <c r="B5275" s="38"/>
    </row>
    <row r="5276" spans="2:2">
      <c r="B5276" s="38"/>
    </row>
    <row r="5277" spans="2:2">
      <c r="B5277" s="38"/>
    </row>
    <row r="5278" spans="2:2">
      <c r="B5278" s="38"/>
    </row>
    <row r="5279" spans="2:2">
      <c r="B5279" s="38"/>
    </row>
    <row r="5280" spans="2:2">
      <c r="B5280" s="38"/>
    </row>
    <row r="5281" spans="2:2">
      <c r="B5281" s="38"/>
    </row>
    <row r="5282" spans="2:2">
      <c r="B5282" s="38"/>
    </row>
    <row r="5283" spans="2:2">
      <c r="B5283" s="38"/>
    </row>
    <row r="5284" spans="2:2">
      <c r="B5284" s="38"/>
    </row>
    <row r="5285" spans="2:2">
      <c r="B5285" s="38"/>
    </row>
    <row r="5286" spans="2:2">
      <c r="B5286" s="38"/>
    </row>
    <row r="5287" spans="2:2">
      <c r="B5287" s="38"/>
    </row>
    <row r="5288" spans="2:2">
      <c r="B5288" s="38"/>
    </row>
    <row r="5289" spans="2:2">
      <c r="B5289" s="38"/>
    </row>
    <row r="5290" spans="2:2">
      <c r="B5290" s="38"/>
    </row>
    <row r="5291" spans="2:2">
      <c r="B5291" s="38"/>
    </row>
    <row r="5292" spans="2:2">
      <c r="B5292" s="38"/>
    </row>
    <row r="5293" spans="2:2">
      <c r="B5293" s="38"/>
    </row>
    <row r="5294" spans="2:2">
      <c r="B5294" s="38"/>
    </row>
    <row r="5295" spans="2:2">
      <c r="B5295" s="38"/>
    </row>
    <row r="5296" spans="2:2">
      <c r="B5296" s="38"/>
    </row>
    <row r="5297" spans="2:2">
      <c r="B5297" s="38"/>
    </row>
    <row r="5298" spans="2:2">
      <c r="B5298" s="38"/>
    </row>
    <row r="5299" spans="2:2">
      <c r="B5299" s="38"/>
    </row>
    <row r="5300" spans="2:2">
      <c r="B5300" s="38"/>
    </row>
    <row r="5301" spans="2:2">
      <c r="B5301" s="38"/>
    </row>
    <row r="5302" spans="2:2">
      <c r="B5302" s="38"/>
    </row>
    <row r="5303" spans="2:2">
      <c r="B5303" s="38"/>
    </row>
    <row r="5304" spans="2:2">
      <c r="B5304" s="38"/>
    </row>
    <row r="5305" spans="2:2">
      <c r="B5305" s="38"/>
    </row>
    <row r="5306" spans="2:2">
      <c r="B5306" s="38"/>
    </row>
    <row r="5307" spans="2:2">
      <c r="B5307" s="38"/>
    </row>
    <row r="5308" spans="2:2">
      <c r="B5308" s="38"/>
    </row>
    <row r="5309" spans="2:2">
      <c r="B5309" s="38"/>
    </row>
    <row r="5310" spans="2:2">
      <c r="B5310" s="38"/>
    </row>
    <row r="5311" spans="2:2">
      <c r="B5311" s="38"/>
    </row>
    <row r="5312" spans="2:2">
      <c r="B5312" s="38"/>
    </row>
    <row r="5313" spans="2:2">
      <c r="B5313" s="38"/>
    </row>
    <row r="5314" spans="2:2">
      <c r="B5314" s="38"/>
    </row>
    <row r="5315" spans="2:2">
      <c r="B5315" s="38"/>
    </row>
    <row r="5316" spans="2:2">
      <c r="B5316" s="38"/>
    </row>
    <row r="5317" spans="2:2">
      <c r="B5317" s="38"/>
    </row>
    <row r="5318" spans="2:2">
      <c r="B5318" s="38"/>
    </row>
    <row r="5319" spans="2:2">
      <c r="B5319" s="38"/>
    </row>
    <row r="5320" spans="2:2">
      <c r="B5320" s="38"/>
    </row>
    <row r="5321" spans="2:2">
      <c r="B5321" s="38"/>
    </row>
    <row r="5322" spans="2:2">
      <c r="B5322" s="38"/>
    </row>
    <row r="5323" spans="2:2">
      <c r="B5323" s="38"/>
    </row>
    <row r="5324" spans="2:2">
      <c r="B5324" s="38"/>
    </row>
    <row r="5325" spans="2:2">
      <c r="B5325" s="38"/>
    </row>
    <row r="5326" spans="2:2">
      <c r="B5326" s="38"/>
    </row>
    <row r="5327" spans="2:2">
      <c r="B5327" s="38"/>
    </row>
    <row r="5328" spans="2:2">
      <c r="B5328" s="38"/>
    </row>
    <row r="5329" spans="2:2">
      <c r="B5329" s="38"/>
    </row>
    <row r="5330" spans="2:2">
      <c r="B5330" s="38"/>
    </row>
    <row r="5331" spans="2:2">
      <c r="B5331" s="38"/>
    </row>
    <row r="5332" spans="2:2">
      <c r="B5332" s="38"/>
    </row>
    <row r="5333" spans="2:2">
      <c r="B5333" s="38"/>
    </row>
    <row r="5334" spans="2:2">
      <c r="B5334" s="38"/>
    </row>
    <row r="5335" spans="2:2">
      <c r="B5335" s="38"/>
    </row>
    <row r="5336" spans="2:2">
      <c r="B5336" s="38"/>
    </row>
    <row r="5337" spans="2:2">
      <c r="B5337" s="38"/>
    </row>
    <row r="5338" spans="2:2">
      <c r="B5338" s="38"/>
    </row>
    <row r="5339" spans="2:2">
      <c r="B5339" s="38"/>
    </row>
    <row r="5340" spans="2:2">
      <c r="B5340" s="38"/>
    </row>
    <row r="5341" spans="2:2">
      <c r="B5341" s="38"/>
    </row>
    <row r="5342" spans="2:2">
      <c r="B5342" s="38"/>
    </row>
    <row r="5343" spans="2:2">
      <c r="B5343" s="38"/>
    </row>
    <row r="5344" spans="2:2">
      <c r="B5344" s="38"/>
    </row>
    <row r="5345" spans="2:2">
      <c r="B5345" s="38"/>
    </row>
    <row r="5346" spans="2:2">
      <c r="B5346" s="38"/>
    </row>
    <row r="5347" spans="2:2">
      <c r="B5347" s="38"/>
    </row>
    <row r="5348" spans="2:2">
      <c r="B5348" s="38"/>
    </row>
    <row r="5349" spans="2:2">
      <c r="B5349" s="38"/>
    </row>
    <row r="5350" spans="2:2">
      <c r="B5350" s="38"/>
    </row>
    <row r="5351" spans="2:2">
      <c r="B5351" s="38"/>
    </row>
    <row r="5352" spans="2:2">
      <c r="B5352" s="38"/>
    </row>
    <row r="5353" spans="2:2">
      <c r="B5353" s="38"/>
    </row>
    <row r="5354" spans="2:2">
      <c r="B5354" s="38"/>
    </row>
    <row r="5355" spans="2:2">
      <c r="B5355" s="38"/>
    </row>
    <row r="5356" spans="2:2">
      <c r="B5356" s="38"/>
    </row>
    <row r="5357" spans="2:2">
      <c r="B5357" s="38"/>
    </row>
    <row r="5358" spans="2:2">
      <c r="B5358" s="38"/>
    </row>
    <row r="5359" spans="2:2">
      <c r="B5359" s="38"/>
    </row>
    <row r="5360" spans="2:2">
      <c r="B5360" s="38"/>
    </row>
    <row r="5361" spans="2:2">
      <c r="B5361" s="38"/>
    </row>
    <row r="5362" spans="2:2">
      <c r="B5362" s="38"/>
    </row>
    <row r="5363" spans="2:2">
      <c r="B5363" s="38"/>
    </row>
    <row r="5364" spans="2:2">
      <c r="B5364" s="38"/>
    </row>
    <row r="5365" spans="2:2">
      <c r="B5365" s="38"/>
    </row>
    <row r="5366" spans="2:2">
      <c r="B5366" s="38"/>
    </row>
    <row r="5367" spans="2:2">
      <c r="B5367" s="38"/>
    </row>
    <row r="5368" spans="2:2">
      <c r="B5368" s="38"/>
    </row>
    <row r="5369" spans="2:2">
      <c r="B5369" s="38"/>
    </row>
    <row r="5370" spans="2:2">
      <c r="B5370" s="38"/>
    </row>
    <row r="5371" spans="2:2">
      <c r="B5371" s="38"/>
    </row>
    <row r="5372" spans="2:2">
      <c r="B5372" s="38"/>
    </row>
    <row r="5373" spans="2:2">
      <c r="B5373" s="38"/>
    </row>
    <row r="5374" spans="2:2">
      <c r="B5374" s="38"/>
    </row>
    <row r="5375" spans="2:2">
      <c r="B5375" s="38"/>
    </row>
    <row r="5376" spans="2:2">
      <c r="B5376" s="38"/>
    </row>
    <row r="5377" spans="2:2">
      <c r="B5377" s="38"/>
    </row>
    <row r="5378" spans="2:2">
      <c r="B5378" s="38"/>
    </row>
    <row r="5379" spans="2:2">
      <c r="B5379" s="38"/>
    </row>
    <row r="5380" spans="2:2">
      <c r="B5380" s="38"/>
    </row>
    <row r="5381" spans="2:2">
      <c r="B5381" s="38"/>
    </row>
    <row r="5382" spans="2:2">
      <c r="B5382" s="38"/>
    </row>
    <row r="5383" spans="2:2">
      <c r="B5383" s="38"/>
    </row>
    <row r="5384" spans="2:2">
      <c r="B5384" s="38"/>
    </row>
    <row r="5385" spans="2:2">
      <c r="B5385" s="38"/>
    </row>
    <row r="5386" spans="2:2">
      <c r="B5386" s="38"/>
    </row>
    <row r="5387" spans="2:2">
      <c r="B5387" s="38"/>
    </row>
    <row r="5388" spans="2:2">
      <c r="B5388" s="38"/>
    </row>
    <row r="5389" spans="2:2">
      <c r="B5389" s="38"/>
    </row>
    <row r="5390" spans="2:2">
      <c r="B5390" s="38"/>
    </row>
    <row r="5391" spans="2:2">
      <c r="B5391" s="38"/>
    </row>
    <row r="5392" spans="2:2">
      <c r="B5392" s="38"/>
    </row>
    <row r="5393" spans="2:2">
      <c r="B5393" s="38"/>
    </row>
    <row r="5394" spans="2:2">
      <c r="B5394" s="38"/>
    </row>
    <row r="5395" spans="2:2">
      <c r="B5395" s="38"/>
    </row>
    <row r="5396" spans="2:2">
      <c r="B5396" s="38"/>
    </row>
    <row r="5397" spans="2:2">
      <c r="B5397" s="38"/>
    </row>
    <row r="5398" spans="2:2">
      <c r="B5398" s="38"/>
    </row>
    <row r="5399" spans="2:2">
      <c r="B5399" s="38"/>
    </row>
    <row r="5400" spans="2:2">
      <c r="B5400" s="38"/>
    </row>
    <row r="5401" spans="2:2">
      <c r="B5401" s="38"/>
    </row>
    <row r="5402" spans="2:2">
      <c r="B5402" s="38"/>
    </row>
    <row r="5403" spans="2:2">
      <c r="B5403" s="38"/>
    </row>
    <row r="5404" spans="2:2">
      <c r="B5404" s="38"/>
    </row>
    <row r="5405" spans="2:2">
      <c r="B5405" s="38"/>
    </row>
    <row r="5406" spans="2:2">
      <c r="B5406" s="38"/>
    </row>
    <row r="5407" spans="2:2">
      <c r="B5407" s="38"/>
    </row>
    <row r="5408" spans="2:2">
      <c r="B5408" s="38"/>
    </row>
    <row r="5409" spans="2:2">
      <c r="B5409" s="38"/>
    </row>
    <row r="5410" spans="2:2">
      <c r="B5410" s="38"/>
    </row>
    <row r="5411" spans="2:2">
      <c r="B5411" s="38"/>
    </row>
    <row r="5412" spans="2:2">
      <c r="B5412" s="38"/>
    </row>
    <row r="5413" spans="2:2">
      <c r="B5413" s="38"/>
    </row>
    <row r="5414" spans="2:2">
      <c r="B5414" s="38"/>
    </row>
    <row r="5415" spans="2:2">
      <c r="B5415" s="38"/>
    </row>
    <row r="5416" spans="2:2">
      <c r="B5416" s="38"/>
    </row>
    <row r="5417" spans="2:2">
      <c r="B5417" s="38"/>
    </row>
    <row r="5418" spans="2:2">
      <c r="B5418" s="38"/>
    </row>
    <row r="5419" spans="2:2">
      <c r="B5419" s="38"/>
    </row>
    <row r="5420" spans="2:2">
      <c r="B5420" s="38"/>
    </row>
    <row r="5421" spans="2:2">
      <c r="B5421" s="38"/>
    </row>
    <row r="5422" spans="2:2">
      <c r="B5422" s="38"/>
    </row>
    <row r="5423" spans="2:2">
      <c r="B5423" s="38"/>
    </row>
    <row r="5424" spans="2:2">
      <c r="B5424" s="38"/>
    </row>
    <row r="5425" spans="2:2">
      <c r="B5425" s="38"/>
    </row>
    <row r="5426" spans="2:2">
      <c r="B5426" s="38"/>
    </row>
    <row r="5427" spans="2:2">
      <c r="B5427" s="38"/>
    </row>
    <row r="5428" spans="2:2">
      <c r="B5428" s="38"/>
    </row>
    <row r="5429" spans="2:2">
      <c r="B5429" s="38"/>
    </row>
    <row r="5430" spans="2:2">
      <c r="B5430" s="38"/>
    </row>
    <row r="5431" spans="2:2">
      <c r="B5431" s="38"/>
    </row>
    <row r="5432" spans="2:2">
      <c r="B5432" s="38"/>
    </row>
    <row r="5433" spans="2:2">
      <c r="B5433" s="38"/>
    </row>
    <row r="5434" spans="2:2">
      <c r="B5434" s="38"/>
    </row>
    <row r="5435" spans="2:2">
      <c r="B5435" s="38"/>
    </row>
    <row r="5436" spans="2:2">
      <c r="B5436" s="38"/>
    </row>
    <row r="5437" spans="2:2">
      <c r="B5437" s="38"/>
    </row>
    <row r="5438" spans="2:2">
      <c r="B5438" s="38"/>
    </row>
    <row r="5439" spans="2:2">
      <c r="B5439" s="38"/>
    </row>
    <row r="5440" spans="2:2">
      <c r="B5440" s="38"/>
    </row>
    <row r="5441" spans="2:2">
      <c r="B5441" s="38"/>
    </row>
    <row r="5442" spans="2:2">
      <c r="B5442" s="38"/>
    </row>
    <row r="5443" spans="2:2">
      <c r="B5443" s="38"/>
    </row>
    <row r="5444" spans="2:2">
      <c r="B5444" s="38"/>
    </row>
    <row r="5445" spans="2:2">
      <c r="B5445" s="38"/>
    </row>
    <row r="5446" spans="2:2">
      <c r="B5446" s="38"/>
    </row>
    <row r="5447" spans="2:2">
      <c r="B5447" s="38"/>
    </row>
    <row r="5448" spans="2:2">
      <c r="B5448" s="38"/>
    </row>
    <row r="5449" spans="2:2">
      <c r="B5449" s="38"/>
    </row>
    <row r="5450" spans="2:2">
      <c r="B5450" s="38"/>
    </row>
    <row r="5451" spans="2:2">
      <c r="B5451" s="38"/>
    </row>
    <row r="5452" spans="2:2">
      <c r="B5452" s="38"/>
    </row>
    <row r="5453" spans="2:2">
      <c r="B5453" s="38"/>
    </row>
    <row r="5454" spans="2:2">
      <c r="B5454" s="38"/>
    </row>
    <row r="5455" spans="2:2">
      <c r="B5455" s="38"/>
    </row>
    <row r="5456" spans="2:2">
      <c r="B5456" s="38"/>
    </row>
    <row r="5457" spans="2:2">
      <c r="B5457" s="38"/>
    </row>
    <row r="5458" spans="2:2">
      <c r="B5458" s="38"/>
    </row>
    <row r="5459" spans="2:2">
      <c r="B5459" s="38"/>
    </row>
    <row r="5460" spans="2:2">
      <c r="B5460" s="38"/>
    </row>
    <row r="5461" spans="2:2">
      <c r="B5461" s="38"/>
    </row>
    <row r="5462" spans="2:2">
      <c r="B5462" s="38"/>
    </row>
    <row r="5463" spans="2:2">
      <c r="B5463" s="38"/>
    </row>
    <row r="5464" spans="2:2">
      <c r="B5464" s="38"/>
    </row>
    <row r="5465" spans="2:2">
      <c r="B5465" s="38"/>
    </row>
    <row r="5466" spans="2:2">
      <c r="B5466" s="38"/>
    </row>
    <row r="5467" spans="2:2">
      <c r="B5467" s="38"/>
    </row>
    <row r="5468" spans="2:2">
      <c r="B5468" s="38"/>
    </row>
    <row r="5469" spans="2:2">
      <c r="B5469" s="38"/>
    </row>
    <row r="5470" spans="2:2">
      <c r="B5470" s="38"/>
    </row>
    <row r="5471" spans="2:2">
      <c r="B5471" s="38"/>
    </row>
    <row r="5472" spans="2:2">
      <c r="B5472" s="38"/>
    </row>
    <row r="5473" spans="2:2">
      <c r="B5473" s="38"/>
    </row>
    <row r="5474" spans="2:2">
      <c r="B5474" s="38"/>
    </row>
    <row r="5475" spans="2:2">
      <c r="B5475" s="38"/>
    </row>
    <row r="5476" spans="2:2">
      <c r="B5476" s="38"/>
    </row>
    <row r="5477" spans="2:2">
      <c r="B5477" s="38"/>
    </row>
    <row r="5478" spans="2:2">
      <c r="B5478" s="38"/>
    </row>
    <row r="5479" spans="2:2">
      <c r="B5479" s="38"/>
    </row>
    <row r="5480" spans="2:2">
      <c r="B5480" s="38"/>
    </row>
    <row r="5481" spans="2:2">
      <c r="B5481" s="38"/>
    </row>
    <row r="5482" spans="2:2">
      <c r="B5482" s="38"/>
    </row>
    <row r="5483" spans="2:2">
      <c r="B5483" s="38"/>
    </row>
    <row r="5484" spans="2:2">
      <c r="B5484" s="38"/>
    </row>
    <row r="5485" spans="2:2">
      <c r="B5485" s="38"/>
    </row>
    <row r="5486" spans="2:2">
      <c r="B5486" s="38"/>
    </row>
    <row r="5487" spans="2:2">
      <c r="B5487" s="38"/>
    </row>
    <row r="5488" spans="2:2">
      <c r="B5488" s="38"/>
    </row>
    <row r="5489" spans="2:2">
      <c r="B5489" s="38"/>
    </row>
    <row r="5490" spans="2:2">
      <c r="B5490" s="38"/>
    </row>
    <row r="5491" spans="2:2">
      <c r="B5491" s="38"/>
    </row>
    <row r="5492" spans="2:2">
      <c r="B5492" s="38"/>
    </row>
    <row r="5493" spans="2:2">
      <c r="B5493" s="38"/>
    </row>
    <row r="5494" spans="2:2">
      <c r="B5494" s="38"/>
    </row>
    <row r="5495" spans="2:2">
      <c r="B5495" s="38"/>
    </row>
    <row r="5496" spans="2:2">
      <c r="B5496" s="38"/>
    </row>
    <row r="5497" spans="2:2">
      <c r="B5497" s="38"/>
    </row>
    <row r="5498" spans="2:2">
      <c r="B5498" s="38"/>
    </row>
    <row r="5499" spans="2:2">
      <c r="B5499" s="38"/>
    </row>
    <row r="5500" spans="2:2">
      <c r="B5500" s="38"/>
    </row>
    <row r="5501" spans="2:2">
      <c r="B5501" s="38"/>
    </row>
    <row r="5502" spans="2:2">
      <c r="B5502" s="38"/>
    </row>
    <row r="5503" spans="2:2">
      <c r="B5503" s="38"/>
    </row>
    <row r="5504" spans="2:2">
      <c r="B5504" s="38"/>
    </row>
    <row r="5505" spans="2:2">
      <c r="B5505" s="38"/>
    </row>
    <row r="5506" spans="2:2">
      <c r="B5506" s="38"/>
    </row>
    <row r="5507" spans="2:2">
      <c r="B5507" s="38"/>
    </row>
    <row r="5508" spans="2:2">
      <c r="B5508" s="38"/>
    </row>
    <row r="5509" spans="2:2">
      <c r="B5509" s="38"/>
    </row>
    <row r="5510" spans="2:2">
      <c r="B5510" s="38"/>
    </row>
    <row r="5511" spans="2:2">
      <c r="B5511" s="38"/>
    </row>
    <row r="5512" spans="2:2">
      <c r="B5512" s="38"/>
    </row>
    <row r="5513" spans="2:2">
      <c r="B5513" s="38"/>
    </row>
    <row r="5514" spans="2:2">
      <c r="B5514" s="38"/>
    </row>
    <row r="5515" spans="2:2">
      <c r="B5515" s="38"/>
    </row>
    <row r="5516" spans="2:2">
      <c r="B5516" s="38"/>
    </row>
    <row r="5517" spans="2:2">
      <c r="B5517" s="38"/>
    </row>
    <row r="5518" spans="2:2">
      <c r="B5518" s="38"/>
    </row>
    <row r="5519" spans="2:2">
      <c r="B5519" s="38"/>
    </row>
    <row r="5520" spans="2:2">
      <c r="B5520" s="38"/>
    </row>
    <row r="5521" spans="2:2">
      <c r="B5521" s="38"/>
    </row>
    <row r="5522" spans="2:2">
      <c r="B5522" s="38"/>
    </row>
    <row r="5523" spans="2:2">
      <c r="B5523" s="38"/>
    </row>
    <row r="5524" spans="2:2">
      <c r="B5524" s="38"/>
    </row>
    <row r="5525" spans="2:2">
      <c r="B5525" s="38"/>
    </row>
    <row r="5526" spans="2:2">
      <c r="B5526" s="38"/>
    </row>
    <row r="5527" spans="2:2">
      <c r="B5527" s="38"/>
    </row>
    <row r="5528" spans="2:2">
      <c r="B5528" s="38"/>
    </row>
    <row r="5529" spans="2:2">
      <c r="B5529" s="38"/>
    </row>
    <row r="5530" spans="2:2">
      <c r="B5530" s="38"/>
    </row>
    <row r="5531" spans="2:2">
      <c r="B5531" s="38"/>
    </row>
    <row r="5532" spans="2:2">
      <c r="B5532" s="38"/>
    </row>
    <row r="5533" spans="2:2">
      <c r="B5533" s="38"/>
    </row>
    <row r="5534" spans="2:2">
      <c r="B5534" s="38"/>
    </row>
    <row r="5535" spans="2:2">
      <c r="B5535" s="38"/>
    </row>
    <row r="5536" spans="2:2">
      <c r="B5536" s="38"/>
    </row>
    <row r="5537" spans="2:2">
      <c r="B5537" s="38"/>
    </row>
    <row r="5538" spans="2:2">
      <c r="B5538" s="38"/>
    </row>
    <row r="5539" spans="2:2">
      <c r="B5539" s="38"/>
    </row>
    <row r="5540" spans="2:2">
      <c r="B5540" s="38"/>
    </row>
    <row r="5541" spans="2:2">
      <c r="B5541" s="38"/>
    </row>
    <row r="5542" spans="2:2">
      <c r="B5542" s="38"/>
    </row>
    <row r="5543" spans="2:2">
      <c r="B5543" s="38"/>
    </row>
    <row r="5544" spans="2:2">
      <c r="B5544" s="38"/>
    </row>
    <row r="5545" spans="2:2">
      <c r="B5545" s="38"/>
    </row>
    <row r="5546" spans="2:2">
      <c r="B5546" s="38"/>
    </row>
    <row r="5547" spans="2:2">
      <c r="B5547" s="38"/>
    </row>
    <row r="5548" spans="2:2">
      <c r="B5548" s="38"/>
    </row>
    <row r="5549" spans="2:2">
      <c r="B5549" s="38"/>
    </row>
    <row r="5550" spans="2:2">
      <c r="B5550" s="38"/>
    </row>
    <row r="5551" spans="2:2">
      <c r="B5551" s="38"/>
    </row>
    <row r="5552" spans="2:2">
      <c r="B5552" s="38"/>
    </row>
    <row r="5553" spans="2:2">
      <c r="B5553" s="38"/>
    </row>
    <row r="5554" spans="2:2">
      <c r="B5554" s="38"/>
    </row>
    <row r="5555" spans="2:2">
      <c r="B5555" s="38"/>
    </row>
    <row r="5556" spans="2:2">
      <c r="B5556" s="38"/>
    </row>
    <row r="5557" spans="2:2">
      <c r="B5557" s="38"/>
    </row>
    <row r="5558" spans="2:2">
      <c r="B5558" s="38"/>
    </row>
    <row r="5559" spans="2:2">
      <c r="B5559" s="38"/>
    </row>
    <row r="5560" spans="2:2">
      <c r="B5560" s="38"/>
    </row>
    <row r="5561" spans="2:2">
      <c r="B5561" s="38"/>
    </row>
    <row r="5562" spans="2:2">
      <c r="B5562" s="38"/>
    </row>
    <row r="5563" spans="2:2">
      <c r="B5563" s="38"/>
    </row>
    <row r="5564" spans="2:2">
      <c r="B5564" s="38"/>
    </row>
    <row r="5565" spans="2:2">
      <c r="B5565" s="38"/>
    </row>
    <row r="5566" spans="2:2">
      <c r="B5566" s="38"/>
    </row>
    <row r="5567" spans="2:2">
      <c r="B5567" s="38"/>
    </row>
    <row r="5568" spans="2:2">
      <c r="B5568" s="38"/>
    </row>
    <row r="5569" spans="2:2">
      <c r="B5569" s="38"/>
    </row>
    <row r="5570" spans="2:2">
      <c r="B5570" s="38"/>
    </row>
    <row r="5571" spans="2:2">
      <c r="B5571" s="38"/>
    </row>
    <row r="5572" spans="2:2">
      <c r="B5572" s="38"/>
    </row>
    <row r="5573" spans="2:2">
      <c r="B5573" s="38"/>
    </row>
    <row r="5574" spans="2:2">
      <c r="B5574" s="38"/>
    </row>
    <row r="5575" spans="2:2">
      <c r="B5575" s="38"/>
    </row>
    <row r="5576" spans="2:2">
      <c r="B5576" s="38"/>
    </row>
    <row r="5577" spans="2:2">
      <c r="B5577" s="38"/>
    </row>
    <row r="5578" spans="2:2">
      <c r="B5578" s="38"/>
    </row>
    <row r="5579" spans="2:2">
      <c r="B5579" s="38"/>
    </row>
    <row r="5580" spans="2:2">
      <c r="B5580" s="38"/>
    </row>
    <row r="5581" spans="2:2">
      <c r="B5581" s="38"/>
    </row>
    <row r="5582" spans="2:2">
      <c r="B5582" s="38"/>
    </row>
    <row r="5583" spans="2:2">
      <c r="B5583" s="38"/>
    </row>
    <row r="5584" spans="2:2">
      <c r="B5584" s="38"/>
    </row>
    <row r="5585" spans="2:2">
      <c r="B5585" s="38"/>
    </row>
    <row r="5586" spans="2:2">
      <c r="B5586" s="38"/>
    </row>
    <row r="5587" spans="2:2">
      <c r="B5587" s="38"/>
    </row>
    <row r="5588" spans="2:2">
      <c r="B5588" s="38"/>
    </row>
    <row r="5589" spans="2:2">
      <c r="B5589" s="38"/>
    </row>
    <row r="5590" spans="2:2">
      <c r="B5590" s="38"/>
    </row>
    <row r="5591" spans="2:2">
      <c r="B5591" s="38"/>
    </row>
    <row r="5592" spans="2:2">
      <c r="B5592" s="38"/>
    </row>
    <row r="5593" spans="2:2">
      <c r="B5593" s="38"/>
    </row>
    <row r="5594" spans="2:2">
      <c r="B5594" s="38"/>
    </row>
    <row r="5595" spans="2:2">
      <c r="B5595" s="38"/>
    </row>
    <row r="5596" spans="2:2">
      <c r="B5596" s="38"/>
    </row>
    <row r="5597" spans="2:2">
      <c r="B5597" s="38"/>
    </row>
    <row r="5598" spans="2:2">
      <c r="B5598" s="38"/>
    </row>
    <row r="5599" spans="2:2">
      <c r="B5599" s="38"/>
    </row>
    <row r="5600" spans="2:2">
      <c r="B5600" s="38"/>
    </row>
    <row r="5601" spans="2:2">
      <c r="B5601" s="38"/>
    </row>
    <row r="5602" spans="2:2">
      <c r="B5602" s="38"/>
    </row>
    <row r="5603" spans="2:2">
      <c r="B5603" s="38"/>
    </row>
    <row r="5604" spans="2:2">
      <c r="B5604" s="38"/>
    </row>
    <row r="5605" spans="2:2">
      <c r="B5605" s="38"/>
    </row>
    <row r="5606" spans="2:2">
      <c r="B5606" s="38"/>
    </row>
    <row r="5607" spans="2:2">
      <c r="B5607" s="38"/>
    </row>
    <row r="5608" spans="2:2">
      <c r="B5608" s="38"/>
    </row>
    <row r="5609" spans="2:2">
      <c r="B5609" s="38"/>
    </row>
    <row r="5610" spans="2:2">
      <c r="B5610" s="38"/>
    </row>
    <row r="5611" spans="2:2">
      <c r="B5611" s="38"/>
    </row>
    <row r="5612" spans="2:2">
      <c r="B5612" s="38"/>
    </row>
    <row r="5613" spans="2:2">
      <c r="B5613" s="38"/>
    </row>
    <row r="5614" spans="2:2">
      <c r="B5614" s="38"/>
    </row>
    <row r="5615" spans="2:2">
      <c r="B5615" s="38"/>
    </row>
    <row r="5616" spans="2:2">
      <c r="B5616" s="38"/>
    </row>
    <row r="5617" spans="2:2">
      <c r="B5617" s="38"/>
    </row>
    <row r="5618" spans="2:2">
      <c r="B5618" s="38"/>
    </row>
    <row r="5619" spans="2:2">
      <c r="B5619" s="38"/>
    </row>
    <row r="5620" spans="2:2">
      <c r="B5620" s="38"/>
    </row>
    <row r="5621" spans="2:2">
      <c r="B5621" s="38"/>
    </row>
    <row r="5622" spans="2:2">
      <c r="B5622" s="38"/>
    </row>
    <row r="5623" spans="2:2">
      <c r="B5623" s="38"/>
    </row>
    <row r="5624" spans="2:2">
      <c r="B5624" s="38"/>
    </row>
    <row r="5625" spans="2:2">
      <c r="B5625" s="38"/>
    </row>
    <row r="5626" spans="2:2">
      <c r="B5626" s="38"/>
    </row>
    <row r="5627" spans="2:2">
      <c r="B5627" s="38"/>
    </row>
    <row r="5628" spans="2:2">
      <c r="B5628" s="38"/>
    </row>
    <row r="5629" spans="2:2">
      <c r="B5629" s="38"/>
    </row>
    <row r="5630" spans="2:2">
      <c r="B5630" s="38"/>
    </row>
    <row r="5631" spans="2:2">
      <c r="B5631" s="38"/>
    </row>
    <row r="5632" spans="2:2">
      <c r="B5632" s="38"/>
    </row>
    <row r="5633" spans="2:2">
      <c r="B5633" s="38"/>
    </row>
    <row r="5634" spans="2:2">
      <c r="B5634" s="38"/>
    </row>
    <row r="5635" spans="2:2">
      <c r="B5635" s="38"/>
    </row>
    <row r="5636" spans="2:2">
      <c r="B5636" s="38"/>
    </row>
    <row r="5637" spans="2:2">
      <c r="B5637" s="38"/>
    </row>
    <row r="5638" spans="2:2">
      <c r="B5638" s="38"/>
    </row>
    <row r="5639" spans="2:2">
      <c r="B5639" s="38"/>
    </row>
    <row r="5640" spans="2:2">
      <c r="B5640" s="38"/>
    </row>
    <row r="5641" spans="2:2">
      <c r="B5641" s="38"/>
    </row>
    <row r="5642" spans="2:2">
      <c r="B5642" s="38"/>
    </row>
    <row r="5643" spans="2:2">
      <c r="B5643" s="38"/>
    </row>
    <row r="5644" spans="2:2">
      <c r="B5644" s="38"/>
    </row>
    <row r="5645" spans="2:2">
      <c r="B5645" s="38"/>
    </row>
    <row r="5646" spans="2:2">
      <c r="B5646" s="38"/>
    </row>
    <row r="5647" spans="2:2">
      <c r="B5647" s="38"/>
    </row>
    <row r="5648" spans="2:2">
      <c r="B5648" s="38"/>
    </row>
    <row r="5649" spans="2:2">
      <c r="B5649" s="38"/>
    </row>
    <row r="5650" spans="2:2">
      <c r="B5650" s="38"/>
    </row>
    <row r="5651" spans="2:2">
      <c r="B5651" s="38"/>
    </row>
    <row r="5652" spans="2:2">
      <c r="B5652" s="38"/>
    </row>
    <row r="5653" spans="2:2">
      <c r="B5653" s="38"/>
    </row>
    <row r="5654" spans="2:2">
      <c r="B5654" s="38"/>
    </row>
    <row r="5655" spans="2:2">
      <c r="B5655" s="38"/>
    </row>
    <row r="5656" spans="2:2">
      <c r="B5656" s="38"/>
    </row>
    <row r="5657" spans="2:2">
      <c r="B5657" s="38"/>
    </row>
    <row r="5658" spans="2:2">
      <c r="B5658" s="38"/>
    </row>
    <row r="5659" spans="2:2">
      <c r="B5659" s="38"/>
    </row>
    <row r="5660" spans="2:2">
      <c r="B5660" s="38"/>
    </row>
    <row r="5661" spans="2:2">
      <c r="B5661" s="38"/>
    </row>
    <row r="5662" spans="2:2">
      <c r="B5662" s="38"/>
    </row>
    <row r="5663" spans="2:2">
      <c r="B5663" s="38"/>
    </row>
    <row r="5664" spans="2:2">
      <c r="B5664" s="38"/>
    </row>
    <row r="5665" spans="2:2">
      <c r="B5665" s="38"/>
    </row>
    <row r="5666" spans="2:2">
      <c r="B5666" s="38"/>
    </row>
    <row r="5667" spans="2:2">
      <c r="B5667" s="38"/>
    </row>
    <row r="5668" spans="2:2">
      <c r="B5668" s="38"/>
    </row>
    <row r="5669" spans="2:2">
      <c r="B5669" s="38"/>
    </row>
    <row r="5670" spans="2:2">
      <c r="B5670" s="38"/>
    </row>
    <row r="5671" spans="2:2">
      <c r="B5671" s="38"/>
    </row>
    <row r="5672" spans="2:2">
      <c r="B5672" s="38"/>
    </row>
    <row r="5673" spans="2:2">
      <c r="B5673" s="38"/>
    </row>
    <row r="5674" spans="2:2">
      <c r="B5674" s="38"/>
    </row>
    <row r="5675" spans="2:2">
      <c r="B5675" s="38"/>
    </row>
    <row r="5676" spans="2:2">
      <c r="B5676" s="38"/>
    </row>
    <row r="5677" spans="2:2">
      <c r="B5677" s="38"/>
    </row>
    <row r="5678" spans="2:2">
      <c r="B5678" s="38"/>
    </row>
    <row r="5679" spans="2:2">
      <c r="B5679" s="38"/>
    </row>
    <row r="5680" spans="2:2">
      <c r="B5680" s="38"/>
    </row>
    <row r="5681" spans="2:2">
      <c r="B5681" s="38"/>
    </row>
    <row r="5682" spans="2:2">
      <c r="B5682" s="38"/>
    </row>
    <row r="5683" spans="2:2">
      <c r="B5683" s="38"/>
    </row>
    <row r="5684" spans="2:2">
      <c r="B5684" s="38"/>
    </row>
    <row r="5685" spans="2:2">
      <c r="B5685" s="38"/>
    </row>
    <row r="5686" spans="2:2">
      <c r="B5686" s="38"/>
    </row>
    <row r="5687" spans="2:2">
      <c r="B5687" s="38"/>
    </row>
    <row r="5688" spans="2:2">
      <c r="B5688" s="38"/>
    </row>
    <row r="5689" spans="2:2">
      <c r="B5689" s="38"/>
    </row>
    <row r="5690" spans="2:2">
      <c r="B5690" s="38"/>
    </row>
    <row r="5691" spans="2:2">
      <c r="B5691" s="38"/>
    </row>
    <row r="5692" spans="2:2">
      <c r="B5692" s="38"/>
    </row>
    <row r="5693" spans="2:2">
      <c r="B5693" s="38"/>
    </row>
    <row r="5694" spans="2:2">
      <c r="B5694" s="38"/>
    </row>
    <row r="5695" spans="2:2">
      <c r="B5695" s="38"/>
    </row>
    <row r="5696" spans="2:2">
      <c r="B5696" s="38"/>
    </row>
    <row r="5697" spans="2:2">
      <c r="B5697" s="38"/>
    </row>
    <row r="5698" spans="2:2">
      <c r="B5698" s="38"/>
    </row>
    <row r="5699" spans="2:2">
      <c r="B5699" s="38"/>
    </row>
    <row r="5700" spans="2:2">
      <c r="B5700" s="38"/>
    </row>
    <row r="5701" spans="2:2">
      <c r="B5701" s="38"/>
    </row>
    <row r="5702" spans="2:2">
      <c r="B5702" s="38"/>
    </row>
    <row r="5703" spans="2:2">
      <c r="B5703" s="38"/>
    </row>
    <row r="5704" spans="2:2">
      <c r="B5704" s="38"/>
    </row>
    <row r="5705" spans="2:2">
      <c r="B5705" s="38"/>
    </row>
    <row r="5706" spans="2:2">
      <c r="B5706" s="38"/>
    </row>
    <row r="5707" spans="2:2">
      <c r="B5707" s="38"/>
    </row>
    <row r="5708" spans="2:2">
      <c r="B5708" s="38"/>
    </row>
    <row r="5709" spans="2:2">
      <c r="B5709" s="38"/>
    </row>
    <row r="5710" spans="2:2">
      <c r="B5710" s="38"/>
    </row>
    <row r="5711" spans="2:2">
      <c r="B5711" s="38"/>
    </row>
    <row r="5712" spans="2:2">
      <c r="B5712" s="38"/>
    </row>
    <row r="5713" spans="2:2">
      <c r="B5713" s="38"/>
    </row>
    <row r="5714" spans="2:2">
      <c r="B5714" s="38"/>
    </row>
    <row r="5715" spans="2:2">
      <c r="B5715" s="38"/>
    </row>
    <row r="5716" spans="2:2">
      <c r="B5716" s="38"/>
    </row>
    <row r="5717" spans="2:2">
      <c r="B5717" s="38"/>
    </row>
    <row r="5718" spans="2:2">
      <c r="B5718" s="38"/>
    </row>
    <row r="5719" spans="2:2">
      <c r="B5719" s="38"/>
    </row>
    <row r="5720" spans="2:2">
      <c r="B5720" s="38"/>
    </row>
    <row r="5721" spans="2:2">
      <c r="B5721" s="38"/>
    </row>
    <row r="5722" spans="2:2">
      <c r="B5722" s="38"/>
    </row>
    <row r="5723" spans="2:2">
      <c r="B5723" s="38"/>
    </row>
    <row r="5724" spans="2:2">
      <c r="B5724" s="38"/>
    </row>
    <row r="5725" spans="2:2">
      <c r="B5725" s="38"/>
    </row>
    <row r="5726" spans="2:2">
      <c r="B5726" s="38"/>
    </row>
    <row r="5727" spans="2:2">
      <c r="B5727" s="38"/>
    </row>
    <row r="5728" spans="2:2">
      <c r="B5728" s="38"/>
    </row>
    <row r="5729" spans="2:2">
      <c r="B5729" s="38"/>
    </row>
    <row r="5730" spans="2:2">
      <c r="B5730" s="38"/>
    </row>
    <row r="5731" spans="2:2">
      <c r="B5731" s="38"/>
    </row>
    <row r="5732" spans="2:2">
      <c r="B5732" s="38"/>
    </row>
    <row r="5733" spans="2:2">
      <c r="B5733" s="38"/>
    </row>
    <row r="5734" spans="2:2">
      <c r="B5734" s="38"/>
    </row>
    <row r="5735" spans="2:2">
      <c r="B5735" s="38"/>
    </row>
    <row r="5736" spans="2:2">
      <c r="B5736" s="38"/>
    </row>
    <row r="5737" spans="2:2">
      <c r="B5737" s="38"/>
    </row>
    <row r="5738" spans="2:2">
      <c r="B5738" s="38"/>
    </row>
    <row r="5739" spans="2:2">
      <c r="B5739" s="38"/>
    </row>
    <row r="5740" spans="2:2">
      <c r="B5740" s="38"/>
    </row>
    <row r="5741" spans="2:2">
      <c r="B5741" s="38"/>
    </row>
    <row r="5742" spans="2:2">
      <c r="B5742" s="38"/>
    </row>
    <row r="5743" spans="2:2">
      <c r="B5743" s="38"/>
    </row>
    <row r="5744" spans="2:2">
      <c r="B5744" s="38"/>
    </row>
    <row r="5745" spans="2:2">
      <c r="B5745" s="38"/>
    </row>
    <row r="5746" spans="2:2">
      <c r="B5746" s="38"/>
    </row>
    <row r="5747" spans="2:2">
      <c r="B5747" s="38"/>
    </row>
    <row r="5748" spans="2:2">
      <c r="B5748" s="38"/>
    </row>
    <row r="5749" spans="2:2">
      <c r="B5749" s="38"/>
    </row>
    <row r="5750" spans="2:2">
      <c r="B5750" s="38"/>
    </row>
    <row r="5751" spans="2:2">
      <c r="B5751" s="38"/>
    </row>
    <row r="5752" spans="2:2">
      <c r="B5752" s="38"/>
    </row>
    <row r="5753" spans="2:2">
      <c r="B5753" s="38"/>
    </row>
    <row r="5754" spans="2:2">
      <c r="B5754" s="38"/>
    </row>
    <row r="5755" spans="2:2">
      <c r="B5755" s="38"/>
    </row>
    <row r="5756" spans="2:2">
      <c r="B5756" s="38"/>
    </row>
    <row r="5757" spans="2:2">
      <c r="B5757" s="38"/>
    </row>
    <row r="5758" spans="2:2">
      <c r="B5758" s="38"/>
    </row>
    <row r="5759" spans="2:2">
      <c r="B5759" s="38"/>
    </row>
    <row r="5760" spans="2:2">
      <c r="B5760" s="38"/>
    </row>
    <row r="5761" spans="2:2">
      <c r="B5761" s="38"/>
    </row>
    <row r="5762" spans="2:2">
      <c r="B5762" s="38"/>
    </row>
    <row r="5763" spans="2:2">
      <c r="B5763" s="38"/>
    </row>
    <row r="5764" spans="2:2">
      <c r="B5764" s="38"/>
    </row>
    <row r="5765" spans="2:2">
      <c r="B5765" s="38"/>
    </row>
    <row r="5766" spans="2:2">
      <c r="B5766" s="38"/>
    </row>
    <row r="5767" spans="2:2">
      <c r="B5767" s="38"/>
    </row>
    <row r="5768" spans="2:2">
      <c r="B5768" s="38"/>
    </row>
    <row r="5769" spans="2:2">
      <c r="B5769" s="38"/>
    </row>
    <row r="5770" spans="2:2">
      <c r="B5770" s="38"/>
    </row>
    <row r="5771" spans="2:2">
      <c r="B5771" s="38"/>
    </row>
    <row r="5772" spans="2:2">
      <c r="B5772" s="38"/>
    </row>
    <row r="5773" spans="2:2">
      <c r="B5773" s="38"/>
    </row>
    <row r="5774" spans="2:2">
      <c r="B5774" s="38"/>
    </row>
    <row r="5775" spans="2:2">
      <c r="B5775" s="38"/>
    </row>
    <row r="5776" spans="2:2">
      <c r="B5776" s="38"/>
    </row>
    <row r="5777" spans="2:2">
      <c r="B5777" s="38"/>
    </row>
    <row r="5778" spans="2:2">
      <c r="B5778" s="38"/>
    </row>
    <row r="5779" spans="2:2">
      <c r="B5779" s="38"/>
    </row>
    <row r="5780" spans="2:2">
      <c r="B5780" s="38"/>
    </row>
    <row r="5781" spans="2:2">
      <c r="B5781" s="38"/>
    </row>
    <row r="5782" spans="2:2">
      <c r="B5782" s="38"/>
    </row>
    <row r="5783" spans="2:2">
      <c r="B5783" s="38"/>
    </row>
    <row r="5784" spans="2:2">
      <c r="B5784" s="38"/>
    </row>
    <row r="5785" spans="2:2">
      <c r="B5785" s="38"/>
    </row>
    <row r="5786" spans="2:2">
      <c r="B5786" s="38"/>
    </row>
    <row r="5787" spans="2:2">
      <c r="B5787" s="38"/>
    </row>
    <row r="5788" spans="2:2">
      <c r="B5788" s="38"/>
    </row>
    <row r="5789" spans="2:2">
      <c r="B5789" s="38"/>
    </row>
    <row r="5790" spans="2:2">
      <c r="B5790" s="38"/>
    </row>
    <row r="5791" spans="2:2">
      <c r="B5791" s="38"/>
    </row>
    <row r="5792" spans="2:2">
      <c r="B5792" s="38"/>
    </row>
    <row r="5793" spans="2:2">
      <c r="B5793" s="38"/>
    </row>
    <row r="5794" spans="2:2">
      <c r="B5794" s="38"/>
    </row>
    <row r="5795" spans="2:2">
      <c r="B5795" s="38"/>
    </row>
    <row r="5796" spans="2:2">
      <c r="B5796" s="38"/>
    </row>
    <row r="5797" spans="2:2">
      <c r="B5797" s="38"/>
    </row>
    <row r="5798" spans="2:2">
      <c r="B5798" s="38"/>
    </row>
    <row r="5799" spans="2:2">
      <c r="B5799" s="38"/>
    </row>
    <row r="5800" spans="2:2">
      <c r="B5800" s="38"/>
    </row>
    <row r="5801" spans="2:2">
      <c r="B5801" s="38"/>
    </row>
    <row r="5802" spans="2:2">
      <c r="B5802" s="38"/>
    </row>
    <row r="5803" spans="2:2">
      <c r="B5803" s="38"/>
    </row>
    <row r="5804" spans="2:2">
      <c r="B5804" s="38"/>
    </row>
    <row r="5805" spans="2:2">
      <c r="B5805" s="38"/>
    </row>
    <row r="5806" spans="2:2">
      <c r="B5806" s="38"/>
    </row>
    <row r="5807" spans="2:2">
      <c r="B5807" s="38"/>
    </row>
    <row r="5808" spans="2:2">
      <c r="B5808" s="38"/>
    </row>
    <row r="5809" spans="2:2">
      <c r="B5809" s="38"/>
    </row>
    <row r="5810" spans="2:2">
      <c r="B5810" s="38"/>
    </row>
    <row r="5811" spans="2:2">
      <c r="B5811" s="38"/>
    </row>
    <row r="5812" spans="2:2">
      <c r="B5812" s="38"/>
    </row>
    <row r="5813" spans="2:2">
      <c r="B5813" s="38"/>
    </row>
    <row r="5814" spans="2:2">
      <c r="B5814" s="38"/>
    </row>
    <row r="5815" spans="2:2">
      <c r="B5815" s="38"/>
    </row>
    <row r="5816" spans="2:2">
      <c r="B5816" s="38"/>
    </row>
    <row r="5817" spans="2:2">
      <c r="B5817" s="38"/>
    </row>
    <row r="5818" spans="2:2">
      <c r="B5818" s="38"/>
    </row>
    <row r="5819" spans="2:2">
      <c r="B5819" s="38"/>
    </row>
    <row r="5820" spans="2:2">
      <c r="B5820" s="38"/>
    </row>
    <row r="5821" spans="2:2">
      <c r="B5821" s="38"/>
    </row>
    <row r="5822" spans="2:2">
      <c r="B5822" s="38"/>
    </row>
    <row r="5823" spans="2:2">
      <c r="B5823" s="38"/>
    </row>
    <row r="5824" spans="2:2">
      <c r="B5824" s="38"/>
    </row>
    <row r="5825" spans="2:2">
      <c r="B5825" s="38"/>
    </row>
    <row r="5826" spans="2:2">
      <c r="B5826" s="38"/>
    </row>
    <row r="5827" spans="2:2">
      <c r="B5827" s="38"/>
    </row>
    <row r="5828" spans="2:2">
      <c r="B5828" s="38"/>
    </row>
    <row r="5829" spans="2:2">
      <c r="B5829" s="38"/>
    </row>
    <row r="5830" spans="2:2">
      <c r="B5830" s="38"/>
    </row>
    <row r="5831" spans="2:2">
      <c r="B5831" s="38"/>
    </row>
    <row r="5832" spans="2:2">
      <c r="B5832" s="38"/>
    </row>
    <row r="5833" spans="2:2">
      <c r="B5833" s="38"/>
    </row>
    <row r="5834" spans="2:2">
      <c r="B5834" s="38"/>
    </row>
    <row r="5835" spans="2:2">
      <c r="B5835" s="38"/>
    </row>
    <row r="5836" spans="2:2">
      <c r="B5836" s="38"/>
    </row>
    <row r="5837" spans="2:2">
      <c r="B5837" s="38"/>
    </row>
    <row r="5838" spans="2:2">
      <c r="B5838" s="38"/>
    </row>
    <row r="5839" spans="2:2">
      <c r="B5839" s="38"/>
    </row>
    <row r="5840" spans="2:2">
      <c r="B5840" s="38"/>
    </row>
    <row r="5841" spans="2:2">
      <c r="B5841" s="38"/>
    </row>
    <row r="5842" spans="2:2">
      <c r="B5842" s="38"/>
    </row>
    <row r="5843" spans="2:2">
      <c r="B5843" s="38"/>
    </row>
    <row r="5844" spans="2:2">
      <c r="B5844" s="38"/>
    </row>
    <row r="5845" spans="2:2">
      <c r="B5845" s="38"/>
    </row>
    <row r="5846" spans="2:2">
      <c r="B5846" s="38"/>
    </row>
    <row r="5847" spans="2:2">
      <c r="B5847" s="38"/>
    </row>
    <row r="5848" spans="2:2">
      <c r="B5848" s="38"/>
    </row>
    <row r="5849" spans="2:2">
      <c r="B5849" s="38"/>
    </row>
    <row r="5850" spans="2:2">
      <c r="B5850" s="38"/>
    </row>
    <row r="5851" spans="2:2">
      <c r="B5851" s="38"/>
    </row>
    <row r="5852" spans="2:2">
      <c r="B5852" s="38"/>
    </row>
    <row r="5853" spans="2:2">
      <c r="B5853" s="38"/>
    </row>
    <row r="5854" spans="2:2">
      <c r="B5854" s="38"/>
    </row>
    <row r="5855" spans="2:2">
      <c r="B5855" s="38"/>
    </row>
    <row r="5856" spans="2:2">
      <c r="B5856" s="38"/>
    </row>
    <row r="5857" spans="2:2">
      <c r="B5857" s="38"/>
    </row>
    <row r="5858" spans="2:2">
      <c r="B5858" s="38"/>
    </row>
    <row r="5859" spans="2:2">
      <c r="B5859" s="38"/>
    </row>
    <row r="5860" spans="2:2">
      <c r="B5860" s="38"/>
    </row>
    <row r="5861" spans="2:2">
      <c r="B5861" s="38"/>
    </row>
    <row r="5862" spans="2:2">
      <c r="B5862" s="38"/>
    </row>
    <row r="5863" spans="2:2">
      <c r="B5863" s="38"/>
    </row>
    <row r="5864" spans="2:2">
      <c r="B5864" s="38"/>
    </row>
    <row r="5865" spans="2:2">
      <c r="B5865" s="38"/>
    </row>
    <row r="5866" spans="2:2">
      <c r="B5866" s="38"/>
    </row>
    <row r="5867" spans="2:2">
      <c r="B5867" s="38"/>
    </row>
    <row r="5868" spans="2:2">
      <c r="B5868" s="38"/>
    </row>
    <row r="5869" spans="2:2">
      <c r="B5869" s="38"/>
    </row>
    <row r="5870" spans="2:2">
      <c r="B5870" s="38"/>
    </row>
    <row r="5871" spans="2:2">
      <c r="B5871" s="38"/>
    </row>
    <row r="5872" spans="2:2">
      <c r="B5872" s="38"/>
    </row>
    <row r="5873" spans="2:2">
      <c r="B5873" s="38"/>
    </row>
    <row r="5874" spans="2:2">
      <c r="B5874" s="38"/>
    </row>
    <row r="5875" spans="2:2">
      <c r="B5875" s="38"/>
    </row>
    <row r="5876" spans="2:2">
      <c r="B5876" s="38"/>
    </row>
    <row r="5877" spans="2:2">
      <c r="B5877" s="38"/>
    </row>
    <row r="5878" spans="2:2">
      <c r="B5878" s="38"/>
    </row>
    <row r="5879" spans="2:2">
      <c r="B5879" s="38"/>
    </row>
    <row r="5880" spans="2:2">
      <c r="B5880" s="38"/>
    </row>
    <row r="5881" spans="2:2">
      <c r="B5881" s="38"/>
    </row>
    <row r="5882" spans="2:2">
      <c r="B5882" s="38"/>
    </row>
    <row r="5883" spans="2:2">
      <c r="B5883" s="38"/>
    </row>
    <row r="5884" spans="2:2">
      <c r="B5884" s="38"/>
    </row>
    <row r="5885" spans="2:2">
      <c r="B5885" s="38"/>
    </row>
    <row r="5886" spans="2:2">
      <c r="B5886" s="38"/>
    </row>
    <row r="5887" spans="2:2">
      <c r="B5887" s="38"/>
    </row>
    <row r="5888" spans="2:2">
      <c r="B5888" s="38"/>
    </row>
    <row r="5889" spans="2:2">
      <c r="B5889" s="38"/>
    </row>
    <row r="5890" spans="2:2">
      <c r="B5890" s="38"/>
    </row>
    <row r="5891" spans="2:2">
      <c r="B5891" s="38"/>
    </row>
    <row r="5892" spans="2:2">
      <c r="B5892" s="38"/>
    </row>
    <row r="5893" spans="2:2">
      <c r="B5893" s="38"/>
    </row>
    <row r="5894" spans="2:2">
      <c r="B5894" s="38"/>
    </row>
    <row r="5895" spans="2:2">
      <c r="B5895" s="38"/>
    </row>
    <row r="5896" spans="2:2">
      <c r="B5896" s="38"/>
    </row>
    <row r="5897" spans="2:2">
      <c r="B5897" s="38"/>
    </row>
    <row r="5898" spans="2:2">
      <c r="B5898" s="38"/>
    </row>
    <row r="5899" spans="2:2">
      <c r="B5899" s="38"/>
    </row>
    <row r="5900" spans="2:2">
      <c r="B5900" s="38"/>
    </row>
    <row r="5901" spans="2:2">
      <c r="B5901" s="38"/>
    </row>
    <row r="5902" spans="2:2">
      <c r="B5902" s="38"/>
    </row>
    <row r="5903" spans="2:2">
      <c r="B5903" s="38"/>
    </row>
    <row r="5904" spans="2:2">
      <c r="B5904" s="38"/>
    </row>
    <row r="5905" spans="2:2">
      <c r="B5905" s="38"/>
    </row>
    <row r="5906" spans="2:2">
      <c r="B5906" s="38"/>
    </row>
    <row r="5907" spans="2:2">
      <c r="B5907" s="38"/>
    </row>
    <row r="5908" spans="2:2">
      <c r="B5908" s="38"/>
    </row>
    <row r="5909" spans="2:2">
      <c r="B5909" s="38"/>
    </row>
    <row r="5910" spans="2:2">
      <c r="B5910" s="38"/>
    </row>
    <row r="5911" spans="2:2">
      <c r="B5911" s="38"/>
    </row>
    <row r="5912" spans="2:2">
      <c r="B5912" s="38"/>
    </row>
    <row r="5913" spans="2:2">
      <c r="B5913" s="38"/>
    </row>
    <row r="5914" spans="2:2">
      <c r="B5914" s="38"/>
    </row>
    <row r="5915" spans="2:2">
      <c r="B5915" s="38"/>
    </row>
    <row r="5916" spans="2:2">
      <c r="B5916" s="38"/>
    </row>
    <row r="5917" spans="2:2">
      <c r="B5917" s="38"/>
    </row>
    <row r="5918" spans="2:2">
      <c r="B5918" s="38"/>
    </row>
    <row r="5919" spans="2:2">
      <c r="B5919" s="38"/>
    </row>
    <row r="5920" spans="2:2">
      <c r="B5920" s="38"/>
    </row>
    <row r="5921" spans="2:2">
      <c r="B5921" s="38"/>
    </row>
    <row r="5922" spans="2:2">
      <c r="B5922" s="38"/>
    </row>
    <row r="5923" spans="2:2">
      <c r="B5923" s="38"/>
    </row>
    <row r="5924" spans="2:2">
      <c r="B5924" s="38"/>
    </row>
    <row r="5925" spans="2:2">
      <c r="B5925" s="38"/>
    </row>
    <row r="5926" spans="2:2">
      <c r="B5926" s="38"/>
    </row>
    <row r="5927" spans="2:2">
      <c r="B5927" s="38"/>
    </row>
    <row r="5928" spans="2:2">
      <c r="B5928" s="38"/>
    </row>
    <row r="5929" spans="2:2">
      <c r="B5929" s="38"/>
    </row>
    <row r="5930" spans="2:2">
      <c r="B5930" s="38"/>
    </row>
    <row r="5931" spans="2:2">
      <c r="B5931" s="38"/>
    </row>
    <row r="5932" spans="2:2">
      <c r="B5932" s="38"/>
    </row>
    <row r="5933" spans="2:2">
      <c r="B5933" s="38"/>
    </row>
    <row r="5934" spans="2:2">
      <c r="B5934" s="38"/>
    </row>
    <row r="5935" spans="2:2">
      <c r="B5935" s="38"/>
    </row>
    <row r="5936" spans="2:2">
      <c r="B5936" s="38"/>
    </row>
    <row r="5937" spans="2:2">
      <c r="B5937" s="38"/>
    </row>
    <row r="5938" spans="2:2">
      <c r="B5938" s="38"/>
    </row>
    <row r="5939" spans="2:2">
      <c r="B5939" s="38"/>
    </row>
    <row r="5940" spans="2:2">
      <c r="B5940" s="38"/>
    </row>
    <row r="5941" spans="2:2">
      <c r="B5941" s="38"/>
    </row>
    <row r="5942" spans="2:2">
      <c r="B5942" s="38"/>
    </row>
    <row r="5943" spans="2:2">
      <c r="B5943" s="38"/>
    </row>
    <row r="5944" spans="2:2">
      <c r="B5944" s="38"/>
    </row>
    <row r="5945" spans="2:2">
      <c r="B5945" s="38"/>
    </row>
    <row r="5946" spans="2:2">
      <c r="B5946" s="38"/>
    </row>
    <row r="5947" spans="2:2">
      <c r="B5947" s="38"/>
    </row>
    <row r="5948" spans="2:2">
      <c r="B5948" s="38"/>
    </row>
    <row r="5949" spans="2:2">
      <c r="B5949" s="38"/>
    </row>
    <row r="5950" spans="2:2">
      <c r="B5950" s="38"/>
    </row>
    <row r="5951" spans="2:2">
      <c r="B5951" s="38"/>
    </row>
    <row r="5952" spans="2:2">
      <c r="B5952" s="38"/>
    </row>
    <row r="5953" spans="2:2">
      <c r="B5953" s="38"/>
    </row>
    <row r="5954" spans="2:2">
      <c r="B5954" s="38"/>
    </row>
    <row r="5955" spans="2:2">
      <c r="B5955" s="38"/>
    </row>
    <row r="5956" spans="2:2">
      <c r="B5956" s="38"/>
    </row>
    <row r="5957" spans="2:2">
      <c r="B5957" s="38"/>
    </row>
    <row r="5958" spans="2:2">
      <c r="B5958" s="38"/>
    </row>
    <row r="5959" spans="2:2">
      <c r="B5959" s="38"/>
    </row>
    <row r="5960" spans="2:2">
      <c r="B5960" s="38"/>
    </row>
    <row r="5961" spans="2:2">
      <c r="B5961" s="38"/>
    </row>
    <row r="5962" spans="2:2">
      <c r="B5962" s="38"/>
    </row>
    <row r="5963" spans="2:2">
      <c r="B5963" s="38"/>
    </row>
    <row r="5964" spans="2:2">
      <c r="B5964" s="38"/>
    </row>
    <row r="5965" spans="2:2">
      <c r="B5965" s="38"/>
    </row>
    <row r="5966" spans="2:2">
      <c r="B5966" s="38"/>
    </row>
    <row r="5967" spans="2:2">
      <c r="B5967" s="38"/>
    </row>
    <row r="5968" spans="2:2">
      <c r="B5968" s="38"/>
    </row>
    <row r="5969" spans="2:2">
      <c r="B5969" s="38"/>
    </row>
    <row r="5970" spans="2:2">
      <c r="B5970" s="38"/>
    </row>
    <row r="5971" spans="2:2">
      <c r="B5971" s="38"/>
    </row>
    <row r="5972" spans="2:2">
      <c r="B5972" s="38"/>
    </row>
    <row r="5973" spans="2:2">
      <c r="B5973" s="38"/>
    </row>
    <row r="5974" spans="2:2">
      <c r="B5974" s="38"/>
    </row>
    <row r="5975" spans="2:2">
      <c r="B5975" s="38"/>
    </row>
    <row r="5976" spans="2:2">
      <c r="B5976" s="38"/>
    </row>
    <row r="5977" spans="2:2">
      <c r="B5977" s="38"/>
    </row>
    <row r="5978" spans="2:2">
      <c r="B5978" s="38"/>
    </row>
    <row r="5979" spans="2:2">
      <c r="B5979" s="38"/>
    </row>
    <row r="5980" spans="2:2">
      <c r="B5980" s="38"/>
    </row>
    <row r="5981" spans="2:2">
      <c r="B5981" s="38"/>
    </row>
    <row r="5982" spans="2:2">
      <c r="B5982" s="38"/>
    </row>
    <row r="5983" spans="2:2">
      <c r="B5983" s="38"/>
    </row>
    <row r="5984" spans="2:2">
      <c r="B5984" s="38"/>
    </row>
    <row r="5985" spans="2:2">
      <c r="B5985" s="38"/>
    </row>
    <row r="5986" spans="2:2">
      <c r="B5986" s="38"/>
    </row>
    <row r="5987" spans="2:2">
      <c r="B5987" s="38"/>
    </row>
    <row r="5988" spans="2:2">
      <c r="B5988" s="38"/>
    </row>
    <row r="5989" spans="2:2">
      <c r="B5989" s="38"/>
    </row>
    <row r="5990" spans="2:2">
      <c r="B5990" s="38"/>
    </row>
    <row r="5991" spans="2:2">
      <c r="B5991" s="38"/>
    </row>
    <row r="5992" spans="2:2">
      <c r="B5992" s="38"/>
    </row>
    <row r="5993" spans="2:2">
      <c r="B5993" s="38"/>
    </row>
    <row r="5994" spans="2:2">
      <c r="B5994" s="38"/>
    </row>
    <row r="5995" spans="2:2">
      <c r="B5995" s="38"/>
    </row>
    <row r="5996" spans="2:2">
      <c r="B5996" s="38"/>
    </row>
    <row r="5997" spans="2:2">
      <c r="B5997" s="38"/>
    </row>
    <row r="5998" spans="2:2">
      <c r="B5998" s="38"/>
    </row>
    <row r="5999" spans="2:2">
      <c r="B5999" s="38"/>
    </row>
    <row r="6000" spans="2:2">
      <c r="B6000" s="38"/>
    </row>
    <row r="6001" spans="2:2">
      <c r="B6001" s="38"/>
    </row>
    <row r="6002" spans="2:2">
      <c r="B6002" s="38"/>
    </row>
    <row r="6003" spans="2:2">
      <c r="B6003" s="38"/>
    </row>
    <row r="6004" spans="2:2">
      <c r="B6004" s="38"/>
    </row>
    <row r="6005" spans="2:2">
      <c r="B6005" s="38"/>
    </row>
    <row r="6006" spans="2:2">
      <c r="B6006" s="38"/>
    </row>
    <row r="6007" spans="2:2">
      <c r="B6007" s="38"/>
    </row>
    <row r="6008" spans="2:2">
      <c r="B6008" s="38"/>
    </row>
    <row r="6009" spans="2:2">
      <c r="B6009" s="38"/>
    </row>
    <row r="6010" spans="2:2">
      <c r="B6010" s="38"/>
    </row>
    <row r="6011" spans="2:2">
      <c r="B6011" s="38"/>
    </row>
    <row r="6012" spans="2:2">
      <c r="B6012" s="38"/>
    </row>
    <row r="6013" spans="2:2">
      <c r="B6013" s="38"/>
    </row>
    <row r="6014" spans="2:2">
      <c r="B6014" s="38"/>
    </row>
    <row r="6015" spans="2:2">
      <c r="B6015" s="38"/>
    </row>
    <row r="6016" spans="2:2">
      <c r="B6016" s="38"/>
    </row>
    <row r="6017" spans="2:2">
      <c r="B6017" s="38"/>
    </row>
    <row r="6018" spans="2:2">
      <c r="B6018" s="38"/>
    </row>
    <row r="6019" spans="2:2">
      <c r="B6019" s="38"/>
    </row>
    <row r="6020" spans="2:2">
      <c r="B6020" s="38"/>
    </row>
    <row r="6021" spans="2:2">
      <c r="B6021" s="38"/>
    </row>
    <row r="6022" spans="2:2">
      <c r="B6022" s="38"/>
    </row>
    <row r="6023" spans="2:2">
      <c r="B6023" s="38"/>
    </row>
    <row r="6024" spans="2:2">
      <c r="B6024" s="38"/>
    </row>
    <row r="6025" spans="2:2">
      <c r="B6025" s="38"/>
    </row>
    <row r="6026" spans="2:2">
      <c r="B6026" s="38"/>
    </row>
    <row r="6027" spans="2:2">
      <c r="B6027" s="38"/>
    </row>
    <row r="6028" spans="2:2">
      <c r="B6028" s="38"/>
    </row>
    <row r="6029" spans="2:2">
      <c r="B6029" s="38"/>
    </row>
    <row r="6030" spans="2:2">
      <c r="B6030" s="38"/>
    </row>
    <row r="6031" spans="2:2">
      <c r="B6031" s="38"/>
    </row>
    <row r="6032" spans="2:2">
      <c r="B6032" s="38"/>
    </row>
    <row r="6033" spans="2:2">
      <c r="B6033" s="38"/>
    </row>
    <row r="6034" spans="2:2">
      <c r="B6034" s="38"/>
    </row>
    <row r="6035" spans="2:2">
      <c r="B6035" s="38"/>
    </row>
    <row r="6036" spans="2:2">
      <c r="B6036" s="38"/>
    </row>
    <row r="6037" spans="2:2">
      <c r="B6037" s="38"/>
    </row>
    <row r="6038" spans="2:2">
      <c r="B6038" s="38"/>
    </row>
    <row r="6039" spans="2:2">
      <c r="B6039" s="38"/>
    </row>
    <row r="6040" spans="2:2">
      <c r="B6040" s="38"/>
    </row>
    <row r="6041" spans="2:2">
      <c r="B6041" s="38"/>
    </row>
    <row r="6042" spans="2:2">
      <c r="B6042" s="38"/>
    </row>
    <row r="6043" spans="2:2">
      <c r="B6043" s="38"/>
    </row>
    <row r="6044" spans="2:2">
      <c r="B6044" s="38"/>
    </row>
    <row r="6045" spans="2:2">
      <c r="B6045" s="38"/>
    </row>
    <row r="6046" spans="2:2">
      <c r="B6046" s="38"/>
    </row>
    <row r="6047" spans="2:2">
      <c r="B6047" s="38"/>
    </row>
    <row r="6048" spans="2:2">
      <c r="B6048" s="38"/>
    </row>
    <row r="6049" spans="2:2">
      <c r="B6049" s="38"/>
    </row>
    <row r="6050" spans="2:2">
      <c r="B6050" s="38"/>
    </row>
    <row r="6051" spans="2:2">
      <c r="B6051" s="38"/>
    </row>
    <row r="6052" spans="2:2">
      <c r="B6052" s="38"/>
    </row>
    <row r="6053" spans="2:2">
      <c r="B6053" s="38"/>
    </row>
    <row r="6054" spans="2:2">
      <c r="B6054" s="38"/>
    </row>
    <row r="6055" spans="2:2">
      <c r="B6055" s="38"/>
    </row>
    <row r="6056" spans="2:2">
      <c r="B6056" s="38"/>
    </row>
    <row r="6057" spans="2:2">
      <c r="B6057" s="38"/>
    </row>
    <row r="6058" spans="2:2">
      <c r="B6058" s="38"/>
    </row>
    <row r="6059" spans="2:2">
      <c r="B6059" s="38"/>
    </row>
    <row r="6060" spans="2:2">
      <c r="B6060" s="38"/>
    </row>
    <row r="6061" spans="2:2">
      <c r="B6061" s="38"/>
    </row>
    <row r="6062" spans="2:2">
      <c r="B6062" s="38"/>
    </row>
    <row r="6063" spans="2:2">
      <c r="B6063" s="38"/>
    </row>
    <row r="6064" spans="2:2">
      <c r="B6064" s="38"/>
    </row>
    <row r="6065" spans="2:2">
      <c r="B6065" s="38"/>
    </row>
    <row r="6066" spans="2:2">
      <c r="B6066" s="38"/>
    </row>
    <row r="6067" spans="2:2">
      <c r="B6067" s="38"/>
    </row>
    <row r="6068" spans="2:2">
      <c r="B6068" s="38"/>
    </row>
    <row r="6069" spans="2:2">
      <c r="B6069" s="38"/>
    </row>
    <row r="6070" spans="2:2">
      <c r="B6070" s="38"/>
    </row>
    <row r="6071" spans="2:2">
      <c r="B6071" s="38"/>
    </row>
    <row r="6072" spans="2:2">
      <c r="B6072" s="38"/>
    </row>
    <row r="6073" spans="2:2">
      <c r="B6073" s="38"/>
    </row>
    <row r="6074" spans="2:2">
      <c r="B6074" s="38"/>
    </row>
    <row r="6075" spans="2:2">
      <c r="B6075" s="38"/>
    </row>
    <row r="6076" spans="2:2">
      <c r="B6076" s="38"/>
    </row>
    <row r="6077" spans="2:2">
      <c r="B6077" s="38"/>
    </row>
    <row r="6078" spans="2:2">
      <c r="B6078" s="38"/>
    </row>
    <row r="6079" spans="2:2">
      <c r="B6079" s="38"/>
    </row>
    <row r="6080" spans="2:2">
      <c r="B6080" s="38"/>
    </row>
    <row r="6081" spans="2:2">
      <c r="B6081" s="38"/>
    </row>
    <row r="6082" spans="2:2">
      <c r="B6082" s="38"/>
    </row>
    <row r="6083" spans="2:2">
      <c r="B6083" s="38"/>
    </row>
    <row r="6084" spans="2:2">
      <c r="B6084" s="38"/>
    </row>
    <row r="6085" spans="2:2">
      <c r="B6085" s="38"/>
    </row>
    <row r="6086" spans="2:2">
      <c r="B6086" s="38"/>
    </row>
    <row r="6087" spans="2:2">
      <c r="B6087" s="38"/>
    </row>
    <row r="6088" spans="2:2">
      <c r="B6088" s="38"/>
    </row>
    <row r="6089" spans="2:2">
      <c r="B6089" s="38"/>
    </row>
    <row r="6090" spans="2:2">
      <c r="B6090" s="38"/>
    </row>
    <row r="6091" spans="2:2">
      <c r="B6091" s="38"/>
    </row>
    <row r="6092" spans="2:2">
      <c r="B6092" s="38"/>
    </row>
    <row r="6093" spans="2:2">
      <c r="B6093" s="38"/>
    </row>
    <row r="6094" spans="2:2">
      <c r="B6094" s="38"/>
    </row>
    <row r="6095" spans="2:2">
      <c r="B6095" s="38"/>
    </row>
    <row r="6096" spans="2:2">
      <c r="B6096" s="38"/>
    </row>
    <row r="6097" spans="2:2">
      <c r="B6097" s="38"/>
    </row>
    <row r="6098" spans="2:2">
      <c r="B6098" s="38"/>
    </row>
    <row r="6099" spans="2:2">
      <c r="B6099" s="38"/>
    </row>
    <row r="6100" spans="2:2">
      <c r="B6100" s="38"/>
    </row>
    <row r="6101" spans="2:2">
      <c r="B6101" s="38"/>
    </row>
    <row r="6102" spans="2:2">
      <c r="B6102" s="38"/>
    </row>
    <row r="6103" spans="2:2">
      <c r="B6103" s="38"/>
    </row>
    <row r="6104" spans="2:2">
      <c r="B6104" s="38"/>
    </row>
    <row r="6105" spans="2:2">
      <c r="B6105" s="38"/>
    </row>
    <row r="6106" spans="2:2">
      <c r="B6106" s="38"/>
    </row>
    <row r="6107" spans="2:2">
      <c r="B6107" s="38"/>
    </row>
    <row r="6108" spans="2:2">
      <c r="B6108" s="38"/>
    </row>
    <row r="6109" spans="2:2">
      <c r="B6109" s="38"/>
    </row>
    <row r="6110" spans="2:2">
      <c r="B6110" s="38"/>
    </row>
    <row r="6111" spans="2:2">
      <c r="B6111" s="38"/>
    </row>
    <row r="6112" spans="2:2">
      <c r="B6112" s="38"/>
    </row>
    <row r="6113" spans="2:2">
      <c r="B6113" s="38"/>
    </row>
    <row r="6114" spans="2:2">
      <c r="B6114" s="38"/>
    </row>
    <row r="6115" spans="2:2">
      <c r="B6115" s="38"/>
    </row>
    <row r="6116" spans="2:2">
      <c r="B6116" s="38"/>
    </row>
    <row r="6117" spans="2:2">
      <c r="B6117" s="38"/>
    </row>
    <row r="6118" spans="2:2">
      <c r="B6118" s="38"/>
    </row>
    <row r="6119" spans="2:2">
      <c r="B6119" s="38"/>
    </row>
    <row r="6120" spans="2:2">
      <c r="B6120" s="38"/>
    </row>
    <row r="6121" spans="2:2">
      <c r="B6121" s="38"/>
    </row>
    <row r="6122" spans="2:2">
      <c r="B6122" s="38"/>
    </row>
    <row r="6123" spans="2:2">
      <c r="B6123" s="38"/>
    </row>
    <row r="6124" spans="2:2">
      <c r="B6124" s="38"/>
    </row>
    <row r="6125" spans="2:2">
      <c r="B6125" s="38"/>
    </row>
    <row r="6126" spans="2:2">
      <c r="B6126" s="38"/>
    </row>
    <row r="6127" spans="2:2">
      <c r="B6127" s="38"/>
    </row>
    <row r="6128" spans="2:2">
      <c r="B6128" s="38"/>
    </row>
    <row r="6129" spans="2:2">
      <c r="B6129" s="38"/>
    </row>
    <row r="6130" spans="2:2">
      <c r="B6130" s="38"/>
    </row>
    <row r="6131" spans="2:2">
      <c r="B6131" s="38"/>
    </row>
    <row r="6132" spans="2:2">
      <c r="B6132" s="38"/>
    </row>
    <row r="6133" spans="2:2">
      <c r="B6133" s="38"/>
    </row>
    <row r="6134" spans="2:2">
      <c r="B6134" s="38"/>
    </row>
    <row r="6135" spans="2:2">
      <c r="B6135" s="38"/>
    </row>
    <row r="6136" spans="2:2">
      <c r="B6136" s="38"/>
    </row>
    <row r="6137" spans="2:2">
      <c r="B6137" s="38"/>
    </row>
    <row r="6138" spans="2:2">
      <c r="B6138" s="38"/>
    </row>
    <row r="6139" spans="2:2">
      <c r="B6139" s="38"/>
    </row>
    <row r="6140" spans="2:2">
      <c r="B6140" s="38"/>
    </row>
    <row r="6141" spans="2:2">
      <c r="B6141" s="38"/>
    </row>
    <row r="6142" spans="2:2">
      <c r="B6142" s="38"/>
    </row>
    <row r="6143" spans="2:2">
      <c r="B6143" s="38"/>
    </row>
    <row r="6144" spans="2:2">
      <c r="B6144" s="38"/>
    </row>
    <row r="6145" spans="2:2">
      <c r="B6145" s="38"/>
    </row>
    <row r="6146" spans="2:2">
      <c r="B6146" s="38"/>
    </row>
    <row r="6147" spans="2:2">
      <c r="B6147" s="38"/>
    </row>
    <row r="6148" spans="2:2">
      <c r="B6148" s="38"/>
    </row>
    <row r="6149" spans="2:2">
      <c r="B6149" s="38"/>
    </row>
    <row r="6150" spans="2:2">
      <c r="B6150" s="38"/>
    </row>
    <row r="6151" spans="2:2">
      <c r="B6151" s="38"/>
    </row>
    <row r="6152" spans="2:2">
      <c r="B6152" s="38"/>
    </row>
    <row r="6153" spans="2:2">
      <c r="B6153" s="38"/>
    </row>
    <row r="6154" spans="2:2">
      <c r="B6154" s="38"/>
    </row>
    <row r="6155" spans="2:2">
      <c r="B6155" s="38"/>
    </row>
    <row r="6156" spans="2:2">
      <c r="B6156" s="38"/>
    </row>
    <row r="6157" spans="2:2">
      <c r="B6157" s="38"/>
    </row>
    <row r="6158" spans="2:2">
      <c r="B6158" s="38"/>
    </row>
    <row r="6159" spans="2:2">
      <c r="B6159" s="38"/>
    </row>
    <row r="6160" spans="2:2">
      <c r="B6160" s="38"/>
    </row>
    <row r="6161" spans="2:2">
      <c r="B6161" s="38"/>
    </row>
    <row r="6162" spans="2:2">
      <c r="B6162" s="38"/>
    </row>
    <row r="6163" spans="2:2">
      <c r="B6163" s="38"/>
    </row>
    <row r="6164" spans="2:2">
      <c r="B6164" s="38"/>
    </row>
    <row r="6165" spans="2:2">
      <c r="B6165" s="38"/>
    </row>
    <row r="6166" spans="2:2">
      <c r="B6166" s="38"/>
    </row>
    <row r="6167" spans="2:2">
      <c r="B6167" s="38"/>
    </row>
    <row r="6168" spans="2:2">
      <c r="B6168" s="38"/>
    </row>
    <row r="6169" spans="2:2">
      <c r="B6169" s="38"/>
    </row>
    <row r="6170" spans="2:2">
      <c r="B6170" s="38"/>
    </row>
    <row r="6171" spans="2:2">
      <c r="B6171" s="38"/>
    </row>
    <row r="6172" spans="2:2">
      <c r="B6172" s="38"/>
    </row>
    <row r="6173" spans="2:2">
      <c r="B6173" s="38"/>
    </row>
    <row r="6174" spans="2:2">
      <c r="B6174" s="38"/>
    </row>
    <row r="6175" spans="2:2">
      <c r="B6175" s="38"/>
    </row>
    <row r="6176" spans="2:2">
      <c r="B6176" s="38"/>
    </row>
    <row r="6177" spans="2:2">
      <c r="B6177" s="38"/>
    </row>
    <row r="6178" spans="2:2">
      <c r="B6178" s="38"/>
    </row>
    <row r="6179" spans="2:2">
      <c r="B6179" s="38"/>
    </row>
    <row r="6180" spans="2:2">
      <c r="B6180" s="38"/>
    </row>
    <row r="6181" spans="2:2">
      <c r="B6181" s="38"/>
    </row>
    <row r="6182" spans="2:2">
      <c r="B6182" s="38"/>
    </row>
    <row r="6183" spans="2:2">
      <c r="B6183" s="38"/>
    </row>
    <row r="6184" spans="2:2">
      <c r="B6184" s="38"/>
    </row>
    <row r="6185" spans="2:2">
      <c r="B6185" s="38"/>
    </row>
    <row r="6186" spans="2:2">
      <c r="B6186" s="38"/>
    </row>
    <row r="6187" spans="2:2">
      <c r="B6187" s="38"/>
    </row>
    <row r="6188" spans="2:2">
      <c r="B6188" s="38"/>
    </row>
    <row r="6189" spans="2:2">
      <c r="B6189" s="38"/>
    </row>
    <row r="6190" spans="2:2">
      <c r="B6190" s="38"/>
    </row>
    <row r="6191" spans="2:2">
      <c r="B6191" s="38"/>
    </row>
    <row r="6192" spans="2:2">
      <c r="B6192" s="38"/>
    </row>
    <row r="6193" spans="2:2">
      <c r="B6193" s="38"/>
    </row>
    <row r="6194" spans="2:2">
      <c r="B6194" s="38"/>
    </row>
    <row r="6195" spans="2:2">
      <c r="B6195" s="38"/>
    </row>
    <row r="6196" spans="2:2">
      <c r="B6196" s="38"/>
    </row>
    <row r="6197" spans="2:2">
      <c r="B6197" s="38"/>
    </row>
    <row r="6198" spans="2:2">
      <c r="B6198" s="38"/>
    </row>
    <row r="6199" spans="2:2">
      <c r="B6199" s="38"/>
    </row>
    <row r="6200" spans="2:2">
      <c r="B6200" s="38"/>
    </row>
    <row r="6201" spans="2:2">
      <c r="B6201" s="38"/>
    </row>
    <row r="6202" spans="2:2">
      <c r="B6202" s="38"/>
    </row>
    <row r="6203" spans="2:2">
      <c r="B6203" s="38"/>
    </row>
    <row r="6204" spans="2:2">
      <c r="B6204" s="38"/>
    </row>
    <row r="6205" spans="2:2">
      <c r="B6205" s="38"/>
    </row>
    <row r="6206" spans="2:2">
      <c r="B6206" s="38"/>
    </row>
    <row r="6207" spans="2:2">
      <c r="B6207" s="38"/>
    </row>
    <row r="6208" spans="2:2">
      <c r="B6208" s="38"/>
    </row>
    <row r="6209" spans="2:2">
      <c r="B6209" s="38"/>
    </row>
    <row r="6210" spans="2:2">
      <c r="B6210" s="38"/>
    </row>
    <row r="6211" spans="2:2">
      <c r="B6211" s="38"/>
    </row>
    <row r="6212" spans="2:2">
      <c r="B6212" s="38"/>
    </row>
    <row r="6213" spans="2:2">
      <c r="B6213" s="38"/>
    </row>
    <row r="6214" spans="2:2">
      <c r="B6214" s="38"/>
    </row>
    <row r="6215" spans="2:2">
      <c r="B6215" s="38"/>
    </row>
    <row r="6216" spans="2:2">
      <c r="B6216" s="38"/>
    </row>
    <row r="6217" spans="2:2">
      <c r="B6217" s="38"/>
    </row>
    <row r="6218" spans="2:2">
      <c r="B6218" s="38"/>
    </row>
    <row r="6219" spans="2:2">
      <c r="B6219" s="38"/>
    </row>
    <row r="6220" spans="2:2">
      <c r="B6220" s="38"/>
    </row>
    <row r="6221" spans="2:2">
      <c r="B6221" s="38"/>
    </row>
    <row r="6222" spans="2:2">
      <c r="B6222" s="38"/>
    </row>
    <row r="6223" spans="2:2">
      <c r="B6223" s="38"/>
    </row>
    <row r="6224" spans="2:2">
      <c r="B6224" s="38"/>
    </row>
    <row r="6225" spans="2:2">
      <c r="B6225" s="38"/>
    </row>
    <row r="6226" spans="2:2">
      <c r="B6226" s="38"/>
    </row>
    <row r="6227" spans="2:2">
      <c r="B6227" s="38"/>
    </row>
    <row r="6228" spans="2:2">
      <c r="B6228" s="38"/>
    </row>
    <row r="6229" spans="2:2">
      <c r="B6229" s="38"/>
    </row>
    <row r="6230" spans="2:2">
      <c r="B6230" s="38"/>
    </row>
    <row r="6231" spans="2:2">
      <c r="B6231" s="38"/>
    </row>
    <row r="6232" spans="2:2">
      <c r="B6232" s="38"/>
    </row>
    <row r="6233" spans="2:2">
      <c r="B6233" s="38"/>
    </row>
    <row r="6234" spans="2:2">
      <c r="B6234" s="38"/>
    </row>
    <row r="6235" spans="2:2">
      <c r="B6235" s="38"/>
    </row>
    <row r="6236" spans="2:2">
      <c r="B6236" s="38"/>
    </row>
    <row r="6237" spans="2:2">
      <c r="B6237" s="38"/>
    </row>
    <row r="6238" spans="2:2">
      <c r="B6238" s="38"/>
    </row>
    <row r="6239" spans="2:2">
      <c r="B6239" s="38"/>
    </row>
    <row r="6240" spans="2:2">
      <c r="B6240" s="38"/>
    </row>
    <row r="6241" spans="2:2">
      <c r="B6241" s="38"/>
    </row>
    <row r="6242" spans="2:2">
      <c r="B6242" s="38"/>
    </row>
    <row r="6243" spans="2:2">
      <c r="B6243" s="38"/>
    </row>
    <row r="6244" spans="2:2">
      <c r="B6244" s="38"/>
    </row>
    <row r="6245" spans="2:2">
      <c r="B6245" s="38"/>
    </row>
    <row r="6246" spans="2:2">
      <c r="B6246" s="38"/>
    </row>
    <row r="6247" spans="2:2">
      <c r="B6247" s="38"/>
    </row>
    <row r="6248" spans="2:2">
      <c r="B6248" s="38"/>
    </row>
    <row r="6249" spans="2:2">
      <c r="B6249" s="38"/>
    </row>
    <row r="6250" spans="2:2">
      <c r="B6250" s="38"/>
    </row>
    <row r="6251" spans="2:2">
      <c r="B6251" s="38"/>
    </row>
    <row r="6252" spans="2:2">
      <c r="B6252" s="38"/>
    </row>
    <row r="6253" spans="2:2">
      <c r="B6253" s="38"/>
    </row>
    <row r="6254" spans="2:2">
      <c r="B6254" s="38"/>
    </row>
    <row r="6255" spans="2:2">
      <c r="B6255" s="38"/>
    </row>
    <row r="6256" spans="2:2">
      <c r="B6256" s="38"/>
    </row>
    <row r="6257" spans="2:2">
      <c r="B6257" s="38"/>
    </row>
    <row r="6258" spans="2:2">
      <c r="B6258" s="38"/>
    </row>
    <row r="6259" spans="2:2">
      <c r="B6259" s="38"/>
    </row>
    <row r="6260" spans="2:2">
      <c r="B6260" s="38"/>
    </row>
    <row r="6261" spans="2:2">
      <c r="B6261" s="38"/>
    </row>
    <row r="6262" spans="2:2">
      <c r="B6262" s="38"/>
    </row>
    <row r="6263" spans="2:2">
      <c r="B6263" s="38"/>
    </row>
    <row r="6264" spans="2:2">
      <c r="B6264" s="38"/>
    </row>
    <row r="6265" spans="2:2">
      <c r="B6265" s="38"/>
    </row>
    <row r="6266" spans="2:2">
      <c r="B6266" s="38"/>
    </row>
    <row r="6267" spans="2:2">
      <c r="B6267" s="38"/>
    </row>
    <row r="6268" spans="2:2">
      <c r="B6268" s="38"/>
    </row>
    <row r="6269" spans="2:2">
      <c r="B6269" s="38"/>
    </row>
    <row r="6270" spans="2:2">
      <c r="B6270" s="38"/>
    </row>
    <row r="6271" spans="2:2">
      <c r="B6271" s="38"/>
    </row>
    <row r="6272" spans="2:2">
      <c r="B6272" s="38"/>
    </row>
    <row r="6273" spans="2:2">
      <c r="B6273" s="38"/>
    </row>
    <row r="6274" spans="2:2">
      <c r="B6274" s="38"/>
    </row>
    <row r="6275" spans="2:2">
      <c r="B6275" s="38"/>
    </row>
    <row r="6276" spans="2:2">
      <c r="B6276" s="38"/>
    </row>
    <row r="6277" spans="2:2">
      <c r="B6277" s="38"/>
    </row>
    <row r="6278" spans="2:2">
      <c r="B6278" s="38"/>
    </row>
    <row r="6279" spans="2:2">
      <c r="B6279" s="38"/>
    </row>
    <row r="6280" spans="2:2">
      <c r="B6280" s="38"/>
    </row>
    <row r="6281" spans="2:2">
      <c r="B6281" s="38"/>
    </row>
    <row r="6282" spans="2:2">
      <c r="B6282" s="38"/>
    </row>
    <row r="6283" spans="2:2">
      <c r="B6283" s="38"/>
    </row>
    <row r="6284" spans="2:2">
      <c r="B6284" s="38"/>
    </row>
    <row r="6285" spans="2:2">
      <c r="B6285" s="38"/>
    </row>
    <row r="6286" spans="2:2">
      <c r="B6286" s="38"/>
    </row>
    <row r="6287" spans="2:2">
      <c r="B6287" s="38"/>
    </row>
    <row r="6288" spans="2:2">
      <c r="B6288" s="38"/>
    </row>
    <row r="6289" spans="2:2">
      <c r="B6289" s="38"/>
    </row>
    <row r="6290" spans="2:2">
      <c r="B6290" s="38"/>
    </row>
    <row r="6291" spans="2:2">
      <c r="B6291" s="38"/>
    </row>
    <row r="6292" spans="2:2">
      <c r="B6292" s="38"/>
    </row>
    <row r="6293" spans="2:2">
      <c r="B6293" s="38"/>
    </row>
    <row r="6294" spans="2:2">
      <c r="B6294" s="38"/>
    </row>
    <row r="6295" spans="2:2">
      <c r="B6295" s="38"/>
    </row>
    <row r="6296" spans="2:2">
      <c r="B6296" s="38"/>
    </row>
    <row r="6297" spans="2:2">
      <c r="B6297" s="38"/>
    </row>
    <row r="6298" spans="2:2">
      <c r="B6298" s="38"/>
    </row>
    <row r="6299" spans="2:2">
      <c r="B6299" s="38"/>
    </row>
    <row r="6300" spans="2:2">
      <c r="B6300" s="38"/>
    </row>
    <row r="6301" spans="2:2">
      <c r="B6301" s="38"/>
    </row>
    <row r="6302" spans="2:2">
      <c r="B6302" s="38"/>
    </row>
    <row r="6303" spans="2:2">
      <c r="B6303" s="38"/>
    </row>
    <row r="6304" spans="2:2">
      <c r="B6304" s="38"/>
    </row>
    <row r="6305" spans="2:2">
      <c r="B6305" s="38"/>
    </row>
    <row r="6306" spans="2:2">
      <c r="B6306" s="38"/>
    </row>
    <row r="6307" spans="2:2">
      <c r="B6307" s="38"/>
    </row>
    <row r="6308" spans="2:2">
      <c r="B6308" s="38"/>
    </row>
    <row r="6309" spans="2:2">
      <c r="B6309" s="38"/>
    </row>
    <row r="6310" spans="2:2">
      <c r="B6310" s="38"/>
    </row>
    <row r="6311" spans="2:2">
      <c r="B6311" s="38"/>
    </row>
    <row r="6312" spans="2:2">
      <c r="B6312" s="38"/>
    </row>
    <row r="6313" spans="2:2">
      <c r="B6313" s="38"/>
    </row>
    <row r="6314" spans="2:2">
      <c r="B6314" s="38"/>
    </row>
    <row r="6315" spans="2:2">
      <c r="B6315" s="38"/>
    </row>
    <row r="6316" spans="2:2">
      <c r="B6316" s="38"/>
    </row>
    <row r="6317" spans="2:2">
      <c r="B6317" s="38"/>
    </row>
    <row r="6318" spans="2:2">
      <c r="B6318" s="38"/>
    </row>
    <row r="6319" spans="2:2">
      <c r="B6319" s="38"/>
    </row>
    <row r="6320" spans="2:2">
      <c r="B6320" s="38"/>
    </row>
    <row r="6321" spans="2:2">
      <c r="B6321" s="38"/>
    </row>
    <row r="6322" spans="2:2">
      <c r="B6322" s="38"/>
    </row>
    <row r="6323" spans="2:2">
      <c r="B6323" s="38"/>
    </row>
    <row r="6324" spans="2:2">
      <c r="B6324" s="38"/>
    </row>
    <row r="6325" spans="2:2">
      <c r="B6325" s="38"/>
    </row>
    <row r="6326" spans="2:2">
      <c r="B6326" s="38"/>
    </row>
    <row r="6327" spans="2:2">
      <c r="B6327" s="38"/>
    </row>
    <row r="6328" spans="2:2">
      <c r="B6328" s="38"/>
    </row>
    <row r="6329" spans="2:2">
      <c r="B6329" s="38"/>
    </row>
    <row r="6330" spans="2:2">
      <c r="B6330" s="38"/>
    </row>
    <row r="6331" spans="2:2">
      <c r="B6331" s="38"/>
    </row>
    <row r="6332" spans="2:2">
      <c r="B6332" s="38"/>
    </row>
    <row r="6333" spans="2:2">
      <c r="B6333" s="38"/>
    </row>
    <row r="6334" spans="2:2">
      <c r="B6334" s="38"/>
    </row>
    <row r="6335" spans="2:2">
      <c r="B6335" s="38"/>
    </row>
    <row r="6336" spans="2:2">
      <c r="B6336" s="38"/>
    </row>
    <row r="6337" spans="2:2">
      <c r="B6337" s="38"/>
    </row>
    <row r="6338" spans="2:2">
      <c r="B6338" s="38"/>
    </row>
    <row r="6339" spans="2:2">
      <c r="B6339" s="38"/>
    </row>
    <row r="6340" spans="2:2">
      <c r="B6340" s="38"/>
    </row>
    <row r="6341" spans="2:2">
      <c r="B6341" s="38"/>
    </row>
    <row r="6342" spans="2:2">
      <c r="B6342" s="38"/>
    </row>
    <row r="6343" spans="2:2">
      <c r="B6343" s="38"/>
    </row>
    <row r="6344" spans="2:2">
      <c r="B6344" s="38"/>
    </row>
    <row r="6345" spans="2:2">
      <c r="B6345" s="38"/>
    </row>
    <row r="6346" spans="2:2">
      <c r="B6346" s="38"/>
    </row>
    <row r="6347" spans="2:2">
      <c r="B6347" s="38"/>
    </row>
    <row r="6348" spans="2:2">
      <c r="B6348" s="38"/>
    </row>
    <row r="6349" spans="2:2">
      <c r="B6349" s="38"/>
    </row>
    <row r="6350" spans="2:2">
      <c r="B6350" s="38"/>
    </row>
    <row r="6351" spans="2:2">
      <c r="B6351" s="38"/>
    </row>
    <row r="6352" spans="2:2">
      <c r="B6352" s="38"/>
    </row>
    <row r="6353" spans="2:2">
      <c r="B6353" s="38"/>
    </row>
    <row r="6354" spans="2:2">
      <c r="B6354" s="38"/>
    </row>
    <row r="6355" spans="2:2">
      <c r="B6355" s="38"/>
    </row>
    <row r="6356" spans="2:2">
      <c r="B6356" s="38"/>
    </row>
    <row r="6357" spans="2:2">
      <c r="B6357" s="38"/>
    </row>
    <row r="6358" spans="2:2">
      <c r="B6358" s="38"/>
    </row>
    <row r="6359" spans="2:2">
      <c r="B6359" s="38"/>
    </row>
    <row r="6360" spans="2:2">
      <c r="B6360" s="38"/>
    </row>
    <row r="6361" spans="2:2">
      <c r="B6361" s="38"/>
    </row>
    <row r="6362" spans="2:2">
      <c r="B6362" s="38"/>
    </row>
    <row r="6363" spans="2:2">
      <c r="B6363" s="38"/>
    </row>
    <row r="6364" spans="2:2">
      <c r="B6364" s="38"/>
    </row>
    <row r="6365" spans="2:2">
      <c r="B6365" s="38"/>
    </row>
    <row r="6366" spans="2:2">
      <c r="B6366" s="38"/>
    </row>
    <row r="6367" spans="2:2">
      <c r="B6367" s="38"/>
    </row>
    <row r="6368" spans="2:2">
      <c r="B6368" s="38"/>
    </row>
    <row r="6369" spans="2:2">
      <c r="B6369" s="38"/>
    </row>
    <row r="6370" spans="2:2">
      <c r="B6370" s="38"/>
    </row>
    <row r="6371" spans="2:2">
      <c r="B6371" s="38"/>
    </row>
    <row r="6372" spans="2:2">
      <c r="B6372" s="38"/>
    </row>
    <row r="6373" spans="2:2">
      <c r="B6373" s="38"/>
    </row>
    <row r="6374" spans="2:2">
      <c r="B6374" s="38"/>
    </row>
    <row r="6375" spans="2:2">
      <c r="B6375" s="38"/>
    </row>
    <row r="6376" spans="2:2">
      <c r="B6376" s="38"/>
    </row>
    <row r="6377" spans="2:2">
      <c r="B6377" s="38"/>
    </row>
    <row r="6378" spans="2:2">
      <c r="B6378" s="38"/>
    </row>
    <row r="6379" spans="2:2">
      <c r="B6379" s="38"/>
    </row>
    <row r="6380" spans="2:2">
      <c r="B6380" s="38"/>
    </row>
    <row r="6381" spans="2:2">
      <c r="B6381" s="38"/>
    </row>
    <row r="6382" spans="2:2">
      <c r="B6382" s="38"/>
    </row>
    <row r="6383" spans="2:2">
      <c r="B6383" s="38"/>
    </row>
    <row r="6384" spans="2:2">
      <c r="B6384" s="38"/>
    </row>
    <row r="6385" spans="2:2">
      <c r="B6385" s="38"/>
    </row>
    <row r="6386" spans="2:2">
      <c r="B6386" s="38"/>
    </row>
    <row r="6387" spans="2:2">
      <c r="B6387" s="38"/>
    </row>
    <row r="6388" spans="2:2">
      <c r="B6388" s="38"/>
    </row>
    <row r="6389" spans="2:2">
      <c r="B6389" s="38"/>
    </row>
    <row r="6390" spans="2:2">
      <c r="B6390" s="38"/>
    </row>
    <row r="6391" spans="2:2">
      <c r="B6391" s="38"/>
    </row>
    <row r="6392" spans="2:2">
      <c r="B6392" s="38"/>
    </row>
    <row r="6393" spans="2:2">
      <c r="B6393" s="38"/>
    </row>
    <row r="6394" spans="2:2">
      <c r="B6394" s="38"/>
    </row>
    <row r="6395" spans="2:2">
      <c r="B6395" s="38"/>
    </row>
    <row r="6396" spans="2:2">
      <c r="B6396" s="38"/>
    </row>
    <row r="6397" spans="2:2">
      <c r="B6397" s="38"/>
    </row>
    <row r="6398" spans="2:2">
      <c r="B6398" s="38"/>
    </row>
    <row r="6399" spans="2:2">
      <c r="B6399" s="38"/>
    </row>
    <row r="6400" spans="2:2">
      <c r="B6400" s="38"/>
    </row>
    <row r="6401" spans="2:2">
      <c r="B6401" s="38"/>
    </row>
    <row r="6402" spans="2:2">
      <c r="B6402" s="38"/>
    </row>
    <row r="6403" spans="2:2">
      <c r="B6403" s="38"/>
    </row>
    <row r="6404" spans="2:2">
      <c r="B6404" s="38"/>
    </row>
    <row r="6405" spans="2:2">
      <c r="B6405" s="38"/>
    </row>
    <row r="6406" spans="2:2">
      <c r="B6406" s="38"/>
    </row>
    <row r="6407" spans="2:2">
      <c r="B6407" s="38"/>
    </row>
    <row r="6408" spans="2:2">
      <c r="B6408" s="38"/>
    </row>
    <row r="6409" spans="2:2">
      <c r="B6409" s="38"/>
    </row>
    <row r="6410" spans="2:2">
      <c r="B6410" s="38"/>
    </row>
    <row r="6411" spans="2:2">
      <c r="B6411" s="38"/>
    </row>
    <row r="6412" spans="2:2">
      <c r="B6412" s="38"/>
    </row>
    <row r="6413" spans="2:2">
      <c r="B6413" s="38"/>
    </row>
    <row r="6414" spans="2:2">
      <c r="B6414" s="38"/>
    </row>
    <row r="6415" spans="2:2">
      <c r="B6415" s="38"/>
    </row>
    <row r="6416" spans="2:2">
      <c r="B6416" s="38"/>
    </row>
    <row r="6417" spans="2:2">
      <c r="B6417" s="38"/>
    </row>
    <row r="6418" spans="2:2">
      <c r="B6418" s="38"/>
    </row>
    <row r="6419" spans="2:2">
      <c r="B6419" s="38"/>
    </row>
    <row r="6420" spans="2:2">
      <c r="B6420" s="38"/>
    </row>
    <row r="6421" spans="2:2">
      <c r="B6421" s="38"/>
    </row>
    <row r="6422" spans="2:2">
      <c r="B6422" s="38"/>
    </row>
    <row r="6423" spans="2:2">
      <c r="B6423" s="38"/>
    </row>
    <row r="6424" spans="2:2">
      <c r="B6424" s="38"/>
    </row>
    <row r="6425" spans="2:2">
      <c r="B6425" s="38"/>
    </row>
    <row r="6426" spans="2:2">
      <c r="B6426" s="38"/>
    </row>
    <row r="6427" spans="2:2">
      <c r="B6427" s="38"/>
    </row>
    <row r="6428" spans="2:2">
      <c r="B6428" s="38"/>
    </row>
    <row r="6429" spans="2:2">
      <c r="B6429" s="38"/>
    </row>
    <row r="6430" spans="2:2">
      <c r="B6430" s="38"/>
    </row>
    <row r="6431" spans="2:2">
      <c r="B6431" s="38"/>
    </row>
    <row r="6432" spans="2:2">
      <c r="B6432" s="38"/>
    </row>
    <row r="6433" spans="2:2">
      <c r="B6433" s="38"/>
    </row>
    <row r="6434" spans="2:2">
      <c r="B6434" s="38"/>
    </row>
    <row r="6435" spans="2:2">
      <c r="B6435" s="38"/>
    </row>
    <row r="6436" spans="2:2">
      <c r="B6436" s="38"/>
    </row>
    <row r="6437" spans="2:2">
      <c r="B6437" s="38"/>
    </row>
    <row r="6438" spans="2:2">
      <c r="B6438" s="38"/>
    </row>
    <row r="6439" spans="2:2">
      <c r="B6439" s="38"/>
    </row>
    <row r="6440" spans="2:2">
      <c r="B6440" s="38"/>
    </row>
    <row r="6441" spans="2:2">
      <c r="B6441" s="38"/>
    </row>
    <row r="6442" spans="2:2">
      <c r="B6442" s="38"/>
    </row>
    <row r="6443" spans="2:2">
      <c r="B6443" s="38"/>
    </row>
    <row r="6444" spans="2:2">
      <c r="B6444" s="38"/>
    </row>
    <row r="6445" spans="2:2">
      <c r="B6445" s="38"/>
    </row>
    <row r="6446" spans="2:2">
      <c r="B6446" s="38"/>
    </row>
    <row r="6447" spans="2:2">
      <c r="B6447" s="38"/>
    </row>
    <row r="6448" spans="2:2">
      <c r="B6448" s="38"/>
    </row>
    <row r="6449" spans="2:2">
      <c r="B6449" s="38"/>
    </row>
    <row r="6450" spans="2:2">
      <c r="B6450" s="38"/>
    </row>
    <row r="6451" spans="2:2">
      <c r="B6451" s="38"/>
    </row>
    <row r="6452" spans="2:2">
      <c r="B6452" s="38"/>
    </row>
    <row r="6453" spans="2:2">
      <c r="B6453" s="38"/>
    </row>
    <row r="6454" spans="2:2">
      <c r="B6454" s="38"/>
    </row>
    <row r="6455" spans="2:2">
      <c r="B6455" s="38"/>
    </row>
    <row r="6456" spans="2:2">
      <c r="B6456" s="38"/>
    </row>
    <row r="6457" spans="2:2">
      <c r="B6457" s="38"/>
    </row>
    <row r="6458" spans="2:2">
      <c r="B6458" s="38"/>
    </row>
    <row r="6459" spans="2:2">
      <c r="B6459" s="38"/>
    </row>
    <row r="6460" spans="2:2">
      <c r="B6460" s="38"/>
    </row>
    <row r="6461" spans="2:2">
      <c r="B6461" s="38"/>
    </row>
    <row r="6462" spans="2:2">
      <c r="B6462" s="38"/>
    </row>
    <row r="6463" spans="2:2">
      <c r="B6463" s="38"/>
    </row>
    <row r="6464" spans="2:2">
      <c r="B6464" s="38"/>
    </row>
    <row r="6465" spans="2:2">
      <c r="B6465" s="38"/>
    </row>
    <row r="6466" spans="2:2">
      <c r="B6466" s="38"/>
    </row>
    <row r="6467" spans="2:2">
      <c r="B6467" s="38"/>
    </row>
    <row r="6468" spans="2:2">
      <c r="B6468" s="38"/>
    </row>
    <row r="6469" spans="2:2">
      <c r="B6469" s="38"/>
    </row>
    <row r="6470" spans="2:2">
      <c r="B6470" s="38"/>
    </row>
    <row r="6471" spans="2:2">
      <c r="B6471" s="38"/>
    </row>
    <row r="6472" spans="2:2">
      <c r="B6472" s="38"/>
    </row>
    <row r="6473" spans="2:2">
      <c r="B6473" s="38"/>
    </row>
    <row r="6474" spans="2:2">
      <c r="B6474" s="38"/>
    </row>
    <row r="6475" spans="2:2">
      <c r="B6475" s="38"/>
    </row>
    <row r="6476" spans="2:2">
      <c r="B6476" s="38"/>
    </row>
    <row r="6477" spans="2:2">
      <c r="B6477" s="38"/>
    </row>
    <row r="6478" spans="2:2">
      <c r="B6478" s="38"/>
    </row>
    <row r="6479" spans="2:2">
      <c r="B6479" s="38"/>
    </row>
    <row r="6480" spans="2:2">
      <c r="B6480" s="38"/>
    </row>
    <row r="6481" spans="2:2">
      <c r="B6481" s="38"/>
    </row>
    <row r="6482" spans="2:2">
      <c r="B6482" s="38"/>
    </row>
    <row r="6483" spans="2:2">
      <c r="B6483" s="38"/>
    </row>
    <row r="6484" spans="2:2">
      <c r="B6484" s="38"/>
    </row>
    <row r="6485" spans="2:2">
      <c r="B6485" s="38"/>
    </row>
    <row r="6486" spans="2:2">
      <c r="B6486" s="38"/>
    </row>
    <row r="6487" spans="2:2">
      <c r="B6487" s="38"/>
    </row>
    <row r="6488" spans="2:2">
      <c r="B6488" s="38"/>
    </row>
    <row r="6489" spans="2:2">
      <c r="B6489" s="38"/>
    </row>
    <row r="6490" spans="2:2">
      <c r="B6490" s="38"/>
    </row>
    <row r="6491" spans="2:2">
      <c r="B6491" s="38"/>
    </row>
    <row r="6492" spans="2:2">
      <c r="B6492" s="38"/>
    </row>
    <row r="6493" spans="2:2">
      <c r="B6493" s="38"/>
    </row>
    <row r="6494" spans="2:2">
      <c r="B6494" s="38"/>
    </row>
    <row r="6495" spans="2:2">
      <c r="B6495" s="38"/>
    </row>
    <row r="6496" spans="2:2">
      <c r="B6496" s="38"/>
    </row>
    <row r="6497" spans="2:2">
      <c r="B6497" s="38"/>
    </row>
    <row r="6498" spans="2:2">
      <c r="B6498" s="38"/>
    </row>
    <row r="6499" spans="2:2">
      <c r="B6499" s="38"/>
    </row>
    <row r="6500" spans="2:2">
      <c r="B6500" s="38"/>
    </row>
    <row r="6501" spans="2:2">
      <c r="B6501" s="38"/>
    </row>
    <row r="6502" spans="2:2">
      <c r="B6502" s="38"/>
    </row>
    <row r="6503" spans="2:2">
      <c r="B6503" s="38"/>
    </row>
    <row r="6504" spans="2:2">
      <c r="B6504" s="38"/>
    </row>
    <row r="6505" spans="2:2">
      <c r="B6505" s="38"/>
    </row>
    <row r="6506" spans="2:2">
      <c r="B6506" s="38"/>
    </row>
    <row r="6507" spans="2:2">
      <c r="B6507" s="38"/>
    </row>
    <row r="6508" spans="2:2">
      <c r="B6508" s="38"/>
    </row>
    <row r="6509" spans="2:2">
      <c r="B6509" s="38"/>
    </row>
    <row r="6510" spans="2:2">
      <c r="B6510" s="38"/>
    </row>
    <row r="6511" spans="2:2">
      <c r="B6511" s="38"/>
    </row>
    <row r="6512" spans="2:2">
      <c r="B6512" s="38"/>
    </row>
    <row r="6513" spans="2:2">
      <c r="B6513" s="38"/>
    </row>
    <row r="6514" spans="2:2">
      <c r="B6514" s="38"/>
    </row>
    <row r="6515" spans="2:2">
      <c r="B6515" s="38"/>
    </row>
    <row r="6516" spans="2:2">
      <c r="B6516" s="38"/>
    </row>
    <row r="6517" spans="2:2">
      <c r="B6517" s="38"/>
    </row>
    <row r="6518" spans="2:2">
      <c r="B6518" s="38"/>
    </row>
    <row r="6519" spans="2:2">
      <c r="B6519" s="38"/>
    </row>
    <row r="6520" spans="2:2">
      <c r="B6520" s="38"/>
    </row>
    <row r="6521" spans="2:2">
      <c r="B6521" s="38"/>
    </row>
    <row r="6522" spans="2:2">
      <c r="B6522" s="38"/>
    </row>
    <row r="6523" spans="2:2">
      <c r="B6523" s="38"/>
    </row>
    <row r="6524" spans="2:2">
      <c r="B6524" s="38"/>
    </row>
    <row r="6525" spans="2:2">
      <c r="B6525" s="38"/>
    </row>
    <row r="6526" spans="2:2">
      <c r="B6526" s="38"/>
    </row>
    <row r="6527" spans="2:2">
      <c r="B6527" s="38"/>
    </row>
    <row r="6528" spans="2:2">
      <c r="B6528" s="38"/>
    </row>
    <row r="6529" spans="2:2">
      <c r="B6529" s="38"/>
    </row>
    <row r="6530" spans="2:2">
      <c r="B6530" s="38"/>
    </row>
    <row r="6531" spans="2:2">
      <c r="B6531" s="38"/>
    </row>
    <row r="6532" spans="2:2">
      <c r="B6532" s="38"/>
    </row>
    <row r="6533" spans="2:2">
      <c r="B6533" s="38"/>
    </row>
    <row r="6534" spans="2:2">
      <c r="B6534" s="38"/>
    </row>
    <row r="6535" spans="2:2">
      <c r="B6535" s="38"/>
    </row>
    <row r="6536" spans="2:2">
      <c r="B6536" s="38"/>
    </row>
    <row r="6537" spans="2:2">
      <c r="B6537" s="38"/>
    </row>
    <row r="6538" spans="2:2">
      <c r="B6538" s="38"/>
    </row>
    <row r="6539" spans="2:2">
      <c r="B6539" s="38"/>
    </row>
    <row r="6540" spans="2:2">
      <c r="B6540" s="38"/>
    </row>
    <row r="6541" spans="2:2">
      <c r="B6541" s="38"/>
    </row>
    <row r="6542" spans="2:2">
      <c r="B6542" s="38"/>
    </row>
    <row r="6543" spans="2:2">
      <c r="B6543" s="38"/>
    </row>
    <row r="6544" spans="2:2">
      <c r="B6544" s="38"/>
    </row>
    <row r="6545" spans="2:2">
      <c r="B6545" s="38"/>
    </row>
    <row r="6546" spans="2:2">
      <c r="B6546" s="38"/>
    </row>
    <row r="6547" spans="2:2">
      <c r="B6547" s="38"/>
    </row>
    <row r="6548" spans="2:2">
      <c r="B6548" s="38"/>
    </row>
    <row r="6549" spans="2:2">
      <c r="B6549" s="38"/>
    </row>
    <row r="6550" spans="2:2">
      <c r="B6550" s="38"/>
    </row>
    <row r="6551" spans="2:2">
      <c r="B6551" s="38"/>
    </row>
    <row r="6552" spans="2:2">
      <c r="B6552" s="38"/>
    </row>
    <row r="6553" spans="2:2">
      <c r="B6553" s="38"/>
    </row>
    <row r="6554" spans="2:2">
      <c r="B6554" s="38"/>
    </row>
    <row r="6555" spans="2:2">
      <c r="B6555" s="38"/>
    </row>
    <row r="6556" spans="2:2">
      <c r="B6556" s="38"/>
    </row>
    <row r="6557" spans="2:2">
      <c r="B6557" s="38"/>
    </row>
    <row r="6558" spans="2:2">
      <c r="B6558" s="38"/>
    </row>
    <row r="6559" spans="2:2">
      <c r="B6559" s="38"/>
    </row>
    <row r="6560" spans="2:2">
      <c r="B6560" s="38"/>
    </row>
    <row r="6561" spans="2:2">
      <c r="B6561" s="38"/>
    </row>
    <row r="6562" spans="2:2">
      <c r="B6562" s="38"/>
    </row>
    <row r="6563" spans="2:2">
      <c r="B6563" s="38"/>
    </row>
    <row r="6564" spans="2:2">
      <c r="B6564" s="38"/>
    </row>
    <row r="6565" spans="2:2">
      <c r="B6565" s="38"/>
    </row>
    <row r="6566" spans="2:2">
      <c r="B6566" s="38"/>
    </row>
    <row r="6567" spans="2:2">
      <c r="B6567" s="38"/>
    </row>
    <row r="6568" spans="2:2">
      <c r="B6568" s="38"/>
    </row>
    <row r="6569" spans="2:2">
      <c r="B6569" s="38"/>
    </row>
    <row r="6570" spans="2:2">
      <c r="B6570" s="38"/>
    </row>
    <row r="6571" spans="2:2">
      <c r="B6571" s="38"/>
    </row>
    <row r="6572" spans="2:2">
      <c r="B6572" s="38"/>
    </row>
    <row r="6573" spans="2:2">
      <c r="B6573" s="38"/>
    </row>
    <row r="6574" spans="2:2">
      <c r="B6574" s="38"/>
    </row>
    <row r="6575" spans="2:2">
      <c r="B6575" s="38"/>
    </row>
    <row r="6576" spans="2:2">
      <c r="B6576" s="38"/>
    </row>
    <row r="6577" spans="2:2">
      <c r="B6577" s="38"/>
    </row>
    <row r="6578" spans="2:2">
      <c r="B6578" s="38"/>
    </row>
    <row r="6579" spans="2:2">
      <c r="B6579" s="38"/>
    </row>
    <row r="6580" spans="2:2">
      <c r="B6580" s="38"/>
    </row>
    <row r="6581" spans="2:2">
      <c r="B6581" s="38"/>
    </row>
    <row r="6582" spans="2:2">
      <c r="B6582" s="38"/>
    </row>
    <row r="6583" spans="2:2">
      <c r="B6583" s="38"/>
    </row>
    <row r="6584" spans="2:2">
      <c r="B6584" s="38"/>
    </row>
    <row r="6585" spans="2:2">
      <c r="B6585" s="38"/>
    </row>
    <row r="6586" spans="2:2">
      <c r="B6586" s="38"/>
    </row>
    <row r="6587" spans="2:2">
      <c r="B6587" s="38"/>
    </row>
    <row r="6588" spans="2:2">
      <c r="B6588" s="38"/>
    </row>
    <row r="6589" spans="2:2">
      <c r="B6589" s="38"/>
    </row>
    <row r="6590" spans="2:2">
      <c r="B6590" s="38"/>
    </row>
    <row r="6591" spans="2:2">
      <c r="B6591" s="38"/>
    </row>
    <row r="6592" spans="2:2">
      <c r="B6592" s="38"/>
    </row>
    <row r="6593" spans="2:2">
      <c r="B6593" s="38"/>
    </row>
    <row r="6594" spans="2:2">
      <c r="B6594" s="38"/>
    </row>
    <row r="6595" spans="2:2">
      <c r="B6595" s="38"/>
    </row>
    <row r="6596" spans="2:2">
      <c r="B6596" s="38"/>
    </row>
    <row r="6597" spans="2:2">
      <c r="B6597" s="38"/>
    </row>
    <row r="6598" spans="2:2">
      <c r="B6598" s="38"/>
    </row>
    <row r="6599" spans="2:2">
      <c r="B6599" s="38"/>
    </row>
    <row r="6600" spans="2:2">
      <c r="B6600" s="38"/>
    </row>
    <row r="6601" spans="2:2">
      <c r="B6601" s="38"/>
    </row>
    <row r="6602" spans="2:2">
      <c r="B6602" s="38"/>
    </row>
    <row r="6603" spans="2:2">
      <c r="B6603" s="38"/>
    </row>
    <row r="6604" spans="2:2">
      <c r="B6604" s="38"/>
    </row>
    <row r="6605" spans="2:2">
      <c r="B6605" s="38"/>
    </row>
    <row r="6606" spans="2:2">
      <c r="B6606" s="38"/>
    </row>
    <row r="6607" spans="2:2">
      <c r="B6607" s="38"/>
    </row>
    <row r="6608" spans="2:2">
      <c r="B6608" s="38"/>
    </row>
    <row r="6609" spans="2:2">
      <c r="B6609" s="38"/>
    </row>
    <row r="6610" spans="2:2">
      <c r="B6610" s="38"/>
    </row>
    <row r="6611" spans="2:2">
      <c r="B6611" s="38"/>
    </row>
    <row r="6612" spans="2:2">
      <c r="B6612" s="38"/>
    </row>
    <row r="6613" spans="2:2">
      <c r="B6613" s="38"/>
    </row>
    <row r="6614" spans="2:2">
      <c r="B6614" s="38"/>
    </row>
    <row r="6615" spans="2:2">
      <c r="B6615" s="38"/>
    </row>
    <row r="6616" spans="2:2">
      <c r="B6616" s="38"/>
    </row>
    <row r="6617" spans="2:2">
      <c r="B6617" s="38"/>
    </row>
    <row r="6618" spans="2:2">
      <c r="B6618" s="38"/>
    </row>
    <row r="6619" spans="2:2">
      <c r="B6619" s="38"/>
    </row>
    <row r="6620" spans="2:2">
      <c r="B6620" s="38"/>
    </row>
    <row r="6621" spans="2:2">
      <c r="B6621" s="38"/>
    </row>
    <row r="6622" spans="2:2">
      <c r="B6622" s="38"/>
    </row>
    <row r="6623" spans="2:2">
      <c r="B6623" s="38"/>
    </row>
    <row r="6624" spans="2:2">
      <c r="B6624" s="38"/>
    </row>
    <row r="6625" spans="2:2">
      <c r="B6625" s="38"/>
    </row>
    <row r="6626" spans="2:2">
      <c r="B6626" s="38"/>
    </row>
    <row r="6627" spans="2:2">
      <c r="B6627" s="38"/>
    </row>
    <row r="6628" spans="2:2">
      <c r="B6628" s="38"/>
    </row>
    <row r="6629" spans="2:2">
      <c r="B6629" s="38"/>
    </row>
    <row r="6630" spans="2:2">
      <c r="B6630" s="38"/>
    </row>
    <row r="6631" spans="2:2">
      <c r="B6631" s="38"/>
    </row>
    <row r="6632" spans="2:2">
      <c r="B6632" s="38"/>
    </row>
    <row r="6633" spans="2:2">
      <c r="B6633" s="38"/>
    </row>
    <row r="6634" spans="2:2">
      <c r="B6634" s="38"/>
    </row>
    <row r="6635" spans="2:2">
      <c r="B6635" s="38"/>
    </row>
    <row r="6636" spans="2:2">
      <c r="B6636" s="38"/>
    </row>
    <row r="6637" spans="2:2">
      <c r="B6637" s="38"/>
    </row>
    <row r="6638" spans="2:2">
      <c r="B6638" s="38"/>
    </row>
    <row r="6639" spans="2:2">
      <c r="B6639" s="38"/>
    </row>
    <row r="6640" spans="2:2">
      <c r="B6640" s="38"/>
    </row>
    <row r="6641" spans="2:2">
      <c r="B6641" s="38"/>
    </row>
    <row r="6642" spans="2:2">
      <c r="B6642" s="38"/>
    </row>
    <row r="6643" spans="2:2">
      <c r="B6643" s="38"/>
    </row>
    <row r="6644" spans="2:2">
      <c r="B6644" s="38"/>
    </row>
    <row r="6645" spans="2:2">
      <c r="B6645" s="38"/>
    </row>
    <row r="6646" spans="2:2">
      <c r="B6646" s="38"/>
    </row>
    <row r="6647" spans="2:2">
      <c r="B6647" s="38"/>
    </row>
    <row r="6648" spans="2:2">
      <c r="B6648" s="38"/>
    </row>
    <row r="6649" spans="2:2">
      <c r="B6649" s="38"/>
    </row>
    <row r="6650" spans="2:2">
      <c r="B6650" s="38"/>
    </row>
    <row r="6651" spans="2:2">
      <c r="B6651" s="38"/>
    </row>
    <row r="6652" spans="2:2">
      <c r="B6652" s="38"/>
    </row>
    <row r="6653" spans="2:2">
      <c r="B6653" s="38"/>
    </row>
    <row r="6654" spans="2:2">
      <c r="B6654" s="38"/>
    </row>
    <row r="6655" spans="2:2">
      <c r="B6655" s="38"/>
    </row>
    <row r="6656" spans="2:2">
      <c r="B6656" s="38"/>
    </row>
    <row r="6657" spans="2:2">
      <c r="B6657" s="38"/>
    </row>
    <row r="6658" spans="2:2">
      <c r="B6658" s="38"/>
    </row>
    <row r="6659" spans="2:2">
      <c r="B6659" s="38"/>
    </row>
    <row r="6660" spans="2:2">
      <c r="B6660" s="38"/>
    </row>
    <row r="6661" spans="2:2">
      <c r="B6661" s="38"/>
    </row>
    <row r="6662" spans="2:2">
      <c r="B6662" s="38"/>
    </row>
    <row r="6663" spans="2:2">
      <c r="B6663" s="38"/>
    </row>
    <row r="6664" spans="2:2">
      <c r="B6664" s="38"/>
    </row>
    <row r="6665" spans="2:2">
      <c r="B6665" s="38"/>
    </row>
    <row r="6666" spans="2:2">
      <c r="B6666" s="38"/>
    </row>
    <row r="6667" spans="2:2">
      <c r="B6667" s="38"/>
    </row>
    <row r="6668" spans="2:2">
      <c r="B6668" s="38"/>
    </row>
    <row r="6669" spans="2:2">
      <c r="B6669" s="38"/>
    </row>
    <row r="6670" spans="2:2">
      <c r="B6670" s="38"/>
    </row>
    <row r="6671" spans="2:2">
      <c r="B6671" s="38"/>
    </row>
    <row r="6672" spans="2:2">
      <c r="B6672" s="38"/>
    </row>
    <row r="6673" spans="2:2">
      <c r="B6673" s="38"/>
    </row>
    <row r="6674" spans="2:2">
      <c r="B6674" s="38"/>
    </row>
    <row r="6675" spans="2:2">
      <c r="B6675" s="38"/>
    </row>
    <row r="6676" spans="2:2">
      <c r="B6676" s="38"/>
    </row>
    <row r="6677" spans="2:2">
      <c r="B6677" s="38"/>
    </row>
    <row r="6678" spans="2:2">
      <c r="B6678" s="38"/>
    </row>
    <row r="6679" spans="2:2">
      <c r="B6679" s="38"/>
    </row>
    <row r="6680" spans="2:2">
      <c r="B6680" s="38"/>
    </row>
    <row r="6681" spans="2:2">
      <c r="B6681" s="38"/>
    </row>
    <row r="6682" spans="2:2">
      <c r="B6682" s="38"/>
    </row>
    <row r="6683" spans="2:2">
      <c r="B6683" s="38"/>
    </row>
    <row r="6684" spans="2:2">
      <c r="B6684" s="38"/>
    </row>
    <row r="6685" spans="2:2">
      <c r="B6685" s="38"/>
    </row>
    <row r="6686" spans="2:2">
      <c r="B6686" s="38"/>
    </row>
    <row r="6687" spans="2:2">
      <c r="B6687" s="38"/>
    </row>
    <row r="6688" spans="2:2">
      <c r="B6688" s="38"/>
    </row>
    <row r="6689" spans="2:2">
      <c r="B6689" s="38"/>
    </row>
    <row r="6690" spans="2:2">
      <c r="B6690" s="38"/>
    </row>
    <row r="6691" spans="2:2">
      <c r="B6691" s="38"/>
    </row>
    <row r="6692" spans="2:2">
      <c r="B6692" s="38"/>
    </row>
    <row r="6693" spans="2:2">
      <c r="B6693" s="38"/>
    </row>
    <row r="6694" spans="2:2">
      <c r="B6694" s="38"/>
    </row>
    <row r="6695" spans="2:2">
      <c r="B6695" s="38"/>
    </row>
    <row r="6696" spans="2:2">
      <c r="B6696" s="38"/>
    </row>
    <row r="6697" spans="2:2">
      <c r="B6697" s="38"/>
    </row>
    <row r="6698" spans="2:2">
      <c r="B6698" s="38"/>
    </row>
    <row r="6699" spans="2:2">
      <c r="B6699" s="38"/>
    </row>
    <row r="6700" spans="2:2">
      <c r="B6700" s="38"/>
    </row>
    <row r="6701" spans="2:2">
      <c r="B6701" s="38"/>
    </row>
    <row r="6702" spans="2:2">
      <c r="B6702" s="38"/>
    </row>
    <row r="6703" spans="2:2">
      <c r="B6703" s="38"/>
    </row>
    <row r="6704" spans="2:2">
      <c r="B6704" s="38"/>
    </row>
    <row r="6705" spans="2:2">
      <c r="B6705" s="38"/>
    </row>
    <row r="6706" spans="2:2">
      <c r="B6706" s="38"/>
    </row>
    <row r="6707" spans="2:2">
      <c r="B6707" s="38"/>
    </row>
    <row r="6708" spans="2:2">
      <c r="B6708" s="38"/>
    </row>
    <row r="6709" spans="2:2">
      <c r="B6709" s="38"/>
    </row>
    <row r="6710" spans="2:2">
      <c r="B6710" s="38"/>
    </row>
    <row r="6711" spans="2:2">
      <c r="B6711" s="38"/>
    </row>
    <row r="6712" spans="2:2">
      <c r="B6712" s="38"/>
    </row>
    <row r="6713" spans="2:2">
      <c r="B6713" s="38"/>
    </row>
    <row r="6714" spans="2:2">
      <c r="B6714" s="38"/>
    </row>
    <row r="6715" spans="2:2">
      <c r="B6715" s="38"/>
    </row>
    <row r="6716" spans="2:2">
      <c r="B6716" s="38"/>
    </row>
    <row r="6717" spans="2:2">
      <c r="B6717" s="38"/>
    </row>
    <row r="6718" spans="2:2">
      <c r="B6718" s="38"/>
    </row>
    <row r="6719" spans="2:2">
      <c r="B6719" s="38"/>
    </row>
    <row r="6720" spans="2:2">
      <c r="B6720" s="38"/>
    </row>
    <row r="6721" spans="2:2">
      <c r="B6721" s="38"/>
    </row>
    <row r="6722" spans="2:2">
      <c r="B6722" s="38"/>
    </row>
    <row r="6723" spans="2:2">
      <c r="B6723" s="38"/>
    </row>
    <row r="6724" spans="2:2">
      <c r="B6724" s="38"/>
    </row>
    <row r="6725" spans="2:2">
      <c r="B6725" s="38"/>
    </row>
    <row r="6726" spans="2:2">
      <c r="B6726" s="38"/>
    </row>
    <row r="6727" spans="2:2">
      <c r="B6727" s="38"/>
    </row>
    <row r="6728" spans="2:2">
      <c r="B6728" s="38"/>
    </row>
    <row r="6729" spans="2:2">
      <c r="B6729" s="38"/>
    </row>
    <row r="6730" spans="2:2">
      <c r="B6730" s="38"/>
    </row>
    <row r="6731" spans="2:2">
      <c r="B6731" s="38"/>
    </row>
    <row r="6732" spans="2:2">
      <c r="B6732" s="38"/>
    </row>
    <row r="6733" spans="2:2">
      <c r="B6733" s="38"/>
    </row>
    <row r="6734" spans="2:2">
      <c r="B6734" s="38"/>
    </row>
    <row r="6735" spans="2:2">
      <c r="B6735" s="38"/>
    </row>
    <row r="6736" spans="2:2">
      <c r="B6736" s="38"/>
    </row>
    <row r="6737" spans="2:2">
      <c r="B6737" s="38"/>
    </row>
    <row r="6738" spans="2:2">
      <c r="B6738" s="38"/>
    </row>
    <row r="6739" spans="2:2">
      <c r="B6739" s="38"/>
    </row>
    <row r="6740" spans="2:2">
      <c r="B6740" s="38"/>
    </row>
    <row r="6741" spans="2:2">
      <c r="B6741" s="38"/>
    </row>
    <row r="6742" spans="2:2">
      <c r="B6742" s="38"/>
    </row>
    <row r="6743" spans="2:2">
      <c r="B6743" s="38"/>
    </row>
    <row r="6744" spans="2:2">
      <c r="B6744" s="38"/>
    </row>
    <row r="6745" spans="2:2">
      <c r="B6745" s="38"/>
    </row>
    <row r="6746" spans="2:2">
      <c r="B6746" s="38"/>
    </row>
    <row r="6747" spans="2:2">
      <c r="B6747" s="38"/>
    </row>
    <row r="6748" spans="2:2">
      <c r="B6748" s="38"/>
    </row>
    <row r="6749" spans="2:2">
      <c r="B6749" s="38"/>
    </row>
    <row r="6750" spans="2:2">
      <c r="B6750" s="38"/>
    </row>
    <row r="6751" spans="2:2">
      <c r="B6751" s="38"/>
    </row>
    <row r="6752" spans="2:2">
      <c r="B6752" s="38"/>
    </row>
    <row r="6753" spans="2:2">
      <c r="B6753" s="38"/>
    </row>
    <row r="6754" spans="2:2">
      <c r="B6754" s="38"/>
    </row>
    <row r="6755" spans="2:2">
      <c r="B6755" s="38"/>
    </row>
    <row r="6756" spans="2:2">
      <c r="B6756" s="38"/>
    </row>
    <row r="6757" spans="2:2">
      <c r="B6757" s="38"/>
    </row>
    <row r="6758" spans="2:2">
      <c r="B6758" s="38"/>
    </row>
    <row r="6759" spans="2:2">
      <c r="B6759" s="38"/>
    </row>
    <row r="6760" spans="2:2">
      <c r="B6760" s="38"/>
    </row>
    <row r="6761" spans="2:2">
      <c r="B6761" s="38"/>
    </row>
    <row r="6762" spans="2:2">
      <c r="B6762" s="38"/>
    </row>
    <row r="6763" spans="2:2">
      <c r="B6763" s="38"/>
    </row>
    <row r="6764" spans="2:2">
      <c r="B6764" s="38"/>
    </row>
    <row r="6765" spans="2:2">
      <c r="B6765" s="38"/>
    </row>
    <row r="6766" spans="2:2">
      <c r="B6766" s="38"/>
    </row>
    <row r="6767" spans="2:2">
      <c r="B6767" s="38"/>
    </row>
    <row r="6768" spans="2:2">
      <c r="B6768" s="38"/>
    </row>
    <row r="6769" spans="2:2">
      <c r="B6769" s="38"/>
    </row>
    <row r="6770" spans="2:2">
      <c r="B6770" s="38"/>
    </row>
    <row r="6771" spans="2:2">
      <c r="B6771" s="38"/>
    </row>
    <row r="6772" spans="2:2">
      <c r="B6772" s="38"/>
    </row>
    <row r="6773" spans="2:2">
      <c r="B6773" s="38"/>
    </row>
    <row r="6774" spans="2:2">
      <c r="B6774" s="38"/>
    </row>
    <row r="6775" spans="2:2">
      <c r="B6775" s="38"/>
    </row>
    <row r="6776" spans="2:2">
      <c r="B6776" s="38"/>
    </row>
    <row r="6777" spans="2:2">
      <c r="B6777" s="38"/>
    </row>
    <row r="6778" spans="2:2">
      <c r="B6778" s="38"/>
    </row>
    <row r="6779" spans="2:2">
      <c r="B6779" s="38"/>
    </row>
    <row r="6780" spans="2:2">
      <c r="B6780" s="38"/>
    </row>
    <row r="6781" spans="2:2">
      <c r="B6781" s="38"/>
    </row>
    <row r="6782" spans="2:2">
      <c r="B6782" s="38"/>
    </row>
    <row r="6783" spans="2:2">
      <c r="B6783" s="38"/>
    </row>
    <row r="6784" spans="2:2">
      <c r="B6784" s="38"/>
    </row>
    <row r="6785" spans="2:2">
      <c r="B6785" s="38"/>
    </row>
    <row r="6786" spans="2:2">
      <c r="B6786" s="38"/>
    </row>
    <row r="6787" spans="2:2">
      <c r="B6787" s="38"/>
    </row>
    <row r="6788" spans="2:2">
      <c r="B6788" s="38"/>
    </row>
    <row r="6789" spans="2:2">
      <c r="B6789" s="38"/>
    </row>
    <row r="6790" spans="2:2">
      <c r="B6790" s="38"/>
    </row>
    <row r="6791" spans="2:2">
      <c r="B6791" s="38"/>
    </row>
    <row r="6792" spans="2:2">
      <c r="B6792" s="38"/>
    </row>
    <row r="6793" spans="2:2">
      <c r="B6793" s="38"/>
    </row>
    <row r="6794" spans="2:2">
      <c r="B6794" s="38"/>
    </row>
    <row r="6795" spans="2:2">
      <c r="B6795" s="38"/>
    </row>
    <row r="6796" spans="2:2">
      <c r="B6796" s="38"/>
    </row>
    <row r="6797" spans="2:2">
      <c r="B6797" s="38"/>
    </row>
    <row r="6798" spans="2:2">
      <c r="B6798" s="38"/>
    </row>
    <row r="6799" spans="2:2">
      <c r="B6799" s="38"/>
    </row>
    <row r="6800" spans="2:2">
      <c r="B6800" s="38"/>
    </row>
    <row r="6801" spans="2:2">
      <c r="B6801" s="38"/>
    </row>
    <row r="6802" spans="2:2">
      <c r="B6802" s="38"/>
    </row>
    <row r="6803" spans="2:2">
      <c r="B6803" s="38"/>
    </row>
    <row r="6804" spans="2:2">
      <c r="B6804" s="38"/>
    </row>
    <row r="6805" spans="2:2">
      <c r="B6805" s="38"/>
    </row>
    <row r="6806" spans="2:2">
      <c r="B6806" s="38"/>
    </row>
    <row r="6807" spans="2:2">
      <c r="B6807" s="38"/>
    </row>
    <row r="6808" spans="2:2">
      <c r="B6808" s="38"/>
    </row>
    <row r="6809" spans="2:2">
      <c r="B6809" s="38"/>
    </row>
    <row r="6810" spans="2:2">
      <c r="B6810" s="38"/>
    </row>
    <row r="6811" spans="2:2">
      <c r="B6811" s="38"/>
    </row>
    <row r="6812" spans="2:2">
      <c r="B6812" s="38"/>
    </row>
    <row r="6813" spans="2:2">
      <c r="B6813" s="38"/>
    </row>
    <row r="6814" spans="2:2">
      <c r="B6814" s="38"/>
    </row>
    <row r="6815" spans="2:2">
      <c r="B6815" s="38"/>
    </row>
    <row r="6816" spans="2:2">
      <c r="B6816" s="38"/>
    </row>
    <row r="6817" spans="2:2">
      <c r="B6817" s="38"/>
    </row>
    <row r="6818" spans="2:2">
      <c r="B6818" s="38"/>
    </row>
    <row r="6819" spans="2:2">
      <c r="B6819" s="38"/>
    </row>
    <row r="6820" spans="2:2">
      <c r="B6820" s="38"/>
    </row>
    <row r="6821" spans="2:2">
      <c r="B6821" s="38"/>
    </row>
    <row r="6822" spans="2:2">
      <c r="B6822" s="38"/>
    </row>
    <row r="6823" spans="2:2">
      <c r="B6823" s="38"/>
    </row>
    <row r="6824" spans="2:2">
      <c r="B6824" s="38"/>
    </row>
    <row r="6825" spans="2:2">
      <c r="B6825" s="38"/>
    </row>
    <row r="6826" spans="2:2">
      <c r="B6826" s="38"/>
    </row>
    <row r="6827" spans="2:2">
      <c r="B6827" s="38"/>
    </row>
    <row r="6828" spans="2:2">
      <c r="B6828" s="38"/>
    </row>
    <row r="6829" spans="2:2">
      <c r="B6829" s="38"/>
    </row>
    <row r="6830" spans="2:2">
      <c r="B6830" s="38"/>
    </row>
    <row r="6831" spans="2:2">
      <c r="B6831" s="38"/>
    </row>
    <row r="6832" spans="2:2">
      <c r="B6832" s="38"/>
    </row>
    <row r="6833" spans="2:2">
      <c r="B6833" s="38"/>
    </row>
    <row r="6834" spans="2:2">
      <c r="B6834" s="38"/>
    </row>
    <row r="6835" spans="2:2">
      <c r="B6835" s="38"/>
    </row>
    <row r="6836" spans="2:2">
      <c r="B6836" s="38"/>
    </row>
    <row r="6837" spans="2:2">
      <c r="B6837" s="38"/>
    </row>
    <row r="6838" spans="2:2">
      <c r="B6838" s="38"/>
    </row>
    <row r="6839" spans="2:2">
      <c r="B6839" s="38"/>
    </row>
    <row r="6840" spans="2:2">
      <c r="B6840" s="38"/>
    </row>
    <row r="6841" spans="2:2">
      <c r="B6841" s="38"/>
    </row>
    <row r="6842" spans="2:2">
      <c r="B6842" s="38"/>
    </row>
    <row r="6843" spans="2:2">
      <c r="B6843" s="38"/>
    </row>
    <row r="6844" spans="2:2">
      <c r="B6844" s="38"/>
    </row>
    <row r="6845" spans="2:2">
      <c r="B6845" s="38"/>
    </row>
    <row r="6846" spans="2:2">
      <c r="B6846" s="38"/>
    </row>
    <row r="6847" spans="2:2">
      <c r="B6847" s="38"/>
    </row>
    <row r="6848" spans="2:2">
      <c r="B6848" s="38"/>
    </row>
    <row r="6849" spans="2:2">
      <c r="B6849" s="38"/>
    </row>
    <row r="6850" spans="2:2">
      <c r="B6850" s="38"/>
    </row>
    <row r="6851" spans="2:2">
      <c r="B6851" s="38"/>
    </row>
    <row r="6852" spans="2:2">
      <c r="B6852" s="38"/>
    </row>
    <row r="6853" spans="2:2">
      <c r="B6853" s="38"/>
    </row>
    <row r="6854" spans="2:2">
      <c r="B6854" s="38"/>
    </row>
    <row r="6855" spans="2:2">
      <c r="B6855" s="38"/>
    </row>
    <row r="6856" spans="2:2">
      <c r="B6856" s="38"/>
    </row>
    <row r="6857" spans="2:2">
      <c r="B6857" s="38"/>
    </row>
    <row r="6858" spans="2:2">
      <c r="B6858" s="38"/>
    </row>
    <row r="6859" spans="2:2">
      <c r="B6859" s="38"/>
    </row>
    <row r="6860" spans="2:2">
      <c r="B6860" s="38"/>
    </row>
    <row r="6861" spans="2:2">
      <c r="B6861" s="38"/>
    </row>
    <row r="6862" spans="2:2">
      <c r="B6862" s="38"/>
    </row>
    <row r="6863" spans="2:2">
      <c r="B6863" s="38"/>
    </row>
    <row r="6864" spans="2:2">
      <c r="B6864" s="38"/>
    </row>
    <row r="6865" spans="2:2">
      <c r="B6865" s="38"/>
    </row>
    <row r="6866" spans="2:2">
      <c r="B6866" s="38"/>
    </row>
    <row r="6867" spans="2:2">
      <c r="B6867" s="38"/>
    </row>
    <row r="6868" spans="2:2">
      <c r="B6868" s="38"/>
    </row>
    <row r="6869" spans="2:2">
      <c r="B6869" s="38"/>
    </row>
    <row r="6870" spans="2:2">
      <c r="B6870" s="38"/>
    </row>
    <row r="6871" spans="2:2">
      <c r="B6871" s="38"/>
    </row>
    <row r="6872" spans="2:2">
      <c r="B6872" s="38"/>
    </row>
    <row r="6873" spans="2:2">
      <c r="B6873" s="38"/>
    </row>
    <row r="6874" spans="2:2">
      <c r="B6874" s="38"/>
    </row>
    <row r="6875" spans="2:2">
      <c r="B6875" s="38"/>
    </row>
    <row r="6876" spans="2:2">
      <c r="B6876" s="38"/>
    </row>
    <row r="6877" spans="2:2">
      <c r="B6877" s="38"/>
    </row>
    <row r="6878" spans="2:2">
      <c r="B6878" s="38"/>
    </row>
    <row r="6879" spans="2:2">
      <c r="B6879" s="38"/>
    </row>
    <row r="6880" spans="2:2">
      <c r="B6880" s="38"/>
    </row>
    <row r="6881" spans="2:2">
      <c r="B6881" s="38"/>
    </row>
    <row r="6882" spans="2:2">
      <c r="B6882" s="38"/>
    </row>
    <row r="6883" spans="2:2">
      <c r="B6883" s="38"/>
    </row>
    <row r="6884" spans="2:2">
      <c r="B6884" s="38"/>
    </row>
    <row r="6885" spans="2:2">
      <c r="B6885" s="38"/>
    </row>
    <row r="6886" spans="2:2">
      <c r="B6886" s="38"/>
    </row>
    <row r="6887" spans="2:2">
      <c r="B6887" s="38"/>
    </row>
    <row r="6888" spans="2:2">
      <c r="B6888" s="38"/>
    </row>
    <row r="6889" spans="2:2">
      <c r="B6889" s="38"/>
    </row>
    <row r="6890" spans="2:2">
      <c r="B6890" s="38"/>
    </row>
    <row r="6891" spans="2:2">
      <c r="B6891" s="38"/>
    </row>
    <row r="6892" spans="2:2">
      <c r="B6892" s="38"/>
    </row>
    <row r="6893" spans="2:2">
      <c r="B6893" s="38"/>
    </row>
    <row r="6894" spans="2:2">
      <c r="B6894" s="38"/>
    </row>
    <row r="6895" spans="2:2">
      <c r="B6895" s="38"/>
    </row>
    <row r="6896" spans="2:2">
      <c r="B6896" s="38"/>
    </row>
    <row r="6897" spans="2:2">
      <c r="B6897" s="38"/>
    </row>
    <row r="6898" spans="2:2">
      <c r="B6898" s="38"/>
    </row>
    <row r="6899" spans="2:2">
      <c r="B6899" s="38"/>
    </row>
    <row r="6900" spans="2:2">
      <c r="B6900" s="38"/>
    </row>
    <row r="6901" spans="2:2">
      <c r="B6901" s="38"/>
    </row>
    <row r="6902" spans="2:2">
      <c r="B6902" s="38"/>
    </row>
    <row r="6903" spans="2:2">
      <c r="B6903" s="38"/>
    </row>
    <row r="6904" spans="2:2">
      <c r="B6904" s="38"/>
    </row>
    <row r="6905" spans="2:2">
      <c r="B6905" s="38"/>
    </row>
    <row r="6906" spans="2:2">
      <c r="B6906" s="38"/>
    </row>
    <row r="6907" spans="2:2">
      <c r="B6907" s="38"/>
    </row>
    <row r="6908" spans="2:2">
      <c r="B6908" s="38"/>
    </row>
    <row r="6909" spans="2:2">
      <c r="B6909" s="38"/>
    </row>
    <row r="6910" spans="2:2">
      <c r="B6910" s="38"/>
    </row>
    <row r="6911" spans="2:2">
      <c r="B6911" s="38"/>
    </row>
    <row r="6912" spans="2:2">
      <c r="B6912" s="38"/>
    </row>
    <row r="6913" spans="2:2">
      <c r="B6913" s="38"/>
    </row>
    <row r="6914" spans="2:2">
      <c r="B6914" s="38"/>
    </row>
    <row r="6915" spans="2:2">
      <c r="B6915" s="38"/>
    </row>
    <row r="6916" spans="2:2">
      <c r="B6916" s="38"/>
    </row>
    <row r="6917" spans="2:2">
      <c r="B6917" s="38"/>
    </row>
    <row r="6918" spans="2:2">
      <c r="B6918" s="38"/>
    </row>
    <row r="6919" spans="2:2">
      <c r="B6919" s="38"/>
    </row>
    <row r="6920" spans="2:2">
      <c r="B6920" s="38"/>
    </row>
    <row r="6921" spans="2:2">
      <c r="B6921" s="38"/>
    </row>
    <row r="6922" spans="2:2">
      <c r="B6922" s="38"/>
    </row>
    <row r="6923" spans="2:2">
      <c r="B6923" s="38"/>
    </row>
    <row r="6924" spans="2:2">
      <c r="B6924" s="38"/>
    </row>
    <row r="6925" spans="2:2">
      <c r="B6925" s="38"/>
    </row>
    <row r="6926" spans="2:2">
      <c r="B6926" s="38"/>
    </row>
    <row r="6927" spans="2:2">
      <c r="B6927" s="38"/>
    </row>
    <row r="6928" spans="2:2">
      <c r="B6928" s="38"/>
    </row>
    <row r="6929" spans="2:2">
      <c r="B6929" s="38"/>
    </row>
    <row r="6930" spans="2:2">
      <c r="B6930" s="38"/>
    </row>
    <row r="6931" spans="2:2">
      <c r="B6931" s="38"/>
    </row>
    <row r="6932" spans="2:2">
      <c r="B6932" s="38"/>
    </row>
    <row r="6933" spans="2:2">
      <c r="B6933" s="38"/>
    </row>
    <row r="6934" spans="2:2">
      <c r="B6934" s="38"/>
    </row>
    <row r="6935" spans="2:2">
      <c r="B6935" s="38"/>
    </row>
    <row r="6936" spans="2:2">
      <c r="B6936" s="38"/>
    </row>
    <row r="6937" spans="2:2">
      <c r="B6937" s="38"/>
    </row>
    <row r="6938" spans="2:2">
      <c r="B6938" s="38"/>
    </row>
    <row r="6939" spans="2:2">
      <c r="B6939" s="38"/>
    </row>
    <row r="6940" spans="2:2">
      <c r="B6940" s="38"/>
    </row>
    <row r="6941" spans="2:2">
      <c r="B6941" s="38"/>
    </row>
    <row r="6942" spans="2:2">
      <c r="B6942" s="38"/>
    </row>
    <row r="6943" spans="2:2">
      <c r="B6943" s="38"/>
    </row>
    <row r="6944" spans="2:2">
      <c r="B6944" s="38"/>
    </row>
    <row r="6945" spans="2:2">
      <c r="B6945" s="38"/>
    </row>
    <row r="6946" spans="2:2">
      <c r="B6946" s="38"/>
    </row>
    <row r="6947" spans="2:2">
      <c r="B6947" s="38"/>
    </row>
    <row r="6948" spans="2:2">
      <c r="B6948" s="38"/>
    </row>
    <row r="6949" spans="2:2">
      <c r="B6949" s="38"/>
    </row>
    <row r="6950" spans="2:2">
      <c r="B6950" s="38"/>
    </row>
    <row r="6951" spans="2:2">
      <c r="B6951" s="38"/>
    </row>
    <row r="6952" spans="2:2">
      <c r="B6952" s="38"/>
    </row>
    <row r="6953" spans="2:2">
      <c r="B6953" s="38"/>
    </row>
    <row r="6954" spans="2:2">
      <c r="B6954" s="38"/>
    </row>
    <row r="6955" spans="2:2">
      <c r="B6955" s="38"/>
    </row>
    <row r="6956" spans="2:2">
      <c r="B6956" s="38"/>
    </row>
    <row r="6957" spans="2:2">
      <c r="B6957" s="38"/>
    </row>
    <row r="6958" spans="2:2">
      <c r="B6958" s="38"/>
    </row>
    <row r="6959" spans="2:2">
      <c r="B6959" s="38"/>
    </row>
    <row r="6960" spans="2:2">
      <c r="B6960" s="38"/>
    </row>
    <row r="6961" spans="2:2">
      <c r="B6961" s="38"/>
    </row>
    <row r="6962" spans="2:2">
      <c r="B6962" s="38"/>
    </row>
    <row r="6963" spans="2:2">
      <c r="B6963" s="38"/>
    </row>
    <row r="6964" spans="2:2">
      <c r="B6964" s="38"/>
    </row>
    <row r="6965" spans="2:2">
      <c r="B6965" s="38"/>
    </row>
    <row r="6966" spans="2:2">
      <c r="B6966" s="38"/>
    </row>
    <row r="6967" spans="2:2">
      <c r="B6967" s="38"/>
    </row>
    <row r="6968" spans="2:2">
      <c r="B6968" s="38"/>
    </row>
    <row r="6969" spans="2:2">
      <c r="B6969" s="38"/>
    </row>
    <row r="6970" spans="2:2">
      <c r="B6970" s="38"/>
    </row>
    <row r="6971" spans="2:2">
      <c r="B6971" s="38"/>
    </row>
    <row r="6972" spans="2:2">
      <c r="B6972" s="38"/>
    </row>
    <row r="6973" spans="2:2">
      <c r="B6973" s="38"/>
    </row>
    <row r="6974" spans="2:2">
      <c r="B6974" s="38"/>
    </row>
    <row r="6975" spans="2:2">
      <c r="B6975" s="38"/>
    </row>
    <row r="6976" spans="2:2">
      <c r="B6976" s="38"/>
    </row>
    <row r="6977" spans="2:2">
      <c r="B6977" s="38"/>
    </row>
    <row r="6978" spans="2:2">
      <c r="B6978" s="38"/>
    </row>
    <row r="6979" spans="2:2">
      <c r="B6979" s="38"/>
    </row>
    <row r="6980" spans="2:2">
      <c r="B6980" s="38"/>
    </row>
    <row r="6981" spans="2:2">
      <c r="B6981" s="38"/>
    </row>
    <row r="6982" spans="2:2">
      <c r="B6982" s="38"/>
    </row>
    <row r="6983" spans="2:2">
      <c r="B6983" s="38"/>
    </row>
    <row r="6984" spans="2:2">
      <c r="B6984" s="38"/>
    </row>
    <row r="6985" spans="2:2">
      <c r="B6985" s="38"/>
    </row>
    <row r="6986" spans="2:2">
      <c r="B6986" s="38"/>
    </row>
    <row r="6987" spans="2:2">
      <c r="B6987" s="38"/>
    </row>
    <row r="6988" spans="2:2">
      <c r="B6988" s="38"/>
    </row>
    <row r="6989" spans="2:2">
      <c r="B6989" s="38"/>
    </row>
    <row r="6990" spans="2:2">
      <c r="B6990" s="38"/>
    </row>
    <row r="6991" spans="2:2">
      <c r="B6991" s="38"/>
    </row>
    <row r="6992" spans="2:2">
      <c r="B6992" s="38"/>
    </row>
    <row r="6993" spans="2:2">
      <c r="B6993" s="38"/>
    </row>
    <row r="6994" spans="2:2">
      <c r="B6994" s="38"/>
    </row>
    <row r="6995" spans="2:2">
      <c r="B6995" s="38"/>
    </row>
    <row r="6996" spans="2:2">
      <c r="B6996" s="38"/>
    </row>
    <row r="6997" spans="2:2">
      <c r="B6997" s="38"/>
    </row>
    <row r="6998" spans="2:2">
      <c r="B6998" s="38"/>
    </row>
    <row r="6999" spans="2:2">
      <c r="B6999" s="38"/>
    </row>
    <row r="7000" spans="2:2">
      <c r="B7000" s="38"/>
    </row>
    <row r="7001" spans="2:2">
      <c r="B7001" s="38"/>
    </row>
    <row r="7002" spans="2:2">
      <c r="B7002" s="38"/>
    </row>
    <row r="7003" spans="2:2">
      <c r="B7003" s="38"/>
    </row>
    <row r="7004" spans="2:2">
      <c r="B7004" s="38"/>
    </row>
    <row r="7005" spans="2:2">
      <c r="B7005" s="38"/>
    </row>
    <row r="7006" spans="2:2">
      <c r="B7006" s="38"/>
    </row>
    <row r="7007" spans="2:2">
      <c r="B7007" s="38"/>
    </row>
    <row r="7008" spans="2:2">
      <c r="B7008" s="38"/>
    </row>
    <row r="7009" spans="2:2">
      <c r="B7009" s="38"/>
    </row>
    <row r="7010" spans="2:2">
      <c r="B7010" s="38"/>
    </row>
    <row r="7011" spans="2:2">
      <c r="B7011" s="38"/>
    </row>
    <row r="7012" spans="2:2">
      <c r="B7012" s="38"/>
    </row>
    <row r="7013" spans="2:2">
      <c r="B7013" s="38"/>
    </row>
    <row r="7014" spans="2:2">
      <c r="B7014" s="38"/>
    </row>
    <row r="7015" spans="2:2">
      <c r="B7015" s="38"/>
    </row>
    <row r="7016" spans="2:2">
      <c r="B7016" s="38"/>
    </row>
    <row r="7017" spans="2:2">
      <c r="B7017" s="38"/>
    </row>
    <row r="7018" spans="2:2">
      <c r="B7018" s="38"/>
    </row>
    <row r="7019" spans="2:2">
      <c r="B7019" s="38"/>
    </row>
    <row r="7020" spans="2:2">
      <c r="B7020" s="38"/>
    </row>
    <row r="7021" spans="2:2">
      <c r="B7021" s="38"/>
    </row>
    <row r="7022" spans="2:2">
      <c r="B7022" s="38"/>
    </row>
    <row r="7023" spans="2:2">
      <c r="B7023" s="38"/>
    </row>
    <row r="7024" spans="2:2">
      <c r="B7024" s="38"/>
    </row>
    <row r="7025" spans="2:2">
      <c r="B7025" s="38"/>
    </row>
    <row r="7026" spans="2:2">
      <c r="B7026" s="38"/>
    </row>
    <row r="7027" spans="2:2">
      <c r="B7027" s="38"/>
    </row>
    <row r="7028" spans="2:2">
      <c r="B7028" s="38"/>
    </row>
    <row r="7029" spans="2:2">
      <c r="B7029" s="38"/>
    </row>
    <row r="7030" spans="2:2">
      <c r="B7030" s="38"/>
    </row>
    <row r="7031" spans="2:2">
      <c r="B7031" s="38"/>
    </row>
    <row r="7032" spans="2:2">
      <c r="B7032" s="38"/>
    </row>
    <row r="7033" spans="2:2">
      <c r="B7033" s="38"/>
    </row>
    <row r="7034" spans="2:2">
      <c r="B7034" s="38"/>
    </row>
    <row r="7035" spans="2:2">
      <c r="B7035" s="38"/>
    </row>
    <row r="7036" spans="2:2">
      <c r="B7036" s="38"/>
    </row>
    <row r="7037" spans="2:2">
      <c r="B7037" s="38"/>
    </row>
    <row r="7038" spans="2:2">
      <c r="B7038" s="38"/>
    </row>
    <row r="7039" spans="2:2">
      <c r="B7039" s="38"/>
    </row>
    <row r="7040" spans="2:2">
      <c r="B7040" s="38"/>
    </row>
    <row r="7041" spans="2:2">
      <c r="B7041" s="38"/>
    </row>
    <row r="7042" spans="2:2">
      <c r="B7042" s="38"/>
    </row>
    <row r="7043" spans="2:2">
      <c r="B7043" s="38"/>
    </row>
    <row r="7044" spans="2:2">
      <c r="B7044" s="38"/>
    </row>
    <row r="7045" spans="2:2">
      <c r="B7045" s="38"/>
    </row>
    <row r="7046" spans="2:2">
      <c r="B7046" s="38"/>
    </row>
    <row r="7047" spans="2:2">
      <c r="B7047" s="38"/>
    </row>
    <row r="7048" spans="2:2">
      <c r="B7048" s="38"/>
    </row>
    <row r="7049" spans="2:2">
      <c r="B7049" s="38"/>
    </row>
    <row r="7050" spans="2:2">
      <c r="B7050" s="38"/>
    </row>
    <row r="7051" spans="2:2">
      <c r="B7051" s="38"/>
    </row>
    <row r="7052" spans="2:2">
      <c r="B7052" s="38"/>
    </row>
    <row r="7053" spans="2:2">
      <c r="B7053" s="38"/>
    </row>
    <row r="7054" spans="2:2">
      <c r="B7054" s="38"/>
    </row>
    <row r="7055" spans="2:2">
      <c r="B7055" s="38"/>
    </row>
    <row r="7056" spans="2:2">
      <c r="B7056" s="38"/>
    </row>
    <row r="7057" spans="2:2">
      <c r="B7057" s="38"/>
    </row>
    <row r="7058" spans="2:2">
      <c r="B7058" s="38"/>
    </row>
    <row r="7059" spans="2:2">
      <c r="B7059" s="38"/>
    </row>
    <row r="7060" spans="2:2">
      <c r="B7060" s="38"/>
    </row>
    <row r="7061" spans="2:2">
      <c r="B7061" s="38"/>
    </row>
    <row r="7062" spans="2:2">
      <c r="B7062" s="38"/>
    </row>
    <row r="7063" spans="2:2">
      <c r="B7063" s="38"/>
    </row>
    <row r="7064" spans="2:2">
      <c r="B7064" s="38"/>
    </row>
    <row r="7065" spans="2:2">
      <c r="B7065" s="38"/>
    </row>
    <row r="7066" spans="2:2">
      <c r="B7066" s="38"/>
    </row>
    <row r="7067" spans="2:2">
      <c r="B7067" s="38"/>
    </row>
    <row r="7068" spans="2:2">
      <c r="B7068" s="38"/>
    </row>
    <row r="7069" spans="2:2">
      <c r="B7069" s="38"/>
    </row>
    <row r="7070" spans="2:2">
      <c r="B7070" s="38"/>
    </row>
    <row r="7071" spans="2:2">
      <c r="B7071" s="38"/>
    </row>
    <row r="7072" spans="2:2">
      <c r="B7072" s="38"/>
    </row>
    <row r="7073" spans="2:2">
      <c r="B7073" s="38"/>
    </row>
    <row r="7074" spans="2:2">
      <c r="B7074" s="38"/>
    </row>
    <row r="7075" spans="2:2">
      <c r="B7075" s="38"/>
    </row>
    <row r="7076" spans="2:2">
      <c r="B7076" s="38"/>
    </row>
    <row r="7077" spans="2:2">
      <c r="B7077" s="38"/>
    </row>
    <row r="7078" spans="2:2">
      <c r="B7078" s="38"/>
    </row>
    <row r="7079" spans="2:2">
      <c r="B7079" s="38"/>
    </row>
    <row r="7080" spans="2:2">
      <c r="B7080" s="38"/>
    </row>
    <row r="7081" spans="2:2">
      <c r="B7081" s="38"/>
    </row>
    <row r="7082" spans="2:2">
      <c r="B7082" s="38"/>
    </row>
    <row r="7083" spans="2:2">
      <c r="B7083" s="38"/>
    </row>
    <row r="7084" spans="2:2">
      <c r="B7084" s="38"/>
    </row>
    <row r="7085" spans="2:2">
      <c r="B7085" s="38"/>
    </row>
    <row r="7086" spans="2:2">
      <c r="B7086" s="38"/>
    </row>
    <row r="7087" spans="2:2">
      <c r="B7087" s="38"/>
    </row>
    <row r="7088" spans="2:2">
      <c r="B7088" s="38"/>
    </row>
    <row r="7089" spans="2:2">
      <c r="B7089" s="38"/>
    </row>
    <row r="7090" spans="2:2">
      <c r="B7090" s="38"/>
    </row>
    <row r="7091" spans="2:2">
      <c r="B7091" s="38"/>
    </row>
    <row r="7092" spans="2:2">
      <c r="B7092" s="38"/>
    </row>
    <row r="7093" spans="2:2">
      <c r="B7093" s="38"/>
    </row>
    <row r="7094" spans="2:2">
      <c r="B7094" s="38"/>
    </row>
    <row r="7095" spans="2:2">
      <c r="B7095" s="38"/>
    </row>
    <row r="7096" spans="2:2">
      <c r="B7096" s="38"/>
    </row>
    <row r="7097" spans="2:2">
      <c r="B7097" s="38"/>
    </row>
    <row r="7098" spans="2:2">
      <c r="B7098" s="38"/>
    </row>
    <row r="7099" spans="2:2">
      <c r="B7099" s="38"/>
    </row>
    <row r="7100" spans="2:2">
      <c r="B7100" s="38"/>
    </row>
    <row r="7101" spans="2:2">
      <c r="B7101" s="38"/>
    </row>
    <row r="7102" spans="2:2">
      <c r="B7102" s="38"/>
    </row>
    <row r="7103" spans="2:2">
      <c r="B7103" s="38"/>
    </row>
    <row r="7104" spans="2:2">
      <c r="B7104" s="38"/>
    </row>
    <row r="7105" spans="2:2">
      <c r="B7105" s="38"/>
    </row>
    <row r="7106" spans="2:2">
      <c r="B7106" s="38"/>
    </row>
    <row r="7107" spans="2:2">
      <c r="B7107" s="38"/>
    </row>
    <row r="7108" spans="2:2">
      <c r="B7108" s="38"/>
    </row>
    <row r="7109" spans="2:2">
      <c r="B7109" s="38"/>
    </row>
    <row r="7110" spans="2:2">
      <c r="B7110" s="38"/>
    </row>
    <row r="7111" spans="2:2">
      <c r="B7111" s="38"/>
    </row>
    <row r="7112" spans="2:2">
      <c r="B7112" s="38"/>
    </row>
    <row r="7113" spans="2:2">
      <c r="B7113" s="38"/>
    </row>
    <row r="7114" spans="2:2">
      <c r="B7114" s="38"/>
    </row>
    <row r="7115" spans="2:2">
      <c r="B7115" s="38"/>
    </row>
    <row r="7116" spans="2:2">
      <c r="B7116" s="38"/>
    </row>
    <row r="7117" spans="2:2">
      <c r="B7117" s="38"/>
    </row>
    <row r="7118" spans="2:2">
      <c r="B7118" s="38"/>
    </row>
    <row r="7119" spans="2:2">
      <c r="B7119" s="38"/>
    </row>
    <row r="7120" spans="2:2">
      <c r="B7120" s="38"/>
    </row>
    <row r="7121" spans="2:2">
      <c r="B7121" s="38"/>
    </row>
    <row r="7122" spans="2:2">
      <c r="B7122" s="38"/>
    </row>
    <row r="7123" spans="2:2">
      <c r="B7123" s="38"/>
    </row>
    <row r="7124" spans="2:2">
      <c r="B7124" s="38"/>
    </row>
    <row r="7125" spans="2:2">
      <c r="B7125" s="38"/>
    </row>
    <row r="7126" spans="2:2">
      <c r="B7126" s="38"/>
    </row>
    <row r="7127" spans="2:2">
      <c r="B7127" s="38"/>
    </row>
    <row r="7128" spans="2:2">
      <c r="B7128" s="38"/>
    </row>
    <row r="7129" spans="2:2">
      <c r="B7129" s="38"/>
    </row>
    <row r="7130" spans="2:2">
      <c r="B7130" s="38"/>
    </row>
    <row r="7131" spans="2:2">
      <c r="B7131" s="38"/>
    </row>
    <row r="7132" spans="2:2">
      <c r="B7132" s="38"/>
    </row>
    <row r="7133" spans="2:2">
      <c r="B7133" s="38"/>
    </row>
    <row r="7134" spans="2:2">
      <c r="B7134" s="38"/>
    </row>
    <row r="7135" spans="2:2">
      <c r="B7135" s="38"/>
    </row>
    <row r="7136" spans="2:2">
      <c r="B7136" s="38"/>
    </row>
    <row r="7137" spans="2:2">
      <c r="B7137" s="38"/>
    </row>
    <row r="7138" spans="2:2">
      <c r="B7138" s="38"/>
    </row>
    <row r="7139" spans="2:2">
      <c r="B7139" s="38"/>
    </row>
    <row r="7140" spans="2:2">
      <c r="B7140" s="38"/>
    </row>
    <row r="7141" spans="2:2">
      <c r="B7141" s="38"/>
    </row>
    <row r="7142" spans="2:2">
      <c r="B7142" s="38"/>
    </row>
    <row r="7143" spans="2:2">
      <c r="B7143" s="38"/>
    </row>
    <row r="7144" spans="2:2">
      <c r="B7144" s="38"/>
    </row>
    <row r="7145" spans="2:2">
      <c r="B7145" s="38"/>
    </row>
    <row r="7146" spans="2:2">
      <c r="B7146" s="38"/>
    </row>
    <row r="7147" spans="2:2">
      <c r="B7147" s="38"/>
    </row>
    <row r="7148" spans="2:2">
      <c r="B7148" s="38"/>
    </row>
    <row r="7149" spans="2:2">
      <c r="B7149" s="38"/>
    </row>
    <row r="7150" spans="2:2">
      <c r="B7150" s="38"/>
    </row>
    <row r="7151" spans="2:2">
      <c r="B7151" s="38"/>
    </row>
    <row r="7152" spans="2:2">
      <c r="B7152" s="38"/>
    </row>
    <row r="7153" spans="2:2">
      <c r="B7153" s="38"/>
    </row>
    <row r="7154" spans="2:2">
      <c r="B7154" s="38"/>
    </row>
    <row r="7155" spans="2:2">
      <c r="B7155" s="38"/>
    </row>
    <row r="7156" spans="2:2">
      <c r="B7156" s="38"/>
    </row>
    <row r="7157" spans="2:2">
      <c r="B7157" s="38"/>
    </row>
    <row r="7158" spans="2:2">
      <c r="B7158" s="38"/>
    </row>
    <row r="7159" spans="2:2">
      <c r="B7159" s="38"/>
    </row>
    <row r="7160" spans="2:2">
      <c r="B7160" s="38"/>
    </row>
    <row r="7161" spans="2:2">
      <c r="B7161" s="38"/>
    </row>
    <row r="7162" spans="2:2">
      <c r="B7162" s="38"/>
    </row>
    <row r="7163" spans="2:2">
      <c r="B7163" s="38"/>
    </row>
    <row r="7164" spans="2:2">
      <c r="B7164" s="38"/>
    </row>
    <row r="7165" spans="2:2">
      <c r="B7165" s="38"/>
    </row>
    <row r="7166" spans="2:2">
      <c r="B7166" s="38"/>
    </row>
    <row r="7167" spans="2:2">
      <c r="B7167" s="38"/>
    </row>
    <row r="7168" spans="2:2">
      <c r="B7168" s="38"/>
    </row>
    <row r="7169" spans="2:2">
      <c r="B7169" s="38"/>
    </row>
    <row r="7170" spans="2:2">
      <c r="B7170" s="38"/>
    </row>
    <row r="7171" spans="2:2">
      <c r="B7171" s="38"/>
    </row>
    <row r="7172" spans="2:2">
      <c r="B7172" s="38"/>
    </row>
    <row r="7173" spans="2:2">
      <c r="B7173" s="38"/>
    </row>
    <row r="7174" spans="2:2">
      <c r="B7174" s="38"/>
    </row>
    <row r="7175" spans="2:2">
      <c r="B7175" s="38"/>
    </row>
    <row r="7176" spans="2:2">
      <c r="B7176" s="38"/>
    </row>
    <row r="7177" spans="2:2">
      <c r="B7177" s="38"/>
    </row>
    <row r="7178" spans="2:2">
      <c r="B7178" s="38"/>
    </row>
    <row r="7179" spans="2:2">
      <c r="B7179" s="38"/>
    </row>
    <row r="7180" spans="2:2">
      <c r="B7180" s="38"/>
    </row>
    <row r="7181" spans="2:2">
      <c r="B7181" s="38"/>
    </row>
    <row r="7182" spans="2:2">
      <c r="B7182" s="38"/>
    </row>
    <row r="7183" spans="2:2">
      <c r="B7183" s="38"/>
    </row>
    <row r="7184" spans="2:2">
      <c r="B7184" s="38"/>
    </row>
    <row r="7185" spans="2:2">
      <c r="B7185" s="38"/>
    </row>
    <row r="7186" spans="2:2">
      <c r="B7186" s="38"/>
    </row>
    <row r="7187" spans="2:2">
      <c r="B7187" s="38"/>
    </row>
    <row r="7188" spans="2:2">
      <c r="B7188" s="38"/>
    </row>
    <row r="7189" spans="2:2">
      <c r="B7189" s="38"/>
    </row>
    <row r="7190" spans="2:2">
      <c r="B7190" s="38"/>
    </row>
    <row r="7191" spans="2:2">
      <c r="B7191" s="38"/>
    </row>
    <row r="7192" spans="2:2">
      <c r="B7192" s="38"/>
    </row>
    <row r="7193" spans="2:2">
      <c r="B7193" s="38"/>
    </row>
    <row r="7194" spans="2:2">
      <c r="B7194" s="38"/>
    </row>
    <row r="7195" spans="2:2">
      <c r="B7195" s="38"/>
    </row>
    <row r="7196" spans="2:2">
      <c r="B7196" s="38"/>
    </row>
    <row r="7197" spans="2:2">
      <c r="B7197" s="38"/>
    </row>
    <row r="7198" spans="2:2">
      <c r="B7198" s="38"/>
    </row>
    <row r="7199" spans="2:2">
      <c r="B7199" s="38"/>
    </row>
    <row r="7200" spans="2:2">
      <c r="B7200" s="38"/>
    </row>
    <row r="7201" spans="2:2">
      <c r="B7201" s="38"/>
    </row>
    <row r="7202" spans="2:2">
      <c r="B7202" s="38"/>
    </row>
    <row r="7203" spans="2:2">
      <c r="B7203" s="38"/>
    </row>
    <row r="7204" spans="2:2">
      <c r="B7204" s="38"/>
    </row>
    <row r="7205" spans="2:2">
      <c r="B7205" s="38"/>
    </row>
    <row r="7206" spans="2:2">
      <c r="B7206" s="38"/>
    </row>
    <row r="7207" spans="2:2">
      <c r="B7207" s="38"/>
    </row>
    <row r="7208" spans="2:2">
      <c r="B7208" s="38"/>
    </row>
    <row r="7209" spans="2:2">
      <c r="B7209" s="38"/>
    </row>
    <row r="7210" spans="2:2">
      <c r="B7210" s="38"/>
    </row>
    <row r="7211" spans="2:2">
      <c r="B7211" s="38"/>
    </row>
    <row r="7212" spans="2:2">
      <c r="B7212" s="38"/>
    </row>
    <row r="7213" spans="2:2">
      <c r="B7213" s="38"/>
    </row>
    <row r="7214" spans="2:2">
      <c r="B7214" s="38"/>
    </row>
    <row r="7215" spans="2:2">
      <c r="B7215" s="38"/>
    </row>
    <row r="7216" spans="2:2">
      <c r="B7216" s="38"/>
    </row>
    <row r="7217" spans="2:2">
      <c r="B7217" s="38"/>
    </row>
    <row r="7218" spans="2:2">
      <c r="B7218" s="38"/>
    </row>
    <row r="7219" spans="2:2">
      <c r="B7219" s="38"/>
    </row>
    <row r="7220" spans="2:2">
      <c r="B7220" s="38"/>
    </row>
    <row r="7221" spans="2:2">
      <c r="B7221" s="38"/>
    </row>
    <row r="7222" spans="2:2">
      <c r="B7222" s="38"/>
    </row>
    <row r="7223" spans="2:2">
      <c r="B7223" s="38"/>
    </row>
    <row r="7224" spans="2:2">
      <c r="B7224" s="38"/>
    </row>
    <row r="7225" spans="2:2">
      <c r="B7225" s="38"/>
    </row>
    <row r="7226" spans="2:2">
      <c r="B7226" s="38"/>
    </row>
    <row r="7227" spans="2:2">
      <c r="B7227" s="38"/>
    </row>
    <row r="7228" spans="2:2">
      <c r="B7228" s="38"/>
    </row>
    <row r="7229" spans="2:2">
      <c r="B7229" s="38"/>
    </row>
    <row r="7230" spans="2:2">
      <c r="B7230" s="38"/>
    </row>
    <row r="7231" spans="2:2">
      <c r="B7231" s="38"/>
    </row>
    <row r="7232" spans="2:2">
      <c r="B7232" s="38"/>
    </row>
    <row r="7233" spans="2:2">
      <c r="B7233" s="38"/>
    </row>
    <row r="7234" spans="2:2">
      <c r="B7234" s="38"/>
    </row>
    <row r="7235" spans="2:2">
      <c r="B7235" s="38"/>
    </row>
    <row r="7236" spans="2:2">
      <c r="B7236" s="38"/>
    </row>
    <row r="7237" spans="2:2">
      <c r="B7237" s="38"/>
    </row>
    <row r="7238" spans="2:2">
      <c r="B7238" s="38"/>
    </row>
    <row r="7239" spans="2:2">
      <c r="B7239" s="38"/>
    </row>
    <row r="7240" spans="2:2">
      <c r="B7240" s="38"/>
    </row>
    <row r="7241" spans="2:2">
      <c r="B7241" s="38"/>
    </row>
    <row r="7242" spans="2:2">
      <c r="B7242" s="38"/>
    </row>
    <row r="7243" spans="2:2">
      <c r="B7243" s="38"/>
    </row>
    <row r="7244" spans="2:2">
      <c r="B7244" s="38"/>
    </row>
    <row r="7245" spans="2:2">
      <c r="B7245" s="38"/>
    </row>
    <row r="7246" spans="2:2">
      <c r="B7246" s="38"/>
    </row>
    <row r="7247" spans="2:2">
      <c r="B7247" s="38"/>
    </row>
    <row r="7248" spans="2:2">
      <c r="B7248" s="38"/>
    </row>
    <row r="7249" spans="2:2">
      <c r="B7249" s="38"/>
    </row>
    <row r="7250" spans="2:2">
      <c r="B7250" s="38"/>
    </row>
    <row r="7251" spans="2:2">
      <c r="B7251" s="38"/>
    </row>
    <row r="7252" spans="2:2">
      <c r="B7252" s="38"/>
    </row>
    <row r="7253" spans="2:2">
      <c r="B7253" s="38"/>
    </row>
    <row r="7254" spans="2:2">
      <c r="B7254" s="38"/>
    </row>
    <row r="7255" spans="2:2">
      <c r="B7255" s="38"/>
    </row>
    <row r="7256" spans="2:2">
      <c r="B7256" s="38"/>
    </row>
    <row r="7257" spans="2:2">
      <c r="B7257" s="38"/>
    </row>
    <row r="7258" spans="2:2">
      <c r="B7258" s="38"/>
    </row>
    <row r="7259" spans="2:2">
      <c r="B7259" s="38"/>
    </row>
    <row r="7260" spans="2:2">
      <c r="B7260" s="38"/>
    </row>
    <row r="7261" spans="2:2">
      <c r="B7261" s="38"/>
    </row>
    <row r="7262" spans="2:2">
      <c r="B7262" s="38"/>
    </row>
    <row r="7263" spans="2:2">
      <c r="B7263" s="38"/>
    </row>
    <row r="7264" spans="2:2">
      <c r="B7264" s="38"/>
    </row>
    <row r="7265" spans="2:2">
      <c r="B7265" s="38"/>
    </row>
    <row r="7266" spans="2:2">
      <c r="B7266" s="38"/>
    </row>
    <row r="7267" spans="2:2">
      <c r="B7267" s="38"/>
    </row>
    <row r="7268" spans="2:2">
      <c r="B7268" s="38"/>
    </row>
    <row r="7269" spans="2:2">
      <c r="B7269" s="38"/>
    </row>
    <row r="7270" spans="2:2">
      <c r="B7270" s="38"/>
    </row>
    <row r="7271" spans="2:2">
      <c r="B7271" s="38"/>
    </row>
    <row r="7272" spans="2:2">
      <c r="B7272" s="38"/>
    </row>
    <row r="7273" spans="2:2">
      <c r="B7273" s="38"/>
    </row>
    <row r="7274" spans="2:2">
      <c r="B7274" s="38"/>
    </row>
    <row r="7275" spans="2:2">
      <c r="B7275" s="38"/>
    </row>
    <row r="7276" spans="2:2">
      <c r="B7276" s="38"/>
    </row>
    <row r="7277" spans="2:2">
      <c r="B7277" s="38"/>
    </row>
    <row r="7278" spans="2:2">
      <c r="B7278" s="38"/>
    </row>
    <row r="7279" spans="2:2">
      <c r="B7279" s="38"/>
    </row>
    <row r="7280" spans="2:2">
      <c r="B7280" s="38"/>
    </row>
    <row r="7281" spans="2:2">
      <c r="B7281" s="38"/>
    </row>
    <row r="7282" spans="2:2">
      <c r="B7282" s="38"/>
    </row>
    <row r="7283" spans="2:2">
      <c r="B7283" s="38"/>
    </row>
    <row r="7284" spans="2:2">
      <c r="B7284" s="38"/>
    </row>
    <row r="7285" spans="2:2">
      <c r="B7285" s="38"/>
    </row>
    <row r="7286" spans="2:2">
      <c r="B7286" s="38"/>
    </row>
    <row r="7287" spans="2:2">
      <c r="B7287" s="38"/>
    </row>
    <row r="7288" spans="2:2">
      <c r="B7288" s="38"/>
    </row>
    <row r="7289" spans="2:2">
      <c r="B7289" s="38"/>
    </row>
    <row r="7290" spans="2:2">
      <c r="B7290" s="38"/>
    </row>
    <row r="7291" spans="2:2">
      <c r="B7291" s="38"/>
    </row>
    <row r="7292" spans="2:2">
      <c r="B7292" s="38"/>
    </row>
    <row r="7293" spans="2:2">
      <c r="B7293" s="38"/>
    </row>
    <row r="7294" spans="2:2">
      <c r="B7294" s="38"/>
    </row>
    <row r="7295" spans="2:2">
      <c r="B7295" s="38"/>
    </row>
    <row r="7296" spans="2:2">
      <c r="B7296" s="38"/>
    </row>
    <row r="7297" spans="2:2">
      <c r="B7297" s="38"/>
    </row>
    <row r="7298" spans="2:2">
      <c r="B7298" s="38"/>
    </row>
    <row r="7299" spans="2:2">
      <c r="B7299" s="38"/>
    </row>
    <row r="7300" spans="2:2">
      <c r="B7300" s="38"/>
    </row>
    <row r="7301" spans="2:2">
      <c r="B7301" s="38"/>
    </row>
    <row r="7302" spans="2:2">
      <c r="B7302" s="38"/>
    </row>
    <row r="7303" spans="2:2">
      <c r="B7303" s="38"/>
    </row>
    <row r="7304" spans="2:2">
      <c r="B7304" s="38"/>
    </row>
    <row r="7305" spans="2:2">
      <c r="B7305" s="38"/>
    </row>
    <row r="7306" spans="2:2">
      <c r="B7306" s="38"/>
    </row>
    <row r="7307" spans="2:2">
      <c r="B7307" s="38"/>
    </row>
    <row r="7308" spans="2:2">
      <c r="B7308" s="38"/>
    </row>
    <row r="7309" spans="2:2">
      <c r="B7309" s="38"/>
    </row>
    <row r="7310" spans="2:2">
      <c r="B7310" s="38"/>
    </row>
    <row r="7311" spans="2:2">
      <c r="B7311" s="38"/>
    </row>
    <row r="7312" spans="2:2">
      <c r="B7312" s="38"/>
    </row>
    <row r="7313" spans="2:2">
      <c r="B7313" s="38"/>
    </row>
    <row r="7314" spans="2:2">
      <c r="B7314" s="38"/>
    </row>
    <row r="7315" spans="2:2">
      <c r="B7315" s="38"/>
    </row>
    <row r="7316" spans="2:2">
      <c r="B7316" s="38"/>
    </row>
    <row r="7317" spans="2:2">
      <c r="B7317" s="38"/>
    </row>
    <row r="7318" spans="2:2">
      <c r="B7318" s="38"/>
    </row>
    <row r="7319" spans="2:2">
      <c r="B7319" s="38"/>
    </row>
    <row r="7320" spans="2:2">
      <c r="B7320" s="38"/>
    </row>
    <row r="7321" spans="2:2">
      <c r="B7321" s="38"/>
    </row>
    <row r="7322" spans="2:2">
      <c r="B7322" s="38"/>
    </row>
    <row r="7323" spans="2:2">
      <c r="B7323" s="38"/>
    </row>
    <row r="7324" spans="2:2">
      <c r="B7324" s="38"/>
    </row>
    <row r="7325" spans="2:2">
      <c r="B7325" s="38"/>
    </row>
    <row r="7326" spans="2:2">
      <c r="B7326" s="38"/>
    </row>
    <row r="7327" spans="2:2">
      <c r="B7327" s="38"/>
    </row>
    <row r="7328" spans="2:2">
      <c r="B7328" s="38"/>
    </row>
    <row r="7329" spans="2:2">
      <c r="B7329" s="38"/>
    </row>
    <row r="7330" spans="2:2">
      <c r="B7330" s="38"/>
    </row>
    <row r="7331" spans="2:2">
      <c r="B7331" s="38"/>
    </row>
    <row r="7332" spans="2:2">
      <c r="B7332" s="38"/>
    </row>
    <row r="7333" spans="2:2">
      <c r="B7333" s="38"/>
    </row>
    <row r="7334" spans="2:2">
      <c r="B7334" s="38"/>
    </row>
    <row r="7335" spans="2:2">
      <c r="B7335" s="38"/>
    </row>
    <row r="7336" spans="2:2">
      <c r="B7336" s="38"/>
    </row>
    <row r="7337" spans="2:2">
      <c r="B7337" s="38"/>
    </row>
    <row r="7338" spans="2:2">
      <c r="B7338" s="38"/>
    </row>
    <row r="7339" spans="2:2">
      <c r="B7339" s="38"/>
    </row>
    <row r="7340" spans="2:2">
      <c r="B7340" s="38"/>
    </row>
    <row r="7341" spans="2:2">
      <c r="B7341" s="38"/>
    </row>
    <row r="7342" spans="2:2">
      <c r="B7342" s="38"/>
    </row>
    <row r="7343" spans="2:2">
      <c r="B7343" s="38"/>
    </row>
    <row r="7344" spans="2:2">
      <c r="B7344" s="38"/>
    </row>
    <row r="7345" spans="2:2">
      <c r="B7345" s="38"/>
    </row>
    <row r="7346" spans="2:2">
      <c r="B7346" s="38"/>
    </row>
    <row r="7347" spans="2:2">
      <c r="B7347" s="38"/>
    </row>
    <row r="7348" spans="2:2">
      <c r="B7348" s="38"/>
    </row>
    <row r="7349" spans="2:2">
      <c r="B7349" s="38"/>
    </row>
    <row r="7350" spans="2:2">
      <c r="B7350" s="38"/>
    </row>
    <row r="7351" spans="2:2">
      <c r="B7351" s="38"/>
    </row>
    <row r="7352" spans="2:2">
      <c r="B7352" s="38"/>
    </row>
    <row r="7353" spans="2:2">
      <c r="B7353" s="38"/>
    </row>
    <row r="7354" spans="2:2">
      <c r="B7354" s="38"/>
    </row>
    <row r="7355" spans="2:2">
      <c r="B7355" s="38"/>
    </row>
    <row r="7356" spans="2:2">
      <c r="B7356" s="38"/>
    </row>
    <row r="7357" spans="2:2">
      <c r="B7357" s="38"/>
    </row>
    <row r="7358" spans="2:2">
      <c r="B7358" s="38"/>
    </row>
    <row r="7359" spans="2:2">
      <c r="B7359" s="38"/>
    </row>
    <row r="7360" spans="2:2">
      <c r="B7360" s="38"/>
    </row>
    <row r="7361" spans="2:2">
      <c r="B7361" s="38"/>
    </row>
    <row r="7362" spans="2:2">
      <c r="B7362" s="38"/>
    </row>
    <row r="7363" spans="2:2">
      <c r="B7363" s="38"/>
    </row>
    <row r="7364" spans="2:2">
      <c r="B7364" s="38"/>
    </row>
    <row r="7365" spans="2:2">
      <c r="B7365" s="38"/>
    </row>
    <row r="7366" spans="2:2">
      <c r="B7366" s="38"/>
    </row>
    <row r="7367" spans="2:2">
      <c r="B7367" s="38"/>
    </row>
    <row r="7368" spans="2:2">
      <c r="B7368" s="38"/>
    </row>
    <row r="7369" spans="2:2">
      <c r="B7369" s="38"/>
    </row>
    <row r="7370" spans="2:2">
      <c r="B7370" s="38"/>
    </row>
    <row r="7371" spans="2:2">
      <c r="B7371" s="38"/>
    </row>
    <row r="7372" spans="2:2">
      <c r="B7372" s="38"/>
    </row>
    <row r="7373" spans="2:2">
      <c r="B7373" s="38"/>
    </row>
    <row r="7374" spans="2:2">
      <c r="B7374" s="38"/>
    </row>
    <row r="7375" spans="2:2">
      <c r="B7375" s="38"/>
    </row>
    <row r="7376" spans="2:2">
      <c r="B7376" s="38"/>
    </row>
    <row r="7377" spans="2:2">
      <c r="B7377" s="38"/>
    </row>
    <row r="7378" spans="2:2">
      <c r="B7378" s="38"/>
    </row>
    <row r="7379" spans="2:2">
      <c r="B7379" s="38"/>
    </row>
    <row r="7380" spans="2:2">
      <c r="B7380" s="38"/>
    </row>
    <row r="7381" spans="2:2">
      <c r="B7381" s="38"/>
    </row>
    <row r="7382" spans="2:2">
      <c r="B7382" s="38"/>
    </row>
    <row r="7383" spans="2:2">
      <c r="B7383" s="38"/>
    </row>
    <row r="7384" spans="2:2">
      <c r="B7384" s="38"/>
    </row>
    <row r="7385" spans="2:2">
      <c r="B7385" s="38"/>
    </row>
    <row r="7386" spans="2:2">
      <c r="B7386" s="38"/>
    </row>
    <row r="7387" spans="2:2">
      <c r="B7387" s="38"/>
    </row>
    <row r="7388" spans="2:2">
      <c r="B7388" s="38"/>
    </row>
    <row r="7389" spans="2:2">
      <c r="B7389" s="38"/>
    </row>
    <row r="7390" spans="2:2">
      <c r="B7390" s="38"/>
    </row>
    <row r="7391" spans="2:2">
      <c r="B7391" s="38"/>
    </row>
    <row r="7392" spans="2:2">
      <c r="B7392" s="38"/>
    </row>
    <row r="7393" spans="2:2">
      <c r="B7393" s="38"/>
    </row>
    <row r="7394" spans="2:2">
      <c r="B7394" s="38"/>
    </row>
    <row r="7395" spans="2:2">
      <c r="B7395" s="38"/>
    </row>
    <row r="7396" spans="2:2">
      <c r="B7396" s="38"/>
    </row>
    <row r="7397" spans="2:2">
      <c r="B7397" s="38"/>
    </row>
    <row r="7398" spans="2:2">
      <c r="B7398" s="38"/>
    </row>
    <row r="7399" spans="2:2">
      <c r="B7399" s="38"/>
    </row>
    <row r="7400" spans="2:2">
      <c r="B7400" s="38"/>
    </row>
    <row r="7401" spans="2:2">
      <c r="B7401" s="38"/>
    </row>
    <row r="7402" spans="2:2">
      <c r="B7402" s="38"/>
    </row>
    <row r="7403" spans="2:2">
      <c r="B7403" s="38"/>
    </row>
    <row r="7404" spans="2:2">
      <c r="B7404" s="38"/>
    </row>
    <row r="7405" spans="2:2">
      <c r="B7405" s="38"/>
    </row>
    <row r="7406" spans="2:2">
      <c r="B7406" s="38"/>
    </row>
    <row r="7407" spans="2:2">
      <c r="B7407" s="38"/>
    </row>
    <row r="7408" spans="2:2">
      <c r="B7408" s="38"/>
    </row>
    <row r="7409" spans="2:2">
      <c r="B7409" s="38"/>
    </row>
    <row r="7410" spans="2:2">
      <c r="B7410" s="38"/>
    </row>
    <row r="7411" spans="2:2">
      <c r="B7411" s="38"/>
    </row>
    <row r="7412" spans="2:2">
      <c r="B7412" s="38"/>
    </row>
    <row r="7413" spans="2:2">
      <c r="B7413" s="38"/>
    </row>
    <row r="7414" spans="2:2">
      <c r="B7414" s="38"/>
    </row>
    <row r="7415" spans="2:2">
      <c r="B7415" s="38"/>
    </row>
    <row r="7416" spans="2:2">
      <c r="B7416" s="38"/>
    </row>
    <row r="7417" spans="2:2">
      <c r="B7417" s="38"/>
    </row>
    <row r="7418" spans="2:2">
      <c r="B7418" s="38"/>
    </row>
    <row r="7419" spans="2:2">
      <c r="B7419" s="38"/>
    </row>
    <row r="7420" spans="2:2">
      <c r="B7420" s="38"/>
    </row>
    <row r="7421" spans="2:2">
      <c r="B7421" s="38"/>
    </row>
    <row r="7422" spans="2:2">
      <c r="B7422" s="38"/>
    </row>
    <row r="7423" spans="2:2">
      <c r="B7423" s="38"/>
    </row>
    <row r="7424" spans="2:2">
      <c r="B7424" s="38"/>
    </row>
    <row r="7425" spans="2:2">
      <c r="B7425" s="38"/>
    </row>
    <row r="7426" spans="2:2">
      <c r="B7426" s="38"/>
    </row>
    <row r="7427" spans="2:2">
      <c r="B7427" s="38"/>
    </row>
    <row r="7428" spans="2:2">
      <c r="B7428" s="38"/>
    </row>
    <row r="7429" spans="2:2">
      <c r="B7429" s="38"/>
    </row>
    <row r="7430" spans="2:2">
      <c r="B7430" s="38"/>
    </row>
    <row r="7431" spans="2:2">
      <c r="B7431" s="38"/>
    </row>
    <row r="7432" spans="2:2">
      <c r="B7432" s="38"/>
    </row>
    <row r="7433" spans="2:2">
      <c r="B7433" s="38"/>
    </row>
    <row r="7434" spans="2:2">
      <c r="B7434" s="38"/>
    </row>
    <row r="7435" spans="2:2">
      <c r="B7435" s="38"/>
    </row>
    <row r="7436" spans="2:2">
      <c r="B7436" s="38"/>
    </row>
    <row r="7437" spans="2:2">
      <c r="B7437" s="38"/>
    </row>
    <row r="7438" spans="2:2">
      <c r="B7438" s="38"/>
    </row>
    <row r="7439" spans="2:2">
      <c r="B7439" s="38"/>
    </row>
    <row r="7440" spans="2:2">
      <c r="B7440" s="38"/>
    </row>
    <row r="7441" spans="2:2">
      <c r="B7441" s="38"/>
    </row>
    <row r="7442" spans="2:2">
      <c r="B7442" s="38"/>
    </row>
    <row r="7443" spans="2:2">
      <c r="B7443" s="38"/>
    </row>
    <row r="7444" spans="2:2">
      <c r="B7444" s="38"/>
    </row>
    <row r="7445" spans="2:2">
      <c r="B7445" s="38"/>
    </row>
    <row r="7446" spans="2:2">
      <c r="B7446" s="38"/>
    </row>
    <row r="7447" spans="2:2">
      <c r="B7447" s="38"/>
    </row>
    <row r="7448" spans="2:2">
      <c r="B7448" s="38"/>
    </row>
    <row r="7449" spans="2:2">
      <c r="B7449" s="38"/>
    </row>
    <row r="7450" spans="2:2">
      <c r="B7450" s="38"/>
    </row>
    <row r="7451" spans="2:2">
      <c r="B7451" s="38"/>
    </row>
    <row r="7452" spans="2:2">
      <c r="B7452" s="38"/>
    </row>
    <row r="7453" spans="2:2">
      <c r="B7453" s="38"/>
    </row>
    <row r="7454" spans="2:2">
      <c r="B7454" s="38"/>
    </row>
    <row r="7455" spans="2:2">
      <c r="B7455" s="38"/>
    </row>
    <row r="7456" spans="2:2">
      <c r="B7456" s="38"/>
    </row>
    <row r="7457" spans="2:2">
      <c r="B7457" s="38"/>
    </row>
    <row r="7458" spans="2:2">
      <c r="B7458" s="38"/>
    </row>
    <row r="7459" spans="2:2">
      <c r="B7459" s="38"/>
    </row>
    <row r="7460" spans="2:2">
      <c r="B7460" s="38"/>
    </row>
    <row r="7461" spans="2:2">
      <c r="B7461" s="38"/>
    </row>
    <row r="7462" spans="2:2">
      <c r="B7462" s="38"/>
    </row>
    <row r="7463" spans="2:2">
      <c r="B7463" s="38"/>
    </row>
    <row r="7464" spans="2:2">
      <c r="B7464" s="38"/>
    </row>
    <row r="7465" spans="2:2">
      <c r="B7465" s="38"/>
    </row>
    <row r="7466" spans="2:2">
      <c r="B7466" s="38"/>
    </row>
    <row r="7467" spans="2:2">
      <c r="B7467" s="38"/>
    </row>
    <row r="7468" spans="2:2">
      <c r="B7468" s="38"/>
    </row>
    <row r="7469" spans="2:2">
      <c r="B7469" s="38"/>
    </row>
    <row r="7470" spans="2:2">
      <c r="B7470" s="38"/>
    </row>
    <row r="7471" spans="2:2">
      <c r="B7471" s="38"/>
    </row>
    <row r="7472" spans="2:2">
      <c r="B7472" s="38"/>
    </row>
    <row r="7473" spans="2:2">
      <c r="B7473" s="38"/>
    </row>
    <row r="7474" spans="2:2">
      <c r="B7474" s="38"/>
    </row>
    <row r="7475" spans="2:2">
      <c r="B7475" s="38"/>
    </row>
    <row r="7476" spans="2:2">
      <c r="B7476" s="38"/>
    </row>
    <row r="7477" spans="2:2">
      <c r="B7477" s="38"/>
    </row>
    <row r="7478" spans="2:2">
      <c r="B7478" s="38"/>
    </row>
    <row r="7479" spans="2:2">
      <c r="B7479" s="38"/>
    </row>
    <row r="7480" spans="2:2">
      <c r="B7480" s="38"/>
    </row>
    <row r="7481" spans="2:2">
      <c r="B7481" s="38"/>
    </row>
    <row r="7482" spans="2:2">
      <c r="B7482" s="38"/>
    </row>
    <row r="7483" spans="2:2">
      <c r="B7483" s="38"/>
    </row>
    <row r="7484" spans="2:2">
      <c r="B7484" s="38"/>
    </row>
    <row r="7485" spans="2:2">
      <c r="B7485" s="38"/>
    </row>
    <row r="7486" spans="2:2">
      <c r="B7486" s="38"/>
    </row>
    <row r="7487" spans="2:2">
      <c r="B7487" s="38"/>
    </row>
    <row r="7488" spans="2:2">
      <c r="B7488" s="38"/>
    </row>
    <row r="7489" spans="2:2">
      <c r="B7489" s="38"/>
    </row>
    <row r="7490" spans="2:2">
      <c r="B7490" s="38"/>
    </row>
    <row r="7491" spans="2:2">
      <c r="B7491" s="38"/>
    </row>
    <row r="7492" spans="2:2">
      <c r="B7492" s="38"/>
    </row>
    <row r="7493" spans="2:2">
      <c r="B7493" s="38"/>
    </row>
    <row r="7494" spans="2:2">
      <c r="B7494" s="38"/>
    </row>
    <row r="7495" spans="2:2">
      <c r="B7495" s="38"/>
    </row>
    <row r="7496" spans="2:2">
      <c r="B7496" s="38"/>
    </row>
    <row r="7497" spans="2:2">
      <c r="B7497" s="38"/>
    </row>
    <row r="7498" spans="2:2">
      <c r="B7498" s="38"/>
    </row>
    <row r="7499" spans="2:2">
      <c r="B7499" s="38"/>
    </row>
    <row r="7500" spans="2:2">
      <c r="B7500" s="38"/>
    </row>
    <row r="7501" spans="2:2">
      <c r="B7501" s="38"/>
    </row>
    <row r="7502" spans="2:2">
      <c r="B7502" s="38"/>
    </row>
    <row r="7503" spans="2:2">
      <c r="B7503" s="38"/>
    </row>
    <row r="7504" spans="2:2">
      <c r="B7504" s="38"/>
    </row>
    <row r="7505" spans="2:2">
      <c r="B7505" s="38"/>
    </row>
    <row r="7506" spans="2:2">
      <c r="B7506" s="38"/>
    </row>
    <row r="7507" spans="2:2">
      <c r="B7507" s="38"/>
    </row>
    <row r="7508" spans="2:2">
      <c r="B7508" s="38"/>
    </row>
    <row r="7509" spans="2:2">
      <c r="B7509" s="38"/>
    </row>
    <row r="7510" spans="2:2">
      <c r="B7510" s="38"/>
    </row>
    <row r="7511" spans="2:2">
      <c r="B7511" s="38"/>
    </row>
    <row r="7512" spans="2:2">
      <c r="B7512" s="38"/>
    </row>
    <row r="7513" spans="2:2">
      <c r="B7513" s="38"/>
    </row>
    <row r="7514" spans="2:2">
      <c r="B7514" s="38"/>
    </row>
    <row r="7515" spans="2:2">
      <c r="B7515" s="38"/>
    </row>
    <row r="7516" spans="2:2">
      <c r="B7516" s="38"/>
    </row>
    <row r="7517" spans="2:2">
      <c r="B7517" s="38"/>
    </row>
    <row r="7518" spans="2:2">
      <c r="B7518" s="38"/>
    </row>
    <row r="7519" spans="2:2">
      <c r="B7519" s="38"/>
    </row>
    <row r="7520" spans="2:2">
      <c r="B7520" s="38"/>
    </row>
    <row r="7521" spans="2:2">
      <c r="B7521" s="38"/>
    </row>
    <row r="7522" spans="2:2">
      <c r="B7522" s="38"/>
    </row>
    <row r="7523" spans="2:2">
      <c r="B7523" s="38"/>
    </row>
    <row r="7524" spans="2:2">
      <c r="B7524" s="38"/>
    </row>
    <row r="7525" spans="2:2">
      <c r="B7525" s="38"/>
    </row>
    <row r="7526" spans="2:2">
      <c r="B7526" s="38"/>
    </row>
    <row r="7527" spans="2:2">
      <c r="B7527" s="38"/>
    </row>
    <row r="7528" spans="2:2">
      <c r="B7528" s="38"/>
    </row>
    <row r="7529" spans="2:2">
      <c r="B7529" s="38"/>
    </row>
    <row r="7530" spans="2:2">
      <c r="B7530" s="38"/>
    </row>
    <row r="7531" spans="2:2">
      <c r="B7531" s="38"/>
    </row>
    <row r="7532" spans="2:2">
      <c r="B7532" s="38"/>
    </row>
    <row r="7533" spans="2:2">
      <c r="B7533" s="38"/>
    </row>
    <row r="7534" spans="2:2">
      <c r="B7534" s="38"/>
    </row>
    <row r="7535" spans="2:2">
      <c r="B7535" s="38"/>
    </row>
    <row r="7536" spans="2:2">
      <c r="B7536" s="38"/>
    </row>
    <row r="7537" spans="2:2">
      <c r="B7537" s="38"/>
    </row>
    <row r="7538" spans="2:2">
      <c r="B7538" s="38"/>
    </row>
    <row r="7539" spans="2:2">
      <c r="B7539" s="38"/>
    </row>
    <row r="7540" spans="2:2">
      <c r="B7540" s="38"/>
    </row>
    <row r="7541" spans="2:2">
      <c r="B7541" s="38"/>
    </row>
    <row r="7542" spans="2:2">
      <c r="B7542" s="38"/>
    </row>
    <row r="7543" spans="2:2">
      <c r="B7543" s="38"/>
    </row>
    <row r="7544" spans="2:2">
      <c r="B7544" s="38"/>
    </row>
    <row r="7545" spans="2:2">
      <c r="B7545" s="38"/>
    </row>
    <row r="7546" spans="2:2">
      <c r="B7546" s="38"/>
    </row>
    <row r="7547" spans="2:2">
      <c r="B7547" s="38"/>
    </row>
    <row r="7548" spans="2:2">
      <c r="B7548" s="38"/>
    </row>
    <row r="7549" spans="2:2">
      <c r="B7549" s="38"/>
    </row>
    <row r="7550" spans="2:2">
      <c r="B7550" s="38"/>
    </row>
    <row r="7551" spans="2:2">
      <c r="B7551" s="38"/>
    </row>
    <row r="7552" spans="2:2">
      <c r="B7552" s="38"/>
    </row>
    <row r="7553" spans="2:2">
      <c r="B7553" s="38"/>
    </row>
    <row r="7554" spans="2:2">
      <c r="B7554" s="38"/>
    </row>
    <row r="7555" spans="2:2">
      <c r="B7555" s="38"/>
    </row>
    <row r="7556" spans="2:2">
      <c r="B7556" s="38"/>
    </row>
    <row r="7557" spans="2:2">
      <c r="B7557" s="38"/>
    </row>
    <row r="7558" spans="2:2">
      <c r="B7558" s="38"/>
    </row>
    <row r="7559" spans="2:2">
      <c r="B7559" s="38"/>
    </row>
    <row r="7560" spans="2:2">
      <c r="B7560" s="38"/>
    </row>
    <row r="7561" spans="2:2">
      <c r="B7561" s="38"/>
    </row>
    <row r="7562" spans="2:2">
      <c r="B7562" s="38"/>
    </row>
    <row r="7563" spans="2:2">
      <c r="B7563" s="38"/>
    </row>
    <row r="7564" spans="2:2">
      <c r="B7564" s="38"/>
    </row>
    <row r="7565" spans="2:2">
      <c r="B7565" s="38"/>
    </row>
    <row r="7566" spans="2:2">
      <c r="B7566" s="38"/>
    </row>
    <row r="7567" spans="2:2">
      <c r="B7567" s="38"/>
    </row>
    <row r="7568" spans="2:2">
      <c r="B7568" s="38"/>
    </row>
    <row r="7569" spans="2:2">
      <c r="B7569" s="38"/>
    </row>
    <row r="7570" spans="2:2">
      <c r="B7570" s="38"/>
    </row>
    <row r="7571" spans="2:2">
      <c r="B7571" s="38"/>
    </row>
    <row r="7572" spans="2:2">
      <c r="B7572" s="38"/>
    </row>
    <row r="7573" spans="2:2">
      <c r="B7573" s="38"/>
    </row>
    <row r="7574" spans="2:2">
      <c r="B7574" s="38"/>
    </row>
    <row r="7575" spans="2:2">
      <c r="B7575" s="38"/>
    </row>
    <row r="7576" spans="2:2">
      <c r="B7576" s="38"/>
    </row>
    <row r="7577" spans="2:2">
      <c r="B7577" s="38"/>
    </row>
    <row r="7578" spans="2:2">
      <c r="B7578" s="38"/>
    </row>
    <row r="7579" spans="2:2">
      <c r="B7579" s="38"/>
    </row>
    <row r="7580" spans="2:2">
      <c r="B7580" s="38"/>
    </row>
    <row r="7581" spans="2:2">
      <c r="B7581" s="38"/>
    </row>
    <row r="7582" spans="2:2">
      <c r="B7582" s="38"/>
    </row>
    <row r="7583" spans="2:2">
      <c r="B7583" s="38"/>
    </row>
    <row r="7584" spans="2:2">
      <c r="B7584" s="38"/>
    </row>
    <row r="7585" spans="2:2">
      <c r="B7585" s="38"/>
    </row>
    <row r="7586" spans="2:2">
      <c r="B7586" s="38"/>
    </row>
    <row r="7587" spans="2:2">
      <c r="B7587" s="38"/>
    </row>
    <row r="7588" spans="2:2">
      <c r="B7588" s="38"/>
    </row>
    <row r="7589" spans="2:2">
      <c r="B7589" s="38"/>
    </row>
    <row r="7590" spans="2:2">
      <c r="B7590" s="38"/>
    </row>
    <row r="7591" spans="2:2">
      <c r="B7591" s="38"/>
    </row>
    <row r="7592" spans="2:2">
      <c r="B7592" s="38"/>
    </row>
    <row r="7593" spans="2:2">
      <c r="B7593" s="38"/>
    </row>
    <row r="7594" spans="2:2">
      <c r="B7594" s="38"/>
    </row>
    <row r="7595" spans="2:2">
      <c r="B7595" s="38"/>
    </row>
    <row r="7596" spans="2:2">
      <c r="B7596" s="38"/>
    </row>
    <row r="7597" spans="2:2">
      <c r="B7597" s="38"/>
    </row>
    <row r="7598" spans="2:2">
      <c r="B7598" s="38"/>
    </row>
    <row r="7599" spans="2:2">
      <c r="B7599" s="38"/>
    </row>
    <row r="7600" spans="2:2">
      <c r="B7600" s="38"/>
    </row>
    <row r="7601" spans="2:2">
      <c r="B7601" s="38"/>
    </row>
    <row r="7602" spans="2:2">
      <c r="B7602" s="38"/>
    </row>
    <row r="7603" spans="2:2">
      <c r="B7603" s="38"/>
    </row>
    <row r="7604" spans="2:2">
      <c r="B7604" s="38"/>
    </row>
    <row r="7605" spans="2:2">
      <c r="B7605" s="38"/>
    </row>
    <row r="7606" spans="2:2">
      <c r="B7606" s="38"/>
    </row>
    <row r="7607" spans="2:2">
      <c r="B7607" s="38"/>
    </row>
    <row r="7608" spans="2:2">
      <c r="B7608" s="38"/>
    </row>
    <row r="7609" spans="2:2">
      <c r="B7609" s="38"/>
    </row>
    <row r="7610" spans="2:2">
      <c r="B7610" s="38"/>
    </row>
    <row r="7611" spans="2:2">
      <c r="B7611" s="38"/>
    </row>
    <row r="7612" spans="2:2">
      <c r="B7612" s="38"/>
    </row>
    <row r="7613" spans="2:2">
      <c r="B7613" s="38"/>
    </row>
    <row r="7614" spans="2:2">
      <c r="B7614" s="38"/>
    </row>
    <row r="7615" spans="2:2">
      <c r="B7615" s="38"/>
    </row>
    <row r="7616" spans="2:2">
      <c r="B7616" s="38"/>
    </row>
    <row r="7617" spans="2:2">
      <c r="B7617" s="38"/>
    </row>
    <row r="7618" spans="2:2">
      <c r="B7618" s="38"/>
    </row>
    <row r="7619" spans="2:2">
      <c r="B7619" s="38"/>
    </row>
    <row r="7620" spans="2:2">
      <c r="B7620" s="38"/>
    </row>
    <row r="7621" spans="2:2">
      <c r="B7621" s="38"/>
    </row>
    <row r="7622" spans="2:2">
      <c r="B7622" s="38"/>
    </row>
    <row r="7623" spans="2:2">
      <c r="B7623" s="38"/>
    </row>
    <row r="7624" spans="2:2">
      <c r="B7624" s="38"/>
    </row>
    <row r="7625" spans="2:2">
      <c r="B7625" s="38"/>
    </row>
    <row r="7626" spans="2:2">
      <c r="B7626" s="38"/>
    </row>
    <row r="7627" spans="2:2">
      <c r="B7627" s="38"/>
    </row>
    <row r="7628" spans="2:2">
      <c r="B7628" s="38"/>
    </row>
    <row r="7629" spans="2:2">
      <c r="B7629" s="38"/>
    </row>
    <row r="7630" spans="2:2">
      <c r="B7630" s="38"/>
    </row>
    <row r="7631" spans="2:2">
      <c r="B7631" s="38"/>
    </row>
    <row r="7632" spans="2:2">
      <c r="B7632" s="38"/>
    </row>
    <row r="7633" spans="2:2">
      <c r="B7633" s="38"/>
    </row>
    <row r="7634" spans="2:2">
      <c r="B7634" s="38"/>
    </row>
    <row r="7635" spans="2:2">
      <c r="B7635" s="38"/>
    </row>
    <row r="7636" spans="2:2">
      <c r="B7636" s="38"/>
    </row>
    <row r="7637" spans="2:2">
      <c r="B7637" s="38"/>
    </row>
    <row r="7638" spans="2:2">
      <c r="B7638" s="38"/>
    </row>
    <row r="7639" spans="2:2">
      <c r="B7639" s="38"/>
    </row>
    <row r="7640" spans="2:2">
      <c r="B7640" s="38"/>
    </row>
    <row r="7641" spans="2:2">
      <c r="B7641" s="38"/>
    </row>
    <row r="7642" spans="2:2">
      <c r="B7642" s="38"/>
    </row>
    <row r="7643" spans="2:2">
      <c r="B7643" s="38"/>
    </row>
    <row r="7644" spans="2:2">
      <c r="B7644" s="38"/>
    </row>
    <row r="7645" spans="2:2">
      <c r="B7645" s="38"/>
    </row>
    <row r="7646" spans="2:2">
      <c r="B7646" s="38"/>
    </row>
    <row r="7647" spans="2:2">
      <c r="B7647" s="38"/>
    </row>
    <row r="7648" spans="2:2">
      <c r="B7648" s="38"/>
    </row>
    <row r="7649" spans="2:2">
      <c r="B7649" s="38"/>
    </row>
    <row r="7650" spans="2:2">
      <c r="B7650" s="38"/>
    </row>
    <row r="7651" spans="2:2">
      <c r="B7651" s="38"/>
    </row>
    <row r="7652" spans="2:2">
      <c r="B7652" s="38"/>
    </row>
    <row r="7653" spans="2:2">
      <c r="B7653" s="38"/>
    </row>
    <row r="7654" spans="2:2">
      <c r="B7654" s="38"/>
    </row>
    <row r="7655" spans="2:2">
      <c r="B7655" s="38"/>
    </row>
    <row r="7656" spans="2:2">
      <c r="B7656" s="38"/>
    </row>
    <row r="7657" spans="2:2">
      <c r="B7657" s="38"/>
    </row>
    <row r="7658" spans="2:2">
      <c r="B7658" s="38"/>
    </row>
    <row r="7659" spans="2:2">
      <c r="B7659" s="38"/>
    </row>
    <row r="7660" spans="2:2">
      <c r="B7660" s="38"/>
    </row>
    <row r="7661" spans="2:2">
      <c r="B7661" s="38"/>
    </row>
    <row r="7662" spans="2:2">
      <c r="B7662" s="38"/>
    </row>
    <row r="7663" spans="2:2">
      <c r="B7663" s="38"/>
    </row>
    <row r="7664" spans="2:2">
      <c r="B7664" s="38"/>
    </row>
    <row r="7665" spans="2:2">
      <c r="B7665" s="38"/>
    </row>
    <row r="7666" spans="2:2">
      <c r="B7666" s="38"/>
    </row>
    <row r="7667" spans="2:2">
      <c r="B7667" s="38"/>
    </row>
    <row r="7668" spans="2:2">
      <c r="B7668" s="38"/>
    </row>
    <row r="7669" spans="2:2">
      <c r="B7669" s="38"/>
    </row>
    <row r="7670" spans="2:2">
      <c r="B7670" s="38"/>
    </row>
    <row r="7671" spans="2:2">
      <c r="B7671" s="38"/>
    </row>
    <row r="7672" spans="2:2">
      <c r="B7672" s="38"/>
    </row>
    <row r="7673" spans="2:2">
      <c r="B7673" s="38"/>
    </row>
    <row r="7674" spans="2:2">
      <c r="B7674" s="38"/>
    </row>
    <row r="7675" spans="2:2">
      <c r="B7675" s="38"/>
    </row>
    <row r="7676" spans="2:2">
      <c r="B7676" s="38"/>
    </row>
    <row r="7677" spans="2:2">
      <c r="B7677" s="38"/>
    </row>
    <row r="7678" spans="2:2">
      <c r="B7678" s="38"/>
    </row>
    <row r="7679" spans="2:2">
      <c r="B7679" s="38"/>
    </row>
    <row r="7680" spans="2:2">
      <c r="B7680" s="38"/>
    </row>
    <row r="7681" spans="2:2">
      <c r="B7681" s="38"/>
    </row>
    <row r="7682" spans="2:2">
      <c r="B7682" s="38"/>
    </row>
    <row r="7683" spans="2:2">
      <c r="B7683" s="38"/>
    </row>
    <row r="7684" spans="2:2">
      <c r="B7684" s="38"/>
    </row>
    <row r="7685" spans="2:2">
      <c r="B7685" s="38"/>
    </row>
    <row r="7686" spans="2:2">
      <c r="B7686" s="38"/>
    </row>
    <row r="7687" spans="2:2">
      <c r="B7687" s="38"/>
    </row>
    <row r="7688" spans="2:2">
      <c r="B7688" s="38"/>
    </row>
    <row r="7689" spans="2:2">
      <c r="B7689" s="38"/>
    </row>
    <row r="7690" spans="2:2">
      <c r="B7690" s="38"/>
    </row>
    <row r="7691" spans="2:2">
      <c r="B7691" s="38"/>
    </row>
    <row r="7692" spans="2:2">
      <c r="B7692" s="38"/>
    </row>
    <row r="7693" spans="2:2">
      <c r="B7693" s="38"/>
    </row>
    <row r="7694" spans="2:2">
      <c r="B7694" s="38"/>
    </row>
    <row r="7695" spans="2:2">
      <c r="B7695" s="38"/>
    </row>
    <row r="7696" spans="2:2">
      <c r="B7696" s="38"/>
    </row>
    <row r="7697" spans="2:2">
      <c r="B7697" s="38"/>
    </row>
    <row r="7698" spans="2:2">
      <c r="B7698" s="38"/>
    </row>
    <row r="7699" spans="2:2">
      <c r="B7699" s="38"/>
    </row>
    <row r="7700" spans="2:2">
      <c r="B7700" s="38"/>
    </row>
    <row r="7701" spans="2:2">
      <c r="B7701" s="38"/>
    </row>
    <row r="7702" spans="2:2">
      <c r="B7702" s="38"/>
    </row>
    <row r="7703" spans="2:2">
      <c r="B7703" s="38"/>
    </row>
    <row r="7704" spans="2:2">
      <c r="B7704" s="38"/>
    </row>
    <row r="7705" spans="2:2">
      <c r="B7705" s="38"/>
    </row>
    <row r="7706" spans="2:2">
      <c r="B7706" s="38"/>
    </row>
    <row r="7707" spans="2:2">
      <c r="B7707" s="38"/>
    </row>
    <row r="7708" spans="2:2">
      <c r="B7708" s="38"/>
    </row>
    <row r="7709" spans="2:2">
      <c r="B7709" s="38"/>
    </row>
    <row r="7710" spans="2:2">
      <c r="B7710" s="38"/>
    </row>
    <row r="7711" spans="2:2">
      <c r="B7711" s="38"/>
    </row>
    <row r="7712" spans="2:2">
      <c r="B7712" s="38"/>
    </row>
    <row r="7713" spans="2:2">
      <c r="B7713" s="38"/>
    </row>
    <row r="7714" spans="2:2">
      <c r="B7714" s="38"/>
    </row>
    <row r="7715" spans="2:2">
      <c r="B7715" s="38"/>
    </row>
    <row r="7716" spans="2:2">
      <c r="B7716" s="38"/>
    </row>
    <row r="7717" spans="2:2">
      <c r="B7717" s="38"/>
    </row>
    <row r="7718" spans="2:2">
      <c r="B7718" s="38"/>
    </row>
    <row r="7719" spans="2:2">
      <c r="B7719" s="38"/>
    </row>
    <row r="7720" spans="2:2">
      <c r="B7720" s="38"/>
    </row>
    <row r="7721" spans="2:2">
      <c r="B7721" s="38"/>
    </row>
    <row r="7722" spans="2:2">
      <c r="B7722" s="38"/>
    </row>
    <row r="7723" spans="2:2">
      <c r="B7723" s="38"/>
    </row>
    <row r="7724" spans="2:2">
      <c r="B7724" s="38"/>
    </row>
    <row r="7725" spans="2:2">
      <c r="B7725" s="38"/>
    </row>
    <row r="7726" spans="2:2">
      <c r="B7726" s="38"/>
    </row>
    <row r="7727" spans="2:2">
      <c r="B7727" s="38"/>
    </row>
    <row r="7728" spans="2:2">
      <c r="B7728" s="38"/>
    </row>
    <row r="7729" spans="2:2">
      <c r="B7729" s="38"/>
    </row>
    <row r="7730" spans="2:2">
      <c r="B7730" s="38"/>
    </row>
    <row r="7731" spans="2:2">
      <c r="B7731" s="38"/>
    </row>
    <row r="7732" spans="2:2">
      <c r="B7732" s="38"/>
    </row>
    <row r="7733" spans="2:2">
      <c r="B7733" s="38"/>
    </row>
    <row r="7734" spans="2:2">
      <c r="B7734" s="38"/>
    </row>
    <row r="7735" spans="2:2">
      <c r="B7735" s="38"/>
    </row>
    <row r="7736" spans="2:2">
      <c r="B7736" s="38"/>
    </row>
    <row r="7737" spans="2:2">
      <c r="B7737" s="38"/>
    </row>
    <row r="7738" spans="2:2">
      <c r="B7738" s="38"/>
    </row>
    <row r="7739" spans="2:2">
      <c r="B7739" s="38"/>
    </row>
    <row r="7740" spans="2:2">
      <c r="B7740" s="38"/>
    </row>
    <row r="7741" spans="2:2">
      <c r="B7741" s="38"/>
    </row>
    <row r="7742" spans="2:2">
      <c r="B7742" s="38"/>
    </row>
    <row r="7743" spans="2:2">
      <c r="B7743" s="38"/>
    </row>
    <row r="7744" spans="2:2">
      <c r="B7744" s="38"/>
    </row>
    <row r="7745" spans="2:2">
      <c r="B7745" s="38"/>
    </row>
    <row r="7746" spans="2:2">
      <c r="B7746" s="38"/>
    </row>
    <row r="7747" spans="2:2">
      <c r="B7747" s="38"/>
    </row>
    <row r="7748" spans="2:2">
      <c r="B7748" s="38"/>
    </row>
    <row r="7749" spans="2:2">
      <c r="B7749" s="38"/>
    </row>
    <row r="7750" spans="2:2">
      <c r="B7750" s="38"/>
    </row>
    <row r="7751" spans="2:2">
      <c r="B7751" s="38"/>
    </row>
    <row r="7752" spans="2:2">
      <c r="B7752" s="38"/>
    </row>
    <row r="7753" spans="2:2">
      <c r="B7753" s="38"/>
    </row>
    <row r="7754" spans="2:2">
      <c r="B7754" s="38"/>
    </row>
    <row r="7755" spans="2:2">
      <c r="B7755" s="38"/>
    </row>
    <row r="7756" spans="2:2">
      <c r="B7756" s="38"/>
    </row>
    <row r="7757" spans="2:2">
      <c r="B7757" s="38"/>
    </row>
    <row r="7758" spans="2:2">
      <c r="B7758" s="38"/>
    </row>
    <row r="7759" spans="2:2">
      <c r="B7759" s="38"/>
    </row>
    <row r="7760" spans="2:2">
      <c r="B7760" s="38"/>
    </row>
    <row r="7761" spans="2:2">
      <c r="B7761" s="38"/>
    </row>
    <row r="7762" spans="2:2">
      <c r="B7762" s="38"/>
    </row>
    <row r="7763" spans="2:2">
      <c r="B7763" s="38"/>
    </row>
    <row r="7764" spans="2:2">
      <c r="B7764" s="38"/>
    </row>
    <row r="7765" spans="2:2">
      <c r="B7765" s="38"/>
    </row>
    <row r="7766" spans="2:2">
      <c r="B7766" s="38"/>
    </row>
    <row r="7767" spans="2:2">
      <c r="B7767" s="38"/>
    </row>
    <row r="7768" spans="2:2">
      <c r="B7768" s="38"/>
    </row>
    <row r="7769" spans="2:2">
      <c r="B7769" s="38"/>
    </row>
    <row r="7770" spans="2:2">
      <c r="B7770" s="38"/>
    </row>
    <row r="7771" spans="2:2">
      <c r="B7771" s="38"/>
    </row>
    <row r="7772" spans="2:2">
      <c r="B7772" s="38"/>
    </row>
    <row r="7773" spans="2:2">
      <c r="B7773" s="38"/>
    </row>
    <row r="7774" spans="2:2">
      <c r="B7774" s="38"/>
    </row>
    <row r="7775" spans="2:2">
      <c r="B7775" s="38"/>
    </row>
    <row r="7776" spans="2:2">
      <c r="B7776" s="38"/>
    </row>
    <row r="7777" spans="2:2">
      <c r="B7777" s="38"/>
    </row>
    <row r="7778" spans="2:2">
      <c r="B7778" s="38"/>
    </row>
    <row r="7779" spans="2:2">
      <c r="B7779" s="38"/>
    </row>
    <row r="7780" spans="2:2">
      <c r="B7780" s="38"/>
    </row>
    <row r="7781" spans="2:2">
      <c r="B7781" s="38"/>
    </row>
    <row r="7782" spans="2:2">
      <c r="B7782" s="38"/>
    </row>
    <row r="7783" spans="2:2">
      <c r="B7783" s="38"/>
    </row>
    <row r="7784" spans="2:2">
      <c r="B7784" s="38"/>
    </row>
    <row r="7785" spans="2:2">
      <c r="B7785" s="38"/>
    </row>
    <row r="7786" spans="2:2">
      <c r="B7786" s="38"/>
    </row>
    <row r="7787" spans="2:2">
      <c r="B7787" s="38"/>
    </row>
    <row r="7788" spans="2:2">
      <c r="B7788" s="38"/>
    </row>
    <row r="7789" spans="2:2">
      <c r="B7789" s="38"/>
    </row>
    <row r="7790" spans="2:2">
      <c r="B7790" s="38"/>
    </row>
    <row r="7791" spans="2:2">
      <c r="B7791" s="38"/>
    </row>
    <row r="7792" spans="2:2">
      <c r="B7792" s="38"/>
    </row>
    <row r="7793" spans="2:2">
      <c r="B7793" s="38"/>
    </row>
    <row r="7794" spans="2:2">
      <c r="B7794" s="38"/>
    </row>
    <row r="7795" spans="2:2">
      <c r="B7795" s="38"/>
    </row>
    <row r="7796" spans="2:2">
      <c r="B7796" s="38"/>
    </row>
    <row r="7797" spans="2:2">
      <c r="B7797" s="38"/>
    </row>
    <row r="7798" spans="2:2">
      <c r="B7798" s="38"/>
    </row>
    <row r="7799" spans="2:2">
      <c r="B7799" s="38"/>
    </row>
    <row r="7800" spans="2:2">
      <c r="B7800" s="38"/>
    </row>
    <row r="7801" spans="2:2">
      <c r="B7801" s="38"/>
    </row>
    <row r="7802" spans="2:2">
      <c r="B7802" s="38"/>
    </row>
    <row r="7803" spans="2:2">
      <c r="B7803" s="38"/>
    </row>
    <row r="7804" spans="2:2">
      <c r="B7804" s="38"/>
    </row>
    <row r="7805" spans="2:2">
      <c r="B7805" s="38"/>
    </row>
    <row r="7806" spans="2:2">
      <c r="B7806" s="38"/>
    </row>
    <row r="7807" spans="2:2">
      <c r="B7807" s="38"/>
    </row>
    <row r="7808" spans="2:2">
      <c r="B7808" s="38"/>
    </row>
    <row r="7809" spans="2:2">
      <c r="B7809" s="38"/>
    </row>
    <row r="7810" spans="2:2">
      <c r="B7810" s="38"/>
    </row>
    <row r="7811" spans="2:2">
      <c r="B7811" s="38"/>
    </row>
    <row r="7812" spans="2:2">
      <c r="B7812" s="38"/>
    </row>
    <row r="7813" spans="2:2">
      <c r="B7813" s="38"/>
    </row>
    <row r="7814" spans="2:2">
      <c r="B7814" s="38"/>
    </row>
    <row r="7815" spans="2:2">
      <c r="B7815" s="38"/>
    </row>
    <row r="7816" spans="2:2">
      <c r="B7816" s="38"/>
    </row>
    <row r="7817" spans="2:2">
      <c r="B7817" s="38"/>
    </row>
    <row r="7818" spans="2:2">
      <c r="B7818" s="38"/>
    </row>
    <row r="7819" spans="2:2">
      <c r="B7819" s="38"/>
    </row>
    <row r="7820" spans="2:2">
      <c r="B7820" s="38"/>
    </row>
    <row r="7821" spans="2:2">
      <c r="B7821" s="38"/>
    </row>
    <row r="7822" spans="2:2">
      <c r="B7822" s="38"/>
    </row>
    <row r="7823" spans="2:2">
      <c r="B7823" s="38"/>
    </row>
    <row r="7824" spans="2:2">
      <c r="B7824" s="38"/>
    </row>
    <row r="7825" spans="2:2">
      <c r="B7825" s="38"/>
    </row>
    <row r="7826" spans="2:2">
      <c r="B7826" s="38"/>
    </row>
    <row r="7827" spans="2:2">
      <c r="B7827" s="38"/>
    </row>
    <row r="7828" spans="2:2">
      <c r="B7828" s="38"/>
    </row>
    <row r="7829" spans="2:2">
      <c r="B7829" s="38"/>
    </row>
    <row r="7830" spans="2:2">
      <c r="B7830" s="38"/>
    </row>
    <row r="7831" spans="2:2">
      <c r="B7831" s="38"/>
    </row>
    <row r="7832" spans="2:2">
      <c r="B7832" s="38"/>
    </row>
    <row r="7833" spans="2:2">
      <c r="B7833" s="38"/>
    </row>
    <row r="7834" spans="2:2">
      <c r="B7834" s="38"/>
    </row>
    <row r="7835" spans="2:2">
      <c r="B7835" s="38"/>
    </row>
    <row r="7836" spans="2:2">
      <c r="B7836" s="38"/>
    </row>
    <row r="7837" spans="2:2">
      <c r="B7837" s="38"/>
    </row>
    <row r="7838" spans="2:2">
      <c r="B7838" s="38"/>
    </row>
    <row r="7839" spans="2:2">
      <c r="B7839" s="38"/>
    </row>
    <row r="7840" spans="2:2">
      <c r="B7840" s="38"/>
    </row>
    <row r="7841" spans="2:2">
      <c r="B7841" s="38"/>
    </row>
    <row r="7842" spans="2:2">
      <c r="B7842" s="38"/>
    </row>
    <row r="7843" spans="2:2">
      <c r="B7843" s="38"/>
    </row>
    <row r="7844" spans="2:2">
      <c r="B7844" s="38"/>
    </row>
    <row r="7845" spans="2:2">
      <c r="B7845" s="38"/>
    </row>
    <row r="7846" spans="2:2">
      <c r="B7846" s="38"/>
    </row>
    <row r="7847" spans="2:2">
      <c r="B7847" s="38"/>
    </row>
    <row r="7848" spans="2:2">
      <c r="B7848" s="38"/>
    </row>
    <row r="7849" spans="2:2">
      <c r="B7849" s="38"/>
    </row>
    <row r="7850" spans="2:2">
      <c r="B7850" s="38"/>
    </row>
    <row r="7851" spans="2:2">
      <c r="B7851" s="38"/>
    </row>
    <row r="7852" spans="2:2">
      <c r="B7852" s="38"/>
    </row>
    <row r="7853" spans="2:2">
      <c r="B7853" s="38"/>
    </row>
    <row r="7854" spans="2:2">
      <c r="B7854" s="38"/>
    </row>
    <row r="7855" spans="2:2">
      <c r="B7855" s="38"/>
    </row>
    <row r="7856" spans="2:2">
      <c r="B7856" s="38"/>
    </row>
    <row r="7857" spans="2:2">
      <c r="B7857" s="38"/>
    </row>
    <row r="7858" spans="2:2">
      <c r="B7858" s="38"/>
    </row>
    <row r="7859" spans="2:2">
      <c r="B7859" s="38"/>
    </row>
    <row r="7860" spans="2:2">
      <c r="B7860" s="38"/>
    </row>
    <row r="7861" spans="2:2">
      <c r="B7861" s="38"/>
    </row>
    <row r="7862" spans="2:2">
      <c r="B7862" s="38"/>
    </row>
    <row r="7863" spans="2:2">
      <c r="B7863" s="38"/>
    </row>
    <row r="7864" spans="2:2">
      <c r="B7864" s="38"/>
    </row>
    <row r="7865" spans="2:2">
      <c r="B7865" s="38"/>
    </row>
    <row r="7866" spans="2:2">
      <c r="B7866" s="38"/>
    </row>
    <row r="7867" spans="2:2">
      <c r="B7867" s="38"/>
    </row>
    <row r="7868" spans="2:2">
      <c r="B7868" s="38"/>
    </row>
    <row r="7869" spans="2:2">
      <c r="B7869" s="38"/>
    </row>
    <row r="7870" spans="2:2">
      <c r="B7870" s="38"/>
    </row>
    <row r="7871" spans="2:2">
      <c r="B7871" s="38"/>
    </row>
    <row r="7872" spans="2:2">
      <c r="B7872" s="38"/>
    </row>
    <row r="7873" spans="2:2">
      <c r="B7873" s="38"/>
    </row>
    <row r="7874" spans="2:2">
      <c r="B7874" s="38"/>
    </row>
    <row r="7875" spans="2:2">
      <c r="B7875" s="38"/>
    </row>
    <row r="7876" spans="2:2">
      <c r="B7876" s="38"/>
    </row>
    <row r="7877" spans="2:2">
      <c r="B7877" s="38"/>
    </row>
    <row r="7878" spans="2:2">
      <c r="B7878" s="38"/>
    </row>
    <row r="7879" spans="2:2">
      <c r="B7879" s="38"/>
    </row>
    <row r="7880" spans="2:2">
      <c r="B7880" s="38"/>
    </row>
    <row r="7881" spans="2:2">
      <c r="B7881" s="38"/>
    </row>
    <row r="7882" spans="2:2">
      <c r="B7882" s="38"/>
    </row>
    <row r="7883" spans="2:2">
      <c r="B7883" s="38"/>
    </row>
    <row r="7884" spans="2:2">
      <c r="B7884" s="38"/>
    </row>
    <row r="7885" spans="2:2">
      <c r="B7885" s="38"/>
    </row>
    <row r="7886" spans="2:2">
      <c r="B7886" s="38"/>
    </row>
    <row r="7887" spans="2:2">
      <c r="B7887" s="38"/>
    </row>
    <row r="7888" spans="2:2">
      <c r="B7888" s="38"/>
    </row>
    <row r="7889" spans="2:2">
      <c r="B7889" s="38"/>
    </row>
    <row r="7890" spans="2:2">
      <c r="B7890" s="38"/>
    </row>
    <row r="7891" spans="2:2">
      <c r="B7891" s="38"/>
    </row>
    <row r="7892" spans="2:2">
      <c r="B7892" s="38"/>
    </row>
    <row r="7893" spans="2:2">
      <c r="B7893" s="38"/>
    </row>
    <row r="7894" spans="2:2">
      <c r="B7894" s="38"/>
    </row>
    <row r="7895" spans="2:2">
      <c r="B7895" s="38"/>
    </row>
    <row r="7896" spans="2:2">
      <c r="B7896" s="38"/>
    </row>
    <row r="7897" spans="2:2">
      <c r="B7897" s="38"/>
    </row>
    <row r="7898" spans="2:2">
      <c r="B7898" s="38"/>
    </row>
    <row r="7899" spans="2:2">
      <c r="B7899" s="38"/>
    </row>
    <row r="7900" spans="2:2">
      <c r="B7900" s="38"/>
    </row>
    <row r="7901" spans="2:2">
      <c r="B7901" s="38"/>
    </row>
    <row r="7902" spans="2:2">
      <c r="B7902" s="38"/>
    </row>
    <row r="7903" spans="2:2">
      <c r="B7903" s="38"/>
    </row>
    <row r="7904" spans="2:2">
      <c r="B7904" s="38"/>
    </row>
    <row r="7905" spans="2:2">
      <c r="B7905" s="38"/>
    </row>
    <row r="7906" spans="2:2">
      <c r="B7906" s="38"/>
    </row>
    <row r="7907" spans="2:2">
      <c r="B7907" s="38"/>
    </row>
    <row r="7908" spans="2:2">
      <c r="B7908" s="38"/>
    </row>
    <row r="7909" spans="2:2">
      <c r="B7909" s="38"/>
    </row>
    <row r="7910" spans="2:2">
      <c r="B7910" s="38"/>
    </row>
    <row r="7911" spans="2:2">
      <c r="B7911" s="38"/>
    </row>
    <row r="7912" spans="2:2">
      <c r="B7912" s="38"/>
    </row>
    <row r="7913" spans="2:2">
      <c r="B7913" s="38"/>
    </row>
    <row r="7914" spans="2:2">
      <c r="B7914" s="38"/>
    </row>
    <row r="7915" spans="2:2">
      <c r="B7915" s="38"/>
    </row>
    <row r="7916" spans="2:2">
      <c r="B7916" s="38"/>
    </row>
    <row r="7917" spans="2:2">
      <c r="B7917" s="38"/>
    </row>
    <row r="7918" spans="2:2">
      <c r="B7918" s="38"/>
    </row>
    <row r="7919" spans="2:2">
      <c r="B7919" s="38"/>
    </row>
    <row r="7920" spans="2:2">
      <c r="B7920" s="38"/>
    </row>
    <row r="7921" spans="2:2">
      <c r="B7921" s="38"/>
    </row>
    <row r="7922" spans="2:2">
      <c r="B7922" s="38"/>
    </row>
    <row r="7923" spans="2:2">
      <c r="B7923" s="38"/>
    </row>
    <row r="7924" spans="2:2">
      <c r="B7924" s="38"/>
    </row>
    <row r="7925" spans="2:2">
      <c r="B7925" s="38"/>
    </row>
    <row r="7926" spans="2:2">
      <c r="B7926" s="38"/>
    </row>
    <row r="7927" spans="2:2">
      <c r="B7927" s="38"/>
    </row>
    <row r="7928" spans="2:2">
      <c r="B7928" s="38"/>
    </row>
    <row r="7929" spans="2:2">
      <c r="B7929" s="38"/>
    </row>
    <row r="7930" spans="2:2">
      <c r="B7930" s="38"/>
    </row>
    <row r="7931" spans="2:2">
      <c r="B7931" s="38"/>
    </row>
    <row r="7932" spans="2:2">
      <c r="B7932" s="38"/>
    </row>
    <row r="7933" spans="2:2">
      <c r="B7933" s="38"/>
    </row>
    <row r="7934" spans="2:2">
      <c r="B7934" s="38"/>
    </row>
    <row r="7935" spans="2:2">
      <c r="B7935" s="38"/>
    </row>
    <row r="7936" spans="2:2">
      <c r="B7936" s="38"/>
    </row>
    <row r="7937" spans="2:2">
      <c r="B7937" s="38"/>
    </row>
    <row r="7938" spans="2:2">
      <c r="B7938" s="38"/>
    </row>
    <row r="7939" spans="2:2">
      <c r="B7939" s="38"/>
    </row>
    <row r="7940" spans="2:2">
      <c r="B7940" s="38"/>
    </row>
    <row r="7941" spans="2:2">
      <c r="B7941" s="38"/>
    </row>
    <row r="7942" spans="2:2">
      <c r="B7942" s="38"/>
    </row>
    <row r="7943" spans="2:2">
      <c r="B7943" s="38"/>
    </row>
    <row r="7944" spans="2:2">
      <c r="B7944" s="38"/>
    </row>
    <row r="7945" spans="2:2">
      <c r="B7945" s="38"/>
    </row>
    <row r="7946" spans="2:2">
      <c r="B7946" s="38"/>
    </row>
    <row r="7947" spans="2:2">
      <c r="B7947" s="38"/>
    </row>
    <row r="7948" spans="2:2">
      <c r="B7948" s="38"/>
    </row>
    <row r="7949" spans="2:2">
      <c r="B7949" s="38"/>
    </row>
    <row r="7950" spans="2:2">
      <c r="B7950" s="38"/>
    </row>
    <row r="7951" spans="2:2">
      <c r="B7951" s="38"/>
    </row>
    <row r="7952" spans="2:2">
      <c r="B7952" s="38"/>
    </row>
    <row r="7953" spans="2:2">
      <c r="B7953" s="38"/>
    </row>
    <row r="7954" spans="2:2">
      <c r="B7954" s="38"/>
    </row>
    <row r="7955" spans="2:2">
      <c r="B7955" s="38"/>
    </row>
    <row r="7956" spans="2:2">
      <c r="B7956" s="38"/>
    </row>
    <row r="7957" spans="2:2">
      <c r="B7957" s="38"/>
    </row>
    <row r="7958" spans="2:2">
      <c r="B7958" s="38"/>
    </row>
    <row r="7959" spans="2:2">
      <c r="B7959" s="38"/>
    </row>
    <row r="7960" spans="2:2">
      <c r="B7960" s="38"/>
    </row>
    <row r="7961" spans="2:2">
      <c r="B7961" s="38"/>
    </row>
    <row r="7962" spans="2:2">
      <c r="B7962" s="38"/>
    </row>
    <row r="7963" spans="2:2">
      <c r="B7963" s="38"/>
    </row>
    <row r="7964" spans="2:2">
      <c r="B7964" s="38"/>
    </row>
    <row r="7965" spans="2:2">
      <c r="B7965" s="38"/>
    </row>
    <row r="7966" spans="2:2">
      <c r="B7966" s="38"/>
    </row>
    <row r="7967" spans="2:2">
      <c r="B7967" s="38"/>
    </row>
    <row r="7968" spans="2:2">
      <c r="B7968" s="38"/>
    </row>
    <row r="7969" spans="2:2">
      <c r="B7969" s="38"/>
    </row>
    <row r="7970" spans="2:2">
      <c r="B7970" s="38"/>
    </row>
    <row r="7971" spans="2:2">
      <c r="B7971" s="38"/>
    </row>
    <row r="7972" spans="2:2">
      <c r="B7972" s="38"/>
    </row>
    <row r="7973" spans="2:2">
      <c r="B7973" s="38"/>
    </row>
    <row r="7974" spans="2:2">
      <c r="B7974" s="38"/>
    </row>
    <row r="7975" spans="2:2">
      <c r="B7975" s="38"/>
    </row>
    <row r="7976" spans="2:2">
      <c r="B7976" s="38"/>
    </row>
    <row r="7977" spans="2:2">
      <c r="B7977" s="38"/>
    </row>
    <row r="7978" spans="2:2">
      <c r="B7978" s="38"/>
    </row>
    <row r="7979" spans="2:2">
      <c r="B7979" s="38"/>
    </row>
    <row r="7980" spans="2:2">
      <c r="B7980" s="38"/>
    </row>
    <row r="7981" spans="2:2">
      <c r="B7981" s="38"/>
    </row>
    <row r="7982" spans="2:2">
      <c r="B7982" s="38"/>
    </row>
    <row r="7983" spans="2:2">
      <c r="B7983" s="38"/>
    </row>
    <row r="7984" spans="2:2">
      <c r="B7984" s="38"/>
    </row>
    <row r="7985" spans="2:2">
      <c r="B7985" s="38"/>
    </row>
    <row r="7986" spans="2:2">
      <c r="B7986" s="38"/>
    </row>
    <row r="7987" spans="2:2">
      <c r="B7987" s="38"/>
    </row>
    <row r="7988" spans="2:2">
      <c r="B7988" s="38"/>
    </row>
    <row r="7989" spans="2:2">
      <c r="B7989" s="38"/>
    </row>
    <row r="7990" spans="2:2">
      <c r="B7990" s="38"/>
    </row>
    <row r="7991" spans="2:2">
      <c r="B7991" s="38"/>
    </row>
    <row r="7992" spans="2:2">
      <c r="B7992" s="38"/>
    </row>
    <row r="7993" spans="2:2">
      <c r="B7993" s="38"/>
    </row>
    <row r="7994" spans="2:2">
      <c r="B7994" s="38"/>
    </row>
    <row r="7995" spans="2:2">
      <c r="B7995" s="38"/>
    </row>
    <row r="7996" spans="2:2">
      <c r="B7996" s="38"/>
    </row>
    <row r="7997" spans="2:2">
      <c r="B7997" s="38"/>
    </row>
    <row r="7998" spans="2:2">
      <c r="B7998" s="38"/>
    </row>
    <row r="7999" spans="2:2">
      <c r="B7999" s="38"/>
    </row>
    <row r="8000" spans="2:2">
      <c r="B8000" s="38"/>
    </row>
    <row r="8001" spans="2:2">
      <c r="B8001" s="38"/>
    </row>
    <row r="8002" spans="2:2">
      <c r="B8002" s="38"/>
    </row>
    <row r="8003" spans="2:2">
      <c r="B8003" s="38"/>
    </row>
    <row r="8004" spans="2:2">
      <c r="B8004" s="38"/>
    </row>
    <row r="8005" spans="2:2">
      <c r="B8005" s="38"/>
    </row>
    <row r="8006" spans="2:2">
      <c r="B8006" s="38"/>
    </row>
    <row r="8007" spans="2:2">
      <c r="B8007" s="38"/>
    </row>
    <row r="8008" spans="2:2">
      <c r="B8008" s="38"/>
    </row>
    <row r="8009" spans="2:2">
      <c r="B8009" s="38"/>
    </row>
    <row r="8010" spans="2:2">
      <c r="B8010" s="38"/>
    </row>
    <row r="8011" spans="2:2">
      <c r="B8011" s="38"/>
    </row>
    <row r="8012" spans="2:2">
      <c r="B8012" s="38"/>
    </row>
    <row r="8013" spans="2:2">
      <c r="B8013" s="38"/>
    </row>
    <row r="8014" spans="2:2">
      <c r="B8014" s="38"/>
    </row>
    <row r="8015" spans="2:2">
      <c r="B8015" s="38"/>
    </row>
    <row r="8016" spans="2:2">
      <c r="B8016" s="38"/>
    </row>
    <row r="8017" spans="2:2">
      <c r="B8017" s="38"/>
    </row>
    <row r="8018" spans="2:2">
      <c r="B8018" s="38"/>
    </row>
    <row r="8019" spans="2:2">
      <c r="B8019" s="38"/>
    </row>
    <row r="8020" spans="2:2">
      <c r="B8020" s="38"/>
    </row>
    <row r="8021" spans="2:2">
      <c r="B8021" s="38"/>
    </row>
    <row r="8022" spans="2:2">
      <c r="B8022" s="38"/>
    </row>
    <row r="8023" spans="2:2">
      <c r="B8023" s="38"/>
    </row>
    <row r="8024" spans="2:2">
      <c r="B8024" s="38"/>
    </row>
    <row r="8025" spans="2:2">
      <c r="B8025" s="38"/>
    </row>
    <row r="8026" spans="2:2">
      <c r="B8026" s="38"/>
    </row>
    <row r="8027" spans="2:2">
      <c r="B8027" s="38"/>
    </row>
    <row r="8028" spans="2:2">
      <c r="B8028" s="38"/>
    </row>
    <row r="8029" spans="2:2">
      <c r="B8029" s="38"/>
    </row>
    <row r="8030" spans="2:2">
      <c r="B8030" s="38"/>
    </row>
    <row r="8031" spans="2:2">
      <c r="B8031" s="38"/>
    </row>
    <row r="8032" spans="2:2">
      <c r="B8032" s="38"/>
    </row>
    <row r="8033" spans="2:2">
      <c r="B8033" s="38"/>
    </row>
    <row r="8034" spans="2:2">
      <c r="B8034" s="38"/>
    </row>
    <row r="8035" spans="2:2">
      <c r="B8035" s="38"/>
    </row>
    <row r="8036" spans="2:2">
      <c r="B8036" s="38"/>
    </row>
    <row r="8037" spans="2:2">
      <c r="B8037" s="38"/>
    </row>
    <row r="8038" spans="2:2">
      <c r="B8038" s="38"/>
    </row>
    <row r="8039" spans="2:2">
      <c r="B8039" s="38"/>
    </row>
    <row r="8040" spans="2:2">
      <c r="B8040" s="38"/>
    </row>
    <row r="8041" spans="2:2">
      <c r="B8041" s="38"/>
    </row>
    <row r="8042" spans="2:2">
      <c r="B8042" s="38"/>
    </row>
    <row r="8043" spans="2:2">
      <c r="B8043" s="38"/>
    </row>
    <row r="8044" spans="2:2">
      <c r="B8044" s="38"/>
    </row>
    <row r="8045" spans="2:2">
      <c r="B8045" s="38"/>
    </row>
    <row r="8046" spans="2:2">
      <c r="B8046" s="38"/>
    </row>
    <row r="8047" spans="2:2">
      <c r="B8047" s="38"/>
    </row>
    <row r="8048" spans="2:2">
      <c r="B8048" s="38"/>
    </row>
    <row r="8049" spans="2:2">
      <c r="B8049" s="38"/>
    </row>
    <row r="8050" spans="2:2">
      <c r="B8050" s="38"/>
    </row>
    <row r="8051" spans="2:2">
      <c r="B8051" s="38"/>
    </row>
    <row r="8052" spans="2:2">
      <c r="B8052" s="38"/>
    </row>
    <row r="8053" spans="2:2">
      <c r="B8053" s="38"/>
    </row>
    <row r="8054" spans="2:2">
      <c r="B8054" s="38"/>
    </row>
    <row r="8055" spans="2:2">
      <c r="B8055" s="38"/>
    </row>
    <row r="8056" spans="2:2">
      <c r="B8056" s="38"/>
    </row>
    <row r="8057" spans="2:2">
      <c r="B8057" s="38"/>
    </row>
    <row r="8058" spans="2:2">
      <c r="B8058" s="38"/>
    </row>
    <row r="8059" spans="2:2">
      <c r="B8059" s="38"/>
    </row>
    <row r="8060" spans="2:2">
      <c r="B8060" s="38"/>
    </row>
    <row r="8061" spans="2:2">
      <c r="B8061" s="38"/>
    </row>
    <row r="8062" spans="2:2">
      <c r="B8062" s="38"/>
    </row>
    <row r="8063" spans="2:2">
      <c r="B8063" s="38"/>
    </row>
    <row r="8064" spans="2:2">
      <c r="B8064" s="38"/>
    </row>
    <row r="8065" spans="2:2">
      <c r="B8065" s="38"/>
    </row>
    <row r="8066" spans="2:2">
      <c r="B8066" s="38"/>
    </row>
    <row r="8067" spans="2:2">
      <c r="B8067" s="38"/>
    </row>
    <row r="8068" spans="2:2">
      <c r="B8068" s="38"/>
    </row>
    <row r="8069" spans="2:2">
      <c r="B8069" s="38"/>
    </row>
    <row r="8070" spans="2:2">
      <c r="B8070" s="38"/>
    </row>
    <row r="8071" spans="2:2">
      <c r="B8071" s="38"/>
    </row>
    <row r="8072" spans="2:2">
      <c r="B8072" s="38"/>
    </row>
    <row r="8073" spans="2:2">
      <c r="B8073" s="38"/>
    </row>
    <row r="8074" spans="2:2">
      <c r="B8074" s="38"/>
    </row>
    <row r="8075" spans="2:2">
      <c r="B8075" s="38"/>
    </row>
    <row r="8076" spans="2:2">
      <c r="B8076" s="38"/>
    </row>
    <row r="8077" spans="2:2">
      <c r="B8077" s="38"/>
    </row>
    <row r="8078" spans="2:2">
      <c r="B8078" s="38"/>
    </row>
    <row r="8079" spans="2:2">
      <c r="B8079" s="38"/>
    </row>
    <row r="8080" spans="2:2">
      <c r="B8080" s="38"/>
    </row>
    <row r="8081" spans="2:2">
      <c r="B8081" s="38"/>
    </row>
    <row r="8082" spans="2:2">
      <c r="B8082" s="38"/>
    </row>
    <row r="8083" spans="2:2">
      <c r="B8083" s="38"/>
    </row>
    <row r="8084" spans="2:2">
      <c r="B8084" s="38"/>
    </row>
    <row r="8085" spans="2:2">
      <c r="B8085" s="38"/>
    </row>
    <row r="8086" spans="2:2">
      <c r="B8086" s="38"/>
    </row>
    <row r="8087" spans="2:2">
      <c r="B8087" s="38"/>
    </row>
    <row r="8088" spans="2:2">
      <c r="B8088" s="38"/>
    </row>
    <row r="8089" spans="2:2">
      <c r="B8089" s="38"/>
    </row>
    <row r="8090" spans="2:2">
      <c r="B8090" s="38"/>
    </row>
    <row r="8091" spans="2:2">
      <c r="B8091" s="38"/>
    </row>
    <row r="8092" spans="2:2">
      <c r="B8092" s="38"/>
    </row>
    <row r="8093" spans="2:2">
      <c r="B8093" s="38"/>
    </row>
    <row r="8094" spans="2:2">
      <c r="B8094" s="38"/>
    </row>
    <row r="8095" spans="2:2">
      <c r="B8095" s="38"/>
    </row>
    <row r="8096" spans="2:2">
      <c r="B8096" s="38"/>
    </row>
    <row r="8097" spans="2:2">
      <c r="B8097" s="38"/>
    </row>
    <row r="8098" spans="2:2">
      <c r="B8098" s="38"/>
    </row>
    <row r="8099" spans="2:2">
      <c r="B8099" s="38"/>
    </row>
    <row r="8100" spans="2:2">
      <c r="B8100" s="38"/>
    </row>
    <row r="8101" spans="2:2">
      <c r="B8101" s="38"/>
    </row>
    <row r="8102" spans="2:2">
      <c r="B8102" s="38"/>
    </row>
    <row r="8103" spans="2:2">
      <c r="B8103" s="38"/>
    </row>
    <row r="8104" spans="2:2">
      <c r="B8104" s="38"/>
    </row>
    <row r="8105" spans="2:2">
      <c r="B8105" s="38"/>
    </row>
    <row r="8106" spans="2:2">
      <c r="B8106" s="38"/>
    </row>
    <row r="8107" spans="2:2">
      <c r="B8107" s="38"/>
    </row>
    <row r="8108" spans="2:2">
      <c r="B8108" s="38"/>
    </row>
    <row r="8109" spans="2:2">
      <c r="B8109" s="38"/>
    </row>
    <row r="8110" spans="2:2">
      <c r="B8110" s="38"/>
    </row>
    <row r="8111" spans="2:2">
      <c r="B8111" s="38"/>
    </row>
    <row r="8112" spans="2:2">
      <c r="B8112" s="38"/>
    </row>
    <row r="8113" spans="2:2">
      <c r="B8113" s="38"/>
    </row>
    <row r="8114" spans="2:2">
      <c r="B8114" s="38"/>
    </row>
    <row r="8115" spans="2:2">
      <c r="B8115" s="38"/>
    </row>
    <row r="8116" spans="2:2">
      <c r="B8116" s="38"/>
    </row>
    <row r="8117" spans="2:2">
      <c r="B8117" s="38"/>
    </row>
    <row r="8118" spans="2:2">
      <c r="B8118" s="38"/>
    </row>
    <row r="8119" spans="2:2">
      <c r="B8119" s="38"/>
    </row>
    <row r="8120" spans="2:2">
      <c r="B8120" s="38"/>
    </row>
    <row r="8121" spans="2:2">
      <c r="B8121" s="38"/>
    </row>
    <row r="8122" spans="2:2">
      <c r="B8122" s="38"/>
    </row>
    <row r="8123" spans="2:2">
      <c r="B8123" s="38"/>
    </row>
    <row r="8124" spans="2:2">
      <c r="B8124" s="38"/>
    </row>
    <row r="8125" spans="2:2">
      <c r="B8125" s="38"/>
    </row>
    <row r="8126" spans="2:2">
      <c r="B8126" s="38"/>
    </row>
    <row r="8127" spans="2:2">
      <c r="B8127" s="38"/>
    </row>
    <row r="8128" spans="2:2">
      <c r="B8128" s="38"/>
    </row>
    <row r="8129" spans="2:2">
      <c r="B8129" s="38"/>
    </row>
    <row r="8130" spans="2:2">
      <c r="B8130" s="38"/>
    </row>
    <row r="8131" spans="2:2">
      <c r="B8131" s="38"/>
    </row>
    <row r="8132" spans="2:2">
      <c r="B8132" s="38"/>
    </row>
    <row r="8133" spans="2:2">
      <c r="B8133" s="38"/>
    </row>
    <row r="8134" spans="2:2">
      <c r="B8134" s="38"/>
    </row>
    <row r="8135" spans="2:2">
      <c r="B8135" s="38"/>
    </row>
    <row r="8136" spans="2:2">
      <c r="B8136" s="38"/>
    </row>
    <row r="8137" spans="2:2">
      <c r="B8137" s="38"/>
    </row>
    <row r="8138" spans="2:2">
      <c r="B8138" s="38"/>
    </row>
    <row r="8139" spans="2:2">
      <c r="B8139" s="38"/>
    </row>
    <row r="8140" spans="2:2">
      <c r="B8140" s="38"/>
    </row>
    <row r="8141" spans="2:2">
      <c r="B8141" s="38"/>
    </row>
    <row r="8142" spans="2:2">
      <c r="B8142" s="38"/>
    </row>
    <row r="8143" spans="2:2">
      <c r="B8143" s="38"/>
    </row>
    <row r="8144" spans="2:2">
      <c r="B8144" s="38"/>
    </row>
    <row r="8145" spans="2:2">
      <c r="B8145" s="38"/>
    </row>
    <row r="8146" spans="2:2">
      <c r="B8146" s="38"/>
    </row>
    <row r="8147" spans="2:2">
      <c r="B8147" s="38"/>
    </row>
    <row r="8148" spans="2:2">
      <c r="B8148" s="38"/>
    </row>
    <row r="8149" spans="2:2">
      <c r="B8149" s="38"/>
    </row>
    <row r="8150" spans="2:2">
      <c r="B8150" s="38"/>
    </row>
    <row r="8151" spans="2:2">
      <c r="B8151" s="38"/>
    </row>
    <row r="8152" spans="2:2">
      <c r="B8152" s="38"/>
    </row>
    <row r="8153" spans="2:2">
      <c r="B8153" s="38"/>
    </row>
    <row r="8154" spans="2:2">
      <c r="B8154" s="38"/>
    </row>
    <row r="8155" spans="2:2">
      <c r="B8155" s="38"/>
    </row>
    <row r="8156" spans="2:2">
      <c r="B8156" s="38"/>
    </row>
    <row r="8157" spans="2:2">
      <c r="B8157" s="38"/>
    </row>
    <row r="8158" spans="2:2">
      <c r="B8158" s="38"/>
    </row>
    <row r="8159" spans="2:2">
      <c r="B8159" s="38"/>
    </row>
    <row r="8160" spans="2:2">
      <c r="B8160" s="38"/>
    </row>
    <row r="8161" spans="2:2">
      <c r="B8161" s="38"/>
    </row>
    <row r="8162" spans="2:2">
      <c r="B8162" s="38"/>
    </row>
    <row r="8163" spans="2:2">
      <c r="B8163" s="38"/>
    </row>
    <row r="8164" spans="2:2">
      <c r="B8164" s="38"/>
    </row>
    <row r="8165" spans="2:2">
      <c r="B8165" s="38"/>
    </row>
    <row r="8166" spans="2:2">
      <c r="B8166" s="38"/>
    </row>
    <row r="8167" spans="2:2">
      <c r="B8167" s="38"/>
    </row>
    <row r="8168" spans="2:2">
      <c r="B8168" s="38"/>
    </row>
    <row r="8169" spans="2:2">
      <c r="B8169" s="38"/>
    </row>
    <row r="8170" spans="2:2">
      <c r="B8170" s="38"/>
    </row>
    <row r="8171" spans="2:2">
      <c r="B8171" s="38"/>
    </row>
    <row r="8172" spans="2:2">
      <c r="B8172" s="38"/>
    </row>
    <row r="8173" spans="2:2">
      <c r="B8173" s="38"/>
    </row>
    <row r="8174" spans="2:2">
      <c r="B8174" s="38"/>
    </row>
    <row r="8175" spans="2:2">
      <c r="B8175" s="38"/>
    </row>
    <row r="8176" spans="2:2">
      <c r="B8176" s="38"/>
    </row>
    <row r="8177" spans="2:2">
      <c r="B8177" s="38"/>
    </row>
    <row r="8178" spans="2:2">
      <c r="B8178" s="38"/>
    </row>
    <row r="8179" spans="2:2">
      <c r="B8179" s="38"/>
    </row>
    <row r="8180" spans="2:2">
      <c r="B8180" s="38"/>
    </row>
    <row r="8181" spans="2:2">
      <c r="B8181" s="38"/>
    </row>
    <row r="8182" spans="2:2">
      <c r="B8182" s="38"/>
    </row>
    <row r="8183" spans="2:2">
      <c r="B8183" s="38"/>
    </row>
    <row r="8184" spans="2:2">
      <c r="B8184" s="38"/>
    </row>
    <row r="8185" spans="2:2">
      <c r="B8185" s="38"/>
    </row>
    <row r="8186" spans="2:2">
      <c r="B8186" s="38"/>
    </row>
    <row r="8187" spans="2:2">
      <c r="B8187" s="38"/>
    </row>
    <row r="8188" spans="2:2">
      <c r="B8188" s="38"/>
    </row>
    <row r="8189" spans="2:2">
      <c r="B8189" s="38"/>
    </row>
    <row r="8190" spans="2:2">
      <c r="B8190" s="38"/>
    </row>
    <row r="8191" spans="2:2">
      <c r="B8191" s="38"/>
    </row>
    <row r="8192" spans="2:2">
      <c r="B8192" s="38"/>
    </row>
    <row r="8193" spans="2:2">
      <c r="B8193" s="38"/>
    </row>
    <row r="8194" spans="2:2">
      <c r="B8194" s="38"/>
    </row>
    <row r="8195" spans="2:2">
      <c r="B8195" s="38"/>
    </row>
    <row r="8196" spans="2:2">
      <c r="B8196" s="38"/>
    </row>
    <row r="8197" spans="2:2">
      <c r="B8197" s="38"/>
    </row>
    <row r="8198" spans="2:2">
      <c r="B8198" s="38"/>
    </row>
    <row r="8199" spans="2:2">
      <c r="B8199" s="38"/>
    </row>
    <row r="8200" spans="2:2">
      <c r="B8200" s="38"/>
    </row>
    <row r="8201" spans="2:2">
      <c r="B8201" s="38"/>
    </row>
    <row r="8202" spans="2:2">
      <c r="B8202" s="38"/>
    </row>
    <row r="8203" spans="2:2">
      <c r="B8203" s="38"/>
    </row>
    <row r="8204" spans="2:2">
      <c r="B8204" s="38"/>
    </row>
    <row r="8205" spans="2:2">
      <c r="B8205" s="38"/>
    </row>
    <row r="8206" spans="2:2">
      <c r="B8206" s="38"/>
    </row>
    <row r="8207" spans="2:2">
      <c r="B8207" s="38"/>
    </row>
    <row r="8208" spans="2:2">
      <c r="B8208" s="38"/>
    </row>
    <row r="8209" spans="2:2">
      <c r="B8209" s="38"/>
    </row>
    <row r="8210" spans="2:2">
      <c r="B8210" s="38"/>
    </row>
    <row r="8211" spans="2:2">
      <c r="B8211" s="38"/>
    </row>
    <row r="8212" spans="2:2">
      <c r="B8212" s="38"/>
    </row>
    <row r="8213" spans="2:2">
      <c r="B8213" s="38"/>
    </row>
    <row r="8214" spans="2:2">
      <c r="B8214" s="38"/>
    </row>
    <row r="8215" spans="2:2">
      <c r="B8215" s="38"/>
    </row>
    <row r="8216" spans="2:2">
      <c r="B8216" s="38"/>
    </row>
    <row r="8217" spans="2:2">
      <c r="B8217" s="38"/>
    </row>
    <row r="8218" spans="2:2">
      <c r="B8218" s="38"/>
    </row>
    <row r="8219" spans="2:2">
      <c r="B8219" s="38"/>
    </row>
    <row r="8220" spans="2:2">
      <c r="B8220" s="38"/>
    </row>
    <row r="8221" spans="2:2">
      <c r="B8221" s="38"/>
    </row>
    <row r="8222" spans="2:2">
      <c r="B8222" s="38"/>
    </row>
    <row r="8223" spans="2:2">
      <c r="B8223" s="38"/>
    </row>
    <row r="8224" spans="2:2">
      <c r="B8224" s="38"/>
    </row>
    <row r="8225" spans="2:2">
      <c r="B8225" s="38"/>
    </row>
    <row r="8226" spans="2:2">
      <c r="B8226" s="38"/>
    </row>
    <row r="8227" spans="2:2">
      <c r="B8227" s="38"/>
    </row>
    <row r="8228" spans="2:2">
      <c r="B8228" s="38"/>
    </row>
    <row r="8229" spans="2:2">
      <c r="B8229" s="38"/>
    </row>
    <row r="8230" spans="2:2">
      <c r="B8230" s="38"/>
    </row>
    <row r="8231" spans="2:2">
      <c r="B8231" s="38"/>
    </row>
    <row r="8232" spans="2:2">
      <c r="B8232" s="38"/>
    </row>
    <row r="8233" spans="2:2">
      <c r="B8233" s="38"/>
    </row>
    <row r="8234" spans="2:2">
      <c r="B8234" s="38"/>
    </row>
    <row r="8235" spans="2:2">
      <c r="B8235" s="38"/>
    </row>
    <row r="8236" spans="2:2">
      <c r="B8236" s="38"/>
    </row>
    <row r="8237" spans="2:2">
      <c r="B8237" s="38"/>
    </row>
    <row r="8238" spans="2:2">
      <c r="B8238" s="38"/>
    </row>
    <row r="8239" spans="2:2">
      <c r="B8239" s="38"/>
    </row>
    <row r="8240" spans="2:2">
      <c r="B8240" s="38"/>
    </row>
    <row r="8241" spans="2:2">
      <c r="B8241" s="38"/>
    </row>
    <row r="8242" spans="2:2">
      <c r="B8242" s="38"/>
    </row>
    <row r="8243" spans="2:2">
      <c r="B8243" s="38"/>
    </row>
    <row r="8244" spans="2:2">
      <c r="B8244" s="38"/>
    </row>
    <row r="8245" spans="2:2">
      <c r="B8245" s="38"/>
    </row>
    <row r="8246" spans="2:2">
      <c r="B8246" s="38"/>
    </row>
    <row r="8247" spans="2:2">
      <c r="B8247" s="38"/>
    </row>
    <row r="8248" spans="2:2">
      <c r="B8248" s="38"/>
    </row>
    <row r="8249" spans="2:2">
      <c r="B8249" s="38"/>
    </row>
    <row r="8250" spans="2:2">
      <c r="B8250" s="38"/>
    </row>
    <row r="8251" spans="2:2">
      <c r="B8251" s="38"/>
    </row>
    <row r="8252" spans="2:2">
      <c r="B8252" s="38"/>
    </row>
    <row r="8253" spans="2:2">
      <c r="B8253" s="38"/>
    </row>
    <row r="8254" spans="2:2">
      <c r="B8254" s="38"/>
    </row>
    <row r="8255" spans="2:2">
      <c r="B8255" s="38"/>
    </row>
    <row r="8256" spans="2:2">
      <c r="B8256" s="38"/>
    </row>
    <row r="8257" spans="2:2">
      <c r="B8257" s="38"/>
    </row>
    <row r="8258" spans="2:2">
      <c r="B8258" s="38"/>
    </row>
    <row r="8259" spans="2:2">
      <c r="B8259" s="38"/>
    </row>
    <row r="8260" spans="2:2">
      <c r="B8260" s="38"/>
    </row>
    <row r="8261" spans="2:2">
      <c r="B8261" s="38"/>
    </row>
    <row r="8262" spans="2:2">
      <c r="B8262" s="38"/>
    </row>
    <row r="8263" spans="2:2">
      <c r="B8263" s="38"/>
    </row>
    <row r="8264" spans="2:2">
      <c r="B8264" s="38"/>
    </row>
    <row r="8265" spans="2:2">
      <c r="B8265" s="38"/>
    </row>
    <row r="8266" spans="2:2">
      <c r="B8266" s="38"/>
    </row>
    <row r="8267" spans="2:2">
      <c r="B8267" s="38"/>
    </row>
    <row r="8268" spans="2:2">
      <c r="B8268" s="38"/>
    </row>
    <row r="8269" spans="2:2">
      <c r="B8269" s="38"/>
    </row>
    <row r="8270" spans="2:2">
      <c r="B8270" s="38"/>
    </row>
    <row r="8271" spans="2:2">
      <c r="B8271" s="38"/>
    </row>
    <row r="8272" spans="2:2">
      <c r="B8272" s="38"/>
    </row>
    <row r="8273" spans="2:2">
      <c r="B8273" s="38"/>
    </row>
    <row r="8274" spans="2:2">
      <c r="B8274" s="38"/>
    </row>
    <row r="8275" spans="2:2">
      <c r="B8275" s="38"/>
    </row>
    <row r="8276" spans="2:2">
      <c r="B8276" s="38"/>
    </row>
    <row r="8277" spans="2:2">
      <c r="B8277" s="38"/>
    </row>
    <row r="8278" spans="2:2">
      <c r="B8278" s="38"/>
    </row>
    <row r="8279" spans="2:2">
      <c r="B8279" s="38"/>
    </row>
    <row r="8280" spans="2:2">
      <c r="B8280" s="38"/>
    </row>
    <row r="8281" spans="2:2">
      <c r="B8281" s="38"/>
    </row>
    <row r="8282" spans="2:2">
      <c r="B8282" s="38"/>
    </row>
    <row r="8283" spans="2:2">
      <c r="B8283" s="38"/>
    </row>
    <row r="8284" spans="2:2">
      <c r="B8284" s="38"/>
    </row>
    <row r="8285" spans="2:2">
      <c r="B8285" s="38"/>
    </row>
    <row r="8286" spans="2:2">
      <c r="B8286" s="38"/>
    </row>
    <row r="8287" spans="2:2">
      <c r="B8287" s="38"/>
    </row>
    <row r="8288" spans="2:2">
      <c r="B8288" s="38"/>
    </row>
    <row r="8289" spans="2:2">
      <c r="B8289" s="38"/>
    </row>
    <row r="8290" spans="2:2">
      <c r="B8290" s="38"/>
    </row>
    <row r="8291" spans="2:2">
      <c r="B8291" s="38"/>
    </row>
    <row r="8292" spans="2:2">
      <c r="B8292" s="38"/>
    </row>
    <row r="8293" spans="2:2">
      <c r="B8293" s="38"/>
    </row>
    <row r="8294" spans="2:2">
      <c r="B8294" s="38"/>
    </row>
    <row r="8295" spans="2:2">
      <c r="B8295" s="38"/>
    </row>
    <row r="8296" spans="2:2">
      <c r="B8296" s="38"/>
    </row>
    <row r="8297" spans="2:2">
      <c r="B8297" s="38"/>
    </row>
    <row r="8298" spans="2:2">
      <c r="B8298" s="38"/>
    </row>
    <row r="8299" spans="2:2">
      <c r="B8299" s="38"/>
    </row>
    <row r="8300" spans="2:2">
      <c r="B8300" s="38"/>
    </row>
    <row r="8301" spans="2:2">
      <c r="B8301" s="38"/>
    </row>
    <row r="8302" spans="2:2">
      <c r="B8302" s="38"/>
    </row>
    <row r="8303" spans="2:2">
      <c r="B8303" s="38"/>
    </row>
    <row r="8304" spans="2:2">
      <c r="B8304" s="38"/>
    </row>
    <row r="8305" spans="2:2">
      <c r="B8305" s="38"/>
    </row>
    <row r="8306" spans="2:2">
      <c r="B8306" s="38"/>
    </row>
    <row r="8307" spans="2:2">
      <c r="B8307" s="38"/>
    </row>
    <row r="8308" spans="2:2">
      <c r="B8308" s="38"/>
    </row>
    <row r="8309" spans="2:2">
      <c r="B8309" s="38"/>
    </row>
    <row r="8310" spans="2:2">
      <c r="B8310" s="38"/>
    </row>
    <row r="8311" spans="2:2">
      <c r="B8311" s="38"/>
    </row>
    <row r="8312" spans="2:2">
      <c r="B8312" s="38"/>
    </row>
    <row r="8313" spans="2:2">
      <c r="B8313" s="38"/>
    </row>
    <row r="8314" spans="2:2">
      <c r="B8314" s="38"/>
    </row>
    <row r="8315" spans="2:2">
      <c r="B8315" s="38"/>
    </row>
    <row r="8316" spans="2:2">
      <c r="B8316" s="38"/>
    </row>
    <row r="8317" spans="2:2">
      <c r="B8317" s="38"/>
    </row>
    <row r="8318" spans="2:2">
      <c r="B8318" s="38"/>
    </row>
    <row r="8319" spans="2:2">
      <c r="B8319" s="38"/>
    </row>
    <row r="8320" spans="2:2">
      <c r="B8320" s="38"/>
    </row>
    <row r="8321" spans="2:2">
      <c r="B8321" s="38"/>
    </row>
    <row r="8322" spans="2:2">
      <c r="B8322" s="38"/>
    </row>
    <row r="8323" spans="2:2">
      <c r="B8323" s="38"/>
    </row>
    <row r="8324" spans="2:2">
      <c r="B8324" s="38"/>
    </row>
    <row r="8325" spans="2:2">
      <c r="B8325" s="38"/>
    </row>
    <row r="8326" spans="2:2">
      <c r="B8326" s="38"/>
    </row>
    <row r="8327" spans="2:2">
      <c r="B8327" s="38"/>
    </row>
    <row r="8328" spans="2:2">
      <c r="B8328" s="38"/>
    </row>
    <row r="8329" spans="2:2">
      <c r="B8329" s="38"/>
    </row>
    <row r="8330" spans="2:2">
      <c r="B8330" s="38"/>
    </row>
    <row r="8331" spans="2:2">
      <c r="B8331" s="38"/>
    </row>
    <row r="8332" spans="2:2">
      <c r="B8332" s="38"/>
    </row>
    <row r="8333" spans="2:2">
      <c r="B8333" s="38"/>
    </row>
    <row r="8334" spans="2:2">
      <c r="B8334" s="38"/>
    </row>
    <row r="8335" spans="2:2">
      <c r="B8335" s="38"/>
    </row>
    <row r="8336" spans="2:2">
      <c r="B8336" s="38"/>
    </row>
    <row r="8337" spans="2:2">
      <c r="B8337" s="38"/>
    </row>
    <row r="8338" spans="2:2">
      <c r="B8338" s="38"/>
    </row>
    <row r="8339" spans="2:2">
      <c r="B8339" s="38"/>
    </row>
    <row r="8340" spans="2:2">
      <c r="B8340" s="38"/>
    </row>
    <row r="8341" spans="2:2">
      <c r="B8341" s="38"/>
    </row>
    <row r="8342" spans="2:2">
      <c r="B8342" s="38"/>
    </row>
    <row r="8343" spans="2:2">
      <c r="B8343" s="38"/>
    </row>
    <row r="8344" spans="2:2">
      <c r="B8344" s="38"/>
    </row>
    <row r="8345" spans="2:2">
      <c r="B8345" s="38"/>
    </row>
    <row r="8346" spans="2:2">
      <c r="B8346" s="38"/>
    </row>
    <row r="8347" spans="2:2">
      <c r="B8347" s="38"/>
    </row>
    <row r="8348" spans="2:2">
      <c r="B8348" s="38"/>
    </row>
    <row r="8349" spans="2:2">
      <c r="B8349" s="38"/>
    </row>
    <row r="8350" spans="2:2">
      <c r="B8350" s="38"/>
    </row>
    <row r="8351" spans="2:2">
      <c r="B8351" s="38"/>
    </row>
    <row r="8352" spans="2:2">
      <c r="B8352" s="38"/>
    </row>
    <row r="8353" spans="2:2">
      <c r="B8353" s="38"/>
    </row>
    <row r="8354" spans="2:2">
      <c r="B8354" s="38"/>
    </row>
    <row r="8355" spans="2:2">
      <c r="B8355" s="38"/>
    </row>
    <row r="8356" spans="2:2">
      <c r="B8356" s="38"/>
    </row>
    <row r="8357" spans="2:2">
      <c r="B8357" s="38"/>
    </row>
    <row r="8358" spans="2:2">
      <c r="B8358" s="38"/>
    </row>
    <row r="8359" spans="2:2">
      <c r="B8359" s="38"/>
    </row>
    <row r="8360" spans="2:2">
      <c r="B8360" s="38"/>
    </row>
    <row r="8361" spans="2:2">
      <c r="B8361" s="38"/>
    </row>
    <row r="8362" spans="2:2">
      <c r="B8362" s="38"/>
    </row>
    <row r="8363" spans="2:2">
      <c r="B8363" s="38"/>
    </row>
    <row r="8364" spans="2:2">
      <c r="B8364" s="38"/>
    </row>
    <row r="8365" spans="2:2">
      <c r="B8365" s="38"/>
    </row>
    <row r="8366" spans="2:2">
      <c r="B8366" s="38"/>
    </row>
    <row r="8367" spans="2:2">
      <c r="B8367" s="38"/>
    </row>
    <row r="8368" spans="2:2">
      <c r="B8368" s="38"/>
    </row>
    <row r="8369" spans="2:2">
      <c r="B8369" s="38"/>
    </row>
    <row r="8370" spans="2:2">
      <c r="B8370" s="38"/>
    </row>
    <row r="8371" spans="2:2">
      <c r="B8371" s="38"/>
    </row>
    <row r="8372" spans="2:2">
      <c r="B8372" s="38"/>
    </row>
    <row r="8373" spans="2:2">
      <c r="B8373" s="38"/>
    </row>
    <row r="8374" spans="2:2">
      <c r="B8374" s="38"/>
    </row>
    <row r="8375" spans="2:2">
      <c r="B8375" s="38"/>
    </row>
    <row r="8376" spans="2:2">
      <c r="B8376" s="38"/>
    </row>
    <row r="8377" spans="2:2">
      <c r="B8377" s="38"/>
    </row>
    <row r="8378" spans="2:2">
      <c r="B8378" s="38"/>
    </row>
    <row r="8379" spans="2:2">
      <c r="B8379" s="38"/>
    </row>
    <row r="8380" spans="2:2">
      <c r="B8380" s="38"/>
    </row>
    <row r="8381" spans="2:2">
      <c r="B8381" s="38"/>
    </row>
    <row r="8382" spans="2:2">
      <c r="B8382" s="38"/>
    </row>
    <row r="8383" spans="2:2">
      <c r="B8383" s="38"/>
    </row>
    <row r="8384" spans="2:2">
      <c r="B8384" s="38"/>
    </row>
    <row r="8385" spans="2:2">
      <c r="B8385" s="38"/>
    </row>
    <row r="8386" spans="2:2">
      <c r="B8386" s="38"/>
    </row>
    <row r="8387" spans="2:2">
      <c r="B8387" s="38"/>
    </row>
    <row r="8388" spans="2:2">
      <c r="B8388" s="38"/>
    </row>
    <row r="8389" spans="2:2">
      <c r="B8389" s="38"/>
    </row>
    <row r="8390" spans="2:2">
      <c r="B8390" s="38"/>
    </row>
    <row r="8391" spans="2:2">
      <c r="B8391" s="38"/>
    </row>
    <row r="8392" spans="2:2">
      <c r="B8392" s="38"/>
    </row>
    <row r="8393" spans="2:2">
      <c r="B8393" s="38"/>
    </row>
    <row r="8394" spans="2:2">
      <c r="B8394" s="38"/>
    </row>
    <row r="8395" spans="2:2">
      <c r="B8395" s="38"/>
    </row>
    <row r="8396" spans="2:2">
      <c r="B8396" s="38"/>
    </row>
    <row r="8397" spans="2:2">
      <c r="B8397" s="38"/>
    </row>
    <row r="8398" spans="2:2">
      <c r="B8398" s="38"/>
    </row>
    <row r="8399" spans="2:2">
      <c r="B8399" s="38"/>
    </row>
    <row r="8400" spans="2:2">
      <c r="B8400" s="38"/>
    </row>
    <row r="8401" spans="2:2">
      <c r="B8401" s="38"/>
    </row>
    <row r="8402" spans="2:2">
      <c r="B8402" s="38"/>
    </row>
    <row r="8403" spans="2:2">
      <c r="B8403" s="38"/>
    </row>
    <row r="8404" spans="2:2">
      <c r="B8404" s="38"/>
    </row>
    <row r="8405" spans="2:2">
      <c r="B8405" s="38"/>
    </row>
    <row r="8406" spans="2:2">
      <c r="B8406" s="38"/>
    </row>
    <row r="8407" spans="2:2">
      <c r="B8407" s="38"/>
    </row>
    <row r="8408" spans="2:2">
      <c r="B8408" s="38"/>
    </row>
    <row r="8409" spans="2:2">
      <c r="B8409" s="38"/>
    </row>
    <row r="8410" spans="2:2">
      <c r="B8410" s="38"/>
    </row>
    <row r="8411" spans="2:2">
      <c r="B8411" s="38"/>
    </row>
    <row r="8412" spans="2:2">
      <c r="B8412" s="38"/>
    </row>
    <row r="8413" spans="2:2">
      <c r="B8413" s="38"/>
    </row>
    <row r="8414" spans="2:2">
      <c r="B8414" s="38"/>
    </row>
    <row r="8415" spans="2:2">
      <c r="B8415" s="38"/>
    </row>
    <row r="8416" spans="2:2">
      <c r="B8416" s="38"/>
    </row>
    <row r="8417" spans="2:2">
      <c r="B8417" s="38"/>
    </row>
    <row r="8418" spans="2:2">
      <c r="B8418" s="38"/>
    </row>
    <row r="8419" spans="2:2">
      <c r="B8419" s="38"/>
    </row>
    <row r="8420" spans="2:2">
      <c r="B8420" s="38"/>
    </row>
    <row r="8421" spans="2:2">
      <c r="B8421" s="38"/>
    </row>
    <row r="8422" spans="2:2">
      <c r="B8422" s="38"/>
    </row>
    <row r="8423" spans="2:2">
      <c r="B8423" s="38"/>
    </row>
    <row r="8424" spans="2:2">
      <c r="B8424" s="38"/>
    </row>
    <row r="8425" spans="2:2">
      <c r="B8425" s="38"/>
    </row>
    <row r="8426" spans="2:2">
      <c r="B8426" s="38"/>
    </row>
    <row r="8427" spans="2:2">
      <c r="B8427" s="38"/>
    </row>
    <row r="8428" spans="2:2">
      <c r="B8428" s="38"/>
    </row>
    <row r="8429" spans="2:2">
      <c r="B8429" s="38"/>
    </row>
    <row r="8430" spans="2:2">
      <c r="B8430" s="38"/>
    </row>
    <row r="8431" spans="2:2">
      <c r="B8431" s="38"/>
    </row>
    <row r="8432" spans="2:2">
      <c r="B8432" s="38"/>
    </row>
    <row r="8433" spans="2:2">
      <c r="B8433" s="38"/>
    </row>
    <row r="8434" spans="2:2">
      <c r="B8434" s="38"/>
    </row>
    <row r="8435" spans="2:2">
      <c r="B8435" s="38"/>
    </row>
    <row r="8436" spans="2:2">
      <c r="B8436" s="38"/>
    </row>
    <row r="8437" spans="2:2">
      <c r="B8437" s="38"/>
    </row>
    <row r="8438" spans="2:2">
      <c r="B8438" s="38"/>
    </row>
    <row r="8439" spans="2:2">
      <c r="B8439" s="38"/>
    </row>
    <row r="8440" spans="2:2">
      <c r="B8440" s="38"/>
    </row>
    <row r="8441" spans="2:2">
      <c r="B8441" s="38"/>
    </row>
    <row r="8442" spans="2:2">
      <c r="B8442" s="38"/>
    </row>
    <row r="8443" spans="2:2">
      <c r="B8443" s="38"/>
    </row>
    <row r="8444" spans="2:2">
      <c r="B8444" s="38"/>
    </row>
    <row r="8445" spans="2:2">
      <c r="B8445" s="38"/>
    </row>
    <row r="8446" spans="2:2">
      <c r="B8446" s="38"/>
    </row>
    <row r="8447" spans="2:2">
      <c r="B8447" s="38"/>
    </row>
    <row r="8448" spans="2:2">
      <c r="B8448" s="38"/>
    </row>
    <row r="8449" spans="2:2">
      <c r="B8449" s="38"/>
    </row>
    <row r="8450" spans="2:2">
      <c r="B8450" s="38"/>
    </row>
    <row r="8451" spans="2:2">
      <c r="B8451" s="38"/>
    </row>
    <row r="8452" spans="2:2">
      <c r="B8452" s="38"/>
    </row>
    <row r="8453" spans="2:2">
      <c r="B8453" s="38"/>
    </row>
    <row r="8454" spans="2:2">
      <c r="B8454" s="38"/>
    </row>
    <row r="8455" spans="2:2">
      <c r="B8455" s="38"/>
    </row>
    <row r="8456" spans="2:2">
      <c r="B8456" s="38"/>
    </row>
    <row r="8457" spans="2:2">
      <c r="B8457" s="38"/>
    </row>
    <row r="8458" spans="2:2">
      <c r="B8458" s="38"/>
    </row>
    <row r="8459" spans="2:2">
      <c r="B8459" s="38"/>
    </row>
    <row r="8460" spans="2:2">
      <c r="B8460" s="38"/>
    </row>
    <row r="8461" spans="2:2">
      <c r="B8461" s="38"/>
    </row>
    <row r="8462" spans="2:2">
      <c r="B8462" s="38"/>
    </row>
    <row r="8463" spans="2:2">
      <c r="B8463" s="38"/>
    </row>
    <row r="8464" spans="2:2">
      <c r="B8464" s="38"/>
    </row>
    <row r="8465" spans="2:2">
      <c r="B8465" s="38"/>
    </row>
    <row r="8466" spans="2:2">
      <c r="B8466" s="38"/>
    </row>
    <row r="8467" spans="2:2">
      <c r="B8467" s="38"/>
    </row>
    <row r="8468" spans="2:2">
      <c r="B8468" s="38"/>
    </row>
    <row r="8469" spans="2:2">
      <c r="B8469" s="38"/>
    </row>
    <row r="8470" spans="2:2">
      <c r="B8470" s="38"/>
    </row>
    <row r="8471" spans="2:2">
      <c r="B8471" s="38"/>
    </row>
    <row r="8472" spans="2:2">
      <c r="B8472" s="38"/>
    </row>
    <row r="8473" spans="2:2">
      <c r="B8473" s="38"/>
    </row>
    <row r="8474" spans="2:2">
      <c r="B8474" s="38"/>
    </row>
    <row r="8475" spans="2:2">
      <c r="B8475" s="38"/>
    </row>
    <row r="8476" spans="2:2">
      <c r="B8476" s="38"/>
    </row>
    <row r="8477" spans="2:2">
      <c r="B8477" s="38"/>
    </row>
    <row r="8478" spans="2:2">
      <c r="B8478" s="38"/>
    </row>
    <row r="8479" spans="2:2">
      <c r="B8479" s="38"/>
    </row>
    <row r="8480" spans="2:2">
      <c r="B8480" s="38"/>
    </row>
    <row r="8481" spans="2:2">
      <c r="B8481" s="38"/>
    </row>
    <row r="8482" spans="2:2">
      <c r="B8482" s="38"/>
    </row>
    <row r="8483" spans="2:2">
      <c r="B8483" s="38"/>
    </row>
    <row r="8484" spans="2:2">
      <c r="B8484" s="38"/>
    </row>
    <row r="8485" spans="2:2">
      <c r="B8485" s="38"/>
    </row>
    <row r="8486" spans="2:2">
      <c r="B8486" s="38"/>
    </row>
    <row r="8487" spans="2:2">
      <c r="B8487" s="38"/>
    </row>
    <row r="8488" spans="2:2">
      <c r="B8488" s="38"/>
    </row>
    <row r="8489" spans="2:2">
      <c r="B8489" s="38"/>
    </row>
    <row r="8490" spans="2:2">
      <c r="B8490" s="38"/>
    </row>
    <row r="8491" spans="2:2">
      <c r="B8491" s="38"/>
    </row>
    <row r="8492" spans="2:2">
      <c r="B8492" s="38"/>
    </row>
    <row r="8493" spans="2:2">
      <c r="B8493" s="38"/>
    </row>
    <row r="8494" spans="2:2">
      <c r="B8494" s="38"/>
    </row>
    <row r="8495" spans="2:2">
      <c r="B8495" s="38"/>
    </row>
    <row r="8496" spans="2:2">
      <c r="B8496" s="38"/>
    </row>
    <row r="8497" spans="2:2">
      <c r="B8497" s="38"/>
    </row>
    <row r="8498" spans="2:2">
      <c r="B8498" s="38"/>
    </row>
    <row r="8499" spans="2:2">
      <c r="B8499" s="38"/>
    </row>
    <row r="8500" spans="2:2">
      <c r="B8500" s="38"/>
    </row>
    <row r="8501" spans="2:2">
      <c r="B8501" s="38"/>
    </row>
    <row r="8502" spans="2:2">
      <c r="B8502" s="38"/>
    </row>
    <row r="8503" spans="2:2">
      <c r="B8503" s="38"/>
    </row>
    <row r="8504" spans="2:2">
      <c r="B8504" s="38"/>
    </row>
    <row r="8505" spans="2:2">
      <c r="B8505" s="38"/>
    </row>
    <row r="8506" spans="2:2">
      <c r="B8506" s="38"/>
    </row>
    <row r="8507" spans="2:2">
      <c r="B8507" s="38"/>
    </row>
    <row r="8508" spans="2:2">
      <c r="B8508" s="38"/>
    </row>
    <row r="8509" spans="2:2">
      <c r="B8509" s="38"/>
    </row>
    <row r="8510" spans="2:2">
      <c r="B8510" s="38"/>
    </row>
    <row r="8511" spans="2:2">
      <c r="B8511" s="38"/>
    </row>
    <row r="8512" spans="2:2">
      <c r="B8512" s="38"/>
    </row>
    <row r="8513" spans="2:2">
      <c r="B8513" s="38"/>
    </row>
    <row r="8514" spans="2:2">
      <c r="B8514" s="38"/>
    </row>
    <row r="8515" spans="2:2">
      <c r="B8515" s="38"/>
    </row>
    <row r="8516" spans="2:2">
      <c r="B8516" s="38"/>
    </row>
    <row r="8517" spans="2:2">
      <c r="B8517" s="38"/>
    </row>
    <row r="8518" spans="2:2">
      <c r="B8518" s="38"/>
    </row>
    <row r="8519" spans="2:2">
      <c r="B8519" s="38"/>
    </row>
    <row r="8520" spans="2:2">
      <c r="B8520" s="38"/>
    </row>
    <row r="8521" spans="2:2">
      <c r="B8521" s="38"/>
    </row>
    <row r="8522" spans="2:2">
      <c r="B8522" s="38"/>
    </row>
    <row r="8523" spans="2:2">
      <c r="B8523" s="38"/>
    </row>
    <row r="8524" spans="2:2">
      <c r="B8524" s="38"/>
    </row>
    <row r="8525" spans="2:2">
      <c r="B8525" s="38"/>
    </row>
    <row r="8526" spans="2:2">
      <c r="B8526" s="38"/>
    </row>
    <row r="8527" spans="2:2">
      <c r="B8527" s="38"/>
    </row>
    <row r="8528" spans="2:2">
      <c r="B8528" s="38"/>
    </row>
    <row r="8529" spans="2:2">
      <c r="B8529" s="38"/>
    </row>
    <row r="8530" spans="2:2">
      <c r="B8530" s="38"/>
    </row>
    <row r="8531" spans="2:2">
      <c r="B8531" s="38"/>
    </row>
    <row r="8532" spans="2:2">
      <c r="B8532" s="38"/>
    </row>
    <row r="8533" spans="2:2">
      <c r="B8533" s="38"/>
    </row>
    <row r="8534" spans="2:2">
      <c r="B8534" s="38"/>
    </row>
    <row r="8535" spans="2:2">
      <c r="B8535" s="38"/>
    </row>
    <row r="8536" spans="2:2">
      <c r="B8536" s="38"/>
    </row>
    <row r="8537" spans="2:2">
      <c r="B8537" s="38"/>
    </row>
    <row r="8538" spans="2:2">
      <c r="B8538" s="38"/>
    </row>
    <row r="8539" spans="2:2">
      <c r="B8539" s="38"/>
    </row>
    <row r="8540" spans="2:2">
      <c r="B8540" s="38"/>
    </row>
    <row r="8541" spans="2:2">
      <c r="B8541" s="38"/>
    </row>
    <row r="8542" spans="2:2">
      <c r="B8542" s="38"/>
    </row>
    <row r="8543" spans="2:2">
      <c r="B8543" s="38"/>
    </row>
    <row r="8544" spans="2:2">
      <c r="B8544" s="38"/>
    </row>
    <row r="8545" spans="2:2">
      <c r="B8545" s="38"/>
    </row>
    <row r="8546" spans="2:2">
      <c r="B8546" s="38"/>
    </row>
    <row r="8547" spans="2:2">
      <c r="B8547" s="38"/>
    </row>
    <row r="8548" spans="2:2">
      <c r="B8548" s="38"/>
    </row>
    <row r="8549" spans="2:2">
      <c r="B8549" s="38"/>
    </row>
    <row r="8550" spans="2:2">
      <c r="B8550" s="38"/>
    </row>
    <row r="8551" spans="2:2">
      <c r="B8551" s="38"/>
    </row>
    <row r="8552" spans="2:2">
      <c r="B8552" s="38"/>
    </row>
    <row r="8553" spans="2:2">
      <c r="B8553" s="38"/>
    </row>
    <row r="8554" spans="2:2">
      <c r="B8554" s="38"/>
    </row>
    <row r="8555" spans="2:2">
      <c r="B8555" s="38"/>
    </row>
    <row r="8556" spans="2:2">
      <c r="B8556" s="38"/>
    </row>
    <row r="8557" spans="2:2">
      <c r="B8557" s="38"/>
    </row>
    <row r="8558" spans="2:2">
      <c r="B8558" s="38"/>
    </row>
    <row r="8559" spans="2:2">
      <c r="B8559" s="38"/>
    </row>
    <row r="8560" spans="2:2">
      <c r="B8560" s="38"/>
    </row>
    <row r="8561" spans="2:2">
      <c r="B8561" s="38"/>
    </row>
    <row r="8562" spans="2:2">
      <c r="B8562" s="38"/>
    </row>
    <row r="8563" spans="2:2">
      <c r="B8563" s="38"/>
    </row>
    <row r="8564" spans="2:2">
      <c r="B8564" s="38"/>
    </row>
    <row r="8565" spans="2:2">
      <c r="B8565" s="38"/>
    </row>
    <row r="8566" spans="2:2">
      <c r="B8566" s="38"/>
    </row>
    <row r="8567" spans="2:2">
      <c r="B8567" s="38"/>
    </row>
    <row r="8568" spans="2:2">
      <c r="B8568" s="38"/>
    </row>
    <row r="8569" spans="2:2">
      <c r="B8569" s="38"/>
    </row>
    <row r="8570" spans="2:2">
      <c r="B8570" s="38"/>
    </row>
    <row r="8571" spans="2:2">
      <c r="B8571" s="38"/>
    </row>
    <row r="8572" spans="2:2">
      <c r="B8572" s="38"/>
    </row>
    <row r="8573" spans="2:2">
      <c r="B8573" s="38"/>
    </row>
    <row r="8574" spans="2:2">
      <c r="B8574" s="38"/>
    </row>
    <row r="8575" spans="2:2">
      <c r="B8575" s="38"/>
    </row>
    <row r="8576" spans="2:2">
      <c r="B8576" s="38"/>
    </row>
    <row r="8577" spans="2:2">
      <c r="B8577" s="38"/>
    </row>
    <row r="8578" spans="2:2">
      <c r="B8578" s="38"/>
    </row>
    <row r="8579" spans="2:2">
      <c r="B8579" s="38"/>
    </row>
    <row r="8580" spans="2:2">
      <c r="B8580" s="38"/>
    </row>
    <row r="8581" spans="2:2">
      <c r="B8581" s="38"/>
    </row>
    <row r="8582" spans="2:2">
      <c r="B8582" s="38"/>
    </row>
    <row r="8583" spans="2:2">
      <c r="B8583" s="38"/>
    </row>
    <row r="8584" spans="2:2">
      <c r="B8584" s="38"/>
    </row>
    <row r="8585" spans="2:2">
      <c r="B8585" s="38"/>
    </row>
    <row r="8586" spans="2:2">
      <c r="B8586" s="38"/>
    </row>
    <row r="8587" spans="2:2">
      <c r="B8587" s="38"/>
    </row>
    <row r="8588" spans="2:2">
      <c r="B8588" s="38"/>
    </row>
    <row r="8589" spans="2:2">
      <c r="B8589" s="38"/>
    </row>
    <row r="8590" spans="2:2">
      <c r="B8590" s="38"/>
    </row>
    <row r="8591" spans="2:2">
      <c r="B8591" s="38"/>
    </row>
    <row r="8592" spans="2:2">
      <c r="B8592" s="38"/>
    </row>
    <row r="8593" spans="2:2">
      <c r="B8593" s="38"/>
    </row>
    <row r="8594" spans="2:2">
      <c r="B8594" s="38"/>
    </row>
    <row r="8595" spans="2:2">
      <c r="B8595" s="38"/>
    </row>
    <row r="8596" spans="2:2">
      <c r="B8596" s="38"/>
    </row>
    <row r="8597" spans="2:2">
      <c r="B8597" s="38"/>
    </row>
    <row r="8598" spans="2:2">
      <c r="B8598" s="38"/>
    </row>
    <row r="8599" spans="2:2">
      <c r="B8599" s="38"/>
    </row>
    <row r="8600" spans="2:2">
      <c r="B8600" s="38"/>
    </row>
    <row r="8601" spans="2:2">
      <c r="B8601" s="38"/>
    </row>
    <row r="8602" spans="2:2">
      <c r="B8602" s="38"/>
    </row>
    <row r="8603" spans="2:2">
      <c r="B8603" s="38"/>
    </row>
    <row r="8604" spans="2:2">
      <c r="B8604" s="38"/>
    </row>
    <row r="8605" spans="2:2">
      <c r="B8605" s="38"/>
    </row>
    <row r="8606" spans="2:2">
      <c r="B8606" s="38"/>
    </row>
    <row r="8607" spans="2:2">
      <c r="B8607" s="38"/>
    </row>
    <row r="8608" spans="2:2">
      <c r="B8608" s="38"/>
    </row>
    <row r="8609" spans="2:2">
      <c r="B8609" s="38"/>
    </row>
    <row r="8610" spans="2:2">
      <c r="B8610" s="38"/>
    </row>
    <row r="8611" spans="2:2">
      <c r="B8611" s="38"/>
    </row>
    <row r="8612" spans="2:2">
      <c r="B8612" s="38"/>
    </row>
    <row r="8613" spans="2:2">
      <c r="B8613" s="38"/>
    </row>
    <row r="8614" spans="2:2">
      <c r="B8614" s="38"/>
    </row>
    <row r="8615" spans="2:2">
      <c r="B8615" s="38"/>
    </row>
    <row r="8616" spans="2:2">
      <c r="B8616" s="38"/>
    </row>
    <row r="8617" spans="2:2">
      <c r="B8617" s="38"/>
    </row>
    <row r="8618" spans="2:2">
      <c r="B8618" s="38"/>
    </row>
    <row r="8619" spans="2:2">
      <c r="B8619" s="38"/>
    </row>
    <row r="8620" spans="2:2">
      <c r="B8620" s="38"/>
    </row>
    <row r="8621" spans="2:2">
      <c r="B8621" s="38"/>
    </row>
    <row r="8622" spans="2:2">
      <c r="B8622" s="38"/>
    </row>
    <row r="8623" spans="2:2">
      <c r="B8623" s="38"/>
    </row>
    <row r="8624" spans="2:2">
      <c r="B8624" s="38"/>
    </row>
    <row r="8625" spans="2:2">
      <c r="B8625" s="38"/>
    </row>
    <row r="8626" spans="2:2">
      <c r="B8626" s="38"/>
    </row>
    <row r="8627" spans="2:2">
      <c r="B8627" s="38"/>
    </row>
    <row r="8628" spans="2:2">
      <c r="B8628" s="38"/>
    </row>
    <row r="8629" spans="2:2">
      <c r="B8629" s="38"/>
    </row>
    <row r="8630" spans="2:2">
      <c r="B8630" s="38"/>
    </row>
    <row r="8631" spans="2:2">
      <c r="B8631" s="38"/>
    </row>
    <row r="8632" spans="2:2">
      <c r="B8632" s="38"/>
    </row>
    <row r="8633" spans="2:2">
      <c r="B8633" s="38"/>
    </row>
    <row r="8634" spans="2:2">
      <c r="B8634" s="38"/>
    </row>
    <row r="8635" spans="2:2">
      <c r="B8635" s="38"/>
    </row>
    <row r="8636" spans="2:2">
      <c r="B8636" s="38"/>
    </row>
    <row r="8637" spans="2:2">
      <c r="B8637" s="38"/>
    </row>
    <row r="8638" spans="2:2">
      <c r="B8638" s="38"/>
    </row>
    <row r="8639" spans="2:2">
      <c r="B8639" s="38"/>
    </row>
    <row r="8640" spans="2:2">
      <c r="B8640" s="38"/>
    </row>
    <row r="8641" spans="2:2">
      <c r="B8641" s="38"/>
    </row>
    <row r="8642" spans="2:2">
      <c r="B8642" s="38"/>
    </row>
    <row r="8643" spans="2:2">
      <c r="B8643" s="38"/>
    </row>
    <row r="8644" spans="2:2">
      <c r="B8644" s="38"/>
    </row>
    <row r="8645" spans="2:2">
      <c r="B8645" s="38"/>
    </row>
    <row r="8646" spans="2:2">
      <c r="B8646" s="38"/>
    </row>
    <row r="8647" spans="2:2">
      <c r="B8647" s="38"/>
    </row>
    <row r="8648" spans="2:2">
      <c r="B8648" s="38"/>
    </row>
    <row r="8649" spans="2:2">
      <c r="B8649" s="38"/>
    </row>
    <row r="8650" spans="2:2">
      <c r="B8650" s="38"/>
    </row>
    <row r="8651" spans="2:2">
      <c r="B8651" s="38"/>
    </row>
    <row r="8652" spans="2:2">
      <c r="B8652" s="38"/>
    </row>
    <row r="8653" spans="2:2">
      <c r="B8653" s="38"/>
    </row>
    <row r="8654" spans="2:2">
      <c r="B8654" s="38"/>
    </row>
    <row r="8655" spans="2:2">
      <c r="B8655" s="38"/>
    </row>
    <row r="8656" spans="2:2">
      <c r="B8656" s="38"/>
    </row>
    <row r="8657" spans="2:2">
      <c r="B8657" s="38"/>
    </row>
    <row r="8658" spans="2:2">
      <c r="B8658" s="38"/>
    </row>
    <row r="8659" spans="2:2">
      <c r="B8659" s="38"/>
    </row>
    <row r="8660" spans="2:2">
      <c r="B8660" s="38"/>
    </row>
    <row r="8661" spans="2:2">
      <c r="B8661" s="38"/>
    </row>
    <row r="8662" spans="2:2">
      <c r="B8662" s="38"/>
    </row>
    <row r="8663" spans="2:2">
      <c r="B8663" s="38"/>
    </row>
    <row r="8664" spans="2:2">
      <c r="B8664" s="38"/>
    </row>
    <row r="8665" spans="2:2">
      <c r="B8665" s="38"/>
    </row>
    <row r="8666" spans="2:2">
      <c r="B8666" s="38"/>
    </row>
    <row r="8667" spans="2:2">
      <c r="B8667" s="38"/>
    </row>
    <row r="8668" spans="2:2">
      <c r="B8668" s="38"/>
    </row>
    <row r="8669" spans="2:2">
      <c r="B8669" s="38"/>
    </row>
    <row r="8670" spans="2:2">
      <c r="B8670" s="38"/>
    </row>
    <row r="8671" spans="2:2">
      <c r="B8671" s="38"/>
    </row>
    <row r="8672" spans="2:2">
      <c r="B8672" s="38"/>
    </row>
    <row r="8673" spans="2:2">
      <c r="B8673" s="38"/>
    </row>
    <row r="8674" spans="2:2">
      <c r="B8674" s="38"/>
    </row>
    <row r="8675" spans="2:2">
      <c r="B8675" s="38"/>
    </row>
    <row r="8676" spans="2:2">
      <c r="B8676" s="38"/>
    </row>
    <row r="8677" spans="2:2">
      <c r="B8677" s="38"/>
    </row>
    <row r="8678" spans="2:2">
      <c r="B8678" s="38"/>
    </row>
    <row r="8679" spans="2:2">
      <c r="B8679" s="38"/>
    </row>
    <row r="8680" spans="2:2">
      <c r="B8680" s="38"/>
    </row>
    <row r="8681" spans="2:2">
      <c r="B8681" s="38"/>
    </row>
    <row r="8682" spans="2:2">
      <c r="B8682" s="38"/>
    </row>
    <row r="8683" spans="2:2">
      <c r="B8683" s="38"/>
    </row>
    <row r="8684" spans="2:2">
      <c r="B8684" s="38"/>
    </row>
    <row r="8685" spans="2:2">
      <c r="B8685" s="38"/>
    </row>
    <row r="8686" spans="2:2">
      <c r="B8686" s="38"/>
    </row>
    <row r="8687" spans="2:2">
      <c r="B8687" s="38"/>
    </row>
    <row r="8688" spans="2:2">
      <c r="B8688" s="38"/>
    </row>
    <row r="8689" spans="2:2">
      <c r="B8689" s="38"/>
    </row>
    <row r="8690" spans="2:2">
      <c r="B8690" s="38"/>
    </row>
    <row r="8691" spans="2:2">
      <c r="B8691" s="38"/>
    </row>
    <row r="8692" spans="2:2">
      <c r="B8692" s="38"/>
    </row>
    <row r="8693" spans="2:2">
      <c r="B8693" s="38"/>
    </row>
    <row r="8694" spans="2:2">
      <c r="B8694" s="38"/>
    </row>
    <row r="8695" spans="2:2">
      <c r="B8695" s="38"/>
    </row>
    <row r="8696" spans="2:2">
      <c r="B8696" s="38"/>
    </row>
    <row r="8697" spans="2:2">
      <c r="B8697" s="38"/>
    </row>
    <row r="8698" spans="2:2">
      <c r="B8698" s="38"/>
    </row>
    <row r="8699" spans="2:2">
      <c r="B8699" s="38"/>
    </row>
    <row r="8700" spans="2:2">
      <c r="B8700" s="38"/>
    </row>
    <row r="8701" spans="2:2">
      <c r="B8701" s="38"/>
    </row>
    <row r="8702" spans="2:2">
      <c r="B8702" s="38"/>
    </row>
    <row r="8703" spans="2:2">
      <c r="B8703" s="38"/>
    </row>
    <row r="8704" spans="2:2">
      <c r="B8704" s="38"/>
    </row>
    <row r="8705" spans="2:2">
      <c r="B8705" s="38"/>
    </row>
    <row r="8706" spans="2:2">
      <c r="B8706" s="38"/>
    </row>
    <row r="8707" spans="2:2">
      <c r="B8707" s="38"/>
    </row>
    <row r="8708" spans="2:2">
      <c r="B8708" s="38"/>
    </row>
    <row r="8709" spans="2:2">
      <c r="B8709" s="38"/>
    </row>
    <row r="8710" spans="2:2">
      <c r="B8710" s="38"/>
    </row>
    <row r="8711" spans="2:2">
      <c r="B8711" s="38"/>
    </row>
    <row r="8712" spans="2:2">
      <c r="B8712" s="38"/>
    </row>
    <row r="8713" spans="2:2">
      <c r="B8713" s="38"/>
    </row>
    <row r="8714" spans="2:2">
      <c r="B8714" s="38"/>
    </row>
    <row r="8715" spans="2:2">
      <c r="B8715" s="38"/>
    </row>
    <row r="8716" spans="2:2">
      <c r="B8716" s="38"/>
    </row>
    <row r="8717" spans="2:2">
      <c r="B8717" s="38"/>
    </row>
    <row r="8718" spans="2:2">
      <c r="B8718" s="38"/>
    </row>
    <row r="8719" spans="2:2">
      <c r="B8719" s="38"/>
    </row>
    <row r="8720" spans="2:2">
      <c r="B8720" s="38"/>
    </row>
    <row r="8721" spans="2:2">
      <c r="B8721" s="38"/>
    </row>
    <row r="8722" spans="2:2">
      <c r="B8722" s="38"/>
    </row>
    <row r="8723" spans="2:2">
      <c r="B8723" s="38"/>
    </row>
    <row r="8724" spans="2:2">
      <c r="B8724" s="38"/>
    </row>
    <row r="8725" spans="2:2">
      <c r="B8725" s="38"/>
    </row>
    <row r="8726" spans="2:2">
      <c r="B8726" s="38"/>
    </row>
    <row r="8727" spans="2:2">
      <c r="B8727" s="38"/>
    </row>
    <row r="8728" spans="2:2">
      <c r="B8728" s="38"/>
    </row>
    <row r="8729" spans="2:2">
      <c r="B8729" s="38"/>
    </row>
    <row r="8730" spans="2:2">
      <c r="B8730" s="38"/>
    </row>
    <row r="8731" spans="2:2">
      <c r="B8731" s="38"/>
    </row>
    <row r="8732" spans="2:2">
      <c r="B8732" s="38"/>
    </row>
    <row r="8733" spans="2:2">
      <c r="B8733" s="38"/>
    </row>
    <row r="8734" spans="2:2">
      <c r="B8734" s="38"/>
    </row>
    <row r="8735" spans="2:2">
      <c r="B8735" s="38"/>
    </row>
    <row r="8736" spans="2:2">
      <c r="B8736" s="38"/>
    </row>
    <row r="8737" spans="2:2">
      <c r="B8737" s="38"/>
    </row>
    <row r="8738" spans="2:2">
      <c r="B8738" s="38"/>
    </row>
    <row r="8739" spans="2:2">
      <c r="B8739" s="38"/>
    </row>
    <row r="8740" spans="2:2">
      <c r="B8740" s="38"/>
    </row>
    <row r="8741" spans="2:2">
      <c r="B8741" s="38"/>
    </row>
    <row r="8742" spans="2:2">
      <c r="B8742" s="38"/>
    </row>
    <row r="8743" spans="2:2">
      <c r="B8743" s="38"/>
    </row>
    <row r="8744" spans="2:2">
      <c r="B8744" s="38"/>
    </row>
    <row r="8745" spans="2:2">
      <c r="B8745" s="38"/>
    </row>
    <row r="8746" spans="2:2">
      <c r="B8746" s="38"/>
    </row>
    <row r="8747" spans="2:2">
      <c r="B8747" s="38"/>
    </row>
    <row r="8748" spans="2:2">
      <c r="B8748" s="38"/>
    </row>
    <row r="8749" spans="2:2">
      <c r="B8749" s="38"/>
    </row>
    <row r="8750" spans="2:2">
      <c r="B8750" s="38"/>
    </row>
    <row r="8751" spans="2:2">
      <c r="B8751" s="38"/>
    </row>
    <row r="8752" spans="2:2">
      <c r="B8752" s="38"/>
    </row>
    <row r="8753" spans="2:2">
      <c r="B8753" s="38"/>
    </row>
    <row r="8754" spans="2:2">
      <c r="B8754" s="38"/>
    </row>
    <row r="8755" spans="2:2">
      <c r="B8755" s="38"/>
    </row>
    <row r="8756" spans="2:2">
      <c r="B8756" s="38"/>
    </row>
    <row r="8757" spans="2:2">
      <c r="B8757" s="38"/>
    </row>
    <row r="8758" spans="2:2">
      <c r="B8758" s="38"/>
    </row>
    <row r="8759" spans="2:2">
      <c r="B8759" s="38"/>
    </row>
    <row r="8760" spans="2:2">
      <c r="B8760" s="38"/>
    </row>
    <row r="8761" spans="2:2">
      <c r="B8761" s="38"/>
    </row>
    <row r="8762" spans="2:2">
      <c r="B8762" s="38"/>
    </row>
    <row r="8763" spans="2:2">
      <c r="B8763" s="38"/>
    </row>
    <row r="8764" spans="2:2">
      <c r="B8764" s="38"/>
    </row>
    <row r="8765" spans="2:2">
      <c r="B8765" s="38"/>
    </row>
    <row r="8766" spans="2:2">
      <c r="B8766" s="38"/>
    </row>
    <row r="8767" spans="2:2">
      <c r="B8767" s="38"/>
    </row>
    <row r="8768" spans="2:2">
      <c r="B8768" s="38"/>
    </row>
    <row r="8769" spans="2:2">
      <c r="B8769" s="38"/>
    </row>
    <row r="8770" spans="2:2">
      <c r="B8770" s="38"/>
    </row>
    <row r="8771" spans="2:2">
      <c r="B8771" s="38"/>
    </row>
    <row r="8772" spans="2:2">
      <c r="B8772" s="38"/>
    </row>
    <row r="8773" spans="2:2">
      <c r="B8773" s="38"/>
    </row>
    <row r="8774" spans="2:2">
      <c r="B8774" s="38"/>
    </row>
    <row r="8775" spans="2:2">
      <c r="B8775" s="38"/>
    </row>
    <row r="8776" spans="2:2">
      <c r="B8776" s="38"/>
    </row>
    <row r="8777" spans="2:2">
      <c r="B8777" s="38"/>
    </row>
    <row r="8778" spans="2:2">
      <c r="B8778" s="38"/>
    </row>
    <row r="8779" spans="2:2">
      <c r="B8779" s="38"/>
    </row>
    <row r="8780" spans="2:2">
      <c r="B8780" s="38"/>
    </row>
    <row r="8781" spans="2:2">
      <c r="B8781" s="38"/>
    </row>
    <row r="8782" spans="2:2">
      <c r="B8782" s="38"/>
    </row>
    <row r="8783" spans="2:2">
      <c r="B8783" s="38"/>
    </row>
    <row r="8784" spans="2:2">
      <c r="B8784" s="38"/>
    </row>
    <row r="8785" spans="2:2">
      <c r="B8785" s="38"/>
    </row>
    <row r="8786" spans="2:2">
      <c r="B8786" s="38"/>
    </row>
    <row r="8787" spans="2:2">
      <c r="B8787" s="38"/>
    </row>
    <row r="8788" spans="2:2">
      <c r="B8788" s="38"/>
    </row>
    <row r="8789" spans="2:2">
      <c r="B8789" s="38"/>
    </row>
    <row r="8790" spans="2:2">
      <c r="B8790" s="38"/>
    </row>
    <row r="8791" spans="2:2">
      <c r="B8791" s="38"/>
    </row>
    <row r="8792" spans="2:2">
      <c r="B8792" s="38"/>
    </row>
    <row r="8793" spans="2:2">
      <c r="B8793" s="38"/>
    </row>
    <row r="8794" spans="2:2">
      <c r="B8794" s="38"/>
    </row>
    <row r="8795" spans="2:2">
      <c r="B8795" s="38"/>
    </row>
    <row r="8796" spans="2:2">
      <c r="B8796" s="38"/>
    </row>
    <row r="8797" spans="2:2">
      <c r="B8797" s="38"/>
    </row>
    <row r="8798" spans="2:2">
      <c r="B8798" s="38"/>
    </row>
    <row r="8799" spans="2:2">
      <c r="B8799" s="38"/>
    </row>
    <row r="8800" spans="2:2">
      <c r="B8800" s="38"/>
    </row>
    <row r="8801" spans="2:2">
      <c r="B8801" s="38"/>
    </row>
    <row r="8802" spans="2:2">
      <c r="B8802" s="38"/>
    </row>
    <row r="8803" spans="2:2">
      <c r="B8803" s="38"/>
    </row>
    <row r="8804" spans="2:2">
      <c r="B8804" s="38"/>
    </row>
    <row r="8805" spans="2:2">
      <c r="B8805" s="38"/>
    </row>
    <row r="8806" spans="2:2">
      <c r="B8806" s="38"/>
    </row>
    <row r="8807" spans="2:2">
      <c r="B8807" s="38"/>
    </row>
    <row r="8808" spans="2:2">
      <c r="B8808" s="38"/>
    </row>
    <row r="8809" spans="2:2">
      <c r="B8809" s="38"/>
    </row>
    <row r="8810" spans="2:2">
      <c r="B8810" s="38"/>
    </row>
    <row r="8811" spans="2:2">
      <c r="B8811" s="38"/>
    </row>
    <row r="8812" spans="2:2">
      <c r="B8812" s="38"/>
    </row>
    <row r="8813" spans="2:2">
      <c r="B8813" s="38"/>
    </row>
    <row r="8814" spans="2:2">
      <c r="B8814" s="38"/>
    </row>
    <row r="8815" spans="2:2">
      <c r="B8815" s="38"/>
    </row>
    <row r="8816" spans="2:2">
      <c r="B8816" s="38"/>
    </row>
    <row r="8817" spans="2:2">
      <c r="B8817" s="38"/>
    </row>
    <row r="8818" spans="2:2">
      <c r="B8818" s="38"/>
    </row>
    <row r="8819" spans="2:2">
      <c r="B8819" s="38"/>
    </row>
    <row r="8820" spans="2:2">
      <c r="B8820" s="38"/>
    </row>
    <row r="8821" spans="2:2">
      <c r="B8821" s="38"/>
    </row>
    <row r="8822" spans="2:2">
      <c r="B8822" s="38"/>
    </row>
    <row r="8823" spans="2:2">
      <c r="B8823" s="38"/>
    </row>
    <row r="8824" spans="2:2">
      <c r="B8824" s="38"/>
    </row>
    <row r="8825" spans="2:2">
      <c r="B8825" s="38"/>
    </row>
    <row r="8826" spans="2:2">
      <c r="B8826" s="38"/>
    </row>
    <row r="8827" spans="2:2">
      <c r="B8827" s="38"/>
    </row>
    <row r="8828" spans="2:2">
      <c r="B8828" s="38"/>
    </row>
    <row r="8829" spans="2:2">
      <c r="B8829" s="38"/>
    </row>
    <row r="8830" spans="2:2">
      <c r="B8830" s="38"/>
    </row>
    <row r="8831" spans="2:2">
      <c r="B8831" s="38"/>
    </row>
    <row r="8832" spans="2:2">
      <c r="B8832" s="38"/>
    </row>
    <row r="8833" spans="2:2">
      <c r="B8833" s="38"/>
    </row>
    <row r="8834" spans="2:2">
      <c r="B8834" s="38"/>
    </row>
    <row r="8835" spans="2:2">
      <c r="B8835" s="38"/>
    </row>
    <row r="8836" spans="2:2">
      <c r="B8836" s="38"/>
    </row>
    <row r="8837" spans="2:2">
      <c r="B8837" s="38"/>
    </row>
    <row r="8838" spans="2:2">
      <c r="B8838" s="38"/>
    </row>
    <row r="8839" spans="2:2">
      <c r="B8839" s="38"/>
    </row>
    <row r="8840" spans="2:2">
      <c r="B8840" s="38"/>
    </row>
    <row r="8841" spans="2:2">
      <c r="B8841" s="38"/>
    </row>
    <row r="8842" spans="2:2">
      <c r="B8842" s="38"/>
    </row>
    <row r="8843" spans="2:2">
      <c r="B8843" s="38"/>
    </row>
    <row r="8844" spans="2:2">
      <c r="B8844" s="38"/>
    </row>
    <row r="8845" spans="2:2">
      <c r="B8845" s="38"/>
    </row>
    <row r="8846" spans="2:2">
      <c r="B8846" s="38"/>
    </row>
    <row r="8847" spans="2:2">
      <c r="B8847" s="38"/>
    </row>
    <row r="8848" spans="2:2">
      <c r="B8848" s="38"/>
    </row>
    <row r="8849" spans="2:2">
      <c r="B8849" s="38"/>
    </row>
    <row r="8850" spans="2:2">
      <c r="B8850" s="38"/>
    </row>
    <row r="8851" spans="2:2">
      <c r="B8851" s="38"/>
    </row>
    <row r="8852" spans="2:2">
      <c r="B8852" s="38"/>
    </row>
    <row r="8853" spans="2:2">
      <c r="B8853" s="38"/>
    </row>
    <row r="8854" spans="2:2">
      <c r="B8854" s="38"/>
    </row>
    <row r="8855" spans="2:2">
      <c r="B8855" s="38"/>
    </row>
    <row r="8856" spans="2:2">
      <c r="B8856" s="38"/>
    </row>
    <row r="8857" spans="2:2">
      <c r="B8857" s="38"/>
    </row>
    <row r="8858" spans="2:2">
      <c r="B8858" s="38"/>
    </row>
    <row r="8859" spans="2:2">
      <c r="B8859" s="38"/>
    </row>
    <row r="8860" spans="2:2">
      <c r="B8860" s="38"/>
    </row>
    <row r="8861" spans="2:2">
      <c r="B8861" s="38"/>
    </row>
    <row r="8862" spans="2:2">
      <c r="B8862" s="38"/>
    </row>
    <row r="8863" spans="2:2">
      <c r="B8863" s="38"/>
    </row>
    <row r="8864" spans="2:2">
      <c r="B8864" s="38"/>
    </row>
    <row r="8865" spans="2:2">
      <c r="B8865" s="38"/>
    </row>
    <row r="8866" spans="2:2">
      <c r="B8866" s="38"/>
    </row>
    <row r="8867" spans="2:2">
      <c r="B8867" s="38"/>
    </row>
    <row r="8868" spans="2:2">
      <c r="B8868" s="38"/>
    </row>
    <row r="8869" spans="2:2">
      <c r="B8869" s="38"/>
    </row>
    <row r="8870" spans="2:2">
      <c r="B8870" s="38"/>
    </row>
    <row r="8871" spans="2:2">
      <c r="B8871" s="38"/>
    </row>
    <row r="8872" spans="2:2">
      <c r="B8872" s="38"/>
    </row>
    <row r="8873" spans="2:2">
      <c r="B8873" s="38"/>
    </row>
    <row r="8874" spans="2:2">
      <c r="B8874" s="38"/>
    </row>
    <row r="8875" spans="2:2">
      <c r="B8875" s="38"/>
    </row>
    <row r="8876" spans="2:2">
      <c r="B8876" s="38"/>
    </row>
    <row r="8877" spans="2:2">
      <c r="B8877" s="38"/>
    </row>
    <row r="8878" spans="2:2">
      <c r="B8878" s="38"/>
    </row>
    <row r="8879" spans="2:2">
      <c r="B8879" s="38"/>
    </row>
    <row r="8880" spans="2:2">
      <c r="B8880" s="38"/>
    </row>
    <row r="8881" spans="2:2">
      <c r="B8881" s="38"/>
    </row>
    <row r="8882" spans="2:2">
      <c r="B8882" s="38"/>
    </row>
    <row r="8883" spans="2:2">
      <c r="B8883" s="38"/>
    </row>
    <row r="8884" spans="2:2">
      <c r="B8884" s="38"/>
    </row>
    <row r="8885" spans="2:2">
      <c r="B8885" s="38"/>
    </row>
    <row r="8886" spans="2:2">
      <c r="B8886" s="38"/>
    </row>
    <row r="8887" spans="2:2">
      <c r="B8887" s="38"/>
    </row>
    <row r="8888" spans="2:2">
      <c r="B8888" s="38"/>
    </row>
    <row r="8889" spans="2:2">
      <c r="B8889" s="38"/>
    </row>
    <row r="8890" spans="2:2">
      <c r="B8890" s="38"/>
    </row>
    <row r="8891" spans="2:2">
      <c r="B8891" s="38"/>
    </row>
    <row r="8892" spans="2:2">
      <c r="B8892" s="38"/>
    </row>
    <row r="8893" spans="2:2">
      <c r="B8893" s="38"/>
    </row>
    <row r="8894" spans="2:2">
      <c r="B8894" s="38"/>
    </row>
    <row r="8895" spans="2:2">
      <c r="B8895" s="38"/>
    </row>
    <row r="8896" spans="2:2">
      <c r="B8896" s="38"/>
    </row>
    <row r="8897" spans="2:2">
      <c r="B8897" s="38"/>
    </row>
    <row r="8898" spans="2:2">
      <c r="B8898" s="38"/>
    </row>
    <row r="8899" spans="2:2">
      <c r="B8899" s="38"/>
    </row>
    <row r="8900" spans="2:2">
      <c r="B8900" s="38"/>
    </row>
    <row r="8901" spans="2:2">
      <c r="B8901" s="38"/>
    </row>
    <row r="8902" spans="2:2">
      <c r="B8902" s="38"/>
    </row>
    <row r="8903" spans="2:2">
      <c r="B8903" s="38"/>
    </row>
    <row r="8904" spans="2:2">
      <c r="B8904" s="38"/>
    </row>
    <row r="8905" spans="2:2">
      <c r="B8905" s="38"/>
    </row>
    <row r="8906" spans="2:2">
      <c r="B8906" s="38"/>
    </row>
    <row r="8907" spans="2:2">
      <c r="B8907" s="38"/>
    </row>
    <row r="8908" spans="2:2">
      <c r="B8908" s="38"/>
    </row>
    <row r="8909" spans="2:2">
      <c r="B8909" s="38"/>
    </row>
    <row r="8910" spans="2:2">
      <c r="B8910" s="38"/>
    </row>
    <row r="8911" spans="2:2">
      <c r="B8911" s="38"/>
    </row>
    <row r="8912" spans="2:2">
      <c r="B8912" s="38"/>
    </row>
    <row r="8913" spans="2:2">
      <c r="B8913" s="38"/>
    </row>
    <row r="8914" spans="2:2">
      <c r="B8914" s="38"/>
    </row>
    <row r="8915" spans="2:2">
      <c r="B8915" s="38"/>
    </row>
    <row r="8916" spans="2:2">
      <c r="B8916" s="38"/>
    </row>
    <row r="8917" spans="2:2">
      <c r="B8917" s="38"/>
    </row>
    <row r="8918" spans="2:2">
      <c r="B8918" s="38"/>
    </row>
    <row r="8919" spans="2:2">
      <c r="B8919" s="38"/>
    </row>
    <row r="8920" spans="2:2">
      <c r="B8920" s="38"/>
    </row>
    <row r="8921" spans="2:2">
      <c r="B8921" s="38"/>
    </row>
    <row r="8922" spans="2:2">
      <c r="B8922" s="38"/>
    </row>
    <row r="8923" spans="2:2">
      <c r="B8923" s="38"/>
    </row>
    <row r="8924" spans="2:2">
      <c r="B8924" s="38"/>
    </row>
    <row r="8925" spans="2:2">
      <c r="B8925" s="38"/>
    </row>
    <row r="8926" spans="2:2">
      <c r="B8926" s="38"/>
    </row>
    <row r="8927" spans="2:2">
      <c r="B8927" s="38"/>
    </row>
    <row r="8928" spans="2:2">
      <c r="B8928" s="38"/>
    </row>
    <row r="8929" spans="2:2">
      <c r="B8929" s="38"/>
    </row>
    <row r="8930" spans="2:2">
      <c r="B8930" s="38"/>
    </row>
    <row r="8931" spans="2:2">
      <c r="B8931" s="38"/>
    </row>
    <row r="8932" spans="2:2">
      <c r="B8932" s="38"/>
    </row>
    <row r="8933" spans="2:2">
      <c r="B8933" s="38"/>
    </row>
    <row r="8934" spans="2:2">
      <c r="B8934" s="38"/>
    </row>
    <row r="8935" spans="2:2">
      <c r="B8935" s="38"/>
    </row>
    <row r="8936" spans="2:2">
      <c r="B8936" s="38"/>
    </row>
    <row r="8937" spans="2:2">
      <c r="B8937" s="38"/>
    </row>
    <row r="8938" spans="2:2">
      <c r="B8938" s="38"/>
    </row>
    <row r="8939" spans="2:2">
      <c r="B8939" s="38"/>
    </row>
    <row r="8940" spans="2:2">
      <c r="B8940" s="38"/>
    </row>
    <row r="8941" spans="2:2">
      <c r="B8941" s="38"/>
    </row>
    <row r="8942" spans="2:2">
      <c r="B8942" s="38"/>
    </row>
    <row r="8943" spans="2:2">
      <c r="B8943" s="38"/>
    </row>
    <row r="8944" spans="2:2">
      <c r="B8944" s="38"/>
    </row>
    <row r="8945" spans="2:2">
      <c r="B8945" s="38"/>
    </row>
    <row r="8946" spans="2:2">
      <c r="B8946" s="38"/>
    </row>
    <row r="8947" spans="2:2">
      <c r="B8947" s="38"/>
    </row>
    <row r="8948" spans="2:2">
      <c r="B8948" s="38"/>
    </row>
    <row r="8949" spans="2:2">
      <c r="B8949" s="38"/>
    </row>
    <row r="8950" spans="2:2">
      <c r="B8950" s="38"/>
    </row>
    <row r="8951" spans="2:2">
      <c r="B8951" s="38"/>
    </row>
    <row r="8952" spans="2:2">
      <c r="B8952" s="38"/>
    </row>
    <row r="8953" spans="2:2">
      <c r="B8953" s="38"/>
    </row>
    <row r="8954" spans="2:2">
      <c r="B8954" s="38"/>
    </row>
    <row r="8955" spans="2:2">
      <c r="B8955" s="38"/>
    </row>
    <row r="8956" spans="2:2">
      <c r="B8956" s="38"/>
    </row>
    <row r="8957" spans="2:2">
      <c r="B8957" s="38"/>
    </row>
    <row r="8958" spans="2:2">
      <c r="B8958" s="38"/>
    </row>
    <row r="8959" spans="2:2">
      <c r="B8959" s="38"/>
    </row>
    <row r="8960" spans="2:2">
      <c r="B8960" s="38"/>
    </row>
    <row r="8961" spans="2:2">
      <c r="B8961" s="38"/>
    </row>
    <row r="8962" spans="2:2">
      <c r="B8962" s="38"/>
    </row>
    <row r="8963" spans="2:2">
      <c r="B8963" s="38"/>
    </row>
    <row r="8964" spans="2:2">
      <c r="B8964" s="38"/>
    </row>
    <row r="8965" spans="2:2">
      <c r="B8965" s="38"/>
    </row>
    <row r="8966" spans="2:2">
      <c r="B8966" s="38"/>
    </row>
    <row r="8967" spans="2:2">
      <c r="B8967" s="38"/>
    </row>
    <row r="8968" spans="2:2">
      <c r="B8968" s="38"/>
    </row>
    <row r="8969" spans="2:2">
      <c r="B8969" s="38"/>
    </row>
    <row r="8970" spans="2:2">
      <c r="B8970" s="38"/>
    </row>
    <row r="8971" spans="2:2">
      <c r="B8971" s="38"/>
    </row>
    <row r="8972" spans="2:2">
      <c r="B8972" s="38"/>
    </row>
    <row r="8973" spans="2:2">
      <c r="B8973" s="38"/>
    </row>
    <row r="8974" spans="2:2">
      <c r="B8974" s="38"/>
    </row>
    <row r="8975" spans="2:2">
      <c r="B8975" s="38"/>
    </row>
    <row r="8976" spans="2:2">
      <c r="B8976" s="38"/>
    </row>
    <row r="8977" spans="2:2">
      <c r="B8977" s="38"/>
    </row>
    <row r="8978" spans="2:2">
      <c r="B8978" s="38"/>
    </row>
    <row r="8979" spans="2:2">
      <c r="B8979" s="38"/>
    </row>
    <row r="8980" spans="2:2">
      <c r="B8980" s="38"/>
    </row>
    <row r="8981" spans="2:2">
      <c r="B8981" s="38"/>
    </row>
    <row r="8982" spans="2:2">
      <c r="B8982" s="38"/>
    </row>
    <row r="8983" spans="2:2">
      <c r="B8983" s="38"/>
    </row>
    <row r="8984" spans="2:2">
      <c r="B8984" s="38"/>
    </row>
    <row r="8985" spans="2:2">
      <c r="B8985" s="38"/>
    </row>
    <row r="8986" spans="2:2">
      <c r="B8986" s="38"/>
    </row>
    <row r="8987" spans="2:2">
      <c r="B8987" s="38"/>
    </row>
    <row r="8988" spans="2:2">
      <c r="B8988" s="38"/>
    </row>
    <row r="8989" spans="2:2">
      <c r="B8989" s="38"/>
    </row>
    <row r="8990" spans="2:2">
      <c r="B8990" s="38"/>
    </row>
    <row r="8991" spans="2:2">
      <c r="B8991" s="38"/>
    </row>
    <row r="8992" spans="2:2">
      <c r="B8992" s="38"/>
    </row>
    <row r="8993" spans="2:2">
      <c r="B8993" s="38"/>
    </row>
    <row r="8994" spans="2:2">
      <c r="B8994" s="38"/>
    </row>
    <row r="8995" spans="2:2">
      <c r="B8995" s="38"/>
    </row>
    <row r="8996" spans="2:2">
      <c r="B8996" s="38"/>
    </row>
    <row r="8997" spans="2:2">
      <c r="B8997" s="38"/>
    </row>
    <row r="8998" spans="2:2">
      <c r="B8998" s="38"/>
    </row>
    <row r="8999" spans="2:2">
      <c r="B8999" s="38"/>
    </row>
    <row r="9000" spans="2:2">
      <c r="B9000" s="38"/>
    </row>
    <row r="9001" spans="2:2">
      <c r="B9001" s="38"/>
    </row>
    <row r="9002" spans="2:2">
      <c r="B9002" s="38"/>
    </row>
    <row r="9003" spans="2:2">
      <c r="B9003" s="38"/>
    </row>
    <row r="9004" spans="2:2">
      <c r="B9004" s="38"/>
    </row>
    <row r="9005" spans="2:2">
      <c r="B9005" s="38"/>
    </row>
    <row r="9006" spans="2:2">
      <c r="B9006" s="38"/>
    </row>
    <row r="9007" spans="2:2">
      <c r="B9007" s="38"/>
    </row>
    <row r="9008" spans="2:2">
      <c r="B9008" s="38"/>
    </row>
    <row r="9009" spans="2:2">
      <c r="B9009" s="38"/>
    </row>
    <row r="9010" spans="2:2">
      <c r="B9010" s="38"/>
    </row>
    <row r="9011" spans="2:2">
      <c r="B9011" s="38"/>
    </row>
    <row r="9012" spans="2:2">
      <c r="B9012" s="38"/>
    </row>
    <row r="9013" spans="2:2">
      <c r="B9013" s="38"/>
    </row>
    <row r="9014" spans="2:2">
      <c r="B9014" s="38"/>
    </row>
    <row r="9015" spans="2:2">
      <c r="B9015" s="38"/>
    </row>
    <row r="9016" spans="2:2">
      <c r="B9016" s="38"/>
    </row>
    <row r="9017" spans="2:2">
      <c r="B9017" s="38"/>
    </row>
    <row r="9018" spans="2:2">
      <c r="B9018" s="38"/>
    </row>
    <row r="9019" spans="2:2">
      <c r="B9019" s="38"/>
    </row>
    <row r="9020" spans="2:2">
      <c r="B9020" s="38"/>
    </row>
    <row r="9021" spans="2:2">
      <c r="B9021" s="38"/>
    </row>
    <row r="9022" spans="2:2">
      <c r="B9022" s="38"/>
    </row>
    <row r="9023" spans="2:2">
      <c r="B9023" s="38"/>
    </row>
    <row r="9024" spans="2:2">
      <c r="B9024" s="38"/>
    </row>
    <row r="9025" spans="2:2">
      <c r="B9025" s="38"/>
    </row>
    <row r="9026" spans="2:2">
      <c r="B9026" s="38"/>
    </row>
    <row r="9027" spans="2:2">
      <c r="B9027" s="38"/>
    </row>
    <row r="9028" spans="2:2">
      <c r="B9028" s="38"/>
    </row>
    <row r="9029" spans="2:2">
      <c r="B9029" s="38"/>
    </row>
    <row r="9030" spans="2:2">
      <c r="B9030" s="38"/>
    </row>
    <row r="9031" spans="2:2">
      <c r="B9031" s="38"/>
    </row>
    <row r="9032" spans="2:2">
      <c r="B9032" s="38"/>
    </row>
    <row r="9033" spans="2:2">
      <c r="B9033" s="38"/>
    </row>
    <row r="9034" spans="2:2">
      <c r="B9034" s="38"/>
    </row>
    <row r="9035" spans="2:2">
      <c r="B9035" s="38"/>
    </row>
    <row r="9036" spans="2:2">
      <c r="B9036" s="38"/>
    </row>
    <row r="9037" spans="2:2">
      <c r="B9037" s="38"/>
    </row>
    <row r="9038" spans="2:2">
      <c r="B9038" s="38"/>
    </row>
    <row r="9039" spans="2:2">
      <c r="B9039" s="38"/>
    </row>
    <row r="9040" spans="2:2">
      <c r="B9040" s="38"/>
    </row>
    <row r="9041" spans="2:2">
      <c r="B9041" s="38"/>
    </row>
    <row r="9042" spans="2:2">
      <c r="B9042" s="38"/>
    </row>
    <row r="9043" spans="2:2">
      <c r="B9043" s="38"/>
    </row>
    <row r="9044" spans="2:2">
      <c r="B9044" s="38"/>
    </row>
    <row r="9045" spans="2:2">
      <c r="B9045" s="38"/>
    </row>
    <row r="9046" spans="2:2">
      <c r="B9046" s="38"/>
    </row>
    <row r="9047" spans="2:2">
      <c r="B9047" s="38"/>
    </row>
    <row r="9048" spans="2:2">
      <c r="B9048" s="38"/>
    </row>
    <row r="9049" spans="2:2">
      <c r="B9049" s="38"/>
    </row>
    <row r="9050" spans="2:2">
      <c r="B9050" s="38"/>
    </row>
    <row r="9051" spans="2:2">
      <c r="B9051" s="38"/>
    </row>
    <row r="9052" spans="2:2">
      <c r="B9052" s="38"/>
    </row>
    <row r="9053" spans="2:2">
      <c r="B9053" s="38"/>
    </row>
    <row r="9054" spans="2:2">
      <c r="B9054" s="38"/>
    </row>
    <row r="9055" spans="2:2">
      <c r="B9055" s="38"/>
    </row>
    <row r="9056" spans="2:2">
      <c r="B9056" s="38"/>
    </row>
    <row r="9057" spans="2:2">
      <c r="B9057" s="38"/>
    </row>
    <row r="9058" spans="2:2">
      <c r="B9058" s="38"/>
    </row>
    <row r="9059" spans="2:2">
      <c r="B9059" s="38"/>
    </row>
    <row r="9060" spans="2:2">
      <c r="B9060" s="38"/>
    </row>
    <row r="9061" spans="2:2">
      <c r="B9061" s="38"/>
    </row>
    <row r="9062" spans="2:2">
      <c r="B9062" s="38"/>
    </row>
    <row r="9063" spans="2:2">
      <c r="B9063" s="38"/>
    </row>
    <row r="9064" spans="2:2">
      <c r="B9064" s="38"/>
    </row>
    <row r="9065" spans="2:2">
      <c r="B9065" s="38"/>
    </row>
    <row r="9066" spans="2:2">
      <c r="B9066" s="38"/>
    </row>
    <row r="9067" spans="2:2">
      <c r="B9067" s="38"/>
    </row>
    <row r="9068" spans="2:2">
      <c r="B9068" s="38"/>
    </row>
    <row r="9069" spans="2:2">
      <c r="B9069" s="38"/>
    </row>
    <row r="9070" spans="2:2">
      <c r="B9070" s="38"/>
    </row>
    <row r="9071" spans="2:2">
      <c r="B9071" s="38"/>
    </row>
    <row r="9072" spans="2:2">
      <c r="B9072" s="38"/>
    </row>
    <row r="9073" spans="2:2">
      <c r="B9073" s="38"/>
    </row>
    <row r="9074" spans="2:2">
      <c r="B9074" s="38"/>
    </row>
    <row r="9075" spans="2:2">
      <c r="B9075" s="38"/>
    </row>
    <row r="9076" spans="2:2">
      <c r="B9076" s="38"/>
    </row>
    <row r="9077" spans="2:2">
      <c r="B9077" s="38"/>
    </row>
    <row r="9078" spans="2:2">
      <c r="B9078" s="38"/>
    </row>
    <row r="9079" spans="2:2">
      <c r="B9079" s="38"/>
    </row>
    <row r="9080" spans="2:2">
      <c r="B9080" s="38"/>
    </row>
    <row r="9081" spans="2:2">
      <c r="B9081" s="38"/>
    </row>
    <row r="9082" spans="2:2">
      <c r="B9082" s="38"/>
    </row>
    <row r="9083" spans="2:2">
      <c r="B9083" s="38"/>
    </row>
    <row r="9084" spans="2:2">
      <c r="B9084" s="38"/>
    </row>
    <row r="9085" spans="2:2">
      <c r="B9085" s="38"/>
    </row>
    <row r="9086" spans="2:2">
      <c r="B9086" s="38"/>
    </row>
    <row r="9087" spans="2:2">
      <c r="B9087" s="38"/>
    </row>
    <row r="9088" spans="2:2">
      <c r="B9088" s="38"/>
    </row>
    <row r="9089" spans="2:2">
      <c r="B9089" s="38"/>
    </row>
    <row r="9090" spans="2:2">
      <c r="B9090" s="38"/>
    </row>
    <row r="9091" spans="2:2">
      <c r="B9091" s="38"/>
    </row>
    <row r="9092" spans="2:2">
      <c r="B9092" s="38"/>
    </row>
    <row r="9093" spans="2:2">
      <c r="B9093" s="38"/>
    </row>
    <row r="9094" spans="2:2">
      <c r="B9094" s="38"/>
    </row>
    <row r="9095" spans="2:2">
      <c r="B9095" s="38"/>
    </row>
    <row r="9096" spans="2:2">
      <c r="B9096" s="38"/>
    </row>
    <row r="9097" spans="2:2">
      <c r="B9097" s="38"/>
    </row>
    <row r="9098" spans="2:2">
      <c r="B9098" s="38"/>
    </row>
    <row r="9099" spans="2:2">
      <c r="B9099" s="38"/>
    </row>
    <row r="9100" spans="2:2">
      <c r="B9100" s="38"/>
    </row>
    <row r="9101" spans="2:2">
      <c r="B9101" s="38"/>
    </row>
    <row r="9102" spans="2:2">
      <c r="B9102" s="38"/>
    </row>
    <row r="9103" spans="2:2">
      <c r="B9103" s="38"/>
    </row>
    <row r="9104" spans="2:2">
      <c r="B9104" s="38"/>
    </row>
    <row r="9105" spans="2:2">
      <c r="B9105" s="38"/>
    </row>
    <row r="9106" spans="2:2">
      <c r="B9106" s="38"/>
    </row>
    <row r="9107" spans="2:2">
      <c r="B9107" s="38"/>
    </row>
    <row r="9108" spans="2:2">
      <c r="B9108" s="38"/>
    </row>
    <row r="9109" spans="2:2">
      <c r="B9109" s="38"/>
    </row>
    <row r="9110" spans="2:2">
      <c r="B9110" s="38"/>
    </row>
    <row r="9111" spans="2:2">
      <c r="B9111" s="38"/>
    </row>
    <row r="9112" spans="2:2">
      <c r="B9112" s="38"/>
    </row>
    <row r="9113" spans="2:2">
      <c r="B9113" s="38"/>
    </row>
    <row r="9114" spans="2:2">
      <c r="B9114" s="38"/>
    </row>
    <row r="9115" spans="2:2">
      <c r="B9115" s="38"/>
    </row>
    <row r="9116" spans="2:2">
      <c r="B9116" s="38"/>
    </row>
    <row r="9117" spans="2:2">
      <c r="B9117" s="38"/>
    </row>
    <row r="9118" spans="2:2">
      <c r="B9118" s="38"/>
    </row>
    <row r="9119" spans="2:2">
      <c r="B9119" s="38"/>
    </row>
    <row r="9120" spans="2:2">
      <c r="B9120" s="38"/>
    </row>
    <row r="9121" spans="2:2">
      <c r="B9121" s="38"/>
    </row>
    <row r="9122" spans="2:2">
      <c r="B9122" s="38"/>
    </row>
    <row r="9123" spans="2:2">
      <c r="B9123" s="38"/>
    </row>
    <row r="9124" spans="2:2">
      <c r="B9124" s="38"/>
    </row>
    <row r="9125" spans="2:2">
      <c r="B9125" s="38"/>
    </row>
    <row r="9126" spans="2:2">
      <c r="B9126" s="38"/>
    </row>
    <row r="9127" spans="2:2">
      <c r="B9127" s="38"/>
    </row>
    <row r="9128" spans="2:2">
      <c r="B9128" s="38"/>
    </row>
    <row r="9129" spans="2:2">
      <c r="B9129" s="38"/>
    </row>
    <row r="9130" spans="2:2">
      <c r="B9130" s="38"/>
    </row>
    <row r="9131" spans="2:2">
      <c r="B9131" s="38"/>
    </row>
    <row r="9132" spans="2:2">
      <c r="B9132" s="38"/>
    </row>
    <row r="9133" spans="2:2">
      <c r="B9133" s="38"/>
    </row>
    <row r="9134" spans="2:2">
      <c r="B9134" s="38"/>
    </row>
    <row r="9135" spans="2:2">
      <c r="B9135" s="38"/>
    </row>
    <row r="9136" spans="2:2">
      <c r="B9136" s="38"/>
    </row>
    <row r="9137" spans="2:2">
      <c r="B9137" s="38"/>
    </row>
    <row r="9138" spans="2:2">
      <c r="B9138" s="38"/>
    </row>
    <row r="9139" spans="2:2">
      <c r="B9139" s="38"/>
    </row>
    <row r="9140" spans="2:2">
      <c r="B9140" s="38"/>
    </row>
    <row r="9141" spans="2:2">
      <c r="B9141" s="38"/>
    </row>
    <row r="9142" spans="2:2">
      <c r="B9142" s="38"/>
    </row>
    <row r="9143" spans="2:2">
      <c r="B9143" s="38"/>
    </row>
    <row r="9144" spans="2:2">
      <c r="B9144" s="38"/>
    </row>
    <row r="9145" spans="2:2">
      <c r="B9145" s="38"/>
    </row>
    <row r="9146" spans="2:2">
      <c r="B9146" s="38"/>
    </row>
    <row r="9147" spans="2:2">
      <c r="B9147" s="38"/>
    </row>
    <row r="9148" spans="2:2">
      <c r="B9148" s="38"/>
    </row>
    <row r="9149" spans="2:2">
      <c r="B9149" s="38"/>
    </row>
    <row r="9150" spans="2:2">
      <c r="B9150" s="38"/>
    </row>
    <row r="9151" spans="2:2">
      <c r="B9151" s="38"/>
    </row>
    <row r="9152" spans="2:2">
      <c r="B9152" s="38"/>
    </row>
    <row r="9153" spans="2:2">
      <c r="B9153" s="38"/>
    </row>
    <row r="9154" spans="2:2">
      <c r="B9154" s="38"/>
    </row>
    <row r="9155" spans="2:2">
      <c r="B9155" s="38"/>
    </row>
    <row r="9156" spans="2:2">
      <c r="B9156" s="38"/>
    </row>
    <row r="9157" spans="2:2">
      <c r="B9157" s="38"/>
    </row>
    <row r="9158" spans="2:2">
      <c r="B9158" s="38"/>
    </row>
    <row r="9159" spans="2:2">
      <c r="B9159" s="38"/>
    </row>
    <row r="9160" spans="2:2">
      <c r="B9160" s="38"/>
    </row>
    <row r="9161" spans="2:2">
      <c r="B9161" s="38"/>
    </row>
    <row r="9162" spans="2:2">
      <c r="B9162" s="38"/>
    </row>
    <row r="9163" spans="2:2">
      <c r="B9163" s="38"/>
    </row>
    <row r="9164" spans="2:2">
      <c r="B9164" s="38"/>
    </row>
    <row r="9165" spans="2:2">
      <c r="B9165" s="38"/>
    </row>
    <row r="9166" spans="2:2">
      <c r="B9166" s="38"/>
    </row>
    <row r="9167" spans="2:2">
      <c r="B9167" s="38"/>
    </row>
    <row r="9168" spans="2:2">
      <c r="B9168" s="38"/>
    </row>
    <row r="9169" spans="2:2">
      <c r="B9169" s="38"/>
    </row>
    <row r="9170" spans="2:2">
      <c r="B9170" s="38"/>
    </row>
    <row r="9171" spans="2:2">
      <c r="B9171" s="38"/>
    </row>
    <row r="9172" spans="2:2">
      <c r="B9172" s="38"/>
    </row>
    <row r="9173" spans="2:2">
      <c r="B9173" s="38"/>
    </row>
    <row r="9174" spans="2:2">
      <c r="B9174" s="38"/>
    </row>
    <row r="9175" spans="2:2">
      <c r="B9175" s="38"/>
    </row>
    <row r="9176" spans="2:2">
      <c r="B9176" s="38"/>
    </row>
    <row r="9177" spans="2:2">
      <c r="B9177" s="38"/>
    </row>
    <row r="9178" spans="2:2">
      <c r="B9178" s="38"/>
    </row>
    <row r="9179" spans="2:2">
      <c r="B9179" s="38"/>
    </row>
    <row r="9180" spans="2:2">
      <c r="B9180" s="38"/>
    </row>
    <row r="9181" spans="2:2">
      <c r="B9181" s="38"/>
    </row>
    <row r="9182" spans="2:2">
      <c r="B9182" s="38"/>
    </row>
    <row r="9183" spans="2:2">
      <c r="B9183" s="38"/>
    </row>
    <row r="9184" spans="2:2">
      <c r="B9184" s="38"/>
    </row>
    <row r="9185" spans="2:2">
      <c r="B9185" s="38"/>
    </row>
    <row r="9186" spans="2:2">
      <c r="B9186" s="38"/>
    </row>
    <row r="9187" spans="2:2">
      <c r="B9187" s="38"/>
    </row>
    <row r="9188" spans="2:2">
      <c r="B9188" s="38"/>
    </row>
    <row r="9189" spans="2:2">
      <c r="B9189" s="38"/>
    </row>
    <row r="9190" spans="2:2">
      <c r="B9190" s="38"/>
    </row>
    <row r="9191" spans="2:2">
      <c r="B9191" s="38"/>
    </row>
    <row r="9192" spans="2:2">
      <c r="B9192" s="38"/>
    </row>
    <row r="9193" spans="2:2">
      <c r="B9193" s="38"/>
    </row>
    <row r="9194" spans="2:2">
      <c r="B9194" s="38"/>
    </row>
    <row r="9195" spans="2:2">
      <c r="B9195" s="38"/>
    </row>
    <row r="9196" spans="2:2">
      <c r="B9196" s="38"/>
    </row>
    <row r="9197" spans="2:2">
      <c r="B9197" s="38"/>
    </row>
    <row r="9198" spans="2:2">
      <c r="B9198" s="38"/>
    </row>
    <row r="9199" spans="2:2">
      <c r="B9199" s="38"/>
    </row>
    <row r="9200" spans="2:2">
      <c r="B9200" s="38"/>
    </row>
    <row r="9201" spans="2:2">
      <c r="B9201" s="38"/>
    </row>
    <row r="9202" spans="2:2">
      <c r="B9202" s="38"/>
    </row>
    <row r="9203" spans="2:2">
      <c r="B9203" s="38"/>
    </row>
    <row r="9204" spans="2:2">
      <c r="B9204" s="38"/>
    </row>
    <row r="9205" spans="2:2">
      <c r="B9205" s="38"/>
    </row>
    <row r="9206" spans="2:2">
      <c r="B9206" s="38"/>
    </row>
    <row r="9207" spans="2:2">
      <c r="B9207" s="38"/>
    </row>
    <row r="9208" spans="2:2">
      <c r="B9208" s="38"/>
    </row>
    <row r="9209" spans="2:2">
      <c r="B9209" s="38"/>
    </row>
    <row r="9210" spans="2:2">
      <c r="B9210" s="38"/>
    </row>
    <row r="9211" spans="2:2">
      <c r="B9211" s="38"/>
    </row>
    <row r="9212" spans="2:2">
      <c r="B9212" s="38"/>
    </row>
    <row r="9213" spans="2:2">
      <c r="B9213" s="38"/>
    </row>
    <row r="9214" spans="2:2">
      <c r="B9214" s="38"/>
    </row>
    <row r="9215" spans="2:2">
      <c r="B9215" s="38"/>
    </row>
    <row r="9216" spans="2:2">
      <c r="B9216" s="38"/>
    </row>
    <row r="9217" spans="2:2">
      <c r="B9217" s="38"/>
    </row>
    <row r="9218" spans="2:2">
      <c r="B9218" s="38"/>
    </row>
    <row r="9219" spans="2:2">
      <c r="B9219" s="38"/>
    </row>
    <row r="9220" spans="2:2">
      <c r="B9220" s="38"/>
    </row>
    <row r="9221" spans="2:2">
      <c r="B9221" s="38"/>
    </row>
    <row r="9222" spans="2:2">
      <c r="B9222" s="38"/>
    </row>
    <row r="9223" spans="2:2">
      <c r="B9223" s="38"/>
    </row>
    <row r="9224" spans="2:2">
      <c r="B9224" s="38"/>
    </row>
    <row r="9225" spans="2:2">
      <c r="B9225" s="38"/>
    </row>
    <row r="9226" spans="2:2">
      <c r="B9226" s="38"/>
    </row>
    <row r="9227" spans="2:2">
      <c r="B9227" s="38"/>
    </row>
    <row r="9228" spans="2:2">
      <c r="B9228" s="38"/>
    </row>
    <row r="9229" spans="2:2">
      <c r="B9229" s="38"/>
    </row>
    <row r="9230" spans="2:2">
      <c r="B9230" s="38"/>
    </row>
    <row r="9231" spans="2:2">
      <c r="B9231" s="38"/>
    </row>
    <row r="9232" spans="2:2">
      <c r="B9232" s="38"/>
    </row>
    <row r="9233" spans="2:2">
      <c r="B9233" s="38"/>
    </row>
    <row r="9234" spans="2:2">
      <c r="B9234" s="38"/>
    </row>
    <row r="9235" spans="2:2">
      <c r="B9235" s="38"/>
    </row>
    <row r="9236" spans="2:2">
      <c r="B9236" s="38"/>
    </row>
    <row r="9237" spans="2:2">
      <c r="B9237" s="38"/>
    </row>
    <row r="9238" spans="2:2">
      <c r="B9238" s="38"/>
    </row>
    <row r="9239" spans="2:2">
      <c r="B9239" s="38"/>
    </row>
    <row r="9240" spans="2:2">
      <c r="B9240" s="38"/>
    </row>
    <row r="9241" spans="2:2">
      <c r="B9241" s="38"/>
    </row>
    <row r="9242" spans="2:2">
      <c r="B9242" s="38"/>
    </row>
    <row r="9243" spans="2:2">
      <c r="B9243" s="38"/>
    </row>
    <row r="9244" spans="2:2">
      <c r="B9244" s="38"/>
    </row>
    <row r="9245" spans="2:2">
      <c r="B9245" s="38"/>
    </row>
    <row r="9246" spans="2:2">
      <c r="B9246" s="38"/>
    </row>
    <row r="9247" spans="2:2">
      <c r="B9247" s="38"/>
    </row>
    <row r="9248" spans="2:2">
      <c r="B9248" s="38"/>
    </row>
    <row r="9249" spans="2:2">
      <c r="B9249" s="38"/>
    </row>
    <row r="9250" spans="2:2">
      <c r="B9250" s="38"/>
    </row>
    <row r="9251" spans="2:2">
      <c r="B9251" s="38"/>
    </row>
    <row r="9252" spans="2:2">
      <c r="B9252" s="38"/>
    </row>
    <row r="9253" spans="2:2">
      <c r="B9253" s="38"/>
    </row>
    <row r="9254" spans="2:2">
      <c r="B9254" s="38"/>
    </row>
    <row r="9255" spans="2:2">
      <c r="B9255" s="38"/>
    </row>
    <row r="9256" spans="2:2">
      <c r="B9256" s="38"/>
    </row>
    <row r="9257" spans="2:2">
      <c r="B9257" s="38"/>
    </row>
    <row r="9258" spans="2:2">
      <c r="B9258" s="38"/>
    </row>
    <row r="9259" spans="2:2">
      <c r="B9259" s="38"/>
    </row>
    <row r="9260" spans="2:2">
      <c r="B9260" s="38"/>
    </row>
    <row r="9261" spans="2:2">
      <c r="B9261" s="38"/>
    </row>
    <row r="9262" spans="2:2">
      <c r="B9262" s="38"/>
    </row>
    <row r="9263" spans="2:2">
      <c r="B9263" s="38"/>
    </row>
    <row r="9264" spans="2:2">
      <c r="B9264" s="38"/>
    </row>
    <row r="9265" spans="2:2">
      <c r="B9265" s="38"/>
    </row>
    <row r="9266" spans="2:2">
      <c r="B9266" s="38"/>
    </row>
    <row r="9267" spans="2:2">
      <c r="B9267" s="38"/>
    </row>
    <row r="9268" spans="2:2">
      <c r="B9268" s="38"/>
    </row>
    <row r="9269" spans="2:2">
      <c r="B9269" s="38"/>
    </row>
    <row r="9270" spans="2:2">
      <c r="B9270" s="38"/>
    </row>
    <row r="9271" spans="2:2">
      <c r="B9271" s="38"/>
    </row>
    <row r="9272" spans="2:2">
      <c r="B9272" s="38"/>
    </row>
    <row r="9273" spans="2:2">
      <c r="B9273" s="38"/>
    </row>
    <row r="9274" spans="2:2">
      <c r="B9274" s="38"/>
    </row>
    <row r="9275" spans="2:2">
      <c r="B9275" s="38"/>
    </row>
    <row r="9276" spans="2:2">
      <c r="B9276" s="38"/>
    </row>
    <row r="9277" spans="2:2">
      <c r="B9277" s="38"/>
    </row>
    <row r="9278" spans="2:2">
      <c r="B9278" s="38"/>
    </row>
    <row r="9279" spans="2:2">
      <c r="B9279" s="38"/>
    </row>
    <row r="9280" spans="2:2">
      <c r="B9280" s="38"/>
    </row>
    <row r="9281" spans="2:2">
      <c r="B9281" s="38"/>
    </row>
    <row r="9282" spans="2:2">
      <c r="B9282" s="38"/>
    </row>
    <row r="9283" spans="2:2">
      <c r="B9283" s="38"/>
    </row>
    <row r="9284" spans="2:2">
      <c r="B9284" s="38"/>
    </row>
    <row r="9285" spans="2:2">
      <c r="B9285" s="38"/>
    </row>
    <row r="9286" spans="2:2">
      <c r="B9286" s="38"/>
    </row>
    <row r="9287" spans="2:2">
      <c r="B9287" s="38"/>
    </row>
    <row r="9288" spans="2:2">
      <c r="B9288" s="38"/>
    </row>
    <row r="9289" spans="2:2">
      <c r="B9289" s="38"/>
    </row>
    <row r="9290" spans="2:2">
      <c r="B9290" s="38"/>
    </row>
    <row r="9291" spans="2:2">
      <c r="B9291" s="38"/>
    </row>
    <row r="9292" spans="2:2">
      <c r="B9292" s="38"/>
    </row>
    <row r="9293" spans="2:2">
      <c r="B9293" s="38"/>
    </row>
    <row r="9294" spans="2:2">
      <c r="B9294" s="38"/>
    </row>
    <row r="9295" spans="2:2">
      <c r="B9295" s="38"/>
    </row>
    <row r="9296" spans="2:2">
      <c r="B9296" s="38"/>
    </row>
    <row r="9297" spans="2:2">
      <c r="B9297" s="38"/>
    </row>
    <row r="9298" spans="2:2">
      <c r="B9298" s="38"/>
    </row>
    <row r="9299" spans="2:2">
      <c r="B9299" s="38"/>
    </row>
    <row r="9300" spans="2:2">
      <c r="B9300" s="38"/>
    </row>
    <row r="9301" spans="2:2">
      <c r="B9301" s="38"/>
    </row>
    <row r="9302" spans="2:2">
      <c r="B9302" s="38"/>
    </row>
    <row r="9303" spans="2:2">
      <c r="B9303" s="38"/>
    </row>
    <row r="9304" spans="2:2">
      <c r="B9304" s="38"/>
    </row>
    <row r="9305" spans="2:2">
      <c r="B9305" s="38"/>
    </row>
    <row r="9306" spans="2:2">
      <c r="B9306" s="38"/>
    </row>
    <row r="9307" spans="2:2">
      <c r="B9307" s="38"/>
    </row>
    <row r="9308" spans="2:2">
      <c r="B9308" s="38"/>
    </row>
    <row r="9309" spans="2:2">
      <c r="B9309" s="38"/>
    </row>
    <row r="9310" spans="2:2">
      <c r="B9310" s="38"/>
    </row>
    <row r="9311" spans="2:2">
      <c r="B9311" s="38"/>
    </row>
    <row r="9312" spans="2:2">
      <c r="B9312" s="38"/>
    </row>
    <row r="9313" spans="2:2">
      <c r="B9313" s="38"/>
    </row>
    <row r="9314" spans="2:2">
      <c r="B9314" s="38"/>
    </row>
    <row r="9315" spans="2:2">
      <c r="B9315" s="38"/>
    </row>
    <row r="9316" spans="2:2">
      <c r="B9316" s="38"/>
    </row>
    <row r="9317" spans="2:2">
      <c r="B9317" s="38"/>
    </row>
    <row r="9318" spans="2:2">
      <c r="B9318" s="38"/>
    </row>
    <row r="9319" spans="2:2">
      <c r="B9319" s="38"/>
    </row>
    <row r="9320" spans="2:2">
      <c r="B9320" s="38"/>
    </row>
    <row r="9321" spans="2:2">
      <c r="B9321" s="38"/>
    </row>
    <row r="9322" spans="2:2">
      <c r="B9322" s="38"/>
    </row>
    <row r="9323" spans="2:2">
      <c r="B9323" s="38"/>
    </row>
    <row r="9324" spans="2:2">
      <c r="B9324" s="38"/>
    </row>
    <row r="9325" spans="2:2">
      <c r="B9325" s="38"/>
    </row>
    <row r="9326" spans="2:2">
      <c r="B9326" s="38"/>
    </row>
    <row r="9327" spans="2:2">
      <c r="B9327" s="38"/>
    </row>
    <row r="9328" spans="2:2">
      <c r="B9328" s="38"/>
    </row>
    <row r="9329" spans="2:2">
      <c r="B9329" s="38"/>
    </row>
    <row r="9330" spans="2:2">
      <c r="B9330" s="38"/>
    </row>
    <row r="9331" spans="2:2">
      <c r="B9331" s="38"/>
    </row>
    <row r="9332" spans="2:2">
      <c r="B9332" s="38"/>
    </row>
    <row r="9333" spans="2:2">
      <c r="B9333" s="38"/>
    </row>
    <row r="9334" spans="2:2">
      <c r="B9334" s="38"/>
    </row>
    <row r="9335" spans="2:2">
      <c r="B9335" s="38"/>
    </row>
    <row r="9336" spans="2:2">
      <c r="B9336" s="38"/>
    </row>
    <row r="9337" spans="2:2">
      <c r="B9337" s="38"/>
    </row>
    <row r="9338" spans="2:2">
      <c r="B9338" s="38"/>
    </row>
    <row r="9339" spans="2:2">
      <c r="B9339" s="38"/>
    </row>
    <row r="9340" spans="2:2">
      <c r="B9340" s="38"/>
    </row>
    <row r="9341" spans="2:2">
      <c r="B9341" s="38"/>
    </row>
    <row r="9342" spans="2:2">
      <c r="B9342" s="38"/>
    </row>
    <row r="9343" spans="2:2">
      <c r="B9343" s="38"/>
    </row>
    <row r="9344" spans="2:2">
      <c r="B9344" s="38"/>
    </row>
    <row r="9345" spans="2:2">
      <c r="B9345" s="38"/>
    </row>
    <row r="9346" spans="2:2">
      <c r="B9346" s="38"/>
    </row>
    <row r="9347" spans="2:2">
      <c r="B9347" s="38"/>
    </row>
    <row r="9348" spans="2:2">
      <c r="B9348" s="38"/>
    </row>
    <row r="9349" spans="2:2">
      <c r="B9349" s="38"/>
    </row>
    <row r="9350" spans="2:2">
      <c r="B9350" s="38"/>
    </row>
    <row r="9351" spans="2:2">
      <c r="B9351" s="38"/>
    </row>
    <row r="9352" spans="2:2">
      <c r="B9352" s="38"/>
    </row>
    <row r="9353" spans="2:2">
      <c r="B9353" s="38"/>
    </row>
    <row r="9354" spans="2:2">
      <c r="B9354" s="38"/>
    </row>
    <row r="9355" spans="2:2">
      <c r="B9355" s="38"/>
    </row>
    <row r="9356" spans="2:2">
      <c r="B9356" s="38"/>
    </row>
    <row r="9357" spans="2:2">
      <c r="B9357" s="38"/>
    </row>
    <row r="9358" spans="2:2">
      <c r="B9358" s="38"/>
    </row>
    <row r="9359" spans="2:2">
      <c r="B9359" s="38"/>
    </row>
    <row r="9360" spans="2:2">
      <c r="B9360" s="38"/>
    </row>
    <row r="9361" spans="2:2">
      <c r="B9361" s="38"/>
    </row>
    <row r="9362" spans="2:2">
      <c r="B9362" s="38"/>
    </row>
    <row r="9363" spans="2:2">
      <c r="B9363" s="38"/>
    </row>
    <row r="9364" spans="2:2">
      <c r="B9364" s="38"/>
    </row>
    <row r="9365" spans="2:2">
      <c r="B9365" s="38"/>
    </row>
    <row r="9366" spans="2:2">
      <c r="B9366" s="38"/>
    </row>
    <row r="9367" spans="2:2">
      <c r="B9367" s="38"/>
    </row>
    <row r="9368" spans="2:2">
      <c r="B9368" s="38"/>
    </row>
    <row r="9369" spans="2:2">
      <c r="B9369" s="38"/>
    </row>
    <row r="9370" spans="2:2">
      <c r="B9370" s="38"/>
    </row>
    <row r="9371" spans="2:2">
      <c r="B9371" s="38"/>
    </row>
    <row r="9372" spans="2:2">
      <c r="B9372" s="38"/>
    </row>
    <row r="9373" spans="2:2">
      <c r="B9373" s="38"/>
    </row>
    <row r="9374" spans="2:2">
      <c r="B9374" s="38"/>
    </row>
    <row r="9375" spans="2:2">
      <c r="B9375" s="38"/>
    </row>
    <row r="9376" spans="2:2">
      <c r="B9376" s="38"/>
    </row>
    <row r="9377" spans="2:2">
      <c r="B9377" s="38"/>
    </row>
    <row r="9378" spans="2:2">
      <c r="B9378" s="38"/>
    </row>
    <row r="9379" spans="2:2">
      <c r="B9379" s="38"/>
    </row>
    <row r="9380" spans="2:2">
      <c r="B9380" s="38"/>
    </row>
    <row r="9381" spans="2:2">
      <c r="B9381" s="38"/>
    </row>
    <row r="9382" spans="2:2">
      <c r="B9382" s="38"/>
    </row>
    <row r="9383" spans="2:2">
      <c r="B9383" s="38"/>
    </row>
    <row r="9384" spans="2:2">
      <c r="B9384" s="38"/>
    </row>
    <row r="9385" spans="2:2">
      <c r="B9385" s="38"/>
    </row>
    <row r="9386" spans="2:2">
      <c r="B9386" s="38"/>
    </row>
    <row r="9387" spans="2:2">
      <c r="B9387" s="38"/>
    </row>
    <row r="9388" spans="2:2">
      <c r="B9388" s="38"/>
    </row>
    <row r="9389" spans="2:2">
      <c r="B9389" s="38"/>
    </row>
    <row r="9390" spans="2:2">
      <c r="B9390" s="38"/>
    </row>
    <row r="9391" spans="2:2">
      <c r="B9391" s="38"/>
    </row>
    <row r="9392" spans="2:2">
      <c r="B9392" s="38"/>
    </row>
    <row r="9393" spans="2:2">
      <c r="B9393" s="38"/>
    </row>
    <row r="9394" spans="2:2">
      <c r="B9394" s="38"/>
    </row>
    <row r="9395" spans="2:2">
      <c r="B9395" s="38"/>
    </row>
    <row r="9396" spans="2:2">
      <c r="B9396" s="38"/>
    </row>
    <row r="9397" spans="2:2">
      <c r="B9397" s="38"/>
    </row>
    <row r="9398" spans="2:2">
      <c r="B9398" s="38"/>
    </row>
    <row r="9399" spans="2:2">
      <c r="B9399" s="38"/>
    </row>
    <row r="9400" spans="2:2">
      <c r="B9400" s="38"/>
    </row>
    <row r="9401" spans="2:2">
      <c r="B9401" s="38"/>
    </row>
    <row r="9402" spans="2:2">
      <c r="B9402" s="38"/>
    </row>
    <row r="9403" spans="2:2">
      <c r="B9403" s="38"/>
    </row>
    <row r="9404" spans="2:2">
      <c r="B9404" s="38"/>
    </row>
    <row r="9405" spans="2:2">
      <c r="B9405" s="38"/>
    </row>
    <row r="9406" spans="2:2">
      <c r="B9406" s="38"/>
    </row>
    <row r="9407" spans="2:2">
      <c r="B9407" s="38"/>
    </row>
    <row r="9408" spans="2:2">
      <c r="B9408" s="38"/>
    </row>
    <row r="9409" spans="2:2">
      <c r="B9409" s="38"/>
    </row>
    <row r="9410" spans="2:2">
      <c r="B9410" s="38"/>
    </row>
    <row r="9411" spans="2:2">
      <c r="B9411" s="38"/>
    </row>
    <row r="9412" spans="2:2">
      <c r="B9412" s="38"/>
    </row>
    <row r="9413" spans="2:2">
      <c r="B9413" s="38"/>
    </row>
    <row r="9414" spans="2:2">
      <c r="B9414" s="38"/>
    </row>
    <row r="9415" spans="2:2">
      <c r="B9415" s="38"/>
    </row>
    <row r="9416" spans="2:2">
      <c r="B9416" s="38"/>
    </row>
    <row r="9417" spans="2:2">
      <c r="B9417" s="38"/>
    </row>
    <row r="9418" spans="2:2">
      <c r="B9418" s="38"/>
    </row>
    <row r="9419" spans="2:2">
      <c r="B9419" s="38"/>
    </row>
    <row r="9420" spans="2:2">
      <c r="B9420" s="38"/>
    </row>
    <row r="9421" spans="2:2">
      <c r="B9421" s="38"/>
    </row>
    <row r="9422" spans="2:2">
      <c r="B9422" s="38"/>
    </row>
    <row r="9423" spans="2:2">
      <c r="B9423" s="38"/>
    </row>
    <row r="9424" spans="2:2">
      <c r="B9424" s="38"/>
    </row>
    <row r="9425" spans="2:2">
      <c r="B9425" s="38"/>
    </row>
    <row r="9426" spans="2:2">
      <c r="B9426" s="38"/>
    </row>
    <row r="9427" spans="2:2">
      <c r="B9427" s="38"/>
    </row>
    <row r="9428" spans="2:2">
      <c r="B9428" s="38"/>
    </row>
    <row r="9429" spans="2:2">
      <c r="B9429" s="38"/>
    </row>
    <row r="9430" spans="2:2">
      <c r="B9430" s="38"/>
    </row>
    <row r="9431" spans="2:2">
      <c r="B9431" s="38"/>
    </row>
    <row r="9432" spans="2:2">
      <c r="B9432" s="38"/>
    </row>
    <row r="9433" spans="2:2">
      <c r="B9433" s="38"/>
    </row>
    <row r="9434" spans="2:2">
      <c r="B9434" s="38"/>
    </row>
    <row r="9435" spans="2:2">
      <c r="B9435" s="38"/>
    </row>
    <row r="9436" spans="2:2">
      <c r="B9436" s="38"/>
    </row>
    <row r="9437" spans="2:2">
      <c r="B9437" s="38"/>
    </row>
    <row r="9438" spans="2:2">
      <c r="B9438" s="38"/>
    </row>
    <row r="9439" spans="2:2">
      <c r="B9439" s="38"/>
    </row>
    <row r="9440" spans="2:2">
      <c r="B9440" s="38"/>
    </row>
    <row r="9441" spans="2:2">
      <c r="B9441" s="38"/>
    </row>
    <row r="9442" spans="2:2">
      <c r="B9442" s="38"/>
    </row>
    <row r="9443" spans="2:2">
      <c r="B9443" s="38"/>
    </row>
    <row r="9444" spans="2:2">
      <c r="B9444" s="38"/>
    </row>
    <row r="9445" spans="2:2">
      <c r="B9445" s="38"/>
    </row>
    <row r="9446" spans="2:2">
      <c r="B9446" s="38"/>
    </row>
    <row r="9447" spans="2:2">
      <c r="B9447" s="38"/>
    </row>
    <row r="9448" spans="2:2">
      <c r="B9448" s="38"/>
    </row>
    <row r="9449" spans="2:2">
      <c r="B9449" s="38"/>
    </row>
    <row r="9450" spans="2:2">
      <c r="B9450" s="38"/>
    </row>
    <row r="9451" spans="2:2">
      <c r="B9451" s="38"/>
    </row>
    <row r="9452" spans="2:2">
      <c r="B9452" s="38"/>
    </row>
    <row r="9453" spans="2:2">
      <c r="B9453" s="38"/>
    </row>
    <row r="9454" spans="2:2">
      <c r="B9454" s="38"/>
    </row>
    <row r="9455" spans="2:2">
      <c r="B9455" s="38"/>
    </row>
    <row r="9456" spans="2:2">
      <c r="B9456" s="38"/>
    </row>
    <row r="9457" spans="2:2">
      <c r="B9457" s="38"/>
    </row>
    <row r="9458" spans="2:2">
      <c r="B9458" s="38"/>
    </row>
    <row r="9459" spans="2:2">
      <c r="B9459" s="38"/>
    </row>
    <row r="9460" spans="2:2">
      <c r="B9460" s="38"/>
    </row>
    <row r="9461" spans="2:2">
      <c r="B9461" s="38"/>
    </row>
    <row r="9462" spans="2:2">
      <c r="B9462" s="38"/>
    </row>
    <row r="9463" spans="2:2">
      <c r="B9463" s="38"/>
    </row>
    <row r="9464" spans="2:2">
      <c r="B9464" s="38"/>
    </row>
    <row r="9465" spans="2:2">
      <c r="B9465" s="38"/>
    </row>
    <row r="9466" spans="2:2">
      <c r="B9466" s="38"/>
    </row>
    <row r="9467" spans="2:2">
      <c r="B9467" s="38"/>
    </row>
    <row r="9468" spans="2:2">
      <c r="B9468" s="38"/>
    </row>
    <row r="9469" spans="2:2">
      <c r="B9469" s="38"/>
    </row>
    <row r="9470" spans="2:2">
      <c r="B9470" s="38"/>
    </row>
    <row r="9471" spans="2:2">
      <c r="B9471" s="38"/>
    </row>
    <row r="9472" spans="2:2">
      <c r="B9472" s="38"/>
    </row>
    <row r="9473" spans="2:2">
      <c r="B9473" s="38"/>
    </row>
    <row r="9474" spans="2:2">
      <c r="B9474" s="38"/>
    </row>
    <row r="9475" spans="2:2">
      <c r="B9475" s="38"/>
    </row>
    <row r="9476" spans="2:2">
      <c r="B9476" s="38"/>
    </row>
    <row r="9477" spans="2:2">
      <c r="B9477" s="38"/>
    </row>
    <row r="9478" spans="2:2">
      <c r="B9478" s="38"/>
    </row>
    <row r="9479" spans="2:2">
      <c r="B9479" s="38"/>
    </row>
    <row r="9480" spans="2:2">
      <c r="B9480" s="38"/>
    </row>
    <row r="9481" spans="2:2">
      <c r="B9481" s="38"/>
    </row>
    <row r="9482" spans="2:2">
      <c r="B9482" s="38"/>
    </row>
    <row r="9483" spans="2:2">
      <c r="B9483" s="38"/>
    </row>
    <row r="9484" spans="2:2">
      <c r="B9484" s="38"/>
    </row>
    <row r="9485" spans="2:2">
      <c r="B9485" s="38"/>
    </row>
    <row r="9486" spans="2:2">
      <c r="B9486" s="38"/>
    </row>
    <row r="9487" spans="2:2">
      <c r="B9487" s="38"/>
    </row>
    <row r="9488" spans="2:2">
      <c r="B9488" s="38"/>
    </row>
    <row r="9489" spans="2:2">
      <c r="B9489" s="38"/>
    </row>
    <row r="9490" spans="2:2">
      <c r="B9490" s="38"/>
    </row>
    <row r="9491" spans="2:2">
      <c r="B9491" s="38"/>
    </row>
    <row r="9492" spans="2:2">
      <c r="B9492" s="38"/>
    </row>
    <row r="9493" spans="2:2">
      <c r="B9493" s="38"/>
    </row>
    <row r="9494" spans="2:2">
      <c r="B9494" s="38"/>
    </row>
    <row r="9495" spans="2:2">
      <c r="B9495" s="38"/>
    </row>
    <row r="9496" spans="2:2">
      <c r="B9496" s="38"/>
    </row>
    <row r="9497" spans="2:2">
      <c r="B9497" s="38"/>
    </row>
    <row r="9498" spans="2:2">
      <c r="B9498" s="38"/>
    </row>
    <row r="9499" spans="2:2">
      <c r="B9499" s="38"/>
    </row>
    <row r="9500" spans="2:2">
      <c r="B9500" s="38"/>
    </row>
    <row r="9501" spans="2:2">
      <c r="B9501" s="38"/>
    </row>
    <row r="9502" spans="2:2">
      <c r="B9502" s="38"/>
    </row>
    <row r="9503" spans="2:2">
      <c r="B9503" s="38"/>
    </row>
    <row r="9504" spans="2:2">
      <c r="B9504" s="38"/>
    </row>
    <row r="9505" spans="2:2">
      <c r="B9505" s="38"/>
    </row>
    <row r="9506" spans="2:2">
      <c r="B9506" s="38"/>
    </row>
    <row r="9507" spans="2:2">
      <c r="B9507" s="38"/>
    </row>
    <row r="9508" spans="2:2">
      <c r="B9508" s="38"/>
    </row>
    <row r="9509" spans="2:2">
      <c r="B9509" s="38"/>
    </row>
    <row r="9510" spans="2:2">
      <c r="B9510" s="38"/>
    </row>
    <row r="9511" spans="2:2">
      <c r="B9511" s="38"/>
    </row>
    <row r="9512" spans="2:2">
      <c r="B9512" s="38"/>
    </row>
    <row r="9513" spans="2:2">
      <c r="B9513" s="38"/>
    </row>
    <row r="9514" spans="2:2">
      <c r="B9514" s="38"/>
    </row>
    <row r="9515" spans="2:2">
      <c r="B9515" s="38"/>
    </row>
    <row r="9516" spans="2:2">
      <c r="B9516" s="38"/>
    </row>
    <row r="9517" spans="2:2">
      <c r="B9517" s="38"/>
    </row>
    <row r="9518" spans="2:2">
      <c r="B9518" s="38"/>
    </row>
    <row r="9519" spans="2:2">
      <c r="B9519" s="38"/>
    </row>
    <row r="9520" spans="2:2">
      <c r="B9520" s="38"/>
    </row>
    <row r="9521" spans="2:2">
      <c r="B9521" s="38"/>
    </row>
    <row r="9522" spans="2:2">
      <c r="B9522" s="38"/>
    </row>
    <row r="9523" spans="2:2">
      <c r="B9523" s="38"/>
    </row>
    <row r="9524" spans="2:2">
      <c r="B9524" s="38"/>
    </row>
    <row r="9525" spans="2:2">
      <c r="B9525" s="38"/>
    </row>
    <row r="9526" spans="2:2">
      <c r="B9526" s="38"/>
    </row>
    <row r="9527" spans="2:2">
      <c r="B9527" s="38"/>
    </row>
    <row r="9528" spans="2:2">
      <c r="B9528" s="38"/>
    </row>
    <row r="9529" spans="2:2">
      <c r="B9529" s="38"/>
    </row>
    <row r="9530" spans="2:2">
      <c r="B9530" s="38"/>
    </row>
    <row r="9531" spans="2:2">
      <c r="B9531" s="38"/>
    </row>
    <row r="9532" spans="2:2">
      <c r="B9532" s="38"/>
    </row>
    <row r="9533" spans="2:2">
      <c r="B9533" s="38"/>
    </row>
    <row r="9534" spans="2:2">
      <c r="B9534" s="38"/>
    </row>
    <row r="9535" spans="2:2">
      <c r="B9535" s="38"/>
    </row>
    <row r="9536" spans="2:2">
      <c r="B9536" s="38"/>
    </row>
    <row r="9537" spans="2:2">
      <c r="B9537" s="38"/>
    </row>
    <row r="9538" spans="2:2">
      <c r="B9538" s="38"/>
    </row>
    <row r="9539" spans="2:2">
      <c r="B9539" s="38"/>
    </row>
    <row r="9540" spans="2:2">
      <c r="B9540" s="38"/>
    </row>
    <row r="9541" spans="2:2">
      <c r="B9541" s="38"/>
    </row>
    <row r="9542" spans="2:2">
      <c r="B9542" s="38"/>
    </row>
    <row r="9543" spans="2:2">
      <c r="B9543" s="38"/>
    </row>
    <row r="9544" spans="2:2">
      <c r="B9544" s="38"/>
    </row>
    <row r="9545" spans="2:2">
      <c r="B9545" s="38"/>
    </row>
    <row r="9546" spans="2:2">
      <c r="B9546" s="38"/>
    </row>
    <row r="9547" spans="2:2">
      <c r="B9547" s="38"/>
    </row>
    <row r="9548" spans="2:2">
      <c r="B9548" s="38"/>
    </row>
    <row r="9549" spans="2:2">
      <c r="B9549" s="38"/>
    </row>
    <row r="9550" spans="2:2">
      <c r="B9550" s="38"/>
    </row>
    <row r="9551" spans="2:2">
      <c r="B9551" s="38"/>
    </row>
    <row r="9552" spans="2:2">
      <c r="B9552" s="38"/>
    </row>
    <row r="9553" spans="2:2">
      <c r="B9553" s="38"/>
    </row>
    <row r="9554" spans="2:2">
      <c r="B9554" s="38"/>
    </row>
    <row r="9555" spans="2:2">
      <c r="B9555" s="38"/>
    </row>
    <row r="9556" spans="2:2">
      <c r="B9556" s="38"/>
    </row>
    <row r="9557" spans="2:2">
      <c r="B9557" s="38"/>
    </row>
    <row r="9558" spans="2:2">
      <c r="B9558" s="38"/>
    </row>
    <row r="9559" spans="2:2">
      <c r="B9559" s="38"/>
    </row>
    <row r="9560" spans="2:2">
      <c r="B9560" s="38"/>
    </row>
    <row r="9561" spans="2:2">
      <c r="B9561" s="38"/>
    </row>
    <row r="9562" spans="2:2">
      <c r="B9562" s="38"/>
    </row>
    <row r="9563" spans="2:2">
      <c r="B9563" s="38"/>
    </row>
    <row r="9564" spans="2:2">
      <c r="B9564" s="38"/>
    </row>
    <row r="9565" spans="2:2">
      <c r="B9565" s="38"/>
    </row>
    <row r="9566" spans="2:2">
      <c r="B9566" s="38"/>
    </row>
    <row r="9567" spans="2:2">
      <c r="B9567" s="38"/>
    </row>
    <row r="9568" spans="2:2">
      <c r="B9568" s="38"/>
    </row>
    <row r="9569" spans="2:2">
      <c r="B9569" s="38"/>
    </row>
    <row r="9570" spans="2:2">
      <c r="B9570" s="38"/>
    </row>
    <row r="9571" spans="2:2">
      <c r="B9571" s="38"/>
    </row>
    <row r="9572" spans="2:2">
      <c r="B9572" s="38"/>
    </row>
    <row r="9573" spans="2:2">
      <c r="B9573" s="38"/>
    </row>
    <row r="9574" spans="2:2">
      <c r="B9574" s="38"/>
    </row>
    <row r="9575" spans="2:2">
      <c r="B9575" s="38"/>
    </row>
    <row r="9576" spans="2:2">
      <c r="B9576" s="38"/>
    </row>
    <row r="9577" spans="2:2">
      <c r="B9577" s="38"/>
    </row>
    <row r="9578" spans="2:2">
      <c r="B9578" s="38"/>
    </row>
    <row r="9579" spans="2:2">
      <c r="B9579" s="38"/>
    </row>
    <row r="9580" spans="2:2">
      <c r="B9580" s="38"/>
    </row>
    <row r="9581" spans="2:2">
      <c r="B9581" s="38"/>
    </row>
    <row r="9582" spans="2:2">
      <c r="B9582" s="38"/>
    </row>
    <row r="9583" spans="2:2">
      <c r="B9583" s="38"/>
    </row>
    <row r="9584" spans="2:2">
      <c r="B9584" s="38"/>
    </row>
    <row r="9585" spans="2:2">
      <c r="B9585" s="38"/>
    </row>
    <row r="9586" spans="2:2">
      <c r="B9586" s="38"/>
    </row>
    <row r="9587" spans="2:2">
      <c r="B9587" s="38"/>
    </row>
    <row r="9588" spans="2:2">
      <c r="B9588" s="38"/>
    </row>
    <row r="9589" spans="2:2">
      <c r="B9589" s="38"/>
    </row>
    <row r="9590" spans="2:2">
      <c r="B9590" s="38"/>
    </row>
    <row r="9591" spans="2:2">
      <c r="B9591" s="38"/>
    </row>
    <row r="9592" spans="2:2">
      <c r="B9592" s="38"/>
    </row>
    <row r="9593" spans="2:2">
      <c r="B9593" s="38"/>
    </row>
    <row r="9594" spans="2:2">
      <c r="B9594" s="38"/>
    </row>
    <row r="9595" spans="2:2">
      <c r="B9595" s="38"/>
    </row>
    <row r="9596" spans="2:2">
      <c r="B9596" s="38"/>
    </row>
    <row r="9597" spans="2:2">
      <c r="B9597" s="38"/>
    </row>
    <row r="9598" spans="2:2">
      <c r="B9598" s="38"/>
    </row>
    <row r="9599" spans="2:2">
      <c r="B9599" s="38"/>
    </row>
    <row r="9600" spans="2:2">
      <c r="B9600" s="38"/>
    </row>
    <row r="9601" spans="2:2">
      <c r="B9601" s="38"/>
    </row>
    <row r="9602" spans="2:2">
      <c r="B9602" s="38"/>
    </row>
    <row r="9603" spans="2:2">
      <c r="B9603" s="38"/>
    </row>
    <row r="9604" spans="2:2">
      <c r="B9604" s="38"/>
    </row>
    <row r="9605" spans="2:2">
      <c r="B9605" s="38"/>
    </row>
    <row r="9606" spans="2:2">
      <c r="B9606" s="38"/>
    </row>
    <row r="9607" spans="2:2">
      <c r="B9607" s="38"/>
    </row>
    <row r="9608" spans="2:2">
      <c r="B9608" s="38"/>
    </row>
    <row r="9609" spans="2:2">
      <c r="B9609" s="38"/>
    </row>
    <row r="9610" spans="2:2">
      <c r="B9610" s="38"/>
    </row>
    <row r="9611" spans="2:2">
      <c r="B9611" s="38"/>
    </row>
    <row r="9612" spans="2:2">
      <c r="B9612" s="38"/>
    </row>
    <row r="9613" spans="2:2">
      <c r="B9613" s="38"/>
    </row>
    <row r="9614" spans="2:2">
      <c r="B9614" s="38"/>
    </row>
    <row r="9615" spans="2:2">
      <c r="B9615" s="38"/>
    </row>
    <row r="9616" spans="2:2">
      <c r="B9616" s="38"/>
    </row>
    <row r="9617" spans="2:2">
      <c r="B9617" s="38"/>
    </row>
    <row r="9618" spans="2:2">
      <c r="B9618" s="38"/>
    </row>
    <row r="9619" spans="2:2">
      <c r="B9619" s="38"/>
    </row>
    <row r="9620" spans="2:2">
      <c r="B9620" s="38"/>
    </row>
    <row r="9621" spans="2:2">
      <c r="B9621" s="38"/>
    </row>
    <row r="9622" spans="2:2">
      <c r="B9622" s="38"/>
    </row>
    <row r="9623" spans="2:2">
      <c r="B9623" s="38"/>
    </row>
    <row r="9624" spans="2:2">
      <c r="B9624" s="38"/>
    </row>
    <row r="9625" spans="2:2">
      <c r="B9625" s="38"/>
    </row>
    <row r="9626" spans="2:2">
      <c r="B9626" s="38"/>
    </row>
    <row r="9627" spans="2:2">
      <c r="B9627" s="38"/>
    </row>
    <row r="9628" spans="2:2">
      <c r="B9628" s="38"/>
    </row>
    <row r="9629" spans="2:2">
      <c r="B9629" s="38"/>
    </row>
    <row r="9630" spans="2:2">
      <c r="B9630" s="38"/>
    </row>
    <row r="9631" spans="2:2">
      <c r="B9631" s="38"/>
    </row>
    <row r="9632" spans="2:2">
      <c r="B9632" s="38"/>
    </row>
    <row r="9633" spans="2:2">
      <c r="B9633" s="38"/>
    </row>
    <row r="9634" spans="2:2">
      <c r="B9634" s="38"/>
    </row>
    <row r="9635" spans="2:2">
      <c r="B9635" s="38"/>
    </row>
    <row r="9636" spans="2:2">
      <c r="B9636" s="38"/>
    </row>
    <row r="9637" spans="2:2">
      <c r="B9637" s="38"/>
    </row>
    <row r="9638" spans="2:2">
      <c r="B9638" s="38"/>
    </row>
    <row r="9639" spans="2:2">
      <c r="B9639" s="38"/>
    </row>
    <row r="9640" spans="2:2">
      <c r="B9640" s="38"/>
    </row>
    <row r="9641" spans="2:2">
      <c r="B9641" s="38"/>
    </row>
    <row r="9642" spans="2:2">
      <c r="B9642" s="38"/>
    </row>
    <row r="9643" spans="2:2">
      <c r="B9643" s="38"/>
    </row>
    <row r="9644" spans="2:2">
      <c r="B9644" s="38"/>
    </row>
    <row r="9645" spans="2:2">
      <c r="B9645" s="38"/>
    </row>
    <row r="9646" spans="2:2">
      <c r="B9646" s="38"/>
    </row>
    <row r="9647" spans="2:2">
      <c r="B9647" s="38"/>
    </row>
    <row r="9648" spans="2:2">
      <c r="B9648" s="38"/>
    </row>
    <row r="9649" spans="2:2">
      <c r="B9649" s="38"/>
    </row>
    <row r="9650" spans="2:2">
      <c r="B9650" s="38"/>
    </row>
    <row r="9651" spans="2:2">
      <c r="B9651" s="38"/>
    </row>
    <row r="9652" spans="2:2">
      <c r="B9652" s="38"/>
    </row>
    <row r="9653" spans="2:2">
      <c r="B9653" s="38"/>
    </row>
    <row r="9654" spans="2:2">
      <c r="B9654" s="38"/>
    </row>
    <row r="9655" spans="2:2">
      <c r="B9655" s="38"/>
    </row>
    <row r="9656" spans="2:2">
      <c r="B9656" s="38"/>
    </row>
    <row r="9657" spans="2:2">
      <c r="B9657" s="38"/>
    </row>
    <row r="9658" spans="2:2">
      <c r="B9658" s="38"/>
    </row>
    <row r="9659" spans="2:2">
      <c r="B9659" s="38"/>
    </row>
    <row r="9660" spans="2:2">
      <c r="B9660" s="38"/>
    </row>
    <row r="9661" spans="2:2">
      <c r="B9661" s="38"/>
    </row>
    <row r="9662" spans="2:2">
      <c r="B9662" s="38"/>
    </row>
    <row r="9663" spans="2:2">
      <c r="B9663" s="38"/>
    </row>
    <row r="9664" spans="2:2">
      <c r="B9664" s="38"/>
    </row>
    <row r="9665" spans="2:2">
      <c r="B9665" s="38"/>
    </row>
    <row r="9666" spans="2:2">
      <c r="B9666" s="38"/>
    </row>
    <row r="9667" spans="2:2">
      <c r="B9667" s="38"/>
    </row>
    <row r="9668" spans="2:2">
      <c r="B9668" s="38"/>
    </row>
    <row r="9669" spans="2:2">
      <c r="B9669" s="38"/>
    </row>
    <row r="9670" spans="2:2">
      <c r="B9670" s="38"/>
    </row>
    <row r="9671" spans="2:2">
      <c r="B9671" s="38"/>
    </row>
    <row r="9672" spans="2:2">
      <c r="B9672" s="38"/>
    </row>
    <row r="9673" spans="2:2">
      <c r="B9673" s="38"/>
    </row>
    <row r="9674" spans="2:2">
      <c r="B9674" s="38"/>
    </row>
    <row r="9675" spans="2:2">
      <c r="B9675" s="38"/>
    </row>
    <row r="9676" spans="2:2">
      <c r="B9676" s="38"/>
    </row>
    <row r="9677" spans="2:2">
      <c r="B9677" s="38"/>
    </row>
    <row r="9678" spans="2:2">
      <c r="B9678" s="38"/>
    </row>
    <row r="9679" spans="2:2">
      <c r="B9679" s="38"/>
    </row>
    <row r="9680" spans="2:2">
      <c r="B9680" s="38"/>
    </row>
    <row r="9681" spans="2:2">
      <c r="B9681" s="38"/>
    </row>
    <row r="9682" spans="2:2">
      <c r="B9682" s="38"/>
    </row>
    <row r="9683" spans="2:2">
      <c r="B9683" s="38"/>
    </row>
    <row r="9684" spans="2:2">
      <c r="B9684" s="38"/>
    </row>
    <row r="9685" spans="2:2">
      <c r="B9685" s="38"/>
    </row>
    <row r="9686" spans="2:2">
      <c r="B9686" s="38"/>
    </row>
    <row r="9687" spans="2:2">
      <c r="B9687" s="38"/>
    </row>
    <row r="9688" spans="2:2">
      <c r="B9688" s="38"/>
    </row>
    <row r="9689" spans="2:2">
      <c r="B9689" s="38"/>
    </row>
    <row r="9690" spans="2:2">
      <c r="B9690" s="38"/>
    </row>
    <row r="9691" spans="2:2">
      <c r="B9691" s="38"/>
    </row>
    <row r="9692" spans="2:2">
      <c r="B9692" s="38"/>
    </row>
    <row r="9693" spans="2:2">
      <c r="B9693" s="38"/>
    </row>
    <row r="9694" spans="2:2">
      <c r="B9694" s="38"/>
    </row>
    <row r="9695" spans="2:2">
      <c r="B9695" s="38"/>
    </row>
    <row r="9696" spans="2:2">
      <c r="B9696" s="38"/>
    </row>
    <row r="9697" spans="2:2">
      <c r="B9697" s="38"/>
    </row>
    <row r="9698" spans="2:2">
      <c r="B9698" s="38"/>
    </row>
    <row r="9699" spans="2:2">
      <c r="B9699" s="38"/>
    </row>
    <row r="9700" spans="2:2">
      <c r="B9700" s="38"/>
    </row>
    <row r="9701" spans="2:2">
      <c r="B9701" s="38"/>
    </row>
    <row r="9702" spans="2:2">
      <c r="B9702" s="38"/>
    </row>
    <row r="9703" spans="2:2">
      <c r="B9703" s="38"/>
    </row>
    <row r="9704" spans="2:2">
      <c r="B9704" s="38"/>
    </row>
    <row r="9705" spans="2:2">
      <c r="B9705" s="38"/>
    </row>
    <row r="9706" spans="2:2">
      <c r="B9706" s="38"/>
    </row>
    <row r="9707" spans="2:2">
      <c r="B9707" s="38"/>
    </row>
    <row r="9708" spans="2:2">
      <c r="B9708" s="38"/>
    </row>
    <row r="9709" spans="2:2">
      <c r="B9709" s="38"/>
    </row>
    <row r="9710" spans="2:2">
      <c r="B9710" s="38"/>
    </row>
    <row r="9711" spans="2:2">
      <c r="B9711" s="38"/>
    </row>
    <row r="9712" spans="2:2">
      <c r="B9712" s="38"/>
    </row>
    <row r="9713" spans="2:2">
      <c r="B9713" s="38"/>
    </row>
    <row r="9714" spans="2:2">
      <c r="B9714" s="38"/>
    </row>
    <row r="9715" spans="2:2">
      <c r="B9715" s="38"/>
    </row>
    <row r="9716" spans="2:2">
      <c r="B9716" s="38"/>
    </row>
    <row r="9717" spans="2:2">
      <c r="B9717" s="38"/>
    </row>
    <row r="9718" spans="2:2">
      <c r="B9718" s="38"/>
    </row>
    <row r="9719" spans="2:2">
      <c r="B9719" s="38"/>
    </row>
    <row r="9720" spans="2:2">
      <c r="B9720" s="38"/>
    </row>
    <row r="9721" spans="2:2">
      <c r="B9721" s="38"/>
    </row>
    <row r="9722" spans="2:2">
      <c r="B9722" s="38"/>
    </row>
    <row r="9723" spans="2:2">
      <c r="B9723" s="38"/>
    </row>
    <row r="9724" spans="2:2">
      <c r="B9724" s="38"/>
    </row>
    <row r="9725" spans="2:2">
      <c r="B9725" s="38"/>
    </row>
    <row r="9726" spans="2:2">
      <c r="B9726" s="38"/>
    </row>
    <row r="9727" spans="2:2">
      <c r="B9727" s="38"/>
    </row>
    <row r="9728" spans="2:2">
      <c r="B9728" s="38"/>
    </row>
    <row r="9729" spans="2:2">
      <c r="B9729" s="38"/>
    </row>
    <row r="9730" spans="2:2">
      <c r="B9730" s="38"/>
    </row>
    <row r="9731" spans="2:2">
      <c r="B9731" s="38"/>
    </row>
    <row r="9732" spans="2:2">
      <c r="B9732" s="38"/>
    </row>
    <row r="9733" spans="2:2">
      <c r="B9733" s="38"/>
    </row>
    <row r="9734" spans="2:2">
      <c r="B9734" s="38"/>
    </row>
    <row r="9735" spans="2:2">
      <c r="B9735" s="38"/>
    </row>
    <row r="9736" spans="2:2">
      <c r="B9736" s="38"/>
    </row>
    <row r="9737" spans="2:2">
      <c r="B9737" s="38"/>
    </row>
    <row r="9738" spans="2:2">
      <c r="B9738" s="38"/>
    </row>
    <row r="9739" spans="2:2">
      <c r="B9739" s="38"/>
    </row>
    <row r="9740" spans="2:2">
      <c r="B9740" s="38"/>
    </row>
    <row r="9741" spans="2:2">
      <c r="B9741" s="38"/>
    </row>
    <row r="9742" spans="2:2">
      <c r="B9742" s="38"/>
    </row>
    <row r="9743" spans="2:2">
      <c r="B9743" s="38"/>
    </row>
    <row r="9744" spans="2:2">
      <c r="B9744" s="38"/>
    </row>
    <row r="9745" spans="2:2">
      <c r="B9745" s="38"/>
    </row>
    <row r="9746" spans="2:2">
      <c r="B9746" s="38"/>
    </row>
    <row r="9747" spans="2:2">
      <c r="B9747" s="38"/>
    </row>
    <row r="9748" spans="2:2">
      <c r="B9748" s="38"/>
    </row>
    <row r="9749" spans="2:2">
      <c r="B9749" s="38"/>
    </row>
    <row r="9750" spans="2:2">
      <c r="B9750" s="38"/>
    </row>
    <row r="9751" spans="2:2">
      <c r="B9751" s="38"/>
    </row>
    <row r="9752" spans="2:2">
      <c r="B9752" s="38"/>
    </row>
    <row r="9753" spans="2:2">
      <c r="B9753" s="38"/>
    </row>
    <row r="9754" spans="2:2">
      <c r="B9754" s="38"/>
    </row>
    <row r="9755" spans="2:2">
      <c r="B9755" s="38"/>
    </row>
    <row r="9756" spans="2:2">
      <c r="B9756" s="38"/>
    </row>
    <row r="9757" spans="2:2">
      <c r="B9757" s="38"/>
    </row>
    <row r="9758" spans="2:2">
      <c r="B9758" s="38"/>
    </row>
    <row r="9759" spans="2:2">
      <c r="B9759" s="38"/>
    </row>
    <row r="9760" spans="2:2">
      <c r="B9760" s="38"/>
    </row>
    <row r="9761" spans="2:2">
      <c r="B9761" s="38"/>
    </row>
    <row r="9762" spans="2:2">
      <c r="B9762" s="38"/>
    </row>
    <row r="9763" spans="2:2">
      <c r="B9763" s="38"/>
    </row>
    <row r="9764" spans="2:2">
      <c r="B9764" s="38"/>
    </row>
    <row r="9765" spans="2:2">
      <c r="B9765" s="38"/>
    </row>
    <row r="9766" spans="2:2">
      <c r="B9766" s="38"/>
    </row>
    <row r="9767" spans="2:2">
      <c r="B9767" s="38"/>
    </row>
    <row r="9768" spans="2:2">
      <c r="B9768" s="38"/>
    </row>
    <row r="9769" spans="2:2">
      <c r="B9769" s="38"/>
    </row>
    <row r="9770" spans="2:2">
      <c r="B9770" s="38"/>
    </row>
    <row r="9771" spans="2:2">
      <c r="B9771" s="38"/>
    </row>
    <row r="9772" spans="2:2">
      <c r="B9772" s="38"/>
    </row>
    <row r="9773" spans="2:2">
      <c r="B9773" s="38"/>
    </row>
    <row r="9774" spans="2:2">
      <c r="B9774" s="38"/>
    </row>
    <row r="9775" spans="2:2">
      <c r="B9775" s="38"/>
    </row>
    <row r="9776" spans="2:2">
      <c r="B9776" s="38"/>
    </row>
    <row r="9777" spans="2:2">
      <c r="B9777" s="38"/>
    </row>
    <row r="9778" spans="2:2">
      <c r="B9778" s="38"/>
    </row>
    <row r="9779" spans="2:2">
      <c r="B9779" s="38"/>
    </row>
    <row r="9780" spans="2:2">
      <c r="B9780" s="38"/>
    </row>
    <row r="9781" spans="2:2">
      <c r="B9781" s="38"/>
    </row>
    <row r="9782" spans="2:2">
      <c r="B9782" s="38"/>
    </row>
    <row r="9783" spans="2:2">
      <c r="B9783" s="38"/>
    </row>
    <row r="9784" spans="2:2">
      <c r="B9784" s="38"/>
    </row>
    <row r="9785" spans="2:2">
      <c r="B9785" s="38"/>
    </row>
    <row r="9786" spans="2:2">
      <c r="B9786" s="38"/>
    </row>
    <row r="9787" spans="2:2">
      <c r="B9787" s="38"/>
    </row>
    <row r="9788" spans="2:2">
      <c r="B9788" s="38"/>
    </row>
    <row r="9789" spans="2:2">
      <c r="B9789" s="38"/>
    </row>
    <row r="9790" spans="2:2">
      <c r="B9790" s="38"/>
    </row>
    <row r="9791" spans="2:2">
      <c r="B9791" s="38"/>
    </row>
    <row r="9792" spans="2:2">
      <c r="B9792" s="38"/>
    </row>
    <row r="9793" spans="2:2">
      <c r="B9793" s="38"/>
    </row>
    <row r="9794" spans="2:2">
      <c r="B9794" s="38"/>
    </row>
    <row r="9795" spans="2:2">
      <c r="B9795" s="38"/>
    </row>
    <row r="9796" spans="2:2">
      <c r="B9796" s="38"/>
    </row>
    <row r="9797" spans="2:2">
      <c r="B9797" s="38"/>
    </row>
    <row r="9798" spans="2:2">
      <c r="B9798" s="38"/>
    </row>
    <row r="9799" spans="2:2">
      <c r="B9799" s="38"/>
    </row>
    <row r="9800" spans="2:2">
      <c r="B9800" s="38"/>
    </row>
    <row r="9801" spans="2:2">
      <c r="B9801" s="38"/>
    </row>
    <row r="9802" spans="2:2">
      <c r="B9802" s="38"/>
    </row>
    <row r="9803" spans="2:2">
      <c r="B9803" s="38"/>
    </row>
    <row r="9804" spans="2:2">
      <c r="B9804" s="38"/>
    </row>
    <row r="9805" spans="2:2">
      <c r="B9805" s="38"/>
    </row>
    <row r="9806" spans="2:2">
      <c r="B9806" s="38"/>
    </row>
    <row r="9807" spans="2:2">
      <c r="B9807" s="38"/>
    </row>
    <row r="9808" spans="2:2">
      <c r="B9808" s="38"/>
    </row>
    <row r="9809" spans="2:2">
      <c r="B9809" s="38"/>
    </row>
    <row r="9810" spans="2:2">
      <c r="B9810" s="38"/>
    </row>
    <row r="9811" spans="2:2">
      <c r="B9811" s="38"/>
    </row>
    <row r="9812" spans="2:2">
      <c r="B9812" s="38"/>
    </row>
    <row r="9813" spans="2:2">
      <c r="B9813" s="38"/>
    </row>
    <row r="9814" spans="2:2">
      <c r="B9814" s="38"/>
    </row>
    <row r="9815" spans="2:2">
      <c r="B9815" s="38"/>
    </row>
    <row r="9816" spans="2:2">
      <c r="B9816" s="38"/>
    </row>
    <row r="9817" spans="2:2">
      <c r="B9817" s="38"/>
    </row>
    <row r="9818" spans="2:2">
      <c r="B9818" s="38"/>
    </row>
    <row r="9819" spans="2:2">
      <c r="B9819" s="38"/>
    </row>
    <row r="9820" spans="2:2">
      <c r="B9820" s="38"/>
    </row>
    <row r="9821" spans="2:2">
      <c r="B9821" s="38"/>
    </row>
    <row r="9822" spans="2:2">
      <c r="B9822" s="38"/>
    </row>
    <row r="9823" spans="2:2">
      <c r="B9823" s="38"/>
    </row>
    <row r="9824" spans="2:2">
      <c r="B9824" s="38"/>
    </row>
    <row r="9825" spans="2:2">
      <c r="B9825" s="38"/>
    </row>
    <row r="9826" spans="2:2">
      <c r="B9826" s="38"/>
    </row>
    <row r="9827" spans="2:2">
      <c r="B9827" s="38"/>
    </row>
    <row r="9828" spans="2:2">
      <c r="B9828" s="38"/>
    </row>
    <row r="9829" spans="2:2">
      <c r="B9829" s="38"/>
    </row>
    <row r="9830" spans="2:2">
      <c r="B9830" s="38"/>
    </row>
    <row r="9831" spans="2:2">
      <c r="B9831" s="38"/>
    </row>
    <row r="9832" spans="2:2">
      <c r="B9832" s="38"/>
    </row>
    <row r="9833" spans="2:2">
      <c r="B9833" s="38"/>
    </row>
    <row r="9834" spans="2:2">
      <c r="B9834" s="38"/>
    </row>
    <row r="9835" spans="2:2">
      <c r="B9835" s="38"/>
    </row>
    <row r="9836" spans="2:2">
      <c r="B9836" s="38"/>
    </row>
    <row r="9837" spans="2:2">
      <c r="B9837" s="38"/>
    </row>
    <row r="9838" spans="2:2">
      <c r="B9838" s="38"/>
    </row>
    <row r="9839" spans="2:2">
      <c r="B9839" s="38"/>
    </row>
    <row r="9840" spans="2:2">
      <c r="B9840" s="38"/>
    </row>
    <row r="9841" spans="2:2">
      <c r="B9841" s="38"/>
    </row>
    <row r="9842" spans="2:2">
      <c r="B9842" s="38"/>
    </row>
    <row r="9843" spans="2:2">
      <c r="B9843" s="38"/>
    </row>
    <row r="9844" spans="2:2">
      <c r="B9844" s="38"/>
    </row>
    <row r="9845" spans="2:2">
      <c r="B9845" s="38"/>
    </row>
    <row r="9846" spans="2:2">
      <c r="B9846" s="38"/>
    </row>
    <row r="9847" spans="2:2">
      <c r="B9847" s="38"/>
    </row>
    <row r="9848" spans="2:2">
      <c r="B9848" s="38"/>
    </row>
    <row r="9849" spans="2:2">
      <c r="B9849" s="38"/>
    </row>
    <row r="9850" spans="2:2">
      <c r="B9850" s="38"/>
    </row>
    <row r="9851" spans="2:2">
      <c r="B9851" s="38"/>
    </row>
    <row r="9852" spans="2:2">
      <c r="B9852" s="38"/>
    </row>
    <row r="9853" spans="2:2">
      <c r="B9853" s="38"/>
    </row>
    <row r="9854" spans="2:2">
      <c r="B9854" s="38"/>
    </row>
    <row r="9855" spans="2:2">
      <c r="B9855" s="38"/>
    </row>
    <row r="9856" spans="2:2">
      <c r="B9856" s="38"/>
    </row>
    <row r="9857" spans="2:2">
      <c r="B9857" s="38"/>
    </row>
    <row r="9858" spans="2:2">
      <c r="B9858" s="38"/>
    </row>
    <row r="9859" spans="2:2">
      <c r="B9859" s="38"/>
    </row>
    <row r="9860" spans="2:2">
      <c r="B9860" s="38"/>
    </row>
    <row r="9861" spans="2:2">
      <c r="B9861" s="38"/>
    </row>
    <row r="9862" spans="2:2">
      <c r="B9862" s="38"/>
    </row>
    <row r="9863" spans="2:2">
      <c r="B9863" s="38"/>
    </row>
    <row r="9864" spans="2:2">
      <c r="B9864" s="38"/>
    </row>
    <row r="9865" spans="2:2">
      <c r="B9865" s="38"/>
    </row>
    <row r="9866" spans="2:2">
      <c r="B9866" s="38"/>
    </row>
    <row r="9867" spans="2:2">
      <c r="B9867" s="38"/>
    </row>
    <row r="9868" spans="2:2">
      <c r="B9868" s="38"/>
    </row>
    <row r="9869" spans="2:2">
      <c r="B9869" s="38"/>
    </row>
    <row r="9870" spans="2:2">
      <c r="B9870" s="38"/>
    </row>
    <row r="9871" spans="2:2">
      <c r="B9871" s="38"/>
    </row>
    <row r="9872" spans="2:2">
      <c r="B9872" s="38"/>
    </row>
    <row r="9873" spans="2:2">
      <c r="B9873" s="38"/>
    </row>
    <row r="9874" spans="2:2">
      <c r="B9874" s="38"/>
    </row>
    <row r="9875" spans="2:2">
      <c r="B9875" s="38"/>
    </row>
    <row r="9876" spans="2:2">
      <c r="B9876" s="38"/>
    </row>
    <row r="9877" spans="2:2">
      <c r="B9877" s="38"/>
    </row>
    <row r="9878" spans="2:2">
      <c r="B9878" s="38"/>
    </row>
    <row r="9879" spans="2:2">
      <c r="B9879" s="38"/>
    </row>
    <row r="9880" spans="2:2">
      <c r="B9880" s="38"/>
    </row>
    <row r="9881" spans="2:2">
      <c r="B9881" s="38"/>
    </row>
    <row r="9882" spans="2:2">
      <c r="B9882" s="38"/>
    </row>
    <row r="9883" spans="2:2">
      <c r="B9883" s="38"/>
    </row>
    <row r="9884" spans="2:2">
      <c r="B9884" s="38"/>
    </row>
    <row r="9885" spans="2:2">
      <c r="B9885" s="38"/>
    </row>
    <row r="9886" spans="2:2">
      <c r="B9886" s="38"/>
    </row>
    <row r="9887" spans="2:2">
      <c r="B9887" s="38"/>
    </row>
    <row r="9888" spans="2:2">
      <c r="B9888" s="38"/>
    </row>
    <row r="9889" spans="2:2">
      <c r="B9889" s="38"/>
    </row>
    <row r="9890" spans="2:2">
      <c r="B9890" s="38"/>
    </row>
    <row r="9891" spans="2:2">
      <c r="B9891" s="38"/>
    </row>
    <row r="9892" spans="2:2">
      <c r="B9892" s="38"/>
    </row>
    <row r="9893" spans="2:2">
      <c r="B9893" s="38"/>
    </row>
    <row r="9894" spans="2:2">
      <c r="B9894" s="38"/>
    </row>
    <row r="9895" spans="2:2">
      <c r="B9895" s="38"/>
    </row>
    <row r="9896" spans="2:2">
      <c r="B9896" s="38"/>
    </row>
    <row r="9897" spans="2:2">
      <c r="B9897" s="38"/>
    </row>
    <row r="9898" spans="2:2">
      <c r="B9898" s="38"/>
    </row>
    <row r="9899" spans="2:2">
      <c r="B9899" s="38"/>
    </row>
    <row r="9900" spans="2:2">
      <c r="B9900" s="38"/>
    </row>
    <row r="9901" spans="2:2">
      <c r="B9901" s="38"/>
    </row>
    <row r="9902" spans="2:2">
      <c r="B9902" s="38"/>
    </row>
    <row r="9903" spans="2:2">
      <c r="B9903" s="38"/>
    </row>
    <row r="9904" spans="2:2">
      <c r="B9904" s="38"/>
    </row>
    <row r="9905" spans="2:2">
      <c r="B9905" s="38"/>
    </row>
    <row r="9906" spans="2:2">
      <c r="B9906" s="38"/>
    </row>
    <row r="9907" spans="2:2">
      <c r="B9907" s="38"/>
    </row>
    <row r="9908" spans="2:2">
      <c r="B9908" s="38"/>
    </row>
    <row r="9909" spans="2:2">
      <c r="B9909" s="38"/>
    </row>
    <row r="9910" spans="2:2">
      <c r="B9910" s="38"/>
    </row>
    <row r="9911" spans="2:2">
      <c r="B9911" s="38"/>
    </row>
    <row r="9912" spans="2:2">
      <c r="B9912" s="38"/>
    </row>
    <row r="9913" spans="2:2">
      <c r="B9913" s="38"/>
    </row>
    <row r="9914" spans="2:2">
      <c r="B9914" s="38"/>
    </row>
    <row r="9915" spans="2:2">
      <c r="B9915" s="38"/>
    </row>
    <row r="9916" spans="2:2">
      <c r="B9916" s="38"/>
    </row>
    <row r="9917" spans="2:2">
      <c r="B9917" s="38"/>
    </row>
    <row r="9918" spans="2:2">
      <c r="B9918" s="38"/>
    </row>
    <row r="9919" spans="2:2">
      <c r="B9919" s="38"/>
    </row>
    <row r="9920" spans="2:2">
      <c r="B9920" s="38"/>
    </row>
    <row r="9921" spans="2:2">
      <c r="B9921" s="38"/>
    </row>
    <row r="9922" spans="2:2">
      <c r="B9922" s="38"/>
    </row>
    <row r="9923" spans="2:2">
      <c r="B9923" s="38"/>
    </row>
    <row r="9924" spans="2:2">
      <c r="B9924" s="38"/>
    </row>
    <row r="9925" spans="2:2">
      <c r="B9925" s="38"/>
    </row>
    <row r="9926" spans="2:2">
      <c r="B9926" s="38"/>
    </row>
    <row r="9927" spans="2:2">
      <c r="B9927" s="38"/>
    </row>
    <row r="9928" spans="2:2">
      <c r="B9928" s="38"/>
    </row>
    <row r="9929" spans="2:2">
      <c r="B9929" s="38"/>
    </row>
    <row r="9930" spans="2:2">
      <c r="B9930" s="38"/>
    </row>
    <row r="9931" spans="2:2">
      <c r="B9931" s="38"/>
    </row>
    <row r="9932" spans="2:2">
      <c r="B9932" s="38"/>
    </row>
    <row r="9933" spans="2:2">
      <c r="B9933" s="38"/>
    </row>
    <row r="9934" spans="2:2">
      <c r="B9934" s="38"/>
    </row>
    <row r="9935" spans="2:2">
      <c r="B9935" s="38"/>
    </row>
    <row r="9936" spans="2:2">
      <c r="B9936" s="38"/>
    </row>
    <row r="9937" spans="2:2">
      <c r="B9937" s="38"/>
    </row>
    <row r="9938" spans="2:2">
      <c r="B9938" s="38"/>
    </row>
    <row r="9939" spans="2:2">
      <c r="B9939" s="38"/>
    </row>
    <row r="9940" spans="2:2">
      <c r="B9940" s="38"/>
    </row>
    <row r="9941" spans="2:2">
      <c r="B9941" s="38"/>
    </row>
    <row r="9942" spans="2:2">
      <c r="B9942" s="38"/>
    </row>
    <row r="9943" spans="2:2">
      <c r="B9943" s="38"/>
    </row>
    <row r="9944" spans="2:2">
      <c r="B9944" s="38"/>
    </row>
    <row r="9945" spans="2:2">
      <c r="B9945" s="38"/>
    </row>
    <row r="9946" spans="2:2">
      <c r="B9946" s="38"/>
    </row>
    <row r="9947" spans="2:2">
      <c r="B9947" s="38"/>
    </row>
    <row r="9948" spans="2:2">
      <c r="B9948" s="38"/>
    </row>
    <row r="9949" spans="2:2">
      <c r="B9949" s="38"/>
    </row>
    <row r="9950" spans="2:2">
      <c r="B9950" s="38"/>
    </row>
    <row r="9951" spans="2:2">
      <c r="B9951" s="38"/>
    </row>
    <row r="9952" spans="2:2">
      <c r="B9952" s="38"/>
    </row>
    <row r="9953" spans="2:2">
      <c r="B9953" s="38"/>
    </row>
    <row r="9954" spans="2:2">
      <c r="B9954" s="38"/>
    </row>
    <row r="9955" spans="2:2">
      <c r="B9955" s="38"/>
    </row>
    <row r="9956" spans="2:2">
      <c r="B9956" s="38"/>
    </row>
    <row r="9957" spans="2:2">
      <c r="B9957" s="38"/>
    </row>
    <row r="9958" spans="2:2">
      <c r="B9958" s="38"/>
    </row>
    <row r="9959" spans="2:2">
      <c r="B9959" s="38"/>
    </row>
    <row r="9960" spans="2:2">
      <c r="B9960" s="38"/>
    </row>
    <row r="9961" spans="2:2">
      <c r="B9961" s="38"/>
    </row>
    <row r="9962" spans="2:2">
      <c r="B9962" s="38"/>
    </row>
    <row r="9963" spans="2:2">
      <c r="B9963" s="38"/>
    </row>
    <row r="9964" spans="2:2">
      <c r="B9964" s="38"/>
    </row>
    <row r="9965" spans="2:2">
      <c r="B9965" s="38"/>
    </row>
    <row r="9966" spans="2:2">
      <c r="B9966" s="38"/>
    </row>
    <row r="9967" spans="2:2">
      <c r="B9967" s="38"/>
    </row>
    <row r="9968" spans="2:2">
      <c r="B9968" s="38"/>
    </row>
    <row r="9969" spans="2:2">
      <c r="B9969" s="38"/>
    </row>
    <row r="9970" spans="2:2">
      <c r="B9970" s="38"/>
    </row>
    <row r="9971" spans="2:2">
      <c r="B9971" s="38"/>
    </row>
    <row r="9972" spans="2:2">
      <c r="B9972" s="38"/>
    </row>
    <row r="9973" spans="2:2">
      <c r="B9973" s="38"/>
    </row>
    <row r="9974" spans="2:2">
      <c r="B9974" s="38"/>
    </row>
    <row r="9975" spans="2:2">
      <c r="B9975" s="38"/>
    </row>
    <row r="9976" spans="2:2">
      <c r="B9976" s="38"/>
    </row>
    <row r="9977" spans="2:2">
      <c r="B9977" s="38"/>
    </row>
    <row r="9978" spans="2:2">
      <c r="B9978" s="38"/>
    </row>
    <row r="9979" spans="2:2">
      <c r="B9979" s="38"/>
    </row>
    <row r="9980" spans="2:2">
      <c r="B9980" s="38"/>
    </row>
    <row r="9981" spans="2:2">
      <c r="B9981" s="38"/>
    </row>
    <row r="9982" spans="2:2">
      <c r="B9982" s="38"/>
    </row>
    <row r="9983" spans="2:2">
      <c r="B9983" s="38"/>
    </row>
    <row r="9984" spans="2:2">
      <c r="B9984" s="38"/>
    </row>
    <row r="9985" spans="2:2">
      <c r="B9985" s="38"/>
    </row>
    <row r="9986" spans="2:2">
      <c r="B9986" s="38"/>
    </row>
    <row r="9987" spans="2:2">
      <c r="B9987" s="38"/>
    </row>
    <row r="9988" spans="2:2">
      <c r="B9988" s="38"/>
    </row>
    <row r="9989" spans="2:2">
      <c r="B9989" s="38"/>
    </row>
    <row r="9990" spans="2:2">
      <c r="B9990" s="38"/>
    </row>
    <row r="9991" spans="2:2">
      <c r="B9991" s="38"/>
    </row>
    <row r="9992" spans="2:2">
      <c r="B9992" s="38"/>
    </row>
    <row r="9993" spans="2:2">
      <c r="B9993" s="38"/>
    </row>
    <row r="9994" spans="2:2">
      <c r="B9994" s="38"/>
    </row>
    <row r="9995" spans="2:2">
      <c r="B9995" s="38"/>
    </row>
    <row r="9996" spans="2:2">
      <c r="B9996" s="38"/>
    </row>
    <row r="9997" spans="2:2">
      <c r="B9997" s="38"/>
    </row>
    <row r="9998" spans="2:2">
      <c r="B9998" s="38"/>
    </row>
    <row r="9999" spans="2:2">
      <c r="B9999" s="38"/>
    </row>
    <row r="10000" spans="2:2">
      <c r="B10000" s="38"/>
    </row>
    <row r="10001" spans="2:2">
      <c r="B10001" s="38"/>
    </row>
    <row r="10002" spans="2:2">
      <c r="B10002" s="38"/>
    </row>
    <row r="10003" spans="2:2">
      <c r="B10003" s="38"/>
    </row>
    <row r="10004" spans="2:2">
      <c r="B10004" s="38"/>
    </row>
    <row r="10005" spans="2:2">
      <c r="B10005" s="38"/>
    </row>
    <row r="10006" spans="2:2">
      <c r="B10006" s="38"/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Option Button 1">
              <controlPr defaultSize="0" autoFill="0" autoLine="0" autoPict="0">
                <anchor moveWithCells="1">
                  <from>
                    <xdr:col>0</xdr:col>
                    <xdr:colOff>38100</xdr:colOff>
                    <xdr:row>3</xdr:row>
                    <xdr:rowOff>19050</xdr:rowOff>
                  </from>
                  <to>
                    <xdr:col>1</xdr:col>
                    <xdr:colOff>333375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Group Box 2">
              <controlPr defaultSize="0" autoFill="0" autoPict="0">
                <anchor moveWithCells="1">
                  <from>
                    <xdr:col>0</xdr:col>
                    <xdr:colOff>28575</xdr:colOff>
                    <xdr:row>3</xdr:row>
                    <xdr:rowOff>0</xdr:rowOff>
                  </from>
                  <to>
                    <xdr:col>1</xdr:col>
                    <xdr:colOff>819150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Option Button 3">
              <controlPr defaultSize="0" autoFill="0" autoLine="0" autoPict="0">
                <anchor moveWithCells="1">
                  <from>
                    <xdr:col>1</xdr:col>
                    <xdr:colOff>371475</xdr:colOff>
                    <xdr:row>3</xdr:row>
                    <xdr:rowOff>19050</xdr:rowOff>
                  </from>
                  <to>
                    <xdr:col>1</xdr:col>
                    <xdr:colOff>762000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Drop Down 4">
              <controlPr defaultSize="0" autoLine="0" autoPict="0">
                <anchor moveWithCells="1">
                  <from>
                    <xdr:col>1</xdr:col>
                    <xdr:colOff>57150</xdr:colOff>
                    <xdr:row>6</xdr:row>
                    <xdr:rowOff>19050</xdr:rowOff>
                  </from>
                  <to>
                    <xdr:col>1</xdr:col>
                    <xdr:colOff>781050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Drop Down 5">
              <controlPr defaultSize="0" autoLine="0" autoPict="0">
                <anchor moveWithCells="1">
                  <from>
                    <xdr:col>5</xdr:col>
                    <xdr:colOff>85725</xdr:colOff>
                    <xdr:row>3</xdr:row>
                    <xdr:rowOff>9525</xdr:rowOff>
                  </from>
                  <to>
                    <xdr:col>6</xdr:col>
                    <xdr:colOff>447675</xdr:colOff>
                    <xdr:row>3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306"/>
  <sheetViews>
    <sheetView showGridLines="0" showRowColHeaders="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U30" sqref="U30"/>
    </sheetView>
  </sheetViews>
  <sheetFormatPr defaultRowHeight="16.5"/>
  <cols>
    <col min="1" max="1" width="1.25" customWidth="1"/>
    <col min="2" max="2" width="9" hidden="1" customWidth="1"/>
    <col min="3" max="3" width="8.5" style="6" bestFit="1" customWidth="1"/>
    <col min="5" max="5" width="25.75" style="6" bestFit="1" customWidth="1"/>
    <col min="7" max="17" width="8.125" customWidth="1"/>
  </cols>
  <sheetData>
    <row r="1" spans="2:17" ht="7.5" customHeight="1"/>
    <row r="2" spans="2:17" ht="26.25">
      <c r="C2" s="84" t="s">
        <v>258</v>
      </c>
      <c r="F2" s="110" t="s">
        <v>274</v>
      </c>
    </row>
    <row r="3" spans="2:17" ht="7.5" customHeight="1"/>
    <row r="4" spans="2:17">
      <c r="C4" s="112">
        <f ca="1">TODAY()-1</f>
        <v>45118</v>
      </c>
      <c r="D4" s="113"/>
      <c r="Q4" s="111" t="str">
        <f ca="1">"기관 수: "&amp;COUNT($C$7:$C$306)</f>
        <v>기관 수: 15</v>
      </c>
    </row>
    <row r="5" spans="2:17" ht="7.5" customHeight="1" thickBot="1"/>
    <row r="6" spans="2:17" ht="17.25" thickBot="1">
      <c r="B6" s="6" t="s">
        <v>257</v>
      </c>
      <c r="C6" s="8" t="s">
        <v>271</v>
      </c>
      <c r="D6" s="88" t="s">
        <v>272</v>
      </c>
      <c r="E6" s="87" t="s">
        <v>273</v>
      </c>
      <c r="F6" s="7" t="s">
        <v>270</v>
      </c>
      <c r="G6" s="85" t="s">
        <v>259</v>
      </c>
      <c r="H6" s="86" t="s">
        <v>260</v>
      </c>
      <c r="I6" s="86" t="s">
        <v>261</v>
      </c>
      <c r="J6" s="86" t="s">
        <v>262</v>
      </c>
      <c r="K6" s="86" t="s">
        <v>263</v>
      </c>
      <c r="L6" s="86" t="s">
        <v>264</v>
      </c>
      <c r="M6" s="86" t="s">
        <v>265</v>
      </c>
      <c r="N6" s="86" t="s">
        <v>266</v>
      </c>
      <c r="O6" s="86" t="s">
        <v>267</v>
      </c>
      <c r="P6" s="86" t="s">
        <v>268</v>
      </c>
      <c r="Q6" s="87" t="s">
        <v>269</v>
      </c>
    </row>
    <row r="7" spans="2:17" s="83" customFormat="1" ht="13.5">
      <c r="B7" s="83" t="str">
        <f ca="1">IFERROR( VLOOKUP(ROW()-ROW($B$6), code!$G$51:$K$1483, 5, 0), "")</f>
        <v>CDAVG00001</v>
      </c>
      <c r="C7" s="89">
        <f ca="1">IF($B7="", "", _xll.IMDP("IR", $B7, "1일", $C$4, "fill=true, disp=date"))</f>
        <v>20230711</v>
      </c>
      <c r="D7" s="90" t="str">
        <f ca="1">IF($B7="", "", VLOOKUP(ROW()-ROW($B$6), code!$G$51:$K$1483, 2, 0) )</f>
        <v>00001</v>
      </c>
      <c r="E7" s="91" t="str">
        <f ca="1">IF($B7="", "", VLOOKUP(ROW()-ROW($B$6), code!$G$51:$K$1483, 3, 0) )</f>
        <v>신한은행</v>
      </c>
      <c r="F7" s="92" t="str">
        <f ca="1">IF($B7="", "", VLOOKUP(ROW()-ROW($B$6), code!$G$51:$K$1483, 4, 0))</f>
        <v>AAA</v>
      </c>
      <c r="G7" s="93">
        <f ca="1">IF($B7="", "", IF(_xll.IMDP("IR", $B7, G$6, $C$4, "fill=true")=0, "", _xll.IMDP("IR", $B7, G$6, $C$4, "fill=true")))</f>
        <v>3.5</v>
      </c>
      <c r="H7" s="94">
        <f ca="1">IF($B7="", "", IF(_xll.IMDP("IR", $B7, H$6, $C$4, "fill=true")=0, "", _xll.IMDP("IR", $B7, H$6, $C$4, "fill=true")))</f>
        <v>3.56</v>
      </c>
      <c r="I7" s="94" t="str">
        <f ca="1">IF($B7="", "", IF(_xll.IMDP("IR", $B7, I$6, $C$4, "fill=true")=0, "", _xll.IMDP("IR", $B7, I$6, $C$4, "fill=true")))</f>
        <v/>
      </c>
      <c r="J7" s="94">
        <f ca="1">IF($B7="", "", IF(_xll.IMDP("IR", $B7, J$6, $C$4, "fill=true")=0, "", _xll.IMDP("IR", $B7, J$6, $C$4, "fill=true")))</f>
        <v>3.63</v>
      </c>
      <c r="K7" s="94">
        <f ca="1">IF($B7="", "", IF(_xll.IMDP("IR", $B7, K$6, $C$4, "fill=true")=0, "", _xll.IMDP("IR", $B7, K$6, $C$4, "fill=true")))</f>
        <v>3.69</v>
      </c>
      <c r="L7" s="94">
        <f ca="1">IF($B7="", "", IF(_xll.IMDP("IR", $B7, L$6, $C$4, "fill=true")=0, "", _xll.IMDP("IR", $B7, L$6, $C$4, "fill=true")))</f>
        <v>3.72</v>
      </c>
      <c r="M7" s="94">
        <f ca="1">IF($B7="", "", IF(_xll.IMDP("IR", $B7, M$6, $C$4, "fill=true")=0, "", _xll.IMDP("IR", $B7, M$6, $C$4, "fill=true")))</f>
        <v>3.74</v>
      </c>
      <c r="N7" s="94">
        <f ca="1">IF($B7="", "", IF(_xll.IMDP("IR", $B7, N$6, $C$4, "fill=true")=0, "", _xll.IMDP("IR", $B7, N$6, $C$4, "fill=true")))</f>
        <v>3.76</v>
      </c>
      <c r="O7" s="94">
        <f ca="1">IF($B7="", "", IF(_xll.IMDP("IR", $B7, O$6, $C$4, "fill=true")=0, "", _xll.IMDP("IR", $B7, O$6, $C$4, "fill=true")))</f>
        <v>3.79</v>
      </c>
      <c r="P7" s="94">
        <f ca="1">IF($B7="", "", IF(_xll.IMDP("IR", $B7, P$6, $C$4, "fill=true")=0, "", _xll.IMDP("IR", $B7, P$6, $C$4, "fill=true")))</f>
        <v>3.88</v>
      </c>
      <c r="Q7" s="95">
        <f ca="1">IF($B7="", "", IF(_xll.IMDP("IR", $B7, Q$6, $C$4, "fill=true")=0, "", _xll.IMDP("IR", $B7, Q$6, $C$4, "fill=true")))</f>
        <v>4.21</v>
      </c>
    </row>
    <row r="8" spans="2:17" s="83" customFormat="1" ht="13.5">
      <c r="B8" s="83" t="str">
        <f ca="1">IFERROR( VLOOKUP(ROW()-ROW($B$6), code!$G$51:$K$1483, 5, 0), "")</f>
        <v>CDAVG00011</v>
      </c>
      <c r="C8" s="96">
        <f ca="1">IF($B8="", "", _xll.IMDP("IR", $B8, "1일", $C$4, "fill=true, disp=date"))</f>
        <v>20230711</v>
      </c>
      <c r="D8" s="97" t="str">
        <f ca="1">IF($B8="", "", VLOOKUP(ROW()-ROW($B$6), code!$G$51:$K$1483, 2, 0) )</f>
        <v>00011</v>
      </c>
      <c r="E8" s="98" t="str">
        <f ca="1">IF($B8="", "", VLOOKUP(ROW()-ROW($B$6), code!$G$51:$K$1483, 3, 0) )</f>
        <v>스탠다드차타드은행</v>
      </c>
      <c r="F8" s="99" t="str">
        <f ca="1">IF($B8="", "", VLOOKUP(ROW()-ROW($B$6), code!$G$51:$K$1483, 4, 0))</f>
        <v>AAA</v>
      </c>
      <c r="G8" s="100">
        <f ca="1">IF($B8="", "", IF(_xll.IMDP("IR", $B8, G$6, $C$4, "fill=true")=0, "", _xll.IMDP("IR", $B8, G$6, $C$4, "fill=true")))</f>
        <v>3.5</v>
      </c>
      <c r="H8" s="101">
        <f ca="1">IF($B8="", "", IF(_xll.IMDP("IR", $B8, H$6, $C$4, "fill=true")=0, "", _xll.IMDP("IR", $B8, H$6, $C$4, "fill=true")))</f>
        <v>3.56</v>
      </c>
      <c r="I8" s="101" t="str">
        <f ca="1">IF($B8="", "", IF(_xll.IMDP("IR", $B8, I$6, $C$4, "fill=true")=0, "", _xll.IMDP("IR", $B8, I$6, $C$4, "fill=true")))</f>
        <v/>
      </c>
      <c r="J8" s="101">
        <f ca="1">IF($B8="", "", IF(_xll.IMDP("IR", $B8, J$6, $C$4, "fill=true")=0, "", _xll.IMDP("IR", $B8, J$6, $C$4, "fill=true")))</f>
        <v>3.63</v>
      </c>
      <c r="K8" s="101">
        <f ca="1">IF($B8="", "", IF(_xll.IMDP("IR", $B8, K$6, $C$4, "fill=true")=0, "", _xll.IMDP("IR", $B8, K$6, $C$4, "fill=true")))</f>
        <v>3.69</v>
      </c>
      <c r="L8" s="101">
        <f ca="1">IF($B8="", "", IF(_xll.IMDP("IR", $B8, L$6, $C$4, "fill=true")=0, "", _xll.IMDP("IR", $B8, L$6, $C$4, "fill=true")))</f>
        <v>3.72</v>
      </c>
      <c r="M8" s="101">
        <f ca="1">IF($B8="", "", IF(_xll.IMDP("IR", $B8, M$6, $C$4, "fill=true")=0, "", _xll.IMDP("IR", $B8, M$6, $C$4, "fill=true")))</f>
        <v>3.74</v>
      </c>
      <c r="N8" s="101">
        <f ca="1">IF($B8="", "", IF(_xll.IMDP("IR", $B8, N$6, $C$4, "fill=true")=0, "", _xll.IMDP("IR", $B8, N$6, $C$4, "fill=true")))</f>
        <v>3.76</v>
      </c>
      <c r="O8" s="101">
        <f ca="1">IF($B8="", "", IF(_xll.IMDP("IR", $B8, O$6, $C$4, "fill=true")=0, "", _xll.IMDP("IR", $B8, O$6, $C$4, "fill=true")))</f>
        <v>3.79</v>
      </c>
      <c r="P8" s="101">
        <f ca="1">IF($B8="", "", IF(_xll.IMDP("IR", $B8, P$6, $C$4, "fill=true")=0, "", _xll.IMDP("IR", $B8, P$6, $C$4, "fill=true")))</f>
        <v>3.88</v>
      </c>
      <c r="Q8" s="102">
        <f ca="1">IF($B8="", "", IF(_xll.IMDP("IR", $B8, Q$6, $C$4, "fill=true")=0, "", _xll.IMDP("IR", $B8, Q$6, $C$4, "fill=true")))</f>
        <v>4.21</v>
      </c>
    </row>
    <row r="9" spans="2:17" s="83" customFormat="1" ht="13.5">
      <c r="B9" s="83" t="str">
        <f ca="1">IFERROR( VLOOKUP(ROW()-ROW($B$6), code!$G$51:$K$1483, 5, 0), "")</f>
        <v>CDAVG00494</v>
      </c>
      <c r="C9" s="96">
        <f ca="1">IF($B9="", "", _xll.IMDP("IR", $B9, "1일", $C$4, "fill=true, disp=date"))</f>
        <v>20230711</v>
      </c>
      <c r="D9" s="97" t="str">
        <f ca="1">IF($B9="", "", VLOOKUP(ROW()-ROW($B$6), code!$G$51:$K$1483, 2, 0) )</f>
        <v>00494</v>
      </c>
      <c r="E9" s="98" t="str">
        <f ca="1">IF($B9="", "", VLOOKUP(ROW()-ROW($B$6), code!$G$51:$K$1483, 3, 0) )</f>
        <v>하나은행</v>
      </c>
      <c r="F9" s="99" t="str">
        <f ca="1">IF($B9="", "", VLOOKUP(ROW()-ROW($B$6), code!$G$51:$K$1483, 4, 0))</f>
        <v>AAA</v>
      </c>
      <c r="G9" s="100">
        <f ca="1">IF($B9="", "", IF(_xll.IMDP("IR", $B9, G$6, $C$4, "fill=true")=0, "", _xll.IMDP("IR", $B9, G$6, $C$4, "fill=true")))</f>
        <v>3.5</v>
      </c>
      <c r="H9" s="101">
        <f ca="1">IF($B9="", "", IF(_xll.IMDP("IR", $B9, H$6, $C$4, "fill=true")=0, "", _xll.IMDP("IR", $B9, H$6, $C$4, "fill=true")))</f>
        <v>3.56</v>
      </c>
      <c r="I9" s="101" t="str">
        <f ca="1">IF($B9="", "", IF(_xll.IMDP("IR", $B9, I$6, $C$4, "fill=true")=0, "", _xll.IMDP("IR", $B9, I$6, $C$4, "fill=true")))</f>
        <v/>
      </c>
      <c r="J9" s="101">
        <f ca="1">IF($B9="", "", IF(_xll.IMDP("IR", $B9, J$6, $C$4, "fill=true")=0, "", _xll.IMDP("IR", $B9, J$6, $C$4, "fill=true")))</f>
        <v>3.63</v>
      </c>
      <c r="K9" s="101">
        <f ca="1">IF($B9="", "", IF(_xll.IMDP("IR", $B9, K$6, $C$4, "fill=true")=0, "", _xll.IMDP("IR", $B9, K$6, $C$4, "fill=true")))</f>
        <v>3.69</v>
      </c>
      <c r="L9" s="101">
        <f ca="1">IF($B9="", "", IF(_xll.IMDP("IR", $B9, L$6, $C$4, "fill=true")=0, "", _xll.IMDP("IR", $B9, L$6, $C$4, "fill=true")))</f>
        <v>3.72</v>
      </c>
      <c r="M9" s="101">
        <f ca="1">IF($B9="", "", IF(_xll.IMDP("IR", $B9, M$6, $C$4, "fill=true")=0, "", _xll.IMDP("IR", $B9, M$6, $C$4, "fill=true")))</f>
        <v>3.75</v>
      </c>
      <c r="N9" s="101">
        <f ca="1">IF($B9="", "", IF(_xll.IMDP("IR", $B9, N$6, $C$4, "fill=true")=0, "", _xll.IMDP("IR", $B9, N$6, $C$4, "fill=true")))</f>
        <v>3.76</v>
      </c>
      <c r="O9" s="101">
        <f ca="1">IF($B9="", "", IF(_xll.IMDP("IR", $B9, O$6, $C$4, "fill=true")=0, "", _xll.IMDP("IR", $B9, O$6, $C$4, "fill=true")))</f>
        <v>3.8</v>
      </c>
      <c r="P9" s="101">
        <f ca="1">IF($B9="", "", IF(_xll.IMDP("IR", $B9, P$6, $C$4, "fill=true")=0, "", _xll.IMDP("IR", $B9, P$6, $C$4, "fill=true")))</f>
        <v>3.89</v>
      </c>
      <c r="Q9" s="102">
        <f ca="1">IF($B9="", "", IF(_xll.IMDP("IR", $B9, Q$6, $C$4, "fill=true")=0, "", _xll.IMDP("IR", $B9, Q$6, $C$4, "fill=true")))</f>
        <v>4.21</v>
      </c>
    </row>
    <row r="10" spans="2:17" s="83" customFormat="1" ht="13.5">
      <c r="B10" s="83" t="str">
        <f ca="1">IFERROR( VLOOKUP(ROW()-ROW($B$6), code!$G$51:$K$1483, 5, 0), "")</f>
        <v>CDAVG00527</v>
      </c>
      <c r="C10" s="96">
        <f ca="1">IF($B10="", "", _xll.IMDP("IR", $B10, "1일", $C$4, "fill=true, disp=date"))</f>
        <v>20230711</v>
      </c>
      <c r="D10" s="97" t="str">
        <f ca="1">IF($B10="", "", VLOOKUP(ROW()-ROW($B$6), code!$G$51:$K$1483, 2, 0) )</f>
        <v>00527</v>
      </c>
      <c r="E10" s="98" t="str">
        <f ca="1">IF($B10="", "", VLOOKUP(ROW()-ROW($B$6), code!$G$51:$K$1483, 3, 0) )</f>
        <v>대구은행</v>
      </c>
      <c r="F10" s="99" t="str">
        <f ca="1">IF($B10="", "", VLOOKUP(ROW()-ROW($B$6), code!$G$51:$K$1483, 4, 0))</f>
        <v>AAA</v>
      </c>
      <c r="G10" s="100">
        <f ca="1">IF($B10="", "", IF(_xll.IMDP("IR", $B10, G$6, $C$4, "fill=true")=0, "", _xll.IMDP("IR", $B10, G$6, $C$4, "fill=true")))</f>
        <v>3.51</v>
      </c>
      <c r="H10" s="101">
        <f ca="1">IF($B10="", "", IF(_xll.IMDP("IR", $B10, H$6, $C$4, "fill=true")=0, "", _xll.IMDP("IR", $B10, H$6, $C$4, "fill=true")))</f>
        <v>3.56</v>
      </c>
      <c r="I10" s="101" t="str">
        <f ca="1">IF($B10="", "", IF(_xll.IMDP("IR", $B10, I$6, $C$4, "fill=true")=0, "", _xll.IMDP("IR", $B10, I$6, $C$4, "fill=true")))</f>
        <v/>
      </c>
      <c r="J10" s="101">
        <f ca="1">IF($B10="", "", IF(_xll.IMDP("IR", $B10, J$6, $C$4, "fill=true")=0, "", _xll.IMDP("IR", $B10, J$6, $C$4, "fill=true")))</f>
        <v>3.63</v>
      </c>
      <c r="K10" s="101">
        <f ca="1">IF($B10="", "", IF(_xll.IMDP("IR", $B10, K$6, $C$4, "fill=true")=0, "", _xll.IMDP("IR", $B10, K$6, $C$4, "fill=true")))</f>
        <v>3.7</v>
      </c>
      <c r="L10" s="101">
        <f ca="1">IF($B10="", "", IF(_xll.IMDP("IR", $B10, L$6, $C$4, "fill=true")=0, "", _xll.IMDP("IR", $B10, L$6, $C$4, "fill=true")))</f>
        <v>3.72</v>
      </c>
      <c r="M10" s="101">
        <f ca="1">IF($B10="", "", IF(_xll.IMDP("IR", $B10, M$6, $C$4, "fill=true")=0, "", _xll.IMDP("IR", $B10, M$6, $C$4, "fill=true")))</f>
        <v>3.75</v>
      </c>
      <c r="N10" s="101">
        <f ca="1">IF($B10="", "", IF(_xll.IMDP("IR", $B10, N$6, $C$4, "fill=true")=0, "", _xll.IMDP("IR", $B10, N$6, $C$4, "fill=true")))</f>
        <v>3.76</v>
      </c>
      <c r="O10" s="101">
        <f ca="1">IF($B10="", "", IF(_xll.IMDP("IR", $B10, O$6, $C$4, "fill=true")=0, "", _xll.IMDP("IR", $B10, O$6, $C$4, "fill=true")))</f>
        <v>3.8</v>
      </c>
      <c r="P10" s="101">
        <f ca="1">IF($B10="", "", IF(_xll.IMDP("IR", $B10, P$6, $C$4, "fill=true")=0, "", _xll.IMDP("IR", $B10, P$6, $C$4, "fill=true")))</f>
        <v>3.89</v>
      </c>
      <c r="Q10" s="102">
        <f ca="1">IF($B10="", "", IF(_xll.IMDP("IR", $B10, Q$6, $C$4, "fill=true")=0, "", _xll.IMDP("IR", $B10, Q$6, $C$4, "fill=true")))</f>
        <v>4.21</v>
      </c>
    </row>
    <row r="11" spans="2:17" s="83" customFormat="1" ht="13.5">
      <c r="B11" s="83" t="str">
        <f ca="1">IFERROR( VLOOKUP(ROW()-ROW($B$6), code!$G$51:$K$1483, 5, 0), "")</f>
        <v>CDAVG00528</v>
      </c>
      <c r="C11" s="96">
        <f ca="1">IF($B11="", "", _xll.IMDP("IR", $B11, "1일", $C$4, "fill=true, disp=date"))</f>
        <v>20230711</v>
      </c>
      <c r="D11" s="97" t="str">
        <f ca="1">IF($B11="", "", VLOOKUP(ROW()-ROW($B$6), code!$G$51:$K$1483, 2, 0) )</f>
        <v>00528</v>
      </c>
      <c r="E11" s="98" t="str">
        <f ca="1">IF($B11="", "", VLOOKUP(ROW()-ROW($B$6), code!$G$51:$K$1483, 3, 0) )</f>
        <v>부산은행</v>
      </c>
      <c r="F11" s="99" t="str">
        <f ca="1">IF($B11="", "", VLOOKUP(ROW()-ROW($B$6), code!$G$51:$K$1483, 4, 0))</f>
        <v>AAA</v>
      </c>
      <c r="G11" s="100">
        <f ca="1">IF($B11="", "", IF(_xll.IMDP("IR", $B11, G$6, $C$4, "fill=true")=0, "", _xll.IMDP("IR", $B11, G$6, $C$4, "fill=true")))</f>
        <v>3.51</v>
      </c>
      <c r="H11" s="101">
        <f ca="1">IF($B11="", "", IF(_xll.IMDP("IR", $B11, H$6, $C$4, "fill=true")=0, "", _xll.IMDP("IR", $B11, H$6, $C$4, "fill=true")))</f>
        <v>3.56</v>
      </c>
      <c r="I11" s="101" t="str">
        <f ca="1">IF($B11="", "", IF(_xll.IMDP("IR", $B11, I$6, $C$4, "fill=true")=0, "", _xll.IMDP("IR", $B11, I$6, $C$4, "fill=true")))</f>
        <v/>
      </c>
      <c r="J11" s="101">
        <f ca="1">IF($B11="", "", IF(_xll.IMDP("IR", $B11, J$6, $C$4, "fill=true")=0, "", _xll.IMDP("IR", $B11, J$6, $C$4, "fill=true")))</f>
        <v>3.63</v>
      </c>
      <c r="K11" s="101">
        <f ca="1">IF($B11="", "", IF(_xll.IMDP("IR", $B11, K$6, $C$4, "fill=true")=0, "", _xll.IMDP("IR", $B11, K$6, $C$4, "fill=true")))</f>
        <v>3.7</v>
      </c>
      <c r="L11" s="101">
        <f ca="1">IF($B11="", "", IF(_xll.IMDP("IR", $B11, L$6, $C$4, "fill=true")=0, "", _xll.IMDP("IR", $B11, L$6, $C$4, "fill=true")))</f>
        <v>3.72</v>
      </c>
      <c r="M11" s="101">
        <f ca="1">IF($B11="", "", IF(_xll.IMDP("IR", $B11, M$6, $C$4, "fill=true")=0, "", _xll.IMDP("IR", $B11, M$6, $C$4, "fill=true")))</f>
        <v>3.75</v>
      </c>
      <c r="N11" s="101">
        <f ca="1">IF($B11="", "", IF(_xll.IMDP("IR", $B11, N$6, $C$4, "fill=true")=0, "", _xll.IMDP("IR", $B11, N$6, $C$4, "fill=true")))</f>
        <v>3.76</v>
      </c>
      <c r="O11" s="101">
        <f ca="1">IF($B11="", "", IF(_xll.IMDP("IR", $B11, O$6, $C$4, "fill=true")=0, "", _xll.IMDP("IR", $B11, O$6, $C$4, "fill=true")))</f>
        <v>3.8</v>
      </c>
      <c r="P11" s="101">
        <f ca="1">IF($B11="", "", IF(_xll.IMDP("IR", $B11, P$6, $C$4, "fill=true")=0, "", _xll.IMDP("IR", $B11, P$6, $C$4, "fill=true")))</f>
        <v>3.89</v>
      </c>
      <c r="Q11" s="102">
        <f ca="1">IF($B11="", "", IF(_xll.IMDP("IR", $B11, Q$6, $C$4, "fill=true")=0, "", _xll.IMDP("IR", $B11, Q$6, $C$4, "fill=true")))</f>
        <v>4.21</v>
      </c>
    </row>
    <row r="12" spans="2:17" s="83" customFormat="1" ht="13.5">
      <c r="B12" s="83" t="str">
        <f ca="1">IFERROR( VLOOKUP(ROW()-ROW($B$6), code!$G$51:$K$1483, 5, 0), "")</f>
        <v>CDAVG00622</v>
      </c>
      <c r="C12" s="96">
        <f ca="1">IF($B12="", "", _xll.IMDP("IR", $B12, "1일", $C$4, "fill=true, disp=date"))</f>
        <v>20230711</v>
      </c>
      <c r="D12" s="97" t="str">
        <f ca="1">IF($B12="", "", VLOOKUP(ROW()-ROW($B$6), code!$G$51:$K$1483, 2, 0) )</f>
        <v>00622</v>
      </c>
      <c r="E12" s="98" t="str">
        <f ca="1">IF($B12="", "", VLOOKUP(ROW()-ROW($B$6), code!$G$51:$K$1483, 3, 0) )</f>
        <v>제주은행</v>
      </c>
      <c r="F12" s="99" t="str">
        <f ca="1">IF($B12="", "", VLOOKUP(ROW()-ROW($B$6), code!$G$51:$K$1483, 4, 0))</f>
        <v>AA+</v>
      </c>
      <c r="G12" s="100">
        <f ca="1">IF($B12="", "", IF(_xll.IMDP("IR", $B12, G$6, $C$4, "fill=true")=0, "", _xll.IMDP("IR", $B12, G$6, $C$4, "fill=true")))</f>
        <v>3.53</v>
      </c>
      <c r="H12" s="101">
        <f ca="1">IF($B12="", "", IF(_xll.IMDP("IR", $B12, H$6, $C$4, "fill=true")=0, "", _xll.IMDP("IR", $B12, H$6, $C$4, "fill=true")))</f>
        <v>3.59</v>
      </c>
      <c r="I12" s="101" t="str">
        <f ca="1">IF($B12="", "", IF(_xll.IMDP("IR", $B12, I$6, $C$4, "fill=true")=0, "", _xll.IMDP("IR", $B12, I$6, $C$4, "fill=true")))</f>
        <v/>
      </c>
      <c r="J12" s="101">
        <f ca="1">IF($B12="", "", IF(_xll.IMDP("IR", $B12, J$6, $C$4, "fill=true")=0, "", _xll.IMDP("IR", $B12, J$6, $C$4, "fill=true")))</f>
        <v>3.65</v>
      </c>
      <c r="K12" s="101">
        <f ca="1">IF($B12="", "", IF(_xll.IMDP("IR", $B12, K$6, $C$4, "fill=true")=0, "", _xll.IMDP("IR", $B12, K$6, $C$4, "fill=true")))</f>
        <v>3.71</v>
      </c>
      <c r="L12" s="101">
        <f ca="1">IF($B12="", "", IF(_xll.IMDP("IR", $B12, L$6, $C$4, "fill=true")=0, "", _xll.IMDP("IR", $B12, L$6, $C$4, "fill=true")))</f>
        <v>3.74</v>
      </c>
      <c r="M12" s="101">
        <f ca="1">IF($B12="", "", IF(_xll.IMDP("IR", $B12, M$6, $C$4, "fill=true")=0, "", _xll.IMDP("IR", $B12, M$6, $C$4, "fill=true")))</f>
        <v>3.77</v>
      </c>
      <c r="N12" s="101" t="str">
        <f ca="1">IF($B12="", "", IF(_xll.IMDP("IR", $B12, N$6, $C$4, "fill=true")=0, "", _xll.IMDP("IR", $B12, N$6, $C$4, "fill=true")))</f>
        <v/>
      </c>
      <c r="O12" s="101">
        <f ca="1">IF($B12="", "", IF(_xll.IMDP("IR", $B12, O$6, $C$4, "fill=true")=0, "", _xll.IMDP("IR", $B12, O$6, $C$4, "fill=true")))</f>
        <v>3.87</v>
      </c>
      <c r="P12" s="101">
        <f ca="1">IF($B12="", "", IF(_xll.IMDP("IR", $B12, P$6, $C$4, "fill=true")=0, "", _xll.IMDP("IR", $B12, P$6, $C$4, "fill=true")))</f>
        <v>4.01</v>
      </c>
      <c r="Q12" s="102" t="str">
        <f ca="1">IF($B12="", "", IF(_xll.IMDP("IR", $B12, Q$6, $C$4, "fill=true")=0, "", _xll.IMDP("IR", $B12, Q$6, $C$4, "fill=true")))</f>
        <v/>
      </c>
    </row>
    <row r="13" spans="2:17" s="83" customFormat="1" ht="13.5">
      <c r="B13" s="83" t="str">
        <f ca="1">IFERROR( VLOOKUP(ROW()-ROW($B$6), code!$G$51:$K$1483, 5, 0), "")</f>
        <v>CDAVG00635</v>
      </c>
      <c r="C13" s="96">
        <f ca="1">IF($B13="", "", _xll.IMDP("IR", $B13, "1일", $C$4, "fill=true, disp=date"))</f>
        <v>20230711</v>
      </c>
      <c r="D13" s="97" t="str">
        <f ca="1">IF($B13="", "", VLOOKUP(ROW()-ROW($B$6), code!$G$51:$K$1483, 2, 0) )</f>
        <v>00635</v>
      </c>
      <c r="E13" s="98" t="str">
        <f ca="1">IF($B13="", "", VLOOKUP(ROW()-ROW($B$6), code!$G$51:$K$1483, 3, 0) )</f>
        <v>전북은행</v>
      </c>
      <c r="F13" s="99" t="str">
        <f ca="1">IF($B13="", "", VLOOKUP(ROW()-ROW($B$6), code!$G$51:$K$1483, 4, 0))</f>
        <v>AA+</v>
      </c>
      <c r="G13" s="100">
        <f ca="1">IF($B13="", "", IF(_xll.IMDP("IR", $B13, G$6, $C$4, "fill=true")=0, "", _xll.IMDP("IR", $B13, G$6, $C$4, "fill=true")))</f>
        <v>3.54</v>
      </c>
      <c r="H13" s="101">
        <f ca="1">IF($B13="", "", IF(_xll.IMDP("IR", $B13, H$6, $C$4, "fill=true")=0, "", _xll.IMDP("IR", $B13, H$6, $C$4, "fill=true")))</f>
        <v>3.59</v>
      </c>
      <c r="I13" s="101" t="str">
        <f ca="1">IF($B13="", "", IF(_xll.IMDP("IR", $B13, I$6, $C$4, "fill=true")=0, "", _xll.IMDP("IR", $B13, I$6, $C$4, "fill=true")))</f>
        <v/>
      </c>
      <c r="J13" s="101">
        <f ca="1">IF($B13="", "", IF(_xll.IMDP("IR", $B13, J$6, $C$4, "fill=true")=0, "", _xll.IMDP("IR", $B13, J$6, $C$4, "fill=true")))</f>
        <v>3.66</v>
      </c>
      <c r="K13" s="101">
        <f ca="1">IF($B13="", "", IF(_xll.IMDP("IR", $B13, K$6, $C$4, "fill=true")=0, "", _xll.IMDP("IR", $B13, K$6, $C$4, "fill=true")))</f>
        <v>3.71</v>
      </c>
      <c r="L13" s="101">
        <f ca="1">IF($B13="", "", IF(_xll.IMDP("IR", $B13, L$6, $C$4, "fill=true")=0, "", _xll.IMDP("IR", $B13, L$6, $C$4, "fill=true")))</f>
        <v>3.74</v>
      </c>
      <c r="M13" s="101">
        <f ca="1">IF($B13="", "", IF(_xll.IMDP("IR", $B13, M$6, $C$4, "fill=true")=0, "", _xll.IMDP("IR", $B13, M$6, $C$4, "fill=true")))</f>
        <v>3.77</v>
      </c>
      <c r="N13" s="101">
        <f ca="1">IF($B13="", "", IF(_xll.IMDP("IR", $B13, N$6, $C$4, "fill=true")=0, "", _xll.IMDP("IR", $B13, N$6, $C$4, "fill=true")))</f>
        <v>3.82</v>
      </c>
      <c r="O13" s="101">
        <f ca="1">IF($B13="", "", IF(_xll.IMDP("IR", $B13, O$6, $C$4, "fill=true")=0, "", _xll.IMDP("IR", $B13, O$6, $C$4, "fill=true")))</f>
        <v>3.87</v>
      </c>
      <c r="P13" s="101">
        <f ca="1">IF($B13="", "", IF(_xll.IMDP("IR", $B13, P$6, $C$4, "fill=true")=0, "", _xll.IMDP("IR", $B13, P$6, $C$4, "fill=true")))</f>
        <v>4</v>
      </c>
      <c r="Q13" s="102">
        <f ca="1">IF($B13="", "", IF(_xll.IMDP("IR", $B13, Q$6, $C$4, "fill=true")=0, "", _xll.IMDP("IR", $B13, Q$6, $C$4, "fill=true")))</f>
        <v>4.37</v>
      </c>
    </row>
    <row r="14" spans="2:17" s="83" customFormat="1" ht="13.5">
      <c r="B14" s="83" t="str">
        <f ca="1">IFERROR( VLOOKUP(ROW()-ROW($B$6), code!$G$51:$K$1483, 5, 0), "")</f>
        <v>CDAVG02313</v>
      </c>
      <c r="C14" s="96">
        <f ca="1">IF($B14="", "", _xll.IMDP("IR", $B14, "1일", $C$4, "fill=true, disp=date"))</f>
        <v>20230711</v>
      </c>
      <c r="D14" s="97" t="str">
        <f ca="1">IF($B14="", "", VLOOKUP(ROW()-ROW($B$6), code!$G$51:$K$1483, 2, 0) )</f>
        <v>02313</v>
      </c>
      <c r="E14" s="98" t="str">
        <f ca="1">IF($B14="", "", VLOOKUP(ROW()-ROW($B$6), code!$G$51:$K$1483, 3, 0) )</f>
        <v>국민은행</v>
      </c>
      <c r="F14" s="99" t="str">
        <f ca="1">IF($B14="", "", VLOOKUP(ROW()-ROW($B$6), code!$G$51:$K$1483, 4, 0))</f>
        <v>AAA</v>
      </c>
      <c r="G14" s="100">
        <f ca="1">IF($B14="", "", IF(_xll.IMDP("IR", $B14, G$6, $C$4, "fill=true")=0, "", _xll.IMDP("IR", $B14, G$6, $C$4, "fill=true")))</f>
        <v>3.5</v>
      </c>
      <c r="H14" s="101">
        <f ca="1">IF($B14="", "", IF(_xll.IMDP("IR", $B14, H$6, $C$4, "fill=true")=0, "", _xll.IMDP("IR", $B14, H$6, $C$4, "fill=true")))</f>
        <v>3.56</v>
      </c>
      <c r="I14" s="101" t="str">
        <f ca="1">IF($B14="", "", IF(_xll.IMDP("IR", $B14, I$6, $C$4, "fill=true")=0, "", _xll.IMDP("IR", $B14, I$6, $C$4, "fill=true")))</f>
        <v/>
      </c>
      <c r="J14" s="101">
        <f ca="1">IF($B14="", "", IF(_xll.IMDP("IR", $B14, J$6, $C$4, "fill=true")=0, "", _xll.IMDP("IR", $B14, J$6, $C$4, "fill=true")))</f>
        <v>3.63</v>
      </c>
      <c r="K14" s="101">
        <f ca="1">IF($B14="", "", IF(_xll.IMDP("IR", $B14, K$6, $C$4, "fill=true")=0, "", _xll.IMDP("IR", $B14, K$6, $C$4, "fill=true")))</f>
        <v>3.69</v>
      </c>
      <c r="L14" s="101">
        <f ca="1">IF($B14="", "", IF(_xll.IMDP("IR", $B14, L$6, $C$4, "fill=true")=0, "", _xll.IMDP("IR", $B14, L$6, $C$4, "fill=true")))</f>
        <v>3.72</v>
      </c>
      <c r="M14" s="101">
        <f ca="1">IF($B14="", "", IF(_xll.IMDP("IR", $B14, M$6, $C$4, "fill=true")=0, "", _xll.IMDP("IR", $B14, M$6, $C$4, "fill=true")))</f>
        <v>3.75</v>
      </c>
      <c r="N14" s="101">
        <f ca="1">IF($B14="", "", IF(_xll.IMDP("IR", $B14, N$6, $C$4, "fill=true")=0, "", _xll.IMDP("IR", $B14, N$6, $C$4, "fill=true")))</f>
        <v>3.76</v>
      </c>
      <c r="O14" s="101">
        <f ca="1">IF($B14="", "", IF(_xll.IMDP("IR", $B14, O$6, $C$4, "fill=true")=0, "", _xll.IMDP("IR", $B14, O$6, $C$4, "fill=true")))</f>
        <v>3.8</v>
      </c>
      <c r="P14" s="101">
        <f ca="1">IF($B14="", "", IF(_xll.IMDP("IR", $B14, P$6, $C$4, "fill=true")=0, "", _xll.IMDP("IR", $B14, P$6, $C$4, "fill=true")))</f>
        <v>3.89</v>
      </c>
      <c r="Q14" s="102">
        <f ca="1">IF($B14="", "", IF(_xll.IMDP("IR", $B14, Q$6, $C$4, "fill=true")=0, "", _xll.IMDP("IR", $B14, Q$6, $C$4, "fill=true")))</f>
        <v>4.21</v>
      </c>
    </row>
    <row r="15" spans="2:17" s="83" customFormat="1" ht="13.5">
      <c r="B15" s="83" t="str">
        <f ca="1">IFERROR( VLOOKUP(ROW()-ROW($B$6), code!$G$51:$K$1483, 5, 0), "")</f>
        <v>CDAVG03401</v>
      </c>
      <c r="C15" s="96">
        <f ca="1">IF($B15="", "", _xll.IMDP("IR", $B15, "1일", $C$4, "fill=true, disp=date"))</f>
        <v>20230711</v>
      </c>
      <c r="D15" s="97" t="str">
        <f ca="1">IF($B15="", "", VLOOKUP(ROW()-ROW($B$6), code!$G$51:$K$1483, 2, 0) )</f>
        <v>03401</v>
      </c>
      <c r="E15" s="98" t="str">
        <f ca="1">IF($B15="", "", VLOOKUP(ROW()-ROW($B$6), code!$G$51:$K$1483, 3, 0) )</f>
        <v>산업은행</v>
      </c>
      <c r="F15" s="99" t="str">
        <f ca="1">IF($B15="", "", VLOOKUP(ROW()-ROW($B$6), code!$G$51:$K$1483, 4, 0))</f>
        <v>AAA</v>
      </c>
      <c r="G15" s="100">
        <f ca="1">IF($B15="", "", IF(_xll.IMDP("IR", $B15, G$6, $C$4, "fill=true")=0, "", _xll.IMDP("IR", $B15, G$6, $C$4, "fill=true")))</f>
        <v>3.49</v>
      </c>
      <c r="H15" s="101">
        <f ca="1">IF($B15="", "", IF(_xll.IMDP("IR", $B15, H$6, $C$4, "fill=true")=0, "", _xll.IMDP("IR", $B15, H$6, $C$4, "fill=true")))</f>
        <v>3.55</v>
      </c>
      <c r="I15" s="101" t="str">
        <f ca="1">IF($B15="", "", IF(_xll.IMDP("IR", $B15, I$6, $C$4, "fill=true")=0, "", _xll.IMDP("IR", $B15, I$6, $C$4, "fill=true")))</f>
        <v/>
      </c>
      <c r="J15" s="101">
        <f ca="1">IF($B15="", "", IF(_xll.IMDP("IR", $B15, J$6, $C$4, "fill=true")=0, "", _xll.IMDP("IR", $B15, J$6, $C$4, "fill=true")))</f>
        <v>3.62</v>
      </c>
      <c r="K15" s="101">
        <f ca="1">IF($B15="", "", IF(_xll.IMDP("IR", $B15, K$6, $C$4, "fill=true")=0, "", _xll.IMDP("IR", $B15, K$6, $C$4, "fill=true")))</f>
        <v>3.68</v>
      </c>
      <c r="L15" s="101">
        <f ca="1">IF($B15="", "", IF(_xll.IMDP("IR", $B15, L$6, $C$4, "fill=true")=0, "", _xll.IMDP("IR", $B15, L$6, $C$4, "fill=true")))</f>
        <v>3.71</v>
      </c>
      <c r="M15" s="101">
        <f ca="1">IF($B15="", "", IF(_xll.IMDP("IR", $B15, M$6, $C$4, "fill=true")=0, "", _xll.IMDP("IR", $B15, M$6, $C$4, "fill=true")))</f>
        <v>3.73</v>
      </c>
      <c r="N15" s="101" t="str">
        <f ca="1">IF($B15="", "", IF(_xll.IMDP("IR", $B15, N$6, $C$4, "fill=true")=0, "", _xll.IMDP("IR", $B15, N$6, $C$4, "fill=true")))</f>
        <v/>
      </c>
      <c r="O15" s="101">
        <f ca="1">IF($B15="", "", IF(_xll.IMDP("IR", $B15, O$6, $C$4, "fill=true")=0, "", _xll.IMDP("IR", $B15, O$6, $C$4, "fill=true")))</f>
        <v>3.78</v>
      </c>
      <c r="P15" s="101">
        <f ca="1">IF($B15="", "", IF(_xll.IMDP("IR", $B15, P$6, $C$4, "fill=true")=0, "", _xll.IMDP("IR", $B15, P$6, $C$4, "fill=true")))</f>
        <v>3.87</v>
      </c>
      <c r="Q15" s="102" t="str">
        <f ca="1">IF($B15="", "", IF(_xll.IMDP("IR", $B15, Q$6, $C$4, "fill=true")=0, "", _xll.IMDP("IR", $B15, Q$6, $C$4, "fill=true")))</f>
        <v/>
      </c>
    </row>
    <row r="16" spans="2:17" s="83" customFormat="1" ht="13.5">
      <c r="B16" s="83" t="str">
        <f ca="1">IFERROR( VLOOKUP(ROW()-ROW($B$6), code!$G$51:$K$1483, 5, 0), "")</f>
        <v>CDAVG03946</v>
      </c>
      <c r="C16" s="96">
        <f ca="1">IF($B16="", "", _xll.IMDP("IR", $B16, "1일", $C$4, "fill=true, disp=date"))</f>
        <v>20230711</v>
      </c>
      <c r="D16" s="97" t="str">
        <f ca="1">IF($B16="", "", VLOOKUP(ROW()-ROW($B$6), code!$G$51:$K$1483, 2, 0) )</f>
        <v>03946</v>
      </c>
      <c r="E16" s="98" t="str">
        <f ca="1">IF($B16="", "", VLOOKUP(ROW()-ROW($B$6), code!$G$51:$K$1483, 3, 0) )</f>
        <v>우리은행</v>
      </c>
      <c r="F16" s="99" t="str">
        <f ca="1">IF($B16="", "", VLOOKUP(ROW()-ROW($B$6), code!$G$51:$K$1483, 4, 0))</f>
        <v>AAA</v>
      </c>
      <c r="G16" s="100">
        <f ca="1">IF($B16="", "", IF(_xll.IMDP("IR", $B16, G$6, $C$4, "fill=true")=0, "", _xll.IMDP("IR", $B16, G$6, $C$4, "fill=true")))</f>
        <v>3.5</v>
      </c>
      <c r="H16" s="101">
        <f ca="1">IF($B16="", "", IF(_xll.IMDP("IR", $B16, H$6, $C$4, "fill=true")=0, "", _xll.IMDP("IR", $B16, H$6, $C$4, "fill=true")))</f>
        <v>3.56</v>
      </c>
      <c r="I16" s="101" t="str">
        <f ca="1">IF($B16="", "", IF(_xll.IMDP("IR", $B16, I$6, $C$4, "fill=true")=0, "", _xll.IMDP("IR", $B16, I$6, $C$4, "fill=true")))</f>
        <v/>
      </c>
      <c r="J16" s="101">
        <f ca="1">IF($B16="", "", IF(_xll.IMDP("IR", $B16, J$6, $C$4, "fill=true")=0, "", _xll.IMDP("IR", $B16, J$6, $C$4, "fill=true")))</f>
        <v>3.63</v>
      </c>
      <c r="K16" s="101">
        <f ca="1">IF($B16="", "", IF(_xll.IMDP("IR", $B16, K$6, $C$4, "fill=true")=0, "", _xll.IMDP("IR", $B16, K$6, $C$4, "fill=true")))</f>
        <v>3.69</v>
      </c>
      <c r="L16" s="101">
        <f ca="1">IF($B16="", "", IF(_xll.IMDP("IR", $B16, L$6, $C$4, "fill=true")=0, "", _xll.IMDP("IR", $B16, L$6, $C$4, "fill=true")))</f>
        <v>3.72</v>
      </c>
      <c r="M16" s="101">
        <f ca="1">IF($B16="", "", IF(_xll.IMDP("IR", $B16, M$6, $C$4, "fill=true")=0, "", _xll.IMDP("IR", $B16, M$6, $C$4, "fill=true")))</f>
        <v>3.74</v>
      </c>
      <c r="N16" s="101">
        <f ca="1">IF($B16="", "", IF(_xll.IMDP("IR", $B16, N$6, $C$4, "fill=true")=0, "", _xll.IMDP("IR", $B16, N$6, $C$4, "fill=true")))</f>
        <v>3.76</v>
      </c>
      <c r="O16" s="101">
        <f ca="1">IF($B16="", "", IF(_xll.IMDP("IR", $B16, O$6, $C$4, "fill=true")=0, "", _xll.IMDP("IR", $B16, O$6, $C$4, "fill=true")))</f>
        <v>3.79</v>
      </c>
      <c r="P16" s="101">
        <f ca="1">IF($B16="", "", IF(_xll.IMDP("IR", $B16, P$6, $C$4, "fill=true")=0, "", _xll.IMDP("IR", $B16, P$6, $C$4, "fill=true")))</f>
        <v>3.88</v>
      </c>
      <c r="Q16" s="102">
        <f ca="1">IF($B16="", "", IF(_xll.IMDP("IR", $B16, Q$6, $C$4, "fill=true")=0, "", _xll.IMDP("IR", $B16, Q$6, $C$4, "fill=true")))</f>
        <v>4.21</v>
      </c>
    </row>
    <row r="17" spans="2:17" s="83" customFormat="1" ht="13.5">
      <c r="B17" s="83" t="str">
        <f ca="1">IFERROR( VLOOKUP(ROW()-ROW($B$6), code!$G$51:$K$1483, 5, 0), "")</f>
        <v>CDAVG13424</v>
      </c>
      <c r="C17" s="96">
        <f ca="1">IF($B17="", "", _xll.IMDP("IR", $B17, "1일", $C$4, "fill=true, disp=date"))</f>
        <v>20230711</v>
      </c>
      <c r="D17" s="97" t="str">
        <f ca="1">IF($B17="", "", VLOOKUP(ROW()-ROW($B$6), code!$G$51:$K$1483, 2, 0) )</f>
        <v>13424</v>
      </c>
      <c r="E17" s="98" t="str">
        <f ca="1">IF($B17="", "", VLOOKUP(ROW()-ROW($B$6), code!$G$51:$K$1483, 3, 0) )</f>
        <v>중국건설은행</v>
      </c>
      <c r="F17" s="99" t="str">
        <f ca="1">IF($B17="", "", VLOOKUP(ROW()-ROW($B$6), code!$G$51:$K$1483, 4, 0))</f>
        <v>AAA</v>
      </c>
      <c r="G17" s="100">
        <f ca="1">IF($B17="", "", IF(_xll.IMDP("IR", $B17, G$6, $C$4, "fill=true")=0, "", _xll.IMDP("IR", $B17, G$6, $C$4, "fill=true")))</f>
        <v>3.55</v>
      </c>
      <c r="H17" s="101">
        <f ca="1">IF($B17="", "", IF(_xll.IMDP("IR", $B17, H$6, $C$4, "fill=true")=0, "", _xll.IMDP("IR", $B17, H$6, $C$4, "fill=true")))</f>
        <v>3.61</v>
      </c>
      <c r="I17" s="101" t="str">
        <f ca="1">IF($B17="", "", IF(_xll.IMDP("IR", $B17, I$6, $C$4, "fill=true")=0, "", _xll.IMDP("IR", $B17, I$6, $C$4, "fill=true")))</f>
        <v/>
      </c>
      <c r="J17" s="101">
        <f ca="1">IF($B17="", "", IF(_xll.IMDP("IR", $B17, J$6, $C$4, "fill=true")=0, "", _xll.IMDP("IR", $B17, J$6, $C$4, "fill=true")))</f>
        <v>3.71</v>
      </c>
      <c r="K17" s="101">
        <f ca="1">IF($B17="", "", IF(_xll.IMDP("IR", $B17, K$6, $C$4, "fill=true")=0, "", _xll.IMDP("IR", $B17, K$6, $C$4, "fill=true")))</f>
        <v>3.8</v>
      </c>
      <c r="L17" s="101">
        <f ca="1">IF($B17="", "", IF(_xll.IMDP("IR", $B17, L$6, $C$4, "fill=true")=0, "", _xll.IMDP("IR", $B17, L$6, $C$4, "fill=true")))</f>
        <v>3.86</v>
      </c>
      <c r="M17" s="101">
        <f ca="1">IF($B17="", "", IF(_xll.IMDP("IR", $B17, M$6, $C$4, "fill=true")=0, "", _xll.IMDP("IR", $B17, M$6, $C$4, "fill=true")))</f>
        <v>3.88</v>
      </c>
      <c r="N17" s="101" t="str">
        <f ca="1">IF($B17="", "", IF(_xll.IMDP("IR", $B17, N$6, $C$4, "fill=true")=0, "", _xll.IMDP("IR", $B17, N$6, $C$4, "fill=true")))</f>
        <v/>
      </c>
      <c r="O17" s="101">
        <f ca="1">IF($B17="", "", IF(_xll.IMDP("IR", $B17, O$6, $C$4, "fill=true")=0, "", _xll.IMDP("IR", $B17, O$6, $C$4, "fill=true")))</f>
        <v>3.96</v>
      </c>
      <c r="P17" s="101">
        <f ca="1">IF($B17="", "", IF(_xll.IMDP("IR", $B17, P$6, $C$4, "fill=true")=0, "", _xll.IMDP("IR", $B17, P$6, $C$4, "fill=true")))</f>
        <v>4.0599999999999996</v>
      </c>
      <c r="Q17" s="102" t="str">
        <f ca="1">IF($B17="", "", IF(_xll.IMDP("IR", $B17, Q$6, $C$4, "fill=true")=0, "", _xll.IMDP("IR", $B17, Q$6, $C$4, "fill=true")))</f>
        <v/>
      </c>
    </row>
    <row r="18" spans="2:17" s="83" customFormat="1" ht="13.5">
      <c r="B18" s="83" t="str">
        <f ca="1">IFERROR( VLOOKUP(ROW()-ROW($B$6), code!$G$51:$K$1483, 5, 0), "")</f>
        <v>CDAVG19327</v>
      </c>
      <c r="C18" s="96">
        <f ca="1">IF($B18="", "", _xll.IMDP("IR", $B18, "1일", $C$4, "fill=true, disp=date"))</f>
        <v>20230711</v>
      </c>
      <c r="D18" s="97" t="str">
        <f ca="1">IF($B18="", "", VLOOKUP(ROW()-ROW($B$6), code!$G$51:$K$1483, 2, 0) )</f>
        <v>19327</v>
      </c>
      <c r="E18" s="98" t="str">
        <f ca="1">IF($B18="", "", VLOOKUP(ROW()-ROW($B$6), code!$G$51:$K$1483, 3, 0) )</f>
        <v>수협은행</v>
      </c>
      <c r="F18" s="99" t="str">
        <f ca="1">IF($B18="", "", VLOOKUP(ROW()-ROW($B$6), code!$G$51:$K$1483, 4, 0))</f>
        <v>AAA</v>
      </c>
      <c r="G18" s="100">
        <f ca="1">IF($B18="", "", IF(_xll.IMDP("IR", $B18, G$6, $C$4, "fill=true")=0, "", _xll.IMDP("IR", $B18, G$6, $C$4, "fill=true")))</f>
        <v>3.5</v>
      </c>
      <c r="H18" s="101">
        <f ca="1">IF($B18="", "", IF(_xll.IMDP("IR", $B18, H$6, $C$4, "fill=true")=0, "", _xll.IMDP("IR", $B18, H$6, $C$4, "fill=true")))</f>
        <v>3.56</v>
      </c>
      <c r="I18" s="101" t="str">
        <f ca="1">IF($B18="", "", IF(_xll.IMDP("IR", $B18, I$6, $C$4, "fill=true")=0, "", _xll.IMDP("IR", $B18, I$6, $C$4, "fill=true")))</f>
        <v/>
      </c>
      <c r="J18" s="101">
        <f ca="1">IF($B18="", "", IF(_xll.IMDP("IR", $B18, J$6, $C$4, "fill=true")=0, "", _xll.IMDP("IR", $B18, J$6, $C$4, "fill=true")))</f>
        <v>3.63</v>
      </c>
      <c r="K18" s="101">
        <f ca="1">IF($B18="", "", IF(_xll.IMDP("IR", $B18, K$6, $C$4, "fill=true")=0, "", _xll.IMDP("IR", $B18, K$6, $C$4, "fill=true")))</f>
        <v>3.7</v>
      </c>
      <c r="L18" s="101">
        <f ca="1">IF($B18="", "", IF(_xll.IMDP("IR", $B18, L$6, $C$4, "fill=true")=0, "", _xll.IMDP("IR", $B18, L$6, $C$4, "fill=true")))</f>
        <v>3.72</v>
      </c>
      <c r="M18" s="101">
        <f ca="1">IF($B18="", "", IF(_xll.IMDP("IR", $B18, M$6, $C$4, "fill=true")=0, "", _xll.IMDP("IR", $B18, M$6, $C$4, "fill=true")))</f>
        <v>3.75</v>
      </c>
      <c r="N18" s="101" t="str">
        <f ca="1">IF($B18="", "", IF(_xll.IMDP("IR", $B18, N$6, $C$4, "fill=true")=0, "", _xll.IMDP("IR", $B18, N$6, $C$4, "fill=true")))</f>
        <v/>
      </c>
      <c r="O18" s="101">
        <f ca="1">IF($B18="", "", IF(_xll.IMDP("IR", $B18, O$6, $C$4, "fill=true")=0, "", _xll.IMDP("IR", $B18, O$6, $C$4, "fill=true")))</f>
        <v>3.8</v>
      </c>
      <c r="P18" s="101">
        <f ca="1">IF($B18="", "", IF(_xll.IMDP("IR", $B18, P$6, $C$4, "fill=true")=0, "", _xll.IMDP("IR", $B18, P$6, $C$4, "fill=true")))</f>
        <v>3.89</v>
      </c>
      <c r="Q18" s="102" t="str">
        <f ca="1">IF($B18="", "", IF(_xll.IMDP("IR", $B18, Q$6, $C$4, "fill=true")=0, "", _xll.IMDP("IR", $B18, Q$6, $C$4, "fill=true")))</f>
        <v/>
      </c>
    </row>
    <row r="19" spans="2:17" s="83" customFormat="1" ht="13.5">
      <c r="B19" s="83" t="str">
        <f ca="1">IFERROR( VLOOKUP(ROW()-ROW($B$6), code!$G$51:$K$1483, 5, 0), "")</f>
        <v>CDAVG19845</v>
      </c>
      <c r="C19" s="96">
        <f ca="1">IF($B19="", "", _xll.IMDP("IR", $B19, "1일", $C$4, "fill=true, disp=date"))</f>
        <v>20230711</v>
      </c>
      <c r="D19" s="97" t="str">
        <f ca="1">IF($B19="", "", VLOOKUP(ROW()-ROW($B$6), code!$G$51:$K$1483, 2, 0) )</f>
        <v>19845</v>
      </c>
      <c r="E19" s="98" t="str">
        <f ca="1">IF($B19="", "", VLOOKUP(ROW()-ROW($B$6), code!$G$51:$K$1483, 3, 0) )</f>
        <v>농협은행</v>
      </c>
      <c r="F19" s="99" t="str">
        <f ca="1">IF($B19="", "", VLOOKUP(ROW()-ROW($B$6), code!$G$51:$K$1483, 4, 0))</f>
        <v>AAA</v>
      </c>
      <c r="G19" s="100">
        <f ca="1">IF($B19="", "", IF(_xll.IMDP("IR", $B19, G$6, $C$4, "fill=true")=0, "", _xll.IMDP("IR", $B19, G$6, $C$4, "fill=true")))</f>
        <v>3.5</v>
      </c>
      <c r="H19" s="101">
        <f ca="1">IF($B19="", "", IF(_xll.IMDP("IR", $B19, H$6, $C$4, "fill=true")=0, "", _xll.IMDP("IR", $B19, H$6, $C$4, "fill=true")))</f>
        <v>3.56</v>
      </c>
      <c r="I19" s="101" t="str">
        <f ca="1">IF($B19="", "", IF(_xll.IMDP("IR", $B19, I$6, $C$4, "fill=true")=0, "", _xll.IMDP("IR", $B19, I$6, $C$4, "fill=true")))</f>
        <v/>
      </c>
      <c r="J19" s="101">
        <f ca="1">IF($B19="", "", IF(_xll.IMDP("IR", $B19, J$6, $C$4, "fill=true")=0, "", _xll.IMDP("IR", $B19, J$6, $C$4, "fill=true")))</f>
        <v>3.63</v>
      </c>
      <c r="K19" s="101">
        <f ca="1">IF($B19="", "", IF(_xll.IMDP("IR", $B19, K$6, $C$4, "fill=true")=0, "", _xll.IMDP("IR", $B19, K$6, $C$4, "fill=true")))</f>
        <v>3.69</v>
      </c>
      <c r="L19" s="101">
        <f ca="1">IF($B19="", "", IF(_xll.IMDP("IR", $B19, L$6, $C$4, "fill=true")=0, "", _xll.IMDP("IR", $B19, L$6, $C$4, "fill=true")))</f>
        <v>3.72</v>
      </c>
      <c r="M19" s="101">
        <f ca="1">IF($B19="", "", IF(_xll.IMDP("IR", $B19, M$6, $C$4, "fill=true")=0, "", _xll.IMDP("IR", $B19, M$6, $C$4, "fill=true")))</f>
        <v>3.74</v>
      </c>
      <c r="N19" s="101">
        <f ca="1">IF($B19="", "", IF(_xll.IMDP("IR", $B19, N$6, $C$4, "fill=true")=0, "", _xll.IMDP("IR", $B19, N$6, $C$4, "fill=true")))</f>
        <v>3.76</v>
      </c>
      <c r="O19" s="101">
        <f ca="1">IF($B19="", "", IF(_xll.IMDP("IR", $B19, O$6, $C$4, "fill=true")=0, "", _xll.IMDP("IR", $B19, O$6, $C$4, "fill=true")))</f>
        <v>3.79</v>
      </c>
      <c r="P19" s="101">
        <f ca="1">IF($B19="", "", IF(_xll.IMDP("IR", $B19, P$6, $C$4, "fill=true")=0, "", _xll.IMDP("IR", $B19, P$6, $C$4, "fill=true")))</f>
        <v>3.88</v>
      </c>
      <c r="Q19" s="102">
        <f ca="1">IF($B19="", "", IF(_xll.IMDP("IR", $B19, Q$6, $C$4, "fill=true")=0, "", _xll.IMDP("IR", $B19, Q$6, $C$4, "fill=true")))</f>
        <v>4.21</v>
      </c>
    </row>
    <row r="20" spans="2:17" s="83" customFormat="1" ht="13.5">
      <c r="B20" s="83" t="str">
        <f ca="1">IFERROR( VLOOKUP(ROW()-ROW($B$6), code!$G$51:$K$1483, 5, 0), "")</f>
        <v>CDAVG45405</v>
      </c>
      <c r="C20" s="96">
        <f ca="1">IF($B20="", "", _xll.IMDP("IR", $B20, "1일", $C$4, "fill=true, disp=date"))</f>
        <v>20230711</v>
      </c>
      <c r="D20" s="97" t="str">
        <f ca="1">IF($B20="", "", VLOOKUP(ROW()-ROW($B$6), code!$G$51:$K$1483, 2, 0) )</f>
        <v>45405</v>
      </c>
      <c r="E20" s="98" t="str">
        <f ca="1">IF($B20="", "", VLOOKUP(ROW()-ROW($B$6), code!$G$51:$K$1483, 3, 0) )</f>
        <v>경남은행</v>
      </c>
      <c r="F20" s="99" t="str">
        <f ca="1">IF($B20="", "", VLOOKUP(ROW()-ROW($B$6), code!$G$51:$K$1483, 4, 0))</f>
        <v>AA+</v>
      </c>
      <c r="G20" s="100">
        <f ca="1">IF($B20="", "", IF(_xll.IMDP("IR", $B20, G$6, $C$4, "fill=true")=0, "", _xll.IMDP("IR", $B20, G$6, $C$4, "fill=true")))</f>
        <v>3.53</v>
      </c>
      <c r="H20" s="101">
        <f ca="1">IF($B20="", "", IF(_xll.IMDP("IR", $B20, H$6, $C$4, "fill=true")=0, "", _xll.IMDP("IR", $B20, H$6, $C$4, "fill=true")))</f>
        <v>3.59</v>
      </c>
      <c r="I20" s="101" t="str">
        <f ca="1">IF($B20="", "", IF(_xll.IMDP("IR", $B20, I$6, $C$4, "fill=true")=0, "", _xll.IMDP("IR", $B20, I$6, $C$4, "fill=true")))</f>
        <v/>
      </c>
      <c r="J20" s="101">
        <f ca="1">IF($B20="", "", IF(_xll.IMDP("IR", $B20, J$6, $C$4, "fill=true")=0, "", _xll.IMDP("IR", $B20, J$6, $C$4, "fill=true")))</f>
        <v>3.65</v>
      </c>
      <c r="K20" s="101">
        <f ca="1">IF($B20="", "", IF(_xll.IMDP("IR", $B20, K$6, $C$4, "fill=true")=0, "", _xll.IMDP("IR", $B20, K$6, $C$4, "fill=true")))</f>
        <v>3.7</v>
      </c>
      <c r="L20" s="101">
        <f ca="1">IF($B20="", "", IF(_xll.IMDP("IR", $B20, L$6, $C$4, "fill=true")=0, "", _xll.IMDP("IR", $B20, L$6, $C$4, "fill=true")))</f>
        <v>3.73</v>
      </c>
      <c r="M20" s="101">
        <f ca="1">IF($B20="", "", IF(_xll.IMDP("IR", $B20, M$6, $C$4, "fill=true")=0, "", _xll.IMDP("IR", $B20, M$6, $C$4, "fill=true")))</f>
        <v>3.77</v>
      </c>
      <c r="N20" s="101">
        <f ca="1">IF($B20="", "", IF(_xll.IMDP("IR", $B20, N$6, $C$4, "fill=true")=0, "", _xll.IMDP("IR", $B20, N$6, $C$4, "fill=true")))</f>
        <v>3.81</v>
      </c>
      <c r="O20" s="101">
        <f ca="1">IF($B20="", "", IF(_xll.IMDP("IR", $B20, O$6, $C$4, "fill=true")=0, "", _xll.IMDP("IR", $B20, O$6, $C$4, "fill=true")))</f>
        <v>3.86</v>
      </c>
      <c r="P20" s="101">
        <f ca="1">IF($B20="", "", IF(_xll.IMDP("IR", $B20, P$6, $C$4, "fill=true")=0, "", _xll.IMDP("IR", $B20, P$6, $C$4, "fill=true")))</f>
        <v>3.99</v>
      </c>
      <c r="Q20" s="102">
        <f ca="1">IF($B20="", "", IF(_xll.IMDP("IR", $B20, Q$6, $C$4, "fill=true")=0, "", _xll.IMDP("IR", $B20, Q$6, $C$4, "fill=true")))</f>
        <v>4.3600000000000003</v>
      </c>
    </row>
    <row r="21" spans="2:17" s="83" customFormat="1" ht="13.5">
      <c r="B21" s="83" t="str">
        <f ca="1">IFERROR( VLOOKUP(ROW()-ROW($B$6), code!$G$51:$K$1483, 5, 0), "")</f>
        <v>CDAVG45406</v>
      </c>
      <c r="C21" s="96">
        <f ca="1">IF($B21="", "", _xll.IMDP("IR", $B21, "1일", $C$4, "fill=true, disp=date"))</f>
        <v>20230711</v>
      </c>
      <c r="D21" s="97" t="str">
        <f ca="1">IF($B21="", "", VLOOKUP(ROW()-ROW($B$6), code!$G$51:$K$1483, 2, 0) )</f>
        <v>45406</v>
      </c>
      <c r="E21" s="98" t="str">
        <f ca="1">IF($B21="", "", VLOOKUP(ROW()-ROW($B$6), code!$G$51:$K$1483, 3, 0) )</f>
        <v>광주은행</v>
      </c>
      <c r="F21" s="99" t="str">
        <f ca="1">IF($B21="", "", VLOOKUP(ROW()-ROW($B$6), code!$G$51:$K$1483, 4, 0))</f>
        <v>AA+</v>
      </c>
      <c r="G21" s="100">
        <f ca="1">IF($B21="", "", IF(_xll.IMDP("IR", $B21, G$6, $C$4, "fill=true")=0, "", _xll.IMDP("IR", $B21, G$6, $C$4, "fill=true")))</f>
        <v>3.54</v>
      </c>
      <c r="H21" s="101">
        <f ca="1">IF($B21="", "", IF(_xll.IMDP("IR", $B21, H$6, $C$4, "fill=true")=0, "", _xll.IMDP("IR", $B21, H$6, $C$4, "fill=true")))</f>
        <v>3.59</v>
      </c>
      <c r="I21" s="101" t="str">
        <f ca="1">IF($B21="", "", IF(_xll.IMDP("IR", $B21, I$6, $C$4, "fill=true")=0, "", _xll.IMDP("IR", $B21, I$6, $C$4, "fill=true")))</f>
        <v/>
      </c>
      <c r="J21" s="101">
        <f ca="1">IF($B21="", "", IF(_xll.IMDP("IR", $B21, J$6, $C$4, "fill=true")=0, "", _xll.IMDP("IR", $B21, J$6, $C$4, "fill=true")))</f>
        <v>3.66</v>
      </c>
      <c r="K21" s="101">
        <f ca="1">IF($B21="", "", IF(_xll.IMDP("IR", $B21, K$6, $C$4, "fill=true")=0, "", _xll.IMDP("IR", $B21, K$6, $C$4, "fill=true")))</f>
        <v>3.71</v>
      </c>
      <c r="L21" s="101">
        <f ca="1">IF($B21="", "", IF(_xll.IMDP("IR", $B21, L$6, $C$4, "fill=true")=0, "", _xll.IMDP("IR", $B21, L$6, $C$4, "fill=true")))</f>
        <v>3.74</v>
      </c>
      <c r="M21" s="101">
        <f ca="1">IF($B21="", "", IF(_xll.IMDP("IR", $B21, M$6, $C$4, "fill=true")=0, "", _xll.IMDP("IR", $B21, M$6, $C$4, "fill=true")))</f>
        <v>3.77</v>
      </c>
      <c r="N21" s="101">
        <f ca="1">IF($B21="", "", IF(_xll.IMDP("IR", $B21, N$6, $C$4, "fill=true")=0, "", _xll.IMDP("IR", $B21, N$6, $C$4, "fill=true")))</f>
        <v>3.82</v>
      </c>
      <c r="O21" s="101">
        <f ca="1">IF($B21="", "", IF(_xll.IMDP("IR", $B21, O$6, $C$4, "fill=true")=0, "", _xll.IMDP("IR", $B21, O$6, $C$4, "fill=true")))</f>
        <v>3.87</v>
      </c>
      <c r="P21" s="101">
        <f ca="1">IF($B21="", "", IF(_xll.IMDP("IR", $B21, P$6, $C$4, "fill=true")=0, "", _xll.IMDP("IR", $B21, P$6, $C$4, "fill=true")))</f>
        <v>4</v>
      </c>
      <c r="Q21" s="102">
        <f ca="1">IF($B21="", "", IF(_xll.IMDP("IR", $B21, Q$6, $C$4, "fill=true")=0, "", _xll.IMDP("IR", $B21, Q$6, $C$4, "fill=true")))</f>
        <v>4.37</v>
      </c>
    </row>
    <row r="22" spans="2:17" s="83" customFormat="1" ht="13.5">
      <c r="B22" s="83" t="str">
        <f ca="1">IFERROR( VLOOKUP(ROW()-ROW($B$6), code!$G$51:$K$1483, 5, 0), "")</f>
        <v/>
      </c>
      <c r="C22" s="96" t="str">
        <f ca="1">IF($B22="", "", _xll.IMDP("IR", $B22, "1일", $C$4, "fill=true, disp=date"))</f>
        <v/>
      </c>
      <c r="D22" s="97" t="str">
        <f ca="1">IF($B22="", "", VLOOKUP(ROW()-ROW($B$6), code!$G$51:$K$1483, 2, 0) )</f>
        <v/>
      </c>
      <c r="E22" s="98" t="str">
        <f ca="1">IF($B22="", "", VLOOKUP(ROW()-ROW($B$6), code!$G$51:$K$1483, 3, 0) )</f>
        <v/>
      </c>
      <c r="F22" s="99" t="str">
        <f ca="1">IF($B22="", "", VLOOKUP(ROW()-ROW($B$6), code!$G$51:$K$1483, 4, 0))</f>
        <v/>
      </c>
      <c r="G22" s="100" t="str">
        <f ca="1">IF($B22="", "", IF(_xll.IMDP("IR", $B22, G$6, $C$4, "fill=true")=0, "", _xll.IMDP("IR", $B22, G$6, $C$4, "fill=true")))</f>
        <v/>
      </c>
      <c r="H22" s="101" t="str">
        <f ca="1">IF($B22="", "", IF(_xll.IMDP("IR", $B22, H$6, $C$4, "fill=true")=0, "", _xll.IMDP("IR", $B22, H$6, $C$4, "fill=true")))</f>
        <v/>
      </c>
      <c r="I22" s="101" t="str">
        <f ca="1">IF($B22="", "", IF(_xll.IMDP("IR", $B22, I$6, $C$4, "fill=true")=0, "", _xll.IMDP("IR", $B22, I$6, $C$4, "fill=true")))</f>
        <v/>
      </c>
      <c r="J22" s="101" t="str">
        <f ca="1">IF($B22="", "", IF(_xll.IMDP("IR", $B22, J$6, $C$4, "fill=true")=0, "", _xll.IMDP("IR", $B22, J$6, $C$4, "fill=true")))</f>
        <v/>
      </c>
      <c r="K22" s="101" t="str">
        <f ca="1">IF($B22="", "", IF(_xll.IMDP("IR", $B22, K$6, $C$4, "fill=true")=0, "", _xll.IMDP("IR", $B22, K$6, $C$4, "fill=true")))</f>
        <v/>
      </c>
      <c r="L22" s="101" t="str">
        <f ca="1">IF($B22="", "", IF(_xll.IMDP("IR", $B22, L$6, $C$4, "fill=true")=0, "", _xll.IMDP("IR", $B22, L$6, $C$4, "fill=true")))</f>
        <v/>
      </c>
      <c r="M22" s="101" t="str">
        <f ca="1">IF($B22="", "", IF(_xll.IMDP("IR", $B22, M$6, $C$4, "fill=true")=0, "", _xll.IMDP("IR", $B22, M$6, $C$4, "fill=true")))</f>
        <v/>
      </c>
      <c r="N22" s="101" t="str">
        <f ca="1">IF($B22="", "", IF(_xll.IMDP("IR", $B22, N$6, $C$4, "fill=true")=0, "", _xll.IMDP("IR", $B22, N$6, $C$4, "fill=true")))</f>
        <v/>
      </c>
      <c r="O22" s="101" t="str">
        <f ca="1">IF($B22="", "", IF(_xll.IMDP("IR", $B22, O$6, $C$4, "fill=true")=0, "", _xll.IMDP("IR", $B22, O$6, $C$4, "fill=true")))</f>
        <v/>
      </c>
      <c r="P22" s="101" t="str">
        <f ca="1">IF($B22="", "", IF(_xll.IMDP("IR", $B22, P$6, $C$4, "fill=true")=0, "", _xll.IMDP("IR", $B22, P$6, $C$4, "fill=true")))</f>
        <v/>
      </c>
      <c r="Q22" s="102" t="str">
        <f ca="1">IF($B22="", "", IF(_xll.IMDP("IR", $B22, Q$6, $C$4, "fill=true")=0, "", _xll.IMDP("IR", $B22, Q$6, $C$4, "fill=true")))</f>
        <v/>
      </c>
    </row>
    <row r="23" spans="2:17" s="83" customFormat="1" ht="13.5">
      <c r="B23" s="83" t="str">
        <f ca="1">IFERROR( VLOOKUP(ROW()-ROW($B$6), code!$G$51:$K$1483, 5, 0), "")</f>
        <v/>
      </c>
      <c r="C23" s="96" t="str">
        <f ca="1">IF($B23="", "", _xll.IMDP("IR", $B23, "1일", $C$4, "fill=true, disp=date"))</f>
        <v/>
      </c>
      <c r="D23" s="97" t="str">
        <f ca="1">IF($B23="", "", VLOOKUP(ROW()-ROW($B$6), code!$G$51:$K$1483, 2, 0) )</f>
        <v/>
      </c>
      <c r="E23" s="98" t="str">
        <f ca="1">IF($B23="", "", VLOOKUP(ROW()-ROW($B$6), code!$G$51:$K$1483, 3, 0) )</f>
        <v/>
      </c>
      <c r="F23" s="99" t="str">
        <f ca="1">IF($B23="", "", VLOOKUP(ROW()-ROW($B$6), code!$G$51:$K$1483, 4, 0))</f>
        <v/>
      </c>
      <c r="G23" s="100" t="str">
        <f ca="1">IF($B23="", "", IF(_xll.IMDP("IR", $B23, G$6, $C$4, "fill=true")=0, "", _xll.IMDP("IR", $B23, G$6, $C$4, "fill=true")))</f>
        <v/>
      </c>
      <c r="H23" s="101" t="str">
        <f ca="1">IF($B23="", "", IF(_xll.IMDP("IR", $B23, H$6, $C$4, "fill=true")=0, "", _xll.IMDP("IR", $B23, H$6, $C$4, "fill=true")))</f>
        <v/>
      </c>
      <c r="I23" s="101" t="str">
        <f ca="1">IF($B23="", "", IF(_xll.IMDP("IR", $B23, I$6, $C$4, "fill=true")=0, "", _xll.IMDP("IR", $B23, I$6, $C$4, "fill=true")))</f>
        <v/>
      </c>
      <c r="J23" s="101" t="str">
        <f ca="1">IF($B23="", "", IF(_xll.IMDP("IR", $B23, J$6, $C$4, "fill=true")=0, "", _xll.IMDP("IR", $B23, J$6, $C$4, "fill=true")))</f>
        <v/>
      </c>
      <c r="K23" s="101" t="str">
        <f ca="1">IF($B23="", "", IF(_xll.IMDP("IR", $B23, K$6, $C$4, "fill=true")=0, "", _xll.IMDP("IR", $B23, K$6, $C$4, "fill=true")))</f>
        <v/>
      </c>
      <c r="L23" s="101" t="str">
        <f ca="1">IF($B23="", "", IF(_xll.IMDP("IR", $B23, L$6, $C$4, "fill=true")=0, "", _xll.IMDP("IR", $B23, L$6, $C$4, "fill=true")))</f>
        <v/>
      </c>
      <c r="M23" s="101" t="str">
        <f ca="1">IF($B23="", "", IF(_xll.IMDP("IR", $B23, M$6, $C$4, "fill=true")=0, "", _xll.IMDP("IR", $B23, M$6, $C$4, "fill=true")))</f>
        <v/>
      </c>
      <c r="N23" s="101" t="str">
        <f ca="1">IF($B23="", "", IF(_xll.IMDP("IR", $B23, N$6, $C$4, "fill=true")=0, "", _xll.IMDP("IR", $B23, N$6, $C$4, "fill=true")))</f>
        <v/>
      </c>
      <c r="O23" s="101" t="str">
        <f ca="1">IF($B23="", "", IF(_xll.IMDP("IR", $B23, O$6, $C$4, "fill=true")=0, "", _xll.IMDP("IR", $B23, O$6, $C$4, "fill=true")))</f>
        <v/>
      </c>
      <c r="P23" s="101" t="str">
        <f ca="1">IF($B23="", "", IF(_xll.IMDP("IR", $B23, P$6, $C$4, "fill=true")=0, "", _xll.IMDP("IR", $B23, P$6, $C$4, "fill=true")))</f>
        <v/>
      </c>
      <c r="Q23" s="102" t="str">
        <f ca="1">IF($B23="", "", IF(_xll.IMDP("IR", $B23, Q$6, $C$4, "fill=true")=0, "", _xll.IMDP("IR", $B23, Q$6, $C$4, "fill=true")))</f>
        <v/>
      </c>
    </row>
    <row r="24" spans="2:17" s="83" customFormat="1" ht="13.5">
      <c r="B24" s="83" t="str">
        <f ca="1">IFERROR( VLOOKUP(ROW()-ROW($B$6), code!$G$51:$K$1483, 5, 0), "")</f>
        <v/>
      </c>
      <c r="C24" s="96" t="str">
        <f ca="1">IF($B24="", "", _xll.IMDP("IR", $B24, "1일", $C$4, "fill=true, disp=date"))</f>
        <v/>
      </c>
      <c r="D24" s="97" t="str">
        <f ca="1">IF($B24="", "", VLOOKUP(ROW()-ROW($B$6), code!$G$51:$K$1483, 2, 0) )</f>
        <v/>
      </c>
      <c r="E24" s="98" t="str">
        <f ca="1">IF($B24="", "", VLOOKUP(ROW()-ROW($B$6), code!$G$51:$K$1483, 3, 0) )</f>
        <v/>
      </c>
      <c r="F24" s="99" t="str">
        <f ca="1">IF($B24="", "", VLOOKUP(ROW()-ROW($B$6), code!$G$51:$K$1483, 4, 0))</f>
        <v/>
      </c>
      <c r="G24" s="100" t="str">
        <f ca="1">IF($B24="", "", IF(_xll.IMDP("IR", $B24, G$6, $C$4, "fill=true")=0, "", _xll.IMDP("IR", $B24, G$6, $C$4, "fill=true")))</f>
        <v/>
      </c>
      <c r="H24" s="101" t="str">
        <f ca="1">IF($B24="", "", IF(_xll.IMDP("IR", $B24, H$6, $C$4, "fill=true")=0, "", _xll.IMDP("IR", $B24, H$6, $C$4, "fill=true")))</f>
        <v/>
      </c>
      <c r="I24" s="101" t="str">
        <f ca="1">IF($B24="", "", IF(_xll.IMDP("IR", $B24, I$6, $C$4, "fill=true")=0, "", _xll.IMDP("IR", $B24, I$6, $C$4, "fill=true")))</f>
        <v/>
      </c>
      <c r="J24" s="101" t="str">
        <f ca="1">IF($B24="", "", IF(_xll.IMDP("IR", $B24, J$6, $C$4, "fill=true")=0, "", _xll.IMDP("IR", $B24, J$6, $C$4, "fill=true")))</f>
        <v/>
      </c>
      <c r="K24" s="101" t="str">
        <f ca="1">IF($B24="", "", IF(_xll.IMDP("IR", $B24, K$6, $C$4, "fill=true")=0, "", _xll.IMDP("IR", $B24, K$6, $C$4, "fill=true")))</f>
        <v/>
      </c>
      <c r="L24" s="101" t="str">
        <f ca="1">IF($B24="", "", IF(_xll.IMDP("IR", $B24, L$6, $C$4, "fill=true")=0, "", _xll.IMDP("IR", $B24, L$6, $C$4, "fill=true")))</f>
        <v/>
      </c>
      <c r="M24" s="101" t="str">
        <f ca="1">IF($B24="", "", IF(_xll.IMDP("IR", $B24, M$6, $C$4, "fill=true")=0, "", _xll.IMDP("IR", $B24, M$6, $C$4, "fill=true")))</f>
        <v/>
      </c>
      <c r="N24" s="101" t="str">
        <f ca="1">IF($B24="", "", IF(_xll.IMDP("IR", $B24, N$6, $C$4, "fill=true")=0, "", _xll.IMDP("IR", $B24, N$6, $C$4, "fill=true")))</f>
        <v/>
      </c>
      <c r="O24" s="101" t="str">
        <f ca="1">IF($B24="", "", IF(_xll.IMDP("IR", $B24, O$6, $C$4, "fill=true")=0, "", _xll.IMDP("IR", $B24, O$6, $C$4, "fill=true")))</f>
        <v/>
      </c>
      <c r="P24" s="101" t="str">
        <f ca="1">IF($B24="", "", IF(_xll.IMDP("IR", $B24, P$6, $C$4, "fill=true")=0, "", _xll.IMDP("IR", $B24, P$6, $C$4, "fill=true")))</f>
        <v/>
      </c>
      <c r="Q24" s="102" t="str">
        <f ca="1">IF($B24="", "", IF(_xll.IMDP("IR", $B24, Q$6, $C$4, "fill=true")=0, "", _xll.IMDP("IR", $B24, Q$6, $C$4, "fill=true")))</f>
        <v/>
      </c>
    </row>
    <row r="25" spans="2:17" s="83" customFormat="1" ht="13.5">
      <c r="B25" s="83" t="str">
        <f ca="1">IFERROR( VLOOKUP(ROW()-ROW($B$6), code!$G$51:$K$1483, 5, 0), "")</f>
        <v/>
      </c>
      <c r="C25" s="96" t="str">
        <f ca="1">IF($B25="", "", _xll.IMDP("IR", $B25, "1일", $C$4, "fill=true, disp=date"))</f>
        <v/>
      </c>
      <c r="D25" s="97" t="str">
        <f ca="1">IF($B25="", "", VLOOKUP(ROW()-ROW($B$6), code!$G$51:$K$1483, 2, 0) )</f>
        <v/>
      </c>
      <c r="E25" s="98" t="str">
        <f ca="1">IF($B25="", "", VLOOKUP(ROW()-ROW($B$6), code!$G$51:$K$1483, 3, 0) )</f>
        <v/>
      </c>
      <c r="F25" s="99" t="str">
        <f ca="1">IF($B25="", "", VLOOKUP(ROW()-ROW($B$6), code!$G$51:$K$1483, 4, 0))</f>
        <v/>
      </c>
      <c r="G25" s="100" t="str">
        <f ca="1">IF($B25="", "", IF(_xll.IMDP("IR", $B25, G$6, $C$4, "fill=true")=0, "", _xll.IMDP("IR", $B25, G$6, $C$4, "fill=true")))</f>
        <v/>
      </c>
      <c r="H25" s="101" t="str">
        <f ca="1">IF($B25="", "", IF(_xll.IMDP("IR", $B25, H$6, $C$4, "fill=true")=0, "", _xll.IMDP("IR", $B25, H$6, $C$4, "fill=true")))</f>
        <v/>
      </c>
      <c r="I25" s="101" t="str">
        <f ca="1">IF($B25="", "", IF(_xll.IMDP("IR", $B25, I$6, $C$4, "fill=true")=0, "", _xll.IMDP("IR", $B25, I$6, $C$4, "fill=true")))</f>
        <v/>
      </c>
      <c r="J25" s="101" t="str">
        <f ca="1">IF($B25="", "", IF(_xll.IMDP("IR", $B25, J$6, $C$4, "fill=true")=0, "", _xll.IMDP("IR", $B25, J$6, $C$4, "fill=true")))</f>
        <v/>
      </c>
      <c r="K25" s="101" t="str">
        <f ca="1">IF($B25="", "", IF(_xll.IMDP("IR", $B25, K$6, $C$4, "fill=true")=0, "", _xll.IMDP("IR", $B25, K$6, $C$4, "fill=true")))</f>
        <v/>
      </c>
      <c r="L25" s="101" t="str">
        <f ca="1">IF($B25="", "", IF(_xll.IMDP("IR", $B25, L$6, $C$4, "fill=true")=0, "", _xll.IMDP("IR", $B25, L$6, $C$4, "fill=true")))</f>
        <v/>
      </c>
      <c r="M25" s="101" t="str">
        <f ca="1">IF($B25="", "", IF(_xll.IMDP("IR", $B25, M$6, $C$4, "fill=true")=0, "", _xll.IMDP("IR", $B25, M$6, $C$4, "fill=true")))</f>
        <v/>
      </c>
      <c r="N25" s="101" t="str">
        <f ca="1">IF($B25="", "", IF(_xll.IMDP("IR", $B25, N$6, $C$4, "fill=true")=0, "", _xll.IMDP("IR", $B25, N$6, $C$4, "fill=true")))</f>
        <v/>
      </c>
      <c r="O25" s="101" t="str">
        <f ca="1">IF($B25="", "", IF(_xll.IMDP("IR", $B25, O$6, $C$4, "fill=true")=0, "", _xll.IMDP("IR", $B25, O$6, $C$4, "fill=true")))</f>
        <v/>
      </c>
      <c r="P25" s="101" t="str">
        <f ca="1">IF($B25="", "", IF(_xll.IMDP("IR", $B25, P$6, $C$4, "fill=true")=0, "", _xll.IMDP("IR", $B25, P$6, $C$4, "fill=true")))</f>
        <v/>
      </c>
      <c r="Q25" s="102" t="str">
        <f ca="1">IF($B25="", "", IF(_xll.IMDP("IR", $B25, Q$6, $C$4, "fill=true")=0, "", _xll.IMDP("IR", $B25, Q$6, $C$4, "fill=true")))</f>
        <v/>
      </c>
    </row>
    <row r="26" spans="2:17" s="83" customFormat="1" ht="13.5">
      <c r="B26" s="83" t="str">
        <f ca="1">IFERROR( VLOOKUP(ROW()-ROW($B$6), code!$G$51:$K$1483, 5, 0), "")</f>
        <v/>
      </c>
      <c r="C26" s="96" t="str">
        <f ca="1">IF($B26="", "", _xll.IMDP("IR", $B26, "1일", $C$4, "fill=true, disp=date"))</f>
        <v/>
      </c>
      <c r="D26" s="97" t="str">
        <f ca="1">IF($B26="", "", VLOOKUP(ROW()-ROW($B$6), code!$G$51:$K$1483, 2, 0) )</f>
        <v/>
      </c>
      <c r="E26" s="98" t="str">
        <f ca="1">IF($B26="", "", VLOOKUP(ROW()-ROW($B$6), code!$G$51:$K$1483, 3, 0) )</f>
        <v/>
      </c>
      <c r="F26" s="99" t="str">
        <f ca="1">IF($B26="", "", VLOOKUP(ROW()-ROW($B$6), code!$G$51:$K$1483, 4, 0))</f>
        <v/>
      </c>
      <c r="G26" s="100" t="str">
        <f ca="1">IF($B26="", "", IF(_xll.IMDP("IR", $B26, G$6, $C$4, "fill=true")=0, "", _xll.IMDP("IR", $B26, G$6, $C$4, "fill=true")))</f>
        <v/>
      </c>
      <c r="H26" s="101" t="str">
        <f ca="1">IF($B26="", "", IF(_xll.IMDP("IR", $B26, H$6, $C$4, "fill=true")=0, "", _xll.IMDP("IR", $B26, H$6, $C$4, "fill=true")))</f>
        <v/>
      </c>
      <c r="I26" s="101" t="str">
        <f ca="1">IF($B26="", "", IF(_xll.IMDP("IR", $B26, I$6, $C$4, "fill=true")=0, "", _xll.IMDP("IR", $B26, I$6, $C$4, "fill=true")))</f>
        <v/>
      </c>
      <c r="J26" s="101" t="str">
        <f ca="1">IF($B26="", "", IF(_xll.IMDP("IR", $B26, J$6, $C$4, "fill=true")=0, "", _xll.IMDP("IR", $B26, J$6, $C$4, "fill=true")))</f>
        <v/>
      </c>
      <c r="K26" s="101" t="str">
        <f ca="1">IF($B26="", "", IF(_xll.IMDP("IR", $B26, K$6, $C$4, "fill=true")=0, "", _xll.IMDP("IR", $B26, K$6, $C$4, "fill=true")))</f>
        <v/>
      </c>
      <c r="L26" s="101" t="str">
        <f ca="1">IF($B26="", "", IF(_xll.IMDP("IR", $B26, L$6, $C$4, "fill=true")=0, "", _xll.IMDP("IR", $B26, L$6, $C$4, "fill=true")))</f>
        <v/>
      </c>
      <c r="M26" s="101" t="str">
        <f ca="1">IF($B26="", "", IF(_xll.IMDP("IR", $B26, M$6, $C$4, "fill=true")=0, "", _xll.IMDP("IR", $B26, M$6, $C$4, "fill=true")))</f>
        <v/>
      </c>
      <c r="N26" s="101" t="str">
        <f ca="1">IF($B26="", "", IF(_xll.IMDP("IR", $B26, N$6, $C$4, "fill=true")=0, "", _xll.IMDP("IR", $B26, N$6, $C$4, "fill=true")))</f>
        <v/>
      </c>
      <c r="O26" s="101" t="str">
        <f ca="1">IF($B26="", "", IF(_xll.IMDP("IR", $B26, O$6, $C$4, "fill=true")=0, "", _xll.IMDP("IR", $B26, O$6, $C$4, "fill=true")))</f>
        <v/>
      </c>
      <c r="P26" s="101" t="str">
        <f ca="1">IF($B26="", "", IF(_xll.IMDP("IR", $B26, P$6, $C$4, "fill=true")=0, "", _xll.IMDP("IR", $B26, P$6, $C$4, "fill=true")))</f>
        <v/>
      </c>
      <c r="Q26" s="102" t="str">
        <f ca="1">IF($B26="", "", IF(_xll.IMDP("IR", $B26, Q$6, $C$4, "fill=true")=0, "", _xll.IMDP("IR", $B26, Q$6, $C$4, "fill=true")))</f>
        <v/>
      </c>
    </row>
    <row r="27" spans="2:17" s="83" customFormat="1" ht="13.5">
      <c r="B27" s="83" t="str">
        <f ca="1">IFERROR( VLOOKUP(ROW()-ROW($B$6), code!$G$51:$K$1483, 5, 0), "")</f>
        <v/>
      </c>
      <c r="C27" s="96" t="str">
        <f ca="1">IF($B27="", "", _xll.IMDP("IR", $B27, "1일", $C$4, "fill=true, disp=date"))</f>
        <v/>
      </c>
      <c r="D27" s="97" t="str">
        <f ca="1">IF($B27="", "", VLOOKUP(ROW()-ROW($B$6), code!$G$51:$K$1483, 2, 0) )</f>
        <v/>
      </c>
      <c r="E27" s="98" t="str">
        <f ca="1">IF($B27="", "", VLOOKUP(ROW()-ROW($B$6), code!$G$51:$K$1483, 3, 0) )</f>
        <v/>
      </c>
      <c r="F27" s="99" t="str">
        <f ca="1">IF($B27="", "", VLOOKUP(ROW()-ROW($B$6), code!$G$51:$K$1483, 4, 0))</f>
        <v/>
      </c>
      <c r="G27" s="100" t="str">
        <f ca="1">IF($B27="", "", IF(_xll.IMDP("IR", $B27, G$6, $C$4, "fill=true")=0, "", _xll.IMDP("IR", $B27, G$6, $C$4, "fill=true")))</f>
        <v/>
      </c>
      <c r="H27" s="101" t="str">
        <f ca="1">IF($B27="", "", IF(_xll.IMDP("IR", $B27, H$6, $C$4, "fill=true")=0, "", _xll.IMDP("IR", $B27, H$6, $C$4, "fill=true")))</f>
        <v/>
      </c>
      <c r="I27" s="101" t="str">
        <f ca="1">IF($B27="", "", IF(_xll.IMDP("IR", $B27, I$6, $C$4, "fill=true")=0, "", _xll.IMDP("IR", $B27, I$6, $C$4, "fill=true")))</f>
        <v/>
      </c>
      <c r="J27" s="101" t="str">
        <f ca="1">IF($B27="", "", IF(_xll.IMDP("IR", $B27, J$6, $C$4, "fill=true")=0, "", _xll.IMDP("IR", $B27, J$6, $C$4, "fill=true")))</f>
        <v/>
      </c>
      <c r="K27" s="101" t="str">
        <f ca="1">IF($B27="", "", IF(_xll.IMDP("IR", $B27, K$6, $C$4, "fill=true")=0, "", _xll.IMDP("IR", $B27, K$6, $C$4, "fill=true")))</f>
        <v/>
      </c>
      <c r="L27" s="101" t="str">
        <f ca="1">IF($B27="", "", IF(_xll.IMDP("IR", $B27, L$6, $C$4, "fill=true")=0, "", _xll.IMDP("IR", $B27, L$6, $C$4, "fill=true")))</f>
        <v/>
      </c>
      <c r="M27" s="101" t="str">
        <f ca="1">IF($B27="", "", IF(_xll.IMDP("IR", $B27, M$6, $C$4, "fill=true")=0, "", _xll.IMDP("IR", $B27, M$6, $C$4, "fill=true")))</f>
        <v/>
      </c>
      <c r="N27" s="101" t="str">
        <f ca="1">IF($B27="", "", IF(_xll.IMDP("IR", $B27, N$6, $C$4, "fill=true")=0, "", _xll.IMDP("IR", $B27, N$6, $C$4, "fill=true")))</f>
        <v/>
      </c>
      <c r="O27" s="101" t="str">
        <f ca="1">IF($B27="", "", IF(_xll.IMDP("IR", $B27, O$6, $C$4, "fill=true")=0, "", _xll.IMDP("IR", $B27, O$6, $C$4, "fill=true")))</f>
        <v/>
      </c>
      <c r="P27" s="101" t="str">
        <f ca="1">IF($B27="", "", IF(_xll.IMDP("IR", $B27, P$6, $C$4, "fill=true")=0, "", _xll.IMDP("IR", $B27, P$6, $C$4, "fill=true")))</f>
        <v/>
      </c>
      <c r="Q27" s="102" t="str">
        <f ca="1">IF($B27="", "", IF(_xll.IMDP("IR", $B27, Q$6, $C$4, "fill=true")=0, "", _xll.IMDP("IR", $B27, Q$6, $C$4, "fill=true")))</f>
        <v/>
      </c>
    </row>
    <row r="28" spans="2:17" s="83" customFormat="1" ht="13.5">
      <c r="B28" s="83" t="str">
        <f ca="1">IFERROR( VLOOKUP(ROW()-ROW($B$6), code!$G$51:$K$1483, 5, 0), "")</f>
        <v/>
      </c>
      <c r="C28" s="96" t="str">
        <f ca="1">IF($B28="", "", _xll.IMDP("IR", $B28, "1일", $C$4, "fill=true, disp=date"))</f>
        <v/>
      </c>
      <c r="D28" s="97" t="str">
        <f ca="1">IF($B28="", "", VLOOKUP(ROW()-ROW($B$6), code!$G$51:$K$1483, 2, 0) )</f>
        <v/>
      </c>
      <c r="E28" s="98" t="str">
        <f ca="1">IF($B28="", "", VLOOKUP(ROW()-ROW($B$6), code!$G$51:$K$1483, 3, 0) )</f>
        <v/>
      </c>
      <c r="F28" s="99" t="str">
        <f ca="1">IF($B28="", "", VLOOKUP(ROW()-ROW($B$6), code!$G$51:$K$1483, 4, 0))</f>
        <v/>
      </c>
      <c r="G28" s="100" t="str">
        <f ca="1">IF($B28="", "", IF(_xll.IMDP("IR", $B28, G$6, $C$4, "fill=true")=0, "", _xll.IMDP("IR", $B28, G$6, $C$4, "fill=true")))</f>
        <v/>
      </c>
      <c r="H28" s="101" t="str">
        <f ca="1">IF($B28="", "", IF(_xll.IMDP("IR", $B28, H$6, $C$4, "fill=true")=0, "", _xll.IMDP("IR", $B28, H$6, $C$4, "fill=true")))</f>
        <v/>
      </c>
      <c r="I28" s="101" t="str">
        <f ca="1">IF($B28="", "", IF(_xll.IMDP("IR", $B28, I$6, $C$4, "fill=true")=0, "", _xll.IMDP("IR", $B28, I$6, $C$4, "fill=true")))</f>
        <v/>
      </c>
      <c r="J28" s="101" t="str">
        <f ca="1">IF($B28="", "", IF(_xll.IMDP("IR", $B28, J$6, $C$4, "fill=true")=0, "", _xll.IMDP("IR", $B28, J$6, $C$4, "fill=true")))</f>
        <v/>
      </c>
      <c r="K28" s="101" t="str">
        <f ca="1">IF($B28="", "", IF(_xll.IMDP("IR", $B28, K$6, $C$4, "fill=true")=0, "", _xll.IMDP("IR", $B28, K$6, $C$4, "fill=true")))</f>
        <v/>
      </c>
      <c r="L28" s="101" t="str">
        <f ca="1">IF($B28="", "", IF(_xll.IMDP("IR", $B28, L$6, $C$4, "fill=true")=0, "", _xll.IMDP("IR", $B28, L$6, $C$4, "fill=true")))</f>
        <v/>
      </c>
      <c r="M28" s="101" t="str">
        <f ca="1">IF($B28="", "", IF(_xll.IMDP("IR", $B28, M$6, $C$4, "fill=true")=0, "", _xll.IMDP("IR", $B28, M$6, $C$4, "fill=true")))</f>
        <v/>
      </c>
      <c r="N28" s="101" t="str">
        <f ca="1">IF($B28="", "", IF(_xll.IMDP("IR", $B28, N$6, $C$4, "fill=true")=0, "", _xll.IMDP("IR", $B28, N$6, $C$4, "fill=true")))</f>
        <v/>
      </c>
      <c r="O28" s="101" t="str">
        <f ca="1">IF($B28="", "", IF(_xll.IMDP("IR", $B28, O$6, $C$4, "fill=true")=0, "", _xll.IMDP("IR", $B28, O$6, $C$4, "fill=true")))</f>
        <v/>
      </c>
      <c r="P28" s="101" t="str">
        <f ca="1">IF($B28="", "", IF(_xll.IMDP("IR", $B28, P$6, $C$4, "fill=true")=0, "", _xll.IMDP("IR", $B28, P$6, $C$4, "fill=true")))</f>
        <v/>
      </c>
      <c r="Q28" s="102" t="str">
        <f ca="1">IF($B28="", "", IF(_xll.IMDP("IR", $B28, Q$6, $C$4, "fill=true")=0, "", _xll.IMDP("IR", $B28, Q$6, $C$4, "fill=true")))</f>
        <v/>
      </c>
    </row>
    <row r="29" spans="2:17" s="83" customFormat="1" ht="13.5">
      <c r="B29" s="83" t="str">
        <f ca="1">IFERROR( VLOOKUP(ROW()-ROW($B$6), code!$G$51:$K$1483, 5, 0), "")</f>
        <v/>
      </c>
      <c r="C29" s="96" t="str">
        <f ca="1">IF($B29="", "", _xll.IMDP("IR", $B29, "1일", $C$4, "fill=true, disp=date"))</f>
        <v/>
      </c>
      <c r="D29" s="97" t="str">
        <f ca="1">IF($B29="", "", VLOOKUP(ROW()-ROW($B$6), code!$G$51:$K$1483, 2, 0) )</f>
        <v/>
      </c>
      <c r="E29" s="98" t="str">
        <f ca="1">IF($B29="", "", VLOOKUP(ROW()-ROW($B$6), code!$G$51:$K$1483, 3, 0) )</f>
        <v/>
      </c>
      <c r="F29" s="99" t="str">
        <f ca="1">IF($B29="", "", VLOOKUP(ROW()-ROW($B$6), code!$G$51:$K$1483, 4, 0))</f>
        <v/>
      </c>
      <c r="G29" s="100" t="str">
        <f ca="1">IF($B29="", "", IF(_xll.IMDP("IR", $B29, G$6, $C$4, "fill=true")=0, "", _xll.IMDP("IR", $B29, G$6, $C$4, "fill=true")))</f>
        <v/>
      </c>
      <c r="H29" s="101" t="str">
        <f ca="1">IF($B29="", "", IF(_xll.IMDP("IR", $B29, H$6, $C$4, "fill=true")=0, "", _xll.IMDP("IR", $B29, H$6, $C$4, "fill=true")))</f>
        <v/>
      </c>
      <c r="I29" s="101" t="str">
        <f ca="1">IF($B29="", "", IF(_xll.IMDP("IR", $B29, I$6, $C$4, "fill=true")=0, "", _xll.IMDP("IR", $B29, I$6, $C$4, "fill=true")))</f>
        <v/>
      </c>
      <c r="J29" s="101" t="str">
        <f ca="1">IF($B29="", "", IF(_xll.IMDP("IR", $B29, J$6, $C$4, "fill=true")=0, "", _xll.IMDP("IR", $B29, J$6, $C$4, "fill=true")))</f>
        <v/>
      </c>
      <c r="K29" s="101" t="str">
        <f ca="1">IF($B29="", "", IF(_xll.IMDP("IR", $B29, K$6, $C$4, "fill=true")=0, "", _xll.IMDP("IR", $B29, K$6, $C$4, "fill=true")))</f>
        <v/>
      </c>
      <c r="L29" s="101" t="str">
        <f ca="1">IF($B29="", "", IF(_xll.IMDP("IR", $B29, L$6, $C$4, "fill=true")=0, "", _xll.IMDP("IR", $B29, L$6, $C$4, "fill=true")))</f>
        <v/>
      </c>
      <c r="M29" s="101" t="str">
        <f ca="1">IF($B29="", "", IF(_xll.IMDP("IR", $B29, M$6, $C$4, "fill=true")=0, "", _xll.IMDP("IR", $B29, M$6, $C$4, "fill=true")))</f>
        <v/>
      </c>
      <c r="N29" s="101" t="str">
        <f ca="1">IF($B29="", "", IF(_xll.IMDP("IR", $B29, N$6, $C$4, "fill=true")=0, "", _xll.IMDP("IR", $B29, N$6, $C$4, "fill=true")))</f>
        <v/>
      </c>
      <c r="O29" s="101" t="str">
        <f ca="1">IF($B29="", "", IF(_xll.IMDP("IR", $B29, O$6, $C$4, "fill=true")=0, "", _xll.IMDP("IR", $B29, O$6, $C$4, "fill=true")))</f>
        <v/>
      </c>
      <c r="P29" s="101" t="str">
        <f ca="1">IF($B29="", "", IF(_xll.IMDP("IR", $B29, P$6, $C$4, "fill=true")=0, "", _xll.IMDP("IR", $B29, P$6, $C$4, "fill=true")))</f>
        <v/>
      </c>
      <c r="Q29" s="102" t="str">
        <f ca="1">IF($B29="", "", IF(_xll.IMDP("IR", $B29, Q$6, $C$4, "fill=true")=0, "", _xll.IMDP("IR", $B29, Q$6, $C$4, "fill=true")))</f>
        <v/>
      </c>
    </row>
    <row r="30" spans="2:17" s="83" customFormat="1" ht="13.5">
      <c r="B30" s="83" t="str">
        <f ca="1">IFERROR( VLOOKUP(ROW()-ROW($B$6), code!$G$51:$K$1483, 5, 0), "")</f>
        <v/>
      </c>
      <c r="C30" s="96" t="str">
        <f ca="1">IF($B30="", "", _xll.IMDP("IR", $B30, "1일", $C$4, "fill=true, disp=date"))</f>
        <v/>
      </c>
      <c r="D30" s="97" t="str">
        <f ca="1">IF($B30="", "", VLOOKUP(ROW()-ROW($B$6), code!$G$51:$K$1483, 2, 0) )</f>
        <v/>
      </c>
      <c r="E30" s="98" t="str">
        <f ca="1">IF($B30="", "", VLOOKUP(ROW()-ROW($B$6), code!$G$51:$K$1483, 3, 0) )</f>
        <v/>
      </c>
      <c r="F30" s="99" t="str">
        <f ca="1">IF($B30="", "", VLOOKUP(ROW()-ROW($B$6), code!$G$51:$K$1483, 4, 0))</f>
        <v/>
      </c>
      <c r="G30" s="100" t="str">
        <f ca="1">IF($B30="", "", IF(_xll.IMDP("IR", $B30, G$6, $C$4, "fill=true")=0, "", _xll.IMDP("IR", $B30, G$6, $C$4, "fill=true")))</f>
        <v/>
      </c>
      <c r="H30" s="101" t="str">
        <f ca="1">IF($B30="", "", IF(_xll.IMDP("IR", $B30, H$6, $C$4, "fill=true")=0, "", _xll.IMDP("IR", $B30, H$6, $C$4, "fill=true")))</f>
        <v/>
      </c>
      <c r="I30" s="101" t="str">
        <f ca="1">IF($B30="", "", IF(_xll.IMDP("IR", $B30, I$6, $C$4, "fill=true")=0, "", _xll.IMDP("IR", $B30, I$6, $C$4, "fill=true")))</f>
        <v/>
      </c>
      <c r="J30" s="101" t="str">
        <f ca="1">IF($B30="", "", IF(_xll.IMDP("IR", $B30, J$6, $C$4, "fill=true")=0, "", _xll.IMDP("IR", $B30, J$6, $C$4, "fill=true")))</f>
        <v/>
      </c>
      <c r="K30" s="101" t="str">
        <f ca="1">IF($B30="", "", IF(_xll.IMDP("IR", $B30, K$6, $C$4, "fill=true")=0, "", _xll.IMDP("IR", $B30, K$6, $C$4, "fill=true")))</f>
        <v/>
      </c>
      <c r="L30" s="101" t="str">
        <f ca="1">IF($B30="", "", IF(_xll.IMDP("IR", $B30, L$6, $C$4, "fill=true")=0, "", _xll.IMDP("IR", $B30, L$6, $C$4, "fill=true")))</f>
        <v/>
      </c>
      <c r="M30" s="101" t="str">
        <f ca="1">IF($B30="", "", IF(_xll.IMDP("IR", $B30, M$6, $C$4, "fill=true")=0, "", _xll.IMDP("IR", $B30, M$6, $C$4, "fill=true")))</f>
        <v/>
      </c>
      <c r="N30" s="101" t="str">
        <f ca="1">IF($B30="", "", IF(_xll.IMDP("IR", $B30, N$6, $C$4, "fill=true")=0, "", _xll.IMDP("IR", $B30, N$6, $C$4, "fill=true")))</f>
        <v/>
      </c>
      <c r="O30" s="101" t="str">
        <f ca="1">IF($B30="", "", IF(_xll.IMDP("IR", $B30, O$6, $C$4, "fill=true")=0, "", _xll.IMDP("IR", $B30, O$6, $C$4, "fill=true")))</f>
        <v/>
      </c>
      <c r="P30" s="101" t="str">
        <f ca="1">IF($B30="", "", IF(_xll.IMDP("IR", $B30, P$6, $C$4, "fill=true")=0, "", _xll.IMDP("IR", $B30, P$6, $C$4, "fill=true")))</f>
        <v/>
      </c>
      <c r="Q30" s="102" t="str">
        <f ca="1">IF($B30="", "", IF(_xll.IMDP("IR", $B30, Q$6, $C$4, "fill=true")=0, "", _xll.IMDP("IR", $B30, Q$6, $C$4, "fill=true")))</f>
        <v/>
      </c>
    </row>
    <row r="31" spans="2:17" s="83" customFormat="1" ht="13.5">
      <c r="B31" s="83" t="str">
        <f ca="1">IFERROR( VLOOKUP(ROW()-ROW($B$6), code!$G$51:$K$1483, 5, 0), "")</f>
        <v/>
      </c>
      <c r="C31" s="96" t="str">
        <f ca="1">IF($B31="", "", _xll.IMDP("IR", $B31, "1일", $C$4, "fill=true, disp=date"))</f>
        <v/>
      </c>
      <c r="D31" s="97" t="str">
        <f ca="1">IF($B31="", "", VLOOKUP(ROW()-ROW($B$6), code!$G$51:$K$1483, 2, 0) )</f>
        <v/>
      </c>
      <c r="E31" s="98" t="str">
        <f ca="1">IF($B31="", "", VLOOKUP(ROW()-ROW($B$6), code!$G$51:$K$1483, 3, 0) )</f>
        <v/>
      </c>
      <c r="F31" s="99" t="str">
        <f ca="1">IF($B31="", "", VLOOKUP(ROW()-ROW($B$6), code!$G$51:$K$1483, 4, 0))</f>
        <v/>
      </c>
      <c r="G31" s="100" t="str">
        <f ca="1">IF($B31="", "", IF(_xll.IMDP("IR", $B31, G$6, $C$4, "fill=true")=0, "", _xll.IMDP("IR", $B31, G$6, $C$4, "fill=true")))</f>
        <v/>
      </c>
      <c r="H31" s="101" t="str">
        <f ca="1">IF($B31="", "", IF(_xll.IMDP("IR", $B31, H$6, $C$4, "fill=true")=0, "", _xll.IMDP("IR", $B31, H$6, $C$4, "fill=true")))</f>
        <v/>
      </c>
      <c r="I31" s="101" t="str">
        <f ca="1">IF($B31="", "", IF(_xll.IMDP("IR", $B31, I$6, $C$4, "fill=true")=0, "", _xll.IMDP("IR", $B31, I$6, $C$4, "fill=true")))</f>
        <v/>
      </c>
      <c r="J31" s="101" t="str">
        <f ca="1">IF($B31="", "", IF(_xll.IMDP("IR", $B31, J$6, $C$4, "fill=true")=0, "", _xll.IMDP("IR", $B31, J$6, $C$4, "fill=true")))</f>
        <v/>
      </c>
      <c r="K31" s="101" t="str">
        <f ca="1">IF($B31="", "", IF(_xll.IMDP("IR", $B31, K$6, $C$4, "fill=true")=0, "", _xll.IMDP("IR", $B31, K$6, $C$4, "fill=true")))</f>
        <v/>
      </c>
      <c r="L31" s="101" t="str">
        <f ca="1">IF($B31="", "", IF(_xll.IMDP("IR", $B31, L$6, $C$4, "fill=true")=0, "", _xll.IMDP("IR", $B31, L$6, $C$4, "fill=true")))</f>
        <v/>
      </c>
      <c r="M31" s="101" t="str">
        <f ca="1">IF($B31="", "", IF(_xll.IMDP("IR", $B31, M$6, $C$4, "fill=true")=0, "", _xll.IMDP("IR", $B31, M$6, $C$4, "fill=true")))</f>
        <v/>
      </c>
      <c r="N31" s="101" t="str">
        <f ca="1">IF($B31="", "", IF(_xll.IMDP("IR", $B31, N$6, $C$4, "fill=true")=0, "", _xll.IMDP("IR", $B31, N$6, $C$4, "fill=true")))</f>
        <v/>
      </c>
      <c r="O31" s="101" t="str">
        <f ca="1">IF($B31="", "", IF(_xll.IMDP("IR", $B31, O$6, $C$4, "fill=true")=0, "", _xll.IMDP("IR", $B31, O$6, $C$4, "fill=true")))</f>
        <v/>
      </c>
      <c r="P31" s="101" t="str">
        <f ca="1">IF($B31="", "", IF(_xll.IMDP("IR", $B31, P$6, $C$4, "fill=true")=0, "", _xll.IMDP("IR", $B31, P$6, $C$4, "fill=true")))</f>
        <v/>
      </c>
      <c r="Q31" s="102" t="str">
        <f ca="1">IF($B31="", "", IF(_xll.IMDP("IR", $B31, Q$6, $C$4, "fill=true")=0, "", _xll.IMDP("IR", $B31, Q$6, $C$4, "fill=true")))</f>
        <v/>
      </c>
    </row>
    <row r="32" spans="2:17" s="83" customFormat="1" ht="13.5">
      <c r="B32" s="83" t="str">
        <f ca="1">IFERROR( VLOOKUP(ROW()-ROW($B$6), code!$G$51:$K$1483, 5, 0), "")</f>
        <v/>
      </c>
      <c r="C32" s="96" t="str">
        <f ca="1">IF($B32="", "", _xll.IMDP("IR", $B32, "1일", $C$4, "fill=true, disp=date"))</f>
        <v/>
      </c>
      <c r="D32" s="97" t="str">
        <f ca="1">IF($B32="", "", VLOOKUP(ROW()-ROW($B$6), code!$G$51:$K$1483, 2, 0) )</f>
        <v/>
      </c>
      <c r="E32" s="98" t="str">
        <f ca="1">IF($B32="", "", VLOOKUP(ROW()-ROW($B$6), code!$G$51:$K$1483, 3, 0) )</f>
        <v/>
      </c>
      <c r="F32" s="99" t="str">
        <f ca="1">IF($B32="", "", VLOOKUP(ROW()-ROW($B$6), code!$G$51:$K$1483, 4, 0))</f>
        <v/>
      </c>
      <c r="G32" s="100" t="str">
        <f ca="1">IF($B32="", "", IF(_xll.IMDP("IR", $B32, G$6, $C$4, "fill=true")=0, "", _xll.IMDP("IR", $B32, G$6, $C$4, "fill=true")))</f>
        <v/>
      </c>
      <c r="H32" s="101" t="str">
        <f ca="1">IF($B32="", "", IF(_xll.IMDP("IR", $B32, H$6, $C$4, "fill=true")=0, "", _xll.IMDP("IR", $B32, H$6, $C$4, "fill=true")))</f>
        <v/>
      </c>
      <c r="I32" s="101" t="str">
        <f ca="1">IF($B32="", "", IF(_xll.IMDP("IR", $B32, I$6, $C$4, "fill=true")=0, "", _xll.IMDP("IR", $B32, I$6, $C$4, "fill=true")))</f>
        <v/>
      </c>
      <c r="J32" s="101" t="str">
        <f ca="1">IF($B32="", "", IF(_xll.IMDP("IR", $B32, J$6, $C$4, "fill=true")=0, "", _xll.IMDP("IR", $B32, J$6, $C$4, "fill=true")))</f>
        <v/>
      </c>
      <c r="K32" s="101" t="str">
        <f ca="1">IF($B32="", "", IF(_xll.IMDP("IR", $B32, K$6, $C$4, "fill=true")=0, "", _xll.IMDP("IR", $B32, K$6, $C$4, "fill=true")))</f>
        <v/>
      </c>
      <c r="L32" s="101" t="str">
        <f ca="1">IF($B32="", "", IF(_xll.IMDP("IR", $B32, L$6, $C$4, "fill=true")=0, "", _xll.IMDP("IR", $B32, L$6, $C$4, "fill=true")))</f>
        <v/>
      </c>
      <c r="M32" s="101" t="str">
        <f ca="1">IF($B32="", "", IF(_xll.IMDP("IR", $B32, M$6, $C$4, "fill=true")=0, "", _xll.IMDP("IR", $B32, M$6, $C$4, "fill=true")))</f>
        <v/>
      </c>
      <c r="N32" s="101" t="str">
        <f ca="1">IF($B32="", "", IF(_xll.IMDP("IR", $B32, N$6, $C$4, "fill=true")=0, "", _xll.IMDP("IR", $B32, N$6, $C$4, "fill=true")))</f>
        <v/>
      </c>
      <c r="O32" s="101" t="str">
        <f ca="1">IF($B32="", "", IF(_xll.IMDP("IR", $B32, O$6, $C$4, "fill=true")=0, "", _xll.IMDP("IR", $B32, O$6, $C$4, "fill=true")))</f>
        <v/>
      </c>
      <c r="P32" s="101" t="str">
        <f ca="1">IF($B32="", "", IF(_xll.IMDP("IR", $B32, P$6, $C$4, "fill=true")=0, "", _xll.IMDP("IR", $B32, P$6, $C$4, "fill=true")))</f>
        <v/>
      </c>
      <c r="Q32" s="102" t="str">
        <f ca="1">IF($B32="", "", IF(_xll.IMDP("IR", $B32, Q$6, $C$4, "fill=true")=0, "", _xll.IMDP("IR", $B32, Q$6, $C$4, "fill=true")))</f>
        <v/>
      </c>
    </row>
    <row r="33" spans="2:17" s="83" customFormat="1" ht="13.5">
      <c r="B33" s="83" t="str">
        <f ca="1">IFERROR( VLOOKUP(ROW()-ROW($B$6), code!$G$51:$K$1483, 5, 0), "")</f>
        <v/>
      </c>
      <c r="C33" s="96" t="str">
        <f ca="1">IF($B33="", "", _xll.IMDP("IR", $B33, "1일", $C$4, "fill=true, disp=date"))</f>
        <v/>
      </c>
      <c r="D33" s="97" t="str">
        <f ca="1">IF($B33="", "", VLOOKUP(ROW()-ROW($B$6), code!$G$51:$K$1483, 2, 0) )</f>
        <v/>
      </c>
      <c r="E33" s="98" t="str">
        <f ca="1">IF($B33="", "", VLOOKUP(ROW()-ROW($B$6), code!$G$51:$K$1483, 3, 0) )</f>
        <v/>
      </c>
      <c r="F33" s="99" t="str">
        <f ca="1">IF($B33="", "", VLOOKUP(ROW()-ROW($B$6), code!$G$51:$K$1483, 4, 0))</f>
        <v/>
      </c>
      <c r="G33" s="100" t="str">
        <f ca="1">IF($B33="", "", IF(_xll.IMDP("IR", $B33, G$6, $C$4, "fill=true")=0, "", _xll.IMDP("IR", $B33, G$6, $C$4, "fill=true")))</f>
        <v/>
      </c>
      <c r="H33" s="101" t="str">
        <f ca="1">IF($B33="", "", IF(_xll.IMDP("IR", $B33, H$6, $C$4, "fill=true")=0, "", _xll.IMDP("IR", $B33, H$6, $C$4, "fill=true")))</f>
        <v/>
      </c>
      <c r="I33" s="101" t="str">
        <f ca="1">IF($B33="", "", IF(_xll.IMDP("IR", $B33, I$6, $C$4, "fill=true")=0, "", _xll.IMDP("IR", $B33, I$6, $C$4, "fill=true")))</f>
        <v/>
      </c>
      <c r="J33" s="101" t="str">
        <f ca="1">IF($B33="", "", IF(_xll.IMDP("IR", $B33, J$6, $C$4, "fill=true")=0, "", _xll.IMDP("IR", $B33, J$6, $C$4, "fill=true")))</f>
        <v/>
      </c>
      <c r="K33" s="101" t="str">
        <f ca="1">IF($B33="", "", IF(_xll.IMDP("IR", $B33, K$6, $C$4, "fill=true")=0, "", _xll.IMDP("IR", $B33, K$6, $C$4, "fill=true")))</f>
        <v/>
      </c>
      <c r="L33" s="101" t="str">
        <f ca="1">IF($B33="", "", IF(_xll.IMDP("IR", $B33, L$6, $C$4, "fill=true")=0, "", _xll.IMDP("IR", $B33, L$6, $C$4, "fill=true")))</f>
        <v/>
      </c>
      <c r="M33" s="101" t="str">
        <f ca="1">IF($B33="", "", IF(_xll.IMDP("IR", $B33, M$6, $C$4, "fill=true")=0, "", _xll.IMDP("IR", $B33, M$6, $C$4, "fill=true")))</f>
        <v/>
      </c>
      <c r="N33" s="101" t="str">
        <f ca="1">IF($B33="", "", IF(_xll.IMDP("IR", $B33, N$6, $C$4, "fill=true")=0, "", _xll.IMDP("IR", $B33, N$6, $C$4, "fill=true")))</f>
        <v/>
      </c>
      <c r="O33" s="101" t="str">
        <f ca="1">IF($B33="", "", IF(_xll.IMDP("IR", $B33, O$6, $C$4, "fill=true")=0, "", _xll.IMDP("IR", $B33, O$6, $C$4, "fill=true")))</f>
        <v/>
      </c>
      <c r="P33" s="101" t="str">
        <f ca="1">IF($B33="", "", IF(_xll.IMDP("IR", $B33, P$6, $C$4, "fill=true")=0, "", _xll.IMDP("IR", $B33, P$6, $C$4, "fill=true")))</f>
        <v/>
      </c>
      <c r="Q33" s="102" t="str">
        <f ca="1">IF($B33="", "", IF(_xll.IMDP("IR", $B33, Q$6, $C$4, "fill=true")=0, "", _xll.IMDP("IR", $B33, Q$6, $C$4, "fill=true")))</f>
        <v/>
      </c>
    </row>
    <row r="34" spans="2:17" s="83" customFormat="1" ht="13.5">
      <c r="B34" s="83" t="str">
        <f ca="1">IFERROR( VLOOKUP(ROW()-ROW($B$6), code!$G$51:$K$1483, 5, 0), "")</f>
        <v/>
      </c>
      <c r="C34" s="96" t="str">
        <f ca="1">IF($B34="", "", _xll.IMDP("IR", $B34, "1일", $C$4, "fill=true, disp=date"))</f>
        <v/>
      </c>
      <c r="D34" s="97" t="str">
        <f ca="1">IF($B34="", "", VLOOKUP(ROW()-ROW($B$6), code!$G$51:$K$1483, 2, 0) )</f>
        <v/>
      </c>
      <c r="E34" s="98" t="str">
        <f ca="1">IF($B34="", "", VLOOKUP(ROW()-ROW($B$6), code!$G$51:$K$1483, 3, 0) )</f>
        <v/>
      </c>
      <c r="F34" s="99" t="str">
        <f ca="1">IF($B34="", "", VLOOKUP(ROW()-ROW($B$6), code!$G$51:$K$1483, 4, 0))</f>
        <v/>
      </c>
      <c r="G34" s="100" t="str">
        <f ca="1">IF($B34="", "", IF(_xll.IMDP("IR", $B34, G$6, $C$4, "fill=true")=0, "", _xll.IMDP("IR", $B34, G$6, $C$4, "fill=true")))</f>
        <v/>
      </c>
      <c r="H34" s="101" t="str">
        <f ca="1">IF($B34="", "", IF(_xll.IMDP("IR", $B34, H$6, $C$4, "fill=true")=0, "", _xll.IMDP("IR", $B34, H$6, $C$4, "fill=true")))</f>
        <v/>
      </c>
      <c r="I34" s="101" t="str">
        <f ca="1">IF($B34="", "", IF(_xll.IMDP("IR", $B34, I$6, $C$4, "fill=true")=0, "", _xll.IMDP("IR", $B34, I$6, $C$4, "fill=true")))</f>
        <v/>
      </c>
      <c r="J34" s="101" t="str">
        <f ca="1">IF($B34="", "", IF(_xll.IMDP("IR", $B34, J$6, $C$4, "fill=true")=0, "", _xll.IMDP("IR", $B34, J$6, $C$4, "fill=true")))</f>
        <v/>
      </c>
      <c r="K34" s="101" t="str">
        <f ca="1">IF($B34="", "", IF(_xll.IMDP("IR", $B34, K$6, $C$4, "fill=true")=0, "", _xll.IMDP("IR", $B34, K$6, $C$4, "fill=true")))</f>
        <v/>
      </c>
      <c r="L34" s="101" t="str">
        <f ca="1">IF($B34="", "", IF(_xll.IMDP("IR", $B34, L$6, $C$4, "fill=true")=0, "", _xll.IMDP("IR", $B34, L$6, $C$4, "fill=true")))</f>
        <v/>
      </c>
      <c r="M34" s="101" t="str">
        <f ca="1">IF($B34="", "", IF(_xll.IMDP("IR", $B34, M$6, $C$4, "fill=true")=0, "", _xll.IMDP("IR", $B34, M$6, $C$4, "fill=true")))</f>
        <v/>
      </c>
      <c r="N34" s="101" t="str">
        <f ca="1">IF($B34="", "", IF(_xll.IMDP("IR", $B34, N$6, $C$4, "fill=true")=0, "", _xll.IMDP("IR", $B34, N$6, $C$4, "fill=true")))</f>
        <v/>
      </c>
      <c r="O34" s="101" t="str">
        <f ca="1">IF($B34="", "", IF(_xll.IMDP("IR", $B34, O$6, $C$4, "fill=true")=0, "", _xll.IMDP("IR", $B34, O$6, $C$4, "fill=true")))</f>
        <v/>
      </c>
      <c r="P34" s="101" t="str">
        <f ca="1">IF($B34="", "", IF(_xll.IMDP("IR", $B34, P$6, $C$4, "fill=true")=0, "", _xll.IMDP("IR", $B34, P$6, $C$4, "fill=true")))</f>
        <v/>
      </c>
      <c r="Q34" s="102" t="str">
        <f ca="1">IF($B34="", "", IF(_xll.IMDP("IR", $B34, Q$6, $C$4, "fill=true")=0, "", _xll.IMDP("IR", $B34, Q$6, $C$4, "fill=true")))</f>
        <v/>
      </c>
    </row>
    <row r="35" spans="2:17" s="83" customFormat="1" ht="13.5">
      <c r="B35" s="83" t="str">
        <f ca="1">IFERROR( VLOOKUP(ROW()-ROW($B$6), code!$G$51:$K$1483, 5, 0), "")</f>
        <v/>
      </c>
      <c r="C35" s="96" t="str">
        <f ca="1">IF($B35="", "", _xll.IMDP("IR", $B35, "1일", $C$4, "fill=true, disp=date"))</f>
        <v/>
      </c>
      <c r="D35" s="97" t="str">
        <f ca="1">IF($B35="", "", VLOOKUP(ROW()-ROW($B$6), code!$G$51:$K$1483, 2, 0) )</f>
        <v/>
      </c>
      <c r="E35" s="98" t="str">
        <f ca="1">IF($B35="", "", VLOOKUP(ROW()-ROW($B$6), code!$G$51:$K$1483, 3, 0) )</f>
        <v/>
      </c>
      <c r="F35" s="99" t="str">
        <f ca="1">IF($B35="", "", VLOOKUP(ROW()-ROW($B$6), code!$G$51:$K$1483, 4, 0))</f>
        <v/>
      </c>
      <c r="G35" s="100" t="str">
        <f ca="1">IF($B35="", "", IF(_xll.IMDP("IR", $B35, G$6, $C$4, "fill=true")=0, "", _xll.IMDP("IR", $B35, G$6, $C$4, "fill=true")))</f>
        <v/>
      </c>
      <c r="H35" s="101" t="str">
        <f ca="1">IF($B35="", "", IF(_xll.IMDP("IR", $B35, H$6, $C$4, "fill=true")=0, "", _xll.IMDP("IR", $B35, H$6, $C$4, "fill=true")))</f>
        <v/>
      </c>
      <c r="I35" s="101" t="str">
        <f ca="1">IF($B35="", "", IF(_xll.IMDP("IR", $B35, I$6, $C$4, "fill=true")=0, "", _xll.IMDP("IR", $B35, I$6, $C$4, "fill=true")))</f>
        <v/>
      </c>
      <c r="J35" s="101" t="str">
        <f ca="1">IF($B35="", "", IF(_xll.IMDP("IR", $B35, J$6, $C$4, "fill=true")=0, "", _xll.IMDP("IR", $B35, J$6, $C$4, "fill=true")))</f>
        <v/>
      </c>
      <c r="K35" s="101" t="str">
        <f ca="1">IF($B35="", "", IF(_xll.IMDP("IR", $B35, K$6, $C$4, "fill=true")=0, "", _xll.IMDP("IR", $B35, K$6, $C$4, "fill=true")))</f>
        <v/>
      </c>
      <c r="L35" s="101" t="str">
        <f ca="1">IF($B35="", "", IF(_xll.IMDP("IR", $B35, L$6, $C$4, "fill=true")=0, "", _xll.IMDP("IR", $B35, L$6, $C$4, "fill=true")))</f>
        <v/>
      </c>
      <c r="M35" s="101" t="str">
        <f ca="1">IF($B35="", "", IF(_xll.IMDP("IR", $B35, M$6, $C$4, "fill=true")=0, "", _xll.IMDP("IR", $B35, M$6, $C$4, "fill=true")))</f>
        <v/>
      </c>
      <c r="N35" s="101" t="str">
        <f ca="1">IF($B35="", "", IF(_xll.IMDP("IR", $B35, N$6, $C$4, "fill=true")=0, "", _xll.IMDP("IR", $B35, N$6, $C$4, "fill=true")))</f>
        <v/>
      </c>
      <c r="O35" s="101" t="str">
        <f ca="1">IF($B35="", "", IF(_xll.IMDP("IR", $B35, O$6, $C$4, "fill=true")=0, "", _xll.IMDP("IR", $B35, O$6, $C$4, "fill=true")))</f>
        <v/>
      </c>
      <c r="P35" s="101" t="str">
        <f ca="1">IF($B35="", "", IF(_xll.IMDP("IR", $B35, P$6, $C$4, "fill=true")=0, "", _xll.IMDP("IR", $B35, P$6, $C$4, "fill=true")))</f>
        <v/>
      </c>
      <c r="Q35" s="102" t="str">
        <f ca="1">IF($B35="", "", IF(_xll.IMDP("IR", $B35, Q$6, $C$4, "fill=true")=0, "", _xll.IMDP("IR", $B35, Q$6, $C$4, "fill=true")))</f>
        <v/>
      </c>
    </row>
    <row r="36" spans="2:17" s="83" customFormat="1" ht="13.5">
      <c r="B36" s="83" t="str">
        <f ca="1">IFERROR( VLOOKUP(ROW()-ROW($B$6), code!$G$51:$K$1483, 5, 0), "")</f>
        <v/>
      </c>
      <c r="C36" s="96" t="str">
        <f ca="1">IF($B36="", "", _xll.IMDP("IR", $B36, "1일", $C$4, "fill=true, disp=date"))</f>
        <v/>
      </c>
      <c r="D36" s="97" t="str">
        <f ca="1">IF($B36="", "", VLOOKUP(ROW()-ROW($B$6), code!$G$51:$K$1483, 2, 0) )</f>
        <v/>
      </c>
      <c r="E36" s="98" t="str">
        <f ca="1">IF($B36="", "", VLOOKUP(ROW()-ROW($B$6), code!$G$51:$K$1483, 3, 0) )</f>
        <v/>
      </c>
      <c r="F36" s="99" t="str">
        <f ca="1">IF($B36="", "", VLOOKUP(ROW()-ROW($B$6), code!$G$51:$K$1483, 4, 0))</f>
        <v/>
      </c>
      <c r="G36" s="100" t="str">
        <f ca="1">IF($B36="", "", IF(_xll.IMDP("IR", $B36, G$6, $C$4, "fill=true")=0, "", _xll.IMDP("IR", $B36, G$6, $C$4, "fill=true")))</f>
        <v/>
      </c>
      <c r="H36" s="101" t="str">
        <f ca="1">IF($B36="", "", IF(_xll.IMDP("IR", $B36, H$6, $C$4, "fill=true")=0, "", _xll.IMDP("IR", $B36, H$6, $C$4, "fill=true")))</f>
        <v/>
      </c>
      <c r="I36" s="101" t="str">
        <f ca="1">IF($B36="", "", IF(_xll.IMDP("IR", $B36, I$6, $C$4, "fill=true")=0, "", _xll.IMDP("IR", $B36, I$6, $C$4, "fill=true")))</f>
        <v/>
      </c>
      <c r="J36" s="101" t="str">
        <f ca="1">IF($B36="", "", IF(_xll.IMDP("IR", $B36, J$6, $C$4, "fill=true")=0, "", _xll.IMDP("IR", $B36, J$6, $C$4, "fill=true")))</f>
        <v/>
      </c>
      <c r="K36" s="101" t="str">
        <f ca="1">IF($B36="", "", IF(_xll.IMDP("IR", $B36, K$6, $C$4, "fill=true")=0, "", _xll.IMDP("IR", $B36, K$6, $C$4, "fill=true")))</f>
        <v/>
      </c>
      <c r="L36" s="101" t="str">
        <f ca="1">IF($B36="", "", IF(_xll.IMDP("IR", $B36, L$6, $C$4, "fill=true")=0, "", _xll.IMDP("IR", $B36, L$6, $C$4, "fill=true")))</f>
        <v/>
      </c>
      <c r="M36" s="101" t="str">
        <f ca="1">IF($B36="", "", IF(_xll.IMDP("IR", $B36, M$6, $C$4, "fill=true")=0, "", _xll.IMDP("IR", $B36, M$6, $C$4, "fill=true")))</f>
        <v/>
      </c>
      <c r="N36" s="101" t="str">
        <f ca="1">IF($B36="", "", IF(_xll.IMDP("IR", $B36, N$6, $C$4, "fill=true")=0, "", _xll.IMDP("IR", $B36, N$6, $C$4, "fill=true")))</f>
        <v/>
      </c>
      <c r="O36" s="101" t="str">
        <f ca="1">IF($B36="", "", IF(_xll.IMDP("IR", $B36, O$6, $C$4, "fill=true")=0, "", _xll.IMDP("IR", $B36, O$6, $C$4, "fill=true")))</f>
        <v/>
      </c>
      <c r="P36" s="101" t="str">
        <f ca="1">IF($B36="", "", IF(_xll.IMDP("IR", $B36, P$6, $C$4, "fill=true")=0, "", _xll.IMDP("IR", $B36, P$6, $C$4, "fill=true")))</f>
        <v/>
      </c>
      <c r="Q36" s="102" t="str">
        <f ca="1">IF($B36="", "", IF(_xll.IMDP("IR", $B36, Q$6, $C$4, "fill=true")=0, "", _xll.IMDP("IR", $B36, Q$6, $C$4, "fill=true")))</f>
        <v/>
      </c>
    </row>
    <row r="37" spans="2:17" s="83" customFormat="1" ht="13.5">
      <c r="B37" s="83" t="str">
        <f ca="1">IFERROR( VLOOKUP(ROW()-ROW($B$6), code!$G$51:$K$1483, 5, 0), "")</f>
        <v/>
      </c>
      <c r="C37" s="96" t="str">
        <f ca="1">IF($B37="", "", _xll.IMDP("IR", $B37, "1일", $C$4, "fill=true, disp=date"))</f>
        <v/>
      </c>
      <c r="D37" s="97" t="str">
        <f ca="1">IF($B37="", "", VLOOKUP(ROW()-ROW($B$6), code!$G$51:$K$1483, 2, 0) )</f>
        <v/>
      </c>
      <c r="E37" s="98" t="str">
        <f ca="1">IF($B37="", "", VLOOKUP(ROW()-ROW($B$6), code!$G$51:$K$1483, 3, 0) )</f>
        <v/>
      </c>
      <c r="F37" s="99" t="str">
        <f ca="1">IF($B37="", "", VLOOKUP(ROW()-ROW($B$6), code!$G$51:$K$1483, 4, 0))</f>
        <v/>
      </c>
      <c r="G37" s="100" t="str">
        <f ca="1">IF($B37="", "", IF(_xll.IMDP("IR", $B37, G$6, $C$4, "fill=true")=0, "", _xll.IMDP("IR", $B37, G$6, $C$4, "fill=true")))</f>
        <v/>
      </c>
      <c r="H37" s="101" t="str">
        <f ca="1">IF($B37="", "", IF(_xll.IMDP("IR", $B37, H$6, $C$4, "fill=true")=0, "", _xll.IMDP("IR", $B37, H$6, $C$4, "fill=true")))</f>
        <v/>
      </c>
      <c r="I37" s="101" t="str">
        <f ca="1">IF($B37="", "", IF(_xll.IMDP("IR", $B37, I$6, $C$4, "fill=true")=0, "", _xll.IMDP("IR", $B37, I$6, $C$4, "fill=true")))</f>
        <v/>
      </c>
      <c r="J37" s="101" t="str">
        <f ca="1">IF($B37="", "", IF(_xll.IMDP("IR", $B37, J$6, $C$4, "fill=true")=0, "", _xll.IMDP("IR", $B37, J$6, $C$4, "fill=true")))</f>
        <v/>
      </c>
      <c r="K37" s="101" t="str">
        <f ca="1">IF($B37="", "", IF(_xll.IMDP("IR", $B37, K$6, $C$4, "fill=true")=0, "", _xll.IMDP("IR", $B37, K$6, $C$4, "fill=true")))</f>
        <v/>
      </c>
      <c r="L37" s="101" t="str">
        <f ca="1">IF($B37="", "", IF(_xll.IMDP("IR", $B37, L$6, $C$4, "fill=true")=0, "", _xll.IMDP("IR", $B37, L$6, $C$4, "fill=true")))</f>
        <v/>
      </c>
      <c r="M37" s="101" t="str">
        <f ca="1">IF($B37="", "", IF(_xll.IMDP("IR", $B37, M$6, $C$4, "fill=true")=0, "", _xll.IMDP("IR", $B37, M$6, $C$4, "fill=true")))</f>
        <v/>
      </c>
      <c r="N37" s="101" t="str">
        <f ca="1">IF($B37="", "", IF(_xll.IMDP("IR", $B37, N$6, $C$4, "fill=true")=0, "", _xll.IMDP("IR", $B37, N$6, $C$4, "fill=true")))</f>
        <v/>
      </c>
      <c r="O37" s="101" t="str">
        <f ca="1">IF($B37="", "", IF(_xll.IMDP("IR", $B37, O$6, $C$4, "fill=true")=0, "", _xll.IMDP("IR", $B37, O$6, $C$4, "fill=true")))</f>
        <v/>
      </c>
      <c r="P37" s="101" t="str">
        <f ca="1">IF($B37="", "", IF(_xll.IMDP("IR", $B37, P$6, $C$4, "fill=true")=0, "", _xll.IMDP("IR", $B37, P$6, $C$4, "fill=true")))</f>
        <v/>
      </c>
      <c r="Q37" s="102" t="str">
        <f ca="1">IF($B37="", "", IF(_xll.IMDP("IR", $B37, Q$6, $C$4, "fill=true")=0, "", _xll.IMDP("IR", $B37, Q$6, $C$4, "fill=true")))</f>
        <v/>
      </c>
    </row>
    <row r="38" spans="2:17" s="83" customFormat="1" ht="13.5">
      <c r="B38" s="83" t="str">
        <f ca="1">IFERROR( VLOOKUP(ROW()-ROW($B$6), code!$G$51:$K$1483, 5, 0), "")</f>
        <v/>
      </c>
      <c r="C38" s="96" t="str">
        <f ca="1">IF($B38="", "", _xll.IMDP("IR", $B38, "1일", $C$4, "fill=true, disp=date"))</f>
        <v/>
      </c>
      <c r="D38" s="97" t="str">
        <f ca="1">IF($B38="", "", VLOOKUP(ROW()-ROW($B$6), code!$G$51:$K$1483, 2, 0) )</f>
        <v/>
      </c>
      <c r="E38" s="98" t="str">
        <f ca="1">IF($B38="", "", VLOOKUP(ROW()-ROW($B$6), code!$G$51:$K$1483, 3, 0) )</f>
        <v/>
      </c>
      <c r="F38" s="99" t="str">
        <f ca="1">IF($B38="", "", VLOOKUP(ROW()-ROW($B$6), code!$G$51:$K$1483, 4, 0))</f>
        <v/>
      </c>
      <c r="G38" s="100" t="str">
        <f ca="1">IF($B38="", "", IF(_xll.IMDP("IR", $B38, G$6, $C$4, "fill=true")=0, "", _xll.IMDP("IR", $B38, G$6, $C$4, "fill=true")))</f>
        <v/>
      </c>
      <c r="H38" s="101" t="str">
        <f ca="1">IF($B38="", "", IF(_xll.IMDP("IR", $B38, H$6, $C$4, "fill=true")=0, "", _xll.IMDP("IR", $B38, H$6, $C$4, "fill=true")))</f>
        <v/>
      </c>
      <c r="I38" s="101" t="str">
        <f ca="1">IF($B38="", "", IF(_xll.IMDP("IR", $B38, I$6, $C$4, "fill=true")=0, "", _xll.IMDP("IR", $B38, I$6, $C$4, "fill=true")))</f>
        <v/>
      </c>
      <c r="J38" s="101" t="str">
        <f ca="1">IF($B38="", "", IF(_xll.IMDP("IR", $B38, J$6, $C$4, "fill=true")=0, "", _xll.IMDP("IR", $B38, J$6, $C$4, "fill=true")))</f>
        <v/>
      </c>
      <c r="K38" s="101" t="str">
        <f ca="1">IF($B38="", "", IF(_xll.IMDP("IR", $B38, K$6, $C$4, "fill=true")=0, "", _xll.IMDP("IR", $B38, K$6, $C$4, "fill=true")))</f>
        <v/>
      </c>
      <c r="L38" s="101" t="str">
        <f ca="1">IF($B38="", "", IF(_xll.IMDP("IR", $B38, L$6, $C$4, "fill=true")=0, "", _xll.IMDP("IR", $B38, L$6, $C$4, "fill=true")))</f>
        <v/>
      </c>
      <c r="M38" s="101" t="str">
        <f ca="1">IF($B38="", "", IF(_xll.IMDP("IR", $B38, M$6, $C$4, "fill=true")=0, "", _xll.IMDP("IR", $B38, M$6, $C$4, "fill=true")))</f>
        <v/>
      </c>
      <c r="N38" s="101" t="str">
        <f ca="1">IF($B38="", "", IF(_xll.IMDP("IR", $B38, N$6, $C$4, "fill=true")=0, "", _xll.IMDP("IR", $B38, N$6, $C$4, "fill=true")))</f>
        <v/>
      </c>
      <c r="O38" s="101" t="str">
        <f ca="1">IF($B38="", "", IF(_xll.IMDP("IR", $B38, O$6, $C$4, "fill=true")=0, "", _xll.IMDP("IR", $B38, O$6, $C$4, "fill=true")))</f>
        <v/>
      </c>
      <c r="P38" s="101" t="str">
        <f ca="1">IF($B38="", "", IF(_xll.IMDP("IR", $B38, P$6, $C$4, "fill=true")=0, "", _xll.IMDP("IR", $B38, P$6, $C$4, "fill=true")))</f>
        <v/>
      </c>
      <c r="Q38" s="102" t="str">
        <f ca="1">IF($B38="", "", IF(_xll.IMDP("IR", $B38, Q$6, $C$4, "fill=true")=0, "", _xll.IMDP("IR", $B38, Q$6, $C$4, "fill=true")))</f>
        <v/>
      </c>
    </row>
    <row r="39" spans="2:17" s="83" customFormat="1" ht="13.5">
      <c r="B39" s="83" t="str">
        <f ca="1">IFERROR( VLOOKUP(ROW()-ROW($B$6), code!$G$51:$K$1483, 5, 0), "")</f>
        <v/>
      </c>
      <c r="C39" s="96" t="str">
        <f ca="1">IF($B39="", "", _xll.IMDP("IR", $B39, "1일", $C$4, "fill=true, disp=date"))</f>
        <v/>
      </c>
      <c r="D39" s="97" t="str">
        <f ca="1">IF($B39="", "", VLOOKUP(ROW()-ROW($B$6), code!$G$51:$K$1483, 2, 0) )</f>
        <v/>
      </c>
      <c r="E39" s="98" t="str">
        <f ca="1">IF($B39="", "", VLOOKUP(ROW()-ROW($B$6), code!$G$51:$K$1483, 3, 0) )</f>
        <v/>
      </c>
      <c r="F39" s="99" t="str">
        <f ca="1">IF($B39="", "", VLOOKUP(ROW()-ROW($B$6), code!$G$51:$K$1483, 4, 0))</f>
        <v/>
      </c>
      <c r="G39" s="100" t="str">
        <f ca="1">IF($B39="", "", IF(_xll.IMDP("IR", $B39, G$6, $C$4, "fill=true")=0, "", _xll.IMDP("IR", $B39, G$6, $C$4, "fill=true")))</f>
        <v/>
      </c>
      <c r="H39" s="101" t="str">
        <f ca="1">IF($B39="", "", IF(_xll.IMDP("IR", $B39, H$6, $C$4, "fill=true")=0, "", _xll.IMDP("IR", $B39, H$6, $C$4, "fill=true")))</f>
        <v/>
      </c>
      <c r="I39" s="101" t="str">
        <f ca="1">IF($B39="", "", IF(_xll.IMDP("IR", $B39, I$6, $C$4, "fill=true")=0, "", _xll.IMDP("IR", $B39, I$6, $C$4, "fill=true")))</f>
        <v/>
      </c>
      <c r="J39" s="101" t="str">
        <f ca="1">IF($B39="", "", IF(_xll.IMDP("IR", $B39, J$6, $C$4, "fill=true")=0, "", _xll.IMDP("IR", $B39, J$6, $C$4, "fill=true")))</f>
        <v/>
      </c>
      <c r="K39" s="101" t="str">
        <f ca="1">IF($B39="", "", IF(_xll.IMDP("IR", $B39, K$6, $C$4, "fill=true")=0, "", _xll.IMDP("IR", $B39, K$6, $C$4, "fill=true")))</f>
        <v/>
      </c>
      <c r="L39" s="101" t="str">
        <f ca="1">IF($B39="", "", IF(_xll.IMDP("IR", $B39, L$6, $C$4, "fill=true")=0, "", _xll.IMDP("IR", $B39, L$6, $C$4, "fill=true")))</f>
        <v/>
      </c>
      <c r="M39" s="101" t="str">
        <f ca="1">IF($B39="", "", IF(_xll.IMDP("IR", $B39, M$6, $C$4, "fill=true")=0, "", _xll.IMDP("IR", $B39, M$6, $C$4, "fill=true")))</f>
        <v/>
      </c>
      <c r="N39" s="101" t="str">
        <f ca="1">IF($B39="", "", IF(_xll.IMDP("IR", $B39, N$6, $C$4, "fill=true")=0, "", _xll.IMDP("IR", $B39, N$6, $C$4, "fill=true")))</f>
        <v/>
      </c>
      <c r="O39" s="101" t="str">
        <f ca="1">IF($B39="", "", IF(_xll.IMDP("IR", $B39, O$6, $C$4, "fill=true")=0, "", _xll.IMDP("IR", $B39, O$6, $C$4, "fill=true")))</f>
        <v/>
      </c>
      <c r="P39" s="101" t="str">
        <f ca="1">IF($B39="", "", IF(_xll.IMDP("IR", $B39, P$6, $C$4, "fill=true")=0, "", _xll.IMDP("IR", $B39, P$6, $C$4, "fill=true")))</f>
        <v/>
      </c>
      <c r="Q39" s="102" t="str">
        <f ca="1">IF($B39="", "", IF(_xll.IMDP("IR", $B39, Q$6, $C$4, "fill=true")=0, "", _xll.IMDP("IR", $B39, Q$6, $C$4, "fill=true")))</f>
        <v/>
      </c>
    </row>
    <row r="40" spans="2:17" s="83" customFormat="1" ht="13.5">
      <c r="B40" s="83" t="str">
        <f ca="1">IFERROR( VLOOKUP(ROW()-ROW($B$6), code!$G$51:$K$1483, 5, 0), "")</f>
        <v/>
      </c>
      <c r="C40" s="96" t="str">
        <f ca="1">IF($B40="", "", _xll.IMDP("IR", $B40, "1일", $C$4, "fill=true, disp=date"))</f>
        <v/>
      </c>
      <c r="D40" s="97" t="str">
        <f ca="1">IF($B40="", "", VLOOKUP(ROW()-ROW($B$6), code!$G$51:$K$1483, 2, 0) )</f>
        <v/>
      </c>
      <c r="E40" s="98" t="str">
        <f ca="1">IF($B40="", "", VLOOKUP(ROW()-ROW($B$6), code!$G$51:$K$1483, 3, 0) )</f>
        <v/>
      </c>
      <c r="F40" s="99" t="str">
        <f ca="1">IF($B40="", "", VLOOKUP(ROW()-ROW($B$6), code!$G$51:$K$1483, 4, 0))</f>
        <v/>
      </c>
      <c r="G40" s="100" t="str">
        <f ca="1">IF($B40="", "", IF(_xll.IMDP("IR", $B40, G$6, $C$4, "fill=true")=0, "", _xll.IMDP("IR", $B40, G$6, $C$4, "fill=true")))</f>
        <v/>
      </c>
      <c r="H40" s="101" t="str">
        <f ca="1">IF($B40="", "", IF(_xll.IMDP("IR", $B40, H$6, $C$4, "fill=true")=0, "", _xll.IMDP("IR", $B40, H$6, $C$4, "fill=true")))</f>
        <v/>
      </c>
      <c r="I40" s="101" t="str">
        <f ca="1">IF($B40="", "", IF(_xll.IMDP("IR", $B40, I$6, $C$4, "fill=true")=0, "", _xll.IMDP("IR", $B40, I$6, $C$4, "fill=true")))</f>
        <v/>
      </c>
      <c r="J40" s="101" t="str">
        <f ca="1">IF($B40="", "", IF(_xll.IMDP("IR", $B40, J$6, $C$4, "fill=true")=0, "", _xll.IMDP("IR", $B40, J$6, $C$4, "fill=true")))</f>
        <v/>
      </c>
      <c r="K40" s="101" t="str">
        <f ca="1">IF($B40="", "", IF(_xll.IMDP("IR", $B40, K$6, $C$4, "fill=true")=0, "", _xll.IMDP("IR", $B40, K$6, $C$4, "fill=true")))</f>
        <v/>
      </c>
      <c r="L40" s="101" t="str">
        <f ca="1">IF($B40="", "", IF(_xll.IMDP("IR", $B40, L$6, $C$4, "fill=true")=0, "", _xll.IMDP("IR", $B40, L$6, $C$4, "fill=true")))</f>
        <v/>
      </c>
      <c r="M40" s="101" t="str">
        <f ca="1">IF($B40="", "", IF(_xll.IMDP("IR", $B40, M$6, $C$4, "fill=true")=0, "", _xll.IMDP("IR", $B40, M$6, $C$4, "fill=true")))</f>
        <v/>
      </c>
      <c r="N40" s="101" t="str">
        <f ca="1">IF($B40="", "", IF(_xll.IMDP("IR", $B40, N$6, $C$4, "fill=true")=0, "", _xll.IMDP("IR", $B40, N$6, $C$4, "fill=true")))</f>
        <v/>
      </c>
      <c r="O40" s="101" t="str">
        <f ca="1">IF($B40="", "", IF(_xll.IMDP("IR", $B40, O$6, $C$4, "fill=true")=0, "", _xll.IMDP("IR", $B40, O$6, $C$4, "fill=true")))</f>
        <v/>
      </c>
      <c r="P40" s="101" t="str">
        <f ca="1">IF($B40="", "", IF(_xll.IMDP("IR", $B40, P$6, $C$4, "fill=true")=0, "", _xll.IMDP("IR", $B40, P$6, $C$4, "fill=true")))</f>
        <v/>
      </c>
      <c r="Q40" s="102" t="str">
        <f ca="1">IF($B40="", "", IF(_xll.IMDP("IR", $B40, Q$6, $C$4, "fill=true")=0, "", _xll.IMDP("IR", $B40, Q$6, $C$4, "fill=true")))</f>
        <v/>
      </c>
    </row>
    <row r="41" spans="2:17" s="83" customFormat="1" ht="13.5">
      <c r="B41" s="83" t="str">
        <f ca="1">IFERROR( VLOOKUP(ROW()-ROW($B$6), code!$G$51:$K$1483, 5, 0), "")</f>
        <v/>
      </c>
      <c r="C41" s="96" t="str">
        <f ca="1">IF($B41="", "", _xll.IMDP("IR", $B41, "1일", $C$4, "fill=true, disp=date"))</f>
        <v/>
      </c>
      <c r="D41" s="97" t="str">
        <f ca="1">IF($B41="", "", VLOOKUP(ROW()-ROW($B$6), code!$G$51:$K$1483, 2, 0) )</f>
        <v/>
      </c>
      <c r="E41" s="98" t="str">
        <f ca="1">IF($B41="", "", VLOOKUP(ROW()-ROW($B$6), code!$G$51:$K$1483, 3, 0) )</f>
        <v/>
      </c>
      <c r="F41" s="99" t="str">
        <f ca="1">IF($B41="", "", VLOOKUP(ROW()-ROW($B$6), code!$G$51:$K$1483, 4, 0))</f>
        <v/>
      </c>
      <c r="G41" s="100" t="str">
        <f ca="1">IF($B41="", "", IF(_xll.IMDP("IR", $B41, G$6, $C$4, "fill=true")=0, "", _xll.IMDP("IR", $B41, G$6, $C$4, "fill=true")))</f>
        <v/>
      </c>
      <c r="H41" s="101" t="str">
        <f ca="1">IF($B41="", "", IF(_xll.IMDP("IR", $B41, H$6, $C$4, "fill=true")=0, "", _xll.IMDP("IR", $B41, H$6, $C$4, "fill=true")))</f>
        <v/>
      </c>
      <c r="I41" s="101" t="str">
        <f ca="1">IF($B41="", "", IF(_xll.IMDP("IR", $B41, I$6, $C$4, "fill=true")=0, "", _xll.IMDP("IR", $B41, I$6, $C$4, "fill=true")))</f>
        <v/>
      </c>
      <c r="J41" s="101" t="str">
        <f ca="1">IF($B41="", "", IF(_xll.IMDP("IR", $B41, J$6, $C$4, "fill=true")=0, "", _xll.IMDP("IR", $B41, J$6, $C$4, "fill=true")))</f>
        <v/>
      </c>
      <c r="K41" s="101" t="str">
        <f ca="1">IF($B41="", "", IF(_xll.IMDP("IR", $B41, K$6, $C$4, "fill=true")=0, "", _xll.IMDP("IR", $B41, K$6, $C$4, "fill=true")))</f>
        <v/>
      </c>
      <c r="L41" s="101" t="str">
        <f ca="1">IF($B41="", "", IF(_xll.IMDP("IR", $B41, L$6, $C$4, "fill=true")=0, "", _xll.IMDP("IR", $B41, L$6, $C$4, "fill=true")))</f>
        <v/>
      </c>
      <c r="M41" s="101" t="str">
        <f ca="1">IF($B41="", "", IF(_xll.IMDP("IR", $B41, M$6, $C$4, "fill=true")=0, "", _xll.IMDP("IR", $B41, M$6, $C$4, "fill=true")))</f>
        <v/>
      </c>
      <c r="N41" s="101" t="str">
        <f ca="1">IF($B41="", "", IF(_xll.IMDP("IR", $B41, N$6, $C$4, "fill=true")=0, "", _xll.IMDP("IR", $B41, N$6, $C$4, "fill=true")))</f>
        <v/>
      </c>
      <c r="O41" s="101" t="str">
        <f ca="1">IF($B41="", "", IF(_xll.IMDP("IR", $B41, O$6, $C$4, "fill=true")=0, "", _xll.IMDP("IR", $B41, O$6, $C$4, "fill=true")))</f>
        <v/>
      </c>
      <c r="P41" s="101" t="str">
        <f ca="1">IF($B41="", "", IF(_xll.IMDP("IR", $B41, P$6, $C$4, "fill=true")=0, "", _xll.IMDP("IR", $B41, P$6, $C$4, "fill=true")))</f>
        <v/>
      </c>
      <c r="Q41" s="102" t="str">
        <f ca="1">IF($B41="", "", IF(_xll.IMDP("IR", $B41, Q$6, $C$4, "fill=true")=0, "", _xll.IMDP("IR", $B41, Q$6, $C$4, "fill=true")))</f>
        <v/>
      </c>
    </row>
    <row r="42" spans="2:17" s="83" customFormat="1" ht="13.5">
      <c r="B42" s="83" t="str">
        <f ca="1">IFERROR( VLOOKUP(ROW()-ROW($B$6), code!$G$51:$K$1483, 5, 0), "")</f>
        <v/>
      </c>
      <c r="C42" s="96" t="str">
        <f ca="1">IF($B42="", "", _xll.IMDP("IR", $B42, "1일", $C$4, "fill=true, disp=date"))</f>
        <v/>
      </c>
      <c r="D42" s="97" t="str">
        <f ca="1">IF($B42="", "", VLOOKUP(ROW()-ROW($B$6), code!$G$51:$K$1483, 2, 0) )</f>
        <v/>
      </c>
      <c r="E42" s="98" t="str">
        <f ca="1">IF($B42="", "", VLOOKUP(ROW()-ROW($B$6), code!$G$51:$K$1483, 3, 0) )</f>
        <v/>
      </c>
      <c r="F42" s="99" t="str">
        <f ca="1">IF($B42="", "", VLOOKUP(ROW()-ROW($B$6), code!$G$51:$K$1483, 4, 0))</f>
        <v/>
      </c>
      <c r="G42" s="100" t="str">
        <f ca="1">IF($B42="", "", IF(_xll.IMDP("IR", $B42, G$6, $C$4, "fill=true")=0, "", _xll.IMDP("IR", $B42, G$6, $C$4, "fill=true")))</f>
        <v/>
      </c>
      <c r="H42" s="101" t="str">
        <f ca="1">IF($B42="", "", IF(_xll.IMDP("IR", $B42, H$6, $C$4, "fill=true")=0, "", _xll.IMDP("IR", $B42, H$6, $C$4, "fill=true")))</f>
        <v/>
      </c>
      <c r="I42" s="101" t="str">
        <f ca="1">IF($B42="", "", IF(_xll.IMDP("IR", $B42, I$6, $C$4, "fill=true")=0, "", _xll.IMDP("IR", $B42, I$6, $C$4, "fill=true")))</f>
        <v/>
      </c>
      <c r="J42" s="101" t="str">
        <f ca="1">IF($B42="", "", IF(_xll.IMDP("IR", $B42, J$6, $C$4, "fill=true")=0, "", _xll.IMDP("IR", $B42, J$6, $C$4, "fill=true")))</f>
        <v/>
      </c>
      <c r="K42" s="101" t="str">
        <f ca="1">IF($B42="", "", IF(_xll.IMDP("IR", $B42, K$6, $C$4, "fill=true")=0, "", _xll.IMDP("IR", $B42, K$6, $C$4, "fill=true")))</f>
        <v/>
      </c>
      <c r="L42" s="101" t="str">
        <f ca="1">IF($B42="", "", IF(_xll.IMDP("IR", $B42, L$6, $C$4, "fill=true")=0, "", _xll.IMDP("IR", $B42, L$6, $C$4, "fill=true")))</f>
        <v/>
      </c>
      <c r="M42" s="101" t="str">
        <f ca="1">IF($B42="", "", IF(_xll.IMDP("IR", $B42, M$6, $C$4, "fill=true")=0, "", _xll.IMDP("IR", $B42, M$6, $C$4, "fill=true")))</f>
        <v/>
      </c>
      <c r="N42" s="101" t="str">
        <f ca="1">IF($B42="", "", IF(_xll.IMDP("IR", $B42, N$6, $C$4, "fill=true")=0, "", _xll.IMDP("IR", $B42, N$6, $C$4, "fill=true")))</f>
        <v/>
      </c>
      <c r="O42" s="101" t="str">
        <f ca="1">IF($B42="", "", IF(_xll.IMDP("IR", $B42, O$6, $C$4, "fill=true")=0, "", _xll.IMDP("IR", $B42, O$6, $C$4, "fill=true")))</f>
        <v/>
      </c>
      <c r="P42" s="101" t="str">
        <f ca="1">IF($B42="", "", IF(_xll.IMDP("IR", $B42, P$6, $C$4, "fill=true")=0, "", _xll.IMDP("IR", $B42, P$6, $C$4, "fill=true")))</f>
        <v/>
      </c>
      <c r="Q42" s="102" t="str">
        <f ca="1">IF($B42="", "", IF(_xll.IMDP("IR", $B42, Q$6, $C$4, "fill=true")=0, "", _xll.IMDP("IR", $B42, Q$6, $C$4, "fill=true")))</f>
        <v/>
      </c>
    </row>
    <row r="43" spans="2:17" s="83" customFormat="1" ht="13.5">
      <c r="B43" s="83" t="str">
        <f ca="1">IFERROR( VLOOKUP(ROW()-ROW($B$6), code!$G$51:$K$1483, 5, 0), "")</f>
        <v/>
      </c>
      <c r="C43" s="96" t="str">
        <f ca="1">IF($B43="", "", _xll.IMDP("IR", $B43, "1일", $C$4, "fill=true, disp=date"))</f>
        <v/>
      </c>
      <c r="D43" s="97" t="str">
        <f ca="1">IF($B43="", "", VLOOKUP(ROW()-ROW($B$6), code!$G$51:$K$1483, 2, 0) )</f>
        <v/>
      </c>
      <c r="E43" s="98" t="str">
        <f ca="1">IF($B43="", "", VLOOKUP(ROW()-ROW($B$6), code!$G$51:$K$1483, 3, 0) )</f>
        <v/>
      </c>
      <c r="F43" s="99" t="str">
        <f ca="1">IF($B43="", "", VLOOKUP(ROW()-ROW($B$6), code!$G$51:$K$1483, 4, 0))</f>
        <v/>
      </c>
      <c r="G43" s="100" t="str">
        <f ca="1">IF($B43="", "", IF(_xll.IMDP("IR", $B43, G$6, $C$4, "fill=true")=0, "", _xll.IMDP("IR", $B43, G$6, $C$4, "fill=true")))</f>
        <v/>
      </c>
      <c r="H43" s="101" t="str">
        <f ca="1">IF($B43="", "", IF(_xll.IMDP("IR", $B43, H$6, $C$4, "fill=true")=0, "", _xll.IMDP("IR", $B43, H$6, $C$4, "fill=true")))</f>
        <v/>
      </c>
      <c r="I43" s="101" t="str">
        <f ca="1">IF($B43="", "", IF(_xll.IMDP("IR", $B43, I$6, $C$4, "fill=true")=0, "", _xll.IMDP("IR", $B43, I$6, $C$4, "fill=true")))</f>
        <v/>
      </c>
      <c r="J43" s="101" t="str">
        <f ca="1">IF($B43="", "", IF(_xll.IMDP("IR", $B43, J$6, $C$4, "fill=true")=0, "", _xll.IMDP("IR", $B43, J$6, $C$4, "fill=true")))</f>
        <v/>
      </c>
      <c r="K43" s="101" t="str">
        <f ca="1">IF($B43="", "", IF(_xll.IMDP("IR", $B43, K$6, $C$4, "fill=true")=0, "", _xll.IMDP("IR", $B43, K$6, $C$4, "fill=true")))</f>
        <v/>
      </c>
      <c r="L43" s="101" t="str">
        <f ca="1">IF($B43="", "", IF(_xll.IMDP("IR", $B43, L$6, $C$4, "fill=true")=0, "", _xll.IMDP("IR", $B43, L$6, $C$4, "fill=true")))</f>
        <v/>
      </c>
      <c r="M43" s="101" t="str">
        <f ca="1">IF($B43="", "", IF(_xll.IMDP("IR", $B43, M$6, $C$4, "fill=true")=0, "", _xll.IMDP("IR", $B43, M$6, $C$4, "fill=true")))</f>
        <v/>
      </c>
      <c r="N43" s="101" t="str">
        <f ca="1">IF($B43="", "", IF(_xll.IMDP("IR", $B43, N$6, $C$4, "fill=true")=0, "", _xll.IMDP("IR", $B43, N$6, $C$4, "fill=true")))</f>
        <v/>
      </c>
      <c r="O43" s="101" t="str">
        <f ca="1">IF($B43="", "", IF(_xll.IMDP("IR", $B43, O$6, $C$4, "fill=true")=0, "", _xll.IMDP("IR", $B43, O$6, $C$4, "fill=true")))</f>
        <v/>
      </c>
      <c r="P43" s="101" t="str">
        <f ca="1">IF($B43="", "", IF(_xll.IMDP("IR", $B43, P$6, $C$4, "fill=true")=0, "", _xll.IMDP("IR", $B43, P$6, $C$4, "fill=true")))</f>
        <v/>
      </c>
      <c r="Q43" s="102" t="str">
        <f ca="1">IF($B43="", "", IF(_xll.IMDP("IR", $B43, Q$6, $C$4, "fill=true")=0, "", _xll.IMDP("IR", $B43, Q$6, $C$4, "fill=true")))</f>
        <v/>
      </c>
    </row>
    <row r="44" spans="2:17" s="83" customFormat="1" ht="13.5">
      <c r="B44" s="83" t="str">
        <f ca="1">IFERROR( VLOOKUP(ROW()-ROW($B$6), code!$G$51:$K$1483, 5, 0), "")</f>
        <v/>
      </c>
      <c r="C44" s="96" t="str">
        <f ca="1">IF($B44="", "", _xll.IMDP("IR", $B44, "1일", $C$4, "fill=true, disp=date"))</f>
        <v/>
      </c>
      <c r="D44" s="97" t="str">
        <f ca="1">IF($B44="", "", VLOOKUP(ROW()-ROW($B$6), code!$G$51:$K$1483, 2, 0) )</f>
        <v/>
      </c>
      <c r="E44" s="98" t="str">
        <f ca="1">IF($B44="", "", VLOOKUP(ROW()-ROW($B$6), code!$G$51:$K$1483, 3, 0) )</f>
        <v/>
      </c>
      <c r="F44" s="99" t="str">
        <f ca="1">IF($B44="", "", VLOOKUP(ROW()-ROW($B$6), code!$G$51:$K$1483, 4, 0))</f>
        <v/>
      </c>
      <c r="G44" s="100" t="str">
        <f ca="1">IF($B44="", "", IF(_xll.IMDP("IR", $B44, G$6, $C$4, "fill=true")=0, "", _xll.IMDP("IR", $B44, G$6, $C$4, "fill=true")))</f>
        <v/>
      </c>
      <c r="H44" s="101" t="str">
        <f ca="1">IF($B44="", "", IF(_xll.IMDP("IR", $B44, H$6, $C$4, "fill=true")=0, "", _xll.IMDP("IR", $B44, H$6, $C$4, "fill=true")))</f>
        <v/>
      </c>
      <c r="I44" s="101" t="str">
        <f ca="1">IF($B44="", "", IF(_xll.IMDP("IR", $B44, I$6, $C$4, "fill=true")=0, "", _xll.IMDP("IR", $B44, I$6, $C$4, "fill=true")))</f>
        <v/>
      </c>
      <c r="J44" s="101" t="str">
        <f ca="1">IF($B44="", "", IF(_xll.IMDP("IR", $B44, J$6, $C$4, "fill=true")=0, "", _xll.IMDP("IR", $B44, J$6, $C$4, "fill=true")))</f>
        <v/>
      </c>
      <c r="K44" s="101" t="str">
        <f ca="1">IF($B44="", "", IF(_xll.IMDP("IR", $B44, K$6, $C$4, "fill=true")=0, "", _xll.IMDP("IR", $B44, K$6, $C$4, "fill=true")))</f>
        <v/>
      </c>
      <c r="L44" s="101" t="str">
        <f ca="1">IF($B44="", "", IF(_xll.IMDP("IR", $B44, L$6, $C$4, "fill=true")=0, "", _xll.IMDP("IR", $B44, L$6, $C$4, "fill=true")))</f>
        <v/>
      </c>
      <c r="M44" s="101" t="str">
        <f ca="1">IF($B44="", "", IF(_xll.IMDP("IR", $B44, M$6, $C$4, "fill=true")=0, "", _xll.IMDP("IR", $B44, M$6, $C$4, "fill=true")))</f>
        <v/>
      </c>
      <c r="N44" s="101" t="str">
        <f ca="1">IF($B44="", "", IF(_xll.IMDP("IR", $B44, N$6, $C$4, "fill=true")=0, "", _xll.IMDP("IR", $B44, N$6, $C$4, "fill=true")))</f>
        <v/>
      </c>
      <c r="O44" s="101" t="str">
        <f ca="1">IF($B44="", "", IF(_xll.IMDP("IR", $B44, O$6, $C$4, "fill=true")=0, "", _xll.IMDP("IR", $B44, O$6, $C$4, "fill=true")))</f>
        <v/>
      </c>
      <c r="P44" s="101" t="str">
        <f ca="1">IF($B44="", "", IF(_xll.IMDP("IR", $B44, P$6, $C$4, "fill=true")=0, "", _xll.IMDP("IR", $B44, P$6, $C$4, "fill=true")))</f>
        <v/>
      </c>
      <c r="Q44" s="102" t="str">
        <f ca="1">IF($B44="", "", IF(_xll.IMDP("IR", $B44, Q$6, $C$4, "fill=true")=0, "", _xll.IMDP("IR", $B44, Q$6, $C$4, "fill=true")))</f>
        <v/>
      </c>
    </row>
    <row r="45" spans="2:17" s="83" customFormat="1" ht="13.5">
      <c r="B45" s="83" t="str">
        <f ca="1">IFERROR( VLOOKUP(ROW()-ROW($B$6), code!$G$51:$K$1483, 5, 0), "")</f>
        <v/>
      </c>
      <c r="C45" s="96" t="str">
        <f ca="1">IF($B45="", "", _xll.IMDP("IR", $B45, "1일", $C$4, "fill=true, disp=date"))</f>
        <v/>
      </c>
      <c r="D45" s="97" t="str">
        <f ca="1">IF($B45="", "", VLOOKUP(ROW()-ROW($B$6), code!$G$51:$K$1483, 2, 0) )</f>
        <v/>
      </c>
      <c r="E45" s="98" t="str">
        <f ca="1">IF($B45="", "", VLOOKUP(ROW()-ROW($B$6), code!$G$51:$K$1483, 3, 0) )</f>
        <v/>
      </c>
      <c r="F45" s="99" t="str">
        <f ca="1">IF($B45="", "", VLOOKUP(ROW()-ROW($B$6), code!$G$51:$K$1483, 4, 0))</f>
        <v/>
      </c>
      <c r="G45" s="100" t="str">
        <f ca="1">IF($B45="", "", IF(_xll.IMDP("IR", $B45, G$6, $C$4, "fill=true")=0, "", _xll.IMDP("IR", $B45, G$6, $C$4, "fill=true")))</f>
        <v/>
      </c>
      <c r="H45" s="101" t="str">
        <f ca="1">IF($B45="", "", IF(_xll.IMDP("IR", $B45, H$6, $C$4, "fill=true")=0, "", _xll.IMDP("IR", $B45, H$6, $C$4, "fill=true")))</f>
        <v/>
      </c>
      <c r="I45" s="101" t="str">
        <f ca="1">IF($B45="", "", IF(_xll.IMDP("IR", $B45, I$6, $C$4, "fill=true")=0, "", _xll.IMDP("IR", $B45, I$6, $C$4, "fill=true")))</f>
        <v/>
      </c>
      <c r="J45" s="101" t="str">
        <f ca="1">IF($B45="", "", IF(_xll.IMDP("IR", $B45, J$6, $C$4, "fill=true")=0, "", _xll.IMDP("IR", $B45, J$6, $C$4, "fill=true")))</f>
        <v/>
      </c>
      <c r="K45" s="101" t="str">
        <f ca="1">IF($B45="", "", IF(_xll.IMDP("IR", $B45, K$6, $C$4, "fill=true")=0, "", _xll.IMDP("IR", $B45, K$6, $C$4, "fill=true")))</f>
        <v/>
      </c>
      <c r="L45" s="101" t="str">
        <f ca="1">IF($B45="", "", IF(_xll.IMDP("IR", $B45, L$6, $C$4, "fill=true")=0, "", _xll.IMDP("IR", $B45, L$6, $C$4, "fill=true")))</f>
        <v/>
      </c>
      <c r="M45" s="101" t="str">
        <f ca="1">IF($B45="", "", IF(_xll.IMDP("IR", $B45, M$6, $C$4, "fill=true")=0, "", _xll.IMDP("IR", $B45, M$6, $C$4, "fill=true")))</f>
        <v/>
      </c>
      <c r="N45" s="101" t="str">
        <f ca="1">IF($B45="", "", IF(_xll.IMDP("IR", $B45, N$6, $C$4, "fill=true")=0, "", _xll.IMDP("IR", $B45, N$6, $C$4, "fill=true")))</f>
        <v/>
      </c>
      <c r="O45" s="101" t="str">
        <f ca="1">IF($B45="", "", IF(_xll.IMDP("IR", $B45, O$6, $C$4, "fill=true")=0, "", _xll.IMDP("IR", $B45, O$6, $C$4, "fill=true")))</f>
        <v/>
      </c>
      <c r="P45" s="101" t="str">
        <f ca="1">IF($B45="", "", IF(_xll.IMDP("IR", $B45, P$6, $C$4, "fill=true")=0, "", _xll.IMDP("IR", $B45, P$6, $C$4, "fill=true")))</f>
        <v/>
      </c>
      <c r="Q45" s="102" t="str">
        <f ca="1">IF($B45="", "", IF(_xll.IMDP("IR", $B45, Q$6, $C$4, "fill=true")=0, "", _xll.IMDP("IR", $B45, Q$6, $C$4, "fill=true")))</f>
        <v/>
      </c>
    </row>
    <row r="46" spans="2:17" s="83" customFormat="1" ht="13.5">
      <c r="B46" s="83" t="str">
        <f ca="1">IFERROR( VLOOKUP(ROW()-ROW($B$6), code!$G$51:$K$1483, 5, 0), "")</f>
        <v/>
      </c>
      <c r="C46" s="96" t="str">
        <f ca="1">IF($B46="", "", _xll.IMDP("IR", $B46, "1일", $C$4, "fill=true, disp=date"))</f>
        <v/>
      </c>
      <c r="D46" s="97" t="str">
        <f ca="1">IF($B46="", "", VLOOKUP(ROW()-ROW($B$6), code!$G$51:$K$1483, 2, 0) )</f>
        <v/>
      </c>
      <c r="E46" s="98" t="str">
        <f ca="1">IF($B46="", "", VLOOKUP(ROW()-ROW($B$6), code!$G$51:$K$1483, 3, 0) )</f>
        <v/>
      </c>
      <c r="F46" s="99" t="str">
        <f ca="1">IF($B46="", "", VLOOKUP(ROW()-ROW($B$6), code!$G$51:$K$1483, 4, 0))</f>
        <v/>
      </c>
      <c r="G46" s="100" t="str">
        <f ca="1">IF($B46="", "", IF(_xll.IMDP("IR", $B46, G$6, $C$4, "fill=true")=0, "", _xll.IMDP("IR", $B46, G$6, $C$4, "fill=true")))</f>
        <v/>
      </c>
      <c r="H46" s="101" t="str">
        <f ca="1">IF($B46="", "", IF(_xll.IMDP("IR", $B46, H$6, $C$4, "fill=true")=0, "", _xll.IMDP("IR", $B46, H$6, $C$4, "fill=true")))</f>
        <v/>
      </c>
      <c r="I46" s="101" t="str">
        <f ca="1">IF($B46="", "", IF(_xll.IMDP("IR", $B46, I$6, $C$4, "fill=true")=0, "", _xll.IMDP("IR", $B46, I$6, $C$4, "fill=true")))</f>
        <v/>
      </c>
      <c r="J46" s="101" t="str">
        <f ca="1">IF($B46="", "", IF(_xll.IMDP("IR", $B46, J$6, $C$4, "fill=true")=0, "", _xll.IMDP("IR", $B46, J$6, $C$4, "fill=true")))</f>
        <v/>
      </c>
      <c r="K46" s="101" t="str">
        <f ca="1">IF($B46="", "", IF(_xll.IMDP("IR", $B46, K$6, $C$4, "fill=true")=0, "", _xll.IMDP("IR", $B46, K$6, $C$4, "fill=true")))</f>
        <v/>
      </c>
      <c r="L46" s="101" t="str">
        <f ca="1">IF($B46="", "", IF(_xll.IMDP("IR", $B46, L$6, $C$4, "fill=true")=0, "", _xll.IMDP("IR", $B46, L$6, $C$4, "fill=true")))</f>
        <v/>
      </c>
      <c r="M46" s="101" t="str">
        <f ca="1">IF($B46="", "", IF(_xll.IMDP("IR", $B46, M$6, $C$4, "fill=true")=0, "", _xll.IMDP("IR", $B46, M$6, $C$4, "fill=true")))</f>
        <v/>
      </c>
      <c r="N46" s="101" t="str">
        <f ca="1">IF($B46="", "", IF(_xll.IMDP("IR", $B46, N$6, $C$4, "fill=true")=0, "", _xll.IMDP("IR", $B46, N$6, $C$4, "fill=true")))</f>
        <v/>
      </c>
      <c r="O46" s="101" t="str">
        <f ca="1">IF($B46="", "", IF(_xll.IMDP("IR", $B46, O$6, $C$4, "fill=true")=0, "", _xll.IMDP("IR", $B46, O$6, $C$4, "fill=true")))</f>
        <v/>
      </c>
      <c r="P46" s="101" t="str">
        <f ca="1">IF($B46="", "", IF(_xll.IMDP("IR", $B46, P$6, $C$4, "fill=true")=0, "", _xll.IMDP("IR", $B46, P$6, $C$4, "fill=true")))</f>
        <v/>
      </c>
      <c r="Q46" s="102" t="str">
        <f ca="1">IF($B46="", "", IF(_xll.IMDP("IR", $B46, Q$6, $C$4, "fill=true")=0, "", _xll.IMDP("IR", $B46, Q$6, $C$4, "fill=true")))</f>
        <v/>
      </c>
    </row>
    <row r="47" spans="2:17" s="83" customFormat="1" ht="13.5">
      <c r="B47" s="83" t="str">
        <f ca="1">IFERROR( VLOOKUP(ROW()-ROW($B$6), code!$G$51:$K$1483, 5, 0), "")</f>
        <v/>
      </c>
      <c r="C47" s="96" t="str">
        <f ca="1">IF($B47="", "", _xll.IMDP("IR", $B47, "1일", $C$4, "fill=true, disp=date"))</f>
        <v/>
      </c>
      <c r="D47" s="97" t="str">
        <f ca="1">IF($B47="", "", VLOOKUP(ROW()-ROW($B$6), code!$G$51:$K$1483, 2, 0) )</f>
        <v/>
      </c>
      <c r="E47" s="98" t="str">
        <f ca="1">IF($B47="", "", VLOOKUP(ROW()-ROW($B$6), code!$G$51:$K$1483, 3, 0) )</f>
        <v/>
      </c>
      <c r="F47" s="99" t="str">
        <f ca="1">IF($B47="", "", VLOOKUP(ROW()-ROW($B$6), code!$G$51:$K$1483, 4, 0))</f>
        <v/>
      </c>
      <c r="G47" s="100" t="str">
        <f ca="1">IF($B47="", "", IF(_xll.IMDP("IR", $B47, G$6, $C$4, "fill=true")=0, "", _xll.IMDP("IR", $B47, G$6, $C$4, "fill=true")))</f>
        <v/>
      </c>
      <c r="H47" s="101" t="str">
        <f ca="1">IF($B47="", "", IF(_xll.IMDP("IR", $B47, H$6, $C$4, "fill=true")=0, "", _xll.IMDP("IR", $B47, H$6, $C$4, "fill=true")))</f>
        <v/>
      </c>
      <c r="I47" s="101" t="str">
        <f ca="1">IF($B47="", "", IF(_xll.IMDP("IR", $B47, I$6, $C$4, "fill=true")=0, "", _xll.IMDP("IR", $B47, I$6, $C$4, "fill=true")))</f>
        <v/>
      </c>
      <c r="J47" s="101" t="str">
        <f ca="1">IF($B47="", "", IF(_xll.IMDP("IR", $B47, J$6, $C$4, "fill=true")=0, "", _xll.IMDP("IR", $B47, J$6, $C$4, "fill=true")))</f>
        <v/>
      </c>
      <c r="K47" s="101" t="str">
        <f ca="1">IF($B47="", "", IF(_xll.IMDP("IR", $B47, K$6, $C$4, "fill=true")=0, "", _xll.IMDP("IR", $B47, K$6, $C$4, "fill=true")))</f>
        <v/>
      </c>
      <c r="L47" s="101" t="str">
        <f ca="1">IF($B47="", "", IF(_xll.IMDP("IR", $B47, L$6, $C$4, "fill=true")=0, "", _xll.IMDP("IR", $B47, L$6, $C$4, "fill=true")))</f>
        <v/>
      </c>
      <c r="M47" s="101" t="str">
        <f ca="1">IF($B47="", "", IF(_xll.IMDP("IR", $B47, M$6, $C$4, "fill=true")=0, "", _xll.IMDP("IR", $B47, M$6, $C$4, "fill=true")))</f>
        <v/>
      </c>
      <c r="N47" s="101" t="str">
        <f ca="1">IF($B47="", "", IF(_xll.IMDP("IR", $B47, N$6, $C$4, "fill=true")=0, "", _xll.IMDP("IR", $B47, N$6, $C$4, "fill=true")))</f>
        <v/>
      </c>
      <c r="O47" s="101" t="str">
        <f ca="1">IF($B47="", "", IF(_xll.IMDP("IR", $B47, O$6, $C$4, "fill=true")=0, "", _xll.IMDP("IR", $B47, O$6, $C$4, "fill=true")))</f>
        <v/>
      </c>
      <c r="P47" s="101" t="str">
        <f ca="1">IF($B47="", "", IF(_xll.IMDP("IR", $B47, P$6, $C$4, "fill=true")=0, "", _xll.IMDP("IR", $B47, P$6, $C$4, "fill=true")))</f>
        <v/>
      </c>
      <c r="Q47" s="102" t="str">
        <f ca="1">IF($B47="", "", IF(_xll.IMDP("IR", $B47, Q$6, $C$4, "fill=true")=0, "", _xll.IMDP("IR", $B47, Q$6, $C$4, "fill=true")))</f>
        <v/>
      </c>
    </row>
    <row r="48" spans="2:17" s="83" customFormat="1" ht="13.5">
      <c r="B48" s="83" t="str">
        <f ca="1">IFERROR( VLOOKUP(ROW()-ROW($B$6), code!$G$51:$K$1483, 5, 0), "")</f>
        <v/>
      </c>
      <c r="C48" s="96" t="str">
        <f ca="1">IF($B48="", "", _xll.IMDP("IR", $B48, "1일", $C$4, "fill=true, disp=date"))</f>
        <v/>
      </c>
      <c r="D48" s="97" t="str">
        <f ca="1">IF($B48="", "", VLOOKUP(ROW()-ROW($B$6), code!$G$51:$K$1483, 2, 0) )</f>
        <v/>
      </c>
      <c r="E48" s="98" t="str">
        <f ca="1">IF($B48="", "", VLOOKUP(ROW()-ROW($B$6), code!$G$51:$K$1483, 3, 0) )</f>
        <v/>
      </c>
      <c r="F48" s="99" t="str">
        <f ca="1">IF($B48="", "", VLOOKUP(ROW()-ROW($B$6), code!$G$51:$K$1483, 4, 0))</f>
        <v/>
      </c>
      <c r="G48" s="100" t="str">
        <f ca="1">IF($B48="", "", IF(_xll.IMDP("IR", $B48, G$6, $C$4, "fill=true")=0, "", _xll.IMDP("IR", $B48, G$6, $C$4, "fill=true")))</f>
        <v/>
      </c>
      <c r="H48" s="101" t="str">
        <f ca="1">IF($B48="", "", IF(_xll.IMDP("IR", $B48, H$6, $C$4, "fill=true")=0, "", _xll.IMDP("IR", $B48, H$6, $C$4, "fill=true")))</f>
        <v/>
      </c>
      <c r="I48" s="101" t="str">
        <f ca="1">IF($B48="", "", IF(_xll.IMDP("IR", $B48, I$6, $C$4, "fill=true")=0, "", _xll.IMDP("IR", $B48, I$6, $C$4, "fill=true")))</f>
        <v/>
      </c>
      <c r="J48" s="101" t="str">
        <f ca="1">IF($B48="", "", IF(_xll.IMDP("IR", $B48, J$6, $C$4, "fill=true")=0, "", _xll.IMDP("IR", $B48, J$6, $C$4, "fill=true")))</f>
        <v/>
      </c>
      <c r="K48" s="101" t="str">
        <f ca="1">IF($B48="", "", IF(_xll.IMDP("IR", $B48, K$6, $C$4, "fill=true")=0, "", _xll.IMDP("IR", $B48, K$6, $C$4, "fill=true")))</f>
        <v/>
      </c>
      <c r="L48" s="101" t="str">
        <f ca="1">IF($B48="", "", IF(_xll.IMDP("IR", $B48, L$6, $C$4, "fill=true")=0, "", _xll.IMDP("IR", $B48, L$6, $C$4, "fill=true")))</f>
        <v/>
      </c>
      <c r="M48" s="101" t="str">
        <f ca="1">IF($B48="", "", IF(_xll.IMDP("IR", $B48, M$6, $C$4, "fill=true")=0, "", _xll.IMDP("IR", $B48, M$6, $C$4, "fill=true")))</f>
        <v/>
      </c>
      <c r="N48" s="101" t="str">
        <f ca="1">IF($B48="", "", IF(_xll.IMDP("IR", $B48, N$6, $C$4, "fill=true")=0, "", _xll.IMDP("IR", $B48, N$6, $C$4, "fill=true")))</f>
        <v/>
      </c>
      <c r="O48" s="101" t="str">
        <f ca="1">IF($B48="", "", IF(_xll.IMDP("IR", $B48, O$6, $C$4, "fill=true")=0, "", _xll.IMDP("IR", $B48, O$6, $C$4, "fill=true")))</f>
        <v/>
      </c>
      <c r="P48" s="101" t="str">
        <f ca="1">IF($B48="", "", IF(_xll.IMDP("IR", $B48, P$6, $C$4, "fill=true")=0, "", _xll.IMDP("IR", $B48, P$6, $C$4, "fill=true")))</f>
        <v/>
      </c>
      <c r="Q48" s="102" t="str">
        <f ca="1">IF($B48="", "", IF(_xll.IMDP("IR", $B48, Q$6, $C$4, "fill=true")=0, "", _xll.IMDP("IR", $B48, Q$6, $C$4, "fill=true")))</f>
        <v/>
      </c>
    </row>
    <row r="49" spans="2:17" s="83" customFormat="1" ht="13.5">
      <c r="B49" s="83" t="str">
        <f ca="1">IFERROR( VLOOKUP(ROW()-ROW($B$6), code!$G$51:$K$1483, 5, 0), "")</f>
        <v/>
      </c>
      <c r="C49" s="96" t="str">
        <f ca="1">IF($B49="", "", _xll.IMDP("IR", $B49, "1일", $C$4, "fill=true, disp=date"))</f>
        <v/>
      </c>
      <c r="D49" s="97" t="str">
        <f ca="1">IF($B49="", "", VLOOKUP(ROW()-ROW($B$6), code!$G$51:$K$1483, 2, 0) )</f>
        <v/>
      </c>
      <c r="E49" s="98" t="str">
        <f ca="1">IF($B49="", "", VLOOKUP(ROW()-ROW($B$6), code!$G$51:$K$1483, 3, 0) )</f>
        <v/>
      </c>
      <c r="F49" s="99" t="str">
        <f ca="1">IF($B49="", "", VLOOKUP(ROW()-ROW($B$6), code!$G$51:$K$1483, 4, 0))</f>
        <v/>
      </c>
      <c r="G49" s="100" t="str">
        <f ca="1">IF($B49="", "", IF(_xll.IMDP("IR", $B49, G$6, $C$4, "fill=true")=0, "", _xll.IMDP("IR", $B49, G$6, $C$4, "fill=true")))</f>
        <v/>
      </c>
      <c r="H49" s="101" t="str">
        <f ca="1">IF($B49="", "", IF(_xll.IMDP("IR", $B49, H$6, $C$4, "fill=true")=0, "", _xll.IMDP("IR", $B49, H$6, $C$4, "fill=true")))</f>
        <v/>
      </c>
      <c r="I49" s="101" t="str">
        <f ca="1">IF($B49="", "", IF(_xll.IMDP("IR", $B49, I$6, $C$4, "fill=true")=0, "", _xll.IMDP("IR", $B49, I$6, $C$4, "fill=true")))</f>
        <v/>
      </c>
      <c r="J49" s="101" t="str">
        <f ca="1">IF($B49="", "", IF(_xll.IMDP("IR", $B49, J$6, $C$4, "fill=true")=0, "", _xll.IMDP("IR", $B49, J$6, $C$4, "fill=true")))</f>
        <v/>
      </c>
      <c r="K49" s="101" t="str">
        <f ca="1">IF($B49="", "", IF(_xll.IMDP("IR", $B49, K$6, $C$4, "fill=true")=0, "", _xll.IMDP("IR", $B49, K$6, $C$4, "fill=true")))</f>
        <v/>
      </c>
      <c r="L49" s="101" t="str">
        <f ca="1">IF($B49="", "", IF(_xll.IMDP("IR", $B49, L$6, $C$4, "fill=true")=0, "", _xll.IMDP("IR", $B49, L$6, $C$4, "fill=true")))</f>
        <v/>
      </c>
      <c r="M49" s="101" t="str">
        <f ca="1">IF($B49="", "", IF(_xll.IMDP("IR", $B49, M$6, $C$4, "fill=true")=0, "", _xll.IMDP("IR", $B49, M$6, $C$4, "fill=true")))</f>
        <v/>
      </c>
      <c r="N49" s="101" t="str">
        <f ca="1">IF($B49="", "", IF(_xll.IMDP("IR", $B49, N$6, $C$4, "fill=true")=0, "", _xll.IMDP("IR", $B49, N$6, $C$4, "fill=true")))</f>
        <v/>
      </c>
      <c r="O49" s="101" t="str">
        <f ca="1">IF($B49="", "", IF(_xll.IMDP("IR", $B49, O$6, $C$4, "fill=true")=0, "", _xll.IMDP("IR", $B49, O$6, $C$4, "fill=true")))</f>
        <v/>
      </c>
      <c r="P49" s="101" t="str">
        <f ca="1">IF($B49="", "", IF(_xll.IMDP("IR", $B49, P$6, $C$4, "fill=true")=0, "", _xll.IMDP("IR", $B49, P$6, $C$4, "fill=true")))</f>
        <v/>
      </c>
      <c r="Q49" s="102" t="str">
        <f ca="1">IF($B49="", "", IF(_xll.IMDP("IR", $B49, Q$6, $C$4, "fill=true")=0, "", _xll.IMDP("IR", $B49, Q$6, $C$4, "fill=true")))</f>
        <v/>
      </c>
    </row>
    <row r="50" spans="2:17" s="83" customFormat="1" ht="13.5">
      <c r="B50" s="83" t="str">
        <f ca="1">IFERROR( VLOOKUP(ROW()-ROW($B$6), code!$G$51:$K$1483, 5, 0), "")</f>
        <v/>
      </c>
      <c r="C50" s="96" t="str">
        <f ca="1">IF($B50="", "", _xll.IMDP("IR", $B50, "1일", $C$4, "fill=true, disp=date"))</f>
        <v/>
      </c>
      <c r="D50" s="97" t="str">
        <f ca="1">IF($B50="", "", VLOOKUP(ROW()-ROW($B$6), code!$G$51:$K$1483, 2, 0) )</f>
        <v/>
      </c>
      <c r="E50" s="98" t="str">
        <f ca="1">IF($B50="", "", VLOOKUP(ROW()-ROW($B$6), code!$G$51:$K$1483, 3, 0) )</f>
        <v/>
      </c>
      <c r="F50" s="99" t="str">
        <f ca="1">IF($B50="", "", VLOOKUP(ROW()-ROW($B$6), code!$G$51:$K$1483, 4, 0))</f>
        <v/>
      </c>
      <c r="G50" s="100" t="str">
        <f ca="1">IF($B50="", "", IF(_xll.IMDP("IR", $B50, G$6, $C$4, "fill=true")=0, "", _xll.IMDP("IR", $B50, G$6, $C$4, "fill=true")))</f>
        <v/>
      </c>
      <c r="H50" s="101" t="str">
        <f ca="1">IF($B50="", "", IF(_xll.IMDP("IR", $B50, H$6, $C$4, "fill=true")=0, "", _xll.IMDP("IR", $B50, H$6, $C$4, "fill=true")))</f>
        <v/>
      </c>
      <c r="I50" s="101" t="str">
        <f ca="1">IF($B50="", "", IF(_xll.IMDP("IR", $B50, I$6, $C$4, "fill=true")=0, "", _xll.IMDP("IR", $B50, I$6, $C$4, "fill=true")))</f>
        <v/>
      </c>
      <c r="J50" s="101" t="str">
        <f ca="1">IF($B50="", "", IF(_xll.IMDP("IR", $B50, J$6, $C$4, "fill=true")=0, "", _xll.IMDP("IR", $B50, J$6, $C$4, "fill=true")))</f>
        <v/>
      </c>
      <c r="K50" s="101" t="str">
        <f ca="1">IF($B50="", "", IF(_xll.IMDP("IR", $B50, K$6, $C$4, "fill=true")=0, "", _xll.IMDP("IR", $B50, K$6, $C$4, "fill=true")))</f>
        <v/>
      </c>
      <c r="L50" s="101" t="str">
        <f ca="1">IF($B50="", "", IF(_xll.IMDP("IR", $B50, L$6, $C$4, "fill=true")=0, "", _xll.IMDP("IR", $B50, L$6, $C$4, "fill=true")))</f>
        <v/>
      </c>
      <c r="M50" s="101" t="str">
        <f ca="1">IF($B50="", "", IF(_xll.IMDP("IR", $B50, M$6, $C$4, "fill=true")=0, "", _xll.IMDP("IR", $B50, M$6, $C$4, "fill=true")))</f>
        <v/>
      </c>
      <c r="N50" s="101" t="str">
        <f ca="1">IF($B50="", "", IF(_xll.IMDP("IR", $B50, N$6, $C$4, "fill=true")=0, "", _xll.IMDP("IR", $B50, N$6, $C$4, "fill=true")))</f>
        <v/>
      </c>
      <c r="O50" s="101" t="str">
        <f ca="1">IF($B50="", "", IF(_xll.IMDP("IR", $B50, O$6, $C$4, "fill=true")=0, "", _xll.IMDP("IR", $B50, O$6, $C$4, "fill=true")))</f>
        <v/>
      </c>
      <c r="P50" s="101" t="str">
        <f ca="1">IF($B50="", "", IF(_xll.IMDP("IR", $B50, P$6, $C$4, "fill=true")=0, "", _xll.IMDP("IR", $B50, P$6, $C$4, "fill=true")))</f>
        <v/>
      </c>
      <c r="Q50" s="102" t="str">
        <f ca="1">IF($B50="", "", IF(_xll.IMDP("IR", $B50, Q$6, $C$4, "fill=true")=0, "", _xll.IMDP("IR", $B50, Q$6, $C$4, "fill=true")))</f>
        <v/>
      </c>
    </row>
    <row r="51" spans="2:17" s="83" customFormat="1" ht="13.5">
      <c r="B51" s="83" t="str">
        <f ca="1">IFERROR( VLOOKUP(ROW()-ROW($B$6), code!$G$51:$K$1483, 5, 0), "")</f>
        <v/>
      </c>
      <c r="C51" s="96" t="str">
        <f ca="1">IF($B51="", "", _xll.IMDP("IR", $B51, "1일", $C$4, "fill=true, disp=date"))</f>
        <v/>
      </c>
      <c r="D51" s="97" t="str">
        <f ca="1">IF($B51="", "", VLOOKUP(ROW()-ROW($B$6), code!$G$51:$K$1483, 2, 0) )</f>
        <v/>
      </c>
      <c r="E51" s="98" t="str">
        <f ca="1">IF($B51="", "", VLOOKUP(ROW()-ROW($B$6), code!$G$51:$K$1483, 3, 0) )</f>
        <v/>
      </c>
      <c r="F51" s="99" t="str">
        <f ca="1">IF($B51="", "", VLOOKUP(ROW()-ROW($B$6), code!$G$51:$K$1483, 4, 0))</f>
        <v/>
      </c>
      <c r="G51" s="100" t="str">
        <f ca="1">IF($B51="", "", IF(_xll.IMDP("IR", $B51, G$6, $C$4, "fill=true")=0, "", _xll.IMDP("IR", $B51, G$6, $C$4, "fill=true")))</f>
        <v/>
      </c>
      <c r="H51" s="101" t="str">
        <f ca="1">IF($B51="", "", IF(_xll.IMDP("IR", $B51, H$6, $C$4, "fill=true")=0, "", _xll.IMDP("IR", $B51, H$6, $C$4, "fill=true")))</f>
        <v/>
      </c>
      <c r="I51" s="101" t="str">
        <f ca="1">IF($B51="", "", IF(_xll.IMDP("IR", $B51, I$6, $C$4, "fill=true")=0, "", _xll.IMDP("IR", $B51, I$6, $C$4, "fill=true")))</f>
        <v/>
      </c>
      <c r="J51" s="101" t="str">
        <f ca="1">IF($B51="", "", IF(_xll.IMDP("IR", $B51, J$6, $C$4, "fill=true")=0, "", _xll.IMDP("IR", $B51, J$6, $C$4, "fill=true")))</f>
        <v/>
      </c>
      <c r="K51" s="101" t="str">
        <f ca="1">IF($B51="", "", IF(_xll.IMDP("IR", $B51, K$6, $C$4, "fill=true")=0, "", _xll.IMDP("IR", $B51, K$6, $C$4, "fill=true")))</f>
        <v/>
      </c>
      <c r="L51" s="101" t="str">
        <f ca="1">IF($B51="", "", IF(_xll.IMDP("IR", $B51, L$6, $C$4, "fill=true")=0, "", _xll.IMDP("IR", $B51, L$6, $C$4, "fill=true")))</f>
        <v/>
      </c>
      <c r="M51" s="101" t="str">
        <f ca="1">IF($B51="", "", IF(_xll.IMDP("IR", $B51, M$6, $C$4, "fill=true")=0, "", _xll.IMDP("IR", $B51, M$6, $C$4, "fill=true")))</f>
        <v/>
      </c>
      <c r="N51" s="101" t="str">
        <f ca="1">IF($B51="", "", IF(_xll.IMDP("IR", $B51, N$6, $C$4, "fill=true")=0, "", _xll.IMDP("IR", $B51, N$6, $C$4, "fill=true")))</f>
        <v/>
      </c>
      <c r="O51" s="101" t="str">
        <f ca="1">IF($B51="", "", IF(_xll.IMDP("IR", $B51, O$6, $C$4, "fill=true")=0, "", _xll.IMDP("IR", $B51, O$6, $C$4, "fill=true")))</f>
        <v/>
      </c>
      <c r="P51" s="101" t="str">
        <f ca="1">IF($B51="", "", IF(_xll.IMDP("IR", $B51, P$6, $C$4, "fill=true")=0, "", _xll.IMDP("IR", $B51, P$6, $C$4, "fill=true")))</f>
        <v/>
      </c>
      <c r="Q51" s="102" t="str">
        <f ca="1">IF($B51="", "", IF(_xll.IMDP("IR", $B51, Q$6, $C$4, "fill=true")=0, "", _xll.IMDP("IR", $B51, Q$6, $C$4, "fill=true")))</f>
        <v/>
      </c>
    </row>
    <row r="52" spans="2:17" s="83" customFormat="1" ht="13.5">
      <c r="B52" s="83" t="str">
        <f ca="1">IFERROR( VLOOKUP(ROW()-ROW($B$6), code!$G$51:$K$1483, 5, 0), "")</f>
        <v/>
      </c>
      <c r="C52" s="96" t="str">
        <f ca="1">IF($B52="", "", _xll.IMDP("IR", $B52, "1일", $C$4, "fill=true, disp=date"))</f>
        <v/>
      </c>
      <c r="D52" s="97" t="str">
        <f ca="1">IF($B52="", "", VLOOKUP(ROW()-ROW($B$6), code!$G$51:$K$1483, 2, 0) )</f>
        <v/>
      </c>
      <c r="E52" s="98" t="str">
        <f ca="1">IF($B52="", "", VLOOKUP(ROW()-ROW($B$6), code!$G$51:$K$1483, 3, 0) )</f>
        <v/>
      </c>
      <c r="F52" s="99" t="str">
        <f ca="1">IF($B52="", "", VLOOKUP(ROW()-ROW($B$6), code!$G$51:$K$1483, 4, 0))</f>
        <v/>
      </c>
      <c r="G52" s="100" t="str">
        <f ca="1">IF($B52="", "", IF(_xll.IMDP("IR", $B52, G$6, $C$4, "fill=true")=0, "", _xll.IMDP("IR", $B52, G$6, $C$4, "fill=true")))</f>
        <v/>
      </c>
      <c r="H52" s="101" t="str">
        <f ca="1">IF($B52="", "", IF(_xll.IMDP("IR", $B52, H$6, $C$4, "fill=true")=0, "", _xll.IMDP("IR", $B52, H$6, $C$4, "fill=true")))</f>
        <v/>
      </c>
      <c r="I52" s="101" t="str">
        <f ca="1">IF($B52="", "", IF(_xll.IMDP("IR", $B52, I$6, $C$4, "fill=true")=0, "", _xll.IMDP("IR", $B52, I$6, $C$4, "fill=true")))</f>
        <v/>
      </c>
      <c r="J52" s="101" t="str">
        <f ca="1">IF($B52="", "", IF(_xll.IMDP("IR", $B52, J$6, $C$4, "fill=true")=0, "", _xll.IMDP("IR", $B52, J$6, $C$4, "fill=true")))</f>
        <v/>
      </c>
      <c r="K52" s="101" t="str">
        <f ca="1">IF($B52="", "", IF(_xll.IMDP("IR", $B52, K$6, $C$4, "fill=true")=0, "", _xll.IMDP("IR", $B52, K$6, $C$4, "fill=true")))</f>
        <v/>
      </c>
      <c r="L52" s="101" t="str">
        <f ca="1">IF($B52="", "", IF(_xll.IMDP("IR", $B52, L$6, $C$4, "fill=true")=0, "", _xll.IMDP("IR", $B52, L$6, $C$4, "fill=true")))</f>
        <v/>
      </c>
      <c r="M52" s="101" t="str">
        <f ca="1">IF($B52="", "", IF(_xll.IMDP("IR", $B52, M$6, $C$4, "fill=true")=0, "", _xll.IMDP("IR", $B52, M$6, $C$4, "fill=true")))</f>
        <v/>
      </c>
      <c r="N52" s="101" t="str">
        <f ca="1">IF($B52="", "", IF(_xll.IMDP("IR", $B52, N$6, $C$4, "fill=true")=0, "", _xll.IMDP("IR", $B52, N$6, $C$4, "fill=true")))</f>
        <v/>
      </c>
      <c r="O52" s="101" t="str">
        <f ca="1">IF($B52="", "", IF(_xll.IMDP("IR", $B52, O$6, $C$4, "fill=true")=0, "", _xll.IMDP("IR", $B52, O$6, $C$4, "fill=true")))</f>
        <v/>
      </c>
      <c r="P52" s="101" t="str">
        <f ca="1">IF($B52="", "", IF(_xll.IMDP("IR", $B52, P$6, $C$4, "fill=true")=0, "", _xll.IMDP("IR", $B52, P$6, $C$4, "fill=true")))</f>
        <v/>
      </c>
      <c r="Q52" s="102" t="str">
        <f ca="1">IF($B52="", "", IF(_xll.IMDP("IR", $B52, Q$6, $C$4, "fill=true")=0, "", _xll.IMDP("IR", $B52, Q$6, $C$4, "fill=true")))</f>
        <v/>
      </c>
    </row>
    <row r="53" spans="2:17" s="83" customFormat="1" ht="13.5">
      <c r="B53" s="83" t="str">
        <f ca="1">IFERROR( VLOOKUP(ROW()-ROW($B$6), code!$G$51:$K$1483, 5, 0), "")</f>
        <v/>
      </c>
      <c r="C53" s="96" t="str">
        <f ca="1">IF($B53="", "", _xll.IMDP("IR", $B53, "1일", $C$4, "fill=true, disp=date"))</f>
        <v/>
      </c>
      <c r="D53" s="97" t="str">
        <f ca="1">IF($B53="", "", VLOOKUP(ROW()-ROW($B$6), code!$G$51:$K$1483, 2, 0) )</f>
        <v/>
      </c>
      <c r="E53" s="98" t="str">
        <f ca="1">IF($B53="", "", VLOOKUP(ROW()-ROW($B$6), code!$G$51:$K$1483, 3, 0) )</f>
        <v/>
      </c>
      <c r="F53" s="99" t="str">
        <f ca="1">IF($B53="", "", VLOOKUP(ROW()-ROW($B$6), code!$G$51:$K$1483, 4, 0))</f>
        <v/>
      </c>
      <c r="G53" s="100" t="str">
        <f ca="1">IF($B53="", "", IF(_xll.IMDP("IR", $B53, G$6, $C$4, "fill=true")=0, "", _xll.IMDP("IR", $B53, G$6, $C$4, "fill=true")))</f>
        <v/>
      </c>
      <c r="H53" s="101" t="str">
        <f ca="1">IF($B53="", "", IF(_xll.IMDP("IR", $B53, H$6, $C$4, "fill=true")=0, "", _xll.IMDP("IR", $B53, H$6, $C$4, "fill=true")))</f>
        <v/>
      </c>
      <c r="I53" s="101" t="str">
        <f ca="1">IF($B53="", "", IF(_xll.IMDP("IR", $B53, I$6, $C$4, "fill=true")=0, "", _xll.IMDP("IR", $B53, I$6, $C$4, "fill=true")))</f>
        <v/>
      </c>
      <c r="J53" s="101" t="str">
        <f ca="1">IF($B53="", "", IF(_xll.IMDP("IR", $B53, J$6, $C$4, "fill=true")=0, "", _xll.IMDP("IR", $B53, J$6, $C$4, "fill=true")))</f>
        <v/>
      </c>
      <c r="K53" s="101" t="str">
        <f ca="1">IF($B53="", "", IF(_xll.IMDP("IR", $B53, K$6, $C$4, "fill=true")=0, "", _xll.IMDP("IR", $B53, K$6, $C$4, "fill=true")))</f>
        <v/>
      </c>
      <c r="L53" s="101" t="str">
        <f ca="1">IF($B53="", "", IF(_xll.IMDP("IR", $B53, L$6, $C$4, "fill=true")=0, "", _xll.IMDP("IR", $B53, L$6, $C$4, "fill=true")))</f>
        <v/>
      </c>
      <c r="M53" s="101" t="str">
        <f ca="1">IF($B53="", "", IF(_xll.IMDP("IR", $B53, M$6, $C$4, "fill=true")=0, "", _xll.IMDP("IR", $B53, M$6, $C$4, "fill=true")))</f>
        <v/>
      </c>
      <c r="N53" s="101" t="str">
        <f ca="1">IF($B53="", "", IF(_xll.IMDP("IR", $B53, N$6, $C$4, "fill=true")=0, "", _xll.IMDP("IR", $B53, N$6, $C$4, "fill=true")))</f>
        <v/>
      </c>
      <c r="O53" s="101" t="str">
        <f ca="1">IF($B53="", "", IF(_xll.IMDP("IR", $B53, O$6, $C$4, "fill=true")=0, "", _xll.IMDP("IR", $B53, O$6, $C$4, "fill=true")))</f>
        <v/>
      </c>
      <c r="P53" s="101" t="str">
        <f ca="1">IF($B53="", "", IF(_xll.IMDP("IR", $B53, P$6, $C$4, "fill=true")=0, "", _xll.IMDP("IR", $B53, P$6, $C$4, "fill=true")))</f>
        <v/>
      </c>
      <c r="Q53" s="102" t="str">
        <f ca="1">IF($B53="", "", IF(_xll.IMDP("IR", $B53, Q$6, $C$4, "fill=true")=0, "", _xll.IMDP("IR", $B53, Q$6, $C$4, "fill=true")))</f>
        <v/>
      </c>
    </row>
    <row r="54" spans="2:17" s="83" customFormat="1" ht="13.5">
      <c r="B54" s="83" t="str">
        <f ca="1">IFERROR( VLOOKUP(ROW()-ROW($B$6), code!$G$51:$K$1483, 5, 0), "")</f>
        <v/>
      </c>
      <c r="C54" s="96" t="str">
        <f ca="1">IF($B54="", "", _xll.IMDP("IR", $B54, "1일", $C$4, "fill=true, disp=date"))</f>
        <v/>
      </c>
      <c r="D54" s="97" t="str">
        <f ca="1">IF($B54="", "", VLOOKUP(ROW()-ROW($B$6), code!$G$51:$K$1483, 2, 0) )</f>
        <v/>
      </c>
      <c r="E54" s="98" t="str">
        <f ca="1">IF($B54="", "", VLOOKUP(ROW()-ROW($B$6), code!$G$51:$K$1483, 3, 0) )</f>
        <v/>
      </c>
      <c r="F54" s="99" t="str">
        <f ca="1">IF($B54="", "", VLOOKUP(ROW()-ROW($B$6), code!$G$51:$K$1483, 4, 0))</f>
        <v/>
      </c>
      <c r="G54" s="100" t="str">
        <f ca="1">IF($B54="", "", IF(_xll.IMDP("IR", $B54, G$6, $C$4, "fill=true")=0, "", _xll.IMDP("IR", $B54, G$6, $C$4, "fill=true")))</f>
        <v/>
      </c>
      <c r="H54" s="101" t="str">
        <f ca="1">IF($B54="", "", IF(_xll.IMDP("IR", $B54, H$6, $C$4, "fill=true")=0, "", _xll.IMDP("IR", $B54, H$6, $C$4, "fill=true")))</f>
        <v/>
      </c>
      <c r="I54" s="101" t="str">
        <f ca="1">IF($B54="", "", IF(_xll.IMDP("IR", $B54, I$6, $C$4, "fill=true")=0, "", _xll.IMDP("IR", $B54, I$6, $C$4, "fill=true")))</f>
        <v/>
      </c>
      <c r="J54" s="101" t="str">
        <f ca="1">IF($B54="", "", IF(_xll.IMDP("IR", $B54, J$6, $C$4, "fill=true")=0, "", _xll.IMDP("IR", $B54, J$6, $C$4, "fill=true")))</f>
        <v/>
      </c>
      <c r="K54" s="101" t="str">
        <f ca="1">IF($B54="", "", IF(_xll.IMDP("IR", $B54, K$6, $C$4, "fill=true")=0, "", _xll.IMDP("IR", $B54, K$6, $C$4, "fill=true")))</f>
        <v/>
      </c>
      <c r="L54" s="101" t="str">
        <f ca="1">IF($B54="", "", IF(_xll.IMDP("IR", $B54, L$6, $C$4, "fill=true")=0, "", _xll.IMDP("IR", $B54, L$6, $C$4, "fill=true")))</f>
        <v/>
      </c>
      <c r="M54" s="101" t="str">
        <f ca="1">IF($B54="", "", IF(_xll.IMDP("IR", $B54, M$6, $C$4, "fill=true")=0, "", _xll.IMDP("IR", $B54, M$6, $C$4, "fill=true")))</f>
        <v/>
      </c>
      <c r="N54" s="101" t="str">
        <f ca="1">IF($B54="", "", IF(_xll.IMDP("IR", $B54, N$6, $C$4, "fill=true")=0, "", _xll.IMDP("IR", $B54, N$6, $C$4, "fill=true")))</f>
        <v/>
      </c>
      <c r="O54" s="101" t="str">
        <f ca="1">IF($B54="", "", IF(_xll.IMDP("IR", $B54, O$6, $C$4, "fill=true")=0, "", _xll.IMDP("IR", $B54, O$6, $C$4, "fill=true")))</f>
        <v/>
      </c>
      <c r="P54" s="101" t="str">
        <f ca="1">IF($B54="", "", IF(_xll.IMDP("IR", $B54, P$6, $C$4, "fill=true")=0, "", _xll.IMDP("IR", $B54, P$6, $C$4, "fill=true")))</f>
        <v/>
      </c>
      <c r="Q54" s="102" t="str">
        <f ca="1">IF($B54="", "", IF(_xll.IMDP("IR", $B54, Q$6, $C$4, "fill=true")=0, "", _xll.IMDP("IR", $B54, Q$6, $C$4, "fill=true")))</f>
        <v/>
      </c>
    </row>
    <row r="55" spans="2:17" s="83" customFormat="1" ht="13.5">
      <c r="B55" s="83" t="str">
        <f ca="1">IFERROR( VLOOKUP(ROW()-ROW($B$6), code!$G$51:$K$1483, 5, 0), "")</f>
        <v/>
      </c>
      <c r="C55" s="96" t="str">
        <f ca="1">IF($B55="", "", _xll.IMDP("IR", $B55, "1일", $C$4, "fill=true, disp=date"))</f>
        <v/>
      </c>
      <c r="D55" s="97" t="str">
        <f ca="1">IF($B55="", "", VLOOKUP(ROW()-ROW($B$6), code!$G$51:$K$1483, 2, 0) )</f>
        <v/>
      </c>
      <c r="E55" s="98" t="str">
        <f ca="1">IF($B55="", "", VLOOKUP(ROW()-ROW($B$6), code!$G$51:$K$1483, 3, 0) )</f>
        <v/>
      </c>
      <c r="F55" s="99" t="str">
        <f ca="1">IF($B55="", "", VLOOKUP(ROW()-ROW($B$6), code!$G$51:$K$1483, 4, 0))</f>
        <v/>
      </c>
      <c r="G55" s="100" t="str">
        <f ca="1">IF($B55="", "", IF(_xll.IMDP("IR", $B55, G$6, $C$4, "fill=true")=0, "", _xll.IMDP("IR", $B55, G$6, $C$4, "fill=true")))</f>
        <v/>
      </c>
      <c r="H55" s="101" t="str">
        <f ca="1">IF($B55="", "", IF(_xll.IMDP("IR", $B55, H$6, $C$4, "fill=true")=0, "", _xll.IMDP("IR", $B55, H$6, $C$4, "fill=true")))</f>
        <v/>
      </c>
      <c r="I55" s="101" t="str">
        <f ca="1">IF($B55="", "", IF(_xll.IMDP("IR", $B55, I$6, $C$4, "fill=true")=0, "", _xll.IMDP("IR", $B55, I$6, $C$4, "fill=true")))</f>
        <v/>
      </c>
      <c r="J55" s="101" t="str">
        <f ca="1">IF($B55="", "", IF(_xll.IMDP("IR", $B55, J$6, $C$4, "fill=true")=0, "", _xll.IMDP("IR", $B55, J$6, $C$4, "fill=true")))</f>
        <v/>
      </c>
      <c r="K55" s="101" t="str">
        <f ca="1">IF($B55="", "", IF(_xll.IMDP("IR", $B55, K$6, $C$4, "fill=true")=0, "", _xll.IMDP("IR", $B55, K$6, $C$4, "fill=true")))</f>
        <v/>
      </c>
      <c r="L55" s="101" t="str">
        <f ca="1">IF($B55="", "", IF(_xll.IMDP("IR", $B55, L$6, $C$4, "fill=true")=0, "", _xll.IMDP("IR", $B55, L$6, $C$4, "fill=true")))</f>
        <v/>
      </c>
      <c r="M55" s="101" t="str">
        <f ca="1">IF($B55="", "", IF(_xll.IMDP("IR", $B55, M$6, $C$4, "fill=true")=0, "", _xll.IMDP("IR", $B55, M$6, $C$4, "fill=true")))</f>
        <v/>
      </c>
      <c r="N55" s="101" t="str">
        <f ca="1">IF($B55="", "", IF(_xll.IMDP("IR", $B55, N$6, $C$4, "fill=true")=0, "", _xll.IMDP("IR", $B55, N$6, $C$4, "fill=true")))</f>
        <v/>
      </c>
      <c r="O55" s="101" t="str">
        <f ca="1">IF($B55="", "", IF(_xll.IMDP("IR", $B55, O$6, $C$4, "fill=true")=0, "", _xll.IMDP("IR", $B55, O$6, $C$4, "fill=true")))</f>
        <v/>
      </c>
      <c r="P55" s="101" t="str">
        <f ca="1">IF($B55="", "", IF(_xll.IMDP("IR", $B55, P$6, $C$4, "fill=true")=0, "", _xll.IMDP("IR", $B55, P$6, $C$4, "fill=true")))</f>
        <v/>
      </c>
      <c r="Q55" s="102" t="str">
        <f ca="1">IF($B55="", "", IF(_xll.IMDP("IR", $B55, Q$6, $C$4, "fill=true")=0, "", _xll.IMDP("IR", $B55, Q$6, $C$4, "fill=true")))</f>
        <v/>
      </c>
    </row>
    <row r="56" spans="2:17" s="83" customFormat="1" ht="13.5">
      <c r="B56" s="83" t="str">
        <f ca="1">IFERROR( VLOOKUP(ROW()-ROW($B$6), code!$G$51:$K$1483, 5, 0), "")</f>
        <v/>
      </c>
      <c r="C56" s="96" t="str">
        <f ca="1">IF($B56="", "", _xll.IMDP("IR", $B56, "1일", $C$4, "fill=true, disp=date"))</f>
        <v/>
      </c>
      <c r="D56" s="97" t="str">
        <f ca="1">IF($B56="", "", VLOOKUP(ROW()-ROW($B$6), code!$G$51:$K$1483, 2, 0) )</f>
        <v/>
      </c>
      <c r="E56" s="98" t="str">
        <f ca="1">IF($B56="", "", VLOOKUP(ROW()-ROW($B$6), code!$G$51:$K$1483, 3, 0) )</f>
        <v/>
      </c>
      <c r="F56" s="99" t="str">
        <f ca="1">IF($B56="", "", VLOOKUP(ROW()-ROW($B$6), code!$G$51:$K$1483, 4, 0))</f>
        <v/>
      </c>
      <c r="G56" s="100" t="str">
        <f ca="1">IF($B56="", "", IF(_xll.IMDP("IR", $B56, G$6, $C$4, "fill=true")=0, "", _xll.IMDP("IR", $B56, G$6, $C$4, "fill=true")))</f>
        <v/>
      </c>
      <c r="H56" s="101" t="str">
        <f ca="1">IF($B56="", "", IF(_xll.IMDP("IR", $B56, H$6, $C$4, "fill=true")=0, "", _xll.IMDP("IR", $B56, H$6, $C$4, "fill=true")))</f>
        <v/>
      </c>
      <c r="I56" s="101" t="str">
        <f ca="1">IF($B56="", "", IF(_xll.IMDP("IR", $B56, I$6, $C$4, "fill=true")=0, "", _xll.IMDP("IR", $B56, I$6, $C$4, "fill=true")))</f>
        <v/>
      </c>
      <c r="J56" s="101" t="str">
        <f ca="1">IF($B56="", "", IF(_xll.IMDP("IR", $B56, J$6, $C$4, "fill=true")=0, "", _xll.IMDP("IR", $B56, J$6, $C$4, "fill=true")))</f>
        <v/>
      </c>
      <c r="K56" s="101" t="str">
        <f ca="1">IF($B56="", "", IF(_xll.IMDP("IR", $B56, K$6, $C$4, "fill=true")=0, "", _xll.IMDP("IR", $B56, K$6, $C$4, "fill=true")))</f>
        <v/>
      </c>
      <c r="L56" s="101" t="str">
        <f ca="1">IF($B56="", "", IF(_xll.IMDP("IR", $B56, L$6, $C$4, "fill=true")=0, "", _xll.IMDP("IR", $B56, L$6, $C$4, "fill=true")))</f>
        <v/>
      </c>
      <c r="M56" s="101" t="str">
        <f ca="1">IF($B56="", "", IF(_xll.IMDP("IR", $B56, M$6, $C$4, "fill=true")=0, "", _xll.IMDP("IR", $B56, M$6, $C$4, "fill=true")))</f>
        <v/>
      </c>
      <c r="N56" s="101" t="str">
        <f ca="1">IF($B56="", "", IF(_xll.IMDP("IR", $B56, N$6, $C$4, "fill=true")=0, "", _xll.IMDP("IR", $B56, N$6, $C$4, "fill=true")))</f>
        <v/>
      </c>
      <c r="O56" s="101" t="str">
        <f ca="1">IF($B56="", "", IF(_xll.IMDP("IR", $B56, O$6, $C$4, "fill=true")=0, "", _xll.IMDP("IR", $B56, O$6, $C$4, "fill=true")))</f>
        <v/>
      </c>
      <c r="P56" s="101" t="str">
        <f ca="1">IF($B56="", "", IF(_xll.IMDP("IR", $B56, P$6, $C$4, "fill=true")=0, "", _xll.IMDP("IR", $B56, P$6, $C$4, "fill=true")))</f>
        <v/>
      </c>
      <c r="Q56" s="102" t="str">
        <f ca="1">IF($B56="", "", IF(_xll.IMDP("IR", $B56, Q$6, $C$4, "fill=true")=0, "", _xll.IMDP("IR", $B56, Q$6, $C$4, "fill=true")))</f>
        <v/>
      </c>
    </row>
    <row r="57" spans="2:17" s="83" customFormat="1" ht="13.5">
      <c r="B57" s="83" t="str">
        <f ca="1">IFERROR( VLOOKUP(ROW()-ROW($B$6), code!$G$51:$K$1483, 5, 0), "")</f>
        <v/>
      </c>
      <c r="C57" s="96" t="str">
        <f ca="1">IF($B57="", "", _xll.IMDP("IR", $B57, "1일", $C$4, "fill=true, disp=date"))</f>
        <v/>
      </c>
      <c r="D57" s="97" t="str">
        <f ca="1">IF($B57="", "", VLOOKUP(ROW()-ROW($B$6), code!$G$51:$K$1483, 2, 0) )</f>
        <v/>
      </c>
      <c r="E57" s="98" t="str">
        <f ca="1">IF($B57="", "", VLOOKUP(ROW()-ROW($B$6), code!$G$51:$K$1483, 3, 0) )</f>
        <v/>
      </c>
      <c r="F57" s="99" t="str">
        <f ca="1">IF($B57="", "", VLOOKUP(ROW()-ROW($B$6), code!$G$51:$K$1483, 4, 0))</f>
        <v/>
      </c>
      <c r="G57" s="100" t="str">
        <f ca="1">IF($B57="", "", IF(_xll.IMDP("IR", $B57, G$6, $C$4, "fill=true")=0, "", _xll.IMDP("IR", $B57, G$6, $C$4, "fill=true")))</f>
        <v/>
      </c>
      <c r="H57" s="101" t="str">
        <f ca="1">IF($B57="", "", IF(_xll.IMDP("IR", $B57, H$6, $C$4, "fill=true")=0, "", _xll.IMDP("IR", $B57, H$6, $C$4, "fill=true")))</f>
        <v/>
      </c>
      <c r="I57" s="101" t="str">
        <f ca="1">IF($B57="", "", IF(_xll.IMDP("IR", $B57, I$6, $C$4, "fill=true")=0, "", _xll.IMDP("IR", $B57, I$6, $C$4, "fill=true")))</f>
        <v/>
      </c>
      <c r="J57" s="101" t="str">
        <f ca="1">IF($B57="", "", IF(_xll.IMDP("IR", $B57, J$6, $C$4, "fill=true")=0, "", _xll.IMDP("IR", $B57, J$6, $C$4, "fill=true")))</f>
        <v/>
      </c>
      <c r="K57" s="101" t="str">
        <f ca="1">IF($B57="", "", IF(_xll.IMDP("IR", $B57, K$6, $C$4, "fill=true")=0, "", _xll.IMDP("IR", $B57, K$6, $C$4, "fill=true")))</f>
        <v/>
      </c>
      <c r="L57" s="101" t="str">
        <f ca="1">IF($B57="", "", IF(_xll.IMDP("IR", $B57, L$6, $C$4, "fill=true")=0, "", _xll.IMDP("IR", $B57, L$6, $C$4, "fill=true")))</f>
        <v/>
      </c>
      <c r="M57" s="101" t="str">
        <f ca="1">IF($B57="", "", IF(_xll.IMDP("IR", $B57, M$6, $C$4, "fill=true")=0, "", _xll.IMDP("IR", $B57, M$6, $C$4, "fill=true")))</f>
        <v/>
      </c>
      <c r="N57" s="101" t="str">
        <f ca="1">IF($B57="", "", IF(_xll.IMDP("IR", $B57, N$6, $C$4, "fill=true")=0, "", _xll.IMDP("IR", $B57, N$6, $C$4, "fill=true")))</f>
        <v/>
      </c>
      <c r="O57" s="101" t="str">
        <f ca="1">IF($B57="", "", IF(_xll.IMDP("IR", $B57, O$6, $C$4, "fill=true")=0, "", _xll.IMDP("IR", $B57, O$6, $C$4, "fill=true")))</f>
        <v/>
      </c>
      <c r="P57" s="101" t="str">
        <f ca="1">IF($B57="", "", IF(_xll.IMDP("IR", $B57, P$6, $C$4, "fill=true")=0, "", _xll.IMDP("IR", $B57, P$6, $C$4, "fill=true")))</f>
        <v/>
      </c>
      <c r="Q57" s="102" t="str">
        <f ca="1">IF($B57="", "", IF(_xll.IMDP("IR", $B57, Q$6, $C$4, "fill=true")=0, "", _xll.IMDP("IR", $B57, Q$6, $C$4, "fill=true")))</f>
        <v/>
      </c>
    </row>
    <row r="58" spans="2:17" s="83" customFormat="1" ht="13.5">
      <c r="B58" s="83" t="str">
        <f ca="1">IFERROR( VLOOKUP(ROW()-ROW($B$6), code!$G$51:$K$1483, 5, 0), "")</f>
        <v/>
      </c>
      <c r="C58" s="96" t="str">
        <f ca="1">IF($B58="", "", _xll.IMDP("IR", $B58, "1일", $C$4, "fill=true, disp=date"))</f>
        <v/>
      </c>
      <c r="D58" s="97" t="str">
        <f ca="1">IF($B58="", "", VLOOKUP(ROW()-ROW($B$6), code!$G$51:$K$1483, 2, 0) )</f>
        <v/>
      </c>
      <c r="E58" s="98" t="str">
        <f ca="1">IF($B58="", "", VLOOKUP(ROW()-ROW($B$6), code!$G$51:$K$1483, 3, 0) )</f>
        <v/>
      </c>
      <c r="F58" s="99" t="str">
        <f ca="1">IF($B58="", "", VLOOKUP(ROW()-ROW($B$6), code!$G$51:$K$1483, 4, 0))</f>
        <v/>
      </c>
      <c r="G58" s="100" t="str">
        <f ca="1">IF($B58="", "", IF(_xll.IMDP("IR", $B58, G$6, $C$4, "fill=true")=0, "", _xll.IMDP("IR", $B58, G$6, $C$4, "fill=true")))</f>
        <v/>
      </c>
      <c r="H58" s="101" t="str">
        <f ca="1">IF($B58="", "", IF(_xll.IMDP("IR", $B58, H$6, $C$4, "fill=true")=0, "", _xll.IMDP("IR", $B58, H$6, $C$4, "fill=true")))</f>
        <v/>
      </c>
      <c r="I58" s="101" t="str">
        <f ca="1">IF($B58="", "", IF(_xll.IMDP("IR", $B58, I$6, $C$4, "fill=true")=0, "", _xll.IMDP("IR", $B58, I$6, $C$4, "fill=true")))</f>
        <v/>
      </c>
      <c r="J58" s="101" t="str">
        <f ca="1">IF($B58="", "", IF(_xll.IMDP("IR", $B58, J$6, $C$4, "fill=true")=0, "", _xll.IMDP("IR", $B58, J$6, $C$4, "fill=true")))</f>
        <v/>
      </c>
      <c r="K58" s="101" t="str">
        <f ca="1">IF($B58="", "", IF(_xll.IMDP("IR", $B58, K$6, $C$4, "fill=true")=0, "", _xll.IMDP("IR", $B58, K$6, $C$4, "fill=true")))</f>
        <v/>
      </c>
      <c r="L58" s="101" t="str">
        <f ca="1">IF($B58="", "", IF(_xll.IMDP("IR", $B58, L$6, $C$4, "fill=true")=0, "", _xll.IMDP("IR", $B58, L$6, $C$4, "fill=true")))</f>
        <v/>
      </c>
      <c r="M58" s="101" t="str">
        <f ca="1">IF($B58="", "", IF(_xll.IMDP("IR", $B58, M$6, $C$4, "fill=true")=0, "", _xll.IMDP("IR", $B58, M$6, $C$4, "fill=true")))</f>
        <v/>
      </c>
      <c r="N58" s="101" t="str">
        <f ca="1">IF($B58="", "", IF(_xll.IMDP("IR", $B58, N$6, $C$4, "fill=true")=0, "", _xll.IMDP("IR", $B58, N$6, $C$4, "fill=true")))</f>
        <v/>
      </c>
      <c r="O58" s="101" t="str">
        <f ca="1">IF($B58="", "", IF(_xll.IMDP("IR", $B58, O$6, $C$4, "fill=true")=0, "", _xll.IMDP("IR", $B58, O$6, $C$4, "fill=true")))</f>
        <v/>
      </c>
      <c r="P58" s="101" t="str">
        <f ca="1">IF($B58="", "", IF(_xll.IMDP("IR", $B58, P$6, $C$4, "fill=true")=0, "", _xll.IMDP("IR", $B58, P$6, $C$4, "fill=true")))</f>
        <v/>
      </c>
      <c r="Q58" s="102" t="str">
        <f ca="1">IF($B58="", "", IF(_xll.IMDP("IR", $B58, Q$6, $C$4, "fill=true")=0, "", _xll.IMDP("IR", $B58, Q$6, $C$4, "fill=true")))</f>
        <v/>
      </c>
    </row>
    <row r="59" spans="2:17" s="83" customFormat="1" ht="13.5">
      <c r="B59" s="83" t="str">
        <f ca="1">IFERROR( VLOOKUP(ROW()-ROW($B$6), code!$G$51:$K$1483, 5, 0), "")</f>
        <v/>
      </c>
      <c r="C59" s="96" t="str">
        <f ca="1">IF($B59="", "", _xll.IMDP("IR", $B59, "1일", $C$4, "fill=true, disp=date"))</f>
        <v/>
      </c>
      <c r="D59" s="97" t="str">
        <f ca="1">IF($B59="", "", VLOOKUP(ROW()-ROW($B$6), code!$G$51:$K$1483, 2, 0) )</f>
        <v/>
      </c>
      <c r="E59" s="98" t="str">
        <f ca="1">IF($B59="", "", VLOOKUP(ROW()-ROW($B$6), code!$G$51:$K$1483, 3, 0) )</f>
        <v/>
      </c>
      <c r="F59" s="99" t="str">
        <f ca="1">IF($B59="", "", VLOOKUP(ROW()-ROW($B$6), code!$G$51:$K$1483, 4, 0))</f>
        <v/>
      </c>
      <c r="G59" s="100" t="str">
        <f ca="1">IF($B59="", "", IF(_xll.IMDP("IR", $B59, G$6, $C$4, "fill=true")=0, "", _xll.IMDP("IR", $B59, G$6, $C$4, "fill=true")))</f>
        <v/>
      </c>
      <c r="H59" s="101" t="str">
        <f ca="1">IF($B59="", "", IF(_xll.IMDP("IR", $B59, H$6, $C$4, "fill=true")=0, "", _xll.IMDP("IR", $B59, H$6, $C$4, "fill=true")))</f>
        <v/>
      </c>
      <c r="I59" s="101" t="str">
        <f ca="1">IF($B59="", "", IF(_xll.IMDP("IR", $B59, I$6, $C$4, "fill=true")=0, "", _xll.IMDP("IR", $B59, I$6, $C$4, "fill=true")))</f>
        <v/>
      </c>
      <c r="J59" s="101" t="str">
        <f ca="1">IF($B59="", "", IF(_xll.IMDP("IR", $B59, J$6, $C$4, "fill=true")=0, "", _xll.IMDP("IR", $B59, J$6, $C$4, "fill=true")))</f>
        <v/>
      </c>
      <c r="K59" s="101" t="str">
        <f ca="1">IF($B59="", "", IF(_xll.IMDP("IR", $B59, K$6, $C$4, "fill=true")=0, "", _xll.IMDP("IR", $B59, K$6, $C$4, "fill=true")))</f>
        <v/>
      </c>
      <c r="L59" s="101" t="str">
        <f ca="1">IF($B59="", "", IF(_xll.IMDP("IR", $B59, L$6, $C$4, "fill=true")=0, "", _xll.IMDP("IR", $B59, L$6, $C$4, "fill=true")))</f>
        <v/>
      </c>
      <c r="M59" s="101" t="str">
        <f ca="1">IF($B59="", "", IF(_xll.IMDP("IR", $B59, M$6, $C$4, "fill=true")=0, "", _xll.IMDP("IR", $B59, M$6, $C$4, "fill=true")))</f>
        <v/>
      </c>
      <c r="N59" s="101" t="str">
        <f ca="1">IF($B59="", "", IF(_xll.IMDP("IR", $B59, N$6, $C$4, "fill=true")=0, "", _xll.IMDP("IR", $B59, N$6, $C$4, "fill=true")))</f>
        <v/>
      </c>
      <c r="O59" s="101" t="str">
        <f ca="1">IF($B59="", "", IF(_xll.IMDP("IR", $B59, O$6, $C$4, "fill=true")=0, "", _xll.IMDP("IR", $B59, O$6, $C$4, "fill=true")))</f>
        <v/>
      </c>
      <c r="P59" s="101" t="str">
        <f ca="1">IF($B59="", "", IF(_xll.IMDP("IR", $B59, P$6, $C$4, "fill=true")=0, "", _xll.IMDP("IR", $B59, P$6, $C$4, "fill=true")))</f>
        <v/>
      </c>
      <c r="Q59" s="102" t="str">
        <f ca="1">IF($B59="", "", IF(_xll.IMDP("IR", $B59, Q$6, $C$4, "fill=true")=0, "", _xll.IMDP("IR", $B59, Q$6, $C$4, "fill=true")))</f>
        <v/>
      </c>
    </row>
    <row r="60" spans="2:17" s="83" customFormat="1" ht="13.5">
      <c r="B60" s="83" t="str">
        <f ca="1">IFERROR( VLOOKUP(ROW()-ROW($B$6), code!$G$51:$K$1483, 5, 0), "")</f>
        <v/>
      </c>
      <c r="C60" s="96" t="str">
        <f ca="1">IF($B60="", "", _xll.IMDP("IR", $B60, "1일", $C$4, "fill=true, disp=date"))</f>
        <v/>
      </c>
      <c r="D60" s="97" t="str">
        <f ca="1">IF($B60="", "", VLOOKUP(ROW()-ROW($B$6), code!$G$51:$K$1483, 2, 0) )</f>
        <v/>
      </c>
      <c r="E60" s="98" t="str">
        <f ca="1">IF($B60="", "", VLOOKUP(ROW()-ROW($B$6), code!$G$51:$K$1483, 3, 0) )</f>
        <v/>
      </c>
      <c r="F60" s="99" t="str">
        <f ca="1">IF($B60="", "", VLOOKUP(ROW()-ROW($B$6), code!$G$51:$K$1483, 4, 0))</f>
        <v/>
      </c>
      <c r="G60" s="100" t="str">
        <f ca="1">IF($B60="", "", IF(_xll.IMDP("IR", $B60, G$6, $C$4, "fill=true")=0, "", _xll.IMDP("IR", $B60, G$6, $C$4, "fill=true")))</f>
        <v/>
      </c>
      <c r="H60" s="101" t="str">
        <f ca="1">IF($B60="", "", IF(_xll.IMDP("IR", $B60, H$6, $C$4, "fill=true")=0, "", _xll.IMDP("IR", $B60, H$6, $C$4, "fill=true")))</f>
        <v/>
      </c>
      <c r="I60" s="101" t="str">
        <f ca="1">IF($B60="", "", IF(_xll.IMDP("IR", $B60, I$6, $C$4, "fill=true")=0, "", _xll.IMDP("IR", $B60, I$6, $C$4, "fill=true")))</f>
        <v/>
      </c>
      <c r="J60" s="101" t="str">
        <f ca="1">IF($B60="", "", IF(_xll.IMDP("IR", $B60, J$6, $C$4, "fill=true")=0, "", _xll.IMDP("IR", $B60, J$6, $C$4, "fill=true")))</f>
        <v/>
      </c>
      <c r="K60" s="101" t="str">
        <f ca="1">IF($B60="", "", IF(_xll.IMDP("IR", $B60, K$6, $C$4, "fill=true")=0, "", _xll.IMDP("IR", $B60, K$6, $C$4, "fill=true")))</f>
        <v/>
      </c>
      <c r="L60" s="101" t="str">
        <f ca="1">IF($B60="", "", IF(_xll.IMDP("IR", $B60, L$6, $C$4, "fill=true")=0, "", _xll.IMDP("IR", $B60, L$6, $C$4, "fill=true")))</f>
        <v/>
      </c>
      <c r="M60" s="101" t="str">
        <f ca="1">IF($B60="", "", IF(_xll.IMDP("IR", $B60, M$6, $C$4, "fill=true")=0, "", _xll.IMDP("IR", $B60, M$6, $C$4, "fill=true")))</f>
        <v/>
      </c>
      <c r="N60" s="101" t="str">
        <f ca="1">IF($B60="", "", IF(_xll.IMDP("IR", $B60, N$6, $C$4, "fill=true")=0, "", _xll.IMDP("IR", $B60, N$6, $C$4, "fill=true")))</f>
        <v/>
      </c>
      <c r="O60" s="101" t="str">
        <f ca="1">IF($B60="", "", IF(_xll.IMDP("IR", $B60, O$6, $C$4, "fill=true")=0, "", _xll.IMDP("IR", $B60, O$6, $C$4, "fill=true")))</f>
        <v/>
      </c>
      <c r="P60" s="101" t="str">
        <f ca="1">IF($B60="", "", IF(_xll.IMDP("IR", $B60, P$6, $C$4, "fill=true")=0, "", _xll.IMDP("IR", $B60, P$6, $C$4, "fill=true")))</f>
        <v/>
      </c>
      <c r="Q60" s="102" t="str">
        <f ca="1">IF($B60="", "", IF(_xll.IMDP("IR", $B60, Q$6, $C$4, "fill=true")=0, "", _xll.IMDP("IR", $B60, Q$6, $C$4, "fill=true")))</f>
        <v/>
      </c>
    </row>
    <row r="61" spans="2:17" s="83" customFormat="1" ht="13.5">
      <c r="B61" s="83" t="str">
        <f ca="1">IFERROR( VLOOKUP(ROW()-ROW($B$6), code!$G$51:$K$1483, 5, 0), "")</f>
        <v/>
      </c>
      <c r="C61" s="96" t="str">
        <f ca="1">IF($B61="", "", _xll.IMDP("IR", $B61, "1일", $C$4, "fill=true, disp=date"))</f>
        <v/>
      </c>
      <c r="D61" s="97" t="str">
        <f ca="1">IF($B61="", "", VLOOKUP(ROW()-ROW($B$6), code!$G$51:$K$1483, 2, 0) )</f>
        <v/>
      </c>
      <c r="E61" s="98" t="str">
        <f ca="1">IF($B61="", "", VLOOKUP(ROW()-ROW($B$6), code!$G$51:$K$1483, 3, 0) )</f>
        <v/>
      </c>
      <c r="F61" s="99" t="str">
        <f ca="1">IF($B61="", "", VLOOKUP(ROW()-ROW($B$6), code!$G$51:$K$1483, 4, 0))</f>
        <v/>
      </c>
      <c r="G61" s="100" t="str">
        <f ca="1">IF($B61="", "", IF(_xll.IMDP("IR", $B61, G$6, $C$4, "fill=true")=0, "", _xll.IMDP("IR", $B61, G$6, $C$4, "fill=true")))</f>
        <v/>
      </c>
      <c r="H61" s="101" t="str">
        <f ca="1">IF($B61="", "", IF(_xll.IMDP("IR", $B61, H$6, $C$4, "fill=true")=0, "", _xll.IMDP("IR", $B61, H$6, $C$4, "fill=true")))</f>
        <v/>
      </c>
      <c r="I61" s="101" t="str">
        <f ca="1">IF($B61="", "", IF(_xll.IMDP("IR", $B61, I$6, $C$4, "fill=true")=0, "", _xll.IMDP("IR", $B61, I$6, $C$4, "fill=true")))</f>
        <v/>
      </c>
      <c r="J61" s="101" t="str">
        <f ca="1">IF($B61="", "", IF(_xll.IMDP("IR", $B61, J$6, $C$4, "fill=true")=0, "", _xll.IMDP("IR", $B61, J$6, $C$4, "fill=true")))</f>
        <v/>
      </c>
      <c r="K61" s="101" t="str">
        <f ca="1">IF($B61="", "", IF(_xll.IMDP("IR", $B61, K$6, $C$4, "fill=true")=0, "", _xll.IMDP("IR", $B61, K$6, $C$4, "fill=true")))</f>
        <v/>
      </c>
      <c r="L61" s="101" t="str">
        <f ca="1">IF($B61="", "", IF(_xll.IMDP("IR", $B61, L$6, $C$4, "fill=true")=0, "", _xll.IMDP("IR", $B61, L$6, $C$4, "fill=true")))</f>
        <v/>
      </c>
      <c r="M61" s="101" t="str">
        <f ca="1">IF($B61="", "", IF(_xll.IMDP("IR", $B61, M$6, $C$4, "fill=true")=0, "", _xll.IMDP("IR", $B61, M$6, $C$4, "fill=true")))</f>
        <v/>
      </c>
      <c r="N61" s="101" t="str">
        <f ca="1">IF($B61="", "", IF(_xll.IMDP("IR", $B61, N$6, $C$4, "fill=true")=0, "", _xll.IMDP("IR", $B61, N$6, $C$4, "fill=true")))</f>
        <v/>
      </c>
      <c r="O61" s="101" t="str">
        <f ca="1">IF($B61="", "", IF(_xll.IMDP("IR", $B61, O$6, $C$4, "fill=true")=0, "", _xll.IMDP("IR", $B61, O$6, $C$4, "fill=true")))</f>
        <v/>
      </c>
      <c r="P61" s="101" t="str">
        <f ca="1">IF($B61="", "", IF(_xll.IMDP("IR", $B61, P$6, $C$4, "fill=true")=0, "", _xll.IMDP("IR", $B61, P$6, $C$4, "fill=true")))</f>
        <v/>
      </c>
      <c r="Q61" s="102" t="str">
        <f ca="1">IF($B61="", "", IF(_xll.IMDP("IR", $B61, Q$6, $C$4, "fill=true")=0, "", _xll.IMDP("IR", $B61, Q$6, $C$4, "fill=true")))</f>
        <v/>
      </c>
    </row>
    <row r="62" spans="2:17" s="83" customFormat="1" ht="13.5">
      <c r="B62" s="83" t="str">
        <f ca="1">IFERROR( VLOOKUP(ROW()-ROW($B$6), code!$G$51:$K$1483, 5, 0), "")</f>
        <v/>
      </c>
      <c r="C62" s="96" t="str">
        <f ca="1">IF($B62="", "", _xll.IMDP("IR", $B62, "1일", $C$4, "fill=true, disp=date"))</f>
        <v/>
      </c>
      <c r="D62" s="97" t="str">
        <f ca="1">IF($B62="", "", VLOOKUP(ROW()-ROW($B$6), code!$G$51:$K$1483, 2, 0) )</f>
        <v/>
      </c>
      <c r="E62" s="98" t="str">
        <f ca="1">IF($B62="", "", VLOOKUP(ROW()-ROW($B$6), code!$G$51:$K$1483, 3, 0) )</f>
        <v/>
      </c>
      <c r="F62" s="99" t="str">
        <f ca="1">IF($B62="", "", VLOOKUP(ROW()-ROW($B$6), code!$G$51:$K$1483, 4, 0))</f>
        <v/>
      </c>
      <c r="G62" s="100" t="str">
        <f ca="1">IF($B62="", "", IF(_xll.IMDP("IR", $B62, G$6, $C$4, "fill=true")=0, "", _xll.IMDP("IR", $B62, G$6, $C$4, "fill=true")))</f>
        <v/>
      </c>
      <c r="H62" s="101" t="str">
        <f ca="1">IF($B62="", "", IF(_xll.IMDP("IR", $B62, H$6, $C$4, "fill=true")=0, "", _xll.IMDP("IR", $B62, H$6, $C$4, "fill=true")))</f>
        <v/>
      </c>
      <c r="I62" s="101" t="str">
        <f ca="1">IF($B62="", "", IF(_xll.IMDP("IR", $B62, I$6, $C$4, "fill=true")=0, "", _xll.IMDP("IR", $B62, I$6, $C$4, "fill=true")))</f>
        <v/>
      </c>
      <c r="J62" s="101" t="str">
        <f ca="1">IF($B62="", "", IF(_xll.IMDP("IR", $B62, J$6, $C$4, "fill=true")=0, "", _xll.IMDP("IR", $B62, J$6, $C$4, "fill=true")))</f>
        <v/>
      </c>
      <c r="K62" s="101" t="str">
        <f ca="1">IF($B62="", "", IF(_xll.IMDP("IR", $B62, K$6, $C$4, "fill=true")=0, "", _xll.IMDP("IR", $B62, K$6, $C$4, "fill=true")))</f>
        <v/>
      </c>
      <c r="L62" s="101" t="str">
        <f ca="1">IF($B62="", "", IF(_xll.IMDP("IR", $B62, L$6, $C$4, "fill=true")=0, "", _xll.IMDP("IR", $B62, L$6, $C$4, "fill=true")))</f>
        <v/>
      </c>
      <c r="M62" s="101" t="str">
        <f ca="1">IF($B62="", "", IF(_xll.IMDP("IR", $B62, M$6, $C$4, "fill=true")=0, "", _xll.IMDP("IR", $B62, M$6, $C$4, "fill=true")))</f>
        <v/>
      </c>
      <c r="N62" s="101" t="str">
        <f ca="1">IF($B62="", "", IF(_xll.IMDP("IR", $B62, N$6, $C$4, "fill=true")=0, "", _xll.IMDP("IR", $B62, N$6, $C$4, "fill=true")))</f>
        <v/>
      </c>
      <c r="O62" s="101" t="str">
        <f ca="1">IF($B62="", "", IF(_xll.IMDP("IR", $B62, O$6, $C$4, "fill=true")=0, "", _xll.IMDP("IR", $B62, O$6, $C$4, "fill=true")))</f>
        <v/>
      </c>
      <c r="P62" s="101" t="str">
        <f ca="1">IF($B62="", "", IF(_xll.IMDP("IR", $B62, P$6, $C$4, "fill=true")=0, "", _xll.IMDP("IR", $B62, P$6, $C$4, "fill=true")))</f>
        <v/>
      </c>
      <c r="Q62" s="102" t="str">
        <f ca="1">IF($B62="", "", IF(_xll.IMDP("IR", $B62, Q$6, $C$4, "fill=true")=0, "", _xll.IMDP("IR", $B62, Q$6, $C$4, "fill=true")))</f>
        <v/>
      </c>
    </row>
    <row r="63" spans="2:17" s="83" customFormat="1" ht="13.5">
      <c r="B63" s="83" t="str">
        <f ca="1">IFERROR( VLOOKUP(ROW()-ROW($B$6), code!$G$51:$K$1483, 5, 0), "")</f>
        <v/>
      </c>
      <c r="C63" s="96" t="str">
        <f ca="1">IF($B63="", "", _xll.IMDP("IR", $B63, "1일", $C$4, "fill=true, disp=date"))</f>
        <v/>
      </c>
      <c r="D63" s="97" t="str">
        <f ca="1">IF($B63="", "", VLOOKUP(ROW()-ROW($B$6), code!$G$51:$K$1483, 2, 0) )</f>
        <v/>
      </c>
      <c r="E63" s="98" t="str">
        <f ca="1">IF($B63="", "", VLOOKUP(ROW()-ROW($B$6), code!$G$51:$K$1483, 3, 0) )</f>
        <v/>
      </c>
      <c r="F63" s="99" t="str">
        <f ca="1">IF($B63="", "", VLOOKUP(ROW()-ROW($B$6), code!$G$51:$K$1483, 4, 0))</f>
        <v/>
      </c>
      <c r="G63" s="100" t="str">
        <f ca="1">IF($B63="", "", IF(_xll.IMDP("IR", $B63, G$6, $C$4, "fill=true")=0, "", _xll.IMDP("IR", $B63, G$6, $C$4, "fill=true")))</f>
        <v/>
      </c>
      <c r="H63" s="101" t="str">
        <f ca="1">IF($B63="", "", IF(_xll.IMDP("IR", $B63, H$6, $C$4, "fill=true")=0, "", _xll.IMDP("IR", $B63, H$6, $C$4, "fill=true")))</f>
        <v/>
      </c>
      <c r="I63" s="101" t="str">
        <f ca="1">IF($B63="", "", IF(_xll.IMDP("IR", $B63, I$6, $C$4, "fill=true")=0, "", _xll.IMDP("IR", $B63, I$6, $C$4, "fill=true")))</f>
        <v/>
      </c>
      <c r="J63" s="101" t="str">
        <f ca="1">IF($B63="", "", IF(_xll.IMDP("IR", $B63, J$6, $C$4, "fill=true")=0, "", _xll.IMDP("IR", $B63, J$6, $C$4, "fill=true")))</f>
        <v/>
      </c>
      <c r="K63" s="101" t="str">
        <f ca="1">IF($B63="", "", IF(_xll.IMDP("IR", $B63, K$6, $C$4, "fill=true")=0, "", _xll.IMDP("IR", $B63, K$6, $C$4, "fill=true")))</f>
        <v/>
      </c>
      <c r="L63" s="101" t="str">
        <f ca="1">IF($B63="", "", IF(_xll.IMDP("IR", $B63, L$6, $C$4, "fill=true")=0, "", _xll.IMDP("IR", $B63, L$6, $C$4, "fill=true")))</f>
        <v/>
      </c>
      <c r="M63" s="101" t="str">
        <f ca="1">IF($B63="", "", IF(_xll.IMDP("IR", $B63, M$6, $C$4, "fill=true")=0, "", _xll.IMDP("IR", $B63, M$6, $C$4, "fill=true")))</f>
        <v/>
      </c>
      <c r="N63" s="101" t="str">
        <f ca="1">IF($B63="", "", IF(_xll.IMDP("IR", $B63, N$6, $C$4, "fill=true")=0, "", _xll.IMDP("IR", $B63, N$6, $C$4, "fill=true")))</f>
        <v/>
      </c>
      <c r="O63" s="101" t="str">
        <f ca="1">IF($B63="", "", IF(_xll.IMDP("IR", $B63, O$6, $C$4, "fill=true")=0, "", _xll.IMDP("IR", $B63, O$6, $C$4, "fill=true")))</f>
        <v/>
      </c>
      <c r="P63" s="101" t="str">
        <f ca="1">IF($B63="", "", IF(_xll.IMDP("IR", $B63, P$6, $C$4, "fill=true")=0, "", _xll.IMDP("IR", $B63, P$6, $C$4, "fill=true")))</f>
        <v/>
      </c>
      <c r="Q63" s="102" t="str">
        <f ca="1">IF($B63="", "", IF(_xll.IMDP("IR", $B63, Q$6, $C$4, "fill=true")=0, "", _xll.IMDP("IR", $B63, Q$6, $C$4, "fill=true")))</f>
        <v/>
      </c>
    </row>
    <row r="64" spans="2:17" s="83" customFormat="1" ht="13.5">
      <c r="B64" s="83" t="str">
        <f ca="1">IFERROR( VLOOKUP(ROW()-ROW($B$6), code!$G$51:$K$1483, 5, 0), "")</f>
        <v/>
      </c>
      <c r="C64" s="96" t="str">
        <f ca="1">IF($B64="", "", _xll.IMDP("IR", $B64, "1일", $C$4, "fill=true, disp=date"))</f>
        <v/>
      </c>
      <c r="D64" s="97" t="str">
        <f ca="1">IF($B64="", "", VLOOKUP(ROW()-ROW($B$6), code!$G$51:$K$1483, 2, 0) )</f>
        <v/>
      </c>
      <c r="E64" s="98" t="str">
        <f ca="1">IF($B64="", "", VLOOKUP(ROW()-ROW($B$6), code!$G$51:$K$1483, 3, 0) )</f>
        <v/>
      </c>
      <c r="F64" s="99" t="str">
        <f ca="1">IF($B64="", "", VLOOKUP(ROW()-ROW($B$6), code!$G$51:$K$1483, 4, 0))</f>
        <v/>
      </c>
      <c r="G64" s="100" t="str">
        <f ca="1">IF($B64="", "", IF(_xll.IMDP("IR", $B64, G$6, $C$4, "fill=true")=0, "", _xll.IMDP("IR", $B64, G$6, $C$4, "fill=true")))</f>
        <v/>
      </c>
      <c r="H64" s="101" t="str">
        <f ca="1">IF($B64="", "", IF(_xll.IMDP("IR", $B64, H$6, $C$4, "fill=true")=0, "", _xll.IMDP("IR", $B64, H$6, $C$4, "fill=true")))</f>
        <v/>
      </c>
      <c r="I64" s="101" t="str">
        <f ca="1">IF($B64="", "", IF(_xll.IMDP("IR", $B64, I$6, $C$4, "fill=true")=0, "", _xll.IMDP("IR", $B64, I$6, $C$4, "fill=true")))</f>
        <v/>
      </c>
      <c r="J64" s="101" t="str">
        <f ca="1">IF($B64="", "", IF(_xll.IMDP("IR", $B64, J$6, $C$4, "fill=true")=0, "", _xll.IMDP("IR", $B64, J$6, $C$4, "fill=true")))</f>
        <v/>
      </c>
      <c r="K64" s="101" t="str">
        <f ca="1">IF($B64="", "", IF(_xll.IMDP("IR", $B64, K$6, $C$4, "fill=true")=0, "", _xll.IMDP("IR", $B64, K$6, $C$4, "fill=true")))</f>
        <v/>
      </c>
      <c r="L64" s="101" t="str">
        <f ca="1">IF($B64="", "", IF(_xll.IMDP("IR", $B64, L$6, $C$4, "fill=true")=0, "", _xll.IMDP("IR", $B64, L$6, $C$4, "fill=true")))</f>
        <v/>
      </c>
      <c r="M64" s="101" t="str">
        <f ca="1">IF($B64="", "", IF(_xll.IMDP("IR", $B64, M$6, $C$4, "fill=true")=0, "", _xll.IMDP("IR", $B64, M$6, $C$4, "fill=true")))</f>
        <v/>
      </c>
      <c r="N64" s="101" t="str">
        <f ca="1">IF($B64="", "", IF(_xll.IMDP("IR", $B64, N$6, $C$4, "fill=true")=0, "", _xll.IMDP("IR", $B64, N$6, $C$4, "fill=true")))</f>
        <v/>
      </c>
      <c r="O64" s="101" t="str">
        <f ca="1">IF($B64="", "", IF(_xll.IMDP("IR", $B64, O$6, $C$4, "fill=true")=0, "", _xll.IMDP("IR", $B64, O$6, $C$4, "fill=true")))</f>
        <v/>
      </c>
      <c r="P64" s="101" t="str">
        <f ca="1">IF($B64="", "", IF(_xll.IMDP("IR", $B64, P$6, $C$4, "fill=true")=0, "", _xll.IMDP("IR", $B64, P$6, $C$4, "fill=true")))</f>
        <v/>
      </c>
      <c r="Q64" s="102" t="str">
        <f ca="1">IF($B64="", "", IF(_xll.IMDP("IR", $B64, Q$6, $C$4, "fill=true")=0, "", _xll.IMDP("IR", $B64, Q$6, $C$4, "fill=true")))</f>
        <v/>
      </c>
    </row>
    <row r="65" spans="2:17" s="83" customFormat="1" ht="13.5">
      <c r="B65" s="83" t="str">
        <f ca="1">IFERROR( VLOOKUP(ROW()-ROW($B$6), code!$G$51:$K$1483, 5, 0), "")</f>
        <v/>
      </c>
      <c r="C65" s="96" t="str">
        <f ca="1">IF($B65="", "", _xll.IMDP("IR", $B65, "1일", $C$4, "fill=true, disp=date"))</f>
        <v/>
      </c>
      <c r="D65" s="97" t="str">
        <f ca="1">IF($B65="", "", VLOOKUP(ROW()-ROW($B$6), code!$G$51:$K$1483, 2, 0) )</f>
        <v/>
      </c>
      <c r="E65" s="98" t="str">
        <f ca="1">IF($B65="", "", VLOOKUP(ROW()-ROW($B$6), code!$G$51:$K$1483, 3, 0) )</f>
        <v/>
      </c>
      <c r="F65" s="99" t="str">
        <f ca="1">IF($B65="", "", VLOOKUP(ROW()-ROW($B$6), code!$G$51:$K$1483, 4, 0))</f>
        <v/>
      </c>
      <c r="G65" s="100" t="str">
        <f ca="1">IF($B65="", "", IF(_xll.IMDP("IR", $B65, G$6, $C$4, "fill=true")=0, "", _xll.IMDP("IR", $B65, G$6, $C$4, "fill=true")))</f>
        <v/>
      </c>
      <c r="H65" s="101" t="str">
        <f ca="1">IF($B65="", "", IF(_xll.IMDP("IR", $B65, H$6, $C$4, "fill=true")=0, "", _xll.IMDP("IR", $B65, H$6, $C$4, "fill=true")))</f>
        <v/>
      </c>
      <c r="I65" s="101" t="str">
        <f ca="1">IF($B65="", "", IF(_xll.IMDP("IR", $B65, I$6, $C$4, "fill=true")=0, "", _xll.IMDP("IR", $B65, I$6, $C$4, "fill=true")))</f>
        <v/>
      </c>
      <c r="J65" s="101" t="str">
        <f ca="1">IF($B65="", "", IF(_xll.IMDP("IR", $B65, J$6, $C$4, "fill=true")=0, "", _xll.IMDP("IR", $B65, J$6, $C$4, "fill=true")))</f>
        <v/>
      </c>
      <c r="K65" s="101" t="str">
        <f ca="1">IF($B65="", "", IF(_xll.IMDP("IR", $B65, K$6, $C$4, "fill=true")=0, "", _xll.IMDP("IR", $B65, K$6, $C$4, "fill=true")))</f>
        <v/>
      </c>
      <c r="L65" s="101" t="str">
        <f ca="1">IF($B65="", "", IF(_xll.IMDP("IR", $B65, L$6, $C$4, "fill=true")=0, "", _xll.IMDP("IR", $B65, L$6, $C$4, "fill=true")))</f>
        <v/>
      </c>
      <c r="M65" s="101" t="str">
        <f ca="1">IF($B65="", "", IF(_xll.IMDP("IR", $B65, M$6, $C$4, "fill=true")=0, "", _xll.IMDP("IR", $B65, M$6, $C$4, "fill=true")))</f>
        <v/>
      </c>
      <c r="N65" s="101" t="str">
        <f ca="1">IF($B65="", "", IF(_xll.IMDP("IR", $B65, N$6, $C$4, "fill=true")=0, "", _xll.IMDP("IR", $B65, N$6, $C$4, "fill=true")))</f>
        <v/>
      </c>
      <c r="O65" s="101" t="str">
        <f ca="1">IF($B65="", "", IF(_xll.IMDP("IR", $B65, O$6, $C$4, "fill=true")=0, "", _xll.IMDP("IR", $B65, O$6, $C$4, "fill=true")))</f>
        <v/>
      </c>
      <c r="P65" s="101" t="str">
        <f ca="1">IF($B65="", "", IF(_xll.IMDP("IR", $B65, P$6, $C$4, "fill=true")=0, "", _xll.IMDP("IR", $B65, P$6, $C$4, "fill=true")))</f>
        <v/>
      </c>
      <c r="Q65" s="102" t="str">
        <f ca="1">IF($B65="", "", IF(_xll.IMDP("IR", $B65, Q$6, $C$4, "fill=true")=0, "", _xll.IMDP("IR", $B65, Q$6, $C$4, "fill=true")))</f>
        <v/>
      </c>
    </row>
    <row r="66" spans="2:17" s="83" customFormat="1" ht="13.5">
      <c r="B66" s="83" t="str">
        <f ca="1">IFERROR( VLOOKUP(ROW()-ROW($B$6), code!$G$51:$K$1483, 5, 0), "")</f>
        <v/>
      </c>
      <c r="C66" s="96" t="str">
        <f ca="1">IF($B66="", "", _xll.IMDP("IR", $B66, "1일", $C$4, "fill=true, disp=date"))</f>
        <v/>
      </c>
      <c r="D66" s="97" t="str">
        <f ca="1">IF($B66="", "", VLOOKUP(ROW()-ROW($B$6), code!$G$51:$K$1483, 2, 0) )</f>
        <v/>
      </c>
      <c r="E66" s="98" t="str">
        <f ca="1">IF($B66="", "", VLOOKUP(ROW()-ROW($B$6), code!$G$51:$K$1483, 3, 0) )</f>
        <v/>
      </c>
      <c r="F66" s="99" t="str">
        <f ca="1">IF($B66="", "", VLOOKUP(ROW()-ROW($B$6), code!$G$51:$K$1483, 4, 0))</f>
        <v/>
      </c>
      <c r="G66" s="100" t="str">
        <f ca="1">IF($B66="", "", IF(_xll.IMDP("IR", $B66, G$6, $C$4, "fill=true")=0, "", _xll.IMDP("IR", $B66, G$6, $C$4, "fill=true")))</f>
        <v/>
      </c>
      <c r="H66" s="101" t="str">
        <f ca="1">IF($B66="", "", IF(_xll.IMDP("IR", $B66, H$6, $C$4, "fill=true")=0, "", _xll.IMDP("IR", $B66, H$6, $C$4, "fill=true")))</f>
        <v/>
      </c>
      <c r="I66" s="101" t="str">
        <f ca="1">IF($B66="", "", IF(_xll.IMDP("IR", $B66, I$6, $C$4, "fill=true")=0, "", _xll.IMDP("IR", $B66, I$6, $C$4, "fill=true")))</f>
        <v/>
      </c>
      <c r="J66" s="101" t="str">
        <f ca="1">IF($B66="", "", IF(_xll.IMDP("IR", $B66, J$6, $C$4, "fill=true")=0, "", _xll.IMDP("IR", $B66, J$6, $C$4, "fill=true")))</f>
        <v/>
      </c>
      <c r="K66" s="101" t="str">
        <f ca="1">IF($B66="", "", IF(_xll.IMDP("IR", $B66, K$6, $C$4, "fill=true")=0, "", _xll.IMDP("IR", $B66, K$6, $C$4, "fill=true")))</f>
        <v/>
      </c>
      <c r="L66" s="101" t="str">
        <f ca="1">IF($B66="", "", IF(_xll.IMDP("IR", $B66, L$6, $C$4, "fill=true")=0, "", _xll.IMDP("IR", $B66, L$6, $C$4, "fill=true")))</f>
        <v/>
      </c>
      <c r="M66" s="101" t="str">
        <f ca="1">IF($B66="", "", IF(_xll.IMDP("IR", $B66, M$6, $C$4, "fill=true")=0, "", _xll.IMDP("IR", $B66, M$6, $C$4, "fill=true")))</f>
        <v/>
      </c>
      <c r="N66" s="101" t="str">
        <f ca="1">IF($B66="", "", IF(_xll.IMDP("IR", $B66, N$6, $C$4, "fill=true")=0, "", _xll.IMDP("IR", $B66, N$6, $C$4, "fill=true")))</f>
        <v/>
      </c>
      <c r="O66" s="101" t="str">
        <f ca="1">IF($B66="", "", IF(_xll.IMDP("IR", $B66, O$6, $C$4, "fill=true")=0, "", _xll.IMDP("IR", $B66, O$6, $C$4, "fill=true")))</f>
        <v/>
      </c>
      <c r="P66" s="101" t="str">
        <f ca="1">IF($B66="", "", IF(_xll.IMDP("IR", $B66, P$6, $C$4, "fill=true")=0, "", _xll.IMDP("IR", $B66, P$6, $C$4, "fill=true")))</f>
        <v/>
      </c>
      <c r="Q66" s="102" t="str">
        <f ca="1">IF($B66="", "", IF(_xll.IMDP("IR", $B66, Q$6, $C$4, "fill=true")=0, "", _xll.IMDP("IR", $B66, Q$6, $C$4, "fill=true")))</f>
        <v/>
      </c>
    </row>
    <row r="67" spans="2:17" s="83" customFormat="1" ht="13.5">
      <c r="B67" s="83" t="str">
        <f ca="1">IFERROR( VLOOKUP(ROW()-ROW($B$6), code!$G$51:$K$1483, 5, 0), "")</f>
        <v/>
      </c>
      <c r="C67" s="96" t="str">
        <f ca="1">IF($B67="", "", _xll.IMDP("IR", $B67, "1일", $C$4, "fill=true, disp=date"))</f>
        <v/>
      </c>
      <c r="D67" s="97" t="str">
        <f ca="1">IF($B67="", "", VLOOKUP(ROW()-ROW($B$6), code!$G$51:$K$1483, 2, 0) )</f>
        <v/>
      </c>
      <c r="E67" s="98" t="str">
        <f ca="1">IF($B67="", "", VLOOKUP(ROW()-ROW($B$6), code!$G$51:$K$1483, 3, 0) )</f>
        <v/>
      </c>
      <c r="F67" s="99" t="str">
        <f ca="1">IF($B67="", "", VLOOKUP(ROW()-ROW($B$6), code!$G$51:$K$1483, 4, 0))</f>
        <v/>
      </c>
      <c r="G67" s="100" t="str">
        <f ca="1">IF($B67="", "", IF(_xll.IMDP("IR", $B67, G$6, $C$4, "fill=true")=0, "", _xll.IMDP("IR", $B67, G$6, $C$4, "fill=true")))</f>
        <v/>
      </c>
      <c r="H67" s="101" t="str">
        <f ca="1">IF($B67="", "", IF(_xll.IMDP("IR", $B67, H$6, $C$4, "fill=true")=0, "", _xll.IMDP("IR", $B67, H$6, $C$4, "fill=true")))</f>
        <v/>
      </c>
      <c r="I67" s="101" t="str">
        <f ca="1">IF($B67="", "", IF(_xll.IMDP("IR", $B67, I$6, $C$4, "fill=true")=0, "", _xll.IMDP("IR", $B67, I$6, $C$4, "fill=true")))</f>
        <v/>
      </c>
      <c r="J67" s="101" t="str">
        <f ca="1">IF($B67="", "", IF(_xll.IMDP("IR", $B67, J$6, $C$4, "fill=true")=0, "", _xll.IMDP("IR", $B67, J$6, $C$4, "fill=true")))</f>
        <v/>
      </c>
      <c r="K67" s="101" t="str">
        <f ca="1">IF($B67="", "", IF(_xll.IMDP("IR", $B67, K$6, $C$4, "fill=true")=0, "", _xll.IMDP("IR", $B67, K$6, $C$4, "fill=true")))</f>
        <v/>
      </c>
      <c r="L67" s="101" t="str">
        <f ca="1">IF($B67="", "", IF(_xll.IMDP("IR", $B67, L$6, $C$4, "fill=true")=0, "", _xll.IMDP("IR", $B67, L$6, $C$4, "fill=true")))</f>
        <v/>
      </c>
      <c r="M67" s="101" t="str">
        <f ca="1">IF($B67="", "", IF(_xll.IMDP("IR", $B67, M$6, $C$4, "fill=true")=0, "", _xll.IMDP("IR", $B67, M$6, $C$4, "fill=true")))</f>
        <v/>
      </c>
      <c r="N67" s="101" t="str">
        <f ca="1">IF($B67="", "", IF(_xll.IMDP("IR", $B67, N$6, $C$4, "fill=true")=0, "", _xll.IMDP("IR", $B67, N$6, $C$4, "fill=true")))</f>
        <v/>
      </c>
      <c r="O67" s="101" t="str">
        <f ca="1">IF($B67="", "", IF(_xll.IMDP("IR", $B67, O$6, $C$4, "fill=true")=0, "", _xll.IMDP("IR", $B67, O$6, $C$4, "fill=true")))</f>
        <v/>
      </c>
      <c r="P67" s="101" t="str">
        <f ca="1">IF($B67="", "", IF(_xll.IMDP("IR", $B67, P$6, $C$4, "fill=true")=0, "", _xll.IMDP("IR", $B67, P$6, $C$4, "fill=true")))</f>
        <v/>
      </c>
      <c r="Q67" s="102" t="str">
        <f ca="1">IF($B67="", "", IF(_xll.IMDP("IR", $B67, Q$6, $C$4, "fill=true")=0, "", _xll.IMDP("IR", $B67, Q$6, $C$4, "fill=true")))</f>
        <v/>
      </c>
    </row>
    <row r="68" spans="2:17" s="83" customFormat="1" ht="13.5">
      <c r="B68" s="83" t="str">
        <f ca="1">IFERROR( VLOOKUP(ROW()-ROW($B$6), code!$G$51:$K$1483, 5, 0), "")</f>
        <v/>
      </c>
      <c r="C68" s="96" t="str">
        <f ca="1">IF($B68="", "", _xll.IMDP("IR", $B68, "1일", $C$4, "fill=true, disp=date"))</f>
        <v/>
      </c>
      <c r="D68" s="97" t="str">
        <f ca="1">IF($B68="", "", VLOOKUP(ROW()-ROW($B$6), code!$G$51:$K$1483, 2, 0) )</f>
        <v/>
      </c>
      <c r="E68" s="98" t="str">
        <f ca="1">IF($B68="", "", VLOOKUP(ROW()-ROW($B$6), code!$G$51:$K$1483, 3, 0) )</f>
        <v/>
      </c>
      <c r="F68" s="99" t="str">
        <f ca="1">IF($B68="", "", VLOOKUP(ROW()-ROW($B$6), code!$G$51:$K$1483, 4, 0))</f>
        <v/>
      </c>
      <c r="G68" s="100" t="str">
        <f ca="1">IF($B68="", "", IF(_xll.IMDP("IR", $B68, G$6, $C$4, "fill=true")=0, "", _xll.IMDP("IR", $B68, G$6, $C$4, "fill=true")))</f>
        <v/>
      </c>
      <c r="H68" s="101" t="str">
        <f ca="1">IF($B68="", "", IF(_xll.IMDP("IR", $B68, H$6, $C$4, "fill=true")=0, "", _xll.IMDP("IR", $B68, H$6, $C$4, "fill=true")))</f>
        <v/>
      </c>
      <c r="I68" s="101" t="str">
        <f ca="1">IF($B68="", "", IF(_xll.IMDP("IR", $B68, I$6, $C$4, "fill=true")=0, "", _xll.IMDP("IR", $B68, I$6, $C$4, "fill=true")))</f>
        <v/>
      </c>
      <c r="J68" s="101" t="str">
        <f ca="1">IF($B68="", "", IF(_xll.IMDP("IR", $B68, J$6, $C$4, "fill=true")=0, "", _xll.IMDP("IR", $B68, J$6, $C$4, "fill=true")))</f>
        <v/>
      </c>
      <c r="K68" s="101" t="str">
        <f ca="1">IF($B68="", "", IF(_xll.IMDP("IR", $B68, K$6, $C$4, "fill=true")=0, "", _xll.IMDP("IR", $B68, K$6, $C$4, "fill=true")))</f>
        <v/>
      </c>
      <c r="L68" s="101" t="str">
        <f ca="1">IF($B68="", "", IF(_xll.IMDP("IR", $B68, L$6, $C$4, "fill=true")=0, "", _xll.IMDP("IR", $B68, L$6, $C$4, "fill=true")))</f>
        <v/>
      </c>
      <c r="M68" s="101" t="str">
        <f ca="1">IF($B68="", "", IF(_xll.IMDP("IR", $B68, M$6, $C$4, "fill=true")=0, "", _xll.IMDP("IR", $B68, M$6, $C$4, "fill=true")))</f>
        <v/>
      </c>
      <c r="N68" s="101" t="str">
        <f ca="1">IF($B68="", "", IF(_xll.IMDP("IR", $B68, N$6, $C$4, "fill=true")=0, "", _xll.IMDP("IR", $B68, N$6, $C$4, "fill=true")))</f>
        <v/>
      </c>
      <c r="O68" s="101" t="str">
        <f ca="1">IF($B68="", "", IF(_xll.IMDP("IR", $B68, O$6, $C$4, "fill=true")=0, "", _xll.IMDP("IR", $B68, O$6, $C$4, "fill=true")))</f>
        <v/>
      </c>
      <c r="P68" s="101" t="str">
        <f ca="1">IF($B68="", "", IF(_xll.IMDP("IR", $B68, P$6, $C$4, "fill=true")=0, "", _xll.IMDP("IR", $B68, P$6, $C$4, "fill=true")))</f>
        <v/>
      </c>
      <c r="Q68" s="102" t="str">
        <f ca="1">IF($B68="", "", IF(_xll.IMDP("IR", $B68, Q$6, $C$4, "fill=true")=0, "", _xll.IMDP("IR", $B68, Q$6, $C$4, "fill=true")))</f>
        <v/>
      </c>
    </row>
    <row r="69" spans="2:17" s="83" customFormat="1" ht="13.5">
      <c r="B69" s="83" t="str">
        <f ca="1">IFERROR( VLOOKUP(ROW()-ROW($B$6), code!$G$51:$K$1483, 5, 0), "")</f>
        <v/>
      </c>
      <c r="C69" s="96" t="str">
        <f ca="1">IF($B69="", "", _xll.IMDP("IR", $B69, "1일", $C$4, "fill=true, disp=date"))</f>
        <v/>
      </c>
      <c r="D69" s="97" t="str">
        <f ca="1">IF($B69="", "", VLOOKUP(ROW()-ROW($B$6), code!$G$51:$K$1483, 2, 0) )</f>
        <v/>
      </c>
      <c r="E69" s="98" t="str">
        <f ca="1">IF($B69="", "", VLOOKUP(ROW()-ROW($B$6), code!$G$51:$K$1483, 3, 0) )</f>
        <v/>
      </c>
      <c r="F69" s="99" t="str">
        <f ca="1">IF($B69="", "", VLOOKUP(ROW()-ROW($B$6), code!$G$51:$K$1483, 4, 0))</f>
        <v/>
      </c>
      <c r="G69" s="100" t="str">
        <f ca="1">IF($B69="", "", IF(_xll.IMDP("IR", $B69, G$6, $C$4, "fill=true")=0, "", _xll.IMDP("IR", $B69, G$6, $C$4, "fill=true")))</f>
        <v/>
      </c>
      <c r="H69" s="101" t="str">
        <f ca="1">IF($B69="", "", IF(_xll.IMDP("IR", $B69, H$6, $C$4, "fill=true")=0, "", _xll.IMDP("IR", $B69, H$6, $C$4, "fill=true")))</f>
        <v/>
      </c>
      <c r="I69" s="101" t="str">
        <f ca="1">IF($B69="", "", IF(_xll.IMDP("IR", $B69, I$6, $C$4, "fill=true")=0, "", _xll.IMDP("IR", $B69, I$6, $C$4, "fill=true")))</f>
        <v/>
      </c>
      <c r="J69" s="101" t="str">
        <f ca="1">IF($B69="", "", IF(_xll.IMDP("IR", $B69, J$6, $C$4, "fill=true")=0, "", _xll.IMDP("IR", $B69, J$6, $C$4, "fill=true")))</f>
        <v/>
      </c>
      <c r="K69" s="101" t="str">
        <f ca="1">IF($B69="", "", IF(_xll.IMDP("IR", $B69, K$6, $C$4, "fill=true")=0, "", _xll.IMDP("IR", $B69, K$6, $C$4, "fill=true")))</f>
        <v/>
      </c>
      <c r="L69" s="101" t="str">
        <f ca="1">IF($B69="", "", IF(_xll.IMDP("IR", $B69, L$6, $C$4, "fill=true")=0, "", _xll.IMDP("IR", $B69, L$6, $C$4, "fill=true")))</f>
        <v/>
      </c>
      <c r="M69" s="101" t="str">
        <f ca="1">IF($B69="", "", IF(_xll.IMDP("IR", $B69, M$6, $C$4, "fill=true")=0, "", _xll.IMDP("IR", $B69, M$6, $C$4, "fill=true")))</f>
        <v/>
      </c>
      <c r="N69" s="101" t="str">
        <f ca="1">IF($B69="", "", IF(_xll.IMDP("IR", $B69, N$6, $C$4, "fill=true")=0, "", _xll.IMDP("IR", $B69, N$6, $C$4, "fill=true")))</f>
        <v/>
      </c>
      <c r="O69" s="101" t="str">
        <f ca="1">IF($B69="", "", IF(_xll.IMDP("IR", $B69, O$6, $C$4, "fill=true")=0, "", _xll.IMDP("IR", $B69, O$6, $C$4, "fill=true")))</f>
        <v/>
      </c>
      <c r="P69" s="101" t="str">
        <f ca="1">IF($B69="", "", IF(_xll.IMDP("IR", $B69, P$6, $C$4, "fill=true")=0, "", _xll.IMDP("IR", $B69, P$6, $C$4, "fill=true")))</f>
        <v/>
      </c>
      <c r="Q69" s="102" t="str">
        <f ca="1">IF($B69="", "", IF(_xll.IMDP("IR", $B69, Q$6, $C$4, "fill=true")=0, "", _xll.IMDP("IR", $B69, Q$6, $C$4, "fill=true")))</f>
        <v/>
      </c>
    </row>
    <row r="70" spans="2:17" s="83" customFormat="1" ht="13.5">
      <c r="B70" s="83" t="str">
        <f ca="1">IFERROR( VLOOKUP(ROW()-ROW($B$6), code!$G$51:$K$1483, 5, 0), "")</f>
        <v/>
      </c>
      <c r="C70" s="96" t="str">
        <f ca="1">IF($B70="", "", _xll.IMDP("IR", $B70, "1일", $C$4, "fill=true, disp=date"))</f>
        <v/>
      </c>
      <c r="D70" s="97" t="str">
        <f ca="1">IF($B70="", "", VLOOKUP(ROW()-ROW($B$6), code!$G$51:$K$1483, 2, 0) )</f>
        <v/>
      </c>
      <c r="E70" s="98" t="str">
        <f ca="1">IF($B70="", "", VLOOKUP(ROW()-ROW($B$6), code!$G$51:$K$1483, 3, 0) )</f>
        <v/>
      </c>
      <c r="F70" s="99" t="str">
        <f ca="1">IF($B70="", "", VLOOKUP(ROW()-ROW($B$6), code!$G$51:$K$1483, 4, 0))</f>
        <v/>
      </c>
      <c r="G70" s="100" t="str">
        <f ca="1">IF($B70="", "", IF(_xll.IMDP("IR", $B70, G$6, $C$4, "fill=true")=0, "", _xll.IMDP("IR", $B70, G$6, $C$4, "fill=true")))</f>
        <v/>
      </c>
      <c r="H70" s="101" t="str">
        <f ca="1">IF($B70="", "", IF(_xll.IMDP("IR", $B70, H$6, $C$4, "fill=true")=0, "", _xll.IMDP("IR", $B70, H$6, $C$4, "fill=true")))</f>
        <v/>
      </c>
      <c r="I70" s="101" t="str">
        <f ca="1">IF($B70="", "", IF(_xll.IMDP("IR", $B70, I$6, $C$4, "fill=true")=0, "", _xll.IMDP("IR", $B70, I$6, $C$4, "fill=true")))</f>
        <v/>
      </c>
      <c r="J70" s="101" t="str">
        <f ca="1">IF($B70="", "", IF(_xll.IMDP("IR", $B70, J$6, $C$4, "fill=true")=0, "", _xll.IMDP("IR", $B70, J$6, $C$4, "fill=true")))</f>
        <v/>
      </c>
      <c r="K70" s="101" t="str">
        <f ca="1">IF($B70="", "", IF(_xll.IMDP("IR", $B70, K$6, $C$4, "fill=true")=0, "", _xll.IMDP("IR", $B70, K$6, $C$4, "fill=true")))</f>
        <v/>
      </c>
      <c r="L70" s="101" t="str">
        <f ca="1">IF($B70="", "", IF(_xll.IMDP("IR", $B70, L$6, $C$4, "fill=true")=0, "", _xll.IMDP("IR", $B70, L$6, $C$4, "fill=true")))</f>
        <v/>
      </c>
      <c r="M70" s="101" t="str">
        <f ca="1">IF($B70="", "", IF(_xll.IMDP("IR", $B70, M$6, $C$4, "fill=true")=0, "", _xll.IMDP("IR", $B70, M$6, $C$4, "fill=true")))</f>
        <v/>
      </c>
      <c r="N70" s="101" t="str">
        <f ca="1">IF($B70="", "", IF(_xll.IMDP("IR", $B70, N$6, $C$4, "fill=true")=0, "", _xll.IMDP("IR", $B70, N$6, $C$4, "fill=true")))</f>
        <v/>
      </c>
      <c r="O70" s="101" t="str">
        <f ca="1">IF($B70="", "", IF(_xll.IMDP("IR", $B70, O$6, $C$4, "fill=true")=0, "", _xll.IMDP("IR", $B70, O$6, $C$4, "fill=true")))</f>
        <v/>
      </c>
      <c r="P70" s="101" t="str">
        <f ca="1">IF($B70="", "", IF(_xll.IMDP("IR", $B70, P$6, $C$4, "fill=true")=0, "", _xll.IMDP("IR", $B70, P$6, $C$4, "fill=true")))</f>
        <v/>
      </c>
      <c r="Q70" s="102" t="str">
        <f ca="1">IF($B70="", "", IF(_xll.IMDP("IR", $B70, Q$6, $C$4, "fill=true")=0, "", _xll.IMDP("IR", $B70, Q$6, $C$4, "fill=true")))</f>
        <v/>
      </c>
    </row>
    <row r="71" spans="2:17" s="83" customFormat="1" ht="13.5">
      <c r="B71" s="83" t="str">
        <f ca="1">IFERROR( VLOOKUP(ROW()-ROW($B$6), code!$G$51:$K$1483, 5, 0), "")</f>
        <v/>
      </c>
      <c r="C71" s="96" t="str">
        <f ca="1">IF($B71="", "", _xll.IMDP("IR", $B71, "1일", $C$4, "fill=true, disp=date"))</f>
        <v/>
      </c>
      <c r="D71" s="97" t="str">
        <f ca="1">IF($B71="", "", VLOOKUP(ROW()-ROW($B$6), code!$G$51:$K$1483, 2, 0) )</f>
        <v/>
      </c>
      <c r="E71" s="98" t="str">
        <f ca="1">IF($B71="", "", VLOOKUP(ROW()-ROW($B$6), code!$G$51:$K$1483, 3, 0) )</f>
        <v/>
      </c>
      <c r="F71" s="99" t="str">
        <f ca="1">IF($B71="", "", VLOOKUP(ROW()-ROW($B$6), code!$G$51:$K$1483, 4, 0))</f>
        <v/>
      </c>
      <c r="G71" s="100" t="str">
        <f ca="1">IF($B71="", "", IF(_xll.IMDP("IR", $B71, G$6, $C$4, "fill=true")=0, "", _xll.IMDP("IR", $B71, G$6, $C$4, "fill=true")))</f>
        <v/>
      </c>
      <c r="H71" s="101" t="str">
        <f ca="1">IF($B71="", "", IF(_xll.IMDP("IR", $B71, H$6, $C$4, "fill=true")=0, "", _xll.IMDP("IR", $B71, H$6, $C$4, "fill=true")))</f>
        <v/>
      </c>
      <c r="I71" s="101" t="str">
        <f ca="1">IF($B71="", "", IF(_xll.IMDP("IR", $B71, I$6, $C$4, "fill=true")=0, "", _xll.IMDP("IR", $B71, I$6, $C$4, "fill=true")))</f>
        <v/>
      </c>
      <c r="J71" s="101" t="str">
        <f ca="1">IF($B71="", "", IF(_xll.IMDP("IR", $B71, J$6, $C$4, "fill=true")=0, "", _xll.IMDP("IR", $B71, J$6, $C$4, "fill=true")))</f>
        <v/>
      </c>
      <c r="K71" s="101" t="str">
        <f ca="1">IF($B71="", "", IF(_xll.IMDP("IR", $B71, K$6, $C$4, "fill=true")=0, "", _xll.IMDP("IR", $B71, K$6, $C$4, "fill=true")))</f>
        <v/>
      </c>
      <c r="L71" s="101" t="str">
        <f ca="1">IF($B71="", "", IF(_xll.IMDP("IR", $B71, L$6, $C$4, "fill=true")=0, "", _xll.IMDP("IR", $B71, L$6, $C$4, "fill=true")))</f>
        <v/>
      </c>
      <c r="M71" s="101" t="str">
        <f ca="1">IF($B71="", "", IF(_xll.IMDP("IR", $B71, M$6, $C$4, "fill=true")=0, "", _xll.IMDP("IR", $B71, M$6, $C$4, "fill=true")))</f>
        <v/>
      </c>
      <c r="N71" s="101" t="str">
        <f ca="1">IF($B71="", "", IF(_xll.IMDP("IR", $B71, N$6, $C$4, "fill=true")=0, "", _xll.IMDP("IR", $B71, N$6, $C$4, "fill=true")))</f>
        <v/>
      </c>
      <c r="O71" s="101" t="str">
        <f ca="1">IF($B71="", "", IF(_xll.IMDP("IR", $B71, O$6, $C$4, "fill=true")=0, "", _xll.IMDP("IR", $B71, O$6, $C$4, "fill=true")))</f>
        <v/>
      </c>
      <c r="P71" s="101" t="str">
        <f ca="1">IF($B71="", "", IF(_xll.IMDP("IR", $B71, P$6, $C$4, "fill=true")=0, "", _xll.IMDP("IR", $B71, P$6, $C$4, "fill=true")))</f>
        <v/>
      </c>
      <c r="Q71" s="102" t="str">
        <f ca="1">IF($B71="", "", IF(_xll.IMDP("IR", $B71, Q$6, $C$4, "fill=true")=0, "", _xll.IMDP("IR", $B71, Q$6, $C$4, "fill=true")))</f>
        <v/>
      </c>
    </row>
    <row r="72" spans="2:17" s="83" customFormat="1" ht="13.5">
      <c r="B72" s="83" t="str">
        <f ca="1">IFERROR( VLOOKUP(ROW()-ROW($B$6), code!$G$51:$K$1483, 5, 0), "")</f>
        <v/>
      </c>
      <c r="C72" s="96" t="str">
        <f ca="1">IF($B72="", "", _xll.IMDP("IR", $B72, "1일", $C$4, "fill=true, disp=date"))</f>
        <v/>
      </c>
      <c r="D72" s="97" t="str">
        <f ca="1">IF($B72="", "", VLOOKUP(ROW()-ROW($B$6), code!$G$51:$K$1483, 2, 0) )</f>
        <v/>
      </c>
      <c r="E72" s="98" t="str">
        <f ca="1">IF($B72="", "", VLOOKUP(ROW()-ROW($B$6), code!$G$51:$K$1483, 3, 0) )</f>
        <v/>
      </c>
      <c r="F72" s="99" t="str">
        <f ca="1">IF($B72="", "", VLOOKUP(ROW()-ROW($B$6), code!$G$51:$K$1483, 4, 0))</f>
        <v/>
      </c>
      <c r="G72" s="100" t="str">
        <f ca="1">IF($B72="", "", IF(_xll.IMDP("IR", $B72, G$6, $C$4, "fill=true")=0, "", _xll.IMDP("IR", $B72, G$6, $C$4, "fill=true")))</f>
        <v/>
      </c>
      <c r="H72" s="101" t="str">
        <f ca="1">IF($B72="", "", IF(_xll.IMDP("IR", $B72, H$6, $C$4, "fill=true")=0, "", _xll.IMDP("IR", $B72, H$6, $C$4, "fill=true")))</f>
        <v/>
      </c>
      <c r="I72" s="101" t="str">
        <f ca="1">IF($B72="", "", IF(_xll.IMDP("IR", $B72, I$6, $C$4, "fill=true")=0, "", _xll.IMDP("IR", $B72, I$6, $C$4, "fill=true")))</f>
        <v/>
      </c>
      <c r="J72" s="101" t="str">
        <f ca="1">IF($B72="", "", IF(_xll.IMDP("IR", $B72, J$6, $C$4, "fill=true")=0, "", _xll.IMDP("IR", $B72, J$6, $C$4, "fill=true")))</f>
        <v/>
      </c>
      <c r="K72" s="101" t="str">
        <f ca="1">IF($B72="", "", IF(_xll.IMDP("IR", $B72, K$6, $C$4, "fill=true")=0, "", _xll.IMDP("IR", $B72, K$6, $C$4, "fill=true")))</f>
        <v/>
      </c>
      <c r="L72" s="101" t="str">
        <f ca="1">IF($B72="", "", IF(_xll.IMDP("IR", $B72, L$6, $C$4, "fill=true")=0, "", _xll.IMDP("IR", $B72, L$6, $C$4, "fill=true")))</f>
        <v/>
      </c>
      <c r="M72" s="101" t="str">
        <f ca="1">IF($B72="", "", IF(_xll.IMDP("IR", $B72, M$6, $C$4, "fill=true")=0, "", _xll.IMDP("IR", $B72, M$6, $C$4, "fill=true")))</f>
        <v/>
      </c>
      <c r="N72" s="101" t="str">
        <f ca="1">IF($B72="", "", IF(_xll.IMDP("IR", $B72, N$6, $C$4, "fill=true")=0, "", _xll.IMDP("IR", $B72, N$6, $C$4, "fill=true")))</f>
        <v/>
      </c>
      <c r="O72" s="101" t="str">
        <f ca="1">IF($B72="", "", IF(_xll.IMDP("IR", $B72, O$6, $C$4, "fill=true")=0, "", _xll.IMDP("IR", $B72, O$6, $C$4, "fill=true")))</f>
        <v/>
      </c>
      <c r="P72" s="101" t="str">
        <f ca="1">IF($B72="", "", IF(_xll.IMDP("IR", $B72, P$6, $C$4, "fill=true")=0, "", _xll.IMDP("IR", $B72, P$6, $C$4, "fill=true")))</f>
        <v/>
      </c>
      <c r="Q72" s="102" t="str">
        <f ca="1">IF($B72="", "", IF(_xll.IMDP("IR", $B72, Q$6, $C$4, "fill=true")=0, "", _xll.IMDP("IR", $B72, Q$6, $C$4, "fill=true")))</f>
        <v/>
      </c>
    </row>
    <row r="73" spans="2:17" s="83" customFormat="1" ht="13.5">
      <c r="B73" s="83" t="str">
        <f ca="1">IFERROR( VLOOKUP(ROW()-ROW($B$6), code!$G$51:$K$1483, 5, 0), "")</f>
        <v/>
      </c>
      <c r="C73" s="96" t="str">
        <f ca="1">IF($B73="", "", _xll.IMDP("IR", $B73, "1일", $C$4, "fill=true, disp=date"))</f>
        <v/>
      </c>
      <c r="D73" s="97" t="str">
        <f ca="1">IF($B73="", "", VLOOKUP(ROW()-ROW($B$6), code!$G$51:$K$1483, 2, 0) )</f>
        <v/>
      </c>
      <c r="E73" s="98" t="str">
        <f ca="1">IF($B73="", "", VLOOKUP(ROW()-ROW($B$6), code!$G$51:$K$1483, 3, 0) )</f>
        <v/>
      </c>
      <c r="F73" s="99" t="str">
        <f ca="1">IF($B73="", "", VLOOKUP(ROW()-ROW($B$6), code!$G$51:$K$1483, 4, 0))</f>
        <v/>
      </c>
      <c r="G73" s="100" t="str">
        <f ca="1">IF($B73="", "", IF(_xll.IMDP("IR", $B73, G$6, $C$4, "fill=true")=0, "", _xll.IMDP("IR", $B73, G$6, $C$4, "fill=true")))</f>
        <v/>
      </c>
      <c r="H73" s="101" t="str">
        <f ca="1">IF($B73="", "", IF(_xll.IMDP("IR", $B73, H$6, $C$4, "fill=true")=0, "", _xll.IMDP("IR", $B73, H$6, $C$4, "fill=true")))</f>
        <v/>
      </c>
      <c r="I73" s="101" t="str">
        <f ca="1">IF($B73="", "", IF(_xll.IMDP("IR", $B73, I$6, $C$4, "fill=true")=0, "", _xll.IMDP("IR", $B73, I$6, $C$4, "fill=true")))</f>
        <v/>
      </c>
      <c r="J73" s="101" t="str">
        <f ca="1">IF($B73="", "", IF(_xll.IMDP("IR", $B73, J$6, $C$4, "fill=true")=0, "", _xll.IMDP("IR", $B73, J$6, $C$4, "fill=true")))</f>
        <v/>
      </c>
      <c r="K73" s="101" t="str">
        <f ca="1">IF($B73="", "", IF(_xll.IMDP("IR", $B73, K$6, $C$4, "fill=true")=0, "", _xll.IMDP("IR", $B73, K$6, $C$4, "fill=true")))</f>
        <v/>
      </c>
      <c r="L73" s="101" t="str">
        <f ca="1">IF($B73="", "", IF(_xll.IMDP("IR", $B73, L$6, $C$4, "fill=true")=0, "", _xll.IMDP("IR", $B73, L$6, $C$4, "fill=true")))</f>
        <v/>
      </c>
      <c r="M73" s="101" t="str">
        <f ca="1">IF($B73="", "", IF(_xll.IMDP("IR", $B73, M$6, $C$4, "fill=true")=0, "", _xll.IMDP("IR", $B73, M$6, $C$4, "fill=true")))</f>
        <v/>
      </c>
      <c r="N73" s="101" t="str">
        <f ca="1">IF($B73="", "", IF(_xll.IMDP("IR", $B73, N$6, $C$4, "fill=true")=0, "", _xll.IMDP("IR", $B73, N$6, $C$4, "fill=true")))</f>
        <v/>
      </c>
      <c r="O73" s="101" t="str">
        <f ca="1">IF($B73="", "", IF(_xll.IMDP("IR", $B73, O$6, $C$4, "fill=true")=0, "", _xll.IMDP("IR", $B73, O$6, $C$4, "fill=true")))</f>
        <v/>
      </c>
      <c r="P73" s="101" t="str">
        <f ca="1">IF($B73="", "", IF(_xll.IMDP("IR", $B73, P$6, $C$4, "fill=true")=0, "", _xll.IMDP("IR", $B73, P$6, $C$4, "fill=true")))</f>
        <v/>
      </c>
      <c r="Q73" s="102" t="str">
        <f ca="1">IF($B73="", "", IF(_xll.IMDP("IR", $B73, Q$6, $C$4, "fill=true")=0, "", _xll.IMDP("IR", $B73, Q$6, $C$4, "fill=true")))</f>
        <v/>
      </c>
    </row>
    <row r="74" spans="2:17" s="83" customFormat="1" ht="13.5">
      <c r="B74" s="83" t="str">
        <f ca="1">IFERROR( VLOOKUP(ROW()-ROW($B$6), code!$G$51:$K$1483, 5, 0), "")</f>
        <v/>
      </c>
      <c r="C74" s="96" t="str">
        <f ca="1">IF($B74="", "", _xll.IMDP("IR", $B74, "1일", $C$4, "fill=true, disp=date"))</f>
        <v/>
      </c>
      <c r="D74" s="97" t="str">
        <f ca="1">IF($B74="", "", VLOOKUP(ROW()-ROW($B$6), code!$G$51:$K$1483, 2, 0) )</f>
        <v/>
      </c>
      <c r="E74" s="98" t="str">
        <f ca="1">IF($B74="", "", VLOOKUP(ROW()-ROW($B$6), code!$G$51:$K$1483, 3, 0) )</f>
        <v/>
      </c>
      <c r="F74" s="99" t="str">
        <f ca="1">IF($B74="", "", VLOOKUP(ROW()-ROW($B$6), code!$G$51:$K$1483, 4, 0))</f>
        <v/>
      </c>
      <c r="G74" s="100" t="str">
        <f ca="1">IF($B74="", "", IF(_xll.IMDP("IR", $B74, G$6, $C$4, "fill=true")=0, "", _xll.IMDP("IR", $B74, G$6, $C$4, "fill=true")))</f>
        <v/>
      </c>
      <c r="H74" s="101" t="str">
        <f ca="1">IF($B74="", "", IF(_xll.IMDP("IR", $B74, H$6, $C$4, "fill=true")=0, "", _xll.IMDP("IR", $B74, H$6, $C$4, "fill=true")))</f>
        <v/>
      </c>
      <c r="I74" s="101" t="str">
        <f ca="1">IF($B74="", "", IF(_xll.IMDP("IR", $B74, I$6, $C$4, "fill=true")=0, "", _xll.IMDP("IR", $B74, I$6, $C$4, "fill=true")))</f>
        <v/>
      </c>
      <c r="J74" s="101" t="str">
        <f ca="1">IF($B74="", "", IF(_xll.IMDP("IR", $B74, J$6, $C$4, "fill=true")=0, "", _xll.IMDP("IR", $B74, J$6, $C$4, "fill=true")))</f>
        <v/>
      </c>
      <c r="K74" s="101" t="str">
        <f ca="1">IF($B74="", "", IF(_xll.IMDP("IR", $B74, K$6, $C$4, "fill=true")=0, "", _xll.IMDP("IR", $B74, K$6, $C$4, "fill=true")))</f>
        <v/>
      </c>
      <c r="L74" s="101" t="str">
        <f ca="1">IF($B74="", "", IF(_xll.IMDP("IR", $B74, L$6, $C$4, "fill=true")=0, "", _xll.IMDP("IR", $B74, L$6, $C$4, "fill=true")))</f>
        <v/>
      </c>
      <c r="M74" s="101" t="str">
        <f ca="1">IF($B74="", "", IF(_xll.IMDP("IR", $B74, M$6, $C$4, "fill=true")=0, "", _xll.IMDP("IR", $B74, M$6, $C$4, "fill=true")))</f>
        <v/>
      </c>
      <c r="N74" s="101" t="str">
        <f ca="1">IF($B74="", "", IF(_xll.IMDP("IR", $B74, N$6, $C$4, "fill=true")=0, "", _xll.IMDP("IR", $B74, N$6, $C$4, "fill=true")))</f>
        <v/>
      </c>
      <c r="O74" s="101" t="str">
        <f ca="1">IF($B74="", "", IF(_xll.IMDP("IR", $B74, O$6, $C$4, "fill=true")=0, "", _xll.IMDP("IR", $B74, O$6, $C$4, "fill=true")))</f>
        <v/>
      </c>
      <c r="P74" s="101" t="str">
        <f ca="1">IF($B74="", "", IF(_xll.IMDP("IR", $B74, P$6, $C$4, "fill=true")=0, "", _xll.IMDP("IR", $B74, P$6, $C$4, "fill=true")))</f>
        <v/>
      </c>
      <c r="Q74" s="102" t="str">
        <f ca="1">IF($B74="", "", IF(_xll.IMDP("IR", $B74, Q$6, $C$4, "fill=true")=0, "", _xll.IMDP("IR", $B74, Q$6, $C$4, "fill=true")))</f>
        <v/>
      </c>
    </row>
    <row r="75" spans="2:17" s="83" customFormat="1" ht="13.5">
      <c r="B75" s="83" t="str">
        <f ca="1">IFERROR( VLOOKUP(ROW()-ROW($B$6), code!$G$51:$K$1483, 5, 0), "")</f>
        <v/>
      </c>
      <c r="C75" s="96" t="str">
        <f ca="1">IF($B75="", "", _xll.IMDP("IR", $B75, "1일", $C$4, "fill=true, disp=date"))</f>
        <v/>
      </c>
      <c r="D75" s="97" t="str">
        <f ca="1">IF($B75="", "", VLOOKUP(ROW()-ROW($B$6), code!$G$51:$K$1483, 2, 0) )</f>
        <v/>
      </c>
      <c r="E75" s="98" t="str">
        <f ca="1">IF($B75="", "", VLOOKUP(ROW()-ROW($B$6), code!$G$51:$K$1483, 3, 0) )</f>
        <v/>
      </c>
      <c r="F75" s="99" t="str">
        <f ca="1">IF($B75="", "", VLOOKUP(ROW()-ROW($B$6), code!$G$51:$K$1483, 4, 0))</f>
        <v/>
      </c>
      <c r="G75" s="100" t="str">
        <f ca="1">IF($B75="", "", IF(_xll.IMDP("IR", $B75, G$6, $C$4, "fill=true")=0, "", _xll.IMDP("IR", $B75, G$6, $C$4, "fill=true")))</f>
        <v/>
      </c>
      <c r="H75" s="101" t="str">
        <f ca="1">IF($B75="", "", IF(_xll.IMDP("IR", $B75, H$6, $C$4, "fill=true")=0, "", _xll.IMDP("IR", $B75, H$6, $C$4, "fill=true")))</f>
        <v/>
      </c>
      <c r="I75" s="101" t="str">
        <f ca="1">IF($B75="", "", IF(_xll.IMDP("IR", $B75, I$6, $C$4, "fill=true")=0, "", _xll.IMDP("IR", $B75, I$6, $C$4, "fill=true")))</f>
        <v/>
      </c>
      <c r="J75" s="101" t="str">
        <f ca="1">IF($B75="", "", IF(_xll.IMDP("IR", $B75, J$6, $C$4, "fill=true")=0, "", _xll.IMDP("IR", $B75, J$6, $C$4, "fill=true")))</f>
        <v/>
      </c>
      <c r="K75" s="101" t="str">
        <f ca="1">IF($B75="", "", IF(_xll.IMDP("IR", $B75, K$6, $C$4, "fill=true")=0, "", _xll.IMDP("IR", $B75, K$6, $C$4, "fill=true")))</f>
        <v/>
      </c>
      <c r="L75" s="101" t="str">
        <f ca="1">IF($B75="", "", IF(_xll.IMDP("IR", $B75, L$6, $C$4, "fill=true")=0, "", _xll.IMDP("IR", $B75, L$6, $C$4, "fill=true")))</f>
        <v/>
      </c>
      <c r="M75" s="101" t="str">
        <f ca="1">IF($B75="", "", IF(_xll.IMDP("IR", $B75, M$6, $C$4, "fill=true")=0, "", _xll.IMDP("IR", $B75, M$6, $C$4, "fill=true")))</f>
        <v/>
      </c>
      <c r="N75" s="101" t="str">
        <f ca="1">IF($B75="", "", IF(_xll.IMDP("IR", $B75, N$6, $C$4, "fill=true")=0, "", _xll.IMDP("IR", $B75, N$6, $C$4, "fill=true")))</f>
        <v/>
      </c>
      <c r="O75" s="101" t="str">
        <f ca="1">IF($B75="", "", IF(_xll.IMDP("IR", $B75, O$6, $C$4, "fill=true")=0, "", _xll.IMDP("IR", $B75, O$6, $C$4, "fill=true")))</f>
        <v/>
      </c>
      <c r="P75" s="101" t="str">
        <f ca="1">IF($B75="", "", IF(_xll.IMDP("IR", $B75, P$6, $C$4, "fill=true")=0, "", _xll.IMDP("IR", $B75, P$6, $C$4, "fill=true")))</f>
        <v/>
      </c>
      <c r="Q75" s="102" t="str">
        <f ca="1">IF($B75="", "", IF(_xll.IMDP("IR", $B75, Q$6, $C$4, "fill=true")=0, "", _xll.IMDP("IR", $B75, Q$6, $C$4, "fill=true")))</f>
        <v/>
      </c>
    </row>
    <row r="76" spans="2:17" s="83" customFormat="1" ht="13.5">
      <c r="B76" s="83" t="str">
        <f ca="1">IFERROR( VLOOKUP(ROW()-ROW($B$6), code!$G$51:$K$1483, 5, 0), "")</f>
        <v/>
      </c>
      <c r="C76" s="96" t="str">
        <f ca="1">IF($B76="", "", _xll.IMDP("IR", $B76, "1일", $C$4, "fill=true, disp=date"))</f>
        <v/>
      </c>
      <c r="D76" s="97" t="str">
        <f ca="1">IF($B76="", "", VLOOKUP(ROW()-ROW($B$6), code!$G$51:$K$1483, 2, 0) )</f>
        <v/>
      </c>
      <c r="E76" s="98" t="str">
        <f ca="1">IF($B76="", "", VLOOKUP(ROW()-ROW($B$6), code!$G$51:$K$1483, 3, 0) )</f>
        <v/>
      </c>
      <c r="F76" s="99" t="str">
        <f ca="1">IF($B76="", "", VLOOKUP(ROW()-ROW($B$6), code!$G$51:$K$1483, 4, 0))</f>
        <v/>
      </c>
      <c r="G76" s="100" t="str">
        <f ca="1">IF($B76="", "", IF(_xll.IMDP("IR", $B76, G$6, $C$4, "fill=true")=0, "", _xll.IMDP("IR", $B76, G$6, $C$4, "fill=true")))</f>
        <v/>
      </c>
      <c r="H76" s="101" t="str">
        <f ca="1">IF($B76="", "", IF(_xll.IMDP("IR", $B76, H$6, $C$4, "fill=true")=0, "", _xll.IMDP("IR", $B76, H$6, $C$4, "fill=true")))</f>
        <v/>
      </c>
      <c r="I76" s="101" t="str">
        <f ca="1">IF($B76="", "", IF(_xll.IMDP("IR", $B76, I$6, $C$4, "fill=true")=0, "", _xll.IMDP("IR", $B76, I$6, $C$4, "fill=true")))</f>
        <v/>
      </c>
      <c r="J76" s="101" t="str">
        <f ca="1">IF($B76="", "", IF(_xll.IMDP("IR", $B76, J$6, $C$4, "fill=true")=0, "", _xll.IMDP("IR", $B76, J$6, $C$4, "fill=true")))</f>
        <v/>
      </c>
      <c r="K76" s="101" t="str">
        <f ca="1">IF($B76="", "", IF(_xll.IMDP("IR", $B76, K$6, $C$4, "fill=true")=0, "", _xll.IMDP("IR", $B76, K$6, $C$4, "fill=true")))</f>
        <v/>
      </c>
      <c r="L76" s="101" t="str">
        <f ca="1">IF($B76="", "", IF(_xll.IMDP("IR", $B76, L$6, $C$4, "fill=true")=0, "", _xll.IMDP("IR", $B76, L$6, $C$4, "fill=true")))</f>
        <v/>
      </c>
      <c r="M76" s="101" t="str">
        <f ca="1">IF($B76="", "", IF(_xll.IMDP("IR", $B76, M$6, $C$4, "fill=true")=0, "", _xll.IMDP("IR", $B76, M$6, $C$4, "fill=true")))</f>
        <v/>
      </c>
      <c r="N76" s="101" t="str">
        <f ca="1">IF($B76="", "", IF(_xll.IMDP("IR", $B76, N$6, $C$4, "fill=true")=0, "", _xll.IMDP("IR", $B76, N$6, $C$4, "fill=true")))</f>
        <v/>
      </c>
      <c r="O76" s="101" t="str">
        <f ca="1">IF($B76="", "", IF(_xll.IMDP("IR", $B76, O$6, $C$4, "fill=true")=0, "", _xll.IMDP("IR", $B76, O$6, $C$4, "fill=true")))</f>
        <v/>
      </c>
      <c r="P76" s="101" t="str">
        <f ca="1">IF($B76="", "", IF(_xll.IMDP("IR", $B76, P$6, $C$4, "fill=true")=0, "", _xll.IMDP("IR", $B76, P$6, $C$4, "fill=true")))</f>
        <v/>
      </c>
      <c r="Q76" s="102" t="str">
        <f ca="1">IF($B76="", "", IF(_xll.IMDP("IR", $B76, Q$6, $C$4, "fill=true")=0, "", _xll.IMDP("IR", $B76, Q$6, $C$4, "fill=true")))</f>
        <v/>
      </c>
    </row>
    <row r="77" spans="2:17" s="83" customFormat="1" ht="13.5">
      <c r="B77" s="83" t="str">
        <f ca="1">IFERROR( VLOOKUP(ROW()-ROW($B$6), code!$G$51:$K$1483, 5, 0), "")</f>
        <v/>
      </c>
      <c r="C77" s="96" t="str">
        <f ca="1">IF($B77="", "", _xll.IMDP("IR", $B77, "1일", $C$4, "fill=true, disp=date"))</f>
        <v/>
      </c>
      <c r="D77" s="97" t="str">
        <f ca="1">IF($B77="", "", VLOOKUP(ROW()-ROW($B$6), code!$G$51:$K$1483, 2, 0) )</f>
        <v/>
      </c>
      <c r="E77" s="98" t="str">
        <f ca="1">IF($B77="", "", VLOOKUP(ROW()-ROW($B$6), code!$G$51:$K$1483, 3, 0) )</f>
        <v/>
      </c>
      <c r="F77" s="99" t="str">
        <f ca="1">IF($B77="", "", VLOOKUP(ROW()-ROW($B$6), code!$G$51:$K$1483, 4, 0))</f>
        <v/>
      </c>
      <c r="G77" s="100" t="str">
        <f ca="1">IF($B77="", "", IF(_xll.IMDP("IR", $B77, G$6, $C$4, "fill=true")=0, "", _xll.IMDP("IR", $B77, G$6, $C$4, "fill=true")))</f>
        <v/>
      </c>
      <c r="H77" s="101" t="str">
        <f ca="1">IF($B77="", "", IF(_xll.IMDP("IR", $B77, H$6, $C$4, "fill=true")=0, "", _xll.IMDP("IR", $B77, H$6, $C$4, "fill=true")))</f>
        <v/>
      </c>
      <c r="I77" s="101" t="str">
        <f ca="1">IF($B77="", "", IF(_xll.IMDP("IR", $B77, I$6, $C$4, "fill=true")=0, "", _xll.IMDP("IR", $B77, I$6, $C$4, "fill=true")))</f>
        <v/>
      </c>
      <c r="J77" s="101" t="str">
        <f ca="1">IF($B77="", "", IF(_xll.IMDP("IR", $B77, J$6, $C$4, "fill=true")=0, "", _xll.IMDP("IR", $B77, J$6, $C$4, "fill=true")))</f>
        <v/>
      </c>
      <c r="K77" s="101" t="str">
        <f ca="1">IF($B77="", "", IF(_xll.IMDP("IR", $B77, K$6, $C$4, "fill=true")=0, "", _xll.IMDP("IR", $B77, K$6, $C$4, "fill=true")))</f>
        <v/>
      </c>
      <c r="L77" s="101" t="str">
        <f ca="1">IF($B77="", "", IF(_xll.IMDP("IR", $B77, L$6, $C$4, "fill=true")=0, "", _xll.IMDP("IR", $B77, L$6, $C$4, "fill=true")))</f>
        <v/>
      </c>
      <c r="M77" s="101" t="str">
        <f ca="1">IF($B77="", "", IF(_xll.IMDP("IR", $B77, M$6, $C$4, "fill=true")=0, "", _xll.IMDP("IR", $B77, M$6, $C$4, "fill=true")))</f>
        <v/>
      </c>
      <c r="N77" s="101" t="str">
        <f ca="1">IF($B77="", "", IF(_xll.IMDP("IR", $B77, N$6, $C$4, "fill=true")=0, "", _xll.IMDP("IR", $B77, N$6, $C$4, "fill=true")))</f>
        <v/>
      </c>
      <c r="O77" s="101" t="str">
        <f ca="1">IF($B77="", "", IF(_xll.IMDP("IR", $B77, O$6, $C$4, "fill=true")=0, "", _xll.IMDP("IR", $B77, O$6, $C$4, "fill=true")))</f>
        <v/>
      </c>
      <c r="P77" s="101" t="str">
        <f ca="1">IF($B77="", "", IF(_xll.IMDP("IR", $B77, P$6, $C$4, "fill=true")=0, "", _xll.IMDP("IR", $B77, P$6, $C$4, "fill=true")))</f>
        <v/>
      </c>
      <c r="Q77" s="102" t="str">
        <f ca="1">IF($B77="", "", IF(_xll.IMDP("IR", $B77, Q$6, $C$4, "fill=true")=0, "", _xll.IMDP("IR", $B77, Q$6, $C$4, "fill=true")))</f>
        <v/>
      </c>
    </row>
    <row r="78" spans="2:17" s="83" customFormat="1" ht="13.5">
      <c r="B78" s="83" t="str">
        <f ca="1">IFERROR( VLOOKUP(ROW()-ROW($B$6), code!$G$51:$K$1483, 5, 0), "")</f>
        <v/>
      </c>
      <c r="C78" s="96" t="str">
        <f ca="1">IF($B78="", "", _xll.IMDP("IR", $B78, "1일", $C$4, "fill=true, disp=date"))</f>
        <v/>
      </c>
      <c r="D78" s="97" t="str">
        <f ca="1">IF($B78="", "", VLOOKUP(ROW()-ROW($B$6), code!$G$51:$K$1483, 2, 0) )</f>
        <v/>
      </c>
      <c r="E78" s="98" t="str">
        <f ca="1">IF($B78="", "", VLOOKUP(ROW()-ROW($B$6), code!$G$51:$K$1483, 3, 0) )</f>
        <v/>
      </c>
      <c r="F78" s="99" t="str">
        <f ca="1">IF($B78="", "", VLOOKUP(ROW()-ROW($B$6), code!$G$51:$K$1483, 4, 0))</f>
        <v/>
      </c>
      <c r="G78" s="100" t="str">
        <f ca="1">IF($B78="", "", IF(_xll.IMDP("IR", $B78, G$6, $C$4, "fill=true")=0, "", _xll.IMDP("IR", $B78, G$6, $C$4, "fill=true")))</f>
        <v/>
      </c>
      <c r="H78" s="101" t="str">
        <f ca="1">IF($B78="", "", IF(_xll.IMDP("IR", $B78, H$6, $C$4, "fill=true")=0, "", _xll.IMDP("IR", $B78, H$6, $C$4, "fill=true")))</f>
        <v/>
      </c>
      <c r="I78" s="101" t="str">
        <f ca="1">IF($B78="", "", IF(_xll.IMDP("IR", $B78, I$6, $C$4, "fill=true")=0, "", _xll.IMDP("IR", $B78, I$6, $C$4, "fill=true")))</f>
        <v/>
      </c>
      <c r="J78" s="101" t="str">
        <f ca="1">IF($B78="", "", IF(_xll.IMDP("IR", $B78, J$6, $C$4, "fill=true")=0, "", _xll.IMDP("IR", $B78, J$6, $C$4, "fill=true")))</f>
        <v/>
      </c>
      <c r="K78" s="101" t="str">
        <f ca="1">IF($B78="", "", IF(_xll.IMDP("IR", $B78, K$6, $C$4, "fill=true")=0, "", _xll.IMDP("IR", $B78, K$6, $C$4, "fill=true")))</f>
        <v/>
      </c>
      <c r="L78" s="101" t="str">
        <f ca="1">IF($B78="", "", IF(_xll.IMDP("IR", $B78, L$6, $C$4, "fill=true")=0, "", _xll.IMDP("IR", $B78, L$6, $C$4, "fill=true")))</f>
        <v/>
      </c>
      <c r="M78" s="101" t="str">
        <f ca="1">IF($B78="", "", IF(_xll.IMDP("IR", $B78, M$6, $C$4, "fill=true")=0, "", _xll.IMDP("IR", $B78, M$6, $C$4, "fill=true")))</f>
        <v/>
      </c>
      <c r="N78" s="101" t="str">
        <f ca="1">IF($B78="", "", IF(_xll.IMDP("IR", $B78, N$6, $C$4, "fill=true")=0, "", _xll.IMDP("IR", $B78, N$6, $C$4, "fill=true")))</f>
        <v/>
      </c>
      <c r="O78" s="101" t="str">
        <f ca="1">IF($B78="", "", IF(_xll.IMDP("IR", $B78, O$6, $C$4, "fill=true")=0, "", _xll.IMDP("IR", $B78, O$6, $C$4, "fill=true")))</f>
        <v/>
      </c>
      <c r="P78" s="101" t="str">
        <f ca="1">IF($B78="", "", IF(_xll.IMDP("IR", $B78, P$6, $C$4, "fill=true")=0, "", _xll.IMDP("IR", $B78, P$6, $C$4, "fill=true")))</f>
        <v/>
      </c>
      <c r="Q78" s="102" t="str">
        <f ca="1">IF($B78="", "", IF(_xll.IMDP("IR", $B78, Q$6, $C$4, "fill=true")=0, "", _xll.IMDP("IR", $B78, Q$6, $C$4, "fill=true")))</f>
        <v/>
      </c>
    </row>
    <row r="79" spans="2:17" s="83" customFormat="1" ht="13.5">
      <c r="B79" s="83" t="str">
        <f ca="1">IFERROR( VLOOKUP(ROW()-ROW($B$6), code!$G$51:$K$1483, 5, 0), "")</f>
        <v/>
      </c>
      <c r="C79" s="96" t="str">
        <f ca="1">IF($B79="", "", _xll.IMDP("IR", $B79, "1일", $C$4, "fill=true, disp=date"))</f>
        <v/>
      </c>
      <c r="D79" s="97" t="str">
        <f ca="1">IF($B79="", "", VLOOKUP(ROW()-ROW($B$6), code!$G$51:$K$1483, 2, 0) )</f>
        <v/>
      </c>
      <c r="E79" s="98" t="str">
        <f ca="1">IF($B79="", "", VLOOKUP(ROW()-ROW($B$6), code!$G$51:$K$1483, 3, 0) )</f>
        <v/>
      </c>
      <c r="F79" s="99" t="str">
        <f ca="1">IF($B79="", "", VLOOKUP(ROW()-ROW($B$6), code!$G$51:$K$1483, 4, 0))</f>
        <v/>
      </c>
      <c r="G79" s="100" t="str">
        <f ca="1">IF($B79="", "", IF(_xll.IMDP("IR", $B79, G$6, $C$4, "fill=true")=0, "", _xll.IMDP("IR", $B79, G$6, $C$4, "fill=true")))</f>
        <v/>
      </c>
      <c r="H79" s="101" t="str">
        <f ca="1">IF($B79="", "", IF(_xll.IMDP("IR", $B79, H$6, $C$4, "fill=true")=0, "", _xll.IMDP("IR", $B79, H$6, $C$4, "fill=true")))</f>
        <v/>
      </c>
      <c r="I79" s="101" t="str">
        <f ca="1">IF($B79="", "", IF(_xll.IMDP("IR", $B79, I$6, $C$4, "fill=true")=0, "", _xll.IMDP("IR", $B79, I$6, $C$4, "fill=true")))</f>
        <v/>
      </c>
      <c r="J79" s="101" t="str">
        <f ca="1">IF($B79="", "", IF(_xll.IMDP("IR", $B79, J$6, $C$4, "fill=true")=0, "", _xll.IMDP("IR", $B79, J$6, $C$4, "fill=true")))</f>
        <v/>
      </c>
      <c r="K79" s="101" t="str">
        <f ca="1">IF($B79="", "", IF(_xll.IMDP("IR", $B79, K$6, $C$4, "fill=true")=0, "", _xll.IMDP("IR", $B79, K$6, $C$4, "fill=true")))</f>
        <v/>
      </c>
      <c r="L79" s="101" t="str">
        <f ca="1">IF($B79="", "", IF(_xll.IMDP("IR", $B79, L$6, $C$4, "fill=true")=0, "", _xll.IMDP("IR", $B79, L$6, $C$4, "fill=true")))</f>
        <v/>
      </c>
      <c r="M79" s="101" t="str">
        <f ca="1">IF($B79="", "", IF(_xll.IMDP("IR", $B79, M$6, $C$4, "fill=true")=0, "", _xll.IMDP("IR", $B79, M$6, $C$4, "fill=true")))</f>
        <v/>
      </c>
      <c r="N79" s="101" t="str">
        <f ca="1">IF($B79="", "", IF(_xll.IMDP("IR", $B79, N$6, $C$4, "fill=true")=0, "", _xll.IMDP("IR", $B79, N$6, $C$4, "fill=true")))</f>
        <v/>
      </c>
      <c r="O79" s="101" t="str">
        <f ca="1">IF($B79="", "", IF(_xll.IMDP("IR", $B79, O$6, $C$4, "fill=true")=0, "", _xll.IMDP("IR", $B79, O$6, $C$4, "fill=true")))</f>
        <v/>
      </c>
      <c r="P79" s="101" t="str">
        <f ca="1">IF($B79="", "", IF(_xll.IMDP("IR", $B79, P$6, $C$4, "fill=true")=0, "", _xll.IMDP("IR", $B79, P$6, $C$4, "fill=true")))</f>
        <v/>
      </c>
      <c r="Q79" s="102" t="str">
        <f ca="1">IF($B79="", "", IF(_xll.IMDP("IR", $B79, Q$6, $C$4, "fill=true")=0, "", _xll.IMDP("IR", $B79, Q$6, $C$4, "fill=true")))</f>
        <v/>
      </c>
    </row>
    <row r="80" spans="2:17" s="83" customFormat="1" ht="13.5">
      <c r="B80" s="83" t="str">
        <f ca="1">IFERROR( VLOOKUP(ROW()-ROW($B$6), code!$G$51:$K$1483, 5, 0), "")</f>
        <v/>
      </c>
      <c r="C80" s="96" t="str">
        <f ca="1">IF($B80="", "", _xll.IMDP("IR", $B80, "1일", $C$4, "fill=true, disp=date"))</f>
        <v/>
      </c>
      <c r="D80" s="97" t="str">
        <f ca="1">IF($B80="", "", VLOOKUP(ROW()-ROW($B$6), code!$G$51:$K$1483, 2, 0) )</f>
        <v/>
      </c>
      <c r="E80" s="98" t="str">
        <f ca="1">IF($B80="", "", VLOOKUP(ROW()-ROW($B$6), code!$G$51:$K$1483, 3, 0) )</f>
        <v/>
      </c>
      <c r="F80" s="99" t="str">
        <f ca="1">IF($B80="", "", VLOOKUP(ROW()-ROW($B$6), code!$G$51:$K$1483, 4, 0))</f>
        <v/>
      </c>
      <c r="G80" s="100" t="str">
        <f ca="1">IF($B80="", "", IF(_xll.IMDP("IR", $B80, G$6, $C$4, "fill=true")=0, "", _xll.IMDP("IR", $B80, G$6, $C$4, "fill=true")))</f>
        <v/>
      </c>
      <c r="H80" s="101" t="str">
        <f ca="1">IF($B80="", "", IF(_xll.IMDP("IR", $B80, H$6, $C$4, "fill=true")=0, "", _xll.IMDP("IR", $B80, H$6, $C$4, "fill=true")))</f>
        <v/>
      </c>
      <c r="I80" s="101" t="str">
        <f ca="1">IF($B80="", "", IF(_xll.IMDP("IR", $B80, I$6, $C$4, "fill=true")=0, "", _xll.IMDP("IR", $B80, I$6, $C$4, "fill=true")))</f>
        <v/>
      </c>
      <c r="J80" s="101" t="str">
        <f ca="1">IF($B80="", "", IF(_xll.IMDP("IR", $B80, J$6, $C$4, "fill=true")=0, "", _xll.IMDP("IR", $B80, J$6, $C$4, "fill=true")))</f>
        <v/>
      </c>
      <c r="K80" s="101" t="str">
        <f ca="1">IF($B80="", "", IF(_xll.IMDP("IR", $B80, K$6, $C$4, "fill=true")=0, "", _xll.IMDP("IR", $B80, K$6, $C$4, "fill=true")))</f>
        <v/>
      </c>
      <c r="L80" s="101" t="str">
        <f ca="1">IF($B80="", "", IF(_xll.IMDP("IR", $B80, L$6, $C$4, "fill=true")=0, "", _xll.IMDP("IR", $B80, L$6, $C$4, "fill=true")))</f>
        <v/>
      </c>
      <c r="M80" s="101" t="str">
        <f ca="1">IF($B80="", "", IF(_xll.IMDP("IR", $B80, M$6, $C$4, "fill=true")=0, "", _xll.IMDP("IR", $B80, M$6, $C$4, "fill=true")))</f>
        <v/>
      </c>
      <c r="N80" s="101" t="str">
        <f ca="1">IF($B80="", "", IF(_xll.IMDP("IR", $B80, N$6, $C$4, "fill=true")=0, "", _xll.IMDP("IR", $B80, N$6, $C$4, "fill=true")))</f>
        <v/>
      </c>
      <c r="O80" s="101" t="str">
        <f ca="1">IF($B80="", "", IF(_xll.IMDP("IR", $B80, O$6, $C$4, "fill=true")=0, "", _xll.IMDP("IR", $B80, O$6, $C$4, "fill=true")))</f>
        <v/>
      </c>
      <c r="P80" s="101" t="str">
        <f ca="1">IF($B80="", "", IF(_xll.IMDP("IR", $B80, P$6, $C$4, "fill=true")=0, "", _xll.IMDP("IR", $B80, P$6, $C$4, "fill=true")))</f>
        <v/>
      </c>
      <c r="Q80" s="102" t="str">
        <f ca="1">IF($B80="", "", IF(_xll.IMDP("IR", $B80, Q$6, $C$4, "fill=true")=0, "", _xll.IMDP("IR", $B80, Q$6, $C$4, "fill=true")))</f>
        <v/>
      </c>
    </row>
    <row r="81" spans="2:17" s="83" customFormat="1" ht="13.5">
      <c r="B81" s="83" t="str">
        <f ca="1">IFERROR( VLOOKUP(ROW()-ROW($B$6), code!$G$51:$K$1483, 5, 0), "")</f>
        <v/>
      </c>
      <c r="C81" s="96" t="str">
        <f ca="1">IF($B81="", "", _xll.IMDP("IR", $B81, "1일", $C$4, "fill=true, disp=date"))</f>
        <v/>
      </c>
      <c r="D81" s="97" t="str">
        <f ca="1">IF($B81="", "", VLOOKUP(ROW()-ROW($B$6), code!$G$51:$K$1483, 2, 0) )</f>
        <v/>
      </c>
      <c r="E81" s="98" t="str">
        <f ca="1">IF($B81="", "", VLOOKUP(ROW()-ROW($B$6), code!$G$51:$K$1483, 3, 0) )</f>
        <v/>
      </c>
      <c r="F81" s="99" t="str">
        <f ca="1">IF($B81="", "", VLOOKUP(ROW()-ROW($B$6), code!$G$51:$K$1483, 4, 0))</f>
        <v/>
      </c>
      <c r="G81" s="100" t="str">
        <f ca="1">IF($B81="", "", IF(_xll.IMDP("IR", $B81, G$6, $C$4, "fill=true")=0, "", _xll.IMDP("IR", $B81, G$6, $C$4, "fill=true")))</f>
        <v/>
      </c>
      <c r="H81" s="101" t="str">
        <f ca="1">IF($B81="", "", IF(_xll.IMDP("IR", $B81, H$6, $C$4, "fill=true")=0, "", _xll.IMDP("IR", $B81, H$6, $C$4, "fill=true")))</f>
        <v/>
      </c>
      <c r="I81" s="101" t="str">
        <f ca="1">IF($B81="", "", IF(_xll.IMDP("IR", $B81, I$6, $C$4, "fill=true")=0, "", _xll.IMDP("IR", $B81, I$6, $C$4, "fill=true")))</f>
        <v/>
      </c>
      <c r="J81" s="101" t="str">
        <f ca="1">IF($B81="", "", IF(_xll.IMDP("IR", $B81, J$6, $C$4, "fill=true")=0, "", _xll.IMDP("IR", $B81, J$6, $C$4, "fill=true")))</f>
        <v/>
      </c>
      <c r="K81" s="101" t="str">
        <f ca="1">IF($B81="", "", IF(_xll.IMDP("IR", $B81, K$6, $C$4, "fill=true")=0, "", _xll.IMDP("IR", $B81, K$6, $C$4, "fill=true")))</f>
        <v/>
      </c>
      <c r="L81" s="101" t="str">
        <f ca="1">IF($B81="", "", IF(_xll.IMDP("IR", $B81, L$6, $C$4, "fill=true")=0, "", _xll.IMDP("IR", $B81, L$6, $C$4, "fill=true")))</f>
        <v/>
      </c>
      <c r="M81" s="101" t="str">
        <f ca="1">IF($B81="", "", IF(_xll.IMDP("IR", $B81, M$6, $C$4, "fill=true")=0, "", _xll.IMDP("IR", $B81, M$6, $C$4, "fill=true")))</f>
        <v/>
      </c>
      <c r="N81" s="101" t="str">
        <f ca="1">IF($B81="", "", IF(_xll.IMDP("IR", $B81, N$6, $C$4, "fill=true")=0, "", _xll.IMDP("IR", $B81, N$6, $C$4, "fill=true")))</f>
        <v/>
      </c>
      <c r="O81" s="101" t="str">
        <f ca="1">IF($B81="", "", IF(_xll.IMDP("IR", $B81, O$6, $C$4, "fill=true")=0, "", _xll.IMDP("IR", $B81, O$6, $C$4, "fill=true")))</f>
        <v/>
      </c>
      <c r="P81" s="101" t="str">
        <f ca="1">IF($B81="", "", IF(_xll.IMDP("IR", $B81, P$6, $C$4, "fill=true")=0, "", _xll.IMDP("IR", $B81, P$6, $C$4, "fill=true")))</f>
        <v/>
      </c>
      <c r="Q81" s="102" t="str">
        <f ca="1">IF($B81="", "", IF(_xll.IMDP("IR", $B81, Q$6, $C$4, "fill=true")=0, "", _xll.IMDP("IR", $B81, Q$6, $C$4, "fill=true")))</f>
        <v/>
      </c>
    </row>
    <row r="82" spans="2:17" s="83" customFormat="1" ht="13.5">
      <c r="B82" s="83" t="str">
        <f ca="1">IFERROR( VLOOKUP(ROW()-ROW($B$6), code!$G$51:$K$1483, 5, 0), "")</f>
        <v/>
      </c>
      <c r="C82" s="96" t="str">
        <f ca="1">IF($B82="", "", _xll.IMDP("IR", $B82, "1일", $C$4, "fill=true, disp=date"))</f>
        <v/>
      </c>
      <c r="D82" s="97" t="str">
        <f ca="1">IF($B82="", "", VLOOKUP(ROW()-ROW($B$6), code!$G$51:$K$1483, 2, 0) )</f>
        <v/>
      </c>
      <c r="E82" s="98" t="str">
        <f ca="1">IF($B82="", "", VLOOKUP(ROW()-ROW($B$6), code!$G$51:$K$1483, 3, 0) )</f>
        <v/>
      </c>
      <c r="F82" s="99" t="str">
        <f ca="1">IF($B82="", "", VLOOKUP(ROW()-ROW($B$6), code!$G$51:$K$1483, 4, 0))</f>
        <v/>
      </c>
      <c r="G82" s="100" t="str">
        <f ca="1">IF($B82="", "", IF(_xll.IMDP("IR", $B82, G$6, $C$4, "fill=true")=0, "", _xll.IMDP("IR", $B82, G$6, $C$4, "fill=true")))</f>
        <v/>
      </c>
      <c r="H82" s="101" t="str">
        <f ca="1">IF($B82="", "", IF(_xll.IMDP("IR", $B82, H$6, $C$4, "fill=true")=0, "", _xll.IMDP("IR", $B82, H$6, $C$4, "fill=true")))</f>
        <v/>
      </c>
      <c r="I82" s="101" t="str">
        <f ca="1">IF($B82="", "", IF(_xll.IMDP("IR", $B82, I$6, $C$4, "fill=true")=0, "", _xll.IMDP("IR", $B82, I$6, $C$4, "fill=true")))</f>
        <v/>
      </c>
      <c r="J82" s="101" t="str">
        <f ca="1">IF($B82="", "", IF(_xll.IMDP("IR", $B82, J$6, $C$4, "fill=true")=0, "", _xll.IMDP("IR", $B82, J$6, $C$4, "fill=true")))</f>
        <v/>
      </c>
      <c r="K82" s="101" t="str">
        <f ca="1">IF($B82="", "", IF(_xll.IMDP("IR", $B82, K$6, $C$4, "fill=true")=0, "", _xll.IMDP("IR", $B82, K$6, $C$4, "fill=true")))</f>
        <v/>
      </c>
      <c r="L82" s="101" t="str">
        <f ca="1">IF($B82="", "", IF(_xll.IMDP("IR", $B82, L$6, $C$4, "fill=true")=0, "", _xll.IMDP("IR", $B82, L$6, $C$4, "fill=true")))</f>
        <v/>
      </c>
      <c r="M82" s="101" t="str">
        <f ca="1">IF($B82="", "", IF(_xll.IMDP("IR", $B82, M$6, $C$4, "fill=true")=0, "", _xll.IMDP("IR", $B82, M$6, $C$4, "fill=true")))</f>
        <v/>
      </c>
      <c r="N82" s="101" t="str">
        <f ca="1">IF($B82="", "", IF(_xll.IMDP("IR", $B82, N$6, $C$4, "fill=true")=0, "", _xll.IMDP("IR", $B82, N$6, $C$4, "fill=true")))</f>
        <v/>
      </c>
      <c r="O82" s="101" t="str">
        <f ca="1">IF($B82="", "", IF(_xll.IMDP("IR", $B82, O$6, $C$4, "fill=true")=0, "", _xll.IMDP("IR", $B82, O$6, $C$4, "fill=true")))</f>
        <v/>
      </c>
      <c r="P82" s="101" t="str">
        <f ca="1">IF($B82="", "", IF(_xll.IMDP("IR", $B82, P$6, $C$4, "fill=true")=0, "", _xll.IMDP("IR", $B82, P$6, $C$4, "fill=true")))</f>
        <v/>
      </c>
      <c r="Q82" s="102" t="str">
        <f ca="1">IF($B82="", "", IF(_xll.IMDP("IR", $B82, Q$6, $C$4, "fill=true")=0, "", _xll.IMDP("IR", $B82, Q$6, $C$4, "fill=true")))</f>
        <v/>
      </c>
    </row>
    <row r="83" spans="2:17" s="83" customFormat="1" ht="13.5">
      <c r="B83" s="83" t="str">
        <f ca="1">IFERROR( VLOOKUP(ROW()-ROW($B$6), code!$G$51:$K$1483, 5, 0), "")</f>
        <v/>
      </c>
      <c r="C83" s="96" t="str">
        <f ca="1">IF($B83="", "", _xll.IMDP("IR", $B83, "1일", $C$4, "fill=true, disp=date"))</f>
        <v/>
      </c>
      <c r="D83" s="97" t="str">
        <f ca="1">IF($B83="", "", VLOOKUP(ROW()-ROW($B$6), code!$G$51:$K$1483, 2, 0) )</f>
        <v/>
      </c>
      <c r="E83" s="98" t="str">
        <f ca="1">IF($B83="", "", VLOOKUP(ROW()-ROW($B$6), code!$G$51:$K$1483, 3, 0) )</f>
        <v/>
      </c>
      <c r="F83" s="99" t="str">
        <f ca="1">IF($B83="", "", VLOOKUP(ROW()-ROW($B$6), code!$G$51:$K$1483, 4, 0))</f>
        <v/>
      </c>
      <c r="G83" s="100" t="str">
        <f ca="1">IF($B83="", "", IF(_xll.IMDP("IR", $B83, G$6, $C$4, "fill=true")=0, "", _xll.IMDP("IR", $B83, G$6, $C$4, "fill=true")))</f>
        <v/>
      </c>
      <c r="H83" s="101" t="str">
        <f ca="1">IF($B83="", "", IF(_xll.IMDP("IR", $B83, H$6, $C$4, "fill=true")=0, "", _xll.IMDP("IR", $B83, H$6, $C$4, "fill=true")))</f>
        <v/>
      </c>
      <c r="I83" s="101" t="str">
        <f ca="1">IF($B83="", "", IF(_xll.IMDP("IR", $B83, I$6, $C$4, "fill=true")=0, "", _xll.IMDP("IR", $B83, I$6, $C$4, "fill=true")))</f>
        <v/>
      </c>
      <c r="J83" s="101" t="str">
        <f ca="1">IF($B83="", "", IF(_xll.IMDP("IR", $B83, J$6, $C$4, "fill=true")=0, "", _xll.IMDP("IR", $B83, J$6, $C$4, "fill=true")))</f>
        <v/>
      </c>
      <c r="K83" s="101" t="str">
        <f ca="1">IF($B83="", "", IF(_xll.IMDP("IR", $B83, K$6, $C$4, "fill=true")=0, "", _xll.IMDP("IR", $B83, K$6, $C$4, "fill=true")))</f>
        <v/>
      </c>
      <c r="L83" s="101" t="str">
        <f ca="1">IF($B83="", "", IF(_xll.IMDP("IR", $B83, L$6, $C$4, "fill=true")=0, "", _xll.IMDP("IR", $B83, L$6, $C$4, "fill=true")))</f>
        <v/>
      </c>
      <c r="M83" s="101" t="str">
        <f ca="1">IF($B83="", "", IF(_xll.IMDP("IR", $B83, M$6, $C$4, "fill=true")=0, "", _xll.IMDP("IR", $B83, M$6, $C$4, "fill=true")))</f>
        <v/>
      </c>
      <c r="N83" s="101" t="str">
        <f ca="1">IF($B83="", "", IF(_xll.IMDP("IR", $B83, N$6, $C$4, "fill=true")=0, "", _xll.IMDP("IR", $B83, N$6, $C$4, "fill=true")))</f>
        <v/>
      </c>
      <c r="O83" s="101" t="str">
        <f ca="1">IF($B83="", "", IF(_xll.IMDP("IR", $B83, O$6, $C$4, "fill=true")=0, "", _xll.IMDP("IR", $B83, O$6, $C$4, "fill=true")))</f>
        <v/>
      </c>
      <c r="P83" s="101" t="str">
        <f ca="1">IF($B83="", "", IF(_xll.IMDP("IR", $B83, P$6, $C$4, "fill=true")=0, "", _xll.IMDP("IR", $B83, P$6, $C$4, "fill=true")))</f>
        <v/>
      </c>
      <c r="Q83" s="102" t="str">
        <f ca="1">IF($B83="", "", IF(_xll.IMDP("IR", $B83, Q$6, $C$4, "fill=true")=0, "", _xll.IMDP("IR", $B83, Q$6, $C$4, "fill=true")))</f>
        <v/>
      </c>
    </row>
    <row r="84" spans="2:17" s="83" customFormat="1" ht="13.5">
      <c r="B84" s="83" t="str">
        <f ca="1">IFERROR( VLOOKUP(ROW()-ROW($B$6), code!$G$51:$K$1483, 5, 0), "")</f>
        <v/>
      </c>
      <c r="C84" s="96" t="str">
        <f ca="1">IF($B84="", "", _xll.IMDP("IR", $B84, "1일", $C$4, "fill=true, disp=date"))</f>
        <v/>
      </c>
      <c r="D84" s="97" t="str">
        <f ca="1">IF($B84="", "", VLOOKUP(ROW()-ROW($B$6), code!$G$51:$K$1483, 2, 0) )</f>
        <v/>
      </c>
      <c r="E84" s="98" t="str">
        <f ca="1">IF($B84="", "", VLOOKUP(ROW()-ROW($B$6), code!$G$51:$K$1483, 3, 0) )</f>
        <v/>
      </c>
      <c r="F84" s="99" t="str">
        <f ca="1">IF($B84="", "", VLOOKUP(ROW()-ROW($B$6), code!$G$51:$K$1483, 4, 0))</f>
        <v/>
      </c>
      <c r="G84" s="100" t="str">
        <f ca="1">IF($B84="", "", IF(_xll.IMDP("IR", $B84, G$6, $C$4, "fill=true")=0, "", _xll.IMDP("IR", $B84, G$6, $C$4, "fill=true")))</f>
        <v/>
      </c>
      <c r="H84" s="101" t="str">
        <f ca="1">IF($B84="", "", IF(_xll.IMDP("IR", $B84, H$6, $C$4, "fill=true")=0, "", _xll.IMDP("IR", $B84, H$6, $C$4, "fill=true")))</f>
        <v/>
      </c>
      <c r="I84" s="101" t="str">
        <f ca="1">IF($B84="", "", IF(_xll.IMDP("IR", $B84, I$6, $C$4, "fill=true")=0, "", _xll.IMDP("IR", $B84, I$6, $C$4, "fill=true")))</f>
        <v/>
      </c>
      <c r="J84" s="101" t="str">
        <f ca="1">IF($B84="", "", IF(_xll.IMDP("IR", $B84, J$6, $C$4, "fill=true")=0, "", _xll.IMDP("IR", $B84, J$6, $C$4, "fill=true")))</f>
        <v/>
      </c>
      <c r="K84" s="101" t="str">
        <f ca="1">IF($B84="", "", IF(_xll.IMDP("IR", $B84, K$6, $C$4, "fill=true")=0, "", _xll.IMDP("IR", $B84, K$6, $C$4, "fill=true")))</f>
        <v/>
      </c>
      <c r="L84" s="101" t="str">
        <f ca="1">IF($B84="", "", IF(_xll.IMDP("IR", $B84, L$6, $C$4, "fill=true")=0, "", _xll.IMDP("IR", $B84, L$6, $C$4, "fill=true")))</f>
        <v/>
      </c>
      <c r="M84" s="101" t="str">
        <f ca="1">IF($B84="", "", IF(_xll.IMDP("IR", $B84, M$6, $C$4, "fill=true")=0, "", _xll.IMDP("IR", $B84, M$6, $C$4, "fill=true")))</f>
        <v/>
      </c>
      <c r="N84" s="101" t="str">
        <f ca="1">IF($B84="", "", IF(_xll.IMDP("IR", $B84, N$6, $C$4, "fill=true")=0, "", _xll.IMDP("IR", $B84, N$6, $C$4, "fill=true")))</f>
        <v/>
      </c>
      <c r="O84" s="101" t="str">
        <f ca="1">IF($B84="", "", IF(_xll.IMDP("IR", $B84, O$6, $C$4, "fill=true")=0, "", _xll.IMDP("IR", $B84, O$6, $C$4, "fill=true")))</f>
        <v/>
      </c>
      <c r="P84" s="101" t="str">
        <f ca="1">IF($B84="", "", IF(_xll.IMDP("IR", $B84, P$6, $C$4, "fill=true")=0, "", _xll.IMDP("IR", $B84, P$6, $C$4, "fill=true")))</f>
        <v/>
      </c>
      <c r="Q84" s="102" t="str">
        <f ca="1">IF($B84="", "", IF(_xll.IMDP("IR", $B84, Q$6, $C$4, "fill=true")=0, "", _xll.IMDP("IR", $B84, Q$6, $C$4, "fill=true")))</f>
        <v/>
      </c>
    </row>
    <row r="85" spans="2:17" s="83" customFormat="1" ht="13.5">
      <c r="B85" s="83" t="str">
        <f ca="1">IFERROR( VLOOKUP(ROW()-ROW($B$6), code!$G$51:$K$1483, 5, 0), "")</f>
        <v/>
      </c>
      <c r="C85" s="96" t="str">
        <f ca="1">IF($B85="", "", _xll.IMDP("IR", $B85, "1일", $C$4, "fill=true, disp=date"))</f>
        <v/>
      </c>
      <c r="D85" s="97" t="str">
        <f ca="1">IF($B85="", "", VLOOKUP(ROW()-ROW($B$6), code!$G$51:$K$1483, 2, 0) )</f>
        <v/>
      </c>
      <c r="E85" s="98" t="str">
        <f ca="1">IF($B85="", "", VLOOKUP(ROW()-ROW($B$6), code!$G$51:$K$1483, 3, 0) )</f>
        <v/>
      </c>
      <c r="F85" s="99" t="str">
        <f ca="1">IF($B85="", "", VLOOKUP(ROW()-ROW($B$6), code!$G$51:$K$1483, 4, 0))</f>
        <v/>
      </c>
      <c r="G85" s="100" t="str">
        <f ca="1">IF($B85="", "", IF(_xll.IMDP("IR", $B85, G$6, $C$4, "fill=true")=0, "", _xll.IMDP("IR", $B85, G$6, $C$4, "fill=true")))</f>
        <v/>
      </c>
      <c r="H85" s="101" t="str">
        <f ca="1">IF($B85="", "", IF(_xll.IMDP("IR", $B85, H$6, $C$4, "fill=true")=0, "", _xll.IMDP("IR", $B85, H$6, $C$4, "fill=true")))</f>
        <v/>
      </c>
      <c r="I85" s="101" t="str">
        <f ca="1">IF($B85="", "", IF(_xll.IMDP("IR", $B85, I$6, $C$4, "fill=true")=0, "", _xll.IMDP("IR", $B85, I$6, $C$4, "fill=true")))</f>
        <v/>
      </c>
      <c r="J85" s="101" t="str">
        <f ca="1">IF($B85="", "", IF(_xll.IMDP("IR", $B85, J$6, $C$4, "fill=true")=0, "", _xll.IMDP("IR", $B85, J$6, $C$4, "fill=true")))</f>
        <v/>
      </c>
      <c r="K85" s="101" t="str">
        <f ca="1">IF($B85="", "", IF(_xll.IMDP("IR", $B85, K$6, $C$4, "fill=true")=0, "", _xll.IMDP("IR", $B85, K$6, $C$4, "fill=true")))</f>
        <v/>
      </c>
      <c r="L85" s="101" t="str">
        <f ca="1">IF($B85="", "", IF(_xll.IMDP("IR", $B85, L$6, $C$4, "fill=true")=0, "", _xll.IMDP("IR", $B85, L$6, $C$4, "fill=true")))</f>
        <v/>
      </c>
      <c r="M85" s="101" t="str">
        <f ca="1">IF($B85="", "", IF(_xll.IMDP("IR", $B85, M$6, $C$4, "fill=true")=0, "", _xll.IMDP("IR", $B85, M$6, $C$4, "fill=true")))</f>
        <v/>
      </c>
      <c r="N85" s="101" t="str">
        <f ca="1">IF($B85="", "", IF(_xll.IMDP("IR", $B85, N$6, $C$4, "fill=true")=0, "", _xll.IMDP("IR", $B85, N$6, $C$4, "fill=true")))</f>
        <v/>
      </c>
      <c r="O85" s="101" t="str">
        <f ca="1">IF($B85="", "", IF(_xll.IMDP("IR", $B85, O$6, $C$4, "fill=true")=0, "", _xll.IMDP("IR", $B85, O$6, $C$4, "fill=true")))</f>
        <v/>
      </c>
      <c r="P85" s="101" t="str">
        <f ca="1">IF($B85="", "", IF(_xll.IMDP("IR", $B85, P$6, $C$4, "fill=true")=0, "", _xll.IMDP("IR", $B85, P$6, $C$4, "fill=true")))</f>
        <v/>
      </c>
      <c r="Q85" s="102" t="str">
        <f ca="1">IF($B85="", "", IF(_xll.IMDP("IR", $B85, Q$6, $C$4, "fill=true")=0, "", _xll.IMDP("IR", $B85, Q$6, $C$4, "fill=true")))</f>
        <v/>
      </c>
    </row>
    <row r="86" spans="2:17" s="83" customFormat="1" ht="13.5">
      <c r="B86" s="83" t="str">
        <f ca="1">IFERROR( VLOOKUP(ROW()-ROW($B$6), code!$G$51:$K$1483, 5, 0), "")</f>
        <v/>
      </c>
      <c r="C86" s="96" t="str">
        <f ca="1">IF($B86="", "", _xll.IMDP("IR", $B86, "1일", $C$4, "fill=true, disp=date"))</f>
        <v/>
      </c>
      <c r="D86" s="97" t="str">
        <f ca="1">IF($B86="", "", VLOOKUP(ROW()-ROW($B$6), code!$G$51:$K$1483, 2, 0) )</f>
        <v/>
      </c>
      <c r="E86" s="98" t="str">
        <f ca="1">IF($B86="", "", VLOOKUP(ROW()-ROW($B$6), code!$G$51:$K$1483, 3, 0) )</f>
        <v/>
      </c>
      <c r="F86" s="99" t="str">
        <f ca="1">IF($B86="", "", VLOOKUP(ROW()-ROW($B$6), code!$G$51:$K$1483, 4, 0))</f>
        <v/>
      </c>
      <c r="G86" s="100" t="str">
        <f ca="1">IF($B86="", "", IF(_xll.IMDP("IR", $B86, G$6, $C$4, "fill=true")=0, "", _xll.IMDP("IR", $B86, G$6, $C$4, "fill=true")))</f>
        <v/>
      </c>
      <c r="H86" s="101" t="str">
        <f ca="1">IF($B86="", "", IF(_xll.IMDP("IR", $B86, H$6, $C$4, "fill=true")=0, "", _xll.IMDP("IR", $B86, H$6, $C$4, "fill=true")))</f>
        <v/>
      </c>
      <c r="I86" s="101" t="str">
        <f ca="1">IF($B86="", "", IF(_xll.IMDP("IR", $B86, I$6, $C$4, "fill=true")=0, "", _xll.IMDP("IR", $B86, I$6, $C$4, "fill=true")))</f>
        <v/>
      </c>
      <c r="J86" s="101" t="str">
        <f ca="1">IF($B86="", "", IF(_xll.IMDP("IR", $B86, J$6, $C$4, "fill=true")=0, "", _xll.IMDP("IR", $B86, J$6, $C$4, "fill=true")))</f>
        <v/>
      </c>
      <c r="K86" s="101" t="str">
        <f ca="1">IF($B86="", "", IF(_xll.IMDP("IR", $B86, K$6, $C$4, "fill=true")=0, "", _xll.IMDP("IR", $B86, K$6, $C$4, "fill=true")))</f>
        <v/>
      </c>
      <c r="L86" s="101" t="str">
        <f ca="1">IF($B86="", "", IF(_xll.IMDP("IR", $B86, L$6, $C$4, "fill=true")=0, "", _xll.IMDP("IR", $B86, L$6, $C$4, "fill=true")))</f>
        <v/>
      </c>
      <c r="M86" s="101" t="str">
        <f ca="1">IF($B86="", "", IF(_xll.IMDP("IR", $B86, M$6, $C$4, "fill=true")=0, "", _xll.IMDP("IR", $B86, M$6, $C$4, "fill=true")))</f>
        <v/>
      </c>
      <c r="N86" s="101" t="str">
        <f ca="1">IF($B86="", "", IF(_xll.IMDP("IR", $B86, N$6, $C$4, "fill=true")=0, "", _xll.IMDP("IR", $B86, N$6, $C$4, "fill=true")))</f>
        <v/>
      </c>
      <c r="O86" s="101" t="str">
        <f ca="1">IF($B86="", "", IF(_xll.IMDP("IR", $B86, O$6, $C$4, "fill=true")=0, "", _xll.IMDP("IR", $B86, O$6, $C$4, "fill=true")))</f>
        <v/>
      </c>
      <c r="P86" s="101" t="str">
        <f ca="1">IF($B86="", "", IF(_xll.IMDP("IR", $B86, P$6, $C$4, "fill=true")=0, "", _xll.IMDP("IR", $B86, P$6, $C$4, "fill=true")))</f>
        <v/>
      </c>
      <c r="Q86" s="102" t="str">
        <f ca="1">IF($B86="", "", IF(_xll.IMDP("IR", $B86, Q$6, $C$4, "fill=true")=0, "", _xll.IMDP("IR", $B86, Q$6, $C$4, "fill=true")))</f>
        <v/>
      </c>
    </row>
    <row r="87" spans="2:17" s="83" customFormat="1" ht="13.5">
      <c r="B87" s="83" t="str">
        <f ca="1">IFERROR( VLOOKUP(ROW()-ROW($B$6), code!$G$51:$K$1483, 5, 0), "")</f>
        <v/>
      </c>
      <c r="C87" s="96" t="str">
        <f ca="1">IF($B87="", "", _xll.IMDP("IR", $B87, "1일", $C$4, "fill=true, disp=date"))</f>
        <v/>
      </c>
      <c r="D87" s="97" t="str">
        <f ca="1">IF($B87="", "", VLOOKUP(ROW()-ROW($B$6), code!$G$51:$K$1483, 2, 0) )</f>
        <v/>
      </c>
      <c r="E87" s="98" t="str">
        <f ca="1">IF($B87="", "", VLOOKUP(ROW()-ROW($B$6), code!$G$51:$K$1483, 3, 0) )</f>
        <v/>
      </c>
      <c r="F87" s="99" t="str">
        <f ca="1">IF($B87="", "", VLOOKUP(ROW()-ROW($B$6), code!$G$51:$K$1483, 4, 0))</f>
        <v/>
      </c>
      <c r="G87" s="100" t="str">
        <f ca="1">IF($B87="", "", IF(_xll.IMDP("IR", $B87, G$6, $C$4, "fill=true")=0, "", _xll.IMDP("IR", $B87, G$6, $C$4, "fill=true")))</f>
        <v/>
      </c>
      <c r="H87" s="101" t="str">
        <f ca="1">IF($B87="", "", IF(_xll.IMDP("IR", $B87, H$6, $C$4, "fill=true")=0, "", _xll.IMDP("IR", $B87, H$6, $C$4, "fill=true")))</f>
        <v/>
      </c>
      <c r="I87" s="101" t="str">
        <f ca="1">IF($B87="", "", IF(_xll.IMDP("IR", $B87, I$6, $C$4, "fill=true")=0, "", _xll.IMDP("IR", $B87, I$6, $C$4, "fill=true")))</f>
        <v/>
      </c>
      <c r="J87" s="101" t="str">
        <f ca="1">IF($B87="", "", IF(_xll.IMDP("IR", $B87, J$6, $C$4, "fill=true")=0, "", _xll.IMDP("IR", $B87, J$6, $C$4, "fill=true")))</f>
        <v/>
      </c>
      <c r="K87" s="101" t="str">
        <f ca="1">IF($B87="", "", IF(_xll.IMDP("IR", $B87, K$6, $C$4, "fill=true")=0, "", _xll.IMDP("IR", $B87, K$6, $C$4, "fill=true")))</f>
        <v/>
      </c>
      <c r="L87" s="101" t="str">
        <f ca="1">IF($B87="", "", IF(_xll.IMDP("IR", $B87, L$6, $C$4, "fill=true")=0, "", _xll.IMDP("IR", $B87, L$6, $C$4, "fill=true")))</f>
        <v/>
      </c>
      <c r="M87" s="101" t="str">
        <f ca="1">IF($B87="", "", IF(_xll.IMDP("IR", $B87, M$6, $C$4, "fill=true")=0, "", _xll.IMDP("IR", $B87, M$6, $C$4, "fill=true")))</f>
        <v/>
      </c>
      <c r="N87" s="101" t="str">
        <f ca="1">IF($B87="", "", IF(_xll.IMDP("IR", $B87, N$6, $C$4, "fill=true")=0, "", _xll.IMDP("IR", $B87, N$6, $C$4, "fill=true")))</f>
        <v/>
      </c>
      <c r="O87" s="101" t="str">
        <f ca="1">IF($B87="", "", IF(_xll.IMDP("IR", $B87, O$6, $C$4, "fill=true")=0, "", _xll.IMDP("IR", $B87, O$6, $C$4, "fill=true")))</f>
        <v/>
      </c>
      <c r="P87" s="101" t="str">
        <f ca="1">IF($B87="", "", IF(_xll.IMDP("IR", $B87, P$6, $C$4, "fill=true")=0, "", _xll.IMDP("IR", $B87, P$6, $C$4, "fill=true")))</f>
        <v/>
      </c>
      <c r="Q87" s="102" t="str">
        <f ca="1">IF($B87="", "", IF(_xll.IMDP("IR", $B87, Q$6, $C$4, "fill=true")=0, "", _xll.IMDP("IR", $B87, Q$6, $C$4, "fill=true")))</f>
        <v/>
      </c>
    </row>
    <row r="88" spans="2:17" s="83" customFormat="1" ht="13.5">
      <c r="B88" s="83" t="str">
        <f ca="1">IFERROR( VLOOKUP(ROW()-ROW($B$6), code!$G$51:$K$1483, 5, 0), "")</f>
        <v/>
      </c>
      <c r="C88" s="96" t="str">
        <f ca="1">IF($B88="", "", _xll.IMDP("IR", $B88, "1일", $C$4, "fill=true, disp=date"))</f>
        <v/>
      </c>
      <c r="D88" s="97" t="str">
        <f ca="1">IF($B88="", "", VLOOKUP(ROW()-ROW($B$6), code!$G$51:$K$1483, 2, 0) )</f>
        <v/>
      </c>
      <c r="E88" s="98" t="str">
        <f ca="1">IF($B88="", "", VLOOKUP(ROW()-ROW($B$6), code!$G$51:$K$1483, 3, 0) )</f>
        <v/>
      </c>
      <c r="F88" s="99" t="str">
        <f ca="1">IF($B88="", "", VLOOKUP(ROW()-ROW($B$6), code!$G$51:$K$1483, 4, 0))</f>
        <v/>
      </c>
      <c r="G88" s="100" t="str">
        <f ca="1">IF($B88="", "", IF(_xll.IMDP("IR", $B88, G$6, $C$4, "fill=true")=0, "", _xll.IMDP("IR", $B88, G$6, $C$4, "fill=true")))</f>
        <v/>
      </c>
      <c r="H88" s="101" t="str">
        <f ca="1">IF($B88="", "", IF(_xll.IMDP("IR", $B88, H$6, $C$4, "fill=true")=0, "", _xll.IMDP("IR", $B88, H$6, $C$4, "fill=true")))</f>
        <v/>
      </c>
      <c r="I88" s="101" t="str">
        <f ca="1">IF($B88="", "", IF(_xll.IMDP("IR", $B88, I$6, $C$4, "fill=true")=0, "", _xll.IMDP("IR", $B88, I$6, $C$4, "fill=true")))</f>
        <v/>
      </c>
      <c r="J88" s="101" t="str">
        <f ca="1">IF($B88="", "", IF(_xll.IMDP("IR", $B88, J$6, $C$4, "fill=true")=0, "", _xll.IMDP("IR", $B88, J$6, $C$4, "fill=true")))</f>
        <v/>
      </c>
      <c r="K88" s="101" t="str">
        <f ca="1">IF($B88="", "", IF(_xll.IMDP("IR", $B88, K$6, $C$4, "fill=true")=0, "", _xll.IMDP("IR", $B88, K$6, $C$4, "fill=true")))</f>
        <v/>
      </c>
      <c r="L88" s="101" t="str">
        <f ca="1">IF($B88="", "", IF(_xll.IMDP("IR", $B88, L$6, $C$4, "fill=true")=0, "", _xll.IMDP("IR", $B88, L$6, $C$4, "fill=true")))</f>
        <v/>
      </c>
      <c r="M88" s="101" t="str">
        <f ca="1">IF($B88="", "", IF(_xll.IMDP("IR", $B88, M$6, $C$4, "fill=true")=0, "", _xll.IMDP("IR", $B88, M$6, $C$4, "fill=true")))</f>
        <v/>
      </c>
      <c r="N88" s="101" t="str">
        <f ca="1">IF($B88="", "", IF(_xll.IMDP("IR", $B88, N$6, $C$4, "fill=true")=0, "", _xll.IMDP("IR", $B88, N$6, $C$4, "fill=true")))</f>
        <v/>
      </c>
      <c r="O88" s="101" t="str">
        <f ca="1">IF($B88="", "", IF(_xll.IMDP("IR", $B88, O$6, $C$4, "fill=true")=0, "", _xll.IMDP("IR", $B88, O$6, $C$4, "fill=true")))</f>
        <v/>
      </c>
      <c r="P88" s="101" t="str">
        <f ca="1">IF($B88="", "", IF(_xll.IMDP("IR", $B88, P$6, $C$4, "fill=true")=0, "", _xll.IMDP("IR", $B88, P$6, $C$4, "fill=true")))</f>
        <v/>
      </c>
      <c r="Q88" s="102" t="str">
        <f ca="1">IF($B88="", "", IF(_xll.IMDP("IR", $B88, Q$6, $C$4, "fill=true")=0, "", _xll.IMDP("IR", $B88, Q$6, $C$4, "fill=true")))</f>
        <v/>
      </c>
    </row>
    <row r="89" spans="2:17" s="83" customFormat="1" ht="13.5">
      <c r="B89" s="83" t="str">
        <f ca="1">IFERROR( VLOOKUP(ROW()-ROW($B$6), code!$G$51:$K$1483, 5, 0), "")</f>
        <v/>
      </c>
      <c r="C89" s="96" t="str">
        <f ca="1">IF($B89="", "", _xll.IMDP("IR", $B89, "1일", $C$4, "fill=true, disp=date"))</f>
        <v/>
      </c>
      <c r="D89" s="97" t="str">
        <f ca="1">IF($B89="", "", VLOOKUP(ROW()-ROW($B$6), code!$G$51:$K$1483, 2, 0) )</f>
        <v/>
      </c>
      <c r="E89" s="98" t="str">
        <f ca="1">IF($B89="", "", VLOOKUP(ROW()-ROW($B$6), code!$G$51:$K$1483, 3, 0) )</f>
        <v/>
      </c>
      <c r="F89" s="99" t="str">
        <f ca="1">IF($B89="", "", VLOOKUP(ROW()-ROW($B$6), code!$G$51:$K$1483, 4, 0))</f>
        <v/>
      </c>
      <c r="G89" s="100" t="str">
        <f ca="1">IF($B89="", "", IF(_xll.IMDP("IR", $B89, G$6, $C$4, "fill=true")=0, "", _xll.IMDP("IR", $B89, G$6, $C$4, "fill=true")))</f>
        <v/>
      </c>
      <c r="H89" s="101" t="str">
        <f ca="1">IF($B89="", "", IF(_xll.IMDP("IR", $B89, H$6, $C$4, "fill=true")=0, "", _xll.IMDP("IR", $B89, H$6, $C$4, "fill=true")))</f>
        <v/>
      </c>
      <c r="I89" s="101" t="str">
        <f ca="1">IF($B89="", "", IF(_xll.IMDP("IR", $B89, I$6, $C$4, "fill=true")=0, "", _xll.IMDP("IR", $B89, I$6, $C$4, "fill=true")))</f>
        <v/>
      </c>
      <c r="J89" s="101" t="str">
        <f ca="1">IF($B89="", "", IF(_xll.IMDP("IR", $B89, J$6, $C$4, "fill=true")=0, "", _xll.IMDP("IR", $B89, J$6, $C$4, "fill=true")))</f>
        <v/>
      </c>
      <c r="K89" s="101" t="str">
        <f ca="1">IF($B89="", "", IF(_xll.IMDP("IR", $B89, K$6, $C$4, "fill=true")=0, "", _xll.IMDP("IR", $B89, K$6, $C$4, "fill=true")))</f>
        <v/>
      </c>
      <c r="L89" s="101" t="str">
        <f ca="1">IF($B89="", "", IF(_xll.IMDP("IR", $B89, L$6, $C$4, "fill=true")=0, "", _xll.IMDP("IR", $B89, L$6, $C$4, "fill=true")))</f>
        <v/>
      </c>
      <c r="M89" s="101" t="str">
        <f ca="1">IF($B89="", "", IF(_xll.IMDP("IR", $B89, M$6, $C$4, "fill=true")=0, "", _xll.IMDP("IR", $B89, M$6, $C$4, "fill=true")))</f>
        <v/>
      </c>
      <c r="N89" s="101" t="str">
        <f ca="1">IF($B89="", "", IF(_xll.IMDP("IR", $B89, N$6, $C$4, "fill=true")=0, "", _xll.IMDP("IR", $B89, N$6, $C$4, "fill=true")))</f>
        <v/>
      </c>
      <c r="O89" s="101" t="str">
        <f ca="1">IF($B89="", "", IF(_xll.IMDP("IR", $B89, O$6, $C$4, "fill=true")=0, "", _xll.IMDP("IR", $B89, O$6, $C$4, "fill=true")))</f>
        <v/>
      </c>
      <c r="P89" s="101" t="str">
        <f ca="1">IF($B89="", "", IF(_xll.IMDP("IR", $B89, P$6, $C$4, "fill=true")=0, "", _xll.IMDP("IR", $B89, P$6, $C$4, "fill=true")))</f>
        <v/>
      </c>
      <c r="Q89" s="102" t="str">
        <f ca="1">IF($B89="", "", IF(_xll.IMDP("IR", $B89, Q$6, $C$4, "fill=true")=0, "", _xll.IMDP("IR", $B89, Q$6, $C$4, "fill=true")))</f>
        <v/>
      </c>
    </row>
    <row r="90" spans="2:17" s="83" customFormat="1" ht="13.5">
      <c r="B90" s="83" t="str">
        <f ca="1">IFERROR( VLOOKUP(ROW()-ROW($B$6), code!$G$51:$K$1483, 5, 0), "")</f>
        <v/>
      </c>
      <c r="C90" s="96" t="str">
        <f ca="1">IF($B90="", "", _xll.IMDP("IR", $B90, "1일", $C$4, "fill=true, disp=date"))</f>
        <v/>
      </c>
      <c r="D90" s="97" t="str">
        <f ca="1">IF($B90="", "", VLOOKUP(ROW()-ROW($B$6), code!$G$51:$K$1483, 2, 0) )</f>
        <v/>
      </c>
      <c r="E90" s="98" t="str">
        <f ca="1">IF($B90="", "", VLOOKUP(ROW()-ROW($B$6), code!$G$51:$K$1483, 3, 0) )</f>
        <v/>
      </c>
      <c r="F90" s="99" t="str">
        <f ca="1">IF($B90="", "", VLOOKUP(ROW()-ROW($B$6), code!$G$51:$K$1483, 4, 0))</f>
        <v/>
      </c>
      <c r="G90" s="100" t="str">
        <f ca="1">IF($B90="", "", IF(_xll.IMDP("IR", $B90, G$6, $C$4, "fill=true")=0, "", _xll.IMDP("IR", $B90, G$6, $C$4, "fill=true")))</f>
        <v/>
      </c>
      <c r="H90" s="101" t="str">
        <f ca="1">IF($B90="", "", IF(_xll.IMDP("IR", $B90, H$6, $C$4, "fill=true")=0, "", _xll.IMDP("IR", $B90, H$6, $C$4, "fill=true")))</f>
        <v/>
      </c>
      <c r="I90" s="101" t="str">
        <f ca="1">IF($B90="", "", IF(_xll.IMDP("IR", $B90, I$6, $C$4, "fill=true")=0, "", _xll.IMDP("IR", $B90, I$6, $C$4, "fill=true")))</f>
        <v/>
      </c>
      <c r="J90" s="101" t="str">
        <f ca="1">IF($B90="", "", IF(_xll.IMDP("IR", $B90, J$6, $C$4, "fill=true")=0, "", _xll.IMDP("IR", $B90, J$6, $C$4, "fill=true")))</f>
        <v/>
      </c>
      <c r="K90" s="101" t="str">
        <f ca="1">IF($B90="", "", IF(_xll.IMDP("IR", $B90, K$6, $C$4, "fill=true")=0, "", _xll.IMDP("IR", $B90, K$6, $C$4, "fill=true")))</f>
        <v/>
      </c>
      <c r="L90" s="101" t="str">
        <f ca="1">IF($B90="", "", IF(_xll.IMDP("IR", $B90, L$6, $C$4, "fill=true")=0, "", _xll.IMDP("IR", $B90, L$6, $C$4, "fill=true")))</f>
        <v/>
      </c>
      <c r="M90" s="101" t="str">
        <f ca="1">IF($B90="", "", IF(_xll.IMDP("IR", $B90, M$6, $C$4, "fill=true")=0, "", _xll.IMDP("IR", $B90, M$6, $C$4, "fill=true")))</f>
        <v/>
      </c>
      <c r="N90" s="101" t="str">
        <f ca="1">IF($B90="", "", IF(_xll.IMDP("IR", $B90, N$6, $C$4, "fill=true")=0, "", _xll.IMDP("IR", $B90, N$6, $C$4, "fill=true")))</f>
        <v/>
      </c>
      <c r="O90" s="101" t="str">
        <f ca="1">IF($B90="", "", IF(_xll.IMDP("IR", $B90, O$6, $C$4, "fill=true")=0, "", _xll.IMDP("IR", $B90, O$6, $C$4, "fill=true")))</f>
        <v/>
      </c>
      <c r="P90" s="101" t="str">
        <f ca="1">IF($B90="", "", IF(_xll.IMDP("IR", $B90, P$6, $C$4, "fill=true")=0, "", _xll.IMDP("IR", $B90, P$6, $C$4, "fill=true")))</f>
        <v/>
      </c>
      <c r="Q90" s="102" t="str">
        <f ca="1">IF($B90="", "", IF(_xll.IMDP("IR", $B90, Q$6, $C$4, "fill=true")=0, "", _xll.IMDP("IR", $B90, Q$6, $C$4, "fill=true")))</f>
        <v/>
      </c>
    </row>
    <row r="91" spans="2:17" s="83" customFormat="1" ht="13.5">
      <c r="B91" s="83" t="str">
        <f ca="1">IFERROR( VLOOKUP(ROW()-ROW($B$6), code!$G$51:$K$1483, 5, 0), "")</f>
        <v/>
      </c>
      <c r="C91" s="96" t="str">
        <f ca="1">IF($B91="", "", _xll.IMDP("IR", $B91, "1일", $C$4, "fill=true, disp=date"))</f>
        <v/>
      </c>
      <c r="D91" s="97" t="str">
        <f ca="1">IF($B91="", "", VLOOKUP(ROW()-ROW($B$6), code!$G$51:$K$1483, 2, 0) )</f>
        <v/>
      </c>
      <c r="E91" s="98" t="str">
        <f ca="1">IF($B91="", "", VLOOKUP(ROW()-ROW($B$6), code!$G$51:$K$1483, 3, 0) )</f>
        <v/>
      </c>
      <c r="F91" s="99" t="str">
        <f ca="1">IF($B91="", "", VLOOKUP(ROW()-ROW($B$6), code!$G$51:$K$1483, 4, 0))</f>
        <v/>
      </c>
      <c r="G91" s="100" t="str">
        <f ca="1">IF($B91="", "", IF(_xll.IMDP("IR", $B91, G$6, $C$4, "fill=true")=0, "", _xll.IMDP("IR", $B91, G$6, $C$4, "fill=true")))</f>
        <v/>
      </c>
      <c r="H91" s="101" t="str">
        <f ca="1">IF($B91="", "", IF(_xll.IMDP("IR", $B91, H$6, $C$4, "fill=true")=0, "", _xll.IMDP("IR", $B91, H$6, $C$4, "fill=true")))</f>
        <v/>
      </c>
      <c r="I91" s="101" t="str">
        <f ca="1">IF($B91="", "", IF(_xll.IMDP("IR", $B91, I$6, $C$4, "fill=true")=0, "", _xll.IMDP("IR", $B91, I$6, $C$4, "fill=true")))</f>
        <v/>
      </c>
      <c r="J91" s="101" t="str">
        <f ca="1">IF($B91="", "", IF(_xll.IMDP("IR", $B91, J$6, $C$4, "fill=true")=0, "", _xll.IMDP("IR", $B91, J$6, $C$4, "fill=true")))</f>
        <v/>
      </c>
      <c r="K91" s="101" t="str">
        <f ca="1">IF($B91="", "", IF(_xll.IMDP("IR", $B91, K$6, $C$4, "fill=true")=0, "", _xll.IMDP("IR", $B91, K$6, $C$4, "fill=true")))</f>
        <v/>
      </c>
      <c r="L91" s="101" t="str">
        <f ca="1">IF($B91="", "", IF(_xll.IMDP("IR", $B91, L$6, $C$4, "fill=true")=0, "", _xll.IMDP("IR", $B91, L$6, $C$4, "fill=true")))</f>
        <v/>
      </c>
      <c r="M91" s="101" t="str">
        <f ca="1">IF($B91="", "", IF(_xll.IMDP("IR", $B91, M$6, $C$4, "fill=true")=0, "", _xll.IMDP("IR", $B91, M$6, $C$4, "fill=true")))</f>
        <v/>
      </c>
      <c r="N91" s="101" t="str">
        <f ca="1">IF($B91="", "", IF(_xll.IMDP("IR", $B91, N$6, $C$4, "fill=true")=0, "", _xll.IMDP("IR", $B91, N$6, $C$4, "fill=true")))</f>
        <v/>
      </c>
      <c r="O91" s="101" t="str">
        <f ca="1">IF($B91="", "", IF(_xll.IMDP("IR", $B91, O$6, $C$4, "fill=true")=0, "", _xll.IMDP("IR", $B91, O$6, $C$4, "fill=true")))</f>
        <v/>
      </c>
      <c r="P91" s="101" t="str">
        <f ca="1">IF($B91="", "", IF(_xll.IMDP("IR", $B91, P$6, $C$4, "fill=true")=0, "", _xll.IMDP("IR", $B91, P$6, $C$4, "fill=true")))</f>
        <v/>
      </c>
      <c r="Q91" s="102" t="str">
        <f ca="1">IF($B91="", "", IF(_xll.IMDP("IR", $B91, Q$6, $C$4, "fill=true")=0, "", _xll.IMDP("IR", $B91, Q$6, $C$4, "fill=true")))</f>
        <v/>
      </c>
    </row>
    <row r="92" spans="2:17" s="83" customFormat="1" ht="13.5">
      <c r="B92" s="83" t="str">
        <f ca="1">IFERROR( VLOOKUP(ROW()-ROW($B$6), code!$G$51:$K$1483, 5, 0), "")</f>
        <v/>
      </c>
      <c r="C92" s="96" t="str">
        <f ca="1">IF($B92="", "", _xll.IMDP("IR", $B92, "1일", $C$4, "fill=true, disp=date"))</f>
        <v/>
      </c>
      <c r="D92" s="97" t="str">
        <f ca="1">IF($B92="", "", VLOOKUP(ROW()-ROW($B$6), code!$G$51:$K$1483, 2, 0) )</f>
        <v/>
      </c>
      <c r="E92" s="98" t="str">
        <f ca="1">IF($B92="", "", VLOOKUP(ROW()-ROW($B$6), code!$G$51:$K$1483, 3, 0) )</f>
        <v/>
      </c>
      <c r="F92" s="99" t="str">
        <f ca="1">IF($B92="", "", VLOOKUP(ROW()-ROW($B$6), code!$G$51:$K$1483, 4, 0))</f>
        <v/>
      </c>
      <c r="G92" s="100" t="str">
        <f ca="1">IF($B92="", "", IF(_xll.IMDP("IR", $B92, G$6, $C$4, "fill=true")=0, "", _xll.IMDP("IR", $B92, G$6, $C$4, "fill=true")))</f>
        <v/>
      </c>
      <c r="H92" s="101" t="str">
        <f ca="1">IF($B92="", "", IF(_xll.IMDP("IR", $B92, H$6, $C$4, "fill=true")=0, "", _xll.IMDP("IR", $B92, H$6, $C$4, "fill=true")))</f>
        <v/>
      </c>
      <c r="I92" s="101" t="str">
        <f ca="1">IF($B92="", "", IF(_xll.IMDP("IR", $B92, I$6, $C$4, "fill=true")=0, "", _xll.IMDP("IR", $B92, I$6, $C$4, "fill=true")))</f>
        <v/>
      </c>
      <c r="J92" s="101" t="str">
        <f ca="1">IF($B92="", "", IF(_xll.IMDP("IR", $B92, J$6, $C$4, "fill=true")=0, "", _xll.IMDP("IR", $B92, J$6, $C$4, "fill=true")))</f>
        <v/>
      </c>
      <c r="K92" s="101" t="str">
        <f ca="1">IF($B92="", "", IF(_xll.IMDP("IR", $B92, K$6, $C$4, "fill=true")=0, "", _xll.IMDP("IR", $B92, K$6, $C$4, "fill=true")))</f>
        <v/>
      </c>
      <c r="L92" s="101" t="str">
        <f ca="1">IF($B92="", "", IF(_xll.IMDP("IR", $B92, L$6, $C$4, "fill=true")=0, "", _xll.IMDP("IR", $B92, L$6, $C$4, "fill=true")))</f>
        <v/>
      </c>
      <c r="M92" s="101" t="str">
        <f ca="1">IF($B92="", "", IF(_xll.IMDP("IR", $B92, M$6, $C$4, "fill=true")=0, "", _xll.IMDP("IR", $B92, M$6, $C$4, "fill=true")))</f>
        <v/>
      </c>
      <c r="N92" s="101" t="str">
        <f ca="1">IF($B92="", "", IF(_xll.IMDP("IR", $B92, N$6, $C$4, "fill=true")=0, "", _xll.IMDP("IR", $B92, N$6, $C$4, "fill=true")))</f>
        <v/>
      </c>
      <c r="O92" s="101" t="str">
        <f ca="1">IF($B92="", "", IF(_xll.IMDP("IR", $B92, O$6, $C$4, "fill=true")=0, "", _xll.IMDP("IR", $B92, O$6, $C$4, "fill=true")))</f>
        <v/>
      </c>
      <c r="P92" s="101" t="str">
        <f ca="1">IF($B92="", "", IF(_xll.IMDP("IR", $B92, P$6, $C$4, "fill=true")=0, "", _xll.IMDP("IR", $B92, P$6, $C$4, "fill=true")))</f>
        <v/>
      </c>
      <c r="Q92" s="102" t="str">
        <f ca="1">IF($B92="", "", IF(_xll.IMDP("IR", $B92, Q$6, $C$4, "fill=true")=0, "", _xll.IMDP("IR", $B92, Q$6, $C$4, "fill=true")))</f>
        <v/>
      </c>
    </row>
    <row r="93" spans="2:17" s="83" customFormat="1" ht="13.5">
      <c r="B93" s="83" t="str">
        <f ca="1">IFERROR( VLOOKUP(ROW()-ROW($B$6), code!$G$51:$K$1483, 5, 0), "")</f>
        <v/>
      </c>
      <c r="C93" s="96" t="str">
        <f ca="1">IF($B93="", "", _xll.IMDP("IR", $B93, "1일", $C$4, "fill=true, disp=date"))</f>
        <v/>
      </c>
      <c r="D93" s="97" t="str">
        <f ca="1">IF($B93="", "", VLOOKUP(ROW()-ROW($B$6), code!$G$51:$K$1483, 2, 0) )</f>
        <v/>
      </c>
      <c r="E93" s="98" t="str">
        <f ca="1">IF($B93="", "", VLOOKUP(ROW()-ROW($B$6), code!$G$51:$K$1483, 3, 0) )</f>
        <v/>
      </c>
      <c r="F93" s="99" t="str">
        <f ca="1">IF($B93="", "", VLOOKUP(ROW()-ROW($B$6), code!$G$51:$K$1483, 4, 0))</f>
        <v/>
      </c>
      <c r="G93" s="100" t="str">
        <f ca="1">IF($B93="", "", IF(_xll.IMDP("IR", $B93, G$6, $C$4, "fill=true")=0, "", _xll.IMDP("IR", $B93, G$6, $C$4, "fill=true")))</f>
        <v/>
      </c>
      <c r="H93" s="101" t="str">
        <f ca="1">IF($B93="", "", IF(_xll.IMDP("IR", $B93, H$6, $C$4, "fill=true")=0, "", _xll.IMDP("IR", $B93, H$6, $C$4, "fill=true")))</f>
        <v/>
      </c>
      <c r="I93" s="101" t="str">
        <f ca="1">IF($B93="", "", IF(_xll.IMDP("IR", $B93, I$6, $C$4, "fill=true")=0, "", _xll.IMDP("IR", $B93, I$6, $C$4, "fill=true")))</f>
        <v/>
      </c>
      <c r="J93" s="101" t="str">
        <f ca="1">IF($B93="", "", IF(_xll.IMDP("IR", $B93, J$6, $C$4, "fill=true")=0, "", _xll.IMDP("IR", $B93, J$6, $C$4, "fill=true")))</f>
        <v/>
      </c>
      <c r="K93" s="101" t="str">
        <f ca="1">IF($B93="", "", IF(_xll.IMDP("IR", $B93, K$6, $C$4, "fill=true")=0, "", _xll.IMDP("IR", $B93, K$6, $C$4, "fill=true")))</f>
        <v/>
      </c>
      <c r="L93" s="101" t="str">
        <f ca="1">IF($B93="", "", IF(_xll.IMDP("IR", $B93, L$6, $C$4, "fill=true")=0, "", _xll.IMDP("IR", $B93, L$6, $C$4, "fill=true")))</f>
        <v/>
      </c>
      <c r="M93" s="101" t="str">
        <f ca="1">IF($B93="", "", IF(_xll.IMDP("IR", $B93, M$6, $C$4, "fill=true")=0, "", _xll.IMDP("IR", $B93, M$6, $C$4, "fill=true")))</f>
        <v/>
      </c>
      <c r="N93" s="101" t="str">
        <f ca="1">IF($B93="", "", IF(_xll.IMDP("IR", $B93, N$6, $C$4, "fill=true")=0, "", _xll.IMDP("IR", $B93, N$6, $C$4, "fill=true")))</f>
        <v/>
      </c>
      <c r="O93" s="101" t="str">
        <f ca="1">IF($B93="", "", IF(_xll.IMDP("IR", $B93, O$6, $C$4, "fill=true")=0, "", _xll.IMDP("IR", $B93, O$6, $C$4, "fill=true")))</f>
        <v/>
      </c>
      <c r="P93" s="101" t="str">
        <f ca="1">IF($B93="", "", IF(_xll.IMDP("IR", $B93, P$6, $C$4, "fill=true")=0, "", _xll.IMDP("IR", $B93, P$6, $C$4, "fill=true")))</f>
        <v/>
      </c>
      <c r="Q93" s="102" t="str">
        <f ca="1">IF($B93="", "", IF(_xll.IMDP("IR", $B93, Q$6, $C$4, "fill=true")=0, "", _xll.IMDP("IR", $B93, Q$6, $C$4, "fill=true")))</f>
        <v/>
      </c>
    </row>
    <row r="94" spans="2:17" s="83" customFormat="1" ht="13.5">
      <c r="B94" s="83" t="str">
        <f ca="1">IFERROR( VLOOKUP(ROW()-ROW($B$6), code!$G$51:$K$1483, 5, 0), "")</f>
        <v/>
      </c>
      <c r="C94" s="96" t="str">
        <f ca="1">IF($B94="", "", _xll.IMDP("IR", $B94, "1일", $C$4, "fill=true, disp=date"))</f>
        <v/>
      </c>
      <c r="D94" s="97" t="str">
        <f ca="1">IF($B94="", "", VLOOKUP(ROW()-ROW($B$6), code!$G$51:$K$1483, 2, 0) )</f>
        <v/>
      </c>
      <c r="E94" s="98" t="str">
        <f ca="1">IF($B94="", "", VLOOKUP(ROW()-ROW($B$6), code!$G$51:$K$1483, 3, 0) )</f>
        <v/>
      </c>
      <c r="F94" s="99" t="str">
        <f ca="1">IF($B94="", "", VLOOKUP(ROW()-ROW($B$6), code!$G$51:$K$1483, 4, 0))</f>
        <v/>
      </c>
      <c r="G94" s="100" t="str">
        <f ca="1">IF($B94="", "", IF(_xll.IMDP("IR", $B94, G$6, $C$4, "fill=true")=0, "", _xll.IMDP("IR", $B94, G$6, $C$4, "fill=true")))</f>
        <v/>
      </c>
      <c r="H94" s="101" t="str">
        <f ca="1">IF($B94="", "", IF(_xll.IMDP("IR", $B94, H$6, $C$4, "fill=true")=0, "", _xll.IMDP("IR", $B94, H$6, $C$4, "fill=true")))</f>
        <v/>
      </c>
      <c r="I94" s="101" t="str">
        <f ca="1">IF($B94="", "", IF(_xll.IMDP("IR", $B94, I$6, $C$4, "fill=true")=0, "", _xll.IMDP("IR", $B94, I$6, $C$4, "fill=true")))</f>
        <v/>
      </c>
      <c r="J94" s="101" t="str">
        <f ca="1">IF($B94="", "", IF(_xll.IMDP("IR", $B94, J$6, $C$4, "fill=true")=0, "", _xll.IMDP("IR", $B94, J$6, $C$4, "fill=true")))</f>
        <v/>
      </c>
      <c r="K94" s="101" t="str">
        <f ca="1">IF($B94="", "", IF(_xll.IMDP("IR", $B94, K$6, $C$4, "fill=true")=0, "", _xll.IMDP("IR", $B94, K$6, $C$4, "fill=true")))</f>
        <v/>
      </c>
      <c r="L94" s="101" t="str">
        <f ca="1">IF($B94="", "", IF(_xll.IMDP("IR", $B94, L$6, $C$4, "fill=true")=0, "", _xll.IMDP("IR", $B94, L$6, $C$4, "fill=true")))</f>
        <v/>
      </c>
      <c r="M94" s="101" t="str">
        <f ca="1">IF($B94="", "", IF(_xll.IMDP("IR", $B94, M$6, $C$4, "fill=true")=0, "", _xll.IMDP("IR", $B94, M$6, $C$4, "fill=true")))</f>
        <v/>
      </c>
      <c r="N94" s="101" t="str">
        <f ca="1">IF($B94="", "", IF(_xll.IMDP("IR", $B94, N$6, $C$4, "fill=true")=0, "", _xll.IMDP("IR", $B94, N$6, $C$4, "fill=true")))</f>
        <v/>
      </c>
      <c r="O94" s="101" t="str">
        <f ca="1">IF($B94="", "", IF(_xll.IMDP("IR", $B94, O$6, $C$4, "fill=true")=0, "", _xll.IMDP("IR", $B94, O$6, $C$4, "fill=true")))</f>
        <v/>
      </c>
      <c r="P94" s="101" t="str">
        <f ca="1">IF($B94="", "", IF(_xll.IMDP("IR", $B94, P$6, $C$4, "fill=true")=0, "", _xll.IMDP("IR", $B94, P$6, $C$4, "fill=true")))</f>
        <v/>
      </c>
      <c r="Q94" s="102" t="str">
        <f ca="1">IF($B94="", "", IF(_xll.IMDP("IR", $B94, Q$6, $C$4, "fill=true")=0, "", _xll.IMDP("IR", $B94, Q$6, $C$4, "fill=true")))</f>
        <v/>
      </c>
    </row>
    <row r="95" spans="2:17" s="83" customFormat="1" ht="13.5">
      <c r="B95" s="83" t="str">
        <f ca="1">IFERROR( VLOOKUP(ROW()-ROW($B$6), code!$G$51:$K$1483, 5, 0), "")</f>
        <v/>
      </c>
      <c r="C95" s="96" t="str">
        <f ca="1">IF($B95="", "", _xll.IMDP("IR", $B95, "1일", $C$4, "fill=true, disp=date"))</f>
        <v/>
      </c>
      <c r="D95" s="97" t="str">
        <f ca="1">IF($B95="", "", VLOOKUP(ROW()-ROW($B$6), code!$G$51:$K$1483, 2, 0) )</f>
        <v/>
      </c>
      <c r="E95" s="98" t="str">
        <f ca="1">IF($B95="", "", VLOOKUP(ROW()-ROW($B$6), code!$G$51:$K$1483, 3, 0) )</f>
        <v/>
      </c>
      <c r="F95" s="99" t="str">
        <f ca="1">IF($B95="", "", VLOOKUP(ROW()-ROW($B$6), code!$G$51:$K$1483, 4, 0))</f>
        <v/>
      </c>
      <c r="G95" s="100" t="str">
        <f ca="1">IF($B95="", "", IF(_xll.IMDP("IR", $B95, G$6, $C$4, "fill=true")=0, "", _xll.IMDP("IR", $B95, G$6, $C$4, "fill=true")))</f>
        <v/>
      </c>
      <c r="H95" s="101" t="str">
        <f ca="1">IF($B95="", "", IF(_xll.IMDP("IR", $B95, H$6, $C$4, "fill=true")=0, "", _xll.IMDP("IR", $B95, H$6, $C$4, "fill=true")))</f>
        <v/>
      </c>
      <c r="I95" s="101" t="str">
        <f ca="1">IF($B95="", "", IF(_xll.IMDP("IR", $B95, I$6, $C$4, "fill=true")=0, "", _xll.IMDP("IR", $B95, I$6, $C$4, "fill=true")))</f>
        <v/>
      </c>
      <c r="J95" s="101" t="str">
        <f ca="1">IF($B95="", "", IF(_xll.IMDP("IR", $B95, J$6, $C$4, "fill=true")=0, "", _xll.IMDP("IR", $B95, J$6, $C$4, "fill=true")))</f>
        <v/>
      </c>
      <c r="K95" s="101" t="str">
        <f ca="1">IF($B95="", "", IF(_xll.IMDP("IR", $B95, K$6, $C$4, "fill=true")=0, "", _xll.IMDP("IR", $B95, K$6, $C$4, "fill=true")))</f>
        <v/>
      </c>
      <c r="L95" s="101" t="str">
        <f ca="1">IF($B95="", "", IF(_xll.IMDP("IR", $B95, L$6, $C$4, "fill=true")=0, "", _xll.IMDP("IR", $B95, L$6, $C$4, "fill=true")))</f>
        <v/>
      </c>
      <c r="M95" s="101" t="str">
        <f ca="1">IF($B95="", "", IF(_xll.IMDP("IR", $B95, M$6, $C$4, "fill=true")=0, "", _xll.IMDP("IR", $B95, M$6, $C$4, "fill=true")))</f>
        <v/>
      </c>
      <c r="N95" s="101" t="str">
        <f ca="1">IF($B95="", "", IF(_xll.IMDP("IR", $B95, N$6, $C$4, "fill=true")=0, "", _xll.IMDP("IR", $B95, N$6, $C$4, "fill=true")))</f>
        <v/>
      </c>
      <c r="O95" s="101" t="str">
        <f ca="1">IF($B95="", "", IF(_xll.IMDP("IR", $B95, O$6, $C$4, "fill=true")=0, "", _xll.IMDP("IR", $B95, O$6, $C$4, "fill=true")))</f>
        <v/>
      </c>
      <c r="P95" s="101" t="str">
        <f ca="1">IF($B95="", "", IF(_xll.IMDP("IR", $B95, P$6, $C$4, "fill=true")=0, "", _xll.IMDP("IR", $B95, P$6, $C$4, "fill=true")))</f>
        <v/>
      </c>
      <c r="Q95" s="102" t="str">
        <f ca="1">IF($B95="", "", IF(_xll.IMDP("IR", $B95, Q$6, $C$4, "fill=true")=0, "", _xll.IMDP("IR", $B95, Q$6, $C$4, "fill=true")))</f>
        <v/>
      </c>
    </row>
    <row r="96" spans="2:17" s="83" customFormat="1" ht="13.5">
      <c r="B96" s="83" t="str">
        <f ca="1">IFERROR( VLOOKUP(ROW()-ROW($B$6), code!$G$51:$K$1483, 5, 0), "")</f>
        <v/>
      </c>
      <c r="C96" s="96" t="str">
        <f ca="1">IF($B96="", "", _xll.IMDP("IR", $B96, "1일", $C$4, "fill=true, disp=date"))</f>
        <v/>
      </c>
      <c r="D96" s="97" t="str">
        <f ca="1">IF($B96="", "", VLOOKUP(ROW()-ROW($B$6), code!$G$51:$K$1483, 2, 0) )</f>
        <v/>
      </c>
      <c r="E96" s="98" t="str">
        <f ca="1">IF($B96="", "", VLOOKUP(ROW()-ROW($B$6), code!$G$51:$K$1483, 3, 0) )</f>
        <v/>
      </c>
      <c r="F96" s="99" t="str">
        <f ca="1">IF($B96="", "", VLOOKUP(ROW()-ROW($B$6), code!$G$51:$K$1483, 4, 0))</f>
        <v/>
      </c>
      <c r="G96" s="100" t="str">
        <f ca="1">IF($B96="", "", IF(_xll.IMDP("IR", $B96, G$6, $C$4, "fill=true")=0, "", _xll.IMDP("IR", $B96, G$6, $C$4, "fill=true")))</f>
        <v/>
      </c>
      <c r="H96" s="101" t="str">
        <f ca="1">IF($B96="", "", IF(_xll.IMDP("IR", $B96, H$6, $C$4, "fill=true")=0, "", _xll.IMDP("IR", $B96, H$6, $C$4, "fill=true")))</f>
        <v/>
      </c>
      <c r="I96" s="101" t="str">
        <f ca="1">IF($B96="", "", IF(_xll.IMDP("IR", $B96, I$6, $C$4, "fill=true")=0, "", _xll.IMDP("IR", $B96, I$6, $C$4, "fill=true")))</f>
        <v/>
      </c>
      <c r="J96" s="101" t="str">
        <f ca="1">IF($B96="", "", IF(_xll.IMDP("IR", $B96, J$6, $C$4, "fill=true")=0, "", _xll.IMDP("IR", $B96, J$6, $C$4, "fill=true")))</f>
        <v/>
      </c>
      <c r="K96" s="101" t="str">
        <f ca="1">IF($B96="", "", IF(_xll.IMDP("IR", $B96, K$6, $C$4, "fill=true")=0, "", _xll.IMDP("IR", $B96, K$6, $C$4, "fill=true")))</f>
        <v/>
      </c>
      <c r="L96" s="101" t="str">
        <f ca="1">IF($B96="", "", IF(_xll.IMDP("IR", $B96, L$6, $C$4, "fill=true")=0, "", _xll.IMDP("IR", $B96, L$6, $C$4, "fill=true")))</f>
        <v/>
      </c>
      <c r="M96" s="101" t="str">
        <f ca="1">IF($B96="", "", IF(_xll.IMDP("IR", $B96, M$6, $C$4, "fill=true")=0, "", _xll.IMDP("IR", $B96, M$6, $C$4, "fill=true")))</f>
        <v/>
      </c>
      <c r="N96" s="101" t="str">
        <f ca="1">IF($B96="", "", IF(_xll.IMDP("IR", $B96, N$6, $C$4, "fill=true")=0, "", _xll.IMDP("IR", $B96, N$6, $C$4, "fill=true")))</f>
        <v/>
      </c>
      <c r="O96" s="101" t="str">
        <f ca="1">IF($B96="", "", IF(_xll.IMDP("IR", $B96, O$6, $C$4, "fill=true")=0, "", _xll.IMDP("IR", $B96, O$6, $C$4, "fill=true")))</f>
        <v/>
      </c>
      <c r="P96" s="101" t="str">
        <f ca="1">IF($B96="", "", IF(_xll.IMDP("IR", $B96, P$6, $C$4, "fill=true")=0, "", _xll.IMDP("IR", $B96, P$6, $C$4, "fill=true")))</f>
        <v/>
      </c>
      <c r="Q96" s="102" t="str">
        <f ca="1">IF($B96="", "", IF(_xll.IMDP("IR", $B96, Q$6, $C$4, "fill=true")=0, "", _xll.IMDP("IR", $B96, Q$6, $C$4, "fill=true")))</f>
        <v/>
      </c>
    </row>
    <row r="97" spans="2:17" s="83" customFormat="1" ht="13.5">
      <c r="B97" s="83" t="str">
        <f ca="1">IFERROR( VLOOKUP(ROW()-ROW($B$6), code!$G$51:$K$1483, 5, 0), "")</f>
        <v/>
      </c>
      <c r="C97" s="96" t="str">
        <f ca="1">IF($B97="", "", _xll.IMDP("IR", $B97, "1일", $C$4, "fill=true, disp=date"))</f>
        <v/>
      </c>
      <c r="D97" s="97" t="str">
        <f ca="1">IF($B97="", "", VLOOKUP(ROW()-ROW($B$6), code!$G$51:$K$1483, 2, 0) )</f>
        <v/>
      </c>
      <c r="E97" s="98" t="str">
        <f ca="1">IF($B97="", "", VLOOKUP(ROW()-ROW($B$6), code!$G$51:$K$1483, 3, 0) )</f>
        <v/>
      </c>
      <c r="F97" s="99" t="str">
        <f ca="1">IF($B97="", "", VLOOKUP(ROW()-ROW($B$6), code!$G$51:$K$1483, 4, 0))</f>
        <v/>
      </c>
      <c r="G97" s="100" t="str">
        <f ca="1">IF($B97="", "", IF(_xll.IMDP("IR", $B97, G$6, $C$4, "fill=true")=0, "", _xll.IMDP("IR", $B97, G$6, $C$4, "fill=true")))</f>
        <v/>
      </c>
      <c r="H97" s="101" t="str">
        <f ca="1">IF($B97="", "", IF(_xll.IMDP("IR", $B97, H$6, $C$4, "fill=true")=0, "", _xll.IMDP("IR", $B97, H$6, $C$4, "fill=true")))</f>
        <v/>
      </c>
      <c r="I97" s="101" t="str">
        <f ca="1">IF($B97="", "", IF(_xll.IMDP("IR", $B97, I$6, $C$4, "fill=true")=0, "", _xll.IMDP("IR", $B97, I$6, $C$4, "fill=true")))</f>
        <v/>
      </c>
      <c r="J97" s="101" t="str">
        <f ca="1">IF($B97="", "", IF(_xll.IMDP("IR", $B97, J$6, $C$4, "fill=true")=0, "", _xll.IMDP("IR", $B97, J$6, $C$4, "fill=true")))</f>
        <v/>
      </c>
      <c r="K97" s="101" t="str">
        <f ca="1">IF($B97="", "", IF(_xll.IMDP("IR", $B97, K$6, $C$4, "fill=true")=0, "", _xll.IMDP("IR", $B97, K$6, $C$4, "fill=true")))</f>
        <v/>
      </c>
      <c r="L97" s="101" t="str">
        <f ca="1">IF($B97="", "", IF(_xll.IMDP("IR", $B97, L$6, $C$4, "fill=true")=0, "", _xll.IMDP("IR", $B97, L$6, $C$4, "fill=true")))</f>
        <v/>
      </c>
      <c r="M97" s="101" t="str">
        <f ca="1">IF($B97="", "", IF(_xll.IMDP("IR", $B97, M$6, $C$4, "fill=true")=0, "", _xll.IMDP("IR", $B97, M$6, $C$4, "fill=true")))</f>
        <v/>
      </c>
      <c r="N97" s="101" t="str">
        <f ca="1">IF($B97="", "", IF(_xll.IMDP("IR", $B97, N$6, $C$4, "fill=true")=0, "", _xll.IMDP("IR", $B97, N$6, $C$4, "fill=true")))</f>
        <v/>
      </c>
      <c r="O97" s="101" t="str">
        <f ca="1">IF($B97="", "", IF(_xll.IMDP("IR", $B97, O$6, $C$4, "fill=true")=0, "", _xll.IMDP("IR", $B97, O$6, $C$4, "fill=true")))</f>
        <v/>
      </c>
      <c r="P97" s="101" t="str">
        <f ca="1">IF($B97="", "", IF(_xll.IMDP("IR", $B97, P$6, $C$4, "fill=true")=0, "", _xll.IMDP("IR", $B97, P$6, $C$4, "fill=true")))</f>
        <v/>
      </c>
      <c r="Q97" s="102" t="str">
        <f ca="1">IF($B97="", "", IF(_xll.IMDP("IR", $B97, Q$6, $C$4, "fill=true")=0, "", _xll.IMDP("IR", $B97, Q$6, $C$4, "fill=true")))</f>
        <v/>
      </c>
    </row>
    <row r="98" spans="2:17" s="83" customFormat="1" ht="13.5">
      <c r="B98" s="83" t="str">
        <f ca="1">IFERROR( VLOOKUP(ROW()-ROW($B$6), code!$G$51:$K$1483, 5, 0), "")</f>
        <v/>
      </c>
      <c r="C98" s="96" t="str">
        <f ca="1">IF($B98="", "", _xll.IMDP("IR", $B98, "1일", $C$4, "fill=true, disp=date"))</f>
        <v/>
      </c>
      <c r="D98" s="97" t="str">
        <f ca="1">IF($B98="", "", VLOOKUP(ROW()-ROW($B$6), code!$G$51:$K$1483, 2, 0) )</f>
        <v/>
      </c>
      <c r="E98" s="98" t="str">
        <f ca="1">IF($B98="", "", VLOOKUP(ROW()-ROW($B$6), code!$G$51:$K$1483, 3, 0) )</f>
        <v/>
      </c>
      <c r="F98" s="99" t="str">
        <f ca="1">IF($B98="", "", VLOOKUP(ROW()-ROW($B$6), code!$G$51:$K$1483, 4, 0))</f>
        <v/>
      </c>
      <c r="G98" s="100" t="str">
        <f ca="1">IF($B98="", "", IF(_xll.IMDP("IR", $B98, G$6, $C$4, "fill=true")=0, "", _xll.IMDP("IR", $B98, G$6, $C$4, "fill=true")))</f>
        <v/>
      </c>
      <c r="H98" s="101" t="str">
        <f ca="1">IF($B98="", "", IF(_xll.IMDP("IR", $B98, H$6, $C$4, "fill=true")=0, "", _xll.IMDP("IR", $B98, H$6, $C$4, "fill=true")))</f>
        <v/>
      </c>
      <c r="I98" s="101" t="str">
        <f ca="1">IF($B98="", "", IF(_xll.IMDP("IR", $B98, I$6, $C$4, "fill=true")=0, "", _xll.IMDP("IR", $B98, I$6, $C$4, "fill=true")))</f>
        <v/>
      </c>
      <c r="J98" s="101" t="str">
        <f ca="1">IF($B98="", "", IF(_xll.IMDP("IR", $B98, J$6, $C$4, "fill=true")=0, "", _xll.IMDP("IR", $B98, J$6, $C$4, "fill=true")))</f>
        <v/>
      </c>
      <c r="K98" s="101" t="str">
        <f ca="1">IF($B98="", "", IF(_xll.IMDP("IR", $B98, K$6, $C$4, "fill=true")=0, "", _xll.IMDP("IR", $B98, K$6, $C$4, "fill=true")))</f>
        <v/>
      </c>
      <c r="L98" s="101" t="str">
        <f ca="1">IF($B98="", "", IF(_xll.IMDP("IR", $B98, L$6, $C$4, "fill=true")=0, "", _xll.IMDP("IR", $B98, L$6, $C$4, "fill=true")))</f>
        <v/>
      </c>
      <c r="M98" s="101" t="str">
        <f ca="1">IF($B98="", "", IF(_xll.IMDP("IR", $B98, M$6, $C$4, "fill=true")=0, "", _xll.IMDP("IR", $B98, M$6, $C$4, "fill=true")))</f>
        <v/>
      </c>
      <c r="N98" s="101" t="str">
        <f ca="1">IF($B98="", "", IF(_xll.IMDP("IR", $B98, N$6, $C$4, "fill=true")=0, "", _xll.IMDP("IR", $B98, N$6, $C$4, "fill=true")))</f>
        <v/>
      </c>
      <c r="O98" s="101" t="str">
        <f ca="1">IF($B98="", "", IF(_xll.IMDP("IR", $B98, O$6, $C$4, "fill=true")=0, "", _xll.IMDP("IR", $B98, O$6, $C$4, "fill=true")))</f>
        <v/>
      </c>
      <c r="P98" s="101" t="str">
        <f ca="1">IF($B98="", "", IF(_xll.IMDP("IR", $B98, P$6, $C$4, "fill=true")=0, "", _xll.IMDP("IR", $B98, P$6, $C$4, "fill=true")))</f>
        <v/>
      </c>
      <c r="Q98" s="102" t="str">
        <f ca="1">IF($B98="", "", IF(_xll.IMDP("IR", $B98, Q$6, $C$4, "fill=true")=0, "", _xll.IMDP("IR", $B98, Q$6, $C$4, "fill=true")))</f>
        <v/>
      </c>
    </row>
    <row r="99" spans="2:17" s="83" customFormat="1" ht="13.5">
      <c r="B99" s="83" t="str">
        <f ca="1">IFERROR( VLOOKUP(ROW()-ROW($B$6), code!$G$51:$K$1483, 5, 0), "")</f>
        <v/>
      </c>
      <c r="C99" s="96" t="str">
        <f ca="1">IF($B99="", "", _xll.IMDP("IR", $B99, "1일", $C$4, "fill=true, disp=date"))</f>
        <v/>
      </c>
      <c r="D99" s="97" t="str">
        <f ca="1">IF($B99="", "", VLOOKUP(ROW()-ROW($B$6), code!$G$51:$K$1483, 2, 0) )</f>
        <v/>
      </c>
      <c r="E99" s="98" t="str">
        <f ca="1">IF($B99="", "", VLOOKUP(ROW()-ROW($B$6), code!$G$51:$K$1483, 3, 0) )</f>
        <v/>
      </c>
      <c r="F99" s="99" t="str">
        <f ca="1">IF($B99="", "", VLOOKUP(ROW()-ROW($B$6), code!$G$51:$K$1483, 4, 0))</f>
        <v/>
      </c>
      <c r="G99" s="100" t="str">
        <f ca="1">IF($B99="", "", IF(_xll.IMDP("IR", $B99, G$6, $C$4, "fill=true")=0, "", _xll.IMDP("IR", $B99, G$6, $C$4, "fill=true")))</f>
        <v/>
      </c>
      <c r="H99" s="101" t="str">
        <f ca="1">IF($B99="", "", IF(_xll.IMDP("IR", $B99, H$6, $C$4, "fill=true")=0, "", _xll.IMDP("IR", $B99, H$6, $C$4, "fill=true")))</f>
        <v/>
      </c>
      <c r="I99" s="101" t="str">
        <f ca="1">IF($B99="", "", IF(_xll.IMDP("IR", $B99, I$6, $C$4, "fill=true")=0, "", _xll.IMDP("IR", $B99, I$6, $C$4, "fill=true")))</f>
        <v/>
      </c>
      <c r="J99" s="101" t="str">
        <f ca="1">IF($B99="", "", IF(_xll.IMDP("IR", $B99, J$6, $C$4, "fill=true")=0, "", _xll.IMDP("IR", $B99, J$6, $C$4, "fill=true")))</f>
        <v/>
      </c>
      <c r="K99" s="101" t="str">
        <f ca="1">IF($B99="", "", IF(_xll.IMDP("IR", $B99, K$6, $C$4, "fill=true")=0, "", _xll.IMDP("IR", $B99, K$6, $C$4, "fill=true")))</f>
        <v/>
      </c>
      <c r="L99" s="101" t="str">
        <f ca="1">IF($B99="", "", IF(_xll.IMDP("IR", $B99, L$6, $C$4, "fill=true")=0, "", _xll.IMDP("IR", $B99, L$6, $C$4, "fill=true")))</f>
        <v/>
      </c>
      <c r="M99" s="101" t="str">
        <f ca="1">IF($B99="", "", IF(_xll.IMDP("IR", $B99, M$6, $C$4, "fill=true")=0, "", _xll.IMDP("IR", $B99, M$6, $C$4, "fill=true")))</f>
        <v/>
      </c>
      <c r="N99" s="101" t="str">
        <f ca="1">IF($B99="", "", IF(_xll.IMDP("IR", $B99, N$6, $C$4, "fill=true")=0, "", _xll.IMDP("IR", $B99, N$6, $C$4, "fill=true")))</f>
        <v/>
      </c>
      <c r="O99" s="101" t="str">
        <f ca="1">IF($B99="", "", IF(_xll.IMDP("IR", $B99, O$6, $C$4, "fill=true")=0, "", _xll.IMDP("IR", $B99, O$6, $C$4, "fill=true")))</f>
        <v/>
      </c>
      <c r="P99" s="101" t="str">
        <f ca="1">IF($B99="", "", IF(_xll.IMDP("IR", $B99, P$6, $C$4, "fill=true")=0, "", _xll.IMDP("IR", $B99, P$6, $C$4, "fill=true")))</f>
        <v/>
      </c>
      <c r="Q99" s="102" t="str">
        <f ca="1">IF($B99="", "", IF(_xll.IMDP("IR", $B99, Q$6, $C$4, "fill=true")=0, "", _xll.IMDP("IR", $B99, Q$6, $C$4, "fill=true")))</f>
        <v/>
      </c>
    </row>
    <row r="100" spans="2:17" s="83" customFormat="1" ht="13.5">
      <c r="B100" s="83" t="str">
        <f ca="1">IFERROR( VLOOKUP(ROW()-ROW($B$6), code!$G$51:$K$1483, 5, 0), "")</f>
        <v/>
      </c>
      <c r="C100" s="96" t="str">
        <f ca="1">IF($B100="", "", _xll.IMDP("IR", $B100, "1일", $C$4, "fill=true, disp=date"))</f>
        <v/>
      </c>
      <c r="D100" s="97" t="str">
        <f ca="1">IF($B100="", "", VLOOKUP(ROW()-ROW($B$6), code!$G$51:$K$1483, 2, 0) )</f>
        <v/>
      </c>
      <c r="E100" s="98" t="str">
        <f ca="1">IF($B100="", "", VLOOKUP(ROW()-ROW($B$6), code!$G$51:$K$1483, 3, 0) )</f>
        <v/>
      </c>
      <c r="F100" s="99" t="str">
        <f ca="1">IF($B100="", "", VLOOKUP(ROW()-ROW($B$6), code!$G$51:$K$1483, 4, 0))</f>
        <v/>
      </c>
      <c r="G100" s="100" t="str">
        <f ca="1">IF($B100="", "", IF(_xll.IMDP("IR", $B100, G$6, $C$4, "fill=true")=0, "", _xll.IMDP("IR", $B100, G$6, $C$4, "fill=true")))</f>
        <v/>
      </c>
      <c r="H100" s="101" t="str">
        <f ca="1">IF($B100="", "", IF(_xll.IMDP("IR", $B100, H$6, $C$4, "fill=true")=0, "", _xll.IMDP("IR", $B100, H$6, $C$4, "fill=true")))</f>
        <v/>
      </c>
      <c r="I100" s="101" t="str">
        <f ca="1">IF($B100="", "", IF(_xll.IMDP("IR", $B100, I$6, $C$4, "fill=true")=0, "", _xll.IMDP("IR", $B100, I$6, $C$4, "fill=true")))</f>
        <v/>
      </c>
      <c r="J100" s="101" t="str">
        <f ca="1">IF($B100="", "", IF(_xll.IMDP("IR", $B100, J$6, $C$4, "fill=true")=0, "", _xll.IMDP("IR", $B100, J$6, $C$4, "fill=true")))</f>
        <v/>
      </c>
      <c r="K100" s="101" t="str">
        <f ca="1">IF($B100="", "", IF(_xll.IMDP("IR", $B100, K$6, $C$4, "fill=true")=0, "", _xll.IMDP("IR", $B100, K$6, $C$4, "fill=true")))</f>
        <v/>
      </c>
      <c r="L100" s="101" t="str">
        <f ca="1">IF($B100="", "", IF(_xll.IMDP("IR", $B100, L$6, $C$4, "fill=true")=0, "", _xll.IMDP("IR", $B100, L$6, $C$4, "fill=true")))</f>
        <v/>
      </c>
      <c r="M100" s="101" t="str">
        <f ca="1">IF($B100="", "", IF(_xll.IMDP("IR", $B100, M$6, $C$4, "fill=true")=0, "", _xll.IMDP("IR", $B100, M$6, $C$4, "fill=true")))</f>
        <v/>
      </c>
      <c r="N100" s="101" t="str">
        <f ca="1">IF($B100="", "", IF(_xll.IMDP("IR", $B100, N$6, $C$4, "fill=true")=0, "", _xll.IMDP("IR", $B100, N$6, $C$4, "fill=true")))</f>
        <v/>
      </c>
      <c r="O100" s="101" t="str">
        <f ca="1">IF($B100="", "", IF(_xll.IMDP("IR", $B100, O$6, $C$4, "fill=true")=0, "", _xll.IMDP("IR", $B100, O$6, $C$4, "fill=true")))</f>
        <v/>
      </c>
      <c r="P100" s="101" t="str">
        <f ca="1">IF($B100="", "", IF(_xll.IMDP("IR", $B100, P$6, $C$4, "fill=true")=0, "", _xll.IMDP("IR", $B100, P$6, $C$4, "fill=true")))</f>
        <v/>
      </c>
      <c r="Q100" s="102" t="str">
        <f ca="1">IF($B100="", "", IF(_xll.IMDP("IR", $B100, Q$6, $C$4, "fill=true")=0, "", _xll.IMDP("IR", $B100, Q$6, $C$4, "fill=true")))</f>
        <v/>
      </c>
    </row>
    <row r="101" spans="2:17" s="83" customFormat="1" ht="13.5">
      <c r="B101" s="83" t="str">
        <f ca="1">IFERROR( VLOOKUP(ROW()-ROW($B$6), code!$G$51:$K$1483, 5, 0), "")</f>
        <v/>
      </c>
      <c r="C101" s="96" t="str">
        <f ca="1">IF($B101="", "", _xll.IMDP("IR", $B101, "1일", $C$4, "fill=true, disp=date"))</f>
        <v/>
      </c>
      <c r="D101" s="97" t="str">
        <f ca="1">IF($B101="", "", VLOOKUP(ROW()-ROW($B$6), code!$G$51:$K$1483, 2, 0) )</f>
        <v/>
      </c>
      <c r="E101" s="98" t="str">
        <f ca="1">IF($B101="", "", VLOOKUP(ROW()-ROW($B$6), code!$G$51:$K$1483, 3, 0) )</f>
        <v/>
      </c>
      <c r="F101" s="99" t="str">
        <f ca="1">IF($B101="", "", VLOOKUP(ROW()-ROW($B$6), code!$G$51:$K$1483, 4, 0))</f>
        <v/>
      </c>
      <c r="G101" s="100" t="str">
        <f ca="1">IF($B101="", "", IF(_xll.IMDP("IR", $B101, G$6, $C$4, "fill=true")=0, "", _xll.IMDP("IR", $B101, G$6, $C$4, "fill=true")))</f>
        <v/>
      </c>
      <c r="H101" s="101" t="str">
        <f ca="1">IF($B101="", "", IF(_xll.IMDP("IR", $B101, H$6, $C$4, "fill=true")=0, "", _xll.IMDP("IR", $B101, H$6, $C$4, "fill=true")))</f>
        <v/>
      </c>
      <c r="I101" s="101" t="str">
        <f ca="1">IF($B101="", "", IF(_xll.IMDP("IR", $B101, I$6, $C$4, "fill=true")=0, "", _xll.IMDP("IR", $B101, I$6, $C$4, "fill=true")))</f>
        <v/>
      </c>
      <c r="J101" s="101" t="str">
        <f ca="1">IF($B101="", "", IF(_xll.IMDP("IR", $B101, J$6, $C$4, "fill=true")=0, "", _xll.IMDP("IR", $B101, J$6, $C$4, "fill=true")))</f>
        <v/>
      </c>
      <c r="K101" s="101" t="str">
        <f ca="1">IF($B101="", "", IF(_xll.IMDP("IR", $B101, K$6, $C$4, "fill=true")=0, "", _xll.IMDP("IR", $B101, K$6, $C$4, "fill=true")))</f>
        <v/>
      </c>
      <c r="L101" s="101" t="str">
        <f ca="1">IF($B101="", "", IF(_xll.IMDP("IR", $B101, L$6, $C$4, "fill=true")=0, "", _xll.IMDP("IR", $B101, L$6, $C$4, "fill=true")))</f>
        <v/>
      </c>
      <c r="M101" s="101" t="str">
        <f ca="1">IF($B101="", "", IF(_xll.IMDP("IR", $B101, M$6, $C$4, "fill=true")=0, "", _xll.IMDP("IR", $B101, M$6, $C$4, "fill=true")))</f>
        <v/>
      </c>
      <c r="N101" s="101" t="str">
        <f ca="1">IF($B101="", "", IF(_xll.IMDP("IR", $B101, N$6, $C$4, "fill=true")=0, "", _xll.IMDP("IR", $B101, N$6, $C$4, "fill=true")))</f>
        <v/>
      </c>
      <c r="O101" s="101" t="str">
        <f ca="1">IF($B101="", "", IF(_xll.IMDP("IR", $B101, O$6, $C$4, "fill=true")=0, "", _xll.IMDP("IR", $B101, O$6, $C$4, "fill=true")))</f>
        <v/>
      </c>
      <c r="P101" s="101" t="str">
        <f ca="1">IF($B101="", "", IF(_xll.IMDP("IR", $B101, P$6, $C$4, "fill=true")=0, "", _xll.IMDP("IR", $B101, P$6, $C$4, "fill=true")))</f>
        <v/>
      </c>
      <c r="Q101" s="102" t="str">
        <f ca="1">IF($B101="", "", IF(_xll.IMDP("IR", $B101, Q$6, $C$4, "fill=true")=0, "", _xll.IMDP("IR", $B101, Q$6, $C$4, "fill=true")))</f>
        <v/>
      </c>
    </row>
    <row r="102" spans="2:17" s="83" customFormat="1" ht="13.5">
      <c r="B102" s="83" t="str">
        <f ca="1">IFERROR( VLOOKUP(ROW()-ROW($B$6), code!$G$51:$K$1483, 5, 0), "")</f>
        <v/>
      </c>
      <c r="C102" s="96" t="str">
        <f ca="1">IF($B102="", "", _xll.IMDP("IR", $B102, "1일", $C$4, "fill=true, disp=date"))</f>
        <v/>
      </c>
      <c r="D102" s="97" t="str">
        <f ca="1">IF($B102="", "", VLOOKUP(ROW()-ROW($B$6), code!$G$51:$K$1483, 2, 0) )</f>
        <v/>
      </c>
      <c r="E102" s="98" t="str">
        <f ca="1">IF($B102="", "", VLOOKUP(ROW()-ROW($B$6), code!$G$51:$K$1483, 3, 0) )</f>
        <v/>
      </c>
      <c r="F102" s="99" t="str">
        <f ca="1">IF($B102="", "", VLOOKUP(ROW()-ROW($B$6), code!$G$51:$K$1483, 4, 0))</f>
        <v/>
      </c>
      <c r="G102" s="100" t="str">
        <f ca="1">IF($B102="", "", IF(_xll.IMDP("IR", $B102, G$6, $C$4, "fill=true")=0, "", _xll.IMDP("IR", $B102, G$6, $C$4, "fill=true")))</f>
        <v/>
      </c>
      <c r="H102" s="101" t="str">
        <f ca="1">IF($B102="", "", IF(_xll.IMDP("IR", $B102, H$6, $C$4, "fill=true")=0, "", _xll.IMDP("IR", $B102, H$6, $C$4, "fill=true")))</f>
        <v/>
      </c>
      <c r="I102" s="101" t="str">
        <f ca="1">IF($B102="", "", IF(_xll.IMDP("IR", $B102, I$6, $C$4, "fill=true")=0, "", _xll.IMDP("IR", $B102, I$6, $C$4, "fill=true")))</f>
        <v/>
      </c>
      <c r="J102" s="101" t="str">
        <f ca="1">IF($B102="", "", IF(_xll.IMDP("IR", $B102, J$6, $C$4, "fill=true")=0, "", _xll.IMDP("IR", $B102, J$6, $C$4, "fill=true")))</f>
        <v/>
      </c>
      <c r="K102" s="101" t="str">
        <f ca="1">IF($B102="", "", IF(_xll.IMDP("IR", $B102, K$6, $C$4, "fill=true")=0, "", _xll.IMDP("IR", $B102, K$6, $C$4, "fill=true")))</f>
        <v/>
      </c>
      <c r="L102" s="101" t="str">
        <f ca="1">IF($B102="", "", IF(_xll.IMDP("IR", $B102, L$6, $C$4, "fill=true")=0, "", _xll.IMDP("IR", $B102, L$6, $C$4, "fill=true")))</f>
        <v/>
      </c>
      <c r="M102" s="101" t="str">
        <f ca="1">IF($B102="", "", IF(_xll.IMDP("IR", $B102, M$6, $C$4, "fill=true")=0, "", _xll.IMDP("IR", $B102, M$6, $C$4, "fill=true")))</f>
        <v/>
      </c>
      <c r="N102" s="101" t="str">
        <f ca="1">IF($B102="", "", IF(_xll.IMDP("IR", $B102, N$6, $C$4, "fill=true")=0, "", _xll.IMDP("IR", $B102, N$6, $C$4, "fill=true")))</f>
        <v/>
      </c>
      <c r="O102" s="101" t="str">
        <f ca="1">IF($B102="", "", IF(_xll.IMDP("IR", $B102, O$6, $C$4, "fill=true")=0, "", _xll.IMDP("IR", $B102, O$6, $C$4, "fill=true")))</f>
        <v/>
      </c>
      <c r="P102" s="101" t="str">
        <f ca="1">IF($B102="", "", IF(_xll.IMDP("IR", $B102, P$6, $C$4, "fill=true")=0, "", _xll.IMDP("IR", $B102, P$6, $C$4, "fill=true")))</f>
        <v/>
      </c>
      <c r="Q102" s="102" t="str">
        <f ca="1">IF($B102="", "", IF(_xll.IMDP("IR", $B102, Q$6, $C$4, "fill=true")=0, "", _xll.IMDP("IR", $B102, Q$6, $C$4, "fill=true")))</f>
        <v/>
      </c>
    </row>
    <row r="103" spans="2:17" s="83" customFormat="1" ht="13.5">
      <c r="B103" s="83" t="str">
        <f ca="1">IFERROR( VLOOKUP(ROW()-ROW($B$6), code!$G$51:$K$1483, 5, 0), "")</f>
        <v/>
      </c>
      <c r="C103" s="96" t="str">
        <f ca="1">IF($B103="", "", _xll.IMDP("IR", $B103, "1일", $C$4, "fill=true, disp=date"))</f>
        <v/>
      </c>
      <c r="D103" s="97" t="str">
        <f ca="1">IF($B103="", "", VLOOKUP(ROW()-ROW($B$6), code!$G$51:$K$1483, 2, 0) )</f>
        <v/>
      </c>
      <c r="E103" s="98" t="str">
        <f ca="1">IF($B103="", "", VLOOKUP(ROW()-ROW($B$6), code!$G$51:$K$1483, 3, 0) )</f>
        <v/>
      </c>
      <c r="F103" s="99" t="str">
        <f ca="1">IF($B103="", "", VLOOKUP(ROW()-ROW($B$6), code!$G$51:$K$1483, 4, 0))</f>
        <v/>
      </c>
      <c r="G103" s="100" t="str">
        <f ca="1">IF($B103="", "", IF(_xll.IMDP("IR", $B103, G$6, $C$4, "fill=true")=0, "", _xll.IMDP("IR", $B103, G$6, $C$4, "fill=true")))</f>
        <v/>
      </c>
      <c r="H103" s="101" t="str">
        <f ca="1">IF($B103="", "", IF(_xll.IMDP("IR", $B103, H$6, $C$4, "fill=true")=0, "", _xll.IMDP("IR", $B103, H$6, $C$4, "fill=true")))</f>
        <v/>
      </c>
      <c r="I103" s="101" t="str">
        <f ca="1">IF($B103="", "", IF(_xll.IMDP("IR", $B103, I$6, $C$4, "fill=true")=0, "", _xll.IMDP("IR", $B103, I$6, $C$4, "fill=true")))</f>
        <v/>
      </c>
      <c r="J103" s="101" t="str">
        <f ca="1">IF($B103="", "", IF(_xll.IMDP("IR", $B103, J$6, $C$4, "fill=true")=0, "", _xll.IMDP("IR", $B103, J$6, $C$4, "fill=true")))</f>
        <v/>
      </c>
      <c r="K103" s="101" t="str">
        <f ca="1">IF($B103="", "", IF(_xll.IMDP("IR", $B103, K$6, $C$4, "fill=true")=0, "", _xll.IMDP("IR", $B103, K$6, $C$4, "fill=true")))</f>
        <v/>
      </c>
      <c r="L103" s="101" t="str">
        <f ca="1">IF($B103="", "", IF(_xll.IMDP("IR", $B103, L$6, $C$4, "fill=true")=0, "", _xll.IMDP("IR", $B103, L$6, $C$4, "fill=true")))</f>
        <v/>
      </c>
      <c r="M103" s="101" t="str">
        <f ca="1">IF($B103="", "", IF(_xll.IMDP("IR", $B103, M$6, $C$4, "fill=true")=0, "", _xll.IMDP("IR", $B103, M$6, $C$4, "fill=true")))</f>
        <v/>
      </c>
      <c r="N103" s="101" t="str">
        <f ca="1">IF($B103="", "", IF(_xll.IMDP("IR", $B103, N$6, $C$4, "fill=true")=0, "", _xll.IMDP("IR", $B103, N$6, $C$4, "fill=true")))</f>
        <v/>
      </c>
      <c r="O103" s="101" t="str">
        <f ca="1">IF($B103="", "", IF(_xll.IMDP("IR", $B103, O$6, $C$4, "fill=true")=0, "", _xll.IMDP("IR", $B103, O$6, $C$4, "fill=true")))</f>
        <v/>
      </c>
      <c r="P103" s="101" t="str">
        <f ca="1">IF($B103="", "", IF(_xll.IMDP("IR", $B103, P$6, $C$4, "fill=true")=0, "", _xll.IMDP("IR", $B103, P$6, $C$4, "fill=true")))</f>
        <v/>
      </c>
      <c r="Q103" s="102" t="str">
        <f ca="1">IF($B103="", "", IF(_xll.IMDP("IR", $B103, Q$6, $C$4, "fill=true")=0, "", _xll.IMDP("IR", $B103, Q$6, $C$4, "fill=true")))</f>
        <v/>
      </c>
    </row>
    <row r="104" spans="2:17" s="83" customFormat="1" ht="13.5">
      <c r="B104" s="83" t="str">
        <f ca="1">IFERROR( VLOOKUP(ROW()-ROW($B$6), code!$G$51:$K$1483, 5, 0), "")</f>
        <v/>
      </c>
      <c r="C104" s="96" t="str">
        <f ca="1">IF($B104="", "", _xll.IMDP("IR", $B104, "1일", $C$4, "fill=true, disp=date"))</f>
        <v/>
      </c>
      <c r="D104" s="97" t="str">
        <f ca="1">IF($B104="", "", VLOOKUP(ROW()-ROW($B$6), code!$G$51:$K$1483, 2, 0) )</f>
        <v/>
      </c>
      <c r="E104" s="98" t="str">
        <f ca="1">IF($B104="", "", VLOOKUP(ROW()-ROW($B$6), code!$G$51:$K$1483, 3, 0) )</f>
        <v/>
      </c>
      <c r="F104" s="99" t="str">
        <f ca="1">IF($B104="", "", VLOOKUP(ROW()-ROW($B$6), code!$G$51:$K$1483, 4, 0))</f>
        <v/>
      </c>
      <c r="G104" s="100" t="str">
        <f ca="1">IF($B104="", "", IF(_xll.IMDP("IR", $B104, G$6, $C$4, "fill=true")=0, "", _xll.IMDP("IR", $B104, G$6, $C$4, "fill=true")))</f>
        <v/>
      </c>
      <c r="H104" s="101" t="str">
        <f ca="1">IF($B104="", "", IF(_xll.IMDP("IR", $B104, H$6, $C$4, "fill=true")=0, "", _xll.IMDP("IR", $B104, H$6, $C$4, "fill=true")))</f>
        <v/>
      </c>
      <c r="I104" s="101" t="str">
        <f ca="1">IF($B104="", "", IF(_xll.IMDP("IR", $B104, I$6, $C$4, "fill=true")=0, "", _xll.IMDP("IR", $B104, I$6, $C$4, "fill=true")))</f>
        <v/>
      </c>
      <c r="J104" s="101" t="str">
        <f ca="1">IF($B104="", "", IF(_xll.IMDP("IR", $B104, J$6, $C$4, "fill=true")=0, "", _xll.IMDP("IR", $B104, J$6, $C$4, "fill=true")))</f>
        <v/>
      </c>
      <c r="K104" s="101" t="str">
        <f ca="1">IF($B104="", "", IF(_xll.IMDP("IR", $B104, K$6, $C$4, "fill=true")=0, "", _xll.IMDP("IR", $B104, K$6, $C$4, "fill=true")))</f>
        <v/>
      </c>
      <c r="L104" s="101" t="str">
        <f ca="1">IF($B104="", "", IF(_xll.IMDP("IR", $B104, L$6, $C$4, "fill=true")=0, "", _xll.IMDP("IR", $B104, L$6, $C$4, "fill=true")))</f>
        <v/>
      </c>
      <c r="M104" s="101" t="str">
        <f ca="1">IF($B104="", "", IF(_xll.IMDP("IR", $B104, M$6, $C$4, "fill=true")=0, "", _xll.IMDP("IR", $B104, M$6, $C$4, "fill=true")))</f>
        <v/>
      </c>
      <c r="N104" s="101" t="str">
        <f ca="1">IF($B104="", "", IF(_xll.IMDP("IR", $B104, N$6, $C$4, "fill=true")=0, "", _xll.IMDP("IR", $B104, N$6, $C$4, "fill=true")))</f>
        <v/>
      </c>
      <c r="O104" s="101" t="str">
        <f ca="1">IF($B104="", "", IF(_xll.IMDP("IR", $B104, O$6, $C$4, "fill=true")=0, "", _xll.IMDP("IR", $B104, O$6, $C$4, "fill=true")))</f>
        <v/>
      </c>
      <c r="P104" s="101" t="str">
        <f ca="1">IF($B104="", "", IF(_xll.IMDP("IR", $B104, P$6, $C$4, "fill=true")=0, "", _xll.IMDP("IR", $B104, P$6, $C$4, "fill=true")))</f>
        <v/>
      </c>
      <c r="Q104" s="102" t="str">
        <f ca="1">IF($B104="", "", IF(_xll.IMDP("IR", $B104, Q$6, $C$4, "fill=true")=0, "", _xll.IMDP("IR", $B104, Q$6, $C$4, "fill=true")))</f>
        <v/>
      </c>
    </row>
    <row r="105" spans="2:17" s="83" customFormat="1" ht="13.5">
      <c r="B105" s="83" t="str">
        <f ca="1">IFERROR( VLOOKUP(ROW()-ROW($B$6), code!$G$51:$K$1483, 5, 0), "")</f>
        <v/>
      </c>
      <c r="C105" s="96" t="str">
        <f ca="1">IF($B105="", "", _xll.IMDP("IR", $B105, "1일", $C$4, "fill=true, disp=date"))</f>
        <v/>
      </c>
      <c r="D105" s="97" t="str">
        <f ca="1">IF($B105="", "", VLOOKUP(ROW()-ROW($B$6), code!$G$51:$K$1483, 2, 0) )</f>
        <v/>
      </c>
      <c r="E105" s="98" t="str">
        <f ca="1">IF($B105="", "", VLOOKUP(ROW()-ROW($B$6), code!$G$51:$K$1483, 3, 0) )</f>
        <v/>
      </c>
      <c r="F105" s="99" t="str">
        <f ca="1">IF($B105="", "", VLOOKUP(ROW()-ROW($B$6), code!$G$51:$K$1483, 4, 0))</f>
        <v/>
      </c>
      <c r="G105" s="100" t="str">
        <f ca="1">IF($B105="", "", IF(_xll.IMDP("IR", $B105, G$6, $C$4, "fill=true")=0, "", _xll.IMDP("IR", $B105, G$6, $C$4, "fill=true")))</f>
        <v/>
      </c>
      <c r="H105" s="101" t="str">
        <f ca="1">IF($B105="", "", IF(_xll.IMDP("IR", $B105, H$6, $C$4, "fill=true")=0, "", _xll.IMDP("IR", $B105, H$6, $C$4, "fill=true")))</f>
        <v/>
      </c>
      <c r="I105" s="101" t="str">
        <f ca="1">IF($B105="", "", IF(_xll.IMDP("IR", $B105, I$6, $C$4, "fill=true")=0, "", _xll.IMDP("IR", $B105, I$6, $C$4, "fill=true")))</f>
        <v/>
      </c>
      <c r="J105" s="101" t="str">
        <f ca="1">IF($B105="", "", IF(_xll.IMDP("IR", $B105, J$6, $C$4, "fill=true")=0, "", _xll.IMDP("IR", $B105, J$6, $C$4, "fill=true")))</f>
        <v/>
      </c>
      <c r="K105" s="101" t="str">
        <f ca="1">IF($B105="", "", IF(_xll.IMDP("IR", $B105, K$6, $C$4, "fill=true")=0, "", _xll.IMDP("IR", $B105, K$6, $C$4, "fill=true")))</f>
        <v/>
      </c>
      <c r="L105" s="101" t="str">
        <f ca="1">IF($B105="", "", IF(_xll.IMDP("IR", $B105, L$6, $C$4, "fill=true")=0, "", _xll.IMDP("IR", $B105, L$6, $C$4, "fill=true")))</f>
        <v/>
      </c>
      <c r="M105" s="101" t="str">
        <f ca="1">IF($B105="", "", IF(_xll.IMDP("IR", $B105, M$6, $C$4, "fill=true")=0, "", _xll.IMDP("IR", $B105, M$6, $C$4, "fill=true")))</f>
        <v/>
      </c>
      <c r="N105" s="101" t="str">
        <f ca="1">IF($B105="", "", IF(_xll.IMDP("IR", $B105, N$6, $C$4, "fill=true")=0, "", _xll.IMDP("IR", $B105, N$6, $C$4, "fill=true")))</f>
        <v/>
      </c>
      <c r="O105" s="101" t="str">
        <f ca="1">IF($B105="", "", IF(_xll.IMDP("IR", $B105, O$6, $C$4, "fill=true")=0, "", _xll.IMDP("IR", $B105, O$6, $C$4, "fill=true")))</f>
        <v/>
      </c>
      <c r="P105" s="101" t="str">
        <f ca="1">IF($B105="", "", IF(_xll.IMDP("IR", $B105, P$6, $C$4, "fill=true")=0, "", _xll.IMDP("IR", $B105, P$6, $C$4, "fill=true")))</f>
        <v/>
      </c>
      <c r="Q105" s="102" t="str">
        <f ca="1">IF($B105="", "", IF(_xll.IMDP("IR", $B105, Q$6, $C$4, "fill=true")=0, "", _xll.IMDP("IR", $B105, Q$6, $C$4, "fill=true")))</f>
        <v/>
      </c>
    </row>
    <row r="106" spans="2:17" s="83" customFormat="1" ht="13.5">
      <c r="B106" s="83" t="str">
        <f ca="1">IFERROR( VLOOKUP(ROW()-ROW($B$6), code!$G$51:$K$1483, 5, 0), "")</f>
        <v/>
      </c>
      <c r="C106" s="96" t="str">
        <f ca="1">IF($B106="", "", _xll.IMDP("IR", $B106, "1일", $C$4, "fill=true, disp=date"))</f>
        <v/>
      </c>
      <c r="D106" s="97" t="str">
        <f ca="1">IF($B106="", "", VLOOKUP(ROW()-ROW($B$6), code!$G$51:$K$1483, 2, 0) )</f>
        <v/>
      </c>
      <c r="E106" s="98" t="str">
        <f ca="1">IF($B106="", "", VLOOKUP(ROW()-ROW($B$6), code!$G$51:$K$1483, 3, 0) )</f>
        <v/>
      </c>
      <c r="F106" s="99" t="str">
        <f ca="1">IF($B106="", "", VLOOKUP(ROW()-ROW($B$6), code!$G$51:$K$1483, 4, 0))</f>
        <v/>
      </c>
      <c r="G106" s="100" t="str">
        <f ca="1">IF($B106="", "", IF(_xll.IMDP("IR", $B106, G$6, $C$4, "fill=true")=0, "", _xll.IMDP("IR", $B106, G$6, $C$4, "fill=true")))</f>
        <v/>
      </c>
      <c r="H106" s="101" t="str">
        <f ca="1">IF($B106="", "", IF(_xll.IMDP("IR", $B106, H$6, $C$4, "fill=true")=0, "", _xll.IMDP("IR", $B106, H$6, $C$4, "fill=true")))</f>
        <v/>
      </c>
      <c r="I106" s="101" t="str">
        <f ca="1">IF($B106="", "", IF(_xll.IMDP("IR", $B106, I$6, $C$4, "fill=true")=0, "", _xll.IMDP("IR", $B106, I$6, $C$4, "fill=true")))</f>
        <v/>
      </c>
      <c r="J106" s="101" t="str">
        <f ca="1">IF($B106="", "", IF(_xll.IMDP("IR", $B106, J$6, $C$4, "fill=true")=0, "", _xll.IMDP("IR", $B106, J$6, $C$4, "fill=true")))</f>
        <v/>
      </c>
      <c r="K106" s="101" t="str">
        <f ca="1">IF($B106="", "", IF(_xll.IMDP("IR", $B106, K$6, $C$4, "fill=true")=0, "", _xll.IMDP("IR", $B106, K$6, $C$4, "fill=true")))</f>
        <v/>
      </c>
      <c r="L106" s="101" t="str">
        <f ca="1">IF($B106="", "", IF(_xll.IMDP("IR", $B106, L$6, $C$4, "fill=true")=0, "", _xll.IMDP("IR", $B106, L$6, $C$4, "fill=true")))</f>
        <v/>
      </c>
      <c r="M106" s="101" t="str">
        <f ca="1">IF($B106="", "", IF(_xll.IMDP("IR", $B106, M$6, $C$4, "fill=true")=0, "", _xll.IMDP("IR", $B106, M$6, $C$4, "fill=true")))</f>
        <v/>
      </c>
      <c r="N106" s="101" t="str">
        <f ca="1">IF($B106="", "", IF(_xll.IMDP("IR", $B106, N$6, $C$4, "fill=true")=0, "", _xll.IMDP("IR", $B106, N$6, $C$4, "fill=true")))</f>
        <v/>
      </c>
      <c r="O106" s="101" t="str">
        <f ca="1">IF($B106="", "", IF(_xll.IMDP("IR", $B106, O$6, $C$4, "fill=true")=0, "", _xll.IMDP("IR", $B106, O$6, $C$4, "fill=true")))</f>
        <v/>
      </c>
      <c r="P106" s="101" t="str">
        <f ca="1">IF($B106="", "", IF(_xll.IMDP("IR", $B106, P$6, $C$4, "fill=true")=0, "", _xll.IMDP("IR", $B106, P$6, $C$4, "fill=true")))</f>
        <v/>
      </c>
      <c r="Q106" s="102" t="str">
        <f ca="1">IF($B106="", "", IF(_xll.IMDP("IR", $B106, Q$6, $C$4, "fill=true")=0, "", _xll.IMDP("IR", $B106, Q$6, $C$4, "fill=true")))</f>
        <v/>
      </c>
    </row>
    <row r="107" spans="2:17" s="83" customFormat="1" ht="13.5">
      <c r="B107" s="83" t="str">
        <f ca="1">IFERROR( VLOOKUP(ROW()-ROW($B$6), code!$G$51:$K$1483, 5, 0), "")</f>
        <v/>
      </c>
      <c r="C107" s="96" t="str">
        <f ca="1">IF($B107="", "", _xll.IMDP("IR", $B107, "1일", $C$4, "fill=true, disp=date"))</f>
        <v/>
      </c>
      <c r="D107" s="97" t="str">
        <f ca="1">IF($B107="", "", VLOOKUP(ROW()-ROW($B$6), code!$G$51:$K$1483, 2, 0) )</f>
        <v/>
      </c>
      <c r="E107" s="98" t="str">
        <f ca="1">IF($B107="", "", VLOOKUP(ROW()-ROW($B$6), code!$G$51:$K$1483, 3, 0) )</f>
        <v/>
      </c>
      <c r="F107" s="99" t="str">
        <f ca="1">IF($B107="", "", VLOOKUP(ROW()-ROW($B$6), code!$G$51:$K$1483, 4, 0))</f>
        <v/>
      </c>
      <c r="G107" s="100" t="str">
        <f ca="1">IF($B107="", "", IF(_xll.IMDP("IR", $B107, G$6, $C$4, "fill=true")=0, "", _xll.IMDP("IR", $B107, G$6, $C$4, "fill=true")))</f>
        <v/>
      </c>
      <c r="H107" s="101" t="str">
        <f ca="1">IF($B107="", "", IF(_xll.IMDP("IR", $B107, H$6, $C$4, "fill=true")=0, "", _xll.IMDP("IR", $B107, H$6, $C$4, "fill=true")))</f>
        <v/>
      </c>
      <c r="I107" s="101" t="str">
        <f ca="1">IF($B107="", "", IF(_xll.IMDP("IR", $B107, I$6, $C$4, "fill=true")=0, "", _xll.IMDP("IR", $B107, I$6, $C$4, "fill=true")))</f>
        <v/>
      </c>
      <c r="J107" s="101" t="str">
        <f ca="1">IF($B107="", "", IF(_xll.IMDP("IR", $B107, J$6, $C$4, "fill=true")=0, "", _xll.IMDP("IR", $B107, J$6, $C$4, "fill=true")))</f>
        <v/>
      </c>
      <c r="K107" s="101" t="str">
        <f ca="1">IF($B107="", "", IF(_xll.IMDP("IR", $B107, K$6, $C$4, "fill=true")=0, "", _xll.IMDP("IR", $B107, K$6, $C$4, "fill=true")))</f>
        <v/>
      </c>
      <c r="L107" s="101" t="str">
        <f ca="1">IF($B107="", "", IF(_xll.IMDP("IR", $B107, L$6, $C$4, "fill=true")=0, "", _xll.IMDP("IR", $B107, L$6, $C$4, "fill=true")))</f>
        <v/>
      </c>
      <c r="M107" s="101" t="str">
        <f ca="1">IF($B107="", "", IF(_xll.IMDP("IR", $B107, M$6, $C$4, "fill=true")=0, "", _xll.IMDP("IR", $B107, M$6, $C$4, "fill=true")))</f>
        <v/>
      </c>
      <c r="N107" s="101" t="str">
        <f ca="1">IF($B107="", "", IF(_xll.IMDP("IR", $B107, N$6, $C$4, "fill=true")=0, "", _xll.IMDP("IR", $B107, N$6, $C$4, "fill=true")))</f>
        <v/>
      </c>
      <c r="O107" s="101" t="str">
        <f ca="1">IF($B107="", "", IF(_xll.IMDP("IR", $B107, O$6, $C$4, "fill=true")=0, "", _xll.IMDP("IR", $B107, O$6, $C$4, "fill=true")))</f>
        <v/>
      </c>
      <c r="P107" s="101" t="str">
        <f ca="1">IF($B107="", "", IF(_xll.IMDP("IR", $B107, P$6, $C$4, "fill=true")=0, "", _xll.IMDP("IR", $B107, P$6, $C$4, "fill=true")))</f>
        <v/>
      </c>
      <c r="Q107" s="102" t="str">
        <f ca="1">IF($B107="", "", IF(_xll.IMDP("IR", $B107, Q$6, $C$4, "fill=true")=0, "", _xll.IMDP("IR", $B107, Q$6, $C$4, "fill=true")))</f>
        <v/>
      </c>
    </row>
    <row r="108" spans="2:17" s="83" customFormat="1" ht="13.5">
      <c r="B108" s="83" t="str">
        <f ca="1">IFERROR( VLOOKUP(ROW()-ROW($B$6), code!$G$51:$K$1483, 5, 0), "")</f>
        <v/>
      </c>
      <c r="C108" s="96" t="str">
        <f ca="1">IF($B108="", "", _xll.IMDP("IR", $B108, "1일", $C$4, "fill=true, disp=date"))</f>
        <v/>
      </c>
      <c r="D108" s="97" t="str">
        <f ca="1">IF($B108="", "", VLOOKUP(ROW()-ROW($B$6), code!$G$51:$K$1483, 2, 0) )</f>
        <v/>
      </c>
      <c r="E108" s="98" t="str">
        <f ca="1">IF($B108="", "", VLOOKUP(ROW()-ROW($B$6), code!$G$51:$K$1483, 3, 0) )</f>
        <v/>
      </c>
      <c r="F108" s="99" t="str">
        <f ca="1">IF($B108="", "", VLOOKUP(ROW()-ROW($B$6), code!$G$51:$K$1483, 4, 0))</f>
        <v/>
      </c>
      <c r="G108" s="100" t="str">
        <f ca="1">IF($B108="", "", IF(_xll.IMDP("IR", $B108, G$6, $C$4, "fill=true")=0, "", _xll.IMDP("IR", $B108, G$6, $C$4, "fill=true")))</f>
        <v/>
      </c>
      <c r="H108" s="101" t="str">
        <f ca="1">IF($B108="", "", IF(_xll.IMDP("IR", $B108, H$6, $C$4, "fill=true")=0, "", _xll.IMDP("IR", $B108, H$6, $C$4, "fill=true")))</f>
        <v/>
      </c>
      <c r="I108" s="101" t="str">
        <f ca="1">IF($B108="", "", IF(_xll.IMDP("IR", $B108, I$6, $C$4, "fill=true")=0, "", _xll.IMDP("IR", $B108, I$6, $C$4, "fill=true")))</f>
        <v/>
      </c>
      <c r="J108" s="101" t="str">
        <f ca="1">IF($B108="", "", IF(_xll.IMDP("IR", $B108, J$6, $C$4, "fill=true")=0, "", _xll.IMDP("IR", $B108, J$6, $C$4, "fill=true")))</f>
        <v/>
      </c>
      <c r="K108" s="101" t="str">
        <f ca="1">IF($B108="", "", IF(_xll.IMDP("IR", $B108, K$6, $C$4, "fill=true")=0, "", _xll.IMDP("IR", $B108, K$6, $C$4, "fill=true")))</f>
        <v/>
      </c>
      <c r="L108" s="101" t="str">
        <f ca="1">IF($B108="", "", IF(_xll.IMDP("IR", $B108, L$6, $C$4, "fill=true")=0, "", _xll.IMDP("IR", $B108, L$6, $C$4, "fill=true")))</f>
        <v/>
      </c>
      <c r="M108" s="101" t="str">
        <f ca="1">IF($B108="", "", IF(_xll.IMDP("IR", $B108, M$6, $C$4, "fill=true")=0, "", _xll.IMDP("IR", $B108, M$6, $C$4, "fill=true")))</f>
        <v/>
      </c>
      <c r="N108" s="101" t="str">
        <f ca="1">IF($B108="", "", IF(_xll.IMDP("IR", $B108, N$6, $C$4, "fill=true")=0, "", _xll.IMDP("IR", $B108, N$6, $C$4, "fill=true")))</f>
        <v/>
      </c>
      <c r="O108" s="101" t="str">
        <f ca="1">IF($B108="", "", IF(_xll.IMDP("IR", $B108, O$6, $C$4, "fill=true")=0, "", _xll.IMDP("IR", $B108, O$6, $C$4, "fill=true")))</f>
        <v/>
      </c>
      <c r="P108" s="101" t="str">
        <f ca="1">IF($B108="", "", IF(_xll.IMDP("IR", $B108, P$6, $C$4, "fill=true")=0, "", _xll.IMDP("IR", $B108, P$6, $C$4, "fill=true")))</f>
        <v/>
      </c>
      <c r="Q108" s="102" t="str">
        <f ca="1">IF($B108="", "", IF(_xll.IMDP("IR", $B108, Q$6, $C$4, "fill=true")=0, "", _xll.IMDP("IR", $B108, Q$6, $C$4, "fill=true")))</f>
        <v/>
      </c>
    </row>
    <row r="109" spans="2:17" s="83" customFormat="1" ht="13.5">
      <c r="B109" s="83" t="str">
        <f ca="1">IFERROR( VLOOKUP(ROW()-ROW($B$6), code!$G$51:$K$1483, 5, 0), "")</f>
        <v/>
      </c>
      <c r="C109" s="96" t="str">
        <f ca="1">IF($B109="", "", _xll.IMDP("IR", $B109, "1일", $C$4, "fill=true, disp=date"))</f>
        <v/>
      </c>
      <c r="D109" s="97" t="str">
        <f ca="1">IF($B109="", "", VLOOKUP(ROW()-ROW($B$6), code!$G$51:$K$1483, 2, 0) )</f>
        <v/>
      </c>
      <c r="E109" s="98" t="str">
        <f ca="1">IF($B109="", "", VLOOKUP(ROW()-ROW($B$6), code!$G$51:$K$1483, 3, 0) )</f>
        <v/>
      </c>
      <c r="F109" s="99" t="str">
        <f ca="1">IF($B109="", "", VLOOKUP(ROW()-ROW($B$6), code!$G$51:$K$1483, 4, 0))</f>
        <v/>
      </c>
      <c r="G109" s="100" t="str">
        <f ca="1">IF($B109="", "", IF(_xll.IMDP("IR", $B109, G$6, $C$4, "fill=true")=0, "", _xll.IMDP("IR", $B109, G$6, $C$4, "fill=true")))</f>
        <v/>
      </c>
      <c r="H109" s="101" t="str">
        <f ca="1">IF($B109="", "", IF(_xll.IMDP("IR", $B109, H$6, $C$4, "fill=true")=0, "", _xll.IMDP("IR", $B109, H$6, $C$4, "fill=true")))</f>
        <v/>
      </c>
      <c r="I109" s="101" t="str">
        <f ca="1">IF($B109="", "", IF(_xll.IMDP("IR", $B109, I$6, $C$4, "fill=true")=0, "", _xll.IMDP("IR", $B109, I$6, $C$4, "fill=true")))</f>
        <v/>
      </c>
      <c r="J109" s="101" t="str">
        <f ca="1">IF($B109="", "", IF(_xll.IMDP("IR", $B109, J$6, $C$4, "fill=true")=0, "", _xll.IMDP("IR", $B109, J$6, $C$4, "fill=true")))</f>
        <v/>
      </c>
      <c r="K109" s="101" t="str">
        <f ca="1">IF($B109="", "", IF(_xll.IMDP("IR", $B109, K$6, $C$4, "fill=true")=0, "", _xll.IMDP("IR", $B109, K$6, $C$4, "fill=true")))</f>
        <v/>
      </c>
      <c r="L109" s="101" t="str">
        <f ca="1">IF($B109="", "", IF(_xll.IMDP("IR", $B109, L$6, $C$4, "fill=true")=0, "", _xll.IMDP("IR", $B109, L$6, $C$4, "fill=true")))</f>
        <v/>
      </c>
      <c r="M109" s="101" t="str">
        <f ca="1">IF($B109="", "", IF(_xll.IMDP("IR", $B109, M$6, $C$4, "fill=true")=0, "", _xll.IMDP("IR", $B109, M$6, $C$4, "fill=true")))</f>
        <v/>
      </c>
      <c r="N109" s="101" t="str">
        <f ca="1">IF($B109="", "", IF(_xll.IMDP("IR", $B109, N$6, $C$4, "fill=true")=0, "", _xll.IMDP("IR", $B109, N$6, $C$4, "fill=true")))</f>
        <v/>
      </c>
      <c r="O109" s="101" t="str">
        <f ca="1">IF($B109="", "", IF(_xll.IMDP("IR", $B109, O$6, $C$4, "fill=true")=0, "", _xll.IMDP("IR", $B109, O$6, $C$4, "fill=true")))</f>
        <v/>
      </c>
      <c r="P109" s="101" t="str">
        <f ca="1">IF($B109="", "", IF(_xll.IMDP("IR", $B109, P$6, $C$4, "fill=true")=0, "", _xll.IMDP("IR", $B109, P$6, $C$4, "fill=true")))</f>
        <v/>
      </c>
      <c r="Q109" s="102" t="str">
        <f ca="1">IF($B109="", "", IF(_xll.IMDP("IR", $B109, Q$6, $C$4, "fill=true")=0, "", _xll.IMDP("IR", $B109, Q$6, $C$4, "fill=true")))</f>
        <v/>
      </c>
    </row>
    <row r="110" spans="2:17" s="83" customFormat="1" ht="13.5">
      <c r="B110" s="83" t="str">
        <f ca="1">IFERROR( VLOOKUP(ROW()-ROW($B$6), code!$G$51:$K$1483, 5, 0), "")</f>
        <v/>
      </c>
      <c r="C110" s="96" t="str">
        <f ca="1">IF($B110="", "", _xll.IMDP("IR", $B110, "1일", $C$4, "fill=true, disp=date"))</f>
        <v/>
      </c>
      <c r="D110" s="97" t="str">
        <f ca="1">IF($B110="", "", VLOOKUP(ROW()-ROW($B$6), code!$G$51:$K$1483, 2, 0) )</f>
        <v/>
      </c>
      <c r="E110" s="98" t="str">
        <f ca="1">IF($B110="", "", VLOOKUP(ROW()-ROW($B$6), code!$G$51:$K$1483, 3, 0) )</f>
        <v/>
      </c>
      <c r="F110" s="99" t="str">
        <f ca="1">IF($B110="", "", VLOOKUP(ROW()-ROW($B$6), code!$G$51:$K$1483, 4, 0))</f>
        <v/>
      </c>
      <c r="G110" s="100" t="str">
        <f ca="1">IF($B110="", "", IF(_xll.IMDP("IR", $B110, G$6, $C$4, "fill=true")=0, "", _xll.IMDP("IR", $B110, G$6, $C$4, "fill=true")))</f>
        <v/>
      </c>
      <c r="H110" s="101" t="str">
        <f ca="1">IF($B110="", "", IF(_xll.IMDP("IR", $B110, H$6, $C$4, "fill=true")=0, "", _xll.IMDP("IR", $B110, H$6, $C$4, "fill=true")))</f>
        <v/>
      </c>
      <c r="I110" s="101" t="str">
        <f ca="1">IF($B110="", "", IF(_xll.IMDP("IR", $B110, I$6, $C$4, "fill=true")=0, "", _xll.IMDP("IR", $B110, I$6, $C$4, "fill=true")))</f>
        <v/>
      </c>
      <c r="J110" s="101" t="str">
        <f ca="1">IF($B110="", "", IF(_xll.IMDP("IR", $B110, J$6, $C$4, "fill=true")=0, "", _xll.IMDP("IR", $B110, J$6, $C$4, "fill=true")))</f>
        <v/>
      </c>
      <c r="K110" s="101" t="str">
        <f ca="1">IF($B110="", "", IF(_xll.IMDP("IR", $B110, K$6, $C$4, "fill=true")=0, "", _xll.IMDP("IR", $B110, K$6, $C$4, "fill=true")))</f>
        <v/>
      </c>
      <c r="L110" s="101" t="str">
        <f ca="1">IF($B110="", "", IF(_xll.IMDP("IR", $B110, L$6, $C$4, "fill=true")=0, "", _xll.IMDP("IR", $B110, L$6, $C$4, "fill=true")))</f>
        <v/>
      </c>
      <c r="M110" s="101" t="str">
        <f ca="1">IF($B110="", "", IF(_xll.IMDP("IR", $B110, M$6, $C$4, "fill=true")=0, "", _xll.IMDP("IR", $B110, M$6, $C$4, "fill=true")))</f>
        <v/>
      </c>
      <c r="N110" s="101" t="str">
        <f ca="1">IF($B110="", "", IF(_xll.IMDP("IR", $B110, N$6, $C$4, "fill=true")=0, "", _xll.IMDP("IR", $B110, N$6, $C$4, "fill=true")))</f>
        <v/>
      </c>
      <c r="O110" s="101" t="str">
        <f ca="1">IF($B110="", "", IF(_xll.IMDP("IR", $B110, O$6, $C$4, "fill=true")=0, "", _xll.IMDP("IR", $B110, O$6, $C$4, "fill=true")))</f>
        <v/>
      </c>
      <c r="P110" s="101" t="str">
        <f ca="1">IF($B110="", "", IF(_xll.IMDP("IR", $B110, P$6, $C$4, "fill=true")=0, "", _xll.IMDP("IR", $B110, P$6, $C$4, "fill=true")))</f>
        <v/>
      </c>
      <c r="Q110" s="102" t="str">
        <f ca="1">IF($B110="", "", IF(_xll.IMDP("IR", $B110, Q$6, $C$4, "fill=true")=0, "", _xll.IMDP("IR", $B110, Q$6, $C$4, "fill=true")))</f>
        <v/>
      </c>
    </row>
    <row r="111" spans="2:17" s="83" customFormat="1" ht="13.5">
      <c r="B111" s="83" t="str">
        <f ca="1">IFERROR( VLOOKUP(ROW()-ROW($B$6), code!$G$51:$K$1483, 5, 0), "")</f>
        <v/>
      </c>
      <c r="C111" s="96" t="str">
        <f ca="1">IF($B111="", "", _xll.IMDP("IR", $B111, "1일", $C$4, "fill=true, disp=date"))</f>
        <v/>
      </c>
      <c r="D111" s="97" t="str">
        <f ca="1">IF($B111="", "", VLOOKUP(ROW()-ROW($B$6), code!$G$51:$K$1483, 2, 0) )</f>
        <v/>
      </c>
      <c r="E111" s="98" t="str">
        <f ca="1">IF($B111="", "", VLOOKUP(ROW()-ROW($B$6), code!$G$51:$K$1483, 3, 0) )</f>
        <v/>
      </c>
      <c r="F111" s="99" t="str">
        <f ca="1">IF($B111="", "", VLOOKUP(ROW()-ROW($B$6), code!$G$51:$K$1483, 4, 0))</f>
        <v/>
      </c>
      <c r="G111" s="100" t="str">
        <f ca="1">IF($B111="", "", IF(_xll.IMDP("IR", $B111, G$6, $C$4, "fill=true")=0, "", _xll.IMDP("IR", $B111, G$6, $C$4, "fill=true")))</f>
        <v/>
      </c>
      <c r="H111" s="101" t="str">
        <f ca="1">IF($B111="", "", IF(_xll.IMDP("IR", $B111, H$6, $C$4, "fill=true")=0, "", _xll.IMDP("IR", $B111, H$6, $C$4, "fill=true")))</f>
        <v/>
      </c>
      <c r="I111" s="101" t="str">
        <f ca="1">IF($B111="", "", IF(_xll.IMDP("IR", $B111, I$6, $C$4, "fill=true")=0, "", _xll.IMDP("IR", $B111, I$6, $C$4, "fill=true")))</f>
        <v/>
      </c>
      <c r="J111" s="101" t="str">
        <f ca="1">IF($B111="", "", IF(_xll.IMDP("IR", $B111, J$6, $C$4, "fill=true")=0, "", _xll.IMDP("IR", $B111, J$6, $C$4, "fill=true")))</f>
        <v/>
      </c>
      <c r="K111" s="101" t="str">
        <f ca="1">IF($B111="", "", IF(_xll.IMDP("IR", $B111, K$6, $C$4, "fill=true")=0, "", _xll.IMDP("IR", $B111, K$6, $C$4, "fill=true")))</f>
        <v/>
      </c>
      <c r="L111" s="101" t="str">
        <f ca="1">IF($B111="", "", IF(_xll.IMDP("IR", $B111, L$6, $C$4, "fill=true")=0, "", _xll.IMDP("IR", $B111, L$6, $C$4, "fill=true")))</f>
        <v/>
      </c>
      <c r="M111" s="101" t="str">
        <f ca="1">IF($B111="", "", IF(_xll.IMDP("IR", $B111, M$6, $C$4, "fill=true")=0, "", _xll.IMDP("IR", $B111, M$6, $C$4, "fill=true")))</f>
        <v/>
      </c>
      <c r="N111" s="101" t="str">
        <f ca="1">IF($B111="", "", IF(_xll.IMDP("IR", $B111, N$6, $C$4, "fill=true")=0, "", _xll.IMDP("IR", $B111, N$6, $C$4, "fill=true")))</f>
        <v/>
      </c>
      <c r="O111" s="101" t="str">
        <f ca="1">IF($B111="", "", IF(_xll.IMDP("IR", $B111, O$6, $C$4, "fill=true")=0, "", _xll.IMDP("IR", $B111, O$6, $C$4, "fill=true")))</f>
        <v/>
      </c>
      <c r="P111" s="101" t="str">
        <f ca="1">IF($B111="", "", IF(_xll.IMDP("IR", $B111, P$6, $C$4, "fill=true")=0, "", _xll.IMDP("IR", $B111, P$6, $C$4, "fill=true")))</f>
        <v/>
      </c>
      <c r="Q111" s="102" t="str">
        <f ca="1">IF($B111="", "", IF(_xll.IMDP("IR", $B111, Q$6, $C$4, "fill=true")=0, "", _xll.IMDP("IR", $B111, Q$6, $C$4, "fill=true")))</f>
        <v/>
      </c>
    </row>
    <row r="112" spans="2:17" s="83" customFormat="1" ht="13.5">
      <c r="B112" s="83" t="str">
        <f ca="1">IFERROR( VLOOKUP(ROW()-ROW($B$6), code!$G$51:$K$1483, 5, 0), "")</f>
        <v/>
      </c>
      <c r="C112" s="96" t="str">
        <f ca="1">IF($B112="", "", _xll.IMDP("IR", $B112, "1일", $C$4, "fill=true, disp=date"))</f>
        <v/>
      </c>
      <c r="D112" s="97" t="str">
        <f ca="1">IF($B112="", "", VLOOKUP(ROW()-ROW($B$6), code!$G$51:$K$1483, 2, 0) )</f>
        <v/>
      </c>
      <c r="E112" s="98" t="str">
        <f ca="1">IF($B112="", "", VLOOKUP(ROW()-ROW($B$6), code!$G$51:$K$1483, 3, 0) )</f>
        <v/>
      </c>
      <c r="F112" s="99" t="str">
        <f ca="1">IF($B112="", "", VLOOKUP(ROW()-ROW($B$6), code!$G$51:$K$1483, 4, 0))</f>
        <v/>
      </c>
      <c r="G112" s="100" t="str">
        <f ca="1">IF($B112="", "", IF(_xll.IMDP("IR", $B112, G$6, $C$4, "fill=true")=0, "", _xll.IMDP("IR", $B112, G$6, $C$4, "fill=true")))</f>
        <v/>
      </c>
      <c r="H112" s="101" t="str">
        <f ca="1">IF($B112="", "", IF(_xll.IMDP("IR", $B112, H$6, $C$4, "fill=true")=0, "", _xll.IMDP("IR", $B112, H$6, $C$4, "fill=true")))</f>
        <v/>
      </c>
      <c r="I112" s="101" t="str">
        <f ca="1">IF($B112="", "", IF(_xll.IMDP("IR", $B112, I$6, $C$4, "fill=true")=0, "", _xll.IMDP("IR", $B112, I$6, $C$4, "fill=true")))</f>
        <v/>
      </c>
      <c r="J112" s="101" t="str">
        <f ca="1">IF($B112="", "", IF(_xll.IMDP("IR", $B112, J$6, $C$4, "fill=true")=0, "", _xll.IMDP("IR", $B112, J$6, $C$4, "fill=true")))</f>
        <v/>
      </c>
      <c r="K112" s="101" t="str">
        <f ca="1">IF($B112="", "", IF(_xll.IMDP("IR", $B112, K$6, $C$4, "fill=true")=0, "", _xll.IMDP("IR", $B112, K$6, $C$4, "fill=true")))</f>
        <v/>
      </c>
      <c r="L112" s="101" t="str">
        <f ca="1">IF($B112="", "", IF(_xll.IMDP("IR", $B112, L$6, $C$4, "fill=true")=0, "", _xll.IMDP("IR", $B112, L$6, $C$4, "fill=true")))</f>
        <v/>
      </c>
      <c r="M112" s="101" t="str">
        <f ca="1">IF($B112="", "", IF(_xll.IMDP("IR", $B112, M$6, $C$4, "fill=true")=0, "", _xll.IMDP("IR", $B112, M$6, $C$4, "fill=true")))</f>
        <v/>
      </c>
      <c r="N112" s="101" t="str">
        <f ca="1">IF($B112="", "", IF(_xll.IMDP("IR", $B112, N$6, $C$4, "fill=true")=0, "", _xll.IMDP("IR", $B112, N$6, $C$4, "fill=true")))</f>
        <v/>
      </c>
      <c r="O112" s="101" t="str">
        <f ca="1">IF($B112="", "", IF(_xll.IMDP("IR", $B112, O$6, $C$4, "fill=true")=0, "", _xll.IMDP("IR", $B112, O$6, $C$4, "fill=true")))</f>
        <v/>
      </c>
      <c r="P112" s="101" t="str">
        <f ca="1">IF($B112="", "", IF(_xll.IMDP("IR", $B112, P$6, $C$4, "fill=true")=0, "", _xll.IMDP("IR", $B112, P$6, $C$4, "fill=true")))</f>
        <v/>
      </c>
      <c r="Q112" s="102" t="str">
        <f ca="1">IF($B112="", "", IF(_xll.IMDP("IR", $B112, Q$6, $C$4, "fill=true")=0, "", _xll.IMDP("IR", $B112, Q$6, $C$4, "fill=true")))</f>
        <v/>
      </c>
    </row>
    <row r="113" spans="2:17" s="83" customFormat="1" ht="13.5">
      <c r="B113" s="83" t="str">
        <f ca="1">IFERROR( VLOOKUP(ROW()-ROW($B$6), code!$G$51:$K$1483, 5, 0), "")</f>
        <v/>
      </c>
      <c r="C113" s="96" t="str">
        <f ca="1">IF($B113="", "", _xll.IMDP("IR", $B113, "1일", $C$4, "fill=true, disp=date"))</f>
        <v/>
      </c>
      <c r="D113" s="97" t="str">
        <f ca="1">IF($B113="", "", VLOOKUP(ROW()-ROW($B$6), code!$G$51:$K$1483, 2, 0) )</f>
        <v/>
      </c>
      <c r="E113" s="98" t="str">
        <f ca="1">IF($B113="", "", VLOOKUP(ROW()-ROW($B$6), code!$G$51:$K$1483, 3, 0) )</f>
        <v/>
      </c>
      <c r="F113" s="99" t="str">
        <f ca="1">IF($B113="", "", VLOOKUP(ROW()-ROW($B$6), code!$G$51:$K$1483, 4, 0))</f>
        <v/>
      </c>
      <c r="G113" s="100" t="str">
        <f ca="1">IF($B113="", "", IF(_xll.IMDP("IR", $B113, G$6, $C$4, "fill=true")=0, "", _xll.IMDP("IR", $B113, G$6, $C$4, "fill=true")))</f>
        <v/>
      </c>
      <c r="H113" s="101" t="str">
        <f ca="1">IF($B113="", "", IF(_xll.IMDP("IR", $B113, H$6, $C$4, "fill=true")=0, "", _xll.IMDP("IR", $B113, H$6, $C$4, "fill=true")))</f>
        <v/>
      </c>
      <c r="I113" s="101" t="str">
        <f ca="1">IF($B113="", "", IF(_xll.IMDP("IR", $B113, I$6, $C$4, "fill=true")=0, "", _xll.IMDP("IR", $B113, I$6, $C$4, "fill=true")))</f>
        <v/>
      </c>
      <c r="J113" s="101" t="str">
        <f ca="1">IF($B113="", "", IF(_xll.IMDP("IR", $B113, J$6, $C$4, "fill=true")=0, "", _xll.IMDP("IR", $B113, J$6, $C$4, "fill=true")))</f>
        <v/>
      </c>
      <c r="K113" s="101" t="str">
        <f ca="1">IF($B113="", "", IF(_xll.IMDP("IR", $B113, K$6, $C$4, "fill=true")=0, "", _xll.IMDP("IR", $B113, K$6, $C$4, "fill=true")))</f>
        <v/>
      </c>
      <c r="L113" s="101" t="str">
        <f ca="1">IF($B113="", "", IF(_xll.IMDP("IR", $B113, L$6, $C$4, "fill=true")=0, "", _xll.IMDP("IR", $B113, L$6, $C$4, "fill=true")))</f>
        <v/>
      </c>
      <c r="M113" s="101" t="str">
        <f ca="1">IF($B113="", "", IF(_xll.IMDP("IR", $B113, M$6, $C$4, "fill=true")=0, "", _xll.IMDP("IR", $B113, M$6, $C$4, "fill=true")))</f>
        <v/>
      </c>
      <c r="N113" s="101" t="str">
        <f ca="1">IF($B113="", "", IF(_xll.IMDP("IR", $B113, N$6, $C$4, "fill=true")=0, "", _xll.IMDP("IR", $B113, N$6, $C$4, "fill=true")))</f>
        <v/>
      </c>
      <c r="O113" s="101" t="str">
        <f ca="1">IF($B113="", "", IF(_xll.IMDP("IR", $B113, O$6, $C$4, "fill=true")=0, "", _xll.IMDP("IR", $B113, O$6, $C$4, "fill=true")))</f>
        <v/>
      </c>
      <c r="P113" s="101" t="str">
        <f ca="1">IF($B113="", "", IF(_xll.IMDP("IR", $B113, P$6, $C$4, "fill=true")=0, "", _xll.IMDP("IR", $B113, P$6, $C$4, "fill=true")))</f>
        <v/>
      </c>
      <c r="Q113" s="102" t="str">
        <f ca="1">IF($B113="", "", IF(_xll.IMDP("IR", $B113, Q$6, $C$4, "fill=true")=0, "", _xll.IMDP("IR", $B113, Q$6, $C$4, "fill=true")))</f>
        <v/>
      </c>
    </row>
    <row r="114" spans="2:17" s="83" customFormat="1" ht="13.5">
      <c r="B114" s="83" t="str">
        <f ca="1">IFERROR( VLOOKUP(ROW()-ROW($B$6), code!$G$51:$K$1483, 5, 0), "")</f>
        <v/>
      </c>
      <c r="C114" s="96" t="str">
        <f ca="1">IF($B114="", "", _xll.IMDP("IR", $B114, "1일", $C$4, "fill=true, disp=date"))</f>
        <v/>
      </c>
      <c r="D114" s="97" t="str">
        <f ca="1">IF($B114="", "", VLOOKUP(ROW()-ROW($B$6), code!$G$51:$K$1483, 2, 0) )</f>
        <v/>
      </c>
      <c r="E114" s="98" t="str">
        <f ca="1">IF($B114="", "", VLOOKUP(ROW()-ROW($B$6), code!$G$51:$K$1483, 3, 0) )</f>
        <v/>
      </c>
      <c r="F114" s="99" t="str">
        <f ca="1">IF($B114="", "", VLOOKUP(ROW()-ROW($B$6), code!$G$51:$K$1483, 4, 0))</f>
        <v/>
      </c>
      <c r="G114" s="100" t="str">
        <f ca="1">IF($B114="", "", IF(_xll.IMDP("IR", $B114, G$6, $C$4, "fill=true")=0, "", _xll.IMDP("IR", $B114, G$6, $C$4, "fill=true")))</f>
        <v/>
      </c>
      <c r="H114" s="101" t="str">
        <f ca="1">IF($B114="", "", IF(_xll.IMDP("IR", $B114, H$6, $C$4, "fill=true")=0, "", _xll.IMDP("IR", $B114, H$6, $C$4, "fill=true")))</f>
        <v/>
      </c>
      <c r="I114" s="101" t="str">
        <f ca="1">IF($B114="", "", IF(_xll.IMDP("IR", $B114, I$6, $C$4, "fill=true")=0, "", _xll.IMDP("IR", $B114, I$6, $C$4, "fill=true")))</f>
        <v/>
      </c>
      <c r="J114" s="101" t="str">
        <f ca="1">IF($B114="", "", IF(_xll.IMDP("IR", $B114, J$6, $C$4, "fill=true")=0, "", _xll.IMDP("IR", $B114, J$6, $C$4, "fill=true")))</f>
        <v/>
      </c>
      <c r="K114" s="101" t="str">
        <f ca="1">IF($B114="", "", IF(_xll.IMDP("IR", $B114, K$6, $C$4, "fill=true")=0, "", _xll.IMDP("IR", $B114, K$6, $C$4, "fill=true")))</f>
        <v/>
      </c>
      <c r="L114" s="101" t="str">
        <f ca="1">IF($B114="", "", IF(_xll.IMDP("IR", $B114, L$6, $C$4, "fill=true")=0, "", _xll.IMDP("IR", $B114, L$6, $C$4, "fill=true")))</f>
        <v/>
      </c>
      <c r="M114" s="101" t="str">
        <f ca="1">IF($B114="", "", IF(_xll.IMDP("IR", $B114, M$6, $C$4, "fill=true")=0, "", _xll.IMDP("IR", $B114, M$6, $C$4, "fill=true")))</f>
        <v/>
      </c>
      <c r="N114" s="101" t="str">
        <f ca="1">IF($B114="", "", IF(_xll.IMDP("IR", $B114, N$6, $C$4, "fill=true")=0, "", _xll.IMDP("IR", $B114, N$6, $C$4, "fill=true")))</f>
        <v/>
      </c>
      <c r="O114" s="101" t="str">
        <f ca="1">IF($B114="", "", IF(_xll.IMDP("IR", $B114, O$6, $C$4, "fill=true")=0, "", _xll.IMDP("IR", $B114, O$6, $C$4, "fill=true")))</f>
        <v/>
      </c>
      <c r="P114" s="101" t="str">
        <f ca="1">IF($B114="", "", IF(_xll.IMDP("IR", $B114, P$6, $C$4, "fill=true")=0, "", _xll.IMDP("IR", $B114, P$6, $C$4, "fill=true")))</f>
        <v/>
      </c>
      <c r="Q114" s="102" t="str">
        <f ca="1">IF($B114="", "", IF(_xll.IMDP("IR", $B114, Q$6, $C$4, "fill=true")=0, "", _xll.IMDP("IR", $B114, Q$6, $C$4, "fill=true")))</f>
        <v/>
      </c>
    </row>
    <row r="115" spans="2:17" s="83" customFormat="1" ht="13.5">
      <c r="B115" s="83" t="str">
        <f ca="1">IFERROR( VLOOKUP(ROW()-ROW($B$6), code!$G$51:$K$1483, 5, 0), "")</f>
        <v/>
      </c>
      <c r="C115" s="96" t="str">
        <f ca="1">IF($B115="", "", _xll.IMDP("IR", $B115, "1일", $C$4, "fill=true, disp=date"))</f>
        <v/>
      </c>
      <c r="D115" s="97" t="str">
        <f ca="1">IF($B115="", "", VLOOKUP(ROW()-ROW($B$6), code!$G$51:$K$1483, 2, 0) )</f>
        <v/>
      </c>
      <c r="E115" s="98" t="str">
        <f ca="1">IF($B115="", "", VLOOKUP(ROW()-ROW($B$6), code!$G$51:$K$1483, 3, 0) )</f>
        <v/>
      </c>
      <c r="F115" s="99" t="str">
        <f ca="1">IF($B115="", "", VLOOKUP(ROW()-ROW($B$6), code!$G$51:$K$1483, 4, 0))</f>
        <v/>
      </c>
      <c r="G115" s="100" t="str">
        <f ca="1">IF($B115="", "", IF(_xll.IMDP("IR", $B115, G$6, $C$4, "fill=true")=0, "", _xll.IMDP("IR", $B115, G$6, $C$4, "fill=true")))</f>
        <v/>
      </c>
      <c r="H115" s="101" t="str">
        <f ca="1">IF($B115="", "", IF(_xll.IMDP("IR", $B115, H$6, $C$4, "fill=true")=0, "", _xll.IMDP("IR", $B115, H$6, $C$4, "fill=true")))</f>
        <v/>
      </c>
      <c r="I115" s="101" t="str">
        <f ca="1">IF($B115="", "", IF(_xll.IMDP("IR", $B115, I$6, $C$4, "fill=true")=0, "", _xll.IMDP("IR", $B115, I$6, $C$4, "fill=true")))</f>
        <v/>
      </c>
      <c r="J115" s="101" t="str">
        <f ca="1">IF($B115="", "", IF(_xll.IMDP("IR", $B115, J$6, $C$4, "fill=true")=0, "", _xll.IMDP("IR", $B115, J$6, $C$4, "fill=true")))</f>
        <v/>
      </c>
      <c r="K115" s="101" t="str">
        <f ca="1">IF($B115="", "", IF(_xll.IMDP("IR", $B115, K$6, $C$4, "fill=true")=0, "", _xll.IMDP("IR", $B115, K$6, $C$4, "fill=true")))</f>
        <v/>
      </c>
      <c r="L115" s="101" t="str">
        <f ca="1">IF($B115="", "", IF(_xll.IMDP("IR", $B115, L$6, $C$4, "fill=true")=0, "", _xll.IMDP("IR", $B115, L$6, $C$4, "fill=true")))</f>
        <v/>
      </c>
      <c r="M115" s="101" t="str">
        <f ca="1">IF($B115="", "", IF(_xll.IMDP("IR", $B115, M$6, $C$4, "fill=true")=0, "", _xll.IMDP("IR", $B115, M$6, $C$4, "fill=true")))</f>
        <v/>
      </c>
      <c r="N115" s="101" t="str">
        <f ca="1">IF($B115="", "", IF(_xll.IMDP("IR", $B115, N$6, $C$4, "fill=true")=0, "", _xll.IMDP("IR", $B115, N$6, $C$4, "fill=true")))</f>
        <v/>
      </c>
      <c r="O115" s="101" t="str">
        <f ca="1">IF($B115="", "", IF(_xll.IMDP("IR", $B115, O$6, $C$4, "fill=true")=0, "", _xll.IMDP("IR", $B115, O$6, $C$4, "fill=true")))</f>
        <v/>
      </c>
      <c r="P115" s="101" t="str">
        <f ca="1">IF($B115="", "", IF(_xll.IMDP("IR", $B115, P$6, $C$4, "fill=true")=0, "", _xll.IMDP("IR", $B115, P$6, $C$4, "fill=true")))</f>
        <v/>
      </c>
      <c r="Q115" s="102" t="str">
        <f ca="1">IF($B115="", "", IF(_xll.IMDP("IR", $B115, Q$6, $C$4, "fill=true")=0, "", _xll.IMDP("IR", $B115, Q$6, $C$4, "fill=true")))</f>
        <v/>
      </c>
    </row>
    <row r="116" spans="2:17" s="83" customFormat="1" ht="13.5">
      <c r="B116" s="83" t="str">
        <f ca="1">IFERROR( VLOOKUP(ROW()-ROW($B$6), code!$G$51:$K$1483, 5, 0), "")</f>
        <v/>
      </c>
      <c r="C116" s="96" t="str">
        <f ca="1">IF($B116="", "", _xll.IMDP("IR", $B116, "1일", $C$4, "fill=true, disp=date"))</f>
        <v/>
      </c>
      <c r="D116" s="97" t="str">
        <f ca="1">IF($B116="", "", VLOOKUP(ROW()-ROW($B$6), code!$G$51:$K$1483, 2, 0) )</f>
        <v/>
      </c>
      <c r="E116" s="98" t="str">
        <f ca="1">IF($B116="", "", VLOOKUP(ROW()-ROW($B$6), code!$G$51:$K$1483, 3, 0) )</f>
        <v/>
      </c>
      <c r="F116" s="99" t="str">
        <f ca="1">IF($B116="", "", VLOOKUP(ROW()-ROW($B$6), code!$G$51:$K$1483, 4, 0))</f>
        <v/>
      </c>
      <c r="G116" s="100" t="str">
        <f ca="1">IF($B116="", "", IF(_xll.IMDP("IR", $B116, G$6, $C$4, "fill=true")=0, "", _xll.IMDP("IR", $B116, G$6, $C$4, "fill=true")))</f>
        <v/>
      </c>
      <c r="H116" s="101" t="str">
        <f ca="1">IF($B116="", "", IF(_xll.IMDP("IR", $B116, H$6, $C$4, "fill=true")=0, "", _xll.IMDP("IR", $B116, H$6, $C$4, "fill=true")))</f>
        <v/>
      </c>
      <c r="I116" s="101" t="str">
        <f ca="1">IF($B116="", "", IF(_xll.IMDP("IR", $B116, I$6, $C$4, "fill=true")=0, "", _xll.IMDP("IR", $B116, I$6, $C$4, "fill=true")))</f>
        <v/>
      </c>
      <c r="J116" s="101" t="str">
        <f ca="1">IF($B116="", "", IF(_xll.IMDP("IR", $B116, J$6, $C$4, "fill=true")=0, "", _xll.IMDP("IR", $B116, J$6, $C$4, "fill=true")))</f>
        <v/>
      </c>
      <c r="K116" s="101" t="str">
        <f ca="1">IF($B116="", "", IF(_xll.IMDP("IR", $B116, K$6, $C$4, "fill=true")=0, "", _xll.IMDP("IR", $B116, K$6, $C$4, "fill=true")))</f>
        <v/>
      </c>
      <c r="L116" s="101" t="str">
        <f ca="1">IF($B116="", "", IF(_xll.IMDP("IR", $B116, L$6, $C$4, "fill=true")=0, "", _xll.IMDP("IR", $B116, L$6, $C$4, "fill=true")))</f>
        <v/>
      </c>
      <c r="M116" s="101" t="str">
        <f ca="1">IF($B116="", "", IF(_xll.IMDP("IR", $B116, M$6, $C$4, "fill=true")=0, "", _xll.IMDP("IR", $B116, M$6, $C$4, "fill=true")))</f>
        <v/>
      </c>
      <c r="N116" s="101" t="str">
        <f ca="1">IF($B116="", "", IF(_xll.IMDP("IR", $B116, N$6, $C$4, "fill=true")=0, "", _xll.IMDP("IR", $B116, N$6, $C$4, "fill=true")))</f>
        <v/>
      </c>
      <c r="O116" s="101" t="str">
        <f ca="1">IF($B116="", "", IF(_xll.IMDP("IR", $B116, O$6, $C$4, "fill=true")=0, "", _xll.IMDP("IR", $B116, O$6, $C$4, "fill=true")))</f>
        <v/>
      </c>
      <c r="P116" s="101" t="str">
        <f ca="1">IF($B116="", "", IF(_xll.IMDP("IR", $B116, P$6, $C$4, "fill=true")=0, "", _xll.IMDP("IR", $B116, P$6, $C$4, "fill=true")))</f>
        <v/>
      </c>
      <c r="Q116" s="102" t="str">
        <f ca="1">IF($B116="", "", IF(_xll.IMDP("IR", $B116, Q$6, $C$4, "fill=true")=0, "", _xll.IMDP("IR", $B116, Q$6, $C$4, "fill=true")))</f>
        <v/>
      </c>
    </row>
    <row r="117" spans="2:17" s="83" customFormat="1" ht="13.5">
      <c r="B117" s="83" t="str">
        <f ca="1">IFERROR( VLOOKUP(ROW()-ROW($B$6), code!$G$51:$K$1483, 5, 0), "")</f>
        <v/>
      </c>
      <c r="C117" s="96" t="str">
        <f ca="1">IF($B117="", "", _xll.IMDP("IR", $B117, "1일", $C$4, "fill=true, disp=date"))</f>
        <v/>
      </c>
      <c r="D117" s="97" t="str">
        <f ca="1">IF($B117="", "", VLOOKUP(ROW()-ROW($B$6), code!$G$51:$K$1483, 2, 0) )</f>
        <v/>
      </c>
      <c r="E117" s="98" t="str">
        <f ca="1">IF($B117="", "", VLOOKUP(ROW()-ROW($B$6), code!$G$51:$K$1483, 3, 0) )</f>
        <v/>
      </c>
      <c r="F117" s="99" t="str">
        <f ca="1">IF($B117="", "", VLOOKUP(ROW()-ROW($B$6), code!$G$51:$K$1483, 4, 0))</f>
        <v/>
      </c>
      <c r="G117" s="100" t="str">
        <f ca="1">IF($B117="", "", IF(_xll.IMDP("IR", $B117, G$6, $C$4, "fill=true")=0, "", _xll.IMDP("IR", $B117, G$6, $C$4, "fill=true")))</f>
        <v/>
      </c>
      <c r="H117" s="101" t="str">
        <f ca="1">IF($B117="", "", IF(_xll.IMDP("IR", $B117, H$6, $C$4, "fill=true")=0, "", _xll.IMDP("IR", $B117, H$6, $C$4, "fill=true")))</f>
        <v/>
      </c>
      <c r="I117" s="101" t="str">
        <f ca="1">IF($B117="", "", IF(_xll.IMDP("IR", $B117, I$6, $C$4, "fill=true")=0, "", _xll.IMDP("IR", $B117, I$6, $C$4, "fill=true")))</f>
        <v/>
      </c>
      <c r="J117" s="101" t="str">
        <f ca="1">IF($B117="", "", IF(_xll.IMDP("IR", $B117, J$6, $C$4, "fill=true")=0, "", _xll.IMDP("IR", $B117, J$6, $C$4, "fill=true")))</f>
        <v/>
      </c>
      <c r="K117" s="101" t="str">
        <f ca="1">IF($B117="", "", IF(_xll.IMDP("IR", $B117, K$6, $C$4, "fill=true")=0, "", _xll.IMDP("IR", $B117, K$6, $C$4, "fill=true")))</f>
        <v/>
      </c>
      <c r="L117" s="101" t="str">
        <f ca="1">IF($B117="", "", IF(_xll.IMDP("IR", $B117, L$6, $C$4, "fill=true")=0, "", _xll.IMDP("IR", $B117, L$6, $C$4, "fill=true")))</f>
        <v/>
      </c>
      <c r="M117" s="101" t="str">
        <f ca="1">IF($B117="", "", IF(_xll.IMDP("IR", $B117, M$6, $C$4, "fill=true")=0, "", _xll.IMDP("IR", $B117, M$6, $C$4, "fill=true")))</f>
        <v/>
      </c>
      <c r="N117" s="101" t="str">
        <f ca="1">IF($B117="", "", IF(_xll.IMDP("IR", $B117, N$6, $C$4, "fill=true")=0, "", _xll.IMDP("IR", $B117, N$6, $C$4, "fill=true")))</f>
        <v/>
      </c>
      <c r="O117" s="101" t="str">
        <f ca="1">IF($B117="", "", IF(_xll.IMDP("IR", $B117, O$6, $C$4, "fill=true")=0, "", _xll.IMDP("IR", $B117, O$6, $C$4, "fill=true")))</f>
        <v/>
      </c>
      <c r="P117" s="101" t="str">
        <f ca="1">IF($B117="", "", IF(_xll.IMDP("IR", $B117, P$6, $C$4, "fill=true")=0, "", _xll.IMDP("IR", $B117, P$6, $C$4, "fill=true")))</f>
        <v/>
      </c>
      <c r="Q117" s="102" t="str">
        <f ca="1">IF($B117="", "", IF(_xll.IMDP("IR", $B117, Q$6, $C$4, "fill=true")=0, "", _xll.IMDP("IR", $B117, Q$6, $C$4, "fill=true")))</f>
        <v/>
      </c>
    </row>
    <row r="118" spans="2:17" s="83" customFormat="1" ht="13.5">
      <c r="B118" s="83" t="str">
        <f ca="1">IFERROR( VLOOKUP(ROW()-ROW($B$6), code!$G$51:$K$1483, 5, 0), "")</f>
        <v/>
      </c>
      <c r="C118" s="96" t="str">
        <f ca="1">IF($B118="", "", _xll.IMDP("IR", $B118, "1일", $C$4, "fill=true, disp=date"))</f>
        <v/>
      </c>
      <c r="D118" s="97" t="str">
        <f ca="1">IF($B118="", "", VLOOKUP(ROW()-ROW($B$6), code!$G$51:$K$1483, 2, 0) )</f>
        <v/>
      </c>
      <c r="E118" s="98" t="str">
        <f ca="1">IF($B118="", "", VLOOKUP(ROW()-ROW($B$6), code!$G$51:$K$1483, 3, 0) )</f>
        <v/>
      </c>
      <c r="F118" s="99" t="str">
        <f ca="1">IF($B118="", "", VLOOKUP(ROW()-ROW($B$6), code!$G$51:$K$1483, 4, 0))</f>
        <v/>
      </c>
      <c r="G118" s="100" t="str">
        <f ca="1">IF($B118="", "", IF(_xll.IMDP("IR", $B118, G$6, $C$4, "fill=true")=0, "", _xll.IMDP("IR", $B118, G$6, $C$4, "fill=true")))</f>
        <v/>
      </c>
      <c r="H118" s="101" t="str">
        <f ca="1">IF($B118="", "", IF(_xll.IMDP("IR", $B118, H$6, $C$4, "fill=true")=0, "", _xll.IMDP("IR", $B118, H$6, $C$4, "fill=true")))</f>
        <v/>
      </c>
      <c r="I118" s="101" t="str">
        <f ca="1">IF($B118="", "", IF(_xll.IMDP("IR", $B118, I$6, $C$4, "fill=true")=0, "", _xll.IMDP("IR", $B118, I$6, $C$4, "fill=true")))</f>
        <v/>
      </c>
      <c r="J118" s="101" t="str">
        <f ca="1">IF($B118="", "", IF(_xll.IMDP("IR", $B118, J$6, $C$4, "fill=true")=0, "", _xll.IMDP("IR", $B118, J$6, $C$4, "fill=true")))</f>
        <v/>
      </c>
      <c r="K118" s="101" t="str">
        <f ca="1">IF($B118="", "", IF(_xll.IMDP("IR", $B118, K$6, $C$4, "fill=true")=0, "", _xll.IMDP("IR", $B118, K$6, $C$4, "fill=true")))</f>
        <v/>
      </c>
      <c r="L118" s="101" t="str">
        <f ca="1">IF($B118="", "", IF(_xll.IMDP("IR", $B118, L$6, $C$4, "fill=true")=0, "", _xll.IMDP("IR", $B118, L$6, $C$4, "fill=true")))</f>
        <v/>
      </c>
      <c r="M118" s="101" t="str">
        <f ca="1">IF($B118="", "", IF(_xll.IMDP("IR", $B118, M$6, $C$4, "fill=true")=0, "", _xll.IMDP("IR", $B118, M$6, $C$4, "fill=true")))</f>
        <v/>
      </c>
      <c r="N118" s="101" t="str">
        <f ca="1">IF($B118="", "", IF(_xll.IMDP("IR", $B118, N$6, $C$4, "fill=true")=0, "", _xll.IMDP("IR", $B118, N$6, $C$4, "fill=true")))</f>
        <v/>
      </c>
      <c r="O118" s="101" t="str">
        <f ca="1">IF($B118="", "", IF(_xll.IMDP("IR", $B118, O$6, $C$4, "fill=true")=0, "", _xll.IMDP("IR", $B118, O$6, $C$4, "fill=true")))</f>
        <v/>
      </c>
      <c r="P118" s="101" t="str">
        <f ca="1">IF($B118="", "", IF(_xll.IMDP("IR", $B118, P$6, $C$4, "fill=true")=0, "", _xll.IMDP("IR", $B118, P$6, $C$4, "fill=true")))</f>
        <v/>
      </c>
      <c r="Q118" s="102" t="str">
        <f ca="1">IF($B118="", "", IF(_xll.IMDP("IR", $B118, Q$6, $C$4, "fill=true")=0, "", _xll.IMDP("IR", $B118, Q$6, $C$4, "fill=true")))</f>
        <v/>
      </c>
    </row>
    <row r="119" spans="2:17" s="83" customFormat="1" ht="13.5">
      <c r="B119" s="83" t="str">
        <f ca="1">IFERROR( VLOOKUP(ROW()-ROW($B$6), code!$G$51:$K$1483, 5, 0), "")</f>
        <v/>
      </c>
      <c r="C119" s="96" t="str">
        <f ca="1">IF($B119="", "", _xll.IMDP("IR", $B119, "1일", $C$4, "fill=true, disp=date"))</f>
        <v/>
      </c>
      <c r="D119" s="97" t="str">
        <f ca="1">IF($B119="", "", VLOOKUP(ROW()-ROW($B$6), code!$G$51:$K$1483, 2, 0) )</f>
        <v/>
      </c>
      <c r="E119" s="98" t="str">
        <f ca="1">IF($B119="", "", VLOOKUP(ROW()-ROW($B$6), code!$G$51:$K$1483, 3, 0) )</f>
        <v/>
      </c>
      <c r="F119" s="99" t="str">
        <f ca="1">IF($B119="", "", VLOOKUP(ROW()-ROW($B$6), code!$G$51:$K$1483, 4, 0))</f>
        <v/>
      </c>
      <c r="G119" s="100" t="str">
        <f ca="1">IF($B119="", "", IF(_xll.IMDP("IR", $B119, G$6, $C$4, "fill=true")=0, "", _xll.IMDP("IR", $B119, G$6, $C$4, "fill=true")))</f>
        <v/>
      </c>
      <c r="H119" s="101" t="str">
        <f ca="1">IF($B119="", "", IF(_xll.IMDP("IR", $B119, H$6, $C$4, "fill=true")=0, "", _xll.IMDP("IR", $B119, H$6, $C$4, "fill=true")))</f>
        <v/>
      </c>
      <c r="I119" s="101" t="str">
        <f ca="1">IF($B119="", "", IF(_xll.IMDP("IR", $B119, I$6, $C$4, "fill=true")=0, "", _xll.IMDP("IR", $B119, I$6, $C$4, "fill=true")))</f>
        <v/>
      </c>
      <c r="J119" s="101" t="str">
        <f ca="1">IF($B119="", "", IF(_xll.IMDP("IR", $B119, J$6, $C$4, "fill=true")=0, "", _xll.IMDP("IR", $B119, J$6, $C$4, "fill=true")))</f>
        <v/>
      </c>
      <c r="K119" s="101" t="str">
        <f ca="1">IF($B119="", "", IF(_xll.IMDP("IR", $B119, K$6, $C$4, "fill=true")=0, "", _xll.IMDP("IR", $B119, K$6, $C$4, "fill=true")))</f>
        <v/>
      </c>
      <c r="L119" s="101" t="str">
        <f ca="1">IF($B119="", "", IF(_xll.IMDP("IR", $B119, L$6, $C$4, "fill=true")=0, "", _xll.IMDP("IR", $B119, L$6, $C$4, "fill=true")))</f>
        <v/>
      </c>
      <c r="M119" s="101" t="str">
        <f ca="1">IF($B119="", "", IF(_xll.IMDP("IR", $B119, M$6, $C$4, "fill=true")=0, "", _xll.IMDP("IR", $B119, M$6, $C$4, "fill=true")))</f>
        <v/>
      </c>
      <c r="N119" s="101" t="str">
        <f ca="1">IF($B119="", "", IF(_xll.IMDP("IR", $B119, N$6, $C$4, "fill=true")=0, "", _xll.IMDP("IR", $B119, N$6, $C$4, "fill=true")))</f>
        <v/>
      </c>
      <c r="O119" s="101" t="str">
        <f ca="1">IF($B119="", "", IF(_xll.IMDP("IR", $B119, O$6, $C$4, "fill=true")=0, "", _xll.IMDP("IR", $B119, O$6, $C$4, "fill=true")))</f>
        <v/>
      </c>
      <c r="P119" s="101" t="str">
        <f ca="1">IF($B119="", "", IF(_xll.IMDP("IR", $B119, P$6, $C$4, "fill=true")=0, "", _xll.IMDP("IR", $B119, P$6, $C$4, "fill=true")))</f>
        <v/>
      </c>
      <c r="Q119" s="102" t="str">
        <f ca="1">IF($B119="", "", IF(_xll.IMDP("IR", $B119, Q$6, $C$4, "fill=true")=0, "", _xll.IMDP("IR", $B119, Q$6, $C$4, "fill=true")))</f>
        <v/>
      </c>
    </row>
    <row r="120" spans="2:17" s="83" customFormat="1" ht="13.5">
      <c r="B120" s="83" t="str">
        <f ca="1">IFERROR( VLOOKUP(ROW()-ROW($B$6), code!$G$51:$K$1483, 5, 0), "")</f>
        <v/>
      </c>
      <c r="C120" s="96" t="str">
        <f ca="1">IF($B120="", "", _xll.IMDP("IR", $B120, "1일", $C$4, "fill=true, disp=date"))</f>
        <v/>
      </c>
      <c r="D120" s="97" t="str">
        <f ca="1">IF($B120="", "", VLOOKUP(ROW()-ROW($B$6), code!$G$51:$K$1483, 2, 0) )</f>
        <v/>
      </c>
      <c r="E120" s="98" t="str">
        <f ca="1">IF($B120="", "", VLOOKUP(ROW()-ROW($B$6), code!$G$51:$K$1483, 3, 0) )</f>
        <v/>
      </c>
      <c r="F120" s="99" t="str">
        <f ca="1">IF($B120="", "", VLOOKUP(ROW()-ROW($B$6), code!$G$51:$K$1483, 4, 0))</f>
        <v/>
      </c>
      <c r="G120" s="100" t="str">
        <f ca="1">IF($B120="", "", IF(_xll.IMDP("IR", $B120, G$6, $C$4, "fill=true")=0, "", _xll.IMDP("IR", $B120, G$6, $C$4, "fill=true")))</f>
        <v/>
      </c>
      <c r="H120" s="101" t="str">
        <f ca="1">IF($B120="", "", IF(_xll.IMDP("IR", $B120, H$6, $C$4, "fill=true")=0, "", _xll.IMDP("IR", $B120, H$6, $C$4, "fill=true")))</f>
        <v/>
      </c>
      <c r="I120" s="101" t="str">
        <f ca="1">IF($B120="", "", IF(_xll.IMDP("IR", $B120, I$6, $C$4, "fill=true")=0, "", _xll.IMDP("IR", $B120, I$6, $C$4, "fill=true")))</f>
        <v/>
      </c>
      <c r="J120" s="101" t="str">
        <f ca="1">IF($B120="", "", IF(_xll.IMDP("IR", $B120, J$6, $C$4, "fill=true")=0, "", _xll.IMDP("IR", $B120, J$6, $C$4, "fill=true")))</f>
        <v/>
      </c>
      <c r="K120" s="101" t="str">
        <f ca="1">IF($B120="", "", IF(_xll.IMDP("IR", $B120, K$6, $C$4, "fill=true")=0, "", _xll.IMDP("IR", $B120, K$6, $C$4, "fill=true")))</f>
        <v/>
      </c>
      <c r="L120" s="101" t="str">
        <f ca="1">IF($B120="", "", IF(_xll.IMDP("IR", $B120, L$6, $C$4, "fill=true")=0, "", _xll.IMDP("IR", $B120, L$6, $C$4, "fill=true")))</f>
        <v/>
      </c>
      <c r="M120" s="101" t="str">
        <f ca="1">IF($B120="", "", IF(_xll.IMDP("IR", $B120, M$6, $C$4, "fill=true")=0, "", _xll.IMDP("IR", $B120, M$6, $C$4, "fill=true")))</f>
        <v/>
      </c>
      <c r="N120" s="101" t="str">
        <f ca="1">IF($B120="", "", IF(_xll.IMDP("IR", $B120, N$6, $C$4, "fill=true")=0, "", _xll.IMDP("IR", $B120, N$6, $C$4, "fill=true")))</f>
        <v/>
      </c>
      <c r="O120" s="101" t="str">
        <f ca="1">IF($B120="", "", IF(_xll.IMDP("IR", $B120, O$6, $C$4, "fill=true")=0, "", _xll.IMDP("IR", $B120, O$6, $C$4, "fill=true")))</f>
        <v/>
      </c>
      <c r="P120" s="101" t="str">
        <f ca="1">IF($B120="", "", IF(_xll.IMDP("IR", $B120, P$6, $C$4, "fill=true")=0, "", _xll.IMDP("IR", $B120, P$6, $C$4, "fill=true")))</f>
        <v/>
      </c>
      <c r="Q120" s="102" t="str">
        <f ca="1">IF($B120="", "", IF(_xll.IMDP("IR", $B120, Q$6, $C$4, "fill=true")=0, "", _xll.IMDP("IR", $B120, Q$6, $C$4, "fill=true")))</f>
        <v/>
      </c>
    </row>
    <row r="121" spans="2:17" s="83" customFormat="1" ht="13.5">
      <c r="B121" s="83" t="str">
        <f ca="1">IFERROR( VLOOKUP(ROW()-ROW($B$6), code!$G$51:$K$1483, 5, 0), "")</f>
        <v/>
      </c>
      <c r="C121" s="96" t="str">
        <f ca="1">IF($B121="", "", _xll.IMDP("IR", $B121, "1일", $C$4, "fill=true, disp=date"))</f>
        <v/>
      </c>
      <c r="D121" s="97" t="str">
        <f ca="1">IF($B121="", "", VLOOKUP(ROW()-ROW($B$6), code!$G$51:$K$1483, 2, 0) )</f>
        <v/>
      </c>
      <c r="E121" s="98" t="str">
        <f ca="1">IF($B121="", "", VLOOKUP(ROW()-ROW($B$6), code!$G$51:$K$1483, 3, 0) )</f>
        <v/>
      </c>
      <c r="F121" s="99" t="str">
        <f ca="1">IF($B121="", "", VLOOKUP(ROW()-ROW($B$6), code!$G$51:$K$1483, 4, 0))</f>
        <v/>
      </c>
      <c r="G121" s="100" t="str">
        <f ca="1">IF($B121="", "", IF(_xll.IMDP("IR", $B121, G$6, $C$4, "fill=true")=0, "", _xll.IMDP("IR", $B121, G$6, $C$4, "fill=true")))</f>
        <v/>
      </c>
      <c r="H121" s="101" t="str">
        <f ca="1">IF($B121="", "", IF(_xll.IMDP("IR", $B121, H$6, $C$4, "fill=true")=0, "", _xll.IMDP("IR", $B121, H$6, $C$4, "fill=true")))</f>
        <v/>
      </c>
      <c r="I121" s="101" t="str">
        <f ca="1">IF($B121="", "", IF(_xll.IMDP("IR", $B121, I$6, $C$4, "fill=true")=0, "", _xll.IMDP("IR", $B121, I$6, $C$4, "fill=true")))</f>
        <v/>
      </c>
      <c r="J121" s="101" t="str">
        <f ca="1">IF($B121="", "", IF(_xll.IMDP("IR", $B121, J$6, $C$4, "fill=true")=0, "", _xll.IMDP("IR", $B121, J$6, $C$4, "fill=true")))</f>
        <v/>
      </c>
      <c r="K121" s="101" t="str">
        <f ca="1">IF($B121="", "", IF(_xll.IMDP("IR", $B121, K$6, $C$4, "fill=true")=0, "", _xll.IMDP("IR", $B121, K$6, $C$4, "fill=true")))</f>
        <v/>
      </c>
      <c r="L121" s="101" t="str">
        <f ca="1">IF($B121="", "", IF(_xll.IMDP("IR", $B121, L$6, $C$4, "fill=true")=0, "", _xll.IMDP("IR", $B121, L$6, $C$4, "fill=true")))</f>
        <v/>
      </c>
      <c r="M121" s="101" t="str">
        <f ca="1">IF($B121="", "", IF(_xll.IMDP("IR", $B121, M$6, $C$4, "fill=true")=0, "", _xll.IMDP("IR", $B121, M$6, $C$4, "fill=true")))</f>
        <v/>
      </c>
      <c r="N121" s="101" t="str">
        <f ca="1">IF($B121="", "", IF(_xll.IMDP("IR", $B121, N$6, $C$4, "fill=true")=0, "", _xll.IMDP("IR", $B121, N$6, $C$4, "fill=true")))</f>
        <v/>
      </c>
      <c r="O121" s="101" t="str">
        <f ca="1">IF($B121="", "", IF(_xll.IMDP("IR", $B121, O$6, $C$4, "fill=true")=0, "", _xll.IMDP("IR", $B121, O$6, $C$4, "fill=true")))</f>
        <v/>
      </c>
      <c r="P121" s="101" t="str">
        <f ca="1">IF($B121="", "", IF(_xll.IMDP("IR", $B121, P$6, $C$4, "fill=true")=0, "", _xll.IMDP("IR", $B121, P$6, $C$4, "fill=true")))</f>
        <v/>
      </c>
      <c r="Q121" s="102" t="str">
        <f ca="1">IF($B121="", "", IF(_xll.IMDP("IR", $B121, Q$6, $C$4, "fill=true")=0, "", _xll.IMDP("IR", $B121, Q$6, $C$4, "fill=true")))</f>
        <v/>
      </c>
    </row>
    <row r="122" spans="2:17" s="83" customFormat="1" ht="13.5">
      <c r="B122" s="83" t="str">
        <f ca="1">IFERROR( VLOOKUP(ROW()-ROW($B$6), code!$G$51:$K$1483, 5, 0), "")</f>
        <v/>
      </c>
      <c r="C122" s="96" t="str">
        <f ca="1">IF($B122="", "", _xll.IMDP("IR", $B122, "1일", $C$4, "fill=true, disp=date"))</f>
        <v/>
      </c>
      <c r="D122" s="97" t="str">
        <f ca="1">IF($B122="", "", VLOOKUP(ROW()-ROW($B$6), code!$G$51:$K$1483, 2, 0) )</f>
        <v/>
      </c>
      <c r="E122" s="98" t="str">
        <f ca="1">IF($B122="", "", VLOOKUP(ROW()-ROW($B$6), code!$G$51:$K$1483, 3, 0) )</f>
        <v/>
      </c>
      <c r="F122" s="99" t="str">
        <f ca="1">IF($B122="", "", VLOOKUP(ROW()-ROW($B$6), code!$G$51:$K$1483, 4, 0))</f>
        <v/>
      </c>
      <c r="G122" s="100" t="str">
        <f ca="1">IF($B122="", "", IF(_xll.IMDP("IR", $B122, G$6, $C$4, "fill=true")=0, "", _xll.IMDP("IR", $B122, G$6, $C$4, "fill=true")))</f>
        <v/>
      </c>
      <c r="H122" s="101" t="str">
        <f ca="1">IF($B122="", "", IF(_xll.IMDP("IR", $B122, H$6, $C$4, "fill=true")=0, "", _xll.IMDP("IR", $B122, H$6, $C$4, "fill=true")))</f>
        <v/>
      </c>
      <c r="I122" s="101" t="str">
        <f ca="1">IF($B122="", "", IF(_xll.IMDP("IR", $B122, I$6, $C$4, "fill=true")=0, "", _xll.IMDP("IR", $B122, I$6, $C$4, "fill=true")))</f>
        <v/>
      </c>
      <c r="J122" s="101" t="str">
        <f ca="1">IF($B122="", "", IF(_xll.IMDP("IR", $B122, J$6, $C$4, "fill=true")=0, "", _xll.IMDP("IR", $B122, J$6, $C$4, "fill=true")))</f>
        <v/>
      </c>
      <c r="K122" s="101" t="str">
        <f ca="1">IF($B122="", "", IF(_xll.IMDP("IR", $B122, K$6, $C$4, "fill=true")=0, "", _xll.IMDP("IR", $B122, K$6, $C$4, "fill=true")))</f>
        <v/>
      </c>
      <c r="L122" s="101" t="str">
        <f ca="1">IF($B122="", "", IF(_xll.IMDP("IR", $B122, L$6, $C$4, "fill=true")=0, "", _xll.IMDP("IR", $B122, L$6, $C$4, "fill=true")))</f>
        <v/>
      </c>
      <c r="M122" s="101" t="str">
        <f ca="1">IF($B122="", "", IF(_xll.IMDP("IR", $B122, M$6, $C$4, "fill=true")=0, "", _xll.IMDP("IR", $B122, M$6, $C$4, "fill=true")))</f>
        <v/>
      </c>
      <c r="N122" s="101" t="str">
        <f ca="1">IF($B122="", "", IF(_xll.IMDP("IR", $B122, N$6, $C$4, "fill=true")=0, "", _xll.IMDP("IR", $B122, N$6, $C$4, "fill=true")))</f>
        <v/>
      </c>
      <c r="O122" s="101" t="str">
        <f ca="1">IF($B122="", "", IF(_xll.IMDP("IR", $B122, O$6, $C$4, "fill=true")=0, "", _xll.IMDP("IR", $B122, O$6, $C$4, "fill=true")))</f>
        <v/>
      </c>
      <c r="P122" s="101" t="str">
        <f ca="1">IF($B122="", "", IF(_xll.IMDP("IR", $B122, P$6, $C$4, "fill=true")=0, "", _xll.IMDP("IR", $B122, P$6, $C$4, "fill=true")))</f>
        <v/>
      </c>
      <c r="Q122" s="102" t="str">
        <f ca="1">IF($B122="", "", IF(_xll.IMDP("IR", $B122, Q$6, $C$4, "fill=true")=0, "", _xll.IMDP("IR", $B122, Q$6, $C$4, "fill=true")))</f>
        <v/>
      </c>
    </row>
    <row r="123" spans="2:17" s="83" customFormat="1" ht="13.5">
      <c r="B123" s="83" t="str">
        <f ca="1">IFERROR( VLOOKUP(ROW()-ROW($B$6), code!$G$51:$K$1483, 5, 0), "")</f>
        <v/>
      </c>
      <c r="C123" s="96" t="str">
        <f ca="1">IF($B123="", "", _xll.IMDP("IR", $B123, "1일", $C$4, "fill=true, disp=date"))</f>
        <v/>
      </c>
      <c r="D123" s="97" t="str">
        <f ca="1">IF($B123="", "", VLOOKUP(ROW()-ROW($B$6), code!$G$51:$K$1483, 2, 0) )</f>
        <v/>
      </c>
      <c r="E123" s="98" t="str">
        <f ca="1">IF($B123="", "", VLOOKUP(ROW()-ROW($B$6), code!$G$51:$K$1483, 3, 0) )</f>
        <v/>
      </c>
      <c r="F123" s="99" t="str">
        <f ca="1">IF($B123="", "", VLOOKUP(ROW()-ROW($B$6), code!$G$51:$K$1483, 4, 0))</f>
        <v/>
      </c>
      <c r="G123" s="100" t="str">
        <f ca="1">IF($B123="", "", IF(_xll.IMDP("IR", $B123, G$6, $C$4, "fill=true")=0, "", _xll.IMDP("IR", $B123, G$6, $C$4, "fill=true")))</f>
        <v/>
      </c>
      <c r="H123" s="101" t="str">
        <f ca="1">IF($B123="", "", IF(_xll.IMDP("IR", $B123, H$6, $C$4, "fill=true")=0, "", _xll.IMDP("IR", $B123, H$6, $C$4, "fill=true")))</f>
        <v/>
      </c>
      <c r="I123" s="101" t="str">
        <f ca="1">IF($B123="", "", IF(_xll.IMDP("IR", $B123, I$6, $C$4, "fill=true")=0, "", _xll.IMDP("IR", $B123, I$6, $C$4, "fill=true")))</f>
        <v/>
      </c>
      <c r="J123" s="101" t="str">
        <f ca="1">IF($B123="", "", IF(_xll.IMDP("IR", $B123, J$6, $C$4, "fill=true")=0, "", _xll.IMDP("IR", $B123, J$6, $C$4, "fill=true")))</f>
        <v/>
      </c>
      <c r="K123" s="101" t="str">
        <f ca="1">IF($B123="", "", IF(_xll.IMDP("IR", $B123, K$6, $C$4, "fill=true")=0, "", _xll.IMDP("IR", $B123, K$6, $C$4, "fill=true")))</f>
        <v/>
      </c>
      <c r="L123" s="101" t="str">
        <f ca="1">IF($B123="", "", IF(_xll.IMDP("IR", $B123, L$6, $C$4, "fill=true")=0, "", _xll.IMDP("IR", $B123, L$6, $C$4, "fill=true")))</f>
        <v/>
      </c>
      <c r="M123" s="101" t="str">
        <f ca="1">IF($B123="", "", IF(_xll.IMDP("IR", $B123, M$6, $C$4, "fill=true")=0, "", _xll.IMDP("IR", $B123, M$6, $C$4, "fill=true")))</f>
        <v/>
      </c>
      <c r="N123" s="101" t="str">
        <f ca="1">IF($B123="", "", IF(_xll.IMDP("IR", $B123, N$6, $C$4, "fill=true")=0, "", _xll.IMDP("IR", $B123, N$6, $C$4, "fill=true")))</f>
        <v/>
      </c>
      <c r="O123" s="101" t="str">
        <f ca="1">IF($B123="", "", IF(_xll.IMDP("IR", $B123, O$6, $C$4, "fill=true")=0, "", _xll.IMDP("IR", $B123, O$6, $C$4, "fill=true")))</f>
        <v/>
      </c>
      <c r="P123" s="101" t="str">
        <f ca="1">IF($B123="", "", IF(_xll.IMDP("IR", $B123, P$6, $C$4, "fill=true")=0, "", _xll.IMDP("IR", $B123, P$6, $C$4, "fill=true")))</f>
        <v/>
      </c>
      <c r="Q123" s="102" t="str">
        <f ca="1">IF($B123="", "", IF(_xll.IMDP("IR", $B123, Q$6, $C$4, "fill=true")=0, "", _xll.IMDP("IR", $B123, Q$6, $C$4, "fill=true")))</f>
        <v/>
      </c>
    </row>
    <row r="124" spans="2:17" s="83" customFormat="1" ht="13.5">
      <c r="B124" s="83" t="str">
        <f ca="1">IFERROR( VLOOKUP(ROW()-ROW($B$6), code!$G$51:$K$1483, 5, 0), "")</f>
        <v/>
      </c>
      <c r="C124" s="96" t="str">
        <f ca="1">IF($B124="", "", _xll.IMDP("IR", $B124, "1일", $C$4, "fill=true, disp=date"))</f>
        <v/>
      </c>
      <c r="D124" s="97" t="str">
        <f ca="1">IF($B124="", "", VLOOKUP(ROW()-ROW($B$6), code!$G$51:$K$1483, 2, 0) )</f>
        <v/>
      </c>
      <c r="E124" s="98" t="str">
        <f ca="1">IF($B124="", "", VLOOKUP(ROW()-ROW($B$6), code!$G$51:$K$1483, 3, 0) )</f>
        <v/>
      </c>
      <c r="F124" s="99" t="str">
        <f ca="1">IF($B124="", "", VLOOKUP(ROW()-ROW($B$6), code!$G$51:$K$1483, 4, 0))</f>
        <v/>
      </c>
      <c r="G124" s="100" t="str">
        <f ca="1">IF($B124="", "", IF(_xll.IMDP("IR", $B124, G$6, $C$4, "fill=true")=0, "", _xll.IMDP("IR", $B124, G$6, $C$4, "fill=true")))</f>
        <v/>
      </c>
      <c r="H124" s="101" t="str">
        <f ca="1">IF($B124="", "", IF(_xll.IMDP("IR", $B124, H$6, $C$4, "fill=true")=0, "", _xll.IMDP("IR", $B124, H$6, $C$4, "fill=true")))</f>
        <v/>
      </c>
      <c r="I124" s="101" t="str">
        <f ca="1">IF($B124="", "", IF(_xll.IMDP("IR", $B124, I$6, $C$4, "fill=true")=0, "", _xll.IMDP("IR", $B124, I$6, $C$4, "fill=true")))</f>
        <v/>
      </c>
      <c r="J124" s="101" t="str">
        <f ca="1">IF($B124="", "", IF(_xll.IMDP("IR", $B124, J$6, $C$4, "fill=true")=0, "", _xll.IMDP("IR", $B124, J$6, $C$4, "fill=true")))</f>
        <v/>
      </c>
      <c r="K124" s="101" t="str">
        <f ca="1">IF($B124="", "", IF(_xll.IMDP("IR", $B124, K$6, $C$4, "fill=true")=0, "", _xll.IMDP("IR", $B124, K$6, $C$4, "fill=true")))</f>
        <v/>
      </c>
      <c r="L124" s="101" t="str">
        <f ca="1">IF($B124="", "", IF(_xll.IMDP("IR", $B124, L$6, $C$4, "fill=true")=0, "", _xll.IMDP("IR", $B124, L$6, $C$4, "fill=true")))</f>
        <v/>
      </c>
      <c r="M124" s="101" t="str">
        <f ca="1">IF($B124="", "", IF(_xll.IMDP("IR", $B124, M$6, $C$4, "fill=true")=0, "", _xll.IMDP("IR", $B124, M$6, $C$4, "fill=true")))</f>
        <v/>
      </c>
      <c r="N124" s="101" t="str">
        <f ca="1">IF($B124="", "", IF(_xll.IMDP("IR", $B124, N$6, $C$4, "fill=true")=0, "", _xll.IMDP("IR", $B124, N$6, $C$4, "fill=true")))</f>
        <v/>
      </c>
      <c r="O124" s="101" t="str">
        <f ca="1">IF($B124="", "", IF(_xll.IMDP("IR", $B124, O$6, $C$4, "fill=true")=0, "", _xll.IMDP("IR", $B124, O$6, $C$4, "fill=true")))</f>
        <v/>
      </c>
      <c r="P124" s="101" t="str">
        <f ca="1">IF($B124="", "", IF(_xll.IMDP("IR", $B124, P$6, $C$4, "fill=true")=0, "", _xll.IMDP("IR", $B124, P$6, $C$4, "fill=true")))</f>
        <v/>
      </c>
      <c r="Q124" s="102" t="str">
        <f ca="1">IF($B124="", "", IF(_xll.IMDP("IR", $B124, Q$6, $C$4, "fill=true")=0, "", _xll.IMDP("IR", $B124, Q$6, $C$4, "fill=true")))</f>
        <v/>
      </c>
    </row>
    <row r="125" spans="2:17" s="83" customFormat="1" ht="13.5">
      <c r="B125" s="83" t="str">
        <f ca="1">IFERROR( VLOOKUP(ROW()-ROW($B$6), code!$G$51:$K$1483, 5, 0), "")</f>
        <v/>
      </c>
      <c r="C125" s="96" t="str">
        <f ca="1">IF($B125="", "", _xll.IMDP("IR", $B125, "1일", $C$4, "fill=true, disp=date"))</f>
        <v/>
      </c>
      <c r="D125" s="97" t="str">
        <f ca="1">IF($B125="", "", VLOOKUP(ROW()-ROW($B$6), code!$G$51:$K$1483, 2, 0) )</f>
        <v/>
      </c>
      <c r="E125" s="98" t="str">
        <f ca="1">IF($B125="", "", VLOOKUP(ROW()-ROW($B$6), code!$G$51:$K$1483, 3, 0) )</f>
        <v/>
      </c>
      <c r="F125" s="99" t="str">
        <f ca="1">IF($B125="", "", VLOOKUP(ROW()-ROW($B$6), code!$G$51:$K$1483, 4, 0))</f>
        <v/>
      </c>
      <c r="G125" s="100" t="str">
        <f ca="1">IF($B125="", "", IF(_xll.IMDP("IR", $B125, G$6, $C$4, "fill=true")=0, "", _xll.IMDP("IR", $B125, G$6, $C$4, "fill=true")))</f>
        <v/>
      </c>
      <c r="H125" s="101" t="str">
        <f ca="1">IF($B125="", "", IF(_xll.IMDP("IR", $B125, H$6, $C$4, "fill=true")=0, "", _xll.IMDP("IR", $B125, H$6, $C$4, "fill=true")))</f>
        <v/>
      </c>
      <c r="I125" s="101" t="str">
        <f ca="1">IF($B125="", "", IF(_xll.IMDP("IR", $B125, I$6, $C$4, "fill=true")=0, "", _xll.IMDP("IR", $B125, I$6, $C$4, "fill=true")))</f>
        <v/>
      </c>
      <c r="J125" s="101" t="str">
        <f ca="1">IF($B125="", "", IF(_xll.IMDP("IR", $B125, J$6, $C$4, "fill=true")=0, "", _xll.IMDP("IR", $B125, J$6, $C$4, "fill=true")))</f>
        <v/>
      </c>
      <c r="K125" s="101" t="str">
        <f ca="1">IF($B125="", "", IF(_xll.IMDP("IR", $B125, K$6, $C$4, "fill=true")=0, "", _xll.IMDP("IR", $B125, K$6, $C$4, "fill=true")))</f>
        <v/>
      </c>
      <c r="L125" s="101" t="str">
        <f ca="1">IF($B125="", "", IF(_xll.IMDP("IR", $B125, L$6, $C$4, "fill=true")=0, "", _xll.IMDP("IR", $B125, L$6, $C$4, "fill=true")))</f>
        <v/>
      </c>
      <c r="M125" s="101" t="str">
        <f ca="1">IF($B125="", "", IF(_xll.IMDP("IR", $B125, M$6, $C$4, "fill=true")=0, "", _xll.IMDP("IR", $B125, M$6, $C$4, "fill=true")))</f>
        <v/>
      </c>
      <c r="N125" s="101" t="str">
        <f ca="1">IF($B125="", "", IF(_xll.IMDP("IR", $B125, N$6, $C$4, "fill=true")=0, "", _xll.IMDP("IR", $B125, N$6, $C$4, "fill=true")))</f>
        <v/>
      </c>
      <c r="O125" s="101" t="str">
        <f ca="1">IF($B125="", "", IF(_xll.IMDP("IR", $B125, O$6, $C$4, "fill=true")=0, "", _xll.IMDP("IR", $B125, O$6, $C$4, "fill=true")))</f>
        <v/>
      </c>
      <c r="P125" s="101" t="str">
        <f ca="1">IF($B125="", "", IF(_xll.IMDP("IR", $B125, P$6, $C$4, "fill=true")=0, "", _xll.IMDP("IR", $B125, P$6, $C$4, "fill=true")))</f>
        <v/>
      </c>
      <c r="Q125" s="102" t="str">
        <f ca="1">IF($B125="", "", IF(_xll.IMDP("IR", $B125, Q$6, $C$4, "fill=true")=0, "", _xll.IMDP("IR", $B125, Q$6, $C$4, "fill=true")))</f>
        <v/>
      </c>
    </row>
    <row r="126" spans="2:17" s="83" customFormat="1" ht="13.5">
      <c r="B126" s="83" t="str">
        <f ca="1">IFERROR( VLOOKUP(ROW()-ROW($B$6), code!$G$51:$K$1483, 5, 0), "")</f>
        <v/>
      </c>
      <c r="C126" s="96" t="str">
        <f ca="1">IF($B126="", "", _xll.IMDP("IR", $B126, "1일", $C$4, "fill=true, disp=date"))</f>
        <v/>
      </c>
      <c r="D126" s="97" t="str">
        <f ca="1">IF($B126="", "", VLOOKUP(ROW()-ROW($B$6), code!$G$51:$K$1483, 2, 0) )</f>
        <v/>
      </c>
      <c r="E126" s="98" t="str">
        <f ca="1">IF($B126="", "", VLOOKUP(ROW()-ROW($B$6), code!$G$51:$K$1483, 3, 0) )</f>
        <v/>
      </c>
      <c r="F126" s="99" t="str">
        <f ca="1">IF($B126="", "", VLOOKUP(ROW()-ROW($B$6), code!$G$51:$K$1483, 4, 0))</f>
        <v/>
      </c>
      <c r="G126" s="100" t="str">
        <f ca="1">IF($B126="", "", IF(_xll.IMDP("IR", $B126, G$6, $C$4, "fill=true")=0, "", _xll.IMDP("IR", $B126, G$6, $C$4, "fill=true")))</f>
        <v/>
      </c>
      <c r="H126" s="101" t="str">
        <f ca="1">IF($B126="", "", IF(_xll.IMDP("IR", $B126, H$6, $C$4, "fill=true")=0, "", _xll.IMDP("IR", $B126, H$6, $C$4, "fill=true")))</f>
        <v/>
      </c>
      <c r="I126" s="101" t="str">
        <f ca="1">IF($B126="", "", IF(_xll.IMDP("IR", $B126, I$6, $C$4, "fill=true")=0, "", _xll.IMDP("IR", $B126, I$6, $C$4, "fill=true")))</f>
        <v/>
      </c>
      <c r="J126" s="101" t="str">
        <f ca="1">IF($B126="", "", IF(_xll.IMDP("IR", $B126, J$6, $C$4, "fill=true")=0, "", _xll.IMDP("IR", $B126, J$6, $C$4, "fill=true")))</f>
        <v/>
      </c>
      <c r="K126" s="101" t="str">
        <f ca="1">IF($B126="", "", IF(_xll.IMDP("IR", $B126, K$6, $C$4, "fill=true")=0, "", _xll.IMDP("IR", $B126, K$6, $C$4, "fill=true")))</f>
        <v/>
      </c>
      <c r="L126" s="101" t="str">
        <f ca="1">IF($B126="", "", IF(_xll.IMDP("IR", $B126, L$6, $C$4, "fill=true")=0, "", _xll.IMDP("IR", $B126, L$6, $C$4, "fill=true")))</f>
        <v/>
      </c>
      <c r="M126" s="101" t="str">
        <f ca="1">IF($B126="", "", IF(_xll.IMDP("IR", $B126, M$6, $C$4, "fill=true")=0, "", _xll.IMDP("IR", $B126, M$6, $C$4, "fill=true")))</f>
        <v/>
      </c>
      <c r="N126" s="101" t="str">
        <f ca="1">IF($B126="", "", IF(_xll.IMDP("IR", $B126, N$6, $C$4, "fill=true")=0, "", _xll.IMDP("IR", $B126, N$6, $C$4, "fill=true")))</f>
        <v/>
      </c>
      <c r="O126" s="101" t="str">
        <f ca="1">IF($B126="", "", IF(_xll.IMDP("IR", $B126, O$6, $C$4, "fill=true")=0, "", _xll.IMDP("IR", $B126, O$6, $C$4, "fill=true")))</f>
        <v/>
      </c>
      <c r="P126" s="101" t="str">
        <f ca="1">IF($B126="", "", IF(_xll.IMDP("IR", $B126, P$6, $C$4, "fill=true")=0, "", _xll.IMDP("IR", $B126, P$6, $C$4, "fill=true")))</f>
        <v/>
      </c>
      <c r="Q126" s="102" t="str">
        <f ca="1">IF($B126="", "", IF(_xll.IMDP("IR", $B126, Q$6, $C$4, "fill=true")=0, "", _xll.IMDP("IR", $B126, Q$6, $C$4, "fill=true")))</f>
        <v/>
      </c>
    </row>
    <row r="127" spans="2:17" s="83" customFormat="1" ht="13.5">
      <c r="B127" s="83" t="str">
        <f ca="1">IFERROR( VLOOKUP(ROW()-ROW($B$6), code!$G$51:$K$1483, 5, 0), "")</f>
        <v/>
      </c>
      <c r="C127" s="96" t="str">
        <f ca="1">IF($B127="", "", _xll.IMDP("IR", $B127, "1일", $C$4, "fill=true, disp=date"))</f>
        <v/>
      </c>
      <c r="D127" s="97" t="str">
        <f ca="1">IF($B127="", "", VLOOKUP(ROW()-ROW($B$6), code!$G$51:$K$1483, 2, 0) )</f>
        <v/>
      </c>
      <c r="E127" s="98" t="str">
        <f ca="1">IF($B127="", "", VLOOKUP(ROW()-ROW($B$6), code!$G$51:$K$1483, 3, 0) )</f>
        <v/>
      </c>
      <c r="F127" s="99" t="str">
        <f ca="1">IF($B127="", "", VLOOKUP(ROW()-ROW($B$6), code!$G$51:$K$1483, 4, 0))</f>
        <v/>
      </c>
      <c r="G127" s="100" t="str">
        <f ca="1">IF($B127="", "", IF(_xll.IMDP("IR", $B127, G$6, $C$4, "fill=true")=0, "", _xll.IMDP("IR", $B127, G$6, $C$4, "fill=true")))</f>
        <v/>
      </c>
      <c r="H127" s="101" t="str">
        <f ca="1">IF($B127="", "", IF(_xll.IMDP("IR", $B127, H$6, $C$4, "fill=true")=0, "", _xll.IMDP("IR", $B127, H$6, $C$4, "fill=true")))</f>
        <v/>
      </c>
      <c r="I127" s="101" t="str">
        <f ca="1">IF($B127="", "", IF(_xll.IMDP("IR", $B127, I$6, $C$4, "fill=true")=0, "", _xll.IMDP("IR", $B127, I$6, $C$4, "fill=true")))</f>
        <v/>
      </c>
      <c r="J127" s="101" t="str">
        <f ca="1">IF($B127="", "", IF(_xll.IMDP("IR", $B127, J$6, $C$4, "fill=true")=0, "", _xll.IMDP("IR", $B127, J$6, $C$4, "fill=true")))</f>
        <v/>
      </c>
      <c r="K127" s="101" t="str">
        <f ca="1">IF($B127="", "", IF(_xll.IMDP("IR", $B127, K$6, $C$4, "fill=true")=0, "", _xll.IMDP("IR", $B127, K$6, $C$4, "fill=true")))</f>
        <v/>
      </c>
      <c r="L127" s="101" t="str">
        <f ca="1">IF($B127="", "", IF(_xll.IMDP("IR", $B127, L$6, $C$4, "fill=true")=0, "", _xll.IMDP("IR", $B127, L$6, $C$4, "fill=true")))</f>
        <v/>
      </c>
      <c r="M127" s="101" t="str">
        <f ca="1">IF($B127="", "", IF(_xll.IMDP("IR", $B127, M$6, $C$4, "fill=true")=0, "", _xll.IMDP("IR", $B127, M$6, $C$4, "fill=true")))</f>
        <v/>
      </c>
      <c r="N127" s="101" t="str">
        <f ca="1">IF($B127="", "", IF(_xll.IMDP("IR", $B127, N$6, $C$4, "fill=true")=0, "", _xll.IMDP("IR", $B127, N$6, $C$4, "fill=true")))</f>
        <v/>
      </c>
      <c r="O127" s="101" t="str">
        <f ca="1">IF($B127="", "", IF(_xll.IMDP("IR", $B127, O$6, $C$4, "fill=true")=0, "", _xll.IMDP("IR", $B127, O$6, $C$4, "fill=true")))</f>
        <v/>
      </c>
      <c r="P127" s="101" t="str">
        <f ca="1">IF($B127="", "", IF(_xll.IMDP("IR", $B127, P$6, $C$4, "fill=true")=0, "", _xll.IMDP("IR", $B127, P$6, $C$4, "fill=true")))</f>
        <v/>
      </c>
      <c r="Q127" s="102" t="str">
        <f ca="1">IF($B127="", "", IF(_xll.IMDP("IR", $B127, Q$6, $C$4, "fill=true")=0, "", _xll.IMDP("IR", $B127, Q$6, $C$4, "fill=true")))</f>
        <v/>
      </c>
    </row>
    <row r="128" spans="2:17" s="83" customFormat="1" ht="13.5">
      <c r="B128" s="83" t="str">
        <f ca="1">IFERROR( VLOOKUP(ROW()-ROW($B$6), code!$G$51:$K$1483, 5, 0), "")</f>
        <v/>
      </c>
      <c r="C128" s="96" t="str">
        <f ca="1">IF($B128="", "", _xll.IMDP("IR", $B128, "1일", $C$4, "fill=true, disp=date"))</f>
        <v/>
      </c>
      <c r="D128" s="97" t="str">
        <f ca="1">IF($B128="", "", VLOOKUP(ROW()-ROW($B$6), code!$G$51:$K$1483, 2, 0) )</f>
        <v/>
      </c>
      <c r="E128" s="98" t="str">
        <f ca="1">IF($B128="", "", VLOOKUP(ROW()-ROW($B$6), code!$G$51:$K$1483, 3, 0) )</f>
        <v/>
      </c>
      <c r="F128" s="99" t="str">
        <f ca="1">IF($B128="", "", VLOOKUP(ROW()-ROW($B$6), code!$G$51:$K$1483, 4, 0))</f>
        <v/>
      </c>
      <c r="G128" s="100" t="str">
        <f ca="1">IF($B128="", "", IF(_xll.IMDP("IR", $B128, G$6, $C$4, "fill=true")=0, "", _xll.IMDP("IR", $B128, G$6, $C$4, "fill=true")))</f>
        <v/>
      </c>
      <c r="H128" s="101" t="str">
        <f ca="1">IF($B128="", "", IF(_xll.IMDP("IR", $B128, H$6, $C$4, "fill=true")=0, "", _xll.IMDP("IR", $B128, H$6, $C$4, "fill=true")))</f>
        <v/>
      </c>
      <c r="I128" s="101" t="str">
        <f ca="1">IF($B128="", "", IF(_xll.IMDP("IR", $B128, I$6, $C$4, "fill=true")=0, "", _xll.IMDP("IR", $B128, I$6, $C$4, "fill=true")))</f>
        <v/>
      </c>
      <c r="J128" s="101" t="str">
        <f ca="1">IF($B128="", "", IF(_xll.IMDP("IR", $B128, J$6, $C$4, "fill=true")=0, "", _xll.IMDP("IR", $B128, J$6, $C$4, "fill=true")))</f>
        <v/>
      </c>
      <c r="K128" s="101" t="str">
        <f ca="1">IF($B128="", "", IF(_xll.IMDP("IR", $B128, K$6, $C$4, "fill=true")=0, "", _xll.IMDP("IR", $B128, K$6, $C$4, "fill=true")))</f>
        <v/>
      </c>
      <c r="L128" s="101" t="str">
        <f ca="1">IF($B128="", "", IF(_xll.IMDP("IR", $B128, L$6, $C$4, "fill=true")=0, "", _xll.IMDP("IR", $B128, L$6, $C$4, "fill=true")))</f>
        <v/>
      </c>
      <c r="M128" s="101" t="str">
        <f ca="1">IF($B128="", "", IF(_xll.IMDP("IR", $B128, M$6, $C$4, "fill=true")=0, "", _xll.IMDP("IR", $B128, M$6, $C$4, "fill=true")))</f>
        <v/>
      </c>
      <c r="N128" s="101" t="str">
        <f ca="1">IF($B128="", "", IF(_xll.IMDP("IR", $B128, N$6, $C$4, "fill=true")=0, "", _xll.IMDP("IR", $B128, N$6, $C$4, "fill=true")))</f>
        <v/>
      </c>
      <c r="O128" s="101" t="str">
        <f ca="1">IF($B128="", "", IF(_xll.IMDP("IR", $B128, O$6, $C$4, "fill=true")=0, "", _xll.IMDP("IR", $B128, O$6, $C$4, "fill=true")))</f>
        <v/>
      </c>
      <c r="P128" s="101" t="str">
        <f ca="1">IF($B128="", "", IF(_xll.IMDP("IR", $B128, P$6, $C$4, "fill=true")=0, "", _xll.IMDP("IR", $B128, P$6, $C$4, "fill=true")))</f>
        <v/>
      </c>
      <c r="Q128" s="102" t="str">
        <f ca="1">IF($B128="", "", IF(_xll.IMDP("IR", $B128, Q$6, $C$4, "fill=true")=0, "", _xll.IMDP("IR", $B128, Q$6, $C$4, "fill=true")))</f>
        <v/>
      </c>
    </row>
    <row r="129" spans="2:17" s="83" customFormat="1" ht="13.5">
      <c r="B129" s="83" t="str">
        <f ca="1">IFERROR( VLOOKUP(ROW()-ROW($B$6), code!$G$51:$K$1483, 5, 0), "")</f>
        <v/>
      </c>
      <c r="C129" s="96" t="str">
        <f ca="1">IF($B129="", "", _xll.IMDP("IR", $B129, "1일", $C$4, "fill=true, disp=date"))</f>
        <v/>
      </c>
      <c r="D129" s="97" t="str">
        <f ca="1">IF($B129="", "", VLOOKUP(ROW()-ROW($B$6), code!$G$51:$K$1483, 2, 0) )</f>
        <v/>
      </c>
      <c r="E129" s="98" t="str">
        <f ca="1">IF($B129="", "", VLOOKUP(ROW()-ROW($B$6), code!$G$51:$K$1483, 3, 0) )</f>
        <v/>
      </c>
      <c r="F129" s="99" t="str">
        <f ca="1">IF($B129="", "", VLOOKUP(ROW()-ROW($B$6), code!$G$51:$K$1483, 4, 0))</f>
        <v/>
      </c>
      <c r="G129" s="100" t="str">
        <f ca="1">IF($B129="", "", IF(_xll.IMDP("IR", $B129, G$6, $C$4, "fill=true")=0, "", _xll.IMDP("IR", $B129, G$6, $C$4, "fill=true")))</f>
        <v/>
      </c>
      <c r="H129" s="101" t="str">
        <f ca="1">IF($B129="", "", IF(_xll.IMDP("IR", $B129, H$6, $C$4, "fill=true")=0, "", _xll.IMDP("IR", $B129, H$6, $C$4, "fill=true")))</f>
        <v/>
      </c>
      <c r="I129" s="101" t="str">
        <f ca="1">IF($B129="", "", IF(_xll.IMDP("IR", $B129, I$6, $C$4, "fill=true")=0, "", _xll.IMDP("IR", $B129, I$6, $C$4, "fill=true")))</f>
        <v/>
      </c>
      <c r="J129" s="101" t="str">
        <f ca="1">IF($B129="", "", IF(_xll.IMDP("IR", $B129, J$6, $C$4, "fill=true")=0, "", _xll.IMDP("IR", $B129, J$6, $C$4, "fill=true")))</f>
        <v/>
      </c>
      <c r="K129" s="101" t="str">
        <f ca="1">IF($B129="", "", IF(_xll.IMDP("IR", $B129, K$6, $C$4, "fill=true")=0, "", _xll.IMDP("IR", $B129, K$6, $C$4, "fill=true")))</f>
        <v/>
      </c>
      <c r="L129" s="101" t="str">
        <f ca="1">IF($B129="", "", IF(_xll.IMDP("IR", $B129, L$6, $C$4, "fill=true")=0, "", _xll.IMDP("IR", $B129, L$6, $C$4, "fill=true")))</f>
        <v/>
      </c>
      <c r="M129" s="101" t="str">
        <f ca="1">IF($B129="", "", IF(_xll.IMDP("IR", $B129, M$6, $C$4, "fill=true")=0, "", _xll.IMDP("IR", $B129, M$6, $C$4, "fill=true")))</f>
        <v/>
      </c>
      <c r="N129" s="101" t="str">
        <f ca="1">IF($B129="", "", IF(_xll.IMDP("IR", $B129, N$6, $C$4, "fill=true")=0, "", _xll.IMDP("IR", $B129, N$6, $C$4, "fill=true")))</f>
        <v/>
      </c>
      <c r="O129" s="101" t="str">
        <f ca="1">IF($B129="", "", IF(_xll.IMDP("IR", $B129, O$6, $C$4, "fill=true")=0, "", _xll.IMDP("IR", $B129, O$6, $C$4, "fill=true")))</f>
        <v/>
      </c>
      <c r="P129" s="101" t="str">
        <f ca="1">IF($B129="", "", IF(_xll.IMDP("IR", $B129, P$6, $C$4, "fill=true")=0, "", _xll.IMDP("IR", $B129, P$6, $C$4, "fill=true")))</f>
        <v/>
      </c>
      <c r="Q129" s="102" t="str">
        <f ca="1">IF($B129="", "", IF(_xll.IMDP("IR", $B129, Q$6, $C$4, "fill=true")=0, "", _xll.IMDP("IR", $B129, Q$6, $C$4, "fill=true")))</f>
        <v/>
      </c>
    </row>
    <row r="130" spans="2:17" s="83" customFormat="1" ht="13.5">
      <c r="B130" s="83" t="str">
        <f ca="1">IFERROR( VLOOKUP(ROW()-ROW($B$6), code!$G$51:$K$1483, 5, 0), "")</f>
        <v/>
      </c>
      <c r="C130" s="96" t="str">
        <f ca="1">IF($B130="", "", _xll.IMDP("IR", $B130, "1일", $C$4, "fill=true, disp=date"))</f>
        <v/>
      </c>
      <c r="D130" s="97" t="str">
        <f ca="1">IF($B130="", "", VLOOKUP(ROW()-ROW($B$6), code!$G$51:$K$1483, 2, 0) )</f>
        <v/>
      </c>
      <c r="E130" s="98" t="str">
        <f ca="1">IF($B130="", "", VLOOKUP(ROW()-ROW($B$6), code!$G$51:$K$1483, 3, 0) )</f>
        <v/>
      </c>
      <c r="F130" s="99" t="str">
        <f ca="1">IF($B130="", "", VLOOKUP(ROW()-ROW($B$6), code!$G$51:$K$1483, 4, 0))</f>
        <v/>
      </c>
      <c r="G130" s="100" t="str">
        <f ca="1">IF($B130="", "", IF(_xll.IMDP("IR", $B130, G$6, $C$4, "fill=true")=0, "", _xll.IMDP("IR", $B130, G$6, $C$4, "fill=true")))</f>
        <v/>
      </c>
      <c r="H130" s="101" t="str">
        <f ca="1">IF($B130="", "", IF(_xll.IMDP("IR", $B130, H$6, $C$4, "fill=true")=0, "", _xll.IMDP("IR", $B130, H$6, $C$4, "fill=true")))</f>
        <v/>
      </c>
      <c r="I130" s="101" t="str">
        <f ca="1">IF($B130="", "", IF(_xll.IMDP("IR", $B130, I$6, $C$4, "fill=true")=0, "", _xll.IMDP("IR", $B130, I$6, $C$4, "fill=true")))</f>
        <v/>
      </c>
      <c r="J130" s="101" t="str">
        <f ca="1">IF($B130="", "", IF(_xll.IMDP("IR", $B130, J$6, $C$4, "fill=true")=0, "", _xll.IMDP("IR", $B130, J$6, $C$4, "fill=true")))</f>
        <v/>
      </c>
      <c r="K130" s="101" t="str">
        <f ca="1">IF($B130="", "", IF(_xll.IMDP("IR", $B130, K$6, $C$4, "fill=true")=0, "", _xll.IMDP("IR", $B130, K$6, $C$4, "fill=true")))</f>
        <v/>
      </c>
      <c r="L130" s="101" t="str">
        <f ca="1">IF($B130="", "", IF(_xll.IMDP("IR", $B130, L$6, $C$4, "fill=true")=0, "", _xll.IMDP("IR", $B130, L$6, $C$4, "fill=true")))</f>
        <v/>
      </c>
      <c r="M130" s="101" t="str">
        <f ca="1">IF($B130="", "", IF(_xll.IMDP("IR", $B130, M$6, $C$4, "fill=true")=0, "", _xll.IMDP("IR", $B130, M$6, $C$4, "fill=true")))</f>
        <v/>
      </c>
      <c r="N130" s="101" t="str">
        <f ca="1">IF($B130="", "", IF(_xll.IMDP("IR", $B130, N$6, $C$4, "fill=true")=0, "", _xll.IMDP("IR", $B130, N$6, $C$4, "fill=true")))</f>
        <v/>
      </c>
      <c r="O130" s="101" t="str">
        <f ca="1">IF($B130="", "", IF(_xll.IMDP("IR", $B130, O$6, $C$4, "fill=true")=0, "", _xll.IMDP("IR", $B130, O$6, $C$4, "fill=true")))</f>
        <v/>
      </c>
      <c r="P130" s="101" t="str">
        <f ca="1">IF($B130="", "", IF(_xll.IMDP("IR", $B130, P$6, $C$4, "fill=true")=0, "", _xll.IMDP("IR", $B130, P$6, $C$4, "fill=true")))</f>
        <v/>
      </c>
      <c r="Q130" s="102" t="str">
        <f ca="1">IF($B130="", "", IF(_xll.IMDP("IR", $B130, Q$6, $C$4, "fill=true")=0, "", _xll.IMDP("IR", $B130, Q$6, $C$4, "fill=true")))</f>
        <v/>
      </c>
    </row>
    <row r="131" spans="2:17" s="83" customFormat="1" ht="13.5">
      <c r="B131" s="83" t="str">
        <f ca="1">IFERROR( VLOOKUP(ROW()-ROW($B$6), code!$G$51:$K$1483, 5, 0), "")</f>
        <v/>
      </c>
      <c r="C131" s="96" t="str">
        <f ca="1">IF($B131="", "", _xll.IMDP("IR", $B131, "1일", $C$4, "fill=true, disp=date"))</f>
        <v/>
      </c>
      <c r="D131" s="97" t="str">
        <f ca="1">IF($B131="", "", VLOOKUP(ROW()-ROW($B$6), code!$G$51:$K$1483, 2, 0) )</f>
        <v/>
      </c>
      <c r="E131" s="98" t="str">
        <f ca="1">IF($B131="", "", VLOOKUP(ROW()-ROW($B$6), code!$G$51:$K$1483, 3, 0) )</f>
        <v/>
      </c>
      <c r="F131" s="99" t="str">
        <f ca="1">IF($B131="", "", VLOOKUP(ROW()-ROW($B$6), code!$G$51:$K$1483, 4, 0))</f>
        <v/>
      </c>
      <c r="G131" s="100" t="str">
        <f ca="1">IF($B131="", "", IF(_xll.IMDP("IR", $B131, G$6, $C$4, "fill=true")=0, "", _xll.IMDP("IR", $B131, G$6, $C$4, "fill=true")))</f>
        <v/>
      </c>
      <c r="H131" s="101" t="str">
        <f ca="1">IF($B131="", "", IF(_xll.IMDP("IR", $B131, H$6, $C$4, "fill=true")=0, "", _xll.IMDP("IR", $B131, H$6, $C$4, "fill=true")))</f>
        <v/>
      </c>
      <c r="I131" s="101" t="str">
        <f ca="1">IF($B131="", "", IF(_xll.IMDP("IR", $B131, I$6, $C$4, "fill=true")=0, "", _xll.IMDP("IR", $B131, I$6, $C$4, "fill=true")))</f>
        <v/>
      </c>
      <c r="J131" s="101" t="str">
        <f ca="1">IF($B131="", "", IF(_xll.IMDP("IR", $B131, J$6, $C$4, "fill=true")=0, "", _xll.IMDP("IR", $B131, J$6, $C$4, "fill=true")))</f>
        <v/>
      </c>
      <c r="K131" s="101" t="str">
        <f ca="1">IF($B131="", "", IF(_xll.IMDP("IR", $B131, K$6, $C$4, "fill=true")=0, "", _xll.IMDP("IR", $B131, K$6, $C$4, "fill=true")))</f>
        <v/>
      </c>
      <c r="L131" s="101" t="str">
        <f ca="1">IF($B131="", "", IF(_xll.IMDP("IR", $B131, L$6, $C$4, "fill=true")=0, "", _xll.IMDP("IR", $B131, L$6, $C$4, "fill=true")))</f>
        <v/>
      </c>
      <c r="M131" s="101" t="str">
        <f ca="1">IF($B131="", "", IF(_xll.IMDP("IR", $B131, M$6, $C$4, "fill=true")=0, "", _xll.IMDP("IR", $B131, M$6, $C$4, "fill=true")))</f>
        <v/>
      </c>
      <c r="N131" s="101" t="str">
        <f ca="1">IF($B131="", "", IF(_xll.IMDP("IR", $B131, N$6, $C$4, "fill=true")=0, "", _xll.IMDP("IR", $B131, N$6, $C$4, "fill=true")))</f>
        <v/>
      </c>
      <c r="O131" s="101" t="str">
        <f ca="1">IF($B131="", "", IF(_xll.IMDP("IR", $B131, O$6, $C$4, "fill=true")=0, "", _xll.IMDP("IR", $B131, O$6, $C$4, "fill=true")))</f>
        <v/>
      </c>
      <c r="P131" s="101" t="str">
        <f ca="1">IF($B131="", "", IF(_xll.IMDP("IR", $B131, P$6, $C$4, "fill=true")=0, "", _xll.IMDP("IR", $B131, P$6, $C$4, "fill=true")))</f>
        <v/>
      </c>
      <c r="Q131" s="102" t="str">
        <f ca="1">IF($B131="", "", IF(_xll.IMDP("IR", $B131, Q$6, $C$4, "fill=true")=0, "", _xll.IMDP("IR", $B131, Q$6, $C$4, "fill=true")))</f>
        <v/>
      </c>
    </row>
    <row r="132" spans="2:17" s="83" customFormat="1" ht="13.5">
      <c r="B132" s="83" t="str">
        <f ca="1">IFERROR( VLOOKUP(ROW()-ROW($B$6), code!$G$51:$K$1483, 5, 0), "")</f>
        <v/>
      </c>
      <c r="C132" s="96" t="str">
        <f ca="1">IF($B132="", "", _xll.IMDP("IR", $B132, "1일", $C$4, "fill=true, disp=date"))</f>
        <v/>
      </c>
      <c r="D132" s="97" t="str">
        <f ca="1">IF($B132="", "", VLOOKUP(ROW()-ROW($B$6), code!$G$51:$K$1483, 2, 0) )</f>
        <v/>
      </c>
      <c r="E132" s="98" t="str">
        <f ca="1">IF($B132="", "", VLOOKUP(ROW()-ROW($B$6), code!$G$51:$K$1483, 3, 0) )</f>
        <v/>
      </c>
      <c r="F132" s="99" t="str">
        <f ca="1">IF($B132="", "", VLOOKUP(ROW()-ROW($B$6), code!$G$51:$K$1483, 4, 0))</f>
        <v/>
      </c>
      <c r="G132" s="100" t="str">
        <f ca="1">IF($B132="", "", IF(_xll.IMDP("IR", $B132, G$6, $C$4, "fill=true")=0, "", _xll.IMDP("IR", $B132, G$6, $C$4, "fill=true")))</f>
        <v/>
      </c>
      <c r="H132" s="101" t="str">
        <f ca="1">IF($B132="", "", IF(_xll.IMDP("IR", $B132, H$6, $C$4, "fill=true")=0, "", _xll.IMDP("IR", $B132, H$6, $C$4, "fill=true")))</f>
        <v/>
      </c>
      <c r="I132" s="101" t="str">
        <f ca="1">IF($B132="", "", IF(_xll.IMDP("IR", $B132, I$6, $C$4, "fill=true")=0, "", _xll.IMDP("IR", $B132, I$6, $C$4, "fill=true")))</f>
        <v/>
      </c>
      <c r="J132" s="101" t="str">
        <f ca="1">IF($B132="", "", IF(_xll.IMDP("IR", $B132, J$6, $C$4, "fill=true")=0, "", _xll.IMDP("IR", $B132, J$6, $C$4, "fill=true")))</f>
        <v/>
      </c>
      <c r="K132" s="101" t="str">
        <f ca="1">IF($B132="", "", IF(_xll.IMDP("IR", $B132, K$6, $C$4, "fill=true")=0, "", _xll.IMDP("IR", $B132, K$6, $C$4, "fill=true")))</f>
        <v/>
      </c>
      <c r="L132" s="101" t="str">
        <f ca="1">IF($B132="", "", IF(_xll.IMDP("IR", $B132, L$6, $C$4, "fill=true")=0, "", _xll.IMDP("IR", $B132, L$6, $C$4, "fill=true")))</f>
        <v/>
      </c>
      <c r="M132" s="101" t="str">
        <f ca="1">IF($B132="", "", IF(_xll.IMDP("IR", $B132, M$6, $C$4, "fill=true")=0, "", _xll.IMDP("IR", $B132, M$6, $C$4, "fill=true")))</f>
        <v/>
      </c>
      <c r="N132" s="101" t="str">
        <f ca="1">IF($B132="", "", IF(_xll.IMDP("IR", $B132, N$6, $C$4, "fill=true")=0, "", _xll.IMDP("IR", $B132, N$6, $C$4, "fill=true")))</f>
        <v/>
      </c>
      <c r="O132" s="101" t="str">
        <f ca="1">IF($B132="", "", IF(_xll.IMDP("IR", $B132, O$6, $C$4, "fill=true")=0, "", _xll.IMDP("IR", $B132, O$6, $C$4, "fill=true")))</f>
        <v/>
      </c>
      <c r="P132" s="101" t="str">
        <f ca="1">IF($B132="", "", IF(_xll.IMDP("IR", $B132, P$6, $C$4, "fill=true")=0, "", _xll.IMDP("IR", $B132, P$6, $C$4, "fill=true")))</f>
        <v/>
      </c>
      <c r="Q132" s="102" t="str">
        <f ca="1">IF($B132="", "", IF(_xll.IMDP("IR", $B132, Q$6, $C$4, "fill=true")=0, "", _xll.IMDP("IR", $B132, Q$6, $C$4, "fill=true")))</f>
        <v/>
      </c>
    </row>
    <row r="133" spans="2:17" s="83" customFormat="1" ht="13.5">
      <c r="B133" s="83" t="str">
        <f ca="1">IFERROR( VLOOKUP(ROW()-ROW($B$6), code!$G$51:$K$1483, 5, 0), "")</f>
        <v/>
      </c>
      <c r="C133" s="96" t="str">
        <f ca="1">IF($B133="", "", _xll.IMDP("IR", $B133, "1일", $C$4, "fill=true, disp=date"))</f>
        <v/>
      </c>
      <c r="D133" s="97" t="str">
        <f ca="1">IF($B133="", "", VLOOKUP(ROW()-ROW($B$6), code!$G$51:$K$1483, 2, 0) )</f>
        <v/>
      </c>
      <c r="E133" s="98" t="str">
        <f ca="1">IF($B133="", "", VLOOKUP(ROW()-ROW($B$6), code!$G$51:$K$1483, 3, 0) )</f>
        <v/>
      </c>
      <c r="F133" s="99" t="str">
        <f ca="1">IF($B133="", "", VLOOKUP(ROW()-ROW($B$6), code!$G$51:$K$1483, 4, 0))</f>
        <v/>
      </c>
      <c r="G133" s="100" t="str">
        <f ca="1">IF($B133="", "", IF(_xll.IMDP("IR", $B133, G$6, $C$4, "fill=true")=0, "", _xll.IMDP("IR", $B133, G$6, $C$4, "fill=true")))</f>
        <v/>
      </c>
      <c r="H133" s="101" t="str">
        <f ca="1">IF($B133="", "", IF(_xll.IMDP("IR", $B133, H$6, $C$4, "fill=true")=0, "", _xll.IMDP("IR", $B133, H$6, $C$4, "fill=true")))</f>
        <v/>
      </c>
      <c r="I133" s="101" t="str">
        <f ca="1">IF($B133="", "", IF(_xll.IMDP("IR", $B133, I$6, $C$4, "fill=true")=0, "", _xll.IMDP("IR", $B133, I$6, $C$4, "fill=true")))</f>
        <v/>
      </c>
      <c r="J133" s="101" t="str">
        <f ca="1">IF($B133="", "", IF(_xll.IMDP("IR", $B133, J$6, $C$4, "fill=true")=0, "", _xll.IMDP("IR", $B133, J$6, $C$4, "fill=true")))</f>
        <v/>
      </c>
      <c r="K133" s="101" t="str">
        <f ca="1">IF($B133="", "", IF(_xll.IMDP("IR", $B133, K$6, $C$4, "fill=true")=0, "", _xll.IMDP("IR", $B133, K$6, $C$4, "fill=true")))</f>
        <v/>
      </c>
      <c r="L133" s="101" t="str">
        <f ca="1">IF($B133="", "", IF(_xll.IMDP("IR", $B133, L$6, $C$4, "fill=true")=0, "", _xll.IMDP("IR", $B133, L$6, $C$4, "fill=true")))</f>
        <v/>
      </c>
      <c r="M133" s="101" t="str">
        <f ca="1">IF($B133="", "", IF(_xll.IMDP("IR", $B133, M$6, $C$4, "fill=true")=0, "", _xll.IMDP("IR", $B133, M$6, $C$4, "fill=true")))</f>
        <v/>
      </c>
      <c r="N133" s="101" t="str">
        <f ca="1">IF($B133="", "", IF(_xll.IMDP("IR", $B133, N$6, $C$4, "fill=true")=0, "", _xll.IMDP("IR", $B133, N$6, $C$4, "fill=true")))</f>
        <v/>
      </c>
      <c r="O133" s="101" t="str">
        <f ca="1">IF($B133="", "", IF(_xll.IMDP("IR", $B133, O$6, $C$4, "fill=true")=0, "", _xll.IMDP("IR", $B133, O$6, $C$4, "fill=true")))</f>
        <v/>
      </c>
      <c r="P133" s="101" t="str">
        <f ca="1">IF($B133="", "", IF(_xll.IMDP("IR", $B133, P$6, $C$4, "fill=true")=0, "", _xll.IMDP("IR", $B133, P$6, $C$4, "fill=true")))</f>
        <v/>
      </c>
      <c r="Q133" s="102" t="str">
        <f ca="1">IF($B133="", "", IF(_xll.IMDP("IR", $B133, Q$6, $C$4, "fill=true")=0, "", _xll.IMDP("IR", $B133, Q$6, $C$4, "fill=true")))</f>
        <v/>
      </c>
    </row>
    <row r="134" spans="2:17" s="83" customFormat="1" ht="13.5">
      <c r="B134" s="83" t="str">
        <f ca="1">IFERROR( VLOOKUP(ROW()-ROW($B$6), code!$G$51:$K$1483, 5, 0), "")</f>
        <v/>
      </c>
      <c r="C134" s="96" t="str">
        <f ca="1">IF($B134="", "", _xll.IMDP("IR", $B134, "1일", $C$4, "fill=true, disp=date"))</f>
        <v/>
      </c>
      <c r="D134" s="97" t="str">
        <f ca="1">IF($B134="", "", VLOOKUP(ROW()-ROW($B$6), code!$G$51:$K$1483, 2, 0) )</f>
        <v/>
      </c>
      <c r="E134" s="98" t="str">
        <f ca="1">IF($B134="", "", VLOOKUP(ROW()-ROW($B$6), code!$G$51:$K$1483, 3, 0) )</f>
        <v/>
      </c>
      <c r="F134" s="99" t="str">
        <f ca="1">IF($B134="", "", VLOOKUP(ROW()-ROW($B$6), code!$G$51:$K$1483, 4, 0))</f>
        <v/>
      </c>
      <c r="G134" s="100" t="str">
        <f ca="1">IF($B134="", "", IF(_xll.IMDP("IR", $B134, G$6, $C$4, "fill=true")=0, "", _xll.IMDP("IR", $B134, G$6, $C$4, "fill=true")))</f>
        <v/>
      </c>
      <c r="H134" s="101" t="str">
        <f ca="1">IF($B134="", "", IF(_xll.IMDP("IR", $B134, H$6, $C$4, "fill=true")=0, "", _xll.IMDP("IR", $B134, H$6, $C$4, "fill=true")))</f>
        <v/>
      </c>
      <c r="I134" s="101" t="str">
        <f ca="1">IF($B134="", "", IF(_xll.IMDP("IR", $B134, I$6, $C$4, "fill=true")=0, "", _xll.IMDP("IR", $B134, I$6, $C$4, "fill=true")))</f>
        <v/>
      </c>
      <c r="J134" s="101" t="str">
        <f ca="1">IF($B134="", "", IF(_xll.IMDP("IR", $B134, J$6, $C$4, "fill=true")=0, "", _xll.IMDP("IR", $B134, J$6, $C$4, "fill=true")))</f>
        <v/>
      </c>
      <c r="K134" s="101" t="str">
        <f ca="1">IF($B134="", "", IF(_xll.IMDP("IR", $B134, K$6, $C$4, "fill=true")=0, "", _xll.IMDP("IR", $B134, K$6, $C$4, "fill=true")))</f>
        <v/>
      </c>
      <c r="L134" s="101" t="str">
        <f ca="1">IF($B134="", "", IF(_xll.IMDP("IR", $B134, L$6, $C$4, "fill=true")=0, "", _xll.IMDP("IR", $B134, L$6, $C$4, "fill=true")))</f>
        <v/>
      </c>
      <c r="M134" s="101" t="str">
        <f ca="1">IF($B134="", "", IF(_xll.IMDP("IR", $B134, M$6, $C$4, "fill=true")=0, "", _xll.IMDP("IR", $B134, M$6, $C$4, "fill=true")))</f>
        <v/>
      </c>
      <c r="N134" s="101" t="str">
        <f ca="1">IF($B134="", "", IF(_xll.IMDP("IR", $B134, N$6, $C$4, "fill=true")=0, "", _xll.IMDP("IR", $B134, N$6, $C$4, "fill=true")))</f>
        <v/>
      </c>
      <c r="O134" s="101" t="str">
        <f ca="1">IF($B134="", "", IF(_xll.IMDP("IR", $B134, O$6, $C$4, "fill=true")=0, "", _xll.IMDP("IR", $B134, O$6, $C$4, "fill=true")))</f>
        <v/>
      </c>
      <c r="P134" s="101" t="str">
        <f ca="1">IF($B134="", "", IF(_xll.IMDP("IR", $B134, P$6, $C$4, "fill=true")=0, "", _xll.IMDP("IR", $B134, P$6, $C$4, "fill=true")))</f>
        <v/>
      </c>
      <c r="Q134" s="102" t="str">
        <f ca="1">IF($B134="", "", IF(_xll.IMDP("IR", $B134, Q$6, $C$4, "fill=true")=0, "", _xll.IMDP("IR", $B134, Q$6, $C$4, "fill=true")))</f>
        <v/>
      </c>
    </row>
    <row r="135" spans="2:17" s="83" customFormat="1" ht="13.5">
      <c r="B135" s="83" t="str">
        <f ca="1">IFERROR( VLOOKUP(ROW()-ROW($B$6), code!$G$51:$K$1483, 5, 0), "")</f>
        <v/>
      </c>
      <c r="C135" s="96" t="str">
        <f ca="1">IF($B135="", "", _xll.IMDP("IR", $B135, "1일", $C$4, "fill=true, disp=date"))</f>
        <v/>
      </c>
      <c r="D135" s="97" t="str">
        <f ca="1">IF($B135="", "", VLOOKUP(ROW()-ROW($B$6), code!$G$51:$K$1483, 2, 0) )</f>
        <v/>
      </c>
      <c r="E135" s="98" t="str">
        <f ca="1">IF($B135="", "", VLOOKUP(ROW()-ROW($B$6), code!$G$51:$K$1483, 3, 0) )</f>
        <v/>
      </c>
      <c r="F135" s="99" t="str">
        <f ca="1">IF($B135="", "", VLOOKUP(ROW()-ROW($B$6), code!$G$51:$K$1483, 4, 0))</f>
        <v/>
      </c>
      <c r="G135" s="100" t="str">
        <f ca="1">IF($B135="", "", IF(_xll.IMDP("IR", $B135, G$6, $C$4, "fill=true")=0, "", _xll.IMDP("IR", $B135, G$6, $C$4, "fill=true")))</f>
        <v/>
      </c>
      <c r="H135" s="101" t="str">
        <f ca="1">IF($B135="", "", IF(_xll.IMDP("IR", $B135, H$6, $C$4, "fill=true")=0, "", _xll.IMDP("IR", $B135, H$6, $C$4, "fill=true")))</f>
        <v/>
      </c>
      <c r="I135" s="101" t="str">
        <f ca="1">IF($B135="", "", IF(_xll.IMDP("IR", $B135, I$6, $C$4, "fill=true")=0, "", _xll.IMDP("IR", $B135, I$6, $C$4, "fill=true")))</f>
        <v/>
      </c>
      <c r="J135" s="101" t="str">
        <f ca="1">IF($B135="", "", IF(_xll.IMDP("IR", $B135, J$6, $C$4, "fill=true")=0, "", _xll.IMDP("IR", $B135, J$6, $C$4, "fill=true")))</f>
        <v/>
      </c>
      <c r="K135" s="101" t="str">
        <f ca="1">IF($B135="", "", IF(_xll.IMDP("IR", $B135, K$6, $C$4, "fill=true")=0, "", _xll.IMDP("IR", $B135, K$6, $C$4, "fill=true")))</f>
        <v/>
      </c>
      <c r="L135" s="101" t="str">
        <f ca="1">IF($B135="", "", IF(_xll.IMDP("IR", $B135, L$6, $C$4, "fill=true")=0, "", _xll.IMDP("IR", $B135, L$6, $C$4, "fill=true")))</f>
        <v/>
      </c>
      <c r="M135" s="101" t="str">
        <f ca="1">IF($B135="", "", IF(_xll.IMDP("IR", $B135, M$6, $C$4, "fill=true")=0, "", _xll.IMDP("IR", $B135, M$6, $C$4, "fill=true")))</f>
        <v/>
      </c>
      <c r="N135" s="101" t="str">
        <f ca="1">IF($B135="", "", IF(_xll.IMDP("IR", $B135, N$6, $C$4, "fill=true")=0, "", _xll.IMDP("IR", $B135, N$6, $C$4, "fill=true")))</f>
        <v/>
      </c>
      <c r="O135" s="101" t="str">
        <f ca="1">IF($B135="", "", IF(_xll.IMDP("IR", $B135, O$6, $C$4, "fill=true")=0, "", _xll.IMDP("IR", $B135, O$6, $C$4, "fill=true")))</f>
        <v/>
      </c>
      <c r="P135" s="101" t="str">
        <f ca="1">IF($B135="", "", IF(_xll.IMDP("IR", $B135, P$6, $C$4, "fill=true")=0, "", _xll.IMDP("IR", $B135, P$6, $C$4, "fill=true")))</f>
        <v/>
      </c>
      <c r="Q135" s="102" t="str">
        <f ca="1">IF($B135="", "", IF(_xll.IMDP("IR", $B135, Q$6, $C$4, "fill=true")=0, "", _xll.IMDP("IR", $B135, Q$6, $C$4, "fill=true")))</f>
        <v/>
      </c>
    </row>
    <row r="136" spans="2:17" s="83" customFormat="1" ht="13.5">
      <c r="B136" s="83" t="str">
        <f ca="1">IFERROR( VLOOKUP(ROW()-ROW($B$6), code!$G$51:$K$1483, 5, 0), "")</f>
        <v/>
      </c>
      <c r="C136" s="96" t="str">
        <f ca="1">IF($B136="", "", _xll.IMDP("IR", $B136, "1일", $C$4, "fill=true, disp=date"))</f>
        <v/>
      </c>
      <c r="D136" s="97" t="str">
        <f ca="1">IF($B136="", "", VLOOKUP(ROW()-ROW($B$6), code!$G$51:$K$1483, 2, 0) )</f>
        <v/>
      </c>
      <c r="E136" s="98" t="str">
        <f ca="1">IF($B136="", "", VLOOKUP(ROW()-ROW($B$6), code!$G$51:$K$1483, 3, 0) )</f>
        <v/>
      </c>
      <c r="F136" s="99" t="str">
        <f ca="1">IF($B136="", "", VLOOKUP(ROW()-ROW($B$6), code!$G$51:$K$1483, 4, 0))</f>
        <v/>
      </c>
      <c r="G136" s="100" t="str">
        <f ca="1">IF($B136="", "", IF(_xll.IMDP("IR", $B136, G$6, $C$4, "fill=true")=0, "", _xll.IMDP("IR", $B136, G$6, $C$4, "fill=true")))</f>
        <v/>
      </c>
      <c r="H136" s="101" t="str">
        <f ca="1">IF($B136="", "", IF(_xll.IMDP("IR", $B136, H$6, $C$4, "fill=true")=0, "", _xll.IMDP("IR", $B136, H$6, $C$4, "fill=true")))</f>
        <v/>
      </c>
      <c r="I136" s="101" t="str">
        <f ca="1">IF($B136="", "", IF(_xll.IMDP("IR", $B136, I$6, $C$4, "fill=true")=0, "", _xll.IMDP("IR", $B136, I$6, $C$4, "fill=true")))</f>
        <v/>
      </c>
      <c r="J136" s="101" t="str">
        <f ca="1">IF($B136="", "", IF(_xll.IMDP("IR", $B136, J$6, $C$4, "fill=true")=0, "", _xll.IMDP("IR", $B136, J$6, $C$4, "fill=true")))</f>
        <v/>
      </c>
      <c r="K136" s="101" t="str">
        <f ca="1">IF($B136="", "", IF(_xll.IMDP("IR", $B136, K$6, $C$4, "fill=true")=0, "", _xll.IMDP("IR", $B136, K$6, $C$4, "fill=true")))</f>
        <v/>
      </c>
      <c r="L136" s="101" t="str">
        <f ca="1">IF($B136="", "", IF(_xll.IMDP("IR", $B136, L$6, $C$4, "fill=true")=0, "", _xll.IMDP("IR", $B136, L$6, $C$4, "fill=true")))</f>
        <v/>
      </c>
      <c r="M136" s="101" t="str">
        <f ca="1">IF($B136="", "", IF(_xll.IMDP("IR", $B136, M$6, $C$4, "fill=true")=0, "", _xll.IMDP("IR", $B136, M$6, $C$4, "fill=true")))</f>
        <v/>
      </c>
      <c r="N136" s="101" t="str">
        <f ca="1">IF($B136="", "", IF(_xll.IMDP("IR", $B136, N$6, $C$4, "fill=true")=0, "", _xll.IMDP("IR", $B136, N$6, $C$4, "fill=true")))</f>
        <v/>
      </c>
      <c r="O136" s="101" t="str">
        <f ca="1">IF($B136="", "", IF(_xll.IMDP("IR", $B136, O$6, $C$4, "fill=true")=0, "", _xll.IMDP("IR", $B136, O$6, $C$4, "fill=true")))</f>
        <v/>
      </c>
      <c r="P136" s="101" t="str">
        <f ca="1">IF($B136="", "", IF(_xll.IMDP("IR", $B136, P$6, $C$4, "fill=true")=0, "", _xll.IMDP("IR", $B136, P$6, $C$4, "fill=true")))</f>
        <v/>
      </c>
      <c r="Q136" s="102" t="str">
        <f ca="1">IF($B136="", "", IF(_xll.IMDP("IR", $B136, Q$6, $C$4, "fill=true")=0, "", _xll.IMDP("IR", $B136, Q$6, $C$4, "fill=true")))</f>
        <v/>
      </c>
    </row>
    <row r="137" spans="2:17" s="83" customFormat="1" ht="13.5">
      <c r="B137" s="83" t="str">
        <f ca="1">IFERROR( VLOOKUP(ROW()-ROW($B$6), code!$G$51:$K$1483, 5, 0), "")</f>
        <v/>
      </c>
      <c r="C137" s="96" t="str">
        <f ca="1">IF($B137="", "", _xll.IMDP("IR", $B137, "1일", $C$4, "fill=true, disp=date"))</f>
        <v/>
      </c>
      <c r="D137" s="97" t="str">
        <f ca="1">IF($B137="", "", VLOOKUP(ROW()-ROW($B$6), code!$G$51:$K$1483, 2, 0) )</f>
        <v/>
      </c>
      <c r="E137" s="98" t="str">
        <f ca="1">IF($B137="", "", VLOOKUP(ROW()-ROW($B$6), code!$G$51:$K$1483, 3, 0) )</f>
        <v/>
      </c>
      <c r="F137" s="99" t="str">
        <f ca="1">IF($B137="", "", VLOOKUP(ROW()-ROW($B$6), code!$G$51:$K$1483, 4, 0))</f>
        <v/>
      </c>
      <c r="G137" s="100" t="str">
        <f ca="1">IF($B137="", "", IF(_xll.IMDP("IR", $B137, G$6, $C$4, "fill=true")=0, "", _xll.IMDP("IR", $B137, G$6, $C$4, "fill=true")))</f>
        <v/>
      </c>
      <c r="H137" s="101" t="str">
        <f ca="1">IF($B137="", "", IF(_xll.IMDP("IR", $B137, H$6, $C$4, "fill=true")=0, "", _xll.IMDP("IR", $B137, H$6, $C$4, "fill=true")))</f>
        <v/>
      </c>
      <c r="I137" s="101" t="str">
        <f ca="1">IF($B137="", "", IF(_xll.IMDP("IR", $B137, I$6, $C$4, "fill=true")=0, "", _xll.IMDP("IR", $B137, I$6, $C$4, "fill=true")))</f>
        <v/>
      </c>
      <c r="J137" s="101" t="str">
        <f ca="1">IF($B137="", "", IF(_xll.IMDP("IR", $B137, J$6, $C$4, "fill=true")=0, "", _xll.IMDP("IR", $B137, J$6, $C$4, "fill=true")))</f>
        <v/>
      </c>
      <c r="K137" s="101" t="str">
        <f ca="1">IF($B137="", "", IF(_xll.IMDP("IR", $B137, K$6, $C$4, "fill=true")=0, "", _xll.IMDP("IR", $B137, K$6, $C$4, "fill=true")))</f>
        <v/>
      </c>
      <c r="L137" s="101" t="str">
        <f ca="1">IF($B137="", "", IF(_xll.IMDP("IR", $B137, L$6, $C$4, "fill=true")=0, "", _xll.IMDP("IR", $B137, L$6, $C$4, "fill=true")))</f>
        <v/>
      </c>
      <c r="M137" s="101" t="str">
        <f ca="1">IF($B137="", "", IF(_xll.IMDP("IR", $B137, M$6, $C$4, "fill=true")=0, "", _xll.IMDP("IR", $B137, M$6, $C$4, "fill=true")))</f>
        <v/>
      </c>
      <c r="N137" s="101" t="str">
        <f ca="1">IF($B137="", "", IF(_xll.IMDP("IR", $B137, N$6, $C$4, "fill=true")=0, "", _xll.IMDP("IR", $B137, N$6, $C$4, "fill=true")))</f>
        <v/>
      </c>
      <c r="O137" s="101" t="str">
        <f ca="1">IF($B137="", "", IF(_xll.IMDP("IR", $B137, O$6, $C$4, "fill=true")=0, "", _xll.IMDP("IR", $B137, O$6, $C$4, "fill=true")))</f>
        <v/>
      </c>
      <c r="P137" s="101" t="str">
        <f ca="1">IF($B137="", "", IF(_xll.IMDP("IR", $B137, P$6, $C$4, "fill=true")=0, "", _xll.IMDP("IR", $B137, P$6, $C$4, "fill=true")))</f>
        <v/>
      </c>
      <c r="Q137" s="102" t="str">
        <f ca="1">IF($B137="", "", IF(_xll.IMDP("IR", $B137, Q$6, $C$4, "fill=true")=0, "", _xll.IMDP("IR", $B137, Q$6, $C$4, "fill=true")))</f>
        <v/>
      </c>
    </row>
    <row r="138" spans="2:17" s="83" customFormat="1" ht="13.5">
      <c r="B138" s="83" t="str">
        <f ca="1">IFERROR( VLOOKUP(ROW()-ROW($B$6), code!$G$51:$K$1483, 5, 0), "")</f>
        <v/>
      </c>
      <c r="C138" s="96" t="str">
        <f ca="1">IF($B138="", "", _xll.IMDP("IR", $B138, "1일", $C$4, "fill=true, disp=date"))</f>
        <v/>
      </c>
      <c r="D138" s="97" t="str">
        <f ca="1">IF($B138="", "", VLOOKUP(ROW()-ROW($B$6), code!$G$51:$K$1483, 2, 0) )</f>
        <v/>
      </c>
      <c r="E138" s="98" t="str">
        <f ca="1">IF($B138="", "", VLOOKUP(ROW()-ROW($B$6), code!$G$51:$K$1483, 3, 0) )</f>
        <v/>
      </c>
      <c r="F138" s="99" t="str">
        <f ca="1">IF($B138="", "", VLOOKUP(ROW()-ROW($B$6), code!$G$51:$K$1483, 4, 0))</f>
        <v/>
      </c>
      <c r="G138" s="100" t="str">
        <f ca="1">IF($B138="", "", IF(_xll.IMDP("IR", $B138, G$6, $C$4, "fill=true")=0, "", _xll.IMDP("IR", $B138, G$6, $C$4, "fill=true")))</f>
        <v/>
      </c>
      <c r="H138" s="101" t="str">
        <f ca="1">IF($B138="", "", IF(_xll.IMDP("IR", $B138, H$6, $C$4, "fill=true")=0, "", _xll.IMDP("IR", $B138, H$6, $C$4, "fill=true")))</f>
        <v/>
      </c>
      <c r="I138" s="101" t="str">
        <f ca="1">IF($B138="", "", IF(_xll.IMDP("IR", $B138, I$6, $C$4, "fill=true")=0, "", _xll.IMDP("IR", $B138, I$6, $C$4, "fill=true")))</f>
        <v/>
      </c>
      <c r="J138" s="101" t="str">
        <f ca="1">IF($B138="", "", IF(_xll.IMDP("IR", $B138, J$6, $C$4, "fill=true")=0, "", _xll.IMDP("IR", $B138, J$6, $C$4, "fill=true")))</f>
        <v/>
      </c>
      <c r="K138" s="101" t="str">
        <f ca="1">IF($B138="", "", IF(_xll.IMDP("IR", $B138, K$6, $C$4, "fill=true")=0, "", _xll.IMDP("IR", $B138, K$6, $C$4, "fill=true")))</f>
        <v/>
      </c>
      <c r="L138" s="101" t="str">
        <f ca="1">IF($B138="", "", IF(_xll.IMDP("IR", $B138, L$6, $C$4, "fill=true")=0, "", _xll.IMDP("IR", $B138, L$6, $C$4, "fill=true")))</f>
        <v/>
      </c>
      <c r="M138" s="101" t="str">
        <f ca="1">IF($B138="", "", IF(_xll.IMDP("IR", $B138, M$6, $C$4, "fill=true")=0, "", _xll.IMDP("IR", $B138, M$6, $C$4, "fill=true")))</f>
        <v/>
      </c>
      <c r="N138" s="101" t="str">
        <f ca="1">IF($B138="", "", IF(_xll.IMDP("IR", $B138, N$6, $C$4, "fill=true")=0, "", _xll.IMDP("IR", $B138, N$6, $C$4, "fill=true")))</f>
        <v/>
      </c>
      <c r="O138" s="101" t="str">
        <f ca="1">IF($B138="", "", IF(_xll.IMDP("IR", $B138, O$6, $C$4, "fill=true")=0, "", _xll.IMDP("IR", $B138, O$6, $C$4, "fill=true")))</f>
        <v/>
      </c>
      <c r="P138" s="101" t="str">
        <f ca="1">IF($B138="", "", IF(_xll.IMDP("IR", $B138, P$6, $C$4, "fill=true")=0, "", _xll.IMDP("IR", $B138, P$6, $C$4, "fill=true")))</f>
        <v/>
      </c>
      <c r="Q138" s="102" t="str">
        <f ca="1">IF($B138="", "", IF(_xll.IMDP("IR", $B138, Q$6, $C$4, "fill=true")=0, "", _xll.IMDP("IR", $B138, Q$6, $C$4, "fill=true")))</f>
        <v/>
      </c>
    </row>
    <row r="139" spans="2:17" s="83" customFormat="1" ht="13.5">
      <c r="B139" s="83" t="str">
        <f ca="1">IFERROR( VLOOKUP(ROW()-ROW($B$6), code!$G$51:$K$1483, 5, 0), "")</f>
        <v/>
      </c>
      <c r="C139" s="96" t="str">
        <f ca="1">IF($B139="", "", _xll.IMDP("IR", $B139, "1일", $C$4, "fill=true, disp=date"))</f>
        <v/>
      </c>
      <c r="D139" s="97" t="str">
        <f ca="1">IF($B139="", "", VLOOKUP(ROW()-ROW($B$6), code!$G$51:$K$1483, 2, 0) )</f>
        <v/>
      </c>
      <c r="E139" s="98" t="str">
        <f ca="1">IF($B139="", "", VLOOKUP(ROW()-ROW($B$6), code!$G$51:$K$1483, 3, 0) )</f>
        <v/>
      </c>
      <c r="F139" s="99" t="str">
        <f ca="1">IF($B139="", "", VLOOKUP(ROW()-ROW($B$6), code!$G$51:$K$1483, 4, 0))</f>
        <v/>
      </c>
      <c r="G139" s="100" t="str">
        <f ca="1">IF($B139="", "", IF(_xll.IMDP("IR", $B139, G$6, $C$4, "fill=true")=0, "", _xll.IMDP("IR", $B139, G$6, $C$4, "fill=true")))</f>
        <v/>
      </c>
      <c r="H139" s="101" t="str">
        <f ca="1">IF($B139="", "", IF(_xll.IMDP("IR", $B139, H$6, $C$4, "fill=true")=0, "", _xll.IMDP("IR", $B139, H$6, $C$4, "fill=true")))</f>
        <v/>
      </c>
      <c r="I139" s="101" t="str">
        <f ca="1">IF($B139="", "", IF(_xll.IMDP("IR", $B139, I$6, $C$4, "fill=true")=0, "", _xll.IMDP("IR", $B139, I$6, $C$4, "fill=true")))</f>
        <v/>
      </c>
      <c r="J139" s="101" t="str">
        <f ca="1">IF($B139="", "", IF(_xll.IMDP("IR", $B139, J$6, $C$4, "fill=true")=0, "", _xll.IMDP("IR", $B139, J$6, $C$4, "fill=true")))</f>
        <v/>
      </c>
      <c r="K139" s="101" t="str">
        <f ca="1">IF($B139="", "", IF(_xll.IMDP("IR", $B139, K$6, $C$4, "fill=true")=0, "", _xll.IMDP("IR", $B139, K$6, $C$4, "fill=true")))</f>
        <v/>
      </c>
      <c r="L139" s="101" t="str">
        <f ca="1">IF($B139="", "", IF(_xll.IMDP("IR", $B139, L$6, $C$4, "fill=true")=0, "", _xll.IMDP("IR", $B139, L$6, $C$4, "fill=true")))</f>
        <v/>
      </c>
      <c r="M139" s="101" t="str">
        <f ca="1">IF($B139="", "", IF(_xll.IMDP("IR", $B139, M$6, $C$4, "fill=true")=0, "", _xll.IMDP("IR", $B139, M$6, $C$4, "fill=true")))</f>
        <v/>
      </c>
      <c r="N139" s="101" t="str">
        <f ca="1">IF($B139="", "", IF(_xll.IMDP("IR", $B139, N$6, $C$4, "fill=true")=0, "", _xll.IMDP("IR", $B139, N$6, $C$4, "fill=true")))</f>
        <v/>
      </c>
      <c r="O139" s="101" t="str">
        <f ca="1">IF($B139="", "", IF(_xll.IMDP("IR", $B139, O$6, $C$4, "fill=true")=0, "", _xll.IMDP("IR", $B139, O$6, $C$4, "fill=true")))</f>
        <v/>
      </c>
      <c r="P139" s="101" t="str">
        <f ca="1">IF($B139="", "", IF(_xll.IMDP("IR", $B139, P$6, $C$4, "fill=true")=0, "", _xll.IMDP("IR", $B139, P$6, $C$4, "fill=true")))</f>
        <v/>
      </c>
      <c r="Q139" s="102" t="str">
        <f ca="1">IF($B139="", "", IF(_xll.IMDP("IR", $B139, Q$6, $C$4, "fill=true")=0, "", _xll.IMDP("IR", $B139, Q$6, $C$4, "fill=true")))</f>
        <v/>
      </c>
    </row>
    <row r="140" spans="2:17" s="83" customFormat="1" ht="13.5">
      <c r="B140" s="83" t="str">
        <f ca="1">IFERROR( VLOOKUP(ROW()-ROW($B$6), code!$G$51:$K$1483, 5, 0), "")</f>
        <v/>
      </c>
      <c r="C140" s="96" t="str">
        <f ca="1">IF($B140="", "", _xll.IMDP("IR", $B140, "1일", $C$4, "fill=true, disp=date"))</f>
        <v/>
      </c>
      <c r="D140" s="97" t="str">
        <f ca="1">IF($B140="", "", VLOOKUP(ROW()-ROW($B$6), code!$G$51:$K$1483, 2, 0) )</f>
        <v/>
      </c>
      <c r="E140" s="98" t="str">
        <f ca="1">IF($B140="", "", VLOOKUP(ROW()-ROW($B$6), code!$G$51:$K$1483, 3, 0) )</f>
        <v/>
      </c>
      <c r="F140" s="99" t="str">
        <f ca="1">IF($B140="", "", VLOOKUP(ROW()-ROW($B$6), code!$G$51:$K$1483, 4, 0))</f>
        <v/>
      </c>
      <c r="G140" s="100" t="str">
        <f ca="1">IF($B140="", "", IF(_xll.IMDP("IR", $B140, G$6, $C$4, "fill=true")=0, "", _xll.IMDP("IR", $B140, G$6, $C$4, "fill=true")))</f>
        <v/>
      </c>
      <c r="H140" s="101" t="str">
        <f ca="1">IF($B140="", "", IF(_xll.IMDP("IR", $B140, H$6, $C$4, "fill=true")=0, "", _xll.IMDP("IR", $B140, H$6, $C$4, "fill=true")))</f>
        <v/>
      </c>
      <c r="I140" s="101" t="str">
        <f ca="1">IF($B140="", "", IF(_xll.IMDP("IR", $B140, I$6, $C$4, "fill=true")=0, "", _xll.IMDP("IR", $B140, I$6, $C$4, "fill=true")))</f>
        <v/>
      </c>
      <c r="J140" s="101" t="str">
        <f ca="1">IF($B140="", "", IF(_xll.IMDP("IR", $B140, J$6, $C$4, "fill=true")=0, "", _xll.IMDP("IR", $B140, J$6, $C$4, "fill=true")))</f>
        <v/>
      </c>
      <c r="K140" s="101" t="str">
        <f ca="1">IF($B140="", "", IF(_xll.IMDP("IR", $B140, K$6, $C$4, "fill=true")=0, "", _xll.IMDP("IR", $B140, K$6, $C$4, "fill=true")))</f>
        <v/>
      </c>
      <c r="L140" s="101" t="str">
        <f ca="1">IF($B140="", "", IF(_xll.IMDP("IR", $B140, L$6, $C$4, "fill=true")=0, "", _xll.IMDP("IR", $B140, L$6, $C$4, "fill=true")))</f>
        <v/>
      </c>
      <c r="M140" s="101" t="str">
        <f ca="1">IF($B140="", "", IF(_xll.IMDP("IR", $B140, M$6, $C$4, "fill=true")=0, "", _xll.IMDP("IR", $B140, M$6, $C$4, "fill=true")))</f>
        <v/>
      </c>
      <c r="N140" s="101" t="str">
        <f ca="1">IF($B140="", "", IF(_xll.IMDP("IR", $B140, N$6, $C$4, "fill=true")=0, "", _xll.IMDP("IR", $B140, N$6, $C$4, "fill=true")))</f>
        <v/>
      </c>
      <c r="O140" s="101" t="str">
        <f ca="1">IF($B140="", "", IF(_xll.IMDP("IR", $B140, O$6, $C$4, "fill=true")=0, "", _xll.IMDP("IR", $B140, O$6, $C$4, "fill=true")))</f>
        <v/>
      </c>
      <c r="P140" s="101" t="str">
        <f ca="1">IF($B140="", "", IF(_xll.IMDP("IR", $B140, P$6, $C$4, "fill=true")=0, "", _xll.IMDP("IR", $B140, P$6, $C$4, "fill=true")))</f>
        <v/>
      </c>
      <c r="Q140" s="102" t="str">
        <f ca="1">IF($B140="", "", IF(_xll.IMDP("IR", $B140, Q$6, $C$4, "fill=true")=0, "", _xll.IMDP("IR", $B140, Q$6, $C$4, "fill=true")))</f>
        <v/>
      </c>
    </row>
    <row r="141" spans="2:17" s="83" customFormat="1" ht="13.5">
      <c r="B141" s="83" t="str">
        <f ca="1">IFERROR( VLOOKUP(ROW()-ROW($B$6), code!$G$51:$K$1483, 5, 0), "")</f>
        <v/>
      </c>
      <c r="C141" s="96" t="str">
        <f ca="1">IF($B141="", "", _xll.IMDP("IR", $B141, "1일", $C$4, "fill=true, disp=date"))</f>
        <v/>
      </c>
      <c r="D141" s="97" t="str">
        <f ca="1">IF($B141="", "", VLOOKUP(ROW()-ROW($B$6), code!$G$51:$K$1483, 2, 0) )</f>
        <v/>
      </c>
      <c r="E141" s="98" t="str">
        <f ca="1">IF($B141="", "", VLOOKUP(ROW()-ROW($B$6), code!$G$51:$K$1483, 3, 0) )</f>
        <v/>
      </c>
      <c r="F141" s="99" t="str">
        <f ca="1">IF($B141="", "", VLOOKUP(ROW()-ROW($B$6), code!$G$51:$K$1483, 4, 0))</f>
        <v/>
      </c>
      <c r="G141" s="100" t="str">
        <f ca="1">IF($B141="", "", IF(_xll.IMDP("IR", $B141, G$6, $C$4, "fill=true")=0, "", _xll.IMDP("IR", $B141, G$6, $C$4, "fill=true")))</f>
        <v/>
      </c>
      <c r="H141" s="101" t="str">
        <f ca="1">IF($B141="", "", IF(_xll.IMDP("IR", $B141, H$6, $C$4, "fill=true")=0, "", _xll.IMDP("IR", $B141, H$6, $C$4, "fill=true")))</f>
        <v/>
      </c>
      <c r="I141" s="101" t="str">
        <f ca="1">IF($B141="", "", IF(_xll.IMDP("IR", $B141, I$6, $C$4, "fill=true")=0, "", _xll.IMDP("IR", $B141, I$6, $C$4, "fill=true")))</f>
        <v/>
      </c>
      <c r="J141" s="101" t="str">
        <f ca="1">IF($B141="", "", IF(_xll.IMDP("IR", $B141, J$6, $C$4, "fill=true")=0, "", _xll.IMDP("IR", $B141, J$6, $C$4, "fill=true")))</f>
        <v/>
      </c>
      <c r="K141" s="101" t="str">
        <f ca="1">IF($B141="", "", IF(_xll.IMDP("IR", $B141, K$6, $C$4, "fill=true")=0, "", _xll.IMDP("IR", $B141, K$6, $C$4, "fill=true")))</f>
        <v/>
      </c>
      <c r="L141" s="101" t="str">
        <f ca="1">IF($B141="", "", IF(_xll.IMDP("IR", $B141, L$6, $C$4, "fill=true")=0, "", _xll.IMDP("IR", $B141, L$6, $C$4, "fill=true")))</f>
        <v/>
      </c>
      <c r="M141" s="101" t="str">
        <f ca="1">IF($B141="", "", IF(_xll.IMDP("IR", $B141, M$6, $C$4, "fill=true")=0, "", _xll.IMDP("IR", $B141, M$6, $C$4, "fill=true")))</f>
        <v/>
      </c>
      <c r="N141" s="101" t="str">
        <f ca="1">IF($B141="", "", IF(_xll.IMDP("IR", $B141, N$6, $C$4, "fill=true")=0, "", _xll.IMDP("IR", $B141, N$6, $C$4, "fill=true")))</f>
        <v/>
      </c>
      <c r="O141" s="101" t="str">
        <f ca="1">IF($B141="", "", IF(_xll.IMDP("IR", $B141, O$6, $C$4, "fill=true")=0, "", _xll.IMDP("IR", $B141, O$6, $C$4, "fill=true")))</f>
        <v/>
      </c>
      <c r="P141" s="101" t="str">
        <f ca="1">IF($B141="", "", IF(_xll.IMDP("IR", $B141, P$6, $C$4, "fill=true")=0, "", _xll.IMDP("IR", $B141, P$6, $C$4, "fill=true")))</f>
        <v/>
      </c>
      <c r="Q141" s="102" t="str">
        <f ca="1">IF($B141="", "", IF(_xll.IMDP("IR", $B141, Q$6, $C$4, "fill=true")=0, "", _xll.IMDP("IR", $B141, Q$6, $C$4, "fill=true")))</f>
        <v/>
      </c>
    </row>
    <row r="142" spans="2:17" s="83" customFormat="1" ht="13.5">
      <c r="B142" s="83" t="str">
        <f ca="1">IFERROR( VLOOKUP(ROW()-ROW($B$6), code!$G$51:$K$1483, 5, 0), "")</f>
        <v/>
      </c>
      <c r="C142" s="96" t="str">
        <f ca="1">IF($B142="", "", _xll.IMDP("IR", $B142, "1일", $C$4, "fill=true, disp=date"))</f>
        <v/>
      </c>
      <c r="D142" s="97" t="str">
        <f ca="1">IF($B142="", "", VLOOKUP(ROW()-ROW($B$6), code!$G$51:$K$1483, 2, 0) )</f>
        <v/>
      </c>
      <c r="E142" s="98" t="str">
        <f ca="1">IF($B142="", "", VLOOKUP(ROW()-ROW($B$6), code!$G$51:$K$1483, 3, 0) )</f>
        <v/>
      </c>
      <c r="F142" s="99" t="str">
        <f ca="1">IF($B142="", "", VLOOKUP(ROW()-ROW($B$6), code!$G$51:$K$1483, 4, 0))</f>
        <v/>
      </c>
      <c r="G142" s="100" t="str">
        <f ca="1">IF($B142="", "", IF(_xll.IMDP("IR", $B142, G$6, $C$4, "fill=true")=0, "", _xll.IMDP("IR", $B142, G$6, $C$4, "fill=true")))</f>
        <v/>
      </c>
      <c r="H142" s="101" t="str">
        <f ca="1">IF($B142="", "", IF(_xll.IMDP("IR", $B142, H$6, $C$4, "fill=true")=0, "", _xll.IMDP("IR", $B142, H$6, $C$4, "fill=true")))</f>
        <v/>
      </c>
      <c r="I142" s="101" t="str">
        <f ca="1">IF($B142="", "", IF(_xll.IMDP("IR", $B142, I$6, $C$4, "fill=true")=0, "", _xll.IMDP("IR", $B142, I$6, $C$4, "fill=true")))</f>
        <v/>
      </c>
      <c r="J142" s="101" t="str">
        <f ca="1">IF($B142="", "", IF(_xll.IMDP("IR", $B142, J$6, $C$4, "fill=true")=0, "", _xll.IMDP("IR", $B142, J$6, $C$4, "fill=true")))</f>
        <v/>
      </c>
      <c r="K142" s="101" t="str">
        <f ca="1">IF($B142="", "", IF(_xll.IMDP("IR", $B142, K$6, $C$4, "fill=true")=0, "", _xll.IMDP("IR", $B142, K$6, $C$4, "fill=true")))</f>
        <v/>
      </c>
      <c r="L142" s="101" t="str">
        <f ca="1">IF($B142="", "", IF(_xll.IMDP("IR", $B142, L$6, $C$4, "fill=true")=0, "", _xll.IMDP("IR", $B142, L$6, $C$4, "fill=true")))</f>
        <v/>
      </c>
      <c r="M142" s="101" t="str">
        <f ca="1">IF($B142="", "", IF(_xll.IMDP("IR", $B142, M$6, $C$4, "fill=true")=0, "", _xll.IMDP("IR", $B142, M$6, $C$4, "fill=true")))</f>
        <v/>
      </c>
      <c r="N142" s="101" t="str">
        <f ca="1">IF($B142="", "", IF(_xll.IMDP("IR", $B142, N$6, $C$4, "fill=true")=0, "", _xll.IMDP("IR", $B142, N$6, $C$4, "fill=true")))</f>
        <v/>
      </c>
      <c r="O142" s="101" t="str">
        <f ca="1">IF($B142="", "", IF(_xll.IMDP("IR", $B142, O$6, $C$4, "fill=true")=0, "", _xll.IMDP("IR", $B142, O$6, $C$4, "fill=true")))</f>
        <v/>
      </c>
      <c r="P142" s="101" t="str">
        <f ca="1">IF($B142="", "", IF(_xll.IMDP("IR", $B142, P$6, $C$4, "fill=true")=0, "", _xll.IMDP("IR", $B142, P$6, $C$4, "fill=true")))</f>
        <v/>
      </c>
      <c r="Q142" s="102" t="str">
        <f ca="1">IF($B142="", "", IF(_xll.IMDP("IR", $B142, Q$6, $C$4, "fill=true")=0, "", _xll.IMDP("IR", $B142, Q$6, $C$4, "fill=true")))</f>
        <v/>
      </c>
    </row>
    <row r="143" spans="2:17" s="83" customFormat="1" ht="13.5">
      <c r="B143" s="83" t="str">
        <f ca="1">IFERROR( VLOOKUP(ROW()-ROW($B$6), code!$G$51:$K$1483, 5, 0), "")</f>
        <v/>
      </c>
      <c r="C143" s="96" t="str">
        <f ca="1">IF($B143="", "", _xll.IMDP("IR", $B143, "1일", $C$4, "fill=true, disp=date"))</f>
        <v/>
      </c>
      <c r="D143" s="97" t="str">
        <f ca="1">IF($B143="", "", VLOOKUP(ROW()-ROW($B$6), code!$G$51:$K$1483, 2, 0) )</f>
        <v/>
      </c>
      <c r="E143" s="98" t="str">
        <f ca="1">IF($B143="", "", VLOOKUP(ROW()-ROW($B$6), code!$G$51:$K$1483, 3, 0) )</f>
        <v/>
      </c>
      <c r="F143" s="99" t="str">
        <f ca="1">IF($B143="", "", VLOOKUP(ROW()-ROW($B$6), code!$G$51:$K$1483, 4, 0))</f>
        <v/>
      </c>
      <c r="G143" s="100" t="str">
        <f ca="1">IF($B143="", "", IF(_xll.IMDP("IR", $B143, G$6, $C$4, "fill=true")=0, "", _xll.IMDP("IR", $B143, G$6, $C$4, "fill=true")))</f>
        <v/>
      </c>
      <c r="H143" s="101" t="str">
        <f ca="1">IF($B143="", "", IF(_xll.IMDP("IR", $B143, H$6, $C$4, "fill=true")=0, "", _xll.IMDP("IR", $B143, H$6, $C$4, "fill=true")))</f>
        <v/>
      </c>
      <c r="I143" s="101" t="str">
        <f ca="1">IF($B143="", "", IF(_xll.IMDP("IR", $B143, I$6, $C$4, "fill=true")=0, "", _xll.IMDP("IR", $B143, I$6, $C$4, "fill=true")))</f>
        <v/>
      </c>
      <c r="J143" s="101" t="str">
        <f ca="1">IF($B143="", "", IF(_xll.IMDP("IR", $B143, J$6, $C$4, "fill=true")=0, "", _xll.IMDP("IR", $B143, J$6, $C$4, "fill=true")))</f>
        <v/>
      </c>
      <c r="K143" s="101" t="str">
        <f ca="1">IF($B143="", "", IF(_xll.IMDP("IR", $B143, K$6, $C$4, "fill=true")=0, "", _xll.IMDP("IR", $B143, K$6, $C$4, "fill=true")))</f>
        <v/>
      </c>
      <c r="L143" s="101" t="str">
        <f ca="1">IF($B143="", "", IF(_xll.IMDP("IR", $B143, L$6, $C$4, "fill=true")=0, "", _xll.IMDP("IR", $B143, L$6, $C$4, "fill=true")))</f>
        <v/>
      </c>
      <c r="M143" s="101" t="str">
        <f ca="1">IF($B143="", "", IF(_xll.IMDP("IR", $B143, M$6, $C$4, "fill=true")=0, "", _xll.IMDP("IR", $B143, M$6, $C$4, "fill=true")))</f>
        <v/>
      </c>
      <c r="N143" s="101" t="str">
        <f ca="1">IF($B143="", "", IF(_xll.IMDP("IR", $B143, N$6, $C$4, "fill=true")=0, "", _xll.IMDP("IR", $B143, N$6, $C$4, "fill=true")))</f>
        <v/>
      </c>
      <c r="O143" s="101" t="str">
        <f ca="1">IF($B143="", "", IF(_xll.IMDP("IR", $B143, O$6, $C$4, "fill=true")=0, "", _xll.IMDP("IR", $B143, O$6, $C$4, "fill=true")))</f>
        <v/>
      </c>
      <c r="P143" s="101" t="str">
        <f ca="1">IF($B143="", "", IF(_xll.IMDP("IR", $B143, P$6, $C$4, "fill=true")=0, "", _xll.IMDP("IR", $B143, P$6, $C$4, "fill=true")))</f>
        <v/>
      </c>
      <c r="Q143" s="102" t="str">
        <f ca="1">IF($B143="", "", IF(_xll.IMDP("IR", $B143, Q$6, $C$4, "fill=true")=0, "", _xll.IMDP("IR", $B143, Q$6, $C$4, "fill=true")))</f>
        <v/>
      </c>
    </row>
    <row r="144" spans="2:17" s="83" customFormat="1" ht="13.5">
      <c r="B144" s="83" t="str">
        <f ca="1">IFERROR( VLOOKUP(ROW()-ROW($B$6), code!$G$51:$K$1483, 5, 0), "")</f>
        <v/>
      </c>
      <c r="C144" s="96" t="str">
        <f ca="1">IF($B144="", "", _xll.IMDP("IR", $B144, "1일", $C$4, "fill=true, disp=date"))</f>
        <v/>
      </c>
      <c r="D144" s="97" t="str">
        <f ca="1">IF($B144="", "", VLOOKUP(ROW()-ROW($B$6), code!$G$51:$K$1483, 2, 0) )</f>
        <v/>
      </c>
      <c r="E144" s="98" t="str">
        <f ca="1">IF($B144="", "", VLOOKUP(ROW()-ROW($B$6), code!$G$51:$K$1483, 3, 0) )</f>
        <v/>
      </c>
      <c r="F144" s="99" t="str">
        <f ca="1">IF($B144="", "", VLOOKUP(ROW()-ROW($B$6), code!$G$51:$K$1483, 4, 0))</f>
        <v/>
      </c>
      <c r="G144" s="100" t="str">
        <f ca="1">IF($B144="", "", IF(_xll.IMDP("IR", $B144, G$6, $C$4, "fill=true")=0, "", _xll.IMDP("IR", $B144, G$6, $C$4, "fill=true")))</f>
        <v/>
      </c>
      <c r="H144" s="101" t="str">
        <f ca="1">IF($B144="", "", IF(_xll.IMDP("IR", $B144, H$6, $C$4, "fill=true")=0, "", _xll.IMDP("IR", $B144, H$6, $C$4, "fill=true")))</f>
        <v/>
      </c>
      <c r="I144" s="101" t="str">
        <f ca="1">IF($B144="", "", IF(_xll.IMDP("IR", $B144, I$6, $C$4, "fill=true")=0, "", _xll.IMDP("IR", $B144, I$6, $C$4, "fill=true")))</f>
        <v/>
      </c>
      <c r="J144" s="101" t="str">
        <f ca="1">IF($B144="", "", IF(_xll.IMDP("IR", $B144, J$6, $C$4, "fill=true")=0, "", _xll.IMDP("IR", $B144, J$6, $C$4, "fill=true")))</f>
        <v/>
      </c>
      <c r="K144" s="101" t="str">
        <f ca="1">IF($B144="", "", IF(_xll.IMDP("IR", $B144, K$6, $C$4, "fill=true")=0, "", _xll.IMDP("IR", $B144, K$6, $C$4, "fill=true")))</f>
        <v/>
      </c>
      <c r="L144" s="101" t="str">
        <f ca="1">IF($B144="", "", IF(_xll.IMDP("IR", $B144, L$6, $C$4, "fill=true")=0, "", _xll.IMDP("IR", $B144, L$6, $C$4, "fill=true")))</f>
        <v/>
      </c>
      <c r="M144" s="101" t="str">
        <f ca="1">IF($B144="", "", IF(_xll.IMDP("IR", $B144, M$6, $C$4, "fill=true")=0, "", _xll.IMDP("IR", $B144, M$6, $C$4, "fill=true")))</f>
        <v/>
      </c>
      <c r="N144" s="101" t="str">
        <f ca="1">IF($B144="", "", IF(_xll.IMDP("IR", $B144, N$6, $C$4, "fill=true")=0, "", _xll.IMDP("IR", $B144, N$6, $C$4, "fill=true")))</f>
        <v/>
      </c>
      <c r="O144" s="101" t="str">
        <f ca="1">IF($B144="", "", IF(_xll.IMDP("IR", $B144, O$6, $C$4, "fill=true")=0, "", _xll.IMDP("IR", $B144, O$6, $C$4, "fill=true")))</f>
        <v/>
      </c>
      <c r="P144" s="101" t="str">
        <f ca="1">IF($B144="", "", IF(_xll.IMDP("IR", $B144, P$6, $C$4, "fill=true")=0, "", _xll.IMDP("IR", $B144, P$6, $C$4, "fill=true")))</f>
        <v/>
      </c>
      <c r="Q144" s="102" t="str">
        <f ca="1">IF($B144="", "", IF(_xll.IMDP("IR", $B144, Q$6, $C$4, "fill=true")=0, "", _xll.IMDP("IR", $B144, Q$6, $C$4, "fill=true")))</f>
        <v/>
      </c>
    </row>
    <row r="145" spans="2:17" s="83" customFormat="1" ht="13.5">
      <c r="B145" s="83" t="str">
        <f ca="1">IFERROR( VLOOKUP(ROW()-ROW($B$6), code!$G$51:$K$1483, 5, 0), "")</f>
        <v/>
      </c>
      <c r="C145" s="96" t="str">
        <f ca="1">IF($B145="", "", _xll.IMDP("IR", $B145, "1일", $C$4, "fill=true, disp=date"))</f>
        <v/>
      </c>
      <c r="D145" s="97" t="str">
        <f ca="1">IF($B145="", "", VLOOKUP(ROW()-ROW($B$6), code!$G$51:$K$1483, 2, 0) )</f>
        <v/>
      </c>
      <c r="E145" s="98" t="str">
        <f ca="1">IF($B145="", "", VLOOKUP(ROW()-ROW($B$6), code!$G$51:$K$1483, 3, 0) )</f>
        <v/>
      </c>
      <c r="F145" s="99" t="str">
        <f ca="1">IF($B145="", "", VLOOKUP(ROW()-ROW($B$6), code!$G$51:$K$1483, 4, 0))</f>
        <v/>
      </c>
      <c r="G145" s="100" t="str">
        <f ca="1">IF($B145="", "", IF(_xll.IMDP("IR", $B145, G$6, $C$4, "fill=true")=0, "", _xll.IMDP("IR", $B145, G$6, $C$4, "fill=true")))</f>
        <v/>
      </c>
      <c r="H145" s="101" t="str">
        <f ca="1">IF($B145="", "", IF(_xll.IMDP("IR", $B145, H$6, $C$4, "fill=true")=0, "", _xll.IMDP("IR", $B145, H$6, $C$4, "fill=true")))</f>
        <v/>
      </c>
      <c r="I145" s="101" t="str">
        <f ca="1">IF($B145="", "", IF(_xll.IMDP("IR", $B145, I$6, $C$4, "fill=true")=0, "", _xll.IMDP("IR", $B145, I$6, $C$4, "fill=true")))</f>
        <v/>
      </c>
      <c r="J145" s="101" t="str">
        <f ca="1">IF($B145="", "", IF(_xll.IMDP("IR", $B145, J$6, $C$4, "fill=true")=0, "", _xll.IMDP("IR", $B145, J$6, $C$4, "fill=true")))</f>
        <v/>
      </c>
      <c r="K145" s="101" t="str">
        <f ca="1">IF($B145="", "", IF(_xll.IMDP("IR", $B145, K$6, $C$4, "fill=true")=0, "", _xll.IMDP("IR", $B145, K$6, $C$4, "fill=true")))</f>
        <v/>
      </c>
      <c r="L145" s="101" t="str">
        <f ca="1">IF($B145="", "", IF(_xll.IMDP("IR", $B145, L$6, $C$4, "fill=true")=0, "", _xll.IMDP("IR", $B145, L$6, $C$4, "fill=true")))</f>
        <v/>
      </c>
      <c r="M145" s="101" t="str">
        <f ca="1">IF($B145="", "", IF(_xll.IMDP("IR", $B145, M$6, $C$4, "fill=true")=0, "", _xll.IMDP("IR", $B145, M$6, $C$4, "fill=true")))</f>
        <v/>
      </c>
      <c r="N145" s="101" t="str">
        <f ca="1">IF($B145="", "", IF(_xll.IMDP("IR", $B145, N$6, $C$4, "fill=true")=0, "", _xll.IMDP("IR", $B145, N$6, $C$4, "fill=true")))</f>
        <v/>
      </c>
      <c r="O145" s="101" t="str">
        <f ca="1">IF($B145="", "", IF(_xll.IMDP("IR", $B145, O$6, $C$4, "fill=true")=0, "", _xll.IMDP("IR", $B145, O$6, $C$4, "fill=true")))</f>
        <v/>
      </c>
      <c r="P145" s="101" t="str">
        <f ca="1">IF($B145="", "", IF(_xll.IMDP("IR", $B145, P$6, $C$4, "fill=true")=0, "", _xll.IMDP("IR", $B145, P$6, $C$4, "fill=true")))</f>
        <v/>
      </c>
      <c r="Q145" s="102" t="str">
        <f ca="1">IF($B145="", "", IF(_xll.IMDP("IR", $B145, Q$6, $C$4, "fill=true")=0, "", _xll.IMDP("IR", $B145, Q$6, $C$4, "fill=true")))</f>
        <v/>
      </c>
    </row>
    <row r="146" spans="2:17" s="83" customFormat="1" ht="13.5">
      <c r="B146" s="83" t="str">
        <f ca="1">IFERROR( VLOOKUP(ROW()-ROW($B$6), code!$G$51:$K$1483, 5, 0), "")</f>
        <v/>
      </c>
      <c r="C146" s="96" t="str">
        <f ca="1">IF($B146="", "", _xll.IMDP("IR", $B146, "1일", $C$4, "fill=true, disp=date"))</f>
        <v/>
      </c>
      <c r="D146" s="97" t="str">
        <f ca="1">IF($B146="", "", VLOOKUP(ROW()-ROW($B$6), code!$G$51:$K$1483, 2, 0) )</f>
        <v/>
      </c>
      <c r="E146" s="98" t="str">
        <f ca="1">IF($B146="", "", VLOOKUP(ROW()-ROW($B$6), code!$G$51:$K$1483, 3, 0) )</f>
        <v/>
      </c>
      <c r="F146" s="99" t="str">
        <f ca="1">IF($B146="", "", VLOOKUP(ROW()-ROW($B$6), code!$G$51:$K$1483, 4, 0))</f>
        <v/>
      </c>
      <c r="G146" s="100" t="str">
        <f ca="1">IF($B146="", "", IF(_xll.IMDP("IR", $B146, G$6, $C$4, "fill=true")=0, "", _xll.IMDP("IR", $B146, G$6, $C$4, "fill=true")))</f>
        <v/>
      </c>
      <c r="H146" s="101" t="str">
        <f ca="1">IF($B146="", "", IF(_xll.IMDP("IR", $B146, H$6, $C$4, "fill=true")=0, "", _xll.IMDP("IR", $B146, H$6, $C$4, "fill=true")))</f>
        <v/>
      </c>
      <c r="I146" s="101" t="str">
        <f ca="1">IF($B146="", "", IF(_xll.IMDP("IR", $B146, I$6, $C$4, "fill=true")=0, "", _xll.IMDP("IR", $B146, I$6, $C$4, "fill=true")))</f>
        <v/>
      </c>
      <c r="J146" s="101" t="str">
        <f ca="1">IF($B146="", "", IF(_xll.IMDP("IR", $B146, J$6, $C$4, "fill=true")=0, "", _xll.IMDP("IR", $B146, J$6, $C$4, "fill=true")))</f>
        <v/>
      </c>
      <c r="K146" s="101" t="str">
        <f ca="1">IF($B146="", "", IF(_xll.IMDP("IR", $B146, K$6, $C$4, "fill=true")=0, "", _xll.IMDP("IR", $B146, K$6, $C$4, "fill=true")))</f>
        <v/>
      </c>
      <c r="L146" s="101" t="str">
        <f ca="1">IF($B146="", "", IF(_xll.IMDP("IR", $B146, L$6, $C$4, "fill=true")=0, "", _xll.IMDP("IR", $B146, L$6, $C$4, "fill=true")))</f>
        <v/>
      </c>
      <c r="M146" s="101" t="str">
        <f ca="1">IF($B146="", "", IF(_xll.IMDP("IR", $B146, M$6, $C$4, "fill=true")=0, "", _xll.IMDP("IR", $B146, M$6, $C$4, "fill=true")))</f>
        <v/>
      </c>
      <c r="N146" s="101" t="str">
        <f ca="1">IF($B146="", "", IF(_xll.IMDP("IR", $B146, N$6, $C$4, "fill=true")=0, "", _xll.IMDP("IR", $B146, N$6, $C$4, "fill=true")))</f>
        <v/>
      </c>
      <c r="O146" s="101" t="str">
        <f ca="1">IF($B146="", "", IF(_xll.IMDP("IR", $B146, O$6, $C$4, "fill=true")=0, "", _xll.IMDP("IR", $B146, O$6, $C$4, "fill=true")))</f>
        <v/>
      </c>
      <c r="P146" s="101" t="str">
        <f ca="1">IF($B146="", "", IF(_xll.IMDP("IR", $B146, P$6, $C$4, "fill=true")=0, "", _xll.IMDP("IR", $B146, P$6, $C$4, "fill=true")))</f>
        <v/>
      </c>
      <c r="Q146" s="102" t="str">
        <f ca="1">IF($B146="", "", IF(_xll.IMDP("IR", $B146, Q$6, $C$4, "fill=true")=0, "", _xll.IMDP("IR", $B146, Q$6, $C$4, "fill=true")))</f>
        <v/>
      </c>
    </row>
    <row r="147" spans="2:17" s="83" customFormat="1" ht="13.5">
      <c r="B147" s="83" t="str">
        <f ca="1">IFERROR( VLOOKUP(ROW()-ROW($B$6), code!$G$51:$K$1483, 5, 0), "")</f>
        <v/>
      </c>
      <c r="C147" s="96" t="str">
        <f ca="1">IF($B147="", "", _xll.IMDP("IR", $B147, "1일", $C$4, "fill=true, disp=date"))</f>
        <v/>
      </c>
      <c r="D147" s="97" t="str">
        <f ca="1">IF($B147="", "", VLOOKUP(ROW()-ROW($B$6), code!$G$51:$K$1483, 2, 0) )</f>
        <v/>
      </c>
      <c r="E147" s="98" t="str">
        <f ca="1">IF($B147="", "", VLOOKUP(ROW()-ROW($B$6), code!$G$51:$K$1483, 3, 0) )</f>
        <v/>
      </c>
      <c r="F147" s="99" t="str">
        <f ca="1">IF($B147="", "", VLOOKUP(ROW()-ROW($B$6), code!$G$51:$K$1483, 4, 0))</f>
        <v/>
      </c>
      <c r="G147" s="100" t="str">
        <f ca="1">IF($B147="", "", IF(_xll.IMDP("IR", $B147, G$6, $C$4, "fill=true")=0, "", _xll.IMDP("IR", $B147, G$6, $C$4, "fill=true")))</f>
        <v/>
      </c>
      <c r="H147" s="101" t="str">
        <f ca="1">IF($B147="", "", IF(_xll.IMDP("IR", $B147, H$6, $C$4, "fill=true")=0, "", _xll.IMDP("IR", $B147, H$6, $C$4, "fill=true")))</f>
        <v/>
      </c>
      <c r="I147" s="101" t="str">
        <f ca="1">IF($B147="", "", IF(_xll.IMDP("IR", $B147, I$6, $C$4, "fill=true")=0, "", _xll.IMDP("IR", $B147, I$6, $C$4, "fill=true")))</f>
        <v/>
      </c>
      <c r="J147" s="101" t="str">
        <f ca="1">IF($B147="", "", IF(_xll.IMDP("IR", $B147, J$6, $C$4, "fill=true")=0, "", _xll.IMDP("IR", $B147, J$6, $C$4, "fill=true")))</f>
        <v/>
      </c>
      <c r="K147" s="101" t="str">
        <f ca="1">IF($B147="", "", IF(_xll.IMDP("IR", $B147, K$6, $C$4, "fill=true")=0, "", _xll.IMDP("IR", $B147, K$6, $C$4, "fill=true")))</f>
        <v/>
      </c>
      <c r="L147" s="101" t="str">
        <f ca="1">IF($B147="", "", IF(_xll.IMDP("IR", $B147, L$6, $C$4, "fill=true")=0, "", _xll.IMDP("IR", $B147, L$6, $C$4, "fill=true")))</f>
        <v/>
      </c>
      <c r="M147" s="101" t="str">
        <f ca="1">IF($B147="", "", IF(_xll.IMDP("IR", $B147, M$6, $C$4, "fill=true")=0, "", _xll.IMDP("IR", $B147, M$6, $C$4, "fill=true")))</f>
        <v/>
      </c>
      <c r="N147" s="101" t="str">
        <f ca="1">IF($B147="", "", IF(_xll.IMDP("IR", $B147, N$6, $C$4, "fill=true")=0, "", _xll.IMDP("IR", $B147, N$6, $C$4, "fill=true")))</f>
        <v/>
      </c>
      <c r="O147" s="101" t="str">
        <f ca="1">IF($B147="", "", IF(_xll.IMDP("IR", $B147, O$6, $C$4, "fill=true")=0, "", _xll.IMDP("IR", $B147, O$6, $C$4, "fill=true")))</f>
        <v/>
      </c>
      <c r="P147" s="101" t="str">
        <f ca="1">IF($B147="", "", IF(_xll.IMDP("IR", $B147, P$6, $C$4, "fill=true")=0, "", _xll.IMDP("IR", $B147, P$6, $C$4, "fill=true")))</f>
        <v/>
      </c>
      <c r="Q147" s="102" t="str">
        <f ca="1">IF($B147="", "", IF(_xll.IMDP("IR", $B147, Q$6, $C$4, "fill=true")=0, "", _xll.IMDP("IR", $B147, Q$6, $C$4, "fill=true")))</f>
        <v/>
      </c>
    </row>
    <row r="148" spans="2:17" s="83" customFormat="1" ht="13.5">
      <c r="B148" s="83" t="str">
        <f ca="1">IFERROR( VLOOKUP(ROW()-ROW($B$6), code!$G$51:$K$1483, 5, 0), "")</f>
        <v/>
      </c>
      <c r="C148" s="96" t="str">
        <f ca="1">IF($B148="", "", _xll.IMDP("IR", $B148, "1일", $C$4, "fill=true, disp=date"))</f>
        <v/>
      </c>
      <c r="D148" s="97" t="str">
        <f ca="1">IF($B148="", "", VLOOKUP(ROW()-ROW($B$6), code!$G$51:$K$1483, 2, 0) )</f>
        <v/>
      </c>
      <c r="E148" s="98" t="str">
        <f ca="1">IF($B148="", "", VLOOKUP(ROW()-ROW($B$6), code!$G$51:$K$1483, 3, 0) )</f>
        <v/>
      </c>
      <c r="F148" s="99" t="str">
        <f ca="1">IF($B148="", "", VLOOKUP(ROW()-ROW($B$6), code!$G$51:$K$1483, 4, 0))</f>
        <v/>
      </c>
      <c r="G148" s="100" t="str">
        <f ca="1">IF($B148="", "", IF(_xll.IMDP("IR", $B148, G$6, $C$4, "fill=true")=0, "", _xll.IMDP("IR", $B148, G$6, $C$4, "fill=true")))</f>
        <v/>
      </c>
      <c r="H148" s="101" t="str">
        <f ca="1">IF($B148="", "", IF(_xll.IMDP("IR", $B148, H$6, $C$4, "fill=true")=0, "", _xll.IMDP("IR", $B148, H$6, $C$4, "fill=true")))</f>
        <v/>
      </c>
      <c r="I148" s="101" t="str">
        <f ca="1">IF($B148="", "", IF(_xll.IMDP("IR", $B148, I$6, $C$4, "fill=true")=0, "", _xll.IMDP("IR", $B148, I$6, $C$4, "fill=true")))</f>
        <v/>
      </c>
      <c r="J148" s="101" t="str">
        <f ca="1">IF($B148="", "", IF(_xll.IMDP("IR", $B148, J$6, $C$4, "fill=true")=0, "", _xll.IMDP("IR", $B148, J$6, $C$4, "fill=true")))</f>
        <v/>
      </c>
      <c r="K148" s="101" t="str">
        <f ca="1">IF($B148="", "", IF(_xll.IMDP("IR", $B148, K$6, $C$4, "fill=true")=0, "", _xll.IMDP("IR", $B148, K$6, $C$4, "fill=true")))</f>
        <v/>
      </c>
      <c r="L148" s="101" t="str">
        <f ca="1">IF($B148="", "", IF(_xll.IMDP("IR", $B148, L$6, $C$4, "fill=true")=0, "", _xll.IMDP("IR", $B148, L$6, $C$4, "fill=true")))</f>
        <v/>
      </c>
      <c r="M148" s="101" t="str">
        <f ca="1">IF($B148="", "", IF(_xll.IMDP("IR", $B148, M$6, $C$4, "fill=true")=0, "", _xll.IMDP("IR", $B148, M$6, $C$4, "fill=true")))</f>
        <v/>
      </c>
      <c r="N148" s="101" t="str">
        <f ca="1">IF($B148="", "", IF(_xll.IMDP("IR", $B148, N$6, $C$4, "fill=true")=0, "", _xll.IMDP("IR", $B148, N$6, $C$4, "fill=true")))</f>
        <v/>
      </c>
      <c r="O148" s="101" t="str">
        <f ca="1">IF($B148="", "", IF(_xll.IMDP("IR", $B148, O$6, $C$4, "fill=true")=0, "", _xll.IMDP("IR", $B148, O$6, $C$4, "fill=true")))</f>
        <v/>
      </c>
      <c r="P148" s="101" t="str">
        <f ca="1">IF($B148="", "", IF(_xll.IMDP("IR", $B148, P$6, $C$4, "fill=true")=0, "", _xll.IMDP("IR", $B148, P$6, $C$4, "fill=true")))</f>
        <v/>
      </c>
      <c r="Q148" s="102" t="str">
        <f ca="1">IF($B148="", "", IF(_xll.IMDP("IR", $B148, Q$6, $C$4, "fill=true")=0, "", _xll.IMDP("IR", $B148, Q$6, $C$4, "fill=true")))</f>
        <v/>
      </c>
    </row>
    <row r="149" spans="2:17" s="83" customFormat="1" ht="13.5">
      <c r="B149" s="83" t="str">
        <f ca="1">IFERROR( VLOOKUP(ROW()-ROW($B$6), code!$G$51:$K$1483, 5, 0), "")</f>
        <v/>
      </c>
      <c r="C149" s="96" t="str">
        <f ca="1">IF($B149="", "", _xll.IMDP("IR", $B149, "1일", $C$4, "fill=true, disp=date"))</f>
        <v/>
      </c>
      <c r="D149" s="97" t="str">
        <f ca="1">IF($B149="", "", VLOOKUP(ROW()-ROW($B$6), code!$G$51:$K$1483, 2, 0) )</f>
        <v/>
      </c>
      <c r="E149" s="98" t="str">
        <f ca="1">IF($B149="", "", VLOOKUP(ROW()-ROW($B$6), code!$G$51:$K$1483, 3, 0) )</f>
        <v/>
      </c>
      <c r="F149" s="99" t="str">
        <f ca="1">IF($B149="", "", VLOOKUP(ROW()-ROW($B$6), code!$G$51:$K$1483, 4, 0))</f>
        <v/>
      </c>
      <c r="G149" s="100" t="str">
        <f ca="1">IF($B149="", "", IF(_xll.IMDP("IR", $B149, G$6, $C$4, "fill=true")=0, "", _xll.IMDP("IR", $B149, G$6, $C$4, "fill=true")))</f>
        <v/>
      </c>
      <c r="H149" s="101" t="str">
        <f ca="1">IF($B149="", "", IF(_xll.IMDP("IR", $B149, H$6, $C$4, "fill=true")=0, "", _xll.IMDP("IR", $B149, H$6, $C$4, "fill=true")))</f>
        <v/>
      </c>
      <c r="I149" s="101" t="str">
        <f ca="1">IF($B149="", "", IF(_xll.IMDP("IR", $B149, I$6, $C$4, "fill=true")=0, "", _xll.IMDP("IR", $B149, I$6, $C$4, "fill=true")))</f>
        <v/>
      </c>
      <c r="J149" s="101" t="str">
        <f ca="1">IF($B149="", "", IF(_xll.IMDP("IR", $B149, J$6, $C$4, "fill=true")=0, "", _xll.IMDP("IR", $B149, J$6, $C$4, "fill=true")))</f>
        <v/>
      </c>
      <c r="K149" s="101" t="str">
        <f ca="1">IF($B149="", "", IF(_xll.IMDP("IR", $B149, K$6, $C$4, "fill=true")=0, "", _xll.IMDP("IR", $B149, K$6, $C$4, "fill=true")))</f>
        <v/>
      </c>
      <c r="L149" s="101" t="str">
        <f ca="1">IF($B149="", "", IF(_xll.IMDP("IR", $B149, L$6, $C$4, "fill=true")=0, "", _xll.IMDP("IR", $B149, L$6, $C$4, "fill=true")))</f>
        <v/>
      </c>
      <c r="M149" s="101" t="str">
        <f ca="1">IF($B149="", "", IF(_xll.IMDP("IR", $B149, M$6, $C$4, "fill=true")=0, "", _xll.IMDP("IR", $B149, M$6, $C$4, "fill=true")))</f>
        <v/>
      </c>
      <c r="N149" s="101" t="str">
        <f ca="1">IF($B149="", "", IF(_xll.IMDP("IR", $B149, N$6, $C$4, "fill=true")=0, "", _xll.IMDP("IR", $B149, N$6, $C$4, "fill=true")))</f>
        <v/>
      </c>
      <c r="O149" s="101" t="str">
        <f ca="1">IF($B149="", "", IF(_xll.IMDP("IR", $B149, O$6, $C$4, "fill=true")=0, "", _xll.IMDP("IR", $B149, O$6, $C$4, "fill=true")))</f>
        <v/>
      </c>
      <c r="P149" s="101" t="str">
        <f ca="1">IF($B149="", "", IF(_xll.IMDP("IR", $B149, P$6, $C$4, "fill=true")=0, "", _xll.IMDP("IR", $B149, P$6, $C$4, "fill=true")))</f>
        <v/>
      </c>
      <c r="Q149" s="102" t="str">
        <f ca="1">IF($B149="", "", IF(_xll.IMDP("IR", $B149, Q$6, $C$4, "fill=true")=0, "", _xll.IMDP("IR", $B149, Q$6, $C$4, "fill=true")))</f>
        <v/>
      </c>
    </row>
    <row r="150" spans="2:17" s="83" customFormat="1" ht="13.5">
      <c r="B150" s="83" t="str">
        <f ca="1">IFERROR( VLOOKUP(ROW()-ROW($B$6), code!$G$51:$K$1483, 5, 0), "")</f>
        <v/>
      </c>
      <c r="C150" s="96" t="str">
        <f ca="1">IF($B150="", "", _xll.IMDP("IR", $B150, "1일", $C$4, "fill=true, disp=date"))</f>
        <v/>
      </c>
      <c r="D150" s="97" t="str">
        <f ca="1">IF($B150="", "", VLOOKUP(ROW()-ROW($B$6), code!$G$51:$K$1483, 2, 0) )</f>
        <v/>
      </c>
      <c r="E150" s="98" t="str">
        <f ca="1">IF($B150="", "", VLOOKUP(ROW()-ROW($B$6), code!$G$51:$K$1483, 3, 0) )</f>
        <v/>
      </c>
      <c r="F150" s="99" t="str">
        <f ca="1">IF($B150="", "", VLOOKUP(ROW()-ROW($B$6), code!$G$51:$K$1483, 4, 0))</f>
        <v/>
      </c>
      <c r="G150" s="100" t="str">
        <f ca="1">IF($B150="", "", IF(_xll.IMDP("IR", $B150, G$6, $C$4, "fill=true")=0, "", _xll.IMDP("IR", $B150, G$6, $C$4, "fill=true")))</f>
        <v/>
      </c>
      <c r="H150" s="101" t="str">
        <f ca="1">IF($B150="", "", IF(_xll.IMDP("IR", $B150, H$6, $C$4, "fill=true")=0, "", _xll.IMDP("IR", $B150, H$6, $C$4, "fill=true")))</f>
        <v/>
      </c>
      <c r="I150" s="101" t="str">
        <f ca="1">IF($B150="", "", IF(_xll.IMDP("IR", $B150, I$6, $C$4, "fill=true")=0, "", _xll.IMDP("IR", $B150, I$6, $C$4, "fill=true")))</f>
        <v/>
      </c>
      <c r="J150" s="101" t="str">
        <f ca="1">IF($B150="", "", IF(_xll.IMDP("IR", $B150, J$6, $C$4, "fill=true")=0, "", _xll.IMDP("IR", $B150, J$6, $C$4, "fill=true")))</f>
        <v/>
      </c>
      <c r="K150" s="101" t="str">
        <f ca="1">IF($B150="", "", IF(_xll.IMDP("IR", $B150, K$6, $C$4, "fill=true")=0, "", _xll.IMDP("IR", $B150, K$6, $C$4, "fill=true")))</f>
        <v/>
      </c>
      <c r="L150" s="101" t="str">
        <f ca="1">IF($B150="", "", IF(_xll.IMDP("IR", $B150, L$6, $C$4, "fill=true")=0, "", _xll.IMDP("IR", $B150, L$6, $C$4, "fill=true")))</f>
        <v/>
      </c>
      <c r="M150" s="101" t="str">
        <f ca="1">IF($B150="", "", IF(_xll.IMDP("IR", $B150, M$6, $C$4, "fill=true")=0, "", _xll.IMDP("IR", $B150, M$6, $C$4, "fill=true")))</f>
        <v/>
      </c>
      <c r="N150" s="101" t="str">
        <f ca="1">IF($B150="", "", IF(_xll.IMDP("IR", $B150, N$6, $C$4, "fill=true")=0, "", _xll.IMDP("IR", $B150, N$6, $C$4, "fill=true")))</f>
        <v/>
      </c>
      <c r="O150" s="101" t="str">
        <f ca="1">IF($B150="", "", IF(_xll.IMDP("IR", $B150, O$6, $C$4, "fill=true")=0, "", _xll.IMDP("IR", $B150, O$6, $C$4, "fill=true")))</f>
        <v/>
      </c>
      <c r="P150" s="101" t="str">
        <f ca="1">IF($B150="", "", IF(_xll.IMDP("IR", $B150, P$6, $C$4, "fill=true")=0, "", _xll.IMDP("IR", $B150, P$6, $C$4, "fill=true")))</f>
        <v/>
      </c>
      <c r="Q150" s="102" t="str">
        <f ca="1">IF($B150="", "", IF(_xll.IMDP("IR", $B150, Q$6, $C$4, "fill=true")=0, "", _xll.IMDP("IR", $B150, Q$6, $C$4, "fill=true")))</f>
        <v/>
      </c>
    </row>
    <row r="151" spans="2:17" s="83" customFormat="1" ht="13.5">
      <c r="B151" s="83" t="str">
        <f ca="1">IFERROR( VLOOKUP(ROW()-ROW($B$6), code!$G$51:$K$1483, 5, 0), "")</f>
        <v/>
      </c>
      <c r="C151" s="96" t="str">
        <f ca="1">IF($B151="", "", _xll.IMDP("IR", $B151, "1일", $C$4, "fill=true, disp=date"))</f>
        <v/>
      </c>
      <c r="D151" s="97" t="str">
        <f ca="1">IF($B151="", "", VLOOKUP(ROW()-ROW($B$6), code!$G$51:$K$1483, 2, 0) )</f>
        <v/>
      </c>
      <c r="E151" s="98" t="str">
        <f ca="1">IF($B151="", "", VLOOKUP(ROW()-ROW($B$6), code!$G$51:$K$1483, 3, 0) )</f>
        <v/>
      </c>
      <c r="F151" s="99" t="str">
        <f ca="1">IF($B151="", "", VLOOKUP(ROW()-ROW($B$6), code!$G$51:$K$1483, 4, 0))</f>
        <v/>
      </c>
      <c r="G151" s="100" t="str">
        <f ca="1">IF($B151="", "", IF(_xll.IMDP("IR", $B151, G$6, $C$4, "fill=true")=0, "", _xll.IMDP("IR", $B151, G$6, $C$4, "fill=true")))</f>
        <v/>
      </c>
      <c r="H151" s="101" t="str">
        <f ca="1">IF($B151="", "", IF(_xll.IMDP("IR", $B151, H$6, $C$4, "fill=true")=0, "", _xll.IMDP("IR", $B151, H$6, $C$4, "fill=true")))</f>
        <v/>
      </c>
      <c r="I151" s="101" t="str">
        <f ca="1">IF($B151="", "", IF(_xll.IMDP("IR", $B151, I$6, $C$4, "fill=true")=0, "", _xll.IMDP("IR", $B151, I$6, $C$4, "fill=true")))</f>
        <v/>
      </c>
      <c r="J151" s="101" t="str">
        <f ca="1">IF($B151="", "", IF(_xll.IMDP("IR", $B151, J$6, $C$4, "fill=true")=0, "", _xll.IMDP("IR", $B151, J$6, $C$4, "fill=true")))</f>
        <v/>
      </c>
      <c r="K151" s="101" t="str">
        <f ca="1">IF($B151="", "", IF(_xll.IMDP("IR", $B151, K$6, $C$4, "fill=true")=0, "", _xll.IMDP("IR", $B151, K$6, $C$4, "fill=true")))</f>
        <v/>
      </c>
      <c r="L151" s="101" t="str">
        <f ca="1">IF($B151="", "", IF(_xll.IMDP("IR", $B151, L$6, $C$4, "fill=true")=0, "", _xll.IMDP("IR", $B151, L$6, $C$4, "fill=true")))</f>
        <v/>
      </c>
      <c r="M151" s="101" t="str">
        <f ca="1">IF($B151="", "", IF(_xll.IMDP("IR", $B151, M$6, $C$4, "fill=true")=0, "", _xll.IMDP("IR", $B151, M$6, $C$4, "fill=true")))</f>
        <v/>
      </c>
      <c r="N151" s="101" t="str">
        <f ca="1">IF($B151="", "", IF(_xll.IMDP("IR", $B151, N$6, $C$4, "fill=true")=0, "", _xll.IMDP("IR", $B151, N$6, $C$4, "fill=true")))</f>
        <v/>
      </c>
      <c r="O151" s="101" t="str">
        <f ca="1">IF($B151="", "", IF(_xll.IMDP("IR", $B151, O$6, $C$4, "fill=true")=0, "", _xll.IMDP("IR", $B151, O$6, $C$4, "fill=true")))</f>
        <v/>
      </c>
      <c r="P151" s="101" t="str">
        <f ca="1">IF($B151="", "", IF(_xll.IMDP("IR", $B151, P$6, $C$4, "fill=true")=0, "", _xll.IMDP("IR", $B151, P$6, $C$4, "fill=true")))</f>
        <v/>
      </c>
      <c r="Q151" s="102" t="str">
        <f ca="1">IF($B151="", "", IF(_xll.IMDP("IR", $B151, Q$6, $C$4, "fill=true")=0, "", _xll.IMDP("IR", $B151, Q$6, $C$4, "fill=true")))</f>
        <v/>
      </c>
    </row>
    <row r="152" spans="2:17" s="83" customFormat="1" ht="13.5">
      <c r="B152" s="83" t="str">
        <f ca="1">IFERROR( VLOOKUP(ROW()-ROW($B$6), code!$G$51:$K$1483, 5, 0), "")</f>
        <v/>
      </c>
      <c r="C152" s="96" t="str">
        <f ca="1">IF($B152="", "", _xll.IMDP("IR", $B152, "1일", $C$4, "fill=true, disp=date"))</f>
        <v/>
      </c>
      <c r="D152" s="97" t="str">
        <f ca="1">IF($B152="", "", VLOOKUP(ROW()-ROW($B$6), code!$G$51:$K$1483, 2, 0) )</f>
        <v/>
      </c>
      <c r="E152" s="98" t="str">
        <f ca="1">IF($B152="", "", VLOOKUP(ROW()-ROW($B$6), code!$G$51:$K$1483, 3, 0) )</f>
        <v/>
      </c>
      <c r="F152" s="99" t="str">
        <f ca="1">IF($B152="", "", VLOOKUP(ROW()-ROW($B$6), code!$G$51:$K$1483, 4, 0))</f>
        <v/>
      </c>
      <c r="G152" s="100" t="str">
        <f ca="1">IF($B152="", "", IF(_xll.IMDP("IR", $B152, G$6, $C$4, "fill=true")=0, "", _xll.IMDP("IR", $B152, G$6, $C$4, "fill=true")))</f>
        <v/>
      </c>
      <c r="H152" s="101" t="str">
        <f ca="1">IF($B152="", "", IF(_xll.IMDP("IR", $B152, H$6, $C$4, "fill=true")=0, "", _xll.IMDP("IR", $B152, H$6, $C$4, "fill=true")))</f>
        <v/>
      </c>
      <c r="I152" s="101" t="str">
        <f ca="1">IF($B152="", "", IF(_xll.IMDP("IR", $B152, I$6, $C$4, "fill=true")=0, "", _xll.IMDP("IR", $B152, I$6, $C$4, "fill=true")))</f>
        <v/>
      </c>
      <c r="J152" s="101" t="str">
        <f ca="1">IF($B152="", "", IF(_xll.IMDP("IR", $B152, J$6, $C$4, "fill=true")=0, "", _xll.IMDP("IR", $B152, J$6, $C$4, "fill=true")))</f>
        <v/>
      </c>
      <c r="K152" s="101" t="str">
        <f ca="1">IF($B152="", "", IF(_xll.IMDP("IR", $B152, K$6, $C$4, "fill=true")=0, "", _xll.IMDP("IR", $B152, K$6, $C$4, "fill=true")))</f>
        <v/>
      </c>
      <c r="L152" s="101" t="str">
        <f ca="1">IF($B152="", "", IF(_xll.IMDP("IR", $B152, L$6, $C$4, "fill=true")=0, "", _xll.IMDP("IR", $B152, L$6, $C$4, "fill=true")))</f>
        <v/>
      </c>
      <c r="M152" s="101" t="str">
        <f ca="1">IF($B152="", "", IF(_xll.IMDP("IR", $B152, M$6, $C$4, "fill=true")=0, "", _xll.IMDP("IR", $B152, M$6, $C$4, "fill=true")))</f>
        <v/>
      </c>
      <c r="N152" s="101" t="str">
        <f ca="1">IF($B152="", "", IF(_xll.IMDP("IR", $B152, N$6, $C$4, "fill=true")=0, "", _xll.IMDP("IR", $B152, N$6, $C$4, "fill=true")))</f>
        <v/>
      </c>
      <c r="O152" s="101" t="str">
        <f ca="1">IF($B152="", "", IF(_xll.IMDP("IR", $B152, O$6, $C$4, "fill=true")=0, "", _xll.IMDP("IR", $B152, O$6, $C$4, "fill=true")))</f>
        <v/>
      </c>
      <c r="P152" s="101" t="str">
        <f ca="1">IF($B152="", "", IF(_xll.IMDP("IR", $B152, P$6, $C$4, "fill=true")=0, "", _xll.IMDP("IR", $B152, P$6, $C$4, "fill=true")))</f>
        <v/>
      </c>
      <c r="Q152" s="102" t="str">
        <f ca="1">IF($B152="", "", IF(_xll.IMDP("IR", $B152, Q$6, $C$4, "fill=true")=0, "", _xll.IMDP("IR", $B152, Q$6, $C$4, "fill=true")))</f>
        <v/>
      </c>
    </row>
    <row r="153" spans="2:17" s="83" customFormat="1" ht="13.5">
      <c r="B153" s="83" t="str">
        <f ca="1">IFERROR( VLOOKUP(ROW()-ROW($B$6), code!$G$51:$K$1483, 5, 0), "")</f>
        <v/>
      </c>
      <c r="C153" s="96" t="str">
        <f ca="1">IF($B153="", "", _xll.IMDP("IR", $B153, "1일", $C$4, "fill=true, disp=date"))</f>
        <v/>
      </c>
      <c r="D153" s="97" t="str">
        <f ca="1">IF($B153="", "", VLOOKUP(ROW()-ROW($B$6), code!$G$51:$K$1483, 2, 0) )</f>
        <v/>
      </c>
      <c r="E153" s="98" t="str">
        <f ca="1">IF($B153="", "", VLOOKUP(ROW()-ROW($B$6), code!$G$51:$K$1483, 3, 0) )</f>
        <v/>
      </c>
      <c r="F153" s="99" t="str">
        <f ca="1">IF($B153="", "", VLOOKUP(ROW()-ROW($B$6), code!$G$51:$K$1483, 4, 0))</f>
        <v/>
      </c>
      <c r="G153" s="100" t="str">
        <f ca="1">IF($B153="", "", IF(_xll.IMDP("IR", $B153, G$6, $C$4, "fill=true")=0, "", _xll.IMDP("IR", $B153, G$6, $C$4, "fill=true")))</f>
        <v/>
      </c>
      <c r="H153" s="101" t="str">
        <f ca="1">IF($B153="", "", IF(_xll.IMDP("IR", $B153, H$6, $C$4, "fill=true")=0, "", _xll.IMDP("IR", $B153, H$6, $C$4, "fill=true")))</f>
        <v/>
      </c>
      <c r="I153" s="101" t="str">
        <f ca="1">IF($B153="", "", IF(_xll.IMDP("IR", $B153, I$6, $C$4, "fill=true")=0, "", _xll.IMDP("IR", $B153, I$6, $C$4, "fill=true")))</f>
        <v/>
      </c>
      <c r="J153" s="101" t="str">
        <f ca="1">IF($B153="", "", IF(_xll.IMDP("IR", $B153, J$6, $C$4, "fill=true")=0, "", _xll.IMDP("IR", $B153, J$6, $C$4, "fill=true")))</f>
        <v/>
      </c>
      <c r="K153" s="101" t="str">
        <f ca="1">IF($B153="", "", IF(_xll.IMDP("IR", $B153, K$6, $C$4, "fill=true")=0, "", _xll.IMDP("IR", $B153, K$6, $C$4, "fill=true")))</f>
        <v/>
      </c>
      <c r="L153" s="101" t="str">
        <f ca="1">IF($B153="", "", IF(_xll.IMDP("IR", $B153, L$6, $C$4, "fill=true")=0, "", _xll.IMDP("IR", $B153, L$6, $C$4, "fill=true")))</f>
        <v/>
      </c>
      <c r="M153" s="101" t="str">
        <f ca="1">IF($B153="", "", IF(_xll.IMDP("IR", $B153, M$6, $C$4, "fill=true")=0, "", _xll.IMDP("IR", $B153, M$6, $C$4, "fill=true")))</f>
        <v/>
      </c>
      <c r="N153" s="101" t="str">
        <f ca="1">IF($B153="", "", IF(_xll.IMDP("IR", $B153, N$6, $C$4, "fill=true")=0, "", _xll.IMDP("IR", $B153, N$6, $C$4, "fill=true")))</f>
        <v/>
      </c>
      <c r="O153" s="101" t="str">
        <f ca="1">IF($B153="", "", IF(_xll.IMDP("IR", $B153, O$6, $C$4, "fill=true")=0, "", _xll.IMDP("IR", $B153, O$6, $C$4, "fill=true")))</f>
        <v/>
      </c>
      <c r="P153" s="101" t="str">
        <f ca="1">IF($B153="", "", IF(_xll.IMDP("IR", $B153, P$6, $C$4, "fill=true")=0, "", _xll.IMDP("IR", $B153, P$6, $C$4, "fill=true")))</f>
        <v/>
      </c>
      <c r="Q153" s="102" t="str">
        <f ca="1">IF($B153="", "", IF(_xll.IMDP("IR", $B153, Q$6, $C$4, "fill=true")=0, "", _xll.IMDP("IR", $B153, Q$6, $C$4, "fill=true")))</f>
        <v/>
      </c>
    </row>
    <row r="154" spans="2:17" s="83" customFormat="1" ht="13.5">
      <c r="B154" s="83" t="str">
        <f ca="1">IFERROR( VLOOKUP(ROW()-ROW($B$6), code!$G$51:$K$1483, 5, 0), "")</f>
        <v/>
      </c>
      <c r="C154" s="96" t="str">
        <f ca="1">IF($B154="", "", _xll.IMDP("IR", $B154, "1일", $C$4, "fill=true, disp=date"))</f>
        <v/>
      </c>
      <c r="D154" s="97" t="str">
        <f ca="1">IF($B154="", "", VLOOKUP(ROW()-ROW($B$6), code!$G$51:$K$1483, 2, 0) )</f>
        <v/>
      </c>
      <c r="E154" s="98" t="str">
        <f ca="1">IF($B154="", "", VLOOKUP(ROW()-ROW($B$6), code!$G$51:$K$1483, 3, 0) )</f>
        <v/>
      </c>
      <c r="F154" s="99" t="str">
        <f ca="1">IF($B154="", "", VLOOKUP(ROW()-ROW($B$6), code!$G$51:$K$1483, 4, 0))</f>
        <v/>
      </c>
      <c r="G154" s="100" t="str">
        <f ca="1">IF($B154="", "", IF(_xll.IMDP("IR", $B154, G$6, $C$4, "fill=true")=0, "", _xll.IMDP("IR", $B154, G$6, $C$4, "fill=true")))</f>
        <v/>
      </c>
      <c r="H154" s="101" t="str">
        <f ca="1">IF($B154="", "", IF(_xll.IMDP("IR", $B154, H$6, $C$4, "fill=true")=0, "", _xll.IMDP("IR", $B154, H$6, $C$4, "fill=true")))</f>
        <v/>
      </c>
      <c r="I154" s="101" t="str">
        <f ca="1">IF($B154="", "", IF(_xll.IMDP("IR", $B154, I$6, $C$4, "fill=true")=0, "", _xll.IMDP("IR", $B154, I$6, $C$4, "fill=true")))</f>
        <v/>
      </c>
      <c r="J154" s="101" t="str">
        <f ca="1">IF($B154="", "", IF(_xll.IMDP("IR", $B154, J$6, $C$4, "fill=true")=0, "", _xll.IMDP("IR", $B154, J$6, $C$4, "fill=true")))</f>
        <v/>
      </c>
      <c r="K154" s="101" t="str">
        <f ca="1">IF($B154="", "", IF(_xll.IMDP("IR", $B154, K$6, $C$4, "fill=true")=0, "", _xll.IMDP("IR", $B154, K$6, $C$4, "fill=true")))</f>
        <v/>
      </c>
      <c r="L154" s="101" t="str">
        <f ca="1">IF($B154="", "", IF(_xll.IMDP("IR", $B154, L$6, $C$4, "fill=true")=0, "", _xll.IMDP("IR", $B154, L$6, $C$4, "fill=true")))</f>
        <v/>
      </c>
      <c r="M154" s="101" t="str">
        <f ca="1">IF($B154="", "", IF(_xll.IMDP("IR", $B154, M$6, $C$4, "fill=true")=0, "", _xll.IMDP("IR", $B154, M$6, $C$4, "fill=true")))</f>
        <v/>
      </c>
      <c r="N154" s="101" t="str">
        <f ca="1">IF($B154="", "", IF(_xll.IMDP("IR", $B154, N$6, $C$4, "fill=true")=0, "", _xll.IMDP("IR", $B154, N$6, $C$4, "fill=true")))</f>
        <v/>
      </c>
      <c r="O154" s="101" t="str">
        <f ca="1">IF($B154="", "", IF(_xll.IMDP("IR", $B154, O$6, $C$4, "fill=true")=0, "", _xll.IMDP("IR", $B154, O$6, $C$4, "fill=true")))</f>
        <v/>
      </c>
      <c r="P154" s="101" t="str">
        <f ca="1">IF($B154="", "", IF(_xll.IMDP("IR", $B154, P$6, $C$4, "fill=true")=0, "", _xll.IMDP("IR", $B154, P$6, $C$4, "fill=true")))</f>
        <v/>
      </c>
      <c r="Q154" s="102" t="str">
        <f ca="1">IF($B154="", "", IF(_xll.IMDP("IR", $B154, Q$6, $C$4, "fill=true")=0, "", _xll.IMDP("IR", $B154, Q$6, $C$4, "fill=true")))</f>
        <v/>
      </c>
    </row>
    <row r="155" spans="2:17" s="83" customFormat="1" ht="13.5">
      <c r="B155" s="83" t="str">
        <f ca="1">IFERROR( VLOOKUP(ROW()-ROW($B$6), code!$G$51:$K$1483, 5, 0), "")</f>
        <v/>
      </c>
      <c r="C155" s="96" t="str">
        <f ca="1">IF($B155="", "", _xll.IMDP("IR", $B155, "1일", $C$4, "fill=true, disp=date"))</f>
        <v/>
      </c>
      <c r="D155" s="97" t="str">
        <f ca="1">IF($B155="", "", VLOOKUP(ROW()-ROW($B$6), code!$G$51:$K$1483, 2, 0) )</f>
        <v/>
      </c>
      <c r="E155" s="98" t="str">
        <f ca="1">IF($B155="", "", VLOOKUP(ROW()-ROW($B$6), code!$G$51:$K$1483, 3, 0) )</f>
        <v/>
      </c>
      <c r="F155" s="99" t="str">
        <f ca="1">IF($B155="", "", VLOOKUP(ROW()-ROW($B$6), code!$G$51:$K$1483, 4, 0))</f>
        <v/>
      </c>
      <c r="G155" s="100" t="str">
        <f ca="1">IF($B155="", "", IF(_xll.IMDP("IR", $B155, G$6, $C$4, "fill=true")=0, "", _xll.IMDP("IR", $B155, G$6, $C$4, "fill=true")))</f>
        <v/>
      </c>
      <c r="H155" s="101" t="str">
        <f ca="1">IF($B155="", "", IF(_xll.IMDP("IR", $B155, H$6, $C$4, "fill=true")=0, "", _xll.IMDP("IR", $B155, H$6, $C$4, "fill=true")))</f>
        <v/>
      </c>
      <c r="I155" s="101" t="str">
        <f ca="1">IF($B155="", "", IF(_xll.IMDP("IR", $B155, I$6, $C$4, "fill=true")=0, "", _xll.IMDP("IR", $B155, I$6, $C$4, "fill=true")))</f>
        <v/>
      </c>
      <c r="J155" s="101" t="str">
        <f ca="1">IF($B155="", "", IF(_xll.IMDP("IR", $B155, J$6, $C$4, "fill=true")=0, "", _xll.IMDP("IR", $B155, J$6, $C$4, "fill=true")))</f>
        <v/>
      </c>
      <c r="K155" s="101" t="str">
        <f ca="1">IF($B155="", "", IF(_xll.IMDP("IR", $B155, K$6, $C$4, "fill=true")=0, "", _xll.IMDP("IR", $B155, K$6, $C$4, "fill=true")))</f>
        <v/>
      </c>
      <c r="L155" s="101" t="str">
        <f ca="1">IF($B155="", "", IF(_xll.IMDP("IR", $B155, L$6, $C$4, "fill=true")=0, "", _xll.IMDP("IR", $B155, L$6, $C$4, "fill=true")))</f>
        <v/>
      </c>
      <c r="M155" s="101" t="str">
        <f ca="1">IF($B155="", "", IF(_xll.IMDP("IR", $B155, M$6, $C$4, "fill=true")=0, "", _xll.IMDP("IR", $B155, M$6, $C$4, "fill=true")))</f>
        <v/>
      </c>
      <c r="N155" s="101" t="str">
        <f ca="1">IF($B155="", "", IF(_xll.IMDP("IR", $B155, N$6, $C$4, "fill=true")=0, "", _xll.IMDP("IR", $B155, N$6, $C$4, "fill=true")))</f>
        <v/>
      </c>
      <c r="O155" s="101" t="str">
        <f ca="1">IF($B155="", "", IF(_xll.IMDP("IR", $B155, O$6, $C$4, "fill=true")=0, "", _xll.IMDP("IR", $B155, O$6, $C$4, "fill=true")))</f>
        <v/>
      </c>
      <c r="P155" s="101" t="str">
        <f ca="1">IF($B155="", "", IF(_xll.IMDP("IR", $B155, P$6, $C$4, "fill=true")=0, "", _xll.IMDP("IR", $B155, P$6, $C$4, "fill=true")))</f>
        <v/>
      </c>
      <c r="Q155" s="102" t="str">
        <f ca="1">IF($B155="", "", IF(_xll.IMDP("IR", $B155, Q$6, $C$4, "fill=true")=0, "", _xll.IMDP("IR", $B155, Q$6, $C$4, "fill=true")))</f>
        <v/>
      </c>
    </row>
    <row r="156" spans="2:17" s="83" customFormat="1" ht="13.5">
      <c r="B156" s="83" t="str">
        <f ca="1">IFERROR( VLOOKUP(ROW()-ROW($B$6), code!$G$51:$K$1483, 5, 0), "")</f>
        <v/>
      </c>
      <c r="C156" s="96" t="str">
        <f ca="1">IF($B156="", "", _xll.IMDP("IR", $B156, "1일", $C$4, "fill=true, disp=date"))</f>
        <v/>
      </c>
      <c r="D156" s="97" t="str">
        <f ca="1">IF($B156="", "", VLOOKUP(ROW()-ROW($B$6), code!$G$51:$K$1483, 2, 0) )</f>
        <v/>
      </c>
      <c r="E156" s="98" t="str">
        <f ca="1">IF($B156="", "", VLOOKUP(ROW()-ROW($B$6), code!$G$51:$K$1483, 3, 0) )</f>
        <v/>
      </c>
      <c r="F156" s="99" t="str">
        <f ca="1">IF($B156="", "", VLOOKUP(ROW()-ROW($B$6), code!$G$51:$K$1483, 4, 0))</f>
        <v/>
      </c>
      <c r="G156" s="100" t="str">
        <f ca="1">IF($B156="", "", IF(_xll.IMDP("IR", $B156, G$6, $C$4, "fill=true")=0, "", _xll.IMDP("IR", $B156, G$6, $C$4, "fill=true")))</f>
        <v/>
      </c>
      <c r="H156" s="101" t="str">
        <f ca="1">IF($B156="", "", IF(_xll.IMDP("IR", $B156, H$6, $C$4, "fill=true")=0, "", _xll.IMDP("IR", $B156, H$6, $C$4, "fill=true")))</f>
        <v/>
      </c>
      <c r="I156" s="101" t="str">
        <f ca="1">IF($B156="", "", IF(_xll.IMDP("IR", $B156, I$6, $C$4, "fill=true")=0, "", _xll.IMDP("IR", $B156, I$6, $C$4, "fill=true")))</f>
        <v/>
      </c>
      <c r="J156" s="101" t="str">
        <f ca="1">IF($B156="", "", IF(_xll.IMDP("IR", $B156, J$6, $C$4, "fill=true")=0, "", _xll.IMDP("IR", $B156, J$6, $C$4, "fill=true")))</f>
        <v/>
      </c>
      <c r="K156" s="101" t="str">
        <f ca="1">IF($B156="", "", IF(_xll.IMDP("IR", $B156, K$6, $C$4, "fill=true")=0, "", _xll.IMDP("IR", $B156, K$6, $C$4, "fill=true")))</f>
        <v/>
      </c>
      <c r="L156" s="101" t="str">
        <f ca="1">IF($B156="", "", IF(_xll.IMDP("IR", $B156, L$6, $C$4, "fill=true")=0, "", _xll.IMDP("IR", $B156, L$6, $C$4, "fill=true")))</f>
        <v/>
      </c>
      <c r="M156" s="101" t="str">
        <f ca="1">IF($B156="", "", IF(_xll.IMDP("IR", $B156, M$6, $C$4, "fill=true")=0, "", _xll.IMDP("IR", $B156, M$6, $C$4, "fill=true")))</f>
        <v/>
      </c>
      <c r="N156" s="101" t="str">
        <f ca="1">IF($B156="", "", IF(_xll.IMDP("IR", $B156, N$6, $C$4, "fill=true")=0, "", _xll.IMDP("IR", $B156, N$6, $C$4, "fill=true")))</f>
        <v/>
      </c>
      <c r="O156" s="101" t="str">
        <f ca="1">IF($B156="", "", IF(_xll.IMDP("IR", $B156, O$6, $C$4, "fill=true")=0, "", _xll.IMDP("IR", $B156, O$6, $C$4, "fill=true")))</f>
        <v/>
      </c>
      <c r="P156" s="101" t="str">
        <f ca="1">IF($B156="", "", IF(_xll.IMDP("IR", $B156, P$6, $C$4, "fill=true")=0, "", _xll.IMDP("IR", $B156, P$6, $C$4, "fill=true")))</f>
        <v/>
      </c>
      <c r="Q156" s="102" t="str">
        <f ca="1">IF($B156="", "", IF(_xll.IMDP("IR", $B156, Q$6, $C$4, "fill=true")=0, "", _xll.IMDP("IR", $B156, Q$6, $C$4, "fill=true")))</f>
        <v/>
      </c>
    </row>
    <row r="157" spans="2:17" s="83" customFormat="1" ht="13.5">
      <c r="B157" s="83" t="str">
        <f ca="1">IFERROR( VLOOKUP(ROW()-ROW($B$6), code!$G$51:$K$1483, 5, 0), "")</f>
        <v/>
      </c>
      <c r="C157" s="96" t="str">
        <f ca="1">IF($B157="", "", _xll.IMDP("IR", $B157, "1일", $C$4, "fill=true, disp=date"))</f>
        <v/>
      </c>
      <c r="D157" s="97" t="str">
        <f ca="1">IF($B157="", "", VLOOKUP(ROW()-ROW($B$6), code!$G$51:$K$1483, 2, 0) )</f>
        <v/>
      </c>
      <c r="E157" s="98" t="str">
        <f ca="1">IF($B157="", "", VLOOKUP(ROW()-ROW($B$6), code!$G$51:$K$1483, 3, 0) )</f>
        <v/>
      </c>
      <c r="F157" s="99" t="str">
        <f ca="1">IF($B157="", "", VLOOKUP(ROW()-ROW($B$6), code!$G$51:$K$1483, 4, 0))</f>
        <v/>
      </c>
      <c r="G157" s="100" t="str">
        <f ca="1">IF($B157="", "", IF(_xll.IMDP("IR", $B157, G$6, $C$4, "fill=true")=0, "", _xll.IMDP("IR", $B157, G$6, $C$4, "fill=true")))</f>
        <v/>
      </c>
      <c r="H157" s="101" t="str">
        <f ca="1">IF($B157="", "", IF(_xll.IMDP("IR", $B157, H$6, $C$4, "fill=true")=0, "", _xll.IMDP("IR", $B157, H$6, $C$4, "fill=true")))</f>
        <v/>
      </c>
      <c r="I157" s="101" t="str">
        <f ca="1">IF($B157="", "", IF(_xll.IMDP("IR", $B157, I$6, $C$4, "fill=true")=0, "", _xll.IMDP("IR", $B157, I$6, $C$4, "fill=true")))</f>
        <v/>
      </c>
      <c r="J157" s="101" t="str">
        <f ca="1">IF($B157="", "", IF(_xll.IMDP("IR", $B157, J$6, $C$4, "fill=true")=0, "", _xll.IMDP("IR", $B157, J$6, $C$4, "fill=true")))</f>
        <v/>
      </c>
      <c r="K157" s="101" t="str">
        <f ca="1">IF($B157="", "", IF(_xll.IMDP("IR", $B157, K$6, $C$4, "fill=true")=0, "", _xll.IMDP("IR", $B157, K$6, $C$4, "fill=true")))</f>
        <v/>
      </c>
      <c r="L157" s="101" t="str">
        <f ca="1">IF($B157="", "", IF(_xll.IMDP("IR", $B157, L$6, $C$4, "fill=true")=0, "", _xll.IMDP("IR", $B157, L$6, $C$4, "fill=true")))</f>
        <v/>
      </c>
      <c r="M157" s="101" t="str">
        <f ca="1">IF($B157="", "", IF(_xll.IMDP("IR", $B157, M$6, $C$4, "fill=true")=0, "", _xll.IMDP("IR", $B157, M$6, $C$4, "fill=true")))</f>
        <v/>
      </c>
      <c r="N157" s="101" t="str">
        <f ca="1">IF($B157="", "", IF(_xll.IMDP("IR", $B157, N$6, $C$4, "fill=true")=0, "", _xll.IMDP("IR", $B157, N$6, $C$4, "fill=true")))</f>
        <v/>
      </c>
      <c r="O157" s="101" t="str">
        <f ca="1">IF($B157="", "", IF(_xll.IMDP("IR", $B157, O$6, $C$4, "fill=true")=0, "", _xll.IMDP("IR", $B157, O$6, $C$4, "fill=true")))</f>
        <v/>
      </c>
      <c r="P157" s="101" t="str">
        <f ca="1">IF($B157="", "", IF(_xll.IMDP("IR", $B157, P$6, $C$4, "fill=true")=0, "", _xll.IMDP("IR", $B157, P$6, $C$4, "fill=true")))</f>
        <v/>
      </c>
      <c r="Q157" s="102" t="str">
        <f ca="1">IF($B157="", "", IF(_xll.IMDP("IR", $B157, Q$6, $C$4, "fill=true")=0, "", _xll.IMDP("IR", $B157, Q$6, $C$4, "fill=true")))</f>
        <v/>
      </c>
    </row>
    <row r="158" spans="2:17" s="83" customFormat="1" ht="13.5">
      <c r="B158" s="83" t="str">
        <f ca="1">IFERROR( VLOOKUP(ROW()-ROW($B$6), code!$G$51:$K$1483, 5, 0), "")</f>
        <v/>
      </c>
      <c r="C158" s="96" t="str">
        <f ca="1">IF($B158="", "", _xll.IMDP("IR", $B158, "1일", $C$4, "fill=true, disp=date"))</f>
        <v/>
      </c>
      <c r="D158" s="97" t="str">
        <f ca="1">IF($B158="", "", VLOOKUP(ROW()-ROW($B$6), code!$G$51:$K$1483, 2, 0) )</f>
        <v/>
      </c>
      <c r="E158" s="98" t="str">
        <f ca="1">IF($B158="", "", VLOOKUP(ROW()-ROW($B$6), code!$G$51:$K$1483, 3, 0) )</f>
        <v/>
      </c>
      <c r="F158" s="99" t="str">
        <f ca="1">IF($B158="", "", VLOOKUP(ROW()-ROW($B$6), code!$G$51:$K$1483, 4, 0))</f>
        <v/>
      </c>
      <c r="G158" s="100" t="str">
        <f ca="1">IF($B158="", "", IF(_xll.IMDP("IR", $B158, G$6, $C$4, "fill=true")=0, "", _xll.IMDP("IR", $B158, G$6, $C$4, "fill=true")))</f>
        <v/>
      </c>
      <c r="H158" s="101" t="str">
        <f ca="1">IF($B158="", "", IF(_xll.IMDP("IR", $B158, H$6, $C$4, "fill=true")=0, "", _xll.IMDP("IR", $B158, H$6, $C$4, "fill=true")))</f>
        <v/>
      </c>
      <c r="I158" s="101" t="str">
        <f ca="1">IF($B158="", "", IF(_xll.IMDP("IR", $B158, I$6, $C$4, "fill=true")=0, "", _xll.IMDP("IR", $B158, I$6, $C$4, "fill=true")))</f>
        <v/>
      </c>
      <c r="J158" s="101" t="str">
        <f ca="1">IF($B158="", "", IF(_xll.IMDP("IR", $B158, J$6, $C$4, "fill=true")=0, "", _xll.IMDP("IR", $B158, J$6, $C$4, "fill=true")))</f>
        <v/>
      </c>
      <c r="K158" s="101" t="str">
        <f ca="1">IF($B158="", "", IF(_xll.IMDP("IR", $B158, K$6, $C$4, "fill=true")=0, "", _xll.IMDP("IR", $B158, K$6, $C$4, "fill=true")))</f>
        <v/>
      </c>
      <c r="L158" s="101" t="str">
        <f ca="1">IF($B158="", "", IF(_xll.IMDP("IR", $B158, L$6, $C$4, "fill=true")=0, "", _xll.IMDP("IR", $B158, L$6, $C$4, "fill=true")))</f>
        <v/>
      </c>
      <c r="M158" s="101" t="str">
        <f ca="1">IF($B158="", "", IF(_xll.IMDP("IR", $B158, M$6, $C$4, "fill=true")=0, "", _xll.IMDP("IR", $B158, M$6, $C$4, "fill=true")))</f>
        <v/>
      </c>
      <c r="N158" s="101" t="str">
        <f ca="1">IF($B158="", "", IF(_xll.IMDP("IR", $B158, N$6, $C$4, "fill=true")=0, "", _xll.IMDP("IR", $B158, N$6, $C$4, "fill=true")))</f>
        <v/>
      </c>
      <c r="O158" s="101" t="str">
        <f ca="1">IF($B158="", "", IF(_xll.IMDP("IR", $B158, O$6, $C$4, "fill=true")=0, "", _xll.IMDP("IR", $B158, O$6, $C$4, "fill=true")))</f>
        <v/>
      </c>
      <c r="P158" s="101" t="str">
        <f ca="1">IF($B158="", "", IF(_xll.IMDP("IR", $B158, P$6, $C$4, "fill=true")=0, "", _xll.IMDP("IR", $B158, P$6, $C$4, "fill=true")))</f>
        <v/>
      </c>
      <c r="Q158" s="102" t="str">
        <f ca="1">IF($B158="", "", IF(_xll.IMDP("IR", $B158, Q$6, $C$4, "fill=true")=0, "", _xll.IMDP("IR", $B158, Q$6, $C$4, "fill=true")))</f>
        <v/>
      </c>
    </row>
    <row r="159" spans="2:17" s="83" customFormat="1" ht="13.5">
      <c r="B159" s="83" t="str">
        <f ca="1">IFERROR( VLOOKUP(ROW()-ROW($B$6), code!$G$51:$K$1483, 5, 0), "")</f>
        <v/>
      </c>
      <c r="C159" s="96" t="str">
        <f ca="1">IF($B159="", "", _xll.IMDP("IR", $B159, "1일", $C$4, "fill=true, disp=date"))</f>
        <v/>
      </c>
      <c r="D159" s="97" t="str">
        <f ca="1">IF($B159="", "", VLOOKUP(ROW()-ROW($B$6), code!$G$51:$K$1483, 2, 0) )</f>
        <v/>
      </c>
      <c r="E159" s="98" t="str">
        <f ca="1">IF($B159="", "", VLOOKUP(ROW()-ROW($B$6), code!$G$51:$K$1483, 3, 0) )</f>
        <v/>
      </c>
      <c r="F159" s="99" t="str">
        <f ca="1">IF($B159="", "", VLOOKUP(ROW()-ROW($B$6), code!$G$51:$K$1483, 4, 0))</f>
        <v/>
      </c>
      <c r="G159" s="100" t="str">
        <f ca="1">IF($B159="", "", IF(_xll.IMDP("IR", $B159, G$6, $C$4, "fill=true")=0, "", _xll.IMDP("IR", $B159, G$6, $C$4, "fill=true")))</f>
        <v/>
      </c>
      <c r="H159" s="101" t="str">
        <f ca="1">IF($B159="", "", IF(_xll.IMDP("IR", $B159, H$6, $C$4, "fill=true")=0, "", _xll.IMDP("IR", $B159, H$6, $C$4, "fill=true")))</f>
        <v/>
      </c>
      <c r="I159" s="101" t="str">
        <f ca="1">IF($B159="", "", IF(_xll.IMDP("IR", $B159, I$6, $C$4, "fill=true")=0, "", _xll.IMDP("IR", $B159, I$6, $C$4, "fill=true")))</f>
        <v/>
      </c>
      <c r="J159" s="101" t="str">
        <f ca="1">IF($B159="", "", IF(_xll.IMDP("IR", $B159, J$6, $C$4, "fill=true")=0, "", _xll.IMDP("IR", $B159, J$6, $C$4, "fill=true")))</f>
        <v/>
      </c>
      <c r="K159" s="101" t="str">
        <f ca="1">IF($B159="", "", IF(_xll.IMDP("IR", $B159, K$6, $C$4, "fill=true")=0, "", _xll.IMDP("IR", $B159, K$6, $C$4, "fill=true")))</f>
        <v/>
      </c>
      <c r="L159" s="101" t="str">
        <f ca="1">IF($B159="", "", IF(_xll.IMDP("IR", $B159, L$6, $C$4, "fill=true")=0, "", _xll.IMDP("IR", $B159, L$6, $C$4, "fill=true")))</f>
        <v/>
      </c>
      <c r="M159" s="101" t="str">
        <f ca="1">IF($B159="", "", IF(_xll.IMDP("IR", $B159, M$6, $C$4, "fill=true")=0, "", _xll.IMDP("IR", $B159, M$6, $C$4, "fill=true")))</f>
        <v/>
      </c>
      <c r="N159" s="101" t="str">
        <f ca="1">IF($B159="", "", IF(_xll.IMDP("IR", $B159, N$6, $C$4, "fill=true")=0, "", _xll.IMDP("IR", $B159, N$6, $C$4, "fill=true")))</f>
        <v/>
      </c>
      <c r="O159" s="101" t="str">
        <f ca="1">IF($B159="", "", IF(_xll.IMDP("IR", $B159, O$6, $C$4, "fill=true")=0, "", _xll.IMDP("IR", $B159, O$6, $C$4, "fill=true")))</f>
        <v/>
      </c>
      <c r="P159" s="101" t="str">
        <f ca="1">IF($B159="", "", IF(_xll.IMDP("IR", $B159, P$6, $C$4, "fill=true")=0, "", _xll.IMDP("IR", $B159, P$6, $C$4, "fill=true")))</f>
        <v/>
      </c>
      <c r="Q159" s="102" t="str">
        <f ca="1">IF($B159="", "", IF(_xll.IMDP("IR", $B159, Q$6, $C$4, "fill=true")=0, "", _xll.IMDP("IR", $B159, Q$6, $C$4, "fill=true")))</f>
        <v/>
      </c>
    </row>
    <row r="160" spans="2:17" s="83" customFormat="1" ht="13.5">
      <c r="B160" s="83" t="str">
        <f ca="1">IFERROR( VLOOKUP(ROW()-ROW($B$6), code!$G$51:$K$1483, 5, 0), "")</f>
        <v/>
      </c>
      <c r="C160" s="96" t="str">
        <f ca="1">IF($B160="", "", _xll.IMDP("IR", $B160, "1일", $C$4, "fill=true, disp=date"))</f>
        <v/>
      </c>
      <c r="D160" s="97" t="str">
        <f ca="1">IF($B160="", "", VLOOKUP(ROW()-ROW($B$6), code!$G$51:$K$1483, 2, 0) )</f>
        <v/>
      </c>
      <c r="E160" s="98" t="str">
        <f ca="1">IF($B160="", "", VLOOKUP(ROW()-ROW($B$6), code!$G$51:$K$1483, 3, 0) )</f>
        <v/>
      </c>
      <c r="F160" s="99" t="str">
        <f ca="1">IF($B160="", "", VLOOKUP(ROW()-ROW($B$6), code!$G$51:$K$1483, 4, 0))</f>
        <v/>
      </c>
      <c r="G160" s="100" t="str">
        <f ca="1">IF($B160="", "", IF(_xll.IMDP("IR", $B160, G$6, $C$4, "fill=true")=0, "", _xll.IMDP("IR", $B160, G$6, $C$4, "fill=true")))</f>
        <v/>
      </c>
      <c r="H160" s="101" t="str">
        <f ca="1">IF($B160="", "", IF(_xll.IMDP("IR", $B160, H$6, $C$4, "fill=true")=0, "", _xll.IMDP("IR", $B160, H$6, $C$4, "fill=true")))</f>
        <v/>
      </c>
      <c r="I160" s="101" t="str">
        <f ca="1">IF($B160="", "", IF(_xll.IMDP("IR", $B160, I$6, $C$4, "fill=true")=0, "", _xll.IMDP("IR", $B160, I$6, $C$4, "fill=true")))</f>
        <v/>
      </c>
      <c r="J160" s="101" t="str">
        <f ca="1">IF($B160="", "", IF(_xll.IMDP("IR", $B160, J$6, $C$4, "fill=true")=0, "", _xll.IMDP("IR", $B160, J$6, $C$4, "fill=true")))</f>
        <v/>
      </c>
      <c r="K160" s="101" t="str">
        <f ca="1">IF($B160="", "", IF(_xll.IMDP("IR", $B160, K$6, $C$4, "fill=true")=0, "", _xll.IMDP("IR", $B160, K$6, $C$4, "fill=true")))</f>
        <v/>
      </c>
      <c r="L160" s="101" t="str">
        <f ca="1">IF($B160="", "", IF(_xll.IMDP("IR", $B160, L$6, $C$4, "fill=true")=0, "", _xll.IMDP("IR", $B160, L$6, $C$4, "fill=true")))</f>
        <v/>
      </c>
      <c r="M160" s="101" t="str">
        <f ca="1">IF($B160="", "", IF(_xll.IMDP("IR", $B160, M$6, $C$4, "fill=true")=0, "", _xll.IMDP("IR", $B160, M$6, $C$4, "fill=true")))</f>
        <v/>
      </c>
      <c r="N160" s="101" t="str">
        <f ca="1">IF($B160="", "", IF(_xll.IMDP("IR", $B160, N$6, $C$4, "fill=true")=0, "", _xll.IMDP("IR", $B160, N$6, $C$4, "fill=true")))</f>
        <v/>
      </c>
      <c r="O160" s="101" t="str">
        <f ca="1">IF($B160="", "", IF(_xll.IMDP("IR", $B160, O$6, $C$4, "fill=true")=0, "", _xll.IMDP("IR", $B160, O$6, $C$4, "fill=true")))</f>
        <v/>
      </c>
      <c r="P160" s="101" t="str">
        <f ca="1">IF($B160="", "", IF(_xll.IMDP("IR", $B160, P$6, $C$4, "fill=true")=0, "", _xll.IMDP("IR", $B160, P$6, $C$4, "fill=true")))</f>
        <v/>
      </c>
      <c r="Q160" s="102" t="str">
        <f ca="1">IF($B160="", "", IF(_xll.IMDP("IR", $B160, Q$6, $C$4, "fill=true")=0, "", _xll.IMDP("IR", $B160, Q$6, $C$4, "fill=true")))</f>
        <v/>
      </c>
    </row>
    <row r="161" spans="2:17" s="83" customFormat="1" ht="13.5">
      <c r="B161" s="83" t="str">
        <f ca="1">IFERROR( VLOOKUP(ROW()-ROW($B$6), code!$G$51:$K$1483, 5, 0), "")</f>
        <v/>
      </c>
      <c r="C161" s="96" t="str">
        <f ca="1">IF($B161="", "", _xll.IMDP("IR", $B161, "1일", $C$4, "fill=true, disp=date"))</f>
        <v/>
      </c>
      <c r="D161" s="97" t="str">
        <f ca="1">IF($B161="", "", VLOOKUP(ROW()-ROW($B$6), code!$G$51:$K$1483, 2, 0) )</f>
        <v/>
      </c>
      <c r="E161" s="98" t="str">
        <f ca="1">IF($B161="", "", VLOOKUP(ROW()-ROW($B$6), code!$G$51:$K$1483, 3, 0) )</f>
        <v/>
      </c>
      <c r="F161" s="99" t="str">
        <f ca="1">IF($B161="", "", VLOOKUP(ROW()-ROW($B$6), code!$G$51:$K$1483, 4, 0))</f>
        <v/>
      </c>
      <c r="G161" s="100" t="str">
        <f ca="1">IF($B161="", "", IF(_xll.IMDP("IR", $B161, G$6, $C$4, "fill=true")=0, "", _xll.IMDP("IR", $B161, G$6, $C$4, "fill=true")))</f>
        <v/>
      </c>
      <c r="H161" s="101" t="str">
        <f ca="1">IF($B161="", "", IF(_xll.IMDP("IR", $B161, H$6, $C$4, "fill=true")=0, "", _xll.IMDP("IR", $B161, H$6, $C$4, "fill=true")))</f>
        <v/>
      </c>
      <c r="I161" s="101" t="str">
        <f ca="1">IF($B161="", "", IF(_xll.IMDP("IR", $B161, I$6, $C$4, "fill=true")=0, "", _xll.IMDP("IR", $B161, I$6, $C$4, "fill=true")))</f>
        <v/>
      </c>
      <c r="J161" s="101" t="str">
        <f ca="1">IF($B161="", "", IF(_xll.IMDP("IR", $B161, J$6, $C$4, "fill=true")=0, "", _xll.IMDP("IR", $B161, J$6, $C$4, "fill=true")))</f>
        <v/>
      </c>
      <c r="K161" s="101" t="str">
        <f ca="1">IF($B161="", "", IF(_xll.IMDP("IR", $B161, K$6, $C$4, "fill=true")=0, "", _xll.IMDP("IR", $B161, K$6, $C$4, "fill=true")))</f>
        <v/>
      </c>
      <c r="L161" s="101" t="str">
        <f ca="1">IF($B161="", "", IF(_xll.IMDP("IR", $B161, L$6, $C$4, "fill=true")=0, "", _xll.IMDP("IR", $B161, L$6, $C$4, "fill=true")))</f>
        <v/>
      </c>
      <c r="M161" s="101" t="str">
        <f ca="1">IF($B161="", "", IF(_xll.IMDP("IR", $B161, M$6, $C$4, "fill=true")=0, "", _xll.IMDP("IR", $B161, M$6, $C$4, "fill=true")))</f>
        <v/>
      </c>
      <c r="N161" s="101" t="str">
        <f ca="1">IF($B161="", "", IF(_xll.IMDP("IR", $B161, N$6, $C$4, "fill=true")=0, "", _xll.IMDP("IR", $B161, N$6, $C$4, "fill=true")))</f>
        <v/>
      </c>
      <c r="O161" s="101" t="str">
        <f ca="1">IF($B161="", "", IF(_xll.IMDP("IR", $B161, O$6, $C$4, "fill=true")=0, "", _xll.IMDP("IR", $B161, O$6, $C$4, "fill=true")))</f>
        <v/>
      </c>
      <c r="P161" s="101" t="str">
        <f ca="1">IF($B161="", "", IF(_xll.IMDP("IR", $B161, P$6, $C$4, "fill=true")=0, "", _xll.IMDP("IR", $B161, P$6, $C$4, "fill=true")))</f>
        <v/>
      </c>
      <c r="Q161" s="102" t="str">
        <f ca="1">IF($B161="", "", IF(_xll.IMDP("IR", $B161, Q$6, $C$4, "fill=true")=0, "", _xll.IMDP("IR", $B161, Q$6, $C$4, "fill=true")))</f>
        <v/>
      </c>
    </row>
    <row r="162" spans="2:17" s="83" customFormat="1" ht="13.5">
      <c r="B162" s="83" t="str">
        <f ca="1">IFERROR( VLOOKUP(ROW()-ROW($B$6), code!$G$51:$K$1483, 5, 0), "")</f>
        <v/>
      </c>
      <c r="C162" s="96" t="str">
        <f ca="1">IF($B162="", "", _xll.IMDP("IR", $B162, "1일", $C$4, "fill=true, disp=date"))</f>
        <v/>
      </c>
      <c r="D162" s="97" t="str">
        <f ca="1">IF($B162="", "", VLOOKUP(ROW()-ROW($B$6), code!$G$51:$K$1483, 2, 0) )</f>
        <v/>
      </c>
      <c r="E162" s="98" t="str">
        <f ca="1">IF($B162="", "", VLOOKUP(ROW()-ROW($B$6), code!$G$51:$K$1483, 3, 0) )</f>
        <v/>
      </c>
      <c r="F162" s="99" t="str">
        <f ca="1">IF($B162="", "", VLOOKUP(ROW()-ROW($B$6), code!$G$51:$K$1483, 4, 0))</f>
        <v/>
      </c>
      <c r="G162" s="100" t="str">
        <f ca="1">IF($B162="", "", IF(_xll.IMDP("IR", $B162, G$6, $C$4, "fill=true")=0, "", _xll.IMDP("IR", $B162, G$6, $C$4, "fill=true")))</f>
        <v/>
      </c>
      <c r="H162" s="101" t="str">
        <f ca="1">IF($B162="", "", IF(_xll.IMDP("IR", $B162, H$6, $C$4, "fill=true")=0, "", _xll.IMDP("IR", $B162, H$6, $C$4, "fill=true")))</f>
        <v/>
      </c>
      <c r="I162" s="101" t="str">
        <f ca="1">IF($B162="", "", IF(_xll.IMDP("IR", $B162, I$6, $C$4, "fill=true")=0, "", _xll.IMDP("IR", $B162, I$6, $C$4, "fill=true")))</f>
        <v/>
      </c>
      <c r="J162" s="101" t="str">
        <f ca="1">IF($B162="", "", IF(_xll.IMDP("IR", $B162, J$6, $C$4, "fill=true")=0, "", _xll.IMDP("IR", $B162, J$6, $C$4, "fill=true")))</f>
        <v/>
      </c>
      <c r="K162" s="101" t="str">
        <f ca="1">IF($B162="", "", IF(_xll.IMDP("IR", $B162, K$6, $C$4, "fill=true")=0, "", _xll.IMDP("IR", $B162, K$6, $C$4, "fill=true")))</f>
        <v/>
      </c>
      <c r="L162" s="101" t="str">
        <f ca="1">IF($B162="", "", IF(_xll.IMDP("IR", $B162, L$6, $C$4, "fill=true")=0, "", _xll.IMDP("IR", $B162, L$6, $C$4, "fill=true")))</f>
        <v/>
      </c>
      <c r="M162" s="101" t="str">
        <f ca="1">IF($B162="", "", IF(_xll.IMDP("IR", $B162, M$6, $C$4, "fill=true")=0, "", _xll.IMDP("IR", $B162, M$6, $C$4, "fill=true")))</f>
        <v/>
      </c>
      <c r="N162" s="101" t="str">
        <f ca="1">IF($B162="", "", IF(_xll.IMDP("IR", $B162, N$6, $C$4, "fill=true")=0, "", _xll.IMDP("IR", $B162, N$6, $C$4, "fill=true")))</f>
        <v/>
      </c>
      <c r="O162" s="101" t="str">
        <f ca="1">IF($B162="", "", IF(_xll.IMDP("IR", $B162, O$6, $C$4, "fill=true")=0, "", _xll.IMDP("IR", $B162, O$6, $C$4, "fill=true")))</f>
        <v/>
      </c>
      <c r="P162" s="101" t="str">
        <f ca="1">IF($B162="", "", IF(_xll.IMDP("IR", $B162, P$6, $C$4, "fill=true")=0, "", _xll.IMDP("IR", $B162, P$6, $C$4, "fill=true")))</f>
        <v/>
      </c>
      <c r="Q162" s="102" t="str">
        <f ca="1">IF($B162="", "", IF(_xll.IMDP("IR", $B162, Q$6, $C$4, "fill=true")=0, "", _xll.IMDP("IR", $B162, Q$6, $C$4, "fill=true")))</f>
        <v/>
      </c>
    </row>
    <row r="163" spans="2:17" s="83" customFormat="1" ht="13.5">
      <c r="B163" s="83" t="str">
        <f ca="1">IFERROR( VLOOKUP(ROW()-ROW($B$6), code!$G$51:$K$1483, 5, 0), "")</f>
        <v/>
      </c>
      <c r="C163" s="96" t="str">
        <f ca="1">IF($B163="", "", _xll.IMDP("IR", $B163, "1일", $C$4, "fill=true, disp=date"))</f>
        <v/>
      </c>
      <c r="D163" s="97" t="str">
        <f ca="1">IF($B163="", "", VLOOKUP(ROW()-ROW($B$6), code!$G$51:$K$1483, 2, 0) )</f>
        <v/>
      </c>
      <c r="E163" s="98" t="str">
        <f ca="1">IF($B163="", "", VLOOKUP(ROW()-ROW($B$6), code!$G$51:$K$1483, 3, 0) )</f>
        <v/>
      </c>
      <c r="F163" s="99" t="str">
        <f ca="1">IF($B163="", "", VLOOKUP(ROW()-ROW($B$6), code!$G$51:$K$1483, 4, 0))</f>
        <v/>
      </c>
      <c r="G163" s="100" t="str">
        <f ca="1">IF($B163="", "", IF(_xll.IMDP("IR", $B163, G$6, $C$4, "fill=true")=0, "", _xll.IMDP("IR", $B163, G$6, $C$4, "fill=true")))</f>
        <v/>
      </c>
      <c r="H163" s="101" t="str">
        <f ca="1">IF($B163="", "", IF(_xll.IMDP("IR", $B163, H$6, $C$4, "fill=true")=0, "", _xll.IMDP("IR", $B163, H$6, $C$4, "fill=true")))</f>
        <v/>
      </c>
      <c r="I163" s="101" t="str">
        <f ca="1">IF($B163="", "", IF(_xll.IMDP("IR", $B163, I$6, $C$4, "fill=true")=0, "", _xll.IMDP("IR", $B163, I$6, $C$4, "fill=true")))</f>
        <v/>
      </c>
      <c r="J163" s="101" t="str">
        <f ca="1">IF($B163="", "", IF(_xll.IMDP("IR", $B163, J$6, $C$4, "fill=true")=0, "", _xll.IMDP("IR", $B163, J$6, $C$4, "fill=true")))</f>
        <v/>
      </c>
      <c r="K163" s="101" t="str">
        <f ca="1">IF($B163="", "", IF(_xll.IMDP("IR", $B163, K$6, $C$4, "fill=true")=0, "", _xll.IMDP("IR", $B163, K$6, $C$4, "fill=true")))</f>
        <v/>
      </c>
      <c r="L163" s="101" t="str">
        <f ca="1">IF($B163="", "", IF(_xll.IMDP("IR", $B163, L$6, $C$4, "fill=true")=0, "", _xll.IMDP("IR", $B163, L$6, $C$4, "fill=true")))</f>
        <v/>
      </c>
      <c r="M163" s="101" t="str">
        <f ca="1">IF($B163="", "", IF(_xll.IMDP("IR", $B163, M$6, $C$4, "fill=true")=0, "", _xll.IMDP("IR", $B163, M$6, $C$4, "fill=true")))</f>
        <v/>
      </c>
      <c r="N163" s="101" t="str">
        <f ca="1">IF($B163="", "", IF(_xll.IMDP("IR", $B163, N$6, $C$4, "fill=true")=0, "", _xll.IMDP("IR", $B163, N$6, $C$4, "fill=true")))</f>
        <v/>
      </c>
      <c r="O163" s="101" t="str">
        <f ca="1">IF($B163="", "", IF(_xll.IMDP("IR", $B163, O$6, $C$4, "fill=true")=0, "", _xll.IMDP("IR", $B163, O$6, $C$4, "fill=true")))</f>
        <v/>
      </c>
      <c r="P163" s="101" t="str">
        <f ca="1">IF($B163="", "", IF(_xll.IMDP("IR", $B163, P$6, $C$4, "fill=true")=0, "", _xll.IMDP("IR", $B163, P$6, $C$4, "fill=true")))</f>
        <v/>
      </c>
      <c r="Q163" s="102" t="str">
        <f ca="1">IF($B163="", "", IF(_xll.IMDP("IR", $B163, Q$6, $C$4, "fill=true")=0, "", _xll.IMDP("IR", $B163, Q$6, $C$4, "fill=true")))</f>
        <v/>
      </c>
    </row>
    <row r="164" spans="2:17" s="83" customFormat="1" ht="13.5">
      <c r="B164" s="83" t="str">
        <f ca="1">IFERROR( VLOOKUP(ROW()-ROW($B$6), code!$G$51:$K$1483, 5, 0), "")</f>
        <v/>
      </c>
      <c r="C164" s="96" t="str">
        <f ca="1">IF($B164="", "", _xll.IMDP("IR", $B164, "1일", $C$4, "fill=true, disp=date"))</f>
        <v/>
      </c>
      <c r="D164" s="97" t="str">
        <f ca="1">IF($B164="", "", VLOOKUP(ROW()-ROW($B$6), code!$G$51:$K$1483, 2, 0) )</f>
        <v/>
      </c>
      <c r="E164" s="98" t="str">
        <f ca="1">IF($B164="", "", VLOOKUP(ROW()-ROW($B$6), code!$G$51:$K$1483, 3, 0) )</f>
        <v/>
      </c>
      <c r="F164" s="99" t="str">
        <f ca="1">IF($B164="", "", VLOOKUP(ROW()-ROW($B$6), code!$G$51:$K$1483, 4, 0))</f>
        <v/>
      </c>
      <c r="G164" s="100" t="str">
        <f ca="1">IF($B164="", "", IF(_xll.IMDP("IR", $B164, G$6, $C$4, "fill=true")=0, "", _xll.IMDP("IR", $B164, G$6, $C$4, "fill=true")))</f>
        <v/>
      </c>
      <c r="H164" s="101" t="str">
        <f ca="1">IF($B164="", "", IF(_xll.IMDP("IR", $B164, H$6, $C$4, "fill=true")=0, "", _xll.IMDP("IR", $B164, H$6, $C$4, "fill=true")))</f>
        <v/>
      </c>
      <c r="I164" s="101" t="str">
        <f ca="1">IF($B164="", "", IF(_xll.IMDP("IR", $B164, I$6, $C$4, "fill=true")=0, "", _xll.IMDP("IR", $B164, I$6, $C$4, "fill=true")))</f>
        <v/>
      </c>
      <c r="J164" s="101" t="str">
        <f ca="1">IF($B164="", "", IF(_xll.IMDP("IR", $B164, J$6, $C$4, "fill=true")=0, "", _xll.IMDP("IR", $B164, J$6, $C$4, "fill=true")))</f>
        <v/>
      </c>
      <c r="K164" s="101" t="str">
        <f ca="1">IF($B164="", "", IF(_xll.IMDP("IR", $B164, K$6, $C$4, "fill=true")=0, "", _xll.IMDP("IR", $B164, K$6, $C$4, "fill=true")))</f>
        <v/>
      </c>
      <c r="L164" s="101" t="str">
        <f ca="1">IF($B164="", "", IF(_xll.IMDP("IR", $B164, L$6, $C$4, "fill=true")=0, "", _xll.IMDP("IR", $B164, L$6, $C$4, "fill=true")))</f>
        <v/>
      </c>
      <c r="M164" s="101" t="str">
        <f ca="1">IF($B164="", "", IF(_xll.IMDP("IR", $B164, M$6, $C$4, "fill=true")=0, "", _xll.IMDP("IR", $B164, M$6, $C$4, "fill=true")))</f>
        <v/>
      </c>
      <c r="N164" s="101" t="str">
        <f ca="1">IF($B164="", "", IF(_xll.IMDP("IR", $B164, N$6, $C$4, "fill=true")=0, "", _xll.IMDP("IR", $B164, N$6, $C$4, "fill=true")))</f>
        <v/>
      </c>
      <c r="O164" s="101" t="str">
        <f ca="1">IF($B164="", "", IF(_xll.IMDP("IR", $B164, O$6, $C$4, "fill=true")=0, "", _xll.IMDP("IR", $B164, O$6, $C$4, "fill=true")))</f>
        <v/>
      </c>
      <c r="P164" s="101" t="str">
        <f ca="1">IF($B164="", "", IF(_xll.IMDP("IR", $B164, P$6, $C$4, "fill=true")=0, "", _xll.IMDP("IR", $B164, P$6, $C$4, "fill=true")))</f>
        <v/>
      </c>
      <c r="Q164" s="102" t="str">
        <f ca="1">IF($B164="", "", IF(_xll.IMDP("IR", $B164, Q$6, $C$4, "fill=true")=0, "", _xll.IMDP("IR", $B164, Q$6, $C$4, "fill=true")))</f>
        <v/>
      </c>
    </row>
    <row r="165" spans="2:17" s="83" customFormat="1" ht="13.5">
      <c r="B165" s="83" t="str">
        <f ca="1">IFERROR( VLOOKUP(ROW()-ROW($B$6), code!$G$51:$K$1483, 5, 0), "")</f>
        <v/>
      </c>
      <c r="C165" s="96" t="str">
        <f ca="1">IF($B165="", "", _xll.IMDP("IR", $B165, "1일", $C$4, "fill=true, disp=date"))</f>
        <v/>
      </c>
      <c r="D165" s="97" t="str">
        <f ca="1">IF($B165="", "", VLOOKUP(ROW()-ROW($B$6), code!$G$51:$K$1483, 2, 0) )</f>
        <v/>
      </c>
      <c r="E165" s="98" t="str">
        <f ca="1">IF($B165="", "", VLOOKUP(ROW()-ROW($B$6), code!$G$51:$K$1483, 3, 0) )</f>
        <v/>
      </c>
      <c r="F165" s="99" t="str">
        <f ca="1">IF($B165="", "", VLOOKUP(ROW()-ROW($B$6), code!$G$51:$K$1483, 4, 0))</f>
        <v/>
      </c>
      <c r="G165" s="100" t="str">
        <f ca="1">IF($B165="", "", IF(_xll.IMDP("IR", $B165, G$6, $C$4, "fill=true")=0, "", _xll.IMDP("IR", $B165, G$6, $C$4, "fill=true")))</f>
        <v/>
      </c>
      <c r="H165" s="101" t="str">
        <f ca="1">IF($B165="", "", IF(_xll.IMDP("IR", $B165, H$6, $C$4, "fill=true")=0, "", _xll.IMDP("IR", $B165, H$6, $C$4, "fill=true")))</f>
        <v/>
      </c>
      <c r="I165" s="101" t="str">
        <f ca="1">IF($B165="", "", IF(_xll.IMDP("IR", $B165, I$6, $C$4, "fill=true")=0, "", _xll.IMDP("IR", $B165, I$6, $C$4, "fill=true")))</f>
        <v/>
      </c>
      <c r="J165" s="101" t="str">
        <f ca="1">IF($B165="", "", IF(_xll.IMDP("IR", $B165, J$6, $C$4, "fill=true")=0, "", _xll.IMDP("IR", $B165, J$6, $C$4, "fill=true")))</f>
        <v/>
      </c>
      <c r="K165" s="101" t="str">
        <f ca="1">IF($B165="", "", IF(_xll.IMDP("IR", $B165, K$6, $C$4, "fill=true")=0, "", _xll.IMDP("IR", $B165, K$6, $C$4, "fill=true")))</f>
        <v/>
      </c>
      <c r="L165" s="101" t="str">
        <f ca="1">IF($B165="", "", IF(_xll.IMDP("IR", $B165, L$6, $C$4, "fill=true")=0, "", _xll.IMDP("IR", $B165, L$6, $C$4, "fill=true")))</f>
        <v/>
      </c>
      <c r="M165" s="101" t="str">
        <f ca="1">IF($B165="", "", IF(_xll.IMDP("IR", $B165, M$6, $C$4, "fill=true")=0, "", _xll.IMDP("IR", $B165, M$6, $C$4, "fill=true")))</f>
        <v/>
      </c>
      <c r="N165" s="101" t="str">
        <f ca="1">IF($B165="", "", IF(_xll.IMDP("IR", $B165, N$6, $C$4, "fill=true")=0, "", _xll.IMDP("IR", $B165, N$6, $C$4, "fill=true")))</f>
        <v/>
      </c>
      <c r="O165" s="101" t="str">
        <f ca="1">IF($B165="", "", IF(_xll.IMDP("IR", $B165, O$6, $C$4, "fill=true")=0, "", _xll.IMDP("IR", $B165, O$6, $C$4, "fill=true")))</f>
        <v/>
      </c>
      <c r="P165" s="101" t="str">
        <f ca="1">IF($B165="", "", IF(_xll.IMDP("IR", $B165, P$6, $C$4, "fill=true")=0, "", _xll.IMDP("IR", $B165, P$6, $C$4, "fill=true")))</f>
        <v/>
      </c>
      <c r="Q165" s="102" t="str">
        <f ca="1">IF($B165="", "", IF(_xll.IMDP("IR", $B165, Q$6, $C$4, "fill=true")=0, "", _xll.IMDP("IR", $B165, Q$6, $C$4, "fill=true")))</f>
        <v/>
      </c>
    </row>
    <row r="166" spans="2:17" s="83" customFormat="1" ht="13.5">
      <c r="B166" s="83" t="str">
        <f ca="1">IFERROR( VLOOKUP(ROW()-ROW($B$6), code!$G$51:$K$1483, 5, 0), "")</f>
        <v/>
      </c>
      <c r="C166" s="96" t="str">
        <f ca="1">IF($B166="", "", _xll.IMDP("IR", $B166, "1일", $C$4, "fill=true, disp=date"))</f>
        <v/>
      </c>
      <c r="D166" s="97" t="str">
        <f ca="1">IF($B166="", "", VLOOKUP(ROW()-ROW($B$6), code!$G$51:$K$1483, 2, 0) )</f>
        <v/>
      </c>
      <c r="E166" s="98" t="str">
        <f ca="1">IF($B166="", "", VLOOKUP(ROW()-ROW($B$6), code!$G$51:$K$1483, 3, 0) )</f>
        <v/>
      </c>
      <c r="F166" s="99" t="str">
        <f ca="1">IF($B166="", "", VLOOKUP(ROW()-ROW($B$6), code!$G$51:$K$1483, 4, 0))</f>
        <v/>
      </c>
      <c r="G166" s="100" t="str">
        <f ca="1">IF($B166="", "", IF(_xll.IMDP("IR", $B166, G$6, $C$4, "fill=true")=0, "", _xll.IMDP("IR", $B166, G$6, $C$4, "fill=true")))</f>
        <v/>
      </c>
      <c r="H166" s="101" t="str">
        <f ca="1">IF($B166="", "", IF(_xll.IMDP("IR", $B166, H$6, $C$4, "fill=true")=0, "", _xll.IMDP("IR", $B166, H$6, $C$4, "fill=true")))</f>
        <v/>
      </c>
      <c r="I166" s="101" t="str">
        <f ca="1">IF($B166="", "", IF(_xll.IMDP("IR", $B166, I$6, $C$4, "fill=true")=0, "", _xll.IMDP("IR", $B166, I$6, $C$4, "fill=true")))</f>
        <v/>
      </c>
      <c r="J166" s="101" t="str">
        <f ca="1">IF($B166="", "", IF(_xll.IMDP("IR", $B166, J$6, $C$4, "fill=true")=0, "", _xll.IMDP("IR", $B166, J$6, $C$4, "fill=true")))</f>
        <v/>
      </c>
      <c r="K166" s="101" t="str">
        <f ca="1">IF($B166="", "", IF(_xll.IMDP("IR", $B166, K$6, $C$4, "fill=true")=0, "", _xll.IMDP("IR", $B166, K$6, $C$4, "fill=true")))</f>
        <v/>
      </c>
      <c r="L166" s="101" t="str">
        <f ca="1">IF($B166="", "", IF(_xll.IMDP("IR", $B166, L$6, $C$4, "fill=true")=0, "", _xll.IMDP("IR", $B166, L$6, $C$4, "fill=true")))</f>
        <v/>
      </c>
      <c r="M166" s="101" t="str">
        <f ca="1">IF($B166="", "", IF(_xll.IMDP("IR", $B166, M$6, $C$4, "fill=true")=0, "", _xll.IMDP("IR", $B166, M$6, $C$4, "fill=true")))</f>
        <v/>
      </c>
      <c r="N166" s="101" t="str">
        <f ca="1">IF($B166="", "", IF(_xll.IMDP("IR", $B166, N$6, $C$4, "fill=true")=0, "", _xll.IMDP("IR", $B166, N$6, $C$4, "fill=true")))</f>
        <v/>
      </c>
      <c r="O166" s="101" t="str">
        <f ca="1">IF($B166="", "", IF(_xll.IMDP("IR", $B166, O$6, $C$4, "fill=true")=0, "", _xll.IMDP("IR", $B166, O$6, $C$4, "fill=true")))</f>
        <v/>
      </c>
      <c r="P166" s="101" t="str">
        <f ca="1">IF($B166="", "", IF(_xll.IMDP("IR", $B166, P$6, $C$4, "fill=true")=0, "", _xll.IMDP("IR", $B166, P$6, $C$4, "fill=true")))</f>
        <v/>
      </c>
      <c r="Q166" s="102" t="str">
        <f ca="1">IF($B166="", "", IF(_xll.IMDP("IR", $B166, Q$6, $C$4, "fill=true")=0, "", _xll.IMDP("IR", $B166, Q$6, $C$4, "fill=true")))</f>
        <v/>
      </c>
    </row>
    <row r="167" spans="2:17" s="83" customFormat="1" ht="13.5">
      <c r="B167" s="83" t="str">
        <f ca="1">IFERROR( VLOOKUP(ROW()-ROW($B$6), code!$G$51:$K$1483, 5, 0), "")</f>
        <v/>
      </c>
      <c r="C167" s="96" t="str">
        <f ca="1">IF($B167="", "", _xll.IMDP("IR", $B167, "1일", $C$4, "fill=true, disp=date"))</f>
        <v/>
      </c>
      <c r="D167" s="97" t="str">
        <f ca="1">IF($B167="", "", VLOOKUP(ROW()-ROW($B$6), code!$G$51:$K$1483, 2, 0) )</f>
        <v/>
      </c>
      <c r="E167" s="98" t="str">
        <f ca="1">IF($B167="", "", VLOOKUP(ROW()-ROW($B$6), code!$G$51:$K$1483, 3, 0) )</f>
        <v/>
      </c>
      <c r="F167" s="99" t="str">
        <f ca="1">IF($B167="", "", VLOOKUP(ROW()-ROW($B$6), code!$G$51:$K$1483, 4, 0))</f>
        <v/>
      </c>
      <c r="G167" s="100" t="str">
        <f ca="1">IF($B167="", "", IF(_xll.IMDP("IR", $B167, G$6, $C$4, "fill=true")=0, "", _xll.IMDP("IR", $B167, G$6, $C$4, "fill=true")))</f>
        <v/>
      </c>
      <c r="H167" s="101" t="str">
        <f ca="1">IF($B167="", "", IF(_xll.IMDP("IR", $B167, H$6, $C$4, "fill=true")=0, "", _xll.IMDP("IR", $B167, H$6, $C$4, "fill=true")))</f>
        <v/>
      </c>
      <c r="I167" s="101" t="str">
        <f ca="1">IF($B167="", "", IF(_xll.IMDP("IR", $B167, I$6, $C$4, "fill=true")=0, "", _xll.IMDP("IR", $B167, I$6, $C$4, "fill=true")))</f>
        <v/>
      </c>
      <c r="J167" s="101" t="str">
        <f ca="1">IF($B167="", "", IF(_xll.IMDP("IR", $B167, J$6, $C$4, "fill=true")=0, "", _xll.IMDP("IR", $B167, J$6, $C$4, "fill=true")))</f>
        <v/>
      </c>
      <c r="K167" s="101" t="str">
        <f ca="1">IF($B167="", "", IF(_xll.IMDP("IR", $B167, K$6, $C$4, "fill=true")=0, "", _xll.IMDP("IR", $B167, K$6, $C$4, "fill=true")))</f>
        <v/>
      </c>
      <c r="L167" s="101" t="str">
        <f ca="1">IF($B167="", "", IF(_xll.IMDP("IR", $B167, L$6, $C$4, "fill=true")=0, "", _xll.IMDP("IR", $B167, L$6, $C$4, "fill=true")))</f>
        <v/>
      </c>
      <c r="M167" s="101" t="str">
        <f ca="1">IF($B167="", "", IF(_xll.IMDP("IR", $B167, M$6, $C$4, "fill=true")=0, "", _xll.IMDP("IR", $B167, M$6, $C$4, "fill=true")))</f>
        <v/>
      </c>
      <c r="N167" s="101" t="str">
        <f ca="1">IF($B167="", "", IF(_xll.IMDP("IR", $B167, N$6, $C$4, "fill=true")=0, "", _xll.IMDP("IR", $B167, N$6, $C$4, "fill=true")))</f>
        <v/>
      </c>
      <c r="O167" s="101" t="str">
        <f ca="1">IF($B167="", "", IF(_xll.IMDP("IR", $B167, O$6, $C$4, "fill=true")=0, "", _xll.IMDP("IR", $B167, O$6, $C$4, "fill=true")))</f>
        <v/>
      </c>
      <c r="P167" s="101" t="str">
        <f ca="1">IF($B167="", "", IF(_xll.IMDP("IR", $B167, P$6, $C$4, "fill=true")=0, "", _xll.IMDP("IR", $B167, P$6, $C$4, "fill=true")))</f>
        <v/>
      </c>
      <c r="Q167" s="102" t="str">
        <f ca="1">IF($B167="", "", IF(_xll.IMDP("IR", $B167, Q$6, $C$4, "fill=true")=0, "", _xll.IMDP("IR", $B167, Q$6, $C$4, "fill=true")))</f>
        <v/>
      </c>
    </row>
    <row r="168" spans="2:17" s="83" customFormat="1" ht="13.5">
      <c r="B168" s="83" t="str">
        <f ca="1">IFERROR( VLOOKUP(ROW()-ROW($B$6), code!$G$51:$K$1483, 5, 0), "")</f>
        <v/>
      </c>
      <c r="C168" s="96" t="str">
        <f ca="1">IF($B168="", "", _xll.IMDP("IR", $B168, "1일", $C$4, "fill=true, disp=date"))</f>
        <v/>
      </c>
      <c r="D168" s="97" t="str">
        <f ca="1">IF($B168="", "", VLOOKUP(ROW()-ROW($B$6), code!$G$51:$K$1483, 2, 0) )</f>
        <v/>
      </c>
      <c r="E168" s="98" t="str">
        <f ca="1">IF($B168="", "", VLOOKUP(ROW()-ROW($B$6), code!$G$51:$K$1483, 3, 0) )</f>
        <v/>
      </c>
      <c r="F168" s="99" t="str">
        <f ca="1">IF($B168="", "", VLOOKUP(ROW()-ROW($B$6), code!$G$51:$K$1483, 4, 0))</f>
        <v/>
      </c>
      <c r="G168" s="100" t="str">
        <f ca="1">IF($B168="", "", IF(_xll.IMDP("IR", $B168, G$6, $C$4, "fill=true")=0, "", _xll.IMDP("IR", $B168, G$6, $C$4, "fill=true")))</f>
        <v/>
      </c>
      <c r="H168" s="101" t="str">
        <f ca="1">IF($B168="", "", IF(_xll.IMDP("IR", $B168, H$6, $C$4, "fill=true")=0, "", _xll.IMDP("IR", $B168, H$6, $C$4, "fill=true")))</f>
        <v/>
      </c>
      <c r="I168" s="101" t="str">
        <f ca="1">IF($B168="", "", IF(_xll.IMDP("IR", $B168, I$6, $C$4, "fill=true")=0, "", _xll.IMDP("IR", $B168, I$6, $C$4, "fill=true")))</f>
        <v/>
      </c>
      <c r="J168" s="101" t="str">
        <f ca="1">IF($B168="", "", IF(_xll.IMDP("IR", $B168, J$6, $C$4, "fill=true")=0, "", _xll.IMDP("IR", $B168, J$6, $C$4, "fill=true")))</f>
        <v/>
      </c>
      <c r="K168" s="101" t="str">
        <f ca="1">IF($B168="", "", IF(_xll.IMDP("IR", $B168, K$6, $C$4, "fill=true")=0, "", _xll.IMDP("IR", $B168, K$6, $C$4, "fill=true")))</f>
        <v/>
      </c>
      <c r="L168" s="101" t="str">
        <f ca="1">IF($B168="", "", IF(_xll.IMDP("IR", $B168, L$6, $C$4, "fill=true")=0, "", _xll.IMDP("IR", $B168, L$6, $C$4, "fill=true")))</f>
        <v/>
      </c>
      <c r="M168" s="101" t="str">
        <f ca="1">IF($B168="", "", IF(_xll.IMDP("IR", $B168, M$6, $C$4, "fill=true")=0, "", _xll.IMDP("IR", $B168, M$6, $C$4, "fill=true")))</f>
        <v/>
      </c>
      <c r="N168" s="101" t="str">
        <f ca="1">IF($B168="", "", IF(_xll.IMDP("IR", $B168, N$6, $C$4, "fill=true")=0, "", _xll.IMDP("IR", $B168, N$6, $C$4, "fill=true")))</f>
        <v/>
      </c>
      <c r="O168" s="101" t="str">
        <f ca="1">IF($B168="", "", IF(_xll.IMDP("IR", $B168, O$6, $C$4, "fill=true")=0, "", _xll.IMDP("IR", $B168, O$6, $C$4, "fill=true")))</f>
        <v/>
      </c>
      <c r="P168" s="101" t="str">
        <f ca="1">IF($B168="", "", IF(_xll.IMDP("IR", $B168, P$6, $C$4, "fill=true")=0, "", _xll.IMDP("IR", $B168, P$6, $C$4, "fill=true")))</f>
        <v/>
      </c>
      <c r="Q168" s="102" t="str">
        <f ca="1">IF($B168="", "", IF(_xll.IMDP("IR", $B168, Q$6, $C$4, "fill=true")=0, "", _xll.IMDP("IR", $B168, Q$6, $C$4, "fill=true")))</f>
        <v/>
      </c>
    </row>
    <row r="169" spans="2:17" s="83" customFormat="1" ht="13.5">
      <c r="B169" s="83" t="str">
        <f ca="1">IFERROR( VLOOKUP(ROW()-ROW($B$6), code!$G$51:$K$1483, 5, 0), "")</f>
        <v/>
      </c>
      <c r="C169" s="96" t="str">
        <f ca="1">IF($B169="", "", _xll.IMDP("IR", $B169, "1일", $C$4, "fill=true, disp=date"))</f>
        <v/>
      </c>
      <c r="D169" s="97" t="str">
        <f ca="1">IF($B169="", "", VLOOKUP(ROW()-ROW($B$6), code!$G$51:$K$1483, 2, 0) )</f>
        <v/>
      </c>
      <c r="E169" s="98" t="str">
        <f ca="1">IF($B169="", "", VLOOKUP(ROW()-ROW($B$6), code!$G$51:$K$1483, 3, 0) )</f>
        <v/>
      </c>
      <c r="F169" s="99" t="str">
        <f ca="1">IF($B169="", "", VLOOKUP(ROW()-ROW($B$6), code!$G$51:$K$1483, 4, 0))</f>
        <v/>
      </c>
      <c r="G169" s="100" t="str">
        <f ca="1">IF($B169="", "", IF(_xll.IMDP("IR", $B169, G$6, $C$4, "fill=true")=0, "", _xll.IMDP("IR", $B169, G$6, $C$4, "fill=true")))</f>
        <v/>
      </c>
      <c r="H169" s="101" t="str">
        <f ca="1">IF($B169="", "", IF(_xll.IMDP("IR", $B169, H$6, $C$4, "fill=true")=0, "", _xll.IMDP("IR", $B169, H$6, $C$4, "fill=true")))</f>
        <v/>
      </c>
      <c r="I169" s="101" t="str">
        <f ca="1">IF($B169="", "", IF(_xll.IMDP("IR", $B169, I$6, $C$4, "fill=true")=0, "", _xll.IMDP("IR", $B169, I$6, $C$4, "fill=true")))</f>
        <v/>
      </c>
      <c r="J169" s="101" t="str">
        <f ca="1">IF($B169="", "", IF(_xll.IMDP("IR", $B169, J$6, $C$4, "fill=true")=0, "", _xll.IMDP("IR", $B169, J$6, $C$4, "fill=true")))</f>
        <v/>
      </c>
      <c r="K169" s="101" t="str">
        <f ca="1">IF($B169="", "", IF(_xll.IMDP("IR", $B169, K$6, $C$4, "fill=true")=0, "", _xll.IMDP("IR", $B169, K$6, $C$4, "fill=true")))</f>
        <v/>
      </c>
      <c r="L169" s="101" t="str">
        <f ca="1">IF($B169="", "", IF(_xll.IMDP("IR", $B169, L$6, $C$4, "fill=true")=0, "", _xll.IMDP("IR", $B169, L$6, $C$4, "fill=true")))</f>
        <v/>
      </c>
      <c r="M169" s="101" t="str">
        <f ca="1">IF($B169="", "", IF(_xll.IMDP("IR", $B169, M$6, $C$4, "fill=true")=0, "", _xll.IMDP("IR", $B169, M$6, $C$4, "fill=true")))</f>
        <v/>
      </c>
      <c r="N169" s="101" t="str">
        <f ca="1">IF($B169="", "", IF(_xll.IMDP("IR", $B169, N$6, $C$4, "fill=true")=0, "", _xll.IMDP("IR", $B169, N$6, $C$4, "fill=true")))</f>
        <v/>
      </c>
      <c r="O169" s="101" t="str">
        <f ca="1">IF($B169="", "", IF(_xll.IMDP("IR", $B169, O$6, $C$4, "fill=true")=0, "", _xll.IMDP("IR", $B169, O$6, $C$4, "fill=true")))</f>
        <v/>
      </c>
      <c r="P169" s="101" t="str">
        <f ca="1">IF($B169="", "", IF(_xll.IMDP("IR", $B169, P$6, $C$4, "fill=true")=0, "", _xll.IMDP("IR", $B169, P$6, $C$4, "fill=true")))</f>
        <v/>
      </c>
      <c r="Q169" s="102" t="str">
        <f ca="1">IF($B169="", "", IF(_xll.IMDP("IR", $B169, Q$6, $C$4, "fill=true")=0, "", _xll.IMDP("IR", $B169, Q$6, $C$4, "fill=true")))</f>
        <v/>
      </c>
    </row>
    <row r="170" spans="2:17" s="83" customFormat="1" ht="13.5">
      <c r="B170" s="83" t="str">
        <f ca="1">IFERROR( VLOOKUP(ROW()-ROW($B$6), code!$G$51:$K$1483, 5, 0), "")</f>
        <v/>
      </c>
      <c r="C170" s="96" t="str">
        <f ca="1">IF($B170="", "", _xll.IMDP("IR", $B170, "1일", $C$4, "fill=true, disp=date"))</f>
        <v/>
      </c>
      <c r="D170" s="97" t="str">
        <f ca="1">IF($B170="", "", VLOOKUP(ROW()-ROW($B$6), code!$G$51:$K$1483, 2, 0) )</f>
        <v/>
      </c>
      <c r="E170" s="98" t="str">
        <f ca="1">IF($B170="", "", VLOOKUP(ROW()-ROW($B$6), code!$G$51:$K$1483, 3, 0) )</f>
        <v/>
      </c>
      <c r="F170" s="99" t="str">
        <f ca="1">IF($B170="", "", VLOOKUP(ROW()-ROW($B$6), code!$G$51:$K$1483, 4, 0))</f>
        <v/>
      </c>
      <c r="G170" s="100" t="str">
        <f ca="1">IF($B170="", "", IF(_xll.IMDP("IR", $B170, G$6, $C$4, "fill=true")=0, "", _xll.IMDP("IR", $B170, G$6, $C$4, "fill=true")))</f>
        <v/>
      </c>
      <c r="H170" s="101" t="str">
        <f ca="1">IF($B170="", "", IF(_xll.IMDP("IR", $B170, H$6, $C$4, "fill=true")=0, "", _xll.IMDP("IR", $B170, H$6, $C$4, "fill=true")))</f>
        <v/>
      </c>
      <c r="I170" s="101" t="str">
        <f ca="1">IF($B170="", "", IF(_xll.IMDP("IR", $B170, I$6, $C$4, "fill=true")=0, "", _xll.IMDP("IR", $B170, I$6, $C$4, "fill=true")))</f>
        <v/>
      </c>
      <c r="J170" s="101" t="str">
        <f ca="1">IF($B170="", "", IF(_xll.IMDP("IR", $B170, J$6, $C$4, "fill=true")=0, "", _xll.IMDP("IR", $B170, J$6, $C$4, "fill=true")))</f>
        <v/>
      </c>
      <c r="K170" s="101" t="str">
        <f ca="1">IF($B170="", "", IF(_xll.IMDP("IR", $B170, K$6, $C$4, "fill=true")=0, "", _xll.IMDP("IR", $B170, K$6, $C$4, "fill=true")))</f>
        <v/>
      </c>
      <c r="L170" s="101" t="str">
        <f ca="1">IF($B170="", "", IF(_xll.IMDP("IR", $B170, L$6, $C$4, "fill=true")=0, "", _xll.IMDP("IR", $B170, L$6, $C$4, "fill=true")))</f>
        <v/>
      </c>
      <c r="M170" s="101" t="str">
        <f ca="1">IF($B170="", "", IF(_xll.IMDP("IR", $B170, M$6, $C$4, "fill=true")=0, "", _xll.IMDP("IR", $B170, M$6, $C$4, "fill=true")))</f>
        <v/>
      </c>
      <c r="N170" s="101" t="str">
        <f ca="1">IF($B170="", "", IF(_xll.IMDP("IR", $B170, N$6, $C$4, "fill=true")=0, "", _xll.IMDP("IR", $B170, N$6, $C$4, "fill=true")))</f>
        <v/>
      </c>
      <c r="O170" s="101" t="str">
        <f ca="1">IF($B170="", "", IF(_xll.IMDP("IR", $B170, O$6, $C$4, "fill=true")=0, "", _xll.IMDP("IR", $B170, O$6, $C$4, "fill=true")))</f>
        <v/>
      </c>
      <c r="P170" s="101" t="str">
        <f ca="1">IF($B170="", "", IF(_xll.IMDP("IR", $B170, P$6, $C$4, "fill=true")=0, "", _xll.IMDP("IR", $B170, P$6, $C$4, "fill=true")))</f>
        <v/>
      </c>
      <c r="Q170" s="102" t="str">
        <f ca="1">IF($B170="", "", IF(_xll.IMDP("IR", $B170, Q$6, $C$4, "fill=true")=0, "", _xll.IMDP("IR", $B170, Q$6, $C$4, "fill=true")))</f>
        <v/>
      </c>
    </row>
    <row r="171" spans="2:17" s="83" customFormat="1" ht="13.5">
      <c r="B171" s="83" t="str">
        <f ca="1">IFERROR( VLOOKUP(ROW()-ROW($B$6), code!$G$51:$K$1483, 5, 0), "")</f>
        <v/>
      </c>
      <c r="C171" s="96" t="str">
        <f ca="1">IF($B171="", "", _xll.IMDP("IR", $B171, "1일", $C$4, "fill=true, disp=date"))</f>
        <v/>
      </c>
      <c r="D171" s="97" t="str">
        <f ca="1">IF($B171="", "", VLOOKUP(ROW()-ROW($B$6), code!$G$51:$K$1483, 2, 0) )</f>
        <v/>
      </c>
      <c r="E171" s="98" t="str">
        <f ca="1">IF($B171="", "", VLOOKUP(ROW()-ROW($B$6), code!$G$51:$K$1483, 3, 0) )</f>
        <v/>
      </c>
      <c r="F171" s="99" t="str">
        <f ca="1">IF($B171="", "", VLOOKUP(ROW()-ROW($B$6), code!$G$51:$K$1483, 4, 0))</f>
        <v/>
      </c>
      <c r="G171" s="100" t="str">
        <f ca="1">IF($B171="", "", IF(_xll.IMDP("IR", $B171, G$6, $C$4, "fill=true")=0, "", _xll.IMDP("IR", $B171, G$6, $C$4, "fill=true")))</f>
        <v/>
      </c>
      <c r="H171" s="101" t="str">
        <f ca="1">IF($B171="", "", IF(_xll.IMDP("IR", $B171, H$6, $C$4, "fill=true")=0, "", _xll.IMDP("IR", $B171, H$6, $C$4, "fill=true")))</f>
        <v/>
      </c>
      <c r="I171" s="101" t="str">
        <f ca="1">IF($B171="", "", IF(_xll.IMDP("IR", $B171, I$6, $C$4, "fill=true")=0, "", _xll.IMDP("IR", $B171, I$6, $C$4, "fill=true")))</f>
        <v/>
      </c>
      <c r="J171" s="101" t="str">
        <f ca="1">IF($B171="", "", IF(_xll.IMDP("IR", $B171, J$6, $C$4, "fill=true")=0, "", _xll.IMDP("IR", $B171, J$6, $C$4, "fill=true")))</f>
        <v/>
      </c>
      <c r="K171" s="101" t="str">
        <f ca="1">IF($B171="", "", IF(_xll.IMDP("IR", $B171, K$6, $C$4, "fill=true")=0, "", _xll.IMDP("IR", $B171, K$6, $C$4, "fill=true")))</f>
        <v/>
      </c>
      <c r="L171" s="101" t="str">
        <f ca="1">IF($B171="", "", IF(_xll.IMDP("IR", $B171, L$6, $C$4, "fill=true")=0, "", _xll.IMDP("IR", $B171, L$6, $C$4, "fill=true")))</f>
        <v/>
      </c>
      <c r="M171" s="101" t="str">
        <f ca="1">IF($B171="", "", IF(_xll.IMDP("IR", $B171, M$6, $C$4, "fill=true")=0, "", _xll.IMDP("IR", $B171, M$6, $C$4, "fill=true")))</f>
        <v/>
      </c>
      <c r="N171" s="101" t="str">
        <f ca="1">IF($B171="", "", IF(_xll.IMDP("IR", $B171, N$6, $C$4, "fill=true")=0, "", _xll.IMDP("IR", $B171, N$6, $C$4, "fill=true")))</f>
        <v/>
      </c>
      <c r="O171" s="101" t="str">
        <f ca="1">IF($B171="", "", IF(_xll.IMDP("IR", $B171, O$6, $C$4, "fill=true")=0, "", _xll.IMDP("IR", $B171, O$6, $C$4, "fill=true")))</f>
        <v/>
      </c>
      <c r="P171" s="101" t="str">
        <f ca="1">IF($B171="", "", IF(_xll.IMDP("IR", $B171, P$6, $C$4, "fill=true")=0, "", _xll.IMDP("IR", $B171, P$6, $C$4, "fill=true")))</f>
        <v/>
      </c>
      <c r="Q171" s="102" t="str">
        <f ca="1">IF($B171="", "", IF(_xll.IMDP("IR", $B171, Q$6, $C$4, "fill=true")=0, "", _xll.IMDP("IR", $B171, Q$6, $C$4, "fill=true")))</f>
        <v/>
      </c>
    </row>
    <row r="172" spans="2:17" s="83" customFormat="1" ht="13.5">
      <c r="B172" s="83" t="str">
        <f ca="1">IFERROR( VLOOKUP(ROW()-ROW($B$6), code!$G$51:$K$1483, 5, 0), "")</f>
        <v/>
      </c>
      <c r="C172" s="96" t="str">
        <f ca="1">IF($B172="", "", _xll.IMDP("IR", $B172, "1일", $C$4, "fill=true, disp=date"))</f>
        <v/>
      </c>
      <c r="D172" s="97" t="str">
        <f ca="1">IF($B172="", "", VLOOKUP(ROW()-ROW($B$6), code!$G$51:$K$1483, 2, 0) )</f>
        <v/>
      </c>
      <c r="E172" s="98" t="str">
        <f ca="1">IF($B172="", "", VLOOKUP(ROW()-ROW($B$6), code!$G$51:$K$1483, 3, 0) )</f>
        <v/>
      </c>
      <c r="F172" s="99" t="str">
        <f ca="1">IF($B172="", "", VLOOKUP(ROW()-ROW($B$6), code!$G$51:$K$1483, 4, 0))</f>
        <v/>
      </c>
      <c r="G172" s="100" t="str">
        <f ca="1">IF($B172="", "", IF(_xll.IMDP("IR", $B172, G$6, $C$4, "fill=true")=0, "", _xll.IMDP("IR", $B172, G$6, $C$4, "fill=true")))</f>
        <v/>
      </c>
      <c r="H172" s="101" t="str">
        <f ca="1">IF($B172="", "", IF(_xll.IMDP("IR", $B172, H$6, $C$4, "fill=true")=0, "", _xll.IMDP("IR", $B172, H$6, $C$4, "fill=true")))</f>
        <v/>
      </c>
      <c r="I172" s="101" t="str">
        <f ca="1">IF($B172="", "", IF(_xll.IMDP("IR", $B172, I$6, $C$4, "fill=true")=0, "", _xll.IMDP("IR", $B172, I$6, $C$4, "fill=true")))</f>
        <v/>
      </c>
      <c r="J172" s="101" t="str">
        <f ca="1">IF($B172="", "", IF(_xll.IMDP("IR", $B172, J$6, $C$4, "fill=true")=0, "", _xll.IMDP("IR", $B172, J$6, $C$4, "fill=true")))</f>
        <v/>
      </c>
      <c r="K172" s="101" t="str">
        <f ca="1">IF($B172="", "", IF(_xll.IMDP("IR", $B172, K$6, $C$4, "fill=true")=0, "", _xll.IMDP("IR", $B172, K$6, $C$4, "fill=true")))</f>
        <v/>
      </c>
      <c r="L172" s="101" t="str">
        <f ca="1">IF($B172="", "", IF(_xll.IMDP("IR", $B172, L$6, $C$4, "fill=true")=0, "", _xll.IMDP("IR", $B172, L$6, $C$4, "fill=true")))</f>
        <v/>
      </c>
      <c r="M172" s="101" t="str">
        <f ca="1">IF($B172="", "", IF(_xll.IMDP("IR", $B172, M$6, $C$4, "fill=true")=0, "", _xll.IMDP("IR", $B172, M$6, $C$4, "fill=true")))</f>
        <v/>
      </c>
      <c r="N172" s="101" t="str">
        <f ca="1">IF($B172="", "", IF(_xll.IMDP("IR", $B172, N$6, $C$4, "fill=true")=0, "", _xll.IMDP("IR", $B172, N$6, $C$4, "fill=true")))</f>
        <v/>
      </c>
      <c r="O172" s="101" t="str">
        <f ca="1">IF($B172="", "", IF(_xll.IMDP("IR", $B172, O$6, $C$4, "fill=true")=0, "", _xll.IMDP("IR", $B172, O$6, $C$4, "fill=true")))</f>
        <v/>
      </c>
      <c r="P172" s="101" t="str">
        <f ca="1">IF($B172="", "", IF(_xll.IMDP("IR", $B172, P$6, $C$4, "fill=true")=0, "", _xll.IMDP("IR", $B172, P$6, $C$4, "fill=true")))</f>
        <v/>
      </c>
      <c r="Q172" s="102" t="str">
        <f ca="1">IF($B172="", "", IF(_xll.IMDP("IR", $B172, Q$6, $C$4, "fill=true")=0, "", _xll.IMDP("IR", $B172, Q$6, $C$4, "fill=true")))</f>
        <v/>
      </c>
    </row>
    <row r="173" spans="2:17" s="83" customFormat="1" ht="13.5">
      <c r="B173" s="83" t="str">
        <f ca="1">IFERROR( VLOOKUP(ROW()-ROW($B$6), code!$G$51:$K$1483, 5, 0), "")</f>
        <v/>
      </c>
      <c r="C173" s="96" t="str">
        <f ca="1">IF($B173="", "", _xll.IMDP("IR", $B173, "1일", $C$4, "fill=true, disp=date"))</f>
        <v/>
      </c>
      <c r="D173" s="97" t="str">
        <f ca="1">IF($B173="", "", VLOOKUP(ROW()-ROW($B$6), code!$G$51:$K$1483, 2, 0) )</f>
        <v/>
      </c>
      <c r="E173" s="98" t="str">
        <f ca="1">IF($B173="", "", VLOOKUP(ROW()-ROW($B$6), code!$G$51:$K$1483, 3, 0) )</f>
        <v/>
      </c>
      <c r="F173" s="99" t="str">
        <f ca="1">IF($B173="", "", VLOOKUP(ROW()-ROW($B$6), code!$G$51:$K$1483, 4, 0))</f>
        <v/>
      </c>
      <c r="G173" s="100" t="str">
        <f ca="1">IF($B173="", "", IF(_xll.IMDP("IR", $B173, G$6, $C$4, "fill=true")=0, "", _xll.IMDP("IR", $B173, G$6, $C$4, "fill=true")))</f>
        <v/>
      </c>
      <c r="H173" s="101" t="str">
        <f ca="1">IF($B173="", "", IF(_xll.IMDP("IR", $B173, H$6, $C$4, "fill=true")=0, "", _xll.IMDP("IR", $B173, H$6, $C$4, "fill=true")))</f>
        <v/>
      </c>
      <c r="I173" s="101" t="str">
        <f ca="1">IF($B173="", "", IF(_xll.IMDP("IR", $B173, I$6, $C$4, "fill=true")=0, "", _xll.IMDP("IR", $B173, I$6, $C$4, "fill=true")))</f>
        <v/>
      </c>
      <c r="J173" s="101" t="str">
        <f ca="1">IF($B173="", "", IF(_xll.IMDP("IR", $B173, J$6, $C$4, "fill=true")=0, "", _xll.IMDP("IR", $B173, J$6, $C$4, "fill=true")))</f>
        <v/>
      </c>
      <c r="K173" s="101" t="str">
        <f ca="1">IF($B173="", "", IF(_xll.IMDP("IR", $B173, K$6, $C$4, "fill=true")=0, "", _xll.IMDP("IR", $B173, K$6, $C$4, "fill=true")))</f>
        <v/>
      </c>
      <c r="L173" s="101" t="str">
        <f ca="1">IF($B173="", "", IF(_xll.IMDP("IR", $B173, L$6, $C$4, "fill=true")=0, "", _xll.IMDP("IR", $B173, L$6, $C$4, "fill=true")))</f>
        <v/>
      </c>
      <c r="M173" s="101" t="str">
        <f ca="1">IF($B173="", "", IF(_xll.IMDP("IR", $B173, M$6, $C$4, "fill=true")=0, "", _xll.IMDP("IR", $B173, M$6, $C$4, "fill=true")))</f>
        <v/>
      </c>
      <c r="N173" s="101" t="str">
        <f ca="1">IF($B173="", "", IF(_xll.IMDP("IR", $B173, N$6, $C$4, "fill=true")=0, "", _xll.IMDP("IR", $B173, N$6, $C$4, "fill=true")))</f>
        <v/>
      </c>
      <c r="O173" s="101" t="str">
        <f ca="1">IF($B173="", "", IF(_xll.IMDP("IR", $B173, O$6, $C$4, "fill=true")=0, "", _xll.IMDP("IR", $B173, O$6, $C$4, "fill=true")))</f>
        <v/>
      </c>
      <c r="P173" s="101" t="str">
        <f ca="1">IF($B173="", "", IF(_xll.IMDP("IR", $B173, P$6, $C$4, "fill=true")=0, "", _xll.IMDP("IR", $B173, P$6, $C$4, "fill=true")))</f>
        <v/>
      </c>
      <c r="Q173" s="102" t="str">
        <f ca="1">IF($B173="", "", IF(_xll.IMDP("IR", $B173, Q$6, $C$4, "fill=true")=0, "", _xll.IMDP("IR", $B173, Q$6, $C$4, "fill=true")))</f>
        <v/>
      </c>
    </row>
    <row r="174" spans="2:17" s="83" customFormat="1" ht="13.5">
      <c r="B174" s="83" t="str">
        <f ca="1">IFERROR( VLOOKUP(ROW()-ROW($B$6), code!$G$51:$K$1483, 5, 0), "")</f>
        <v/>
      </c>
      <c r="C174" s="96" t="str">
        <f ca="1">IF($B174="", "", _xll.IMDP("IR", $B174, "1일", $C$4, "fill=true, disp=date"))</f>
        <v/>
      </c>
      <c r="D174" s="97" t="str">
        <f ca="1">IF($B174="", "", VLOOKUP(ROW()-ROW($B$6), code!$G$51:$K$1483, 2, 0) )</f>
        <v/>
      </c>
      <c r="E174" s="98" t="str">
        <f ca="1">IF($B174="", "", VLOOKUP(ROW()-ROW($B$6), code!$G$51:$K$1483, 3, 0) )</f>
        <v/>
      </c>
      <c r="F174" s="99" t="str">
        <f ca="1">IF($B174="", "", VLOOKUP(ROW()-ROW($B$6), code!$G$51:$K$1483, 4, 0))</f>
        <v/>
      </c>
      <c r="G174" s="100" t="str">
        <f ca="1">IF($B174="", "", IF(_xll.IMDP("IR", $B174, G$6, $C$4, "fill=true")=0, "", _xll.IMDP("IR", $B174, G$6, $C$4, "fill=true")))</f>
        <v/>
      </c>
      <c r="H174" s="101" t="str">
        <f ca="1">IF($B174="", "", IF(_xll.IMDP("IR", $B174, H$6, $C$4, "fill=true")=0, "", _xll.IMDP("IR", $B174, H$6, $C$4, "fill=true")))</f>
        <v/>
      </c>
      <c r="I174" s="101" t="str">
        <f ca="1">IF($B174="", "", IF(_xll.IMDP("IR", $B174, I$6, $C$4, "fill=true")=0, "", _xll.IMDP("IR", $B174, I$6, $C$4, "fill=true")))</f>
        <v/>
      </c>
      <c r="J174" s="101" t="str">
        <f ca="1">IF($B174="", "", IF(_xll.IMDP("IR", $B174, J$6, $C$4, "fill=true")=0, "", _xll.IMDP("IR", $B174, J$6, $C$4, "fill=true")))</f>
        <v/>
      </c>
      <c r="K174" s="101" t="str">
        <f ca="1">IF($B174="", "", IF(_xll.IMDP("IR", $B174, K$6, $C$4, "fill=true")=0, "", _xll.IMDP("IR", $B174, K$6, $C$4, "fill=true")))</f>
        <v/>
      </c>
      <c r="L174" s="101" t="str">
        <f ca="1">IF($B174="", "", IF(_xll.IMDP("IR", $B174, L$6, $C$4, "fill=true")=0, "", _xll.IMDP("IR", $B174, L$6, $C$4, "fill=true")))</f>
        <v/>
      </c>
      <c r="M174" s="101" t="str">
        <f ca="1">IF($B174="", "", IF(_xll.IMDP("IR", $B174, M$6, $C$4, "fill=true")=0, "", _xll.IMDP("IR", $B174, M$6, $C$4, "fill=true")))</f>
        <v/>
      </c>
      <c r="N174" s="101" t="str">
        <f ca="1">IF($B174="", "", IF(_xll.IMDP("IR", $B174, N$6, $C$4, "fill=true")=0, "", _xll.IMDP("IR", $B174, N$6, $C$4, "fill=true")))</f>
        <v/>
      </c>
      <c r="O174" s="101" t="str">
        <f ca="1">IF($B174="", "", IF(_xll.IMDP("IR", $B174, O$6, $C$4, "fill=true")=0, "", _xll.IMDP("IR", $B174, O$6, $C$4, "fill=true")))</f>
        <v/>
      </c>
      <c r="P174" s="101" t="str">
        <f ca="1">IF($B174="", "", IF(_xll.IMDP("IR", $B174, P$6, $C$4, "fill=true")=0, "", _xll.IMDP("IR", $B174, P$6, $C$4, "fill=true")))</f>
        <v/>
      </c>
      <c r="Q174" s="102" t="str">
        <f ca="1">IF($B174="", "", IF(_xll.IMDP("IR", $B174, Q$6, $C$4, "fill=true")=0, "", _xll.IMDP("IR", $B174, Q$6, $C$4, "fill=true")))</f>
        <v/>
      </c>
    </row>
    <row r="175" spans="2:17" s="83" customFormat="1" ht="13.5">
      <c r="B175" s="83" t="str">
        <f ca="1">IFERROR( VLOOKUP(ROW()-ROW($B$6), code!$G$51:$K$1483, 5, 0), "")</f>
        <v/>
      </c>
      <c r="C175" s="96" t="str">
        <f ca="1">IF($B175="", "", _xll.IMDP("IR", $B175, "1일", $C$4, "fill=true, disp=date"))</f>
        <v/>
      </c>
      <c r="D175" s="97" t="str">
        <f ca="1">IF($B175="", "", VLOOKUP(ROW()-ROW($B$6), code!$G$51:$K$1483, 2, 0) )</f>
        <v/>
      </c>
      <c r="E175" s="98" t="str">
        <f ca="1">IF($B175="", "", VLOOKUP(ROW()-ROW($B$6), code!$G$51:$K$1483, 3, 0) )</f>
        <v/>
      </c>
      <c r="F175" s="99" t="str">
        <f ca="1">IF($B175="", "", VLOOKUP(ROW()-ROW($B$6), code!$G$51:$K$1483, 4, 0))</f>
        <v/>
      </c>
      <c r="G175" s="100" t="str">
        <f ca="1">IF($B175="", "", IF(_xll.IMDP("IR", $B175, G$6, $C$4, "fill=true")=0, "", _xll.IMDP("IR", $B175, G$6, $C$4, "fill=true")))</f>
        <v/>
      </c>
      <c r="H175" s="101" t="str">
        <f ca="1">IF($B175="", "", IF(_xll.IMDP("IR", $B175, H$6, $C$4, "fill=true")=0, "", _xll.IMDP("IR", $B175, H$6, $C$4, "fill=true")))</f>
        <v/>
      </c>
      <c r="I175" s="101" t="str">
        <f ca="1">IF($B175="", "", IF(_xll.IMDP("IR", $B175, I$6, $C$4, "fill=true")=0, "", _xll.IMDP("IR", $B175, I$6, $C$4, "fill=true")))</f>
        <v/>
      </c>
      <c r="J175" s="101" t="str">
        <f ca="1">IF($B175="", "", IF(_xll.IMDP("IR", $B175, J$6, $C$4, "fill=true")=0, "", _xll.IMDP("IR", $B175, J$6, $C$4, "fill=true")))</f>
        <v/>
      </c>
      <c r="K175" s="101" t="str">
        <f ca="1">IF($B175="", "", IF(_xll.IMDP("IR", $B175, K$6, $C$4, "fill=true")=0, "", _xll.IMDP("IR", $B175, K$6, $C$4, "fill=true")))</f>
        <v/>
      </c>
      <c r="L175" s="101" t="str">
        <f ca="1">IF($B175="", "", IF(_xll.IMDP("IR", $B175, L$6, $C$4, "fill=true")=0, "", _xll.IMDP("IR", $B175, L$6, $C$4, "fill=true")))</f>
        <v/>
      </c>
      <c r="M175" s="101" t="str">
        <f ca="1">IF($B175="", "", IF(_xll.IMDP("IR", $B175, M$6, $C$4, "fill=true")=0, "", _xll.IMDP("IR", $B175, M$6, $C$4, "fill=true")))</f>
        <v/>
      </c>
      <c r="N175" s="101" t="str">
        <f ca="1">IF($B175="", "", IF(_xll.IMDP("IR", $B175, N$6, $C$4, "fill=true")=0, "", _xll.IMDP("IR", $B175, N$6, $C$4, "fill=true")))</f>
        <v/>
      </c>
      <c r="O175" s="101" t="str">
        <f ca="1">IF($B175="", "", IF(_xll.IMDP("IR", $B175, O$6, $C$4, "fill=true")=0, "", _xll.IMDP("IR", $B175, O$6, $C$4, "fill=true")))</f>
        <v/>
      </c>
      <c r="P175" s="101" t="str">
        <f ca="1">IF($B175="", "", IF(_xll.IMDP("IR", $B175, P$6, $C$4, "fill=true")=0, "", _xll.IMDP("IR", $B175, P$6, $C$4, "fill=true")))</f>
        <v/>
      </c>
      <c r="Q175" s="102" t="str">
        <f ca="1">IF($B175="", "", IF(_xll.IMDP("IR", $B175, Q$6, $C$4, "fill=true")=0, "", _xll.IMDP("IR", $B175, Q$6, $C$4, "fill=true")))</f>
        <v/>
      </c>
    </row>
    <row r="176" spans="2:17" s="83" customFormat="1" ht="13.5">
      <c r="B176" s="83" t="str">
        <f ca="1">IFERROR( VLOOKUP(ROW()-ROW($B$6), code!$G$51:$K$1483, 5, 0), "")</f>
        <v/>
      </c>
      <c r="C176" s="96" t="str">
        <f ca="1">IF($B176="", "", _xll.IMDP("IR", $B176, "1일", $C$4, "fill=true, disp=date"))</f>
        <v/>
      </c>
      <c r="D176" s="97" t="str">
        <f ca="1">IF($B176="", "", VLOOKUP(ROW()-ROW($B$6), code!$G$51:$K$1483, 2, 0) )</f>
        <v/>
      </c>
      <c r="E176" s="98" t="str">
        <f ca="1">IF($B176="", "", VLOOKUP(ROW()-ROW($B$6), code!$G$51:$K$1483, 3, 0) )</f>
        <v/>
      </c>
      <c r="F176" s="99" t="str">
        <f ca="1">IF($B176="", "", VLOOKUP(ROW()-ROW($B$6), code!$G$51:$K$1483, 4, 0))</f>
        <v/>
      </c>
      <c r="G176" s="100" t="str">
        <f ca="1">IF($B176="", "", IF(_xll.IMDP("IR", $B176, G$6, $C$4, "fill=true")=0, "", _xll.IMDP("IR", $B176, G$6, $C$4, "fill=true")))</f>
        <v/>
      </c>
      <c r="H176" s="101" t="str">
        <f ca="1">IF($B176="", "", IF(_xll.IMDP("IR", $B176, H$6, $C$4, "fill=true")=0, "", _xll.IMDP("IR", $B176, H$6, $C$4, "fill=true")))</f>
        <v/>
      </c>
      <c r="I176" s="101" t="str">
        <f ca="1">IF($B176="", "", IF(_xll.IMDP("IR", $B176, I$6, $C$4, "fill=true")=0, "", _xll.IMDP("IR", $B176, I$6, $C$4, "fill=true")))</f>
        <v/>
      </c>
      <c r="J176" s="101" t="str">
        <f ca="1">IF($B176="", "", IF(_xll.IMDP("IR", $B176, J$6, $C$4, "fill=true")=0, "", _xll.IMDP("IR", $B176, J$6, $C$4, "fill=true")))</f>
        <v/>
      </c>
      <c r="K176" s="101" t="str">
        <f ca="1">IF($B176="", "", IF(_xll.IMDP("IR", $B176, K$6, $C$4, "fill=true")=0, "", _xll.IMDP("IR", $B176, K$6, $C$4, "fill=true")))</f>
        <v/>
      </c>
      <c r="L176" s="101" t="str">
        <f ca="1">IF($B176="", "", IF(_xll.IMDP("IR", $B176, L$6, $C$4, "fill=true")=0, "", _xll.IMDP("IR", $B176, L$6, $C$4, "fill=true")))</f>
        <v/>
      </c>
      <c r="M176" s="101" t="str">
        <f ca="1">IF($B176="", "", IF(_xll.IMDP("IR", $B176, M$6, $C$4, "fill=true")=0, "", _xll.IMDP("IR", $B176, M$6, $C$4, "fill=true")))</f>
        <v/>
      </c>
      <c r="N176" s="101" t="str">
        <f ca="1">IF($B176="", "", IF(_xll.IMDP("IR", $B176, N$6, $C$4, "fill=true")=0, "", _xll.IMDP("IR", $B176, N$6, $C$4, "fill=true")))</f>
        <v/>
      </c>
      <c r="O176" s="101" t="str">
        <f ca="1">IF($B176="", "", IF(_xll.IMDP("IR", $B176, O$6, $C$4, "fill=true")=0, "", _xll.IMDP("IR", $B176, O$6, $C$4, "fill=true")))</f>
        <v/>
      </c>
      <c r="P176" s="101" t="str">
        <f ca="1">IF($B176="", "", IF(_xll.IMDP("IR", $B176, P$6, $C$4, "fill=true")=0, "", _xll.IMDP("IR", $B176, P$6, $C$4, "fill=true")))</f>
        <v/>
      </c>
      <c r="Q176" s="102" t="str">
        <f ca="1">IF($B176="", "", IF(_xll.IMDP("IR", $B176, Q$6, $C$4, "fill=true")=0, "", _xll.IMDP("IR", $B176, Q$6, $C$4, "fill=true")))</f>
        <v/>
      </c>
    </row>
    <row r="177" spans="2:17" s="83" customFormat="1" ht="13.5">
      <c r="B177" s="83" t="str">
        <f ca="1">IFERROR( VLOOKUP(ROW()-ROW($B$6), code!$G$51:$K$1483, 5, 0), "")</f>
        <v/>
      </c>
      <c r="C177" s="96" t="str">
        <f ca="1">IF($B177="", "", _xll.IMDP("IR", $B177, "1일", $C$4, "fill=true, disp=date"))</f>
        <v/>
      </c>
      <c r="D177" s="97" t="str">
        <f ca="1">IF($B177="", "", VLOOKUP(ROW()-ROW($B$6), code!$G$51:$K$1483, 2, 0) )</f>
        <v/>
      </c>
      <c r="E177" s="98" t="str">
        <f ca="1">IF($B177="", "", VLOOKUP(ROW()-ROW($B$6), code!$G$51:$K$1483, 3, 0) )</f>
        <v/>
      </c>
      <c r="F177" s="99" t="str">
        <f ca="1">IF($B177="", "", VLOOKUP(ROW()-ROW($B$6), code!$G$51:$K$1483, 4, 0))</f>
        <v/>
      </c>
      <c r="G177" s="100" t="str">
        <f ca="1">IF($B177="", "", IF(_xll.IMDP("IR", $B177, G$6, $C$4, "fill=true")=0, "", _xll.IMDP("IR", $B177, G$6, $C$4, "fill=true")))</f>
        <v/>
      </c>
      <c r="H177" s="101" t="str">
        <f ca="1">IF($B177="", "", IF(_xll.IMDP("IR", $B177, H$6, $C$4, "fill=true")=0, "", _xll.IMDP("IR", $B177, H$6, $C$4, "fill=true")))</f>
        <v/>
      </c>
      <c r="I177" s="101" t="str">
        <f ca="1">IF($B177="", "", IF(_xll.IMDP("IR", $B177, I$6, $C$4, "fill=true")=0, "", _xll.IMDP("IR", $B177, I$6, $C$4, "fill=true")))</f>
        <v/>
      </c>
      <c r="J177" s="101" t="str">
        <f ca="1">IF($B177="", "", IF(_xll.IMDP("IR", $B177, J$6, $C$4, "fill=true")=0, "", _xll.IMDP("IR", $B177, J$6, $C$4, "fill=true")))</f>
        <v/>
      </c>
      <c r="K177" s="101" t="str">
        <f ca="1">IF($B177="", "", IF(_xll.IMDP("IR", $B177, K$6, $C$4, "fill=true")=0, "", _xll.IMDP("IR", $B177, K$6, $C$4, "fill=true")))</f>
        <v/>
      </c>
      <c r="L177" s="101" t="str">
        <f ca="1">IF($B177="", "", IF(_xll.IMDP("IR", $B177, L$6, $C$4, "fill=true")=0, "", _xll.IMDP("IR", $B177, L$6, $C$4, "fill=true")))</f>
        <v/>
      </c>
      <c r="M177" s="101" t="str">
        <f ca="1">IF($B177="", "", IF(_xll.IMDP("IR", $B177, M$6, $C$4, "fill=true")=0, "", _xll.IMDP("IR", $B177, M$6, $C$4, "fill=true")))</f>
        <v/>
      </c>
      <c r="N177" s="101" t="str">
        <f ca="1">IF($B177="", "", IF(_xll.IMDP("IR", $B177, N$6, $C$4, "fill=true")=0, "", _xll.IMDP("IR", $B177, N$6, $C$4, "fill=true")))</f>
        <v/>
      </c>
      <c r="O177" s="101" t="str">
        <f ca="1">IF($B177="", "", IF(_xll.IMDP("IR", $B177, O$6, $C$4, "fill=true")=0, "", _xll.IMDP("IR", $B177, O$6, $C$4, "fill=true")))</f>
        <v/>
      </c>
      <c r="P177" s="101" t="str">
        <f ca="1">IF($B177="", "", IF(_xll.IMDP("IR", $B177, P$6, $C$4, "fill=true")=0, "", _xll.IMDP("IR", $B177, P$6, $C$4, "fill=true")))</f>
        <v/>
      </c>
      <c r="Q177" s="102" t="str">
        <f ca="1">IF($B177="", "", IF(_xll.IMDP("IR", $B177, Q$6, $C$4, "fill=true")=0, "", _xll.IMDP("IR", $B177, Q$6, $C$4, "fill=true")))</f>
        <v/>
      </c>
    </row>
    <row r="178" spans="2:17" s="83" customFormat="1" ht="13.5">
      <c r="B178" s="83" t="str">
        <f ca="1">IFERROR( VLOOKUP(ROW()-ROW($B$6), code!$G$51:$K$1483, 5, 0), "")</f>
        <v/>
      </c>
      <c r="C178" s="96" t="str">
        <f ca="1">IF($B178="", "", _xll.IMDP("IR", $B178, "1일", $C$4, "fill=true, disp=date"))</f>
        <v/>
      </c>
      <c r="D178" s="97" t="str">
        <f ca="1">IF($B178="", "", VLOOKUP(ROW()-ROW($B$6), code!$G$51:$K$1483, 2, 0) )</f>
        <v/>
      </c>
      <c r="E178" s="98" t="str">
        <f ca="1">IF($B178="", "", VLOOKUP(ROW()-ROW($B$6), code!$G$51:$K$1483, 3, 0) )</f>
        <v/>
      </c>
      <c r="F178" s="99" t="str">
        <f ca="1">IF($B178="", "", VLOOKUP(ROW()-ROW($B$6), code!$G$51:$K$1483, 4, 0))</f>
        <v/>
      </c>
      <c r="G178" s="100" t="str">
        <f ca="1">IF($B178="", "", IF(_xll.IMDP("IR", $B178, G$6, $C$4, "fill=true")=0, "", _xll.IMDP("IR", $B178, G$6, $C$4, "fill=true")))</f>
        <v/>
      </c>
      <c r="H178" s="101" t="str">
        <f ca="1">IF($B178="", "", IF(_xll.IMDP("IR", $B178, H$6, $C$4, "fill=true")=0, "", _xll.IMDP("IR", $B178, H$6, $C$4, "fill=true")))</f>
        <v/>
      </c>
      <c r="I178" s="101" t="str">
        <f ca="1">IF($B178="", "", IF(_xll.IMDP("IR", $B178, I$6, $C$4, "fill=true")=0, "", _xll.IMDP("IR", $B178, I$6, $C$4, "fill=true")))</f>
        <v/>
      </c>
      <c r="J178" s="101" t="str">
        <f ca="1">IF($B178="", "", IF(_xll.IMDP("IR", $B178, J$6, $C$4, "fill=true")=0, "", _xll.IMDP("IR", $B178, J$6, $C$4, "fill=true")))</f>
        <v/>
      </c>
      <c r="K178" s="101" t="str">
        <f ca="1">IF($B178="", "", IF(_xll.IMDP("IR", $B178, K$6, $C$4, "fill=true")=0, "", _xll.IMDP("IR", $B178, K$6, $C$4, "fill=true")))</f>
        <v/>
      </c>
      <c r="L178" s="101" t="str">
        <f ca="1">IF($B178="", "", IF(_xll.IMDP("IR", $B178, L$6, $C$4, "fill=true")=0, "", _xll.IMDP("IR", $B178, L$6, $C$4, "fill=true")))</f>
        <v/>
      </c>
      <c r="M178" s="101" t="str">
        <f ca="1">IF($B178="", "", IF(_xll.IMDP("IR", $B178, M$6, $C$4, "fill=true")=0, "", _xll.IMDP("IR", $B178, M$6, $C$4, "fill=true")))</f>
        <v/>
      </c>
      <c r="N178" s="101" t="str">
        <f ca="1">IF($B178="", "", IF(_xll.IMDP("IR", $B178, N$6, $C$4, "fill=true")=0, "", _xll.IMDP("IR", $B178, N$6, $C$4, "fill=true")))</f>
        <v/>
      </c>
      <c r="O178" s="101" t="str">
        <f ca="1">IF($B178="", "", IF(_xll.IMDP("IR", $B178, O$6, $C$4, "fill=true")=0, "", _xll.IMDP("IR", $B178, O$6, $C$4, "fill=true")))</f>
        <v/>
      </c>
      <c r="P178" s="101" t="str">
        <f ca="1">IF($B178="", "", IF(_xll.IMDP("IR", $B178, P$6, $C$4, "fill=true")=0, "", _xll.IMDP("IR", $B178, P$6, $C$4, "fill=true")))</f>
        <v/>
      </c>
      <c r="Q178" s="102" t="str">
        <f ca="1">IF($B178="", "", IF(_xll.IMDP("IR", $B178, Q$6, $C$4, "fill=true")=0, "", _xll.IMDP("IR", $B178, Q$6, $C$4, "fill=true")))</f>
        <v/>
      </c>
    </row>
    <row r="179" spans="2:17" s="83" customFormat="1" ht="13.5">
      <c r="B179" s="83" t="str">
        <f ca="1">IFERROR( VLOOKUP(ROW()-ROW($B$6), code!$G$51:$K$1483, 5, 0), "")</f>
        <v/>
      </c>
      <c r="C179" s="96" t="str">
        <f ca="1">IF($B179="", "", _xll.IMDP("IR", $B179, "1일", $C$4, "fill=true, disp=date"))</f>
        <v/>
      </c>
      <c r="D179" s="97" t="str">
        <f ca="1">IF($B179="", "", VLOOKUP(ROW()-ROW($B$6), code!$G$51:$K$1483, 2, 0) )</f>
        <v/>
      </c>
      <c r="E179" s="98" t="str">
        <f ca="1">IF($B179="", "", VLOOKUP(ROW()-ROW($B$6), code!$G$51:$K$1483, 3, 0) )</f>
        <v/>
      </c>
      <c r="F179" s="99" t="str">
        <f ca="1">IF($B179="", "", VLOOKUP(ROW()-ROW($B$6), code!$G$51:$K$1483, 4, 0))</f>
        <v/>
      </c>
      <c r="G179" s="100" t="str">
        <f ca="1">IF($B179="", "", IF(_xll.IMDP("IR", $B179, G$6, $C$4, "fill=true")=0, "", _xll.IMDP("IR", $B179, G$6, $C$4, "fill=true")))</f>
        <v/>
      </c>
      <c r="H179" s="101" t="str">
        <f ca="1">IF($B179="", "", IF(_xll.IMDP("IR", $B179, H$6, $C$4, "fill=true")=0, "", _xll.IMDP("IR", $B179, H$6, $C$4, "fill=true")))</f>
        <v/>
      </c>
      <c r="I179" s="101" t="str">
        <f ca="1">IF($B179="", "", IF(_xll.IMDP("IR", $B179, I$6, $C$4, "fill=true")=0, "", _xll.IMDP("IR", $B179, I$6, $C$4, "fill=true")))</f>
        <v/>
      </c>
      <c r="J179" s="101" t="str">
        <f ca="1">IF($B179="", "", IF(_xll.IMDP("IR", $B179, J$6, $C$4, "fill=true")=0, "", _xll.IMDP("IR", $B179, J$6, $C$4, "fill=true")))</f>
        <v/>
      </c>
      <c r="K179" s="101" t="str">
        <f ca="1">IF($B179="", "", IF(_xll.IMDP("IR", $B179, K$6, $C$4, "fill=true")=0, "", _xll.IMDP("IR", $B179, K$6, $C$4, "fill=true")))</f>
        <v/>
      </c>
      <c r="L179" s="101" t="str">
        <f ca="1">IF($B179="", "", IF(_xll.IMDP("IR", $B179, L$6, $C$4, "fill=true")=0, "", _xll.IMDP("IR", $B179, L$6, $C$4, "fill=true")))</f>
        <v/>
      </c>
      <c r="M179" s="101" t="str">
        <f ca="1">IF($B179="", "", IF(_xll.IMDP("IR", $B179, M$6, $C$4, "fill=true")=0, "", _xll.IMDP("IR", $B179, M$6, $C$4, "fill=true")))</f>
        <v/>
      </c>
      <c r="N179" s="101" t="str">
        <f ca="1">IF($B179="", "", IF(_xll.IMDP("IR", $B179, N$6, $C$4, "fill=true")=0, "", _xll.IMDP("IR", $B179, N$6, $C$4, "fill=true")))</f>
        <v/>
      </c>
      <c r="O179" s="101" t="str">
        <f ca="1">IF($B179="", "", IF(_xll.IMDP("IR", $B179, O$6, $C$4, "fill=true")=0, "", _xll.IMDP("IR", $B179, O$6, $C$4, "fill=true")))</f>
        <v/>
      </c>
      <c r="P179" s="101" t="str">
        <f ca="1">IF($B179="", "", IF(_xll.IMDP("IR", $B179, P$6, $C$4, "fill=true")=0, "", _xll.IMDP("IR", $B179, P$6, $C$4, "fill=true")))</f>
        <v/>
      </c>
      <c r="Q179" s="102" t="str">
        <f ca="1">IF($B179="", "", IF(_xll.IMDP("IR", $B179, Q$6, $C$4, "fill=true")=0, "", _xll.IMDP("IR", $B179, Q$6, $C$4, "fill=true")))</f>
        <v/>
      </c>
    </row>
    <row r="180" spans="2:17" s="83" customFormat="1" ht="13.5">
      <c r="B180" s="83" t="str">
        <f ca="1">IFERROR( VLOOKUP(ROW()-ROW($B$6), code!$G$51:$K$1483, 5, 0), "")</f>
        <v/>
      </c>
      <c r="C180" s="96" t="str">
        <f ca="1">IF($B180="", "", _xll.IMDP("IR", $B180, "1일", $C$4, "fill=true, disp=date"))</f>
        <v/>
      </c>
      <c r="D180" s="97" t="str">
        <f ca="1">IF($B180="", "", VLOOKUP(ROW()-ROW($B$6), code!$G$51:$K$1483, 2, 0) )</f>
        <v/>
      </c>
      <c r="E180" s="98" t="str">
        <f ca="1">IF($B180="", "", VLOOKUP(ROW()-ROW($B$6), code!$G$51:$K$1483, 3, 0) )</f>
        <v/>
      </c>
      <c r="F180" s="99" t="str">
        <f ca="1">IF($B180="", "", VLOOKUP(ROW()-ROW($B$6), code!$G$51:$K$1483, 4, 0))</f>
        <v/>
      </c>
      <c r="G180" s="100" t="str">
        <f ca="1">IF($B180="", "", IF(_xll.IMDP("IR", $B180, G$6, $C$4, "fill=true")=0, "", _xll.IMDP("IR", $B180, G$6, $C$4, "fill=true")))</f>
        <v/>
      </c>
      <c r="H180" s="101" t="str">
        <f ca="1">IF($B180="", "", IF(_xll.IMDP("IR", $B180, H$6, $C$4, "fill=true")=0, "", _xll.IMDP("IR", $B180, H$6, $C$4, "fill=true")))</f>
        <v/>
      </c>
      <c r="I180" s="101" t="str">
        <f ca="1">IF($B180="", "", IF(_xll.IMDP("IR", $B180, I$6, $C$4, "fill=true")=0, "", _xll.IMDP("IR", $B180, I$6, $C$4, "fill=true")))</f>
        <v/>
      </c>
      <c r="J180" s="101" t="str">
        <f ca="1">IF($B180="", "", IF(_xll.IMDP("IR", $B180, J$6, $C$4, "fill=true")=0, "", _xll.IMDP("IR", $B180, J$6, $C$4, "fill=true")))</f>
        <v/>
      </c>
      <c r="K180" s="101" t="str">
        <f ca="1">IF($B180="", "", IF(_xll.IMDP("IR", $B180, K$6, $C$4, "fill=true")=0, "", _xll.IMDP("IR", $B180, K$6, $C$4, "fill=true")))</f>
        <v/>
      </c>
      <c r="L180" s="101" t="str">
        <f ca="1">IF($B180="", "", IF(_xll.IMDP("IR", $B180, L$6, $C$4, "fill=true")=0, "", _xll.IMDP("IR", $B180, L$6, $C$4, "fill=true")))</f>
        <v/>
      </c>
      <c r="M180" s="101" t="str">
        <f ca="1">IF($B180="", "", IF(_xll.IMDP("IR", $B180, M$6, $C$4, "fill=true")=0, "", _xll.IMDP("IR", $B180, M$6, $C$4, "fill=true")))</f>
        <v/>
      </c>
      <c r="N180" s="101" t="str">
        <f ca="1">IF($B180="", "", IF(_xll.IMDP("IR", $B180, N$6, $C$4, "fill=true")=0, "", _xll.IMDP("IR", $B180, N$6, $C$4, "fill=true")))</f>
        <v/>
      </c>
      <c r="O180" s="101" t="str">
        <f ca="1">IF($B180="", "", IF(_xll.IMDP("IR", $B180, O$6, $C$4, "fill=true")=0, "", _xll.IMDP("IR", $B180, O$6, $C$4, "fill=true")))</f>
        <v/>
      </c>
      <c r="P180" s="101" t="str">
        <f ca="1">IF($B180="", "", IF(_xll.IMDP("IR", $B180, P$6, $C$4, "fill=true")=0, "", _xll.IMDP("IR", $B180, P$6, $C$4, "fill=true")))</f>
        <v/>
      </c>
      <c r="Q180" s="102" t="str">
        <f ca="1">IF($B180="", "", IF(_xll.IMDP("IR", $B180, Q$6, $C$4, "fill=true")=0, "", _xll.IMDP("IR", $B180, Q$6, $C$4, "fill=true")))</f>
        <v/>
      </c>
    </row>
    <row r="181" spans="2:17" s="83" customFormat="1" ht="13.5">
      <c r="B181" s="83" t="str">
        <f ca="1">IFERROR( VLOOKUP(ROW()-ROW($B$6), code!$G$51:$K$1483, 5, 0), "")</f>
        <v/>
      </c>
      <c r="C181" s="96" t="str">
        <f ca="1">IF($B181="", "", _xll.IMDP("IR", $B181, "1일", $C$4, "fill=true, disp=date"))</f>
        <v/>
      </c>
      <c r="D181" s="97" t="str">
        <f ca="1">IF($B181="", "", VLOOKUP(ROW()-ROW($B$6), code!$G$51:$K$1483, 2, 0) )</f>
        <v/>
      </c>
      <c r="E181" s="98" t="str">
        <f ca="1">IF($B181="", "", VLOOKUP(ROW()-ROW($B$6), code!$G$51:$K$1483, 3, 0) )</f>
        <v/>
      </c>
      <c r="F181" s="99" t="str">
        <f ca="1">IF($B181="", "", VLOOKUP(ROW()-ROW($B$6), code!$G$51:$K$1483, 4, 0))</f>
        <v/>
      </c>
      <c r="G181" s="100" t="str">
        <f ca="1">IF($B181="", "", IF(_xll.IMDP("IR", $B181, G$6, $C$4, "fill=true")=0, "", _xll.IMDP("IR", $B181, G$6, $C$4, "fill=true")))</f>
        <v/>
      </c>
      <c r="H181" s="101" t="str">
        <f ca="1">IF($B181="", "", IF(_xll.IMDP("IR", $B181, H$6, $C$4, "fill=true")=0, "", _xll.IMDP("IR", $B181, H$6, $C$4, "fill=true")))</f>
        <v/>
      </c>
      <c r="I181" s="101" t="str">
        <f ca="1">IF($B181="", "", IF(_xll.IMDP("IR", $B181, I$6, $C$4, "fill=true")=0, "", _xll.IMDP("IR", $B181, I$6, $C$4, "fill=true")))</f>
        <v/>
      </c>
      <c r="J181" s="101" t="str">
        <f ca="1">IF($B181="", "", IF(_xll.IMDP("IR", $B181, J$6, $C$4, "fill=true")=0, "", _xll.IMDP("IR", $B181, J$6, $C$4, "fill=true")))</f>
        <v/>
      </c>
      <c r="K181" s="101" t="str">
        <f ca="1">IF($B181="", "", IF(_xll.IMDP("IR", $B181, K$6, $C$4, "fill=true")=0, "", _xll.IMDP("IR", $B181, K$6, $C$4, "fill=true")))</f>
        <v/>
      </c>
      <c r="L181" s="101" t="str">
        <f ca="1">IF($B181="", "", IF(_xll.IMDP("IR", $B181, L$6, $C$4, "fill=true")=0, "", _xll.IMDP("IR", $B181, L$6, $C$4, "fill=true")))</f>
        <v/>
      </c>
      <c r="M181" s="101" t="str">
        <f ca="1">IF($B181="", "", IF(_xll.IMDP("IR", $B181, M$6, $C$4, "fill=true")=0, "", _xll.IMDP("IR", $B181, M$6, $C$4, "fill=true")))</f>
        <v/>
      </c>
      <c r="N181" s="101" t="str">
        <f ca="1">IF($B181="", "", IF(_xll.IMDP("IR", $B181, N$6, $C$4, "fill=true")=0, "", _xll.IMDP("IR", $B181, N$6, $C$4, "fill=true")))</f>
        <v/>
      </c>
      <c r="O181" s="101" t="str">
        <f ca="1">IF($B181="", "", IF(_xll.IMDP("IR", $B181, O$6, $C$4, "fill=true")=0, "", _xll.IMDP("IR", $B181, O$6, $C$4, "fill=true")))</f>
        <v/>
      </c>
      <c r="P181" s="101" t="str">
        <f ca="1">IF($B181="", "", IF(_xll.IMDP("IR", $B181, P$6, $C$4, "fill=true")=0, "", _xll.IMDP("IR", $B181, P$6, $C$4, "fill=true")))</f>
        <v/>
      </c>
      <c r="Q181" s="102" t="str">
        <f ca="1">IF($B181="", "", IF(_xll.IMDP("IR", $B181, Q$6, $C$4, "fill=true")=0, "", _xll.IMDP("IR", $B181, Q$6, $C$4, "fill=true")))</f>
        <v/>
      </c>
    </row>
    <row r="182" spans="2:17" s="83" customFormat="1" ht="13.5">
      <c r="B182" s="83" t="str">
        <f ca="1">IFERROR( VLOOKUP(ROW()-ROW($B$6), code!$G$51:$K$1483, 5, 0), "")</f>
        <v/>
      </c>
      <c r="C182" s="96" t="str">
        <f ca="1">IF($B182="", "", _xll.IMDP("IR", $B182, "1일", $C$4, "fill=true, disp=date"))</f>
        <v/>
      </c>
      <c r="D182" s="97" t="str">
        <f ca="1">IF($B182="", "", VLOOKUP(ROW()-ROW($B$6), code!$G$51:$K$1483, 2, 0) )</f>
        <v/>
      </c>
      <c r="E182" s="98" t="str">
        <f ca="1">IF($B182="", "", VLOOKUP(ROW()-ROW($B$6), code!$G$51:$K$1483, 3, 0) )</f>
        <v/>
      </c>
      <c r="F182" s="99" t="str">
        <f ca="1">IF($B182="", "", VLOOKUP(ROW()-ROW($B$6), code!$G$51:$K$1483, 4, 0))</f>
        <v/>
      </c>
      <c r="G182" s="100" t="str">
        <f ca="1">IF($B182="", "", IF(_xll.IMDP("IR", $B182, G$6, $C$4, "fill=true")=0, "", _xll.IMDP("IR", $B182, G$6, $C$4, "fill=true")))</f>
        <v/>
      </c>
      <c r="H182" s="101" t="str">
        <f ca="1">IF($B182="", "", IF(_xll.IMDP("IR", $B182, H$6, $C$4, "fill=true")=0, "", _xll.IMDP("IR", $B182, H$6, $C$4, "fill=true")))</f>
        <v/>
      </c>
      <c r="I182" s="101" t="str">
        <f ca="1">IF($B182="", "", IF(_xll.IMDP("IR", $B182, I$6, $C$4, "fill=true")=0, "", _xll.IMDP("IR", $B182, I$6, $C$4, "fill=true")))</f>
        <v/>
      </c>
      <c r="J182" s="101" t="str">
        <f ca="1">IF($B182="", "", IF(_xll.IMDP("IR", $B182, J$6, $C$4, "fill=true")=0, "", _xll.IMDP("IR", $B182, J$6, $C$4, "fill=true")))</f>
        <v/>
      </c>
      <c r="K182" s="101" t="str">
        <f ca="1">IF($B182="", "", IF(_xll.IMDP("IR", $B182, K$6, $C$4, "fill=true")=0, "", _xll.IMDP("IR", $B182, K$6, $C$4, "fill=true")))</f>
        <v/>
      </c>
      <c r="L182" s="101" t="str">
        <f ca="1">IF($B182="", "", IF(_xll.IMDP("IR", $B182, L$6, $C$4, "fill=true")=0, "", _xll.IMDP("IR", $B182, L$6, $C$4, "fill=true")))</f>
        <v/>
      </c>
      <c r="M182" s="101" t="str">
        <f ca="1">IF($B182="", "", IF(_xll.IMDP("IR", $B182, M$6, $C$4, "fill=true")=0, "", _xll.IMDP("IR", $B182, M$6, $C$4, "fill=true")))</f>
        <v/>
      </c>
      <c r="N182" s="101" t="str">
        <f ca="1">IF($B182="", "", IF(_xll.IMDP("IR", $B182, N$6, $C$4, "fill=true")=0, "", _xll.IMDP("IR", $B182, N$6, $C$4, "fill=true")))</f>
        <v/>
      </c>
      <c r="O182" s="101" t="str">
        <f ca="1">IF($B182="", "", IF(_xll.IMDP("IR", $B182, O$6, $C$4, "fill=true")=0, "", _xll.IMDP("IR", $B182, O$6, $C$4, "fill=true")))</f>
        <v/>
      </c>
      <c r="P182" s="101" t="str">
        <f ca="1">IF($B182="", "", IF(_xll.IMDP("IR", $B182, P$6, $C$4, "fill=true")=0, "", _xll.IMDP("IR", $B182, P$6, $C$4, "fill=true")))</f>
        <v/>
      </c>
      <c r="Q182" s="102" t="str">
        <f ca="1">IF($B182="", "", IF(_xll.IMDP("IR", $B182, Q$6, $C$4, "fill=true")=0, "", _xll.IMDP("IR", $B182, Q$6, $C$4, "fill=true")))</f>
        <v/>
      </c>
    </row>
    <row r="183" spans="2:17" s="83" customFormat="1" ht="13.5">
      <c r="B183" s="83" t="str">
        <f ca="1">IFERROR( VLOOKUP(ROW()-ROW($B$6), code!$G$51:$K$1483, 5, 0), "")</f>
        <v/>
      </c>
      <c r="C183" s="96" t="str">
        <f ca="1">IF($B183="", "", _xll.IMDP("IR", $B183, "1일", $C$4, "fill=true, disp=date"))</f>
        <v/>
      </c>
      <c r="D183" s="97" t="str">
        <f ca="1">IF($B183="", "", VLOOKUP(ROW()-ROW($B$6), code!$G$51:$K$1483, 2, 0) )</f>
        <v/>
      </c>
      <c r="E183" s="98" t="str">
        <f ca="1">IF($B183="", "", VLOOKUP(ROW()-ROW($B$6), code!$G$51:$K$1483, 3, 0) )</f>
        <v/>
      </c>
      <c r="F183" s="99" t="str">
        <f ca="1">IF($B183="", "", VLOOKUP(ROW()-ROW($B$6), code!$G$51:$K$1483, 4, 0))</f>
        <v/>
      </c>
      <c r="G183" s="100" t="str">
        <f ca="1">IF($B183="", "", IF(_xll.IMDP("IR", $B183, G$6, $C$4, "fill=true")=0, "", _xll.IMDP("IR", $B183, G$6, $C$4, "fill=true")))</f>
        <v/>
      </c>
      <c r="H183" s="101" t="str">
        <f ca="1">IF($B183="", "", IF(_xll.IMDP("IR", $B183, H$6, $C$4, "fill=true")=0, "", _xll.IMDP("IR", $B183, H$6, $C$4, "fill=true")))</f>
        <v/>
      </c>
      <c r="I183" s="101" t="str">
        <f ca="1">IF($B183="", "", IF(_xll.IMDP("IR", $B183, I$6, $C$4, "fill=true")=0, "", _xll.IMDP("IR", $B183, I$6, $C$4, "fill=true")))</f>
        <v/>
      </c>
      <c r="J183" s="101" t="str">
        <f ca="1">IF($B183="", "", IF(_xll.IMDP("IR", $B183, J$6, $C$4, "fill=true")=0, "", _xll.IMDP("IR", $B183, J$6, $C$4, "fill=true")))</f>
        <v/>
      </c>
      <c r="K183" s="101" t="str">
        <f ca="1">IF($B183="", "", IF(_xll.IMDP("IR", $B183, K$6, $C$4, "fill=true")=0, "", _xll.IMDP("IR", $B183, K$6, $C$4, "fill=true")))</f>
        <v/>
      </c>
      <c r="L183" s="101" t="str">
        <f ca="1">IF($B183="", "", IF(_xll.IMDP("IR", $B183, L$6, $C$4, "fill=true")=0, "", _xll.IMDP("IR", $B183, L$6, $C$4, "fill=true")))</f>
        <v/>
      </c>
      <c r="M183" s="101" t="str">
        <f ca="1">IF($B183="", "", IF(_xll.IMDP("IR", $B183, M$6, $C$4, "fill=true")=0, "", _xll.IMDP("IR", $B183, M$6, $C$4, "fill=true")))</f>
        <v/>
      </c>
      <c r="N183" s="101" t="str">
        <f ca="1">IF($B183="", "", IF(_xll.IMDP("IR", $B183, N$6, $C$4, "fill=true")=0, "", _xll.IMDP("IR", $B183, N$6, $C$4, "fill=true")))</f>
        <v/>
      </c>
      <c r="O183" s="101" t="str">
        <f ca="1">IF($B183="", "", IF(_xll.IMDP("IR", $B183, O$6, $C$4, "fill=true")=0, "", _xll.IMDP("IR", $B183, O$6, $C$4, "fill=true")))</f>
        <v/>
      </c>
      <c r="P183" s="101" t="str">
        <f ca="1">IF($B183="", "", IF(_xll.IMDP("IR", $B183, P$6, $C$4, "fill=true")=0, "", _xll.IMDP("IR", $B183, P$6, $C$4, "fill=true")))</f>
        <v/>
      </c>
      <c r="Q183" s="102" t="str">
        <f ca="1">IF($B183="", "", IF(_xll.IMDP("IR", $B183, Q$6, $C$4, "fill=true")=0, "", _xll.IMDP("IR", $B183, Q$6, $C$4, "fill=true")))</f>
        <v/>
      </c>
    </row>
    <row r="184" spans="2:17" s="83" customFormat="1" ht="13.5">
      <c r="B184" s="83" t="str">
        <f ca="1">IFERROR( VLOOKUP(ROW()-ROW($B$6), code!$G$51:$K$1483, 5, 0), "")</f>
        <v/>
      </c>
      <c r="C184" s="96" t="str">
        <f ca="1">IF($B184="", "", _xll.IMDP("IR", $B184, "1일", $C$4, "fill=true, disp=date"))</f>
        <v/>
      </c>
      <c r="D184" s="97" t="str">
        <f ca="1">IF($B184="", "", VLOOKUP(ROW()-ROW($B$6), code!$G$51:$K$1483, 2, 0) )</f>
        <v/>
      </c>
      <c r="E184" s="98" t="str">
        <f ca="1">IF($B184="", "", VLOOKUP(ROW()-ROW($B$6), code!$G$51:$K$1483, 3, 0) )</f>
        <v/>
      </c>
      <c r="F184" s="99" t="str">
        <f ca="1">IF($B184="", "", VLOOKUP(ROW()-ROW($B$6), code!$G$51:$K$1483, 4, 0))</f>
        <v/>
      </c>
      <c r="G184" s="100" t="str">
        <f ca="1">IF($B184="", "", IF(_xll.IMDP("IR", $B184, G$6, $C$4, "fill=true")=0, "", _xll.IMDP("IR", $B184, G$6, $C$4, "fill=true")))</f>
        <v/>
      </c>
      <c r="H184" s="101" t="str">
        <f ca="1">IF($B184="", "", IF(_xll.IMDP("IR", $B184, H$6, $C$4, "fill=true")=0, "", _xll.IMDP("IR", $B184, H$6, $C$4, "fill=true")))</f>
        <v/>
      </c>
      <c r="I184" s="101" t="str">
        <f ca="1">IF($B184="", "", IF(_xll.IMDP("IR", $B184, I$6, $C$4, "fill=true")=0, "", _xll.IMDP("IR", $B184, I$6, $C$4, "fill=true")))</f>
        <v/>
      </c>
      <c r="J184" s="101" t="str">
        <f ca="1">IF($B184="", "", IF(_xll.IMDP("IR", $B184, J$6, $C$4, "fill=true")=0, "", _xll.IMDP("IR", $B184, J$6, $C$4, "fill=true")))</f>
        <v/>
      </c>
      <c r="K184" s="101" t="str">
        <f ca="1">IF($B184="", "", IF(_xll.IMDP("IR", $B184, K$6, $C$4, "fill=true")=0, "", _xll.IMDP("IR", $B184, K$6, $C$4, "fill=true")))</f>
        <v/>
      </c>
      <c r="L184" s="101" t="str">
        <f ca="1">IF($B184="", "", IF(_xll.IMDP("IR", $B184, L$6, $C$4, "fill=true")=0, "", _xll.IMDP("IR", $B184, L$6, $C$4, "fill=true")))</f>
        <v/>
      </c>
      <c r="M184" s="101" t="str">
        <f ca="1">IF($B184="", "", IF(_xll.IMDP("IR", $B184, M$6, $C$4, "fill=true")=0, "", _xll.IMDP("IR", $B184, M$6, $C$4, "fill=true")))</f>
        <v/>
      </c>
      <c r="N184" s="101" t="str">
        <f ca="1">IF($B184="", "", IF(_xll.IMDP("IR", $B184, N$6, $C$4, "fill=true")=0, "", _xll.IMDP("IR", $B184, N$6, $C$4, "fill=true")))</f>
        <v/>
      </c>
      <c r="O184" s="101" t="str">
        <f ca="1">IF($B184="", "", IF(_xll.IMDP("IR", $B184, O$6, $C$4, "fill=true")=0, "", _xll.IMDP("IR", $B184, O$6, $C$4, "fill=true")))</f>
        <v/>
      </c>
      <c r="P184" s="101" t="str">
        <f ca="1">IF($B184="", "", IF(_xll.IMDP("IR", $B184, P$6, $C$4, "fill=true")=0, "", _xll.IMDP("IR", $B184, P$6, $C$4, "fill=true")))</f>
        <v/>
      </c>
      <c r="Q184" s="102" t="str">
        <f ca="1">IF($B184="", "", IF(_xll.IMDP("IR", $B184, Q$6, $C$4, "fill=true")=0, "", _xll.IMDP("IR", $B184, Q$6, $C$4, "fill=true")))</f>
        <v/>
      </c>
    </row>
    <row r="185" spans="2:17" s="83" customFormat="1" ht="13.5">
      <c r="B185" s="83" t="str">
        <f ca="1">IFERROR( VLOOKUP(ROW()-ROW($B$6), code!$G$51:$K$1483, 5, 0), "")</f>
        <v/>
      </c>
      <c r="C185" s="96" t="str">
        <f ca="1">IF($B185="", "", _xll.IMDP("IR", $B185, "1일", $C$4, "fill=true, disp=date"))</f>
        <v/>
      </c>
      <c r="D185" s="97" t="str">
        <f ca="1">IF($B185="", "", VLOOKUP(ROW()-ROW($B$6), code!$G$51:$K$1483, 2, 0) )</f>
        <v/>
      </c>
      <c r="E185" s="98" t="str">
        <f ca="1">IF($B185="", "", VLOOKUP(ROW()-ROW($B$6), code!$G$51:$K$1483, 3, 0) )</f>
        <v/>
      </c>
      <c r="F185" s="99" t="str">
        <f ca="1">IF($B185="", "", VLOOKUP(ROW()-ROW($B$6), code!$G$51:$K$1483, 4, 0))</f>
        <v/>
      </c>
      <c r="G185" s="100" t="str">
        <f ca="1">IF($B185="", "", IF(_xll.IMDP("IR", $B185, G$6, $C$4, "fill=true")=0, "", _xll.IMDP("IR", $B185, G$6, $C$4, "fill=true")))</f>
        <v/>
      </c>
      <c r="H185" s="101" t="str">
        <f ca="1">IF($B185="", "", IF(_xll.IMDP("IR", $B185, H$6, $C$4, "fill=true")=0, "", _xll.IMDP("IR", $B185, H$6, $C$4, "fill=true")))</f>
        <v/>
      </c>
      <c r="I185" s="101" t="str">
        <f ca="1">IF($B185="", "", IF(_xll.IMDP("IR", $B185, I$6, $C$4, "fill=true")=0, "", _xll.IMDP("IR", $B185, I$6, $C$4, "fill=true")))</f>
        <v/>
      </c>
      <c r="J185" s="101" t="str">
        <f ca="1">IF($B185="", "", IF(_xll.IMDP("IR", $B185, J$6, $C$4, "fill=true")=0, "", _xll.IMDP("IR", $B185, J$6, $C$4, "fill=true")))</f>
        <v/>
      </c>
      <c r="K185" s="101" t="str">
        <f ca="1">IF($B185="", "", IF(_xll.IMDP("IR", $B185, K$6, $C$4, "fill=true")=0, "", _xll.IMDP("IR", $B185, K$6, $C$4, "fill=true")))</f>
        <v/>
      </c>
      <c r="L185" s="101" t="str">
        <f ca="1">IF($B185="", "", IF(_xll.IMDP("IR", $B185, L$6, $C$4, "fill=true")=0, "", _xll.IMDP("IR", $B185, L$6, $C$4, "fill=true")))</f>
        <v/>
      </c>
      <c r="M185" s="101" t="str">
        <f ca="1">IF($B185="", "", IF(_xll.IMDP("IR", $B185, M$6, $C$4, "fill=true")=0, "", _xll.IMDP("IR", $B185, M$6, $C$4, "fill=true")))</f>
        <v/>
      </c>
      <c r="N185" s="101" t="str">
        <f ca="1">IF($B185="", "", IF(_xll.IMDP("IR", $B185, N$6, $C$4, "fill=true")=0, "", _xll.IMDP("IR", $B185, N$6, $C$4, "fill=true")))</f>
        <v/>
      </c>
      <c r="O185" s="101" t="str">
        <f ca="1">IF($B185="", "", IF(_xll.IMDP("IR", $B185, O$6, $C$4, "fill=true")=0, "", _xll.IMDP("IR", $B185, O$6, $C$4, "fill=true")))</f>
        <v/>
      </c>
      <c r="P185" s="101" t="str">
        <f ca="1">IF($B185="", "", IF(_xll.IMDP("IR", $B185, P$6, $C$4, "fill=true")=0, "", _xll.IMDP("IR", $B185, P$6, $C$4, "fill=true")))</f>
        <v/>
      </c>
      <c r="Q185" s="102" t="str">
        <f ca="1">IF($B185="", "", IF(_xll.IMDP("IR", $B185, Q$6, $C$4, "fill=true")=0, "", _xll.IMDP("IR", $B185, Q$6, $C$4, "fill=true")))</f>
        <v/>
      </c>
    </row>
    <row r="186" spans="2:17" s="83" customFormat="1" ht="13.5">
      <c r="B186" s="83" t="str">
        <f ca="1">IFERROR( VLOOKUP(ROW()-ROW($B$6), code!$G$51:$K$1483, 5, 0), "")</f>
        <v/>
      </c>
      <c r="C186" s="96" t="str">
        <f ca="1">IF($B186="", "", _xll.IMDP("IR", $B186, "1일", $C$4, "fill=true, disp=date"))</f>
        <v/>
      </c>
      <c r="D186" s="97" t="str">
        <f ca="1">IF($B186="", "", VLOOKUP(ROW()-ROW($B$6), code!$G$51:$K$1483, 2, 0) )</f>
        <v/>
      </c>
      <c r="E186" s="98" t="str">
        <f ca="1">IF($B186="", "", VLOOKUP(ROW()-ROW($B$6), code!$G$51:$K$1483, 3, 0) )</f>
        <v/>
      </c>
      <c r="F186" s="99" t="str">
        <f ca="1">IF($B186="", "", VLOOKUP(ROW()-ROW($B$6), code!$G$51:$K$1483, 4, 0))</f>
        <v/>
      </c>
      <c r="G186" s="100" t="str">
        <f ca="1">IF($B186="", "", IF(_xll.IMDP("IR", $B186, G$6, $C$4, "fill=true")=0, "", _xll.IMDP("IR", $B186, G$6, $C$4, "fill=true")))</f>
        <v/>
      </c>
      <c r="H186" s="101" t="str">
        <f ca="1">IF($B186="", "", IF(_xll.IMDP("IR", $B186, H$6, $C$4, "fill=true")=0, "", _xll.IMDP("IR", $B186, H$6, $C$4, "fill=true")))</f>
        <v/>
      </c>
      <c r="I186" s="101" t="str">
        <f ca="1">IF($B186="", "", IF(_xll.IMDP("IR", $B186, I$6, $C$4, "fill=true")=0, "", _xll.IMDP("IR", $B186, I$6, $C$4, "fill=true")))</f>
        <v/>
      </c>
      <c r="J186" s="101" t="str">
        <f ca="1">IF($B186="", "", IF(_xll.IMDP("IR", $B186, J$6, $C$4, "fill=true")=0, "", _xll.IMDP("IR", $B186, J$6, $C$4, "fill=true")))</f>
        <v/>
      </c>
      <c r="K186" s="101" t="str">
        <f ca="1">IF($B186="", "", IF(_xll.IMDP("IR", $B186, K$6, $C$4, "fill=true")=0, "", _xll.IMDP("IR", $B186, K$6, $C$4, "fill=true")))</f>
        <v/>
      </c>
      <c r="L186" s="101" t="str">
        <f ca="1">IF($B186="", "", IF(_xll.IMDP("IR", $B186, L$6, $C$4, "fill=true")=0, "", _xll.IMDP("IR", $B186, L$6, $C$4, "fill=true")))</f>
        <v/>
      </c>
      <c r="M186" s="101" t="str">
        <f ca="1">IF($B186="", "", IF(_xll.IMDP("IR", $B186, M$6, $C$4, "fill=true")=0, "", _xll.IMDP("IR", $B186, M$6, $C$4, "fill=true")))</f>
        <v/>
      </c>
      <c r="N186" s="101" t="str">
        <f ca="1">IF($B186="", "", IF(_xll.IMDP("IR", $B186, N$6, $C$4, "fill=true")=0, "", _xll.IMDP("IR", $B186, N$6, $C$4, "fill=true")))</f>
        <v/>
      </c>
      <c r="O186" s="101" t="str">
        <f ca="1">IF($B186="", "", IF(_xll.IMDP("IR", $B186, O$6, $C$4, "fill=true")=0, "", _xll.IMDP("IR", $B186, O$6, $C$4, "fill=true")))</f>
        <v/>
      </c>
      <c r="P186" s="101" t="str">
        <f ca="1">IF($B186="", "", IF(_xll.IMDP("IR", $B186, P$6, $C$4, "fill=true")=0, "", _xll.IMDP("IR", $B186, P$6, $C$4, "fill=true")))</f>
        <v/>
      </c>
      <c r="Q186" s="102" t="str">
        <f ca="1">IF($B186="", "", IF(_xll.IMDP("IR", $B186, Q$6, $C$4, "fill=true")=0, "", _xll.IMDP("IR", $B186, Q$6, $C$4, "fill=true")))</f>
        <v/>
      </c>
    </row>
    <row r="187" spans="2:17" s="83" customFormat="1" ht="13.5">
      <c r="B187" s="83" t="str">
        <f ca="1">IFERROR( VLOOKUP(ROW()-ROW($B$6), code!$G$51:$K$1483, 5, 0), "")</f>
        <v/>
      </c>
      <c r="C187" s="96" t="str">
        <f ca="1">IF($B187="", "", _xll.IMDP("IR", $B187, "1일", $C$4, "fill=true, disp=date"))</f>
        <v/>
      </c>
      <c r="D187" s="97" t="str">
        <f ca="1">IF($B187="", "", VLOOKUP(ROW()-ROW($B$6), code!$G$51:$K$1483, 2, 0) )</f>
        <v/>
      </c>
      <c r="E187" s="98" t="str">
        <f ca="1">IF($B187="", "", VLOOKUP(ROW()-ROW($B$6), code!$G$51:$K$1483, 3, 0) )</f>
        <v/>
      </c>
      <c r="F187" s="99" t="str">
        <f ca="1">IF($B187="", "", VLOOKUP(ROW()-ROW($B$6), code!$G$51:$K$1483, 4, 0))</f>
        <v/>
      </c>
      <c r="G187" s="100" t="str">
        <f ca="1">IF($B187="", "", IF(_xll.IMDP("IR", $B187, G$6, $C$4, "fill=true")=0, "", _xll.IMDP("IR", $B187, G$6, $C$4, "fill=true")))</f>
        <v/>
      </c>
      <c r="H187" s="101" t="str">
        <f ca="1">IF($B187="", "", IF(_xll.IMDP("IR", $B187, H$6, $C$4, "fill=true")=0, "", _xll.IMDP("IR", $B187, H$6, $C$4, "fill=true")))</f>
        <v/>
      </c>
      <c r="I187" s="101" t="str">
        <f ca="1">IF($B187="", "", IF(_xll.IMDP("IR", $B187, I$6, $C$4, "fill=true")=0, "", _xll.IMDP("IR", $B187, I$6, $C$4, "fill=true")))</f>
        <v/>
      </c>
      <c r="J187" s="101" t="str">
        <f ca="1">IF($B187="", "", IF(_xll.IMDP("IR", $B187, J$6, $C$4, "fill=true")=0, "", _xll.IMDP("IR", $B187, J$6, $C$4, "fill=true")))</f>
        <v/>
      </c>
      <c r="K187" s="101" t="str">
        <f ca="1">IF($B187="", "", IF(_xll.IMDP("IR", $B187, K$6, $C$4, "fill=true")=0, "", _xll.IMDP("IR", $B187, K$6, $C$4, "fill=true")))</f>
        <v/>
      </c>
      <c r="L187" s="101" t="str">
        <f ca="1">IF($B187="", "", IF(_xll.IMDP("IR", $B187, L$6, $C$4, "fill=true")=0, "", _xll.IMDP("IR", $B187, L$6, $C$4, "fill=true")))</f>
        <v/>
      </c>
      <c r="M187" s="101" t="str">
        <f ca="1">IF($B187="", "", IF(_xll.IMDP("IR", $B187, M$6, $C$4, "fill=true")=0, "", _xll.IMDP("IR", $B187, M$6, $C$4, "fill=true")))</f>
        <v/>
      </c>
      <c r="N187" s="101" t="str">
        <f ca="1">IF($B187="", "", IF(_xll.IMDP("IR", $B187, N$6, $C$4, "fill=true")=0, "", _xll.IMDP("IR", $B187, N$6, $C$4, "fill=true")))</f>
        <v/>
      </c>
      <c r="O187" s="101" t="str">
        <f ca="1">IF($B187="", "", IF(_xll.IMDP("IR", $B187, O$6, $C$4, "fill=true")=0, "", _xll.IMDP("IR", $B187, O$6, $C$4, "fill=true")))</f>
        <v/>
      </c>
      <c r="P187" s="101" t="str">
        <f ca="1">IF($B187="", "", IF(_xll.IMDP("IR", $B187, P$6, $C$4, "fill=true")=0, "", _xll.IMDP("IR", $B187, P$6, $C$4, "fill=true")))</f>
        <v/>
      </c>
      <c r="Q187" s="102" t="str">
        <f ca="1">IF($B187="", "", IF(_xll.IMDP("IR", $B187, Q$6, $C$4, "fill=true")=0, "", _xll.IMDP("IR", $B187, Q$6, $C$4, "fill=true")))</f>
        <v/>
      </c>
    </row>
    <row r="188" spans="2:17" s="83" customFormat="1" ht="13.5">
      <c r="B188" s="83" t="str">
        <f ca="1">IFERROR( VLOOKUP(ROW()-ROW($B$6), code!$G$51:$K$1483, 5, 0), "")</f>
        <v/>
      </c>
      <c r="C188" s="96" t="str">
        <f ca="1">IF($B188="", "", _xll.IMDP("IR", $B188, "1일", $C$4, "fill=true, disp=date"))</f>
        <v/>
      </c>
      <c r="D188" s="97" t="str">
        <f ca="1">IF($B188="", "", VLOOKUP(ROW()-ROW($B$6), code!$G$51:$K$1483, 2, 0) )</f>
        <v/>
      </c>
      <c r="E188" s="98" t="str">
        <f ca="1">IF($B188="", "", VLOOKUP(ROW()-ROW($B$6), code!$G$51:$K$1483, 3, 0) )</f>
        <v/>
      </c>
      <c r="F188" s="99" t="str">
        <f ca="1">IF($B188="", "", VLOOKUP(ROW()-ROW($B$6), code!$G$51:$K$1483, 4, 0))</f>
        <v/>
      </c>
      <c r="G188" s="100" t="str">
        <f ca="1">IF($B188="", "", IF(_xll.IMDP("IR", $B188, G$6, $C$4, "fill=true")=0, "", _xll.IMDP("IR", $B188, G$6, $C$4, "fill=true")))</f>
        <v/>
      </c>
      <c r="H188" s="101" t="str">
        <f ca="1">IF($B188="", "", IF(_xll.IMDP("IR", $B188, H$6, $C$4, "fill=true")=0, "", _xll.IMDP("IR", $B188, H$6, $C$4, "fill=true")))</f>
        <v/>
      </c>
      <c r="I188" s="101" t="str">
        <f ca="1">IF($B188="", "", IF(_xll.IMDP("IR", $B188, I$6, $C$4, "fill=true")=0, "", _xll.IMDP("IR", $B188, I$6, $C$4, "fill=true")))</f>
        <v/>
      </c>
      <c r="J188" s="101" t="str">
        <f ca="1">IF($B188="", "", IF(_xll.IMDP("IR", $B188, J$6, $C$4, "fill=true")=0, "", _xll.IMDP("IR", $B188, J$6, $C$4, "fill=true")))</f>
        <v/>
      </c>
      <c r="K188" s="101" t="str">
        <f ca="1">IF($B188="", "", IF(_xll.IMDP("IR", $B188, K$6, $C$4, "fill=true")=0, "", _xll.IMDP("IR", $B188, K$6, $C$4, "fill=true")))</f>
        <v/>
      </c>
      <c r="L188" s="101" t="str">
        <f ca="1">IF($B188="", "", IF(_xll.IMDP("IR", $B188, L$6, $C$4, "fill=true")=0, "", _xll.IMDP("IR", $B188, L$6, $C$4, "fill=true")))</f>
        <v/>
      </c>
      <c r="M188" s="101" t="str">
        <f ca="1">IF($B188="", "", IF(_xll.IMDP("IR", $B188, M$6, $C$4, "fill=true")=0, "", _xll.IMDP("IR", $B188, M$6, $C$4, "fill=true")))</f>
        <v/>
      </c>
      <c r="N188" s="101" t="str">
        <f ca="1">IF($B188="", "", IF(_xll.IMDP("IR", $B188, N$6, $C$4, "fill=true")=0, "", _xll.IMDP("IR", $B188, N$6, $C$4, "fill=true")))</f>
        <v/>
      </c>
      <c r="O188" s="101" t="str">
        <f ca="1">IF($B188="", "", IF(_xll.IMDP("IR", $B188, O$6, $C$4, "fill=true")=0, "", _xll.IMDP("IR", $B188, O$6, $C$4, "fill=true")))</f>
        <v/>
      </c>
      <c r="P188" s="101" t="str">
        <f ca="1">IF($B188="", "", IF(_xll.IMDP("IR", $B188, P$6, $C$4, "fill=true")=0, "", _xll.IMDP("IR", $B188, P$6, $C$4, "fill=true")))</f>
        <v/>
      </c>
      <c r="Q188" s="102" t="str">
        <f ca="1">IF($B188="", "", IF(_xll.IMDP("IR", $B188, Q$6, $C$4, "fill=true")=0, "", _xll.IMDP("IR", $B188, Q$6, $C$4, "fill=true")))</f>
        <v/>
      </c>
    </row>
    <row r="189" spans="2:17" s="83" customFormat="1" ht="13.5">
      <c r="B189" s="83" t="str">
        <f ca="1">IFERROR( VLOOKUP(ROW()-ROW($B$6), code!$G$51:$K$1483, 5, 0), "")</f>
        <v/>
      </c>
      <c r="C189" s="96" t="str">
        <f ca="1">IF($B189="", "", _xll.IMDP("IR", $B189, "1일", $C$4, "fill=true, disp=date"))</f>
        <v/>
      </c>
      <c r="D189" s="97" t="str">
        <f ca="1">IF($B189="", "", VLOOKUP(ROW()-ROW($B$6), code!$G$51:$K$1483, 2, 0) )</f>
        <v/>
      </c>
      <c r="E189" s="98" t="str">
        <f ca="1">IF($B189="", "", VLOOKUP(ROW()-ROW($B$6), code!$G$51:$K$1483, 3, 0) )</f>
        <v/>
      </c>
      <c r="F189" s="99" t="str">
        <f ca="1">IF($B189="", "", VLOOKUP(ROW()-ROW($B$6), code!$G$51:$K$1483, 4, 0))</f>
        <v/>
      </c>
      <c r="G189" s="100" t="str">
        <f ca="1">IF($B189="", "", IF(_xll.IMDP("IR", $B189, G$6, $C$4, "fill=true")=0, "", _xll.IMDP("IR", $B189, G$6, $C$4, "fill=true")))</f>
        <v/>
      </c>
      <c r="H189" s="101" t="str">
        <f ca="1">IF($B189="", "", IF(_xll.IMDP("IR", $B189, H$6, $C$4, "fill=true")=0, "", _xll.IMDP("IR", $B189, H$6, $C$4, "fill=true")))</f>
        <v/>
      </c>
      <c r="I189" s="101" t="str">
        <f ca="1">IF($B189="", "", IF(_xll.IMDP("IR", $B189, I$6, $C$4, "fill=true")=0, "", _xll.IMDP("IR", $B189, I$6, $C$4, "fill=true")))</f>
        <v/>
      </c>
      <c r="J189" s="101" t="str">
        <f ca="1">IF($B189="", "", IF(_xll.IMDP("IR", $B189, J$6, $C$4, "fill=true")=0, "", _xll.IMDP("IR", $B189, J$6, $C$4, "fill=true")))</f>
        <v/>
      </c>
      <c r="K189" s="101" t="str">
        <f ca="1">IF($B189="", "", IF(_xll.IMDP("IR", $B189, K$6, $C$4, "fill=true")=0, "", _xll.IMDP("IR", $B189, K$6, $C$4, "fill=true")))</f>
        <v/>
      </c>
      <c r="L189" s="101" t="str">
        <f ca="1">IF($B189="", "", IF(_xll.IMDP("IR", $B189, L$6, $C$4, "fill=true")=0, "", _xll.IMDP("IR", $B189, L$6, $C$4, "fill=true")))</f>
        <v/>
      </c>
      <c r="M189" s="101" t="str">
        <f ca="1">IF($B189="", "", IF(_xll.IMDP("IR", $B189, M$6, $C$4, "fill=true")=0, "", _xll.IMDP("IR", $B189, M$6, $C$4, "fill=true")))</f>
        <v/>
      </c>
      <c r="N189" s="101" t="str">
        <f ca="1">IF($B189="", "", IF(_xll.IMDP("IR", $B189, N$6, $C$4, "fill=true")=0, "", _xll.IMDP("IR", $B189, N$6, $C$4, "fill=true")))</f>
        <v/>
      </c>
      <c r="O189" s="101" t="str">
        <f ca="1">IF($B189="", "", IF(_xll.IMDP("IR", $B189, O$6, $C$4, "fill=true")=0, "", _xll.IMDP("IR", $B189, O$6, $C$4, "fill=true")))</f>
        <v/>
      </c>
      <c r="P189" s="101" t="str">
        <f ca="1">IF($B189="", "", IF(_xll.IMDP("IR", $B189, P$6, $C$4, "fill=true")=0, "", _xll.IMDP("IR", $B189, P$6, $C$4, "fill=true")))</f>
        <v/>
      </c>
      <c r="Q189" s="102" t="str">
        <f ca="1">IF($B189="", "", IF(_xll.IMDP("IR", $B189, Q$6, $C$4, "fill=true")=0, "", _xll.IMDP("IR", $B189, Q$6, $C$4, "fill=true")))</f>
        <v/>
      </c>
    </row>
    <row r="190" spans="2:17" s="83" customFormat="1" ht="13.5">
      <c r="B190" s="83" t="str">
        <f ca="1">IFERROR( VLOOKUP(ROW()-ROW($B$6), code!$G$51:$K$1483, 5, 0), "")</f>
        <v/>
      </c>
      <c r="C190" s="96" t="str">
        <f ca="1">IF($B190="", "", _xll.IMDP("IR", $B190, "1일", $C$4, "fill=true, disp=date"))</f>
        <v/>
      </c>
      <c r="D190" s="97" t="str">
        <f ca="1">IF($B190="", "", VLOOKUP(ROW()-ROW($B$6), code!$G$51:$K$1483, 2, 0) )</f>
        <v/>
      </c>
      <c r="E190" s="98" t="str">
        <f ca="1">IF($B190="", "", VLOOKUP(ROW()-ROW($B$6), code!$G$51:$K$1483, 3, 0) )</f>
        <v/>
      </c>
      <c r="F190" s="99" t="str">
        <f ca="1">IF($B190="", "", VLOOKUP(ROW()-ROW($B$6), code!$G$51:$K$1483, 4, 0))</f>
        <v/>
      </c>
      <c r="G190" s="100" t="str">
        <f ca="1">IF($B190="", "", IF(_xll.IMDP("IR", $B190, G$6, $C$4, "fill=true")=0, "", _xll.IMDP("IR", $B190, G$6, $C$4, "fill=true")))</f>
        <v/>
      </c>
      <c r="H190" s="101" t="str">
        <f ca="1">IF($B190="", "", IF(_xll.IMDP("IR", $B190, H$6, $C$4, "fill=true")=0, "", _xll.IMDP("IR", $B190, H$6, $C$4, "fill=true")))</f>
        <v/>
      </c>
      <c r="I190" s="101" t="str">
        <f ca="1">IF($B190="", "", IF(_xll.IMDP("IR", $B190, I$6, $C$4, "fill=true")=0, "", _xll.IMDP("IR", $B190, I$6, $C$4, "fill=true")))</f>
        <v/>
      </c>
      <c r="J190" s="101" t="str">
        <f ca="1">IF($B190="", "", IF(_xll.IMDP("IR", $B190, J$6, $C$4, "fill=true")=0, "", _xll.IMDP("IR", $B190, J$6, $C$4, "fill=true")))</f>
        <v/>
      </c>
      <c r="K190" s="101" t="str">
        <f ca="1">IF($B190="", "", IF(_xll.IMDP("IR", $B190, K$6, $C$4, "fill=true")=0, "", _xll.IMDP("IR", $B190, K$6, $C$4, "fill=true")))</f>
        <v/>
      </c>
      <c r="L190" s="101" t="str">
        <f ca="1">IF($B190="", "", IF(_xll.IMDP("IR", $B190, L$6, $C$4, "fill=true")=0, "", _xll.IMDP("IR", $B190, L$6, $C$4, "fill=true")))</f>
        <v/>
      </c>
      <c r="M190" s="101" t="str">
        <f ca="1">IF($B190="", "", IF(_xll.IMDP("IR", $B190, M$6, $C$4, "fill=true")=0, "", _xll.IMDP("IR", $B190, M$6, $C$4, "fill=true")))</f>
        <v/>
      </c>
      <c r="N190" s="101" t="str">
        <f ca="1">IF($B190="", "", IF(_xll.IMDP("IR", $B190, N$6, $C$4, "fill=true")=0, "", _xll.IMDP("IR", $B190, N$6, $C$4, "fill=true")))</f>
        <v/>
      </c>
      <c r="O190" s="101" t="str">
        <f ca="1">IF($B190="", "", IF(_xll.IMDP("IR", $B190, O$6, $C$4, "fill=true")=0, "", _xll.IMDP("IR", $B190, O$6, $C$4, "fill=true")))</f>
        <v/>
      </c>
      <c r="P190" s="101" t="str">
        <f ca="1">IF($B190="", "", IF(_xll.IMDP("IR", $B190, P$6, $C$4, "fill=true")=0, "", _xll.IMDP("IR", $B190, P$6, $C$4, "fill=true")))</f>
        <v/>
      </c>
      <c r="Q190" s="102" t="str">
        <f ca="1">IF($B190="", "", IF(_xll.IMDP("IR", $B190, Q$6, $C$4, "fill=true")=0, "", _xll.IMDP("IR", $B190, Q$6, $C$4, "fill=true")))</f>
        <v/>
      </c>
    </row>
    <row r="191" spans="2:17" s="83" customFormat="1" ht="13.5">
      <c r="B191" s="83" t="str">
        <f ca="1">IFERROR( VLOOKUP(ROW()-ROW($B$6), code!$G$51:$K$1483, 5, 0), "")</f>
        <v/>
      </c>
      <c r="C191" s="96" t="str">
        <f ca="1">IF($B191="", "", _xll.IMDP("IR", $B191, "1일", $C$4, "fill=true, disp=date"))</f>
        <v/>
      </c>
      <c r="D191" s="97" t="str">
        <f ca="1">IF($B191="", "", VLOOKUP(ROW()-ROW($B$6), code!$G$51:$K$1483, 2, 0) )</f>
        <v/>
      </c>
      <c r="E191" s="98" t="str">
        <f ca="1">IF($B191="", "", VLOOKUP(ROW()-ROW($B$6), code!$G$51:$K$1483, 3, 0) )</f>
        <v/>
      </c>
      <c r="F191" s="99" t="str">
        <f ca="1">IF($B191="", "", VLOOKUP(ROW()-ROW($B$6), code!$G$51:$K$1483, 4, 0))</f>
        <v/>
      </c>
      <c r="G191" s="100" t="str">
        <f ca="1">IF($B191="", "", IF(_xll.IMDP("IR", $B191, G$6, $C$4, "fill=true")=0, "", _xll.IMDP("IR", $B191, G$6, $C$4, "fill=true")))</f>
        <v/>
      </c>
      <c r="H191" s="101" t="str">
        <f ca="1">IF($B191="", "", IF(_xll.IMDP("IR", $B191, H$6, $C$4, "fill=true")=0, "", _xll.IMDP("IR", $B191, H$6, $C$4, "fill=true")))</f>
        <v/>
      </c>
      <c r="I191" s="101" t="str">
        <f ca="1">IF($B191="", "", IF(_xll.IMDP("IR", $B191, I$6, $C$4, "fill=true")=0, "", _xll.IMDP("IR", $B191, I$6, $C$4, "fill=true")))</f>
        <v/>
      </c>
      <c r="J191" s="101" t="str">
        <f ca="1">IF($B191="", "", IF(_xll.IMDP("IR", $B191, J$6, $C$4, "fill=true")=0, "", _xll.IMDP("IR", $B191, J$6, $C$4, "fill=true")))</f>
        <v/>
      </c>
      <c r="K191" s="101" t="str">
        <f ca="1">IF($B191="", "", IF(_xll.IMDP("IR", $B191, K$6, $C$4, "fill=true")=0, "", _xll.IMDP("IR", $B191, K$6, $C$4, "fill=true")))</f>
        <v/>
      </c>
      <c r="L191" s="101" t="str">
        <f ca="1">IF($B191="", "", IF(_xll.IMDP("IR", $B191, L$6, $C$4, "fill=true")=0, "", _xll.IMDP("IR", $B191, L$6, $C$4, "fill=true")))</f>
        <v/>
      </c>
      <c r="M191" s="101" t="str">
        <f ca="1">IF($B191="", "", IF(_xll.IMDP("IR", $B191, M$6, $C$4, "fill=true")=0, "", _xll.IMDP("IR", $B191, M$6, $C$4, "fill=true")))</f>
        <v/>
      </c>
      <c r="N191" s="101" t="str">
        <f ca="1">IF($B191="", "", IF(_xll.IMDP("IR", $B191, N$6, $C$4, "fill=true")=0, "", _xll.IMDP("IR", $B191, N$6, $C$4, "fill=true")))</f>
        <v/>
      </c>
      <c r="O191" s="101" t="str">
        <f ca="1">IF($B191="", "", IF(_xll.IMDP("IR", $B191, O$6, $C$4, "fill=true")=0, "", _xll.IMDP("IR", $B191, O$6, $C$4, "fill=true")))</f>
        <v/>
      </c>
      <c r="P191" s="101" t="str">
        <f ca="1">IF($B191="", "", IF(_xll.IMDP("IR", $B191, P$6, $C$4, "fill=true")=0, "", _xll.IMDP("IR", $B191, P$6, $C$4, "fill=true")))</f>
        <v/>
      </c>
      <c r="Q191" s="102" t="str">
        <f ca="1">IF($B191="", "", IF(_xll.IMDP("IR", $B191, Q$6, $C$4, "fill=true")=0, "", _xll.IMDP("IR", $B191, Q$6, $C$4, "fill=true")))</f>
        <v/>
      </c>
    </row>
    <row r="192" spans="2:17" s="83" customFormat="1" ht="13.5">
      <c r="B192" s="83" t="str">
        <f ca="1">IFERROR( VLOOKUP(ROW()-ROW($B$6), code!$G$51:$K$1483, 5, 0), "")</f>
        <v/>
      </c>
      <c r="C192" s="96" t="str">
        <f ca="1">IF($B192="", "", _xll.IMDP("IR", $B192, "1일", $C$4, "fill=true, disp=date"))</f>
        <v/>
      </c>
      <c r="D192" s="97" t="str">
        <f ca="1">IF($B192="", "", VLOOKUP(ROW()-ROW($B$6), code!$G$51:$K$1483, 2, 0) )</f>
        <v/>
      </c>
      <c r="E192" s="98" t="str">
        <f ca="1">IF($B192="", "", VLOOKUP(ROW()-ROW($B$6), code!$G$51:$K$1483, 3, 0) )</f>
        <v/>
      </c>
      <c r="F192" s="99" t="str">
        <f ca="1">IF($B192="", "", VLOOKUP(ROW()-ROW($B$6), code!$G$51:$K$1483, 4, 0))</f>
        <v/>
      </c>
      <c r="G192" s="100" t="str">
        <f ca="1">IF($B192="", "", IF(_xll.IMDP("IR", $B192, G$6, $C$4, "fill=true")=0, "", _xll.IMDP("IR", $B192, G$6, $C$4, "fill=true")))</f>
        <v/>
      </c>
      <c r="H192" s="101" t="str">
        <f ca="1">IF($B192="", "", IF(_xll.IMDP("IR", $B192, H$6, $C$4, "fill=true")=0, "", _xll.IMDP("IR", $B192, H$6, $C$4, "fill=true")))</f>
        <v/>
      </c>
      <c r="I192" s="101" t="str">
        <f ca="1">IF($B192="", "", IF(_xll.IMDP("IR", $B192, I$6, $C$4, "fill=true")=0, "", _xll.IMDP("IR", $B192, I$6, $C$4, "fill=true")))</f>
        <v/>
      </c>
      <c r="J192" s="101" t="str">
        <f ca="1">IF($B192="", "", IF(_xll.IMDP("IR", $B192, J$6, $C$4, "fill=true")=0, "", _xll.IMDP("IR", $B192, J$6, $C$4, "fill=true")))</f>
        <v/>
      </c>
      <c r="K192" s="101" t="str">
        <f ca="1">IF($B192="", "", IF(_xll.IMDP("IR", $B192, K$6, $C$4, "fill=true")=0, "", _xll.IMDP("IR", $B192, K$6, $C$4, "fill=true")))</f>
        <v/>
      </c>
      <c r="L192" s="101" t="str">
        <f ca="1">IF($B192="", "", IF(_xll.IMDP("IR", $B192, L$6, $C$4, "fill=true")=0, "", _xll.IMDP("IR", $B192, L$6, $C$4, "fill=true")))</f>
        <v/>
      </c>
      <c r="M192" s="101" t="str">
        <f ca="1">IF($B192="", "", IF(_xll.IMDP("IR", $B192, M$6, $C$4, "fill=true")=0, "", _xll.IMDP("IR", $B192, M$6, $C$4, "fill=true")))</f>
        <v/>
      </c>
      <c r="N192" s="101" t="str">
        <f ca="1">IF($B192="", "", IF(_xll.IMDP("IR", $B192, N$6, $C$4, "fill=true")=0, "", _xll.IMDP("IR", $B192, N$6, $C$4, "fill=true")))</f>
        <v/>
      </c>
      <c r="O192" s="101" t="str">
        <f ca="1">IF($B192="", "", IF(_xll.IMDP("IR", $B192, O$6, $C$4, "fill=true")=0, "", _xll.IMDP("IR", $B192, O$6, $C$4, "fill=true")))</f>
        <v/>
      </c>
      <c r="P192" s="101" t="str">
        <f ca="1">IF($B192="", "", IF(_xll.IMDP("IR", $B192, P$6, $C$4, "fill=true")=0, "", _xll.IMDP("IR", $B192, P$6, $C$4, "fill=true")))</f>
        <v/>
      </c>
      <c r="Q192" s="102" t="str">
        <f ca="1">IF($B192="", "", IF(_xll.IMDP("IR", $B192, Q$6, $C$4, "fill=true")=0, "", _xll.IMDP("IR", $B192, Q$6, $C$4, "fill=true")))</f>
        <v/>
      </c>
    </row>
    <row r="193" spans="2:17" s="83" customFormat="1" ht="13.5">
      <c r="B193" s="83" t="str">
        <f ca="1">IFERROR( VLOOKUP(ROW()-ROW($B$6), code!$G$51:$K$1483, 5, 0), "")</f>
        <v/>
      </c>
      <c r="C193" s="96" t="str">
        <f ca="1">IF($B193="", "", _xll.IMDP("IR", $B193, "1일", $C$4, "fill=true, disp=date"))</f>
        <v/>
      </c>
      <c r="D193" s="97" t="str">
        <f ca="1">IF($B193="", "", VLOOKUP(ROW()-ROW($B$6), code!$G$51:$K$1483, 2, 0) )</f>
        <v/>
      </c>
      <c r="E193" s="98" t="str">
        <f ca="1">IF($B193="", "", VLOOKUP(ROW()-ROW($B$6), code!$G$51:$K$1483, 3, 0) )</f>
        <v/>
      </c>
      <c r="F193" s="99" t="str">
        <f ca="1">IF($B193="", "", VLOOKUP(ROW()-ROW($B$6), code!$G$51:$K$1483, 4, 0))</f>
        <v/>
      </c>
      <c r="G193" s="100" t="str">
        <f ca="1">IF($B193="", "", IF(_xll.IMDP("IR", $B193, G$6, $C$4, "fill=true")=0, "", _xll.IMDP("IR", $B193, G$6, $C$4, "fill=true")))</f>
        <v/>
      </c>
      <c r="H193" s="101" t="str">
        <f ca="1">IF($B193="", "", IF(_xll.IMDP("IR", $B193, H$6, $C$4, "fill=true")=0, "", _xll.IMDP("IR", $B193, H$6, $C$4, "fill=true")))</f>
        <v/>
      </c>
      <c r="I193" s="101" t="str">
        <f ca="1">IF($B193="", "", IF(_xll.IMDP("IR", $B193, I$6, $C$4, "fill=true")=0, "", _xll.IMDP("IR", $B193, I$6, $C$4, "fill=true")))</f>
        <v/>
      </c>
      <c r="J193" s="101" t="str">
        <f ca="1">IF($B193="", "", IF(_xll.IMDP("IR", $B193, J$6, $C$4, "fill=true")=0, "", _xll.IMDP("IR", $B193, J$6, $C$4, "fill=true")))</f>
        <v/>
      </c>
      <c r="K193" s="101" t="str">
        <f ca="1">IF($B193="", "", IF(_xll.IMDP("IR", $B193, K$6, $C$4, "fill=true")=0, "", _xll.IMDP("IR", $B193, K$6, $C$4, "fill=true")))</f>
        <v/>
      </c>
      <c r="L193" s="101" t="str">
        <f ca="1">IF($B193="", "", IF(_xll.IMDP("IR", $B193, L$6, $C$4, "fill=true")=0, "", _xll.IMDP("IR", $B193, L$6, $C$4, "fill=true")))</f>
        <v/>
      </c>
      <c r="M193" s="101" t="str">
        <f ca="1">IF($B193="", "", IF(_xll.IMDP("IR", $B193, M$6, $C$4, "fill=true")=0, "", _xll.IMDP("IR", $B193, M$6, $C$4, "fill=true")))</f>
        <v/>
      </c>
      <c r="N193" s="101" t="str">
        <f ca="1">IF($B193="", "", IF(_xll.IMDP("IR", $B193, N$6, $C$4, "fill=true")=0, "", _xll.IMDP("IR", $B193, N$6, $C$4, "fill=true")))</f>
        <v/>
      </c>
      <c r="O193" s="101" t="str">
        <f ca="1">IF($B193="", "", IF(_xll.IMDP("IR", $B193, O$6, $C$4, "fill=true")=0, "", _xll.IMDP("IR", $B193, O$6, $C$4, "fill=true")))</f>
        <v/>
      </c>
      <c r="P193" s="101" t="str">
        <f ca="1">IF($B193="", "", IF(_xll.IMDP("IR", $B193, P$6, $C$4, "fill=true")=0, "", _xll.IMDP("IR", $B193, P$6, $C$4, "fill=true")))</f>
        <v/>
      </c>
      <c r="Q193" s="102" t="str">
        <f ca="1">IF($B193="", "", IF(_xll.IMDP("IR", $B193, Q$6, $C$4, "fill=true")=0, "", _xll.IMDP("IR", $B193, Q$6, $C$4, "fill=true")))</f>
        <v/>
      </c>
    </row>
    <row r="194" spans="2:17" s="83" customFormat="1" ht="13.5">
      <c r="B194" s="83" t="str">
        <f ca="1">IFERROR( VLOOKUP(ROW()-ROW($B$6), code!$G$51:$K$1483, 5, 0), "")</f>
        <v/>
      </c>
      <c r="C194" s="96" t="str">
        <f ca="1">IF($B194="", "", _xll.IMDP("IR", $B194, "1일", $C$4, "fill=true, disp=date"))</f>
        <v/>
      </c>
      <c r="D194" s="97" t="str">
        <f ca="1">IF($B194="", "", VLOOKUP(ROW()-ROW($B$6), code!$G$51:$K$1483, 2, 0) )</f>
        <v/>
      </c>
      <c r="E194" s="98" t="str">
        <f ca="1">IF($B194="", "", VLOOKUP(ROW()-ROW($B$6), code!$G$51:$K$1483, 3, 0) )</f>
        <v/>
      </c>
      <c r="F194" s="99" t="str">
        <f ca="1">IF($B194="", "", VLOOKUP(ROW()-ROW($B$6), code!$G$51:$K$1483, 4, 0))</f>
        <v/>
      </c>
      <c r="G194" s="100" t="str">
        <f ca="1">IF($B194="", "", IF(_xll.IMDP("IR", $B194, G$6, $C$4, "fill=true")=0, "", _xll.IMDP("IR", $B194, G$6, $C$4, "fill=true")))</f>
        <v/>
      </c>
      <c r="H194" s="101" t="str">
        <f ca="1">IF($B194="", "", IF(_xll.IMDP("IR", $B194, H$6, $C$4, "fill=true")=0, "", _xll.IMDP("IR", $B194, H$6, $C$4, "fill=true")))</f>
        <v/>
      </c>
      <c r="I194" s="101" t="str">
        <f ca="1">IF($B194="", "", IF(_xll.IMDP("IR", $B194, I$6, $C$4, "fill=true")=0, "", _xll.IMDP("IR", $B194, I$6, $C$4, "fill=true")))</f>
        <v/>
      </c>
      <c r="J194" s="101" t="str">
        <f ca="1">IF($B194="", "", IF(_xll.IMDP("IR", $B194, J$6, $C$4, "fill=true")=0, "", _xll.IMDP("IR", $B194, J$6, $C$4, "fill=true")))</f>
        <v/>
      </c>
      <c r="K194" s="101" t="str">
        <f ca="1">IF($B194="", "", IF(_xll.IMDP("IR", $B194, K$6, $C$4, "fill=true")=0, "", _xll.IMDP("IR", $B194, K$6, $C$4, "fill=true")))</f>
        <v/>
      </c>
      <c r="L194" s="101" t="str">
        <f ca="1">IF($B194="", "", IF(_xll.IMDP("IR", $B194, L$6, $C$4, "fill=true")=0, "", _xll.IMDP("IR", $B194, L$6, $C$4, "fill=true")))</f>
        <v/>
      </c>
      <c r="M194" s="101" t="str">
        <f ca="1">IF($B194="", "", IF(_xll.IMDP("IR", $B194, M$6, $C$4, "fill=true")=0, "", _xll.IMDP("IR", $B194, M$6, $C$4, "fill=true")))</f>
        <v/>
      </c>
      <c r="N194" s="101" t="str">
        <f ca="1">IF($B194="", "", IF(_xll.IMDP("IR", $B194, N$6, $C$4, "fill=true")=0, "", _xll.IMDP("IR", $B194, N$6, $C$4, "fill=true")))</f>
        <v/>
      </c>
      <c r="O194" s="101" t="str">
        <f ca="1">IF($B194="", "", IF(_xll.IMDP("IR", $B194, O$6, $C$4, "fill=true")=0, "", _xll.IMDP("IR", $B194, O$6, $C$4, "fill=true")))</f>
        <v/>
      </c>
      <c r="P194" s="101" t="str">
        <f ca="1">IF($B194="", "", IF(_xll.IMDP("IR", $B194, P$6, $C$4, "fill=true")=0, "", _xll.IMDP("IR", $B194, P$6, $C$4, "fill=true")))</f>
        <v/>
      </c>
      <c r="Q194" s="102" t="str">
        <f ca="1">IF($B194="", "", IF(_xll.IMDP("IR", $B194, Q$6, $C$4, "fill=true")=0, "", _xll.IMDP("IR", $B194, Q$6, $C$4, "fill=true")))</f>
        <v/>
      </c>
    </row>
    <row r="195" spans="2:17" s="83" customFormat="1" ht="13.5">
      <c r="B195" s="83" t="str">
        <f ca="1">IFERROR( VLOOKUP(ROW()-ROW($B$6), code!$G$51:$K$1483, 5, 0), "")</f>
        <v/>
      </c>
      <c r="C195" s="96" t="str">
        <f ca="1">IF($B195="", "", _xll.IMDP("IR", $B195, "1일", $C$4, "fill=true, disp=date"))</f>
        <v/>
      </c>
      <c r="D195" s="97" t="str">
        <f ca="1">IF($B195="", "", VLOOKUP(ROW()-ROW($B$6), code!$G$51:$K$1483, 2, 0) )</f>
        <v/>
      </c>
      <c r="E195" s="98" t="str">
        <f ca="1">IF($B195="", "", VLOOKUP(ROW()-ROW($B$6), code!$G$51:$K$1483, 3, 0) )</f>
        <v/>
      </c>
      <c r="F195" s="99" t="str">
        <f ca="1">IF($B195="", "", VLOOKUP(ROW()-ROW($B$6), code!$G$51:$K$1483, 4, 0))</f>
        <v/>
      </c>
      <c r="G195" s="100" t="str">
        <f ca="1">IF($B195="", "", IF(_xll.IMDP("IR", $B195, G$6, $C$4, "fill=true")=0, "", _xll.IMDP("IR", $B195, G$6, $C$4, "fill=true")))</f>
        <v/>
      </c>
      <c r="H195" s="101" t="str">
        <f ca="1">IF($B195="", "", IF(_xll.IMDP("IR", $B195, H$6, $C$4, "fill=true")=0, "", _xll.IMDP("IR", $B195, H$6, $C$4, "fill=true")))</f>
        <v/>
      </c>
      <c r="I195" s="101" t="str">
        <f ca="1">IF($B195="", "", IF(_xll.IMDP("IR", $B195, I$6, $C$4, "fill=true")=0, "", _xll.IMDP("IR", $B195, I$6, $C$4, "fill=true")))</f>
        <v/>
      </c>
      <c r="J195" s="101" t="str">
        <f ca="1">IF($B195="", "", IF(_xll.IMDP("IR", $B195, J$6, $C$4, "fill=true")=0, "", _xll.IMDP("IR", $B195, J$6, $C$4, "fill=true")))</f>
        <v/>
      </c>
      <c r="K195" s="101" t="str">
        <f ca="1">IF($B195="", "", IF(_xll.IMDP("IR", $B195, K$6, $C$4, "fill=true")=0, "", _xll.IMDP("IR", $B195, K$6, $C$4, "fill=true")))</f>
        <v/>
      </c>
      <c r="L195" s="101" t="str">
        <f ca="1">IF($B195="", "", IF(_xll.IMDP("IR", $B195, L$6, $C$4, "fill=true")=0, "", _xll.IMDP("IR", $B195, L$6, $C$4, "fill=true")))</f>
        <v/>
      </c>
      <c r="M195" s="101" t="str">
        <f ca="1">IF($B195="", "", IF(_xll.IMDP("IR", $B195, M$6, $C$4, "fill=true")=0, "", _xll.IMDP("IR", $B195, M$6, $C$4, "fill=true")))</f>
        <v/>
      </c>
      <c r="N195" s="101" t="str">
        <f ca="1">IF($B195="", "", IF(_xll.IMDP("IR", $B195, N$6, $C$4, "fill=true")=0, "", _xll.IMDP("IR", $B195, N$6, $C$4, "fill=true")))</f>
        <v/>
      </c>
      <c r="O195" s="101" t="str">
        <f ca="1">IF($B195="", "", IF(_xll.IMDP("IR", $B195, O$6, $C$4, "fill=true")=0, "", _xll.IMDP("IR", $B195, O$6, $C$4, "fill=true")))</f>
        <v/>
      </c>
      <c r="P195" s="101" t="str">
        <f ca="1">IF($B195="", "", IF(_xll.IMDP("IR", $B195, P$6, $C$4, "fill=true")=0, "", _xll.IMDP("IR", $B195, P$6, $C$4, "fill=true")))</f>
        <v/>
      </c>
      <c r="Q195" s="102" t="str">
        <f ca="1">IF($B195="", "", IF(_xll.IMDP("IR", $B195, Q$6, $C$4, "fill=true")=0, "", _xll.IMDP("IR", $B195, Q$6, $C$4, "fill=true")))</f>
        <v/>
      </c>
    </row>
    <row r="196" spans="2:17" s="83" customFormat="1" ht="13.5">
      <c r="B196" s="83" t="str">
        <f ca="1">IFERROR( VLOOKUP(ROW()-ROW($B$6), code!$G$51:$K$1483, 5, 0), "")</f>
        <v/>
      </c>
      <c r="C196" s="96" t="str">
        <f ca="1">IF($B196="", "", _xll.IMDP("IR", $B196, "1일", $C$4, "fill=true, disp=date"))</f>
        <v/>
      </c>
      <c r="D196" s="97" t="str">
        <f ca="1">IF($B196="", "", VLOOKUP(ROW()-ROW($B$6), code!$G$51:$K$1483, 2, 0) )</f>
        <v/>
      </c>
      <c r="E196" s="98" t="str">
        <f ca="1">IF($B196="", "", VLOOKUP(ROW()-ROW($B$6), code!$G$51:$K$1483, 3, 0) )</f>
        <v/>
      </c>
      <c r="F196" s="99" t="str">
        <f ca="1">IF($B196="", "", VLOOKUP(ROW()-ROW($B$6), code!$G$51:$K$1483, 4, 0))</f>
        <v/>
      </c>
      <c r="G196" s="100" t="str">
        <f ca="1">IF($B196="", "", IF(_xll.IMDP("IR", $B196, G$6, $C$4, "fill=true")=0, "", _xll.IMDP("IR", $B196, G$6, $C$4, "fill=true")))</f>
        <v/>
      </c>
      <c r="H196" s="101" t="str">
        <f ca="1">IF($B196="", "", IF(_xll.IMDP("IR", $B196, H$6, $C$4, "fill=true")=0, "", _xll.IMDP("IR", $B196, H$6, $C$4, "fill=true")))</f>
        <v/>
      </c>
      <c r="I196" s="101" t="str">
        <f ca="1">IF($B196="", "", IF(_xll.IMDP("IR", $B196, I$6, $C$4, "fill=true")=0, "", _xll.IMDP("IR", $B196, I$6, $C$4, "fill=true")))</f>
        <v/>
      </c>
      <c r="J196" s="101" t="str">
        <f ca="1">IF($B196="", "", IF(_xll.IMDP("IR", $B196, J$6, $C$4, "fill=true")=0, "", _xll.IMDP("IR", $B196, J$6, $C$4, "fill=true")))</f>
        <v/>
      </c>
      <c r="K196" s="101" t="str">
        <f ca="1">IF($B196="", "", IF(_xll.IMDP("IR", $B196, K$6, $C$4, "fill=true")=0, "", _xll.IMDP("IR", $B196, K$6, $C$4, "fill=true")))</f>
        <v/>
      </c>
      <c r="L196" s="101" t="str">
        <f ca="1">IF($B196="", "", IF(_xll.IMDP("IR", $B196, L$6, $C$4, "fill=true")=0, "", _xll.IMDP("IR", $B196, L$6, $C$4, "fill=true")))</f>
        <v/>
      </c>
      <c r="M196" s="101" t="str">
        <f ca="1">IF($B196="", "", IF(_xll.IMDP("IR", $B196, M$6, $C$4, "fill=true")=0, "", _xll.IMDP("IR", $B196, M$6, $C$4, "fill=true")))</f>
        <v/>
      </c>
      <c r="N196" s="101" t="str">
        <f ca="1">IF($B196="", "", IF(_xll.IMDP("IR", $B196, N$6, $C$4, "fill=true")=0, "", _xll.IMDP("IR", $B196, N$6, $C$4, "fill=true")))</f>
        <v/>
      </c>
      <c r="O196" s="101" t="str">
        <f ca="1">IF($B196="", "", IF(_xll.IMDP("IR", $B196, O$6, $C$4, "fill=true")=0, "", _xll.IMDP("IR", $B196, O$6, $C$4, "fill=true")))</f>
        <v/>
      </c>
      <c r="P196" s="101" t="str">
        <f ca="1">IF($B196="", "", IF(_xll.IMDP("IR", $B196, P$6, $C$4, "fill=true")=0, "", _xll.IMDP("IR", $B196, P$6, $C$4, "fill=true")))</f>
        <v/>
      </c>
      <c r="Q196" s="102" t="str">
        <f ca="1">IF($B196="", "", IF(_xll.IMDP("IR", $B196, Q$6, $C$4, "fill=true")=0, "", _xll.IMDP("IR", $B196, Q$6, $C$4, "fill=true")))</f>
        <v/>
      </c>
    </row>
    <row r="197" spans="2:17" s="83" customFormat="1" ht="13.5">
      <c r="B197" s="83" t="str">
        <f ca="1">IFERROR( VLOOKUP(ROW()-ROW($B$6), code!$G$51:$K$1483, 5, 0), "")</f>
        <v/>
      </c>
      <c r="C197" s="96" t="str">
        <f ca="1">IF($B197="", "", _xll.IMDP("IR", $B197, "1일", $C$4, "fill=true, disp=date"))</f>
        <v/>
      </c>
      <c r="D197" s="97" t="str">
        <f ca="1">IF($B197="", "", VLOOKUP(ROW()-ROW($B$6), code!$G$51:$K$1483, 2, 0) )</f>
        <v/>
      </c>
      <c r="E197" s="98" t="str">
        <f ca="1">IF($B197="", "", VLOOKUP(ROW()-ROW($B$6), code!$G$51:$K$1483, 3, 0) )</f>
        <v/>
      </c>
      <c r="F197" s="99" t="str">
        <f ca="1">IF($B197="", "", VLOOKUP(ROW()-ROW($B$6), code!$G$51:$K$1483, 4, 0))</f>
        <v/>
      </c>
      <c r="G197" s="100" t="str">
        <f ca="1">IF($B197="", "", IF(_xll.IMDP("IR", $B197, G$6, $C$4, "fill=true")=0, "", _xll.IMDP("IR", $B197, G$6, $C$4, "fill=true")))</f>
        <v/>
      </c>
      <c r="H197" s="101" t="str">
        <f ca="1">IF($B197="", "", IF(_xll.IMDP("IR", $B197, H$6, $C$4, "fill=true")=0, "", _xll.IMDP("IR", $B197, H$6, $C$4, "fill=true")))</f>
        <v/>
      </c>
      <c r="I197" s="101" t="str">
        <f ca="1">IF($B197="", "", IF(_xll.IMDP("IR", $B197, I$6, $C$4, "fill=true")=0, "", _xll.IMDP("IR", $B197, I$6, $C$4, "fill=true")))</f>
        <v/>
      </c>
      <c r="J197" s="101" t="str">
        <f ca="1">IF($B197="", "", IF(_xll.IMDP("IR", $B197, J$6, $C$4, "fill=true")=0, "", _xll.IMDP("IR", $B197, J$6, $C$4, "fill=true")))</f>
        <v/>
      </c>
      <c r="K197" s="101" t="str">
        <f ca="1">IF($B197="", "", IF(_xll.IMDP("IR", $B197, K$6, $C$4, "fill=true")=0, "", _xll.IMDP("IR", $B197, K$6, $C$4, "fill=true")))</f>
        <v/>
      </c>
      <c r="L197" s="101" t="str">
        <f ca="1">IF($B197="", "", IF(_xll.IMDP("IR", $B197, L$6, $C$4, "fill=true")=0, "", _xll.IMDP("IR", $B197, L$6, $C$4, "fill=true")))</f>
        <v/>
      </c>
      <c r="M197" s="101" t="str">
        <f ca="1">IF($B197="", "", IF(_xll.IMDP("IR", $B197, M$6, $C$4, "fill=true")=0, "", _xll.IMDP("IR", $B197, M$6, $C$4, "fill=true")))</f>
        <v/>
      </c>
      <c r="N197" s="101" t="str">
        <f ca="1">IF($B197="", "", IF(_xll.IMDP("IR", $B197, N$6, $C$4, "fill=true")=0, "", _xll.IMDP("IR", $B197, N$6, $C$4, "fill=true")))</f>
        <v/>
      </c>
      <c r="O197" s="101" t="str">
        <f ca="1">IF($B197="", "", IF(_xll.IMDP("IR", $B197, O$6, $C$4, "fill=true")=0, "", _xll.IMDP("IR", $B197, O$6, $C$4, "fill=true")))</f>
        <v/>
      </c>
      <c r="P197" s="101" t="str">
        <f ca="1">IF($B197="", "", IF(_xll.IMDP("IR", $B197, P$6, $C$4, "fill=true")=0, "", _xll.IMDP("IR", $B197, P$6, $C$4, "fill=true")))</f>
        <v/>
      </c>
      <c r="Q197" s="102" t="str">
        <f ca="1">IF($B197="", "", IF(_xll.IMDP("IR", $B197, Q$6, $C$4, "fill=true")=0, "", _xll.IMDP("IR", $B197, Q$6, $C$4, "fill=true")))</f>
        <v/>
      </c>
    </row>
    <row r="198" spans="2:17" s="83" customFormat="1" ht="13.5">
      <c r="B198" s="83" t="str">
        <f ca="1">IFERROR( VLOOKUP(ROW()-ROW($B$6), code!$G$51:$K$1483, 5, 0), "")</f>
        <v/>
      </c>
      <c r="C198" s="96" t="str">
        <f ca="1">IF($B198="", "", _xll.IMDP("IR", $B198, "1일", $C$4, "fill=true, disp=date"))</f>
        <v/>
      </c>
      <c r="D198" s="97" t="str">
        <f ca="1">IF($B198="", "", VLOOKUP(ROW()-ROW($B$6), code!$G$51:$K$1483, 2, 0) )</f>
        <v/>
      </c>
      <c r="E198" s="98" t="str">
        <f ca="1">IF($B198="", "", VLOOKUP(ROW()-ROW($B$6), code!$G$51:$K$1483, 3, 0) )</f>
        <v/>
      </c>
      <c r="F198" s="99" t="str">
        <f ca="1">IF($B198="", "", VLOOKUP(ROW()-ROW($B$6), code!$G$51:$K$1483, 4, 0))</f>
        <v/>
      </c>
      <c r="G198" s="100" t="str">
        <f ca="1">IF($B198="", "", IF(_xll.IMDP("IR", $B198, G$6, $C$4, "fill=true")=0, "", _xll.IMDP("IR", $B198, G$6, $C$4, "fill=true")))</f>
        <v/>
      </c>
      <c r="H198" s="101" t="str">
        <f ca="1">IF($B198="", "", IF(_xll.IMDP("IR", $B198, H$6, $C$4, "fill=true")=0, "", _xll.IMDP("IR", $B198, H$6, $C$4, "fill=true")))</f>
        <v/>
      </c>
      <c r="I198" s="101" t="str">
        <f ca="1">IF($B198="", "", IF(_xll.IMDP("IR", $B198, I$6, $C$4, "fill=true")=0, "", _xll.IMDP("IR", $B198, I$6, $C$4, "fill=true")))</f>
        <v/>
      </c>
      <c r="J198" s="101" t="str">
        <f ca="1">IF($B198="", "", IF(_xll.IMDP("IR", $B198, J$6, $C$4, "fill=true")=0, "", _xll.IMDP("IR", $B198, J$6, $C$4, "fill=true")))</f>
        <v/>
      </c>
      <c r="K198" s="101" t="str">
        <f ca="1">IF($B198="", "", IF(_xll.IMDP("IR", $B198, K$6, $C$4, "fill=true")=0, "", _xll.IMDP("IR", $B198, K$6, $C$4, "fill=true")))</f>
        <v/>
      </c>
      <c r="L198" s="101" t="str">
        <f ca="1">IF($B198="", "", IF(_xll.IMDP("IR", $B198, L$6, $C$4, "fill=true")=0, "", _xll.IMDP("IR", $B198, L$6, $C$4, "fill=true")))</f>
        <v/>
      </c>
      <c r="M198" s="101" t="str">
        <f ca="1">IF($B198="", "", IF(_xll.IMDP("IR", $B198, M$6, $C$4, "fill=true")=0, "", _xll.IMDP("IR", $B198, M$6, $C$4, "fill=true")))</f>
        <v/>
      </c>
      <c r="N198" s="101" t="str">
        <f ca="1">IF($B198="", "", IF(_xll.IMDP("IR", $B198, N$6, $C$4, "fill=true")=0, "", _xll.IMDP("IR", $B198, N$6, $C$4, "fill=true")))</f>
        <v/>
      </c>
      <c r="O198" s="101" t="str">
        <f ca="1">IF($B198="", "", IF(_xll.IMDP("IR", $B198, O$6, $C$4, "fill=true")=0, "", _xll.IMDP("IR", $B198, O$6, $C$4, "fill=true")))</f>
        <v/>
      </c>
      <c r="P198" s="101" t="str">
        <f ca="1">IF($B198="", "", IF(_xll.IMDP("IR", $B198, P$6, $C$4, "fill=true")=0, "", _xll.IMDP("IR", $B198, P$6, $C$4, "fill=true")))</f>
        <v/>
      </c>
      <c r="Q198" s="102" t="str">
        <f ca="1">IF($B198="", "", IF(_xll.IMDP("IR", $B198, Q$6, $C$4, "fill=true")=0, "", _xll.IMDP("IR", $B198, Q$6, $C$4, "fill=true")))</f>
        <v/>
      </c>
    </row>
    <row r="199" spans="2:17" s="83" customFormat="1" ht="13.5">
      <c r="B199" s="83" t="str">
        <f ca="1">IFERROR( VLOOKUP(ROW()-ROW($B$6), code!$G$51:$K$1483, 5, 0), "")</f>
        <v/>
      </c>
      <c r="C199" s="96" t="str">
        <f ca="1">IF($B199="", "", _xll.IMDP("IR", $B199, "1일", $C$4, "fill=true, disp=date"))</f>
        <v/>
      </c>
      <c r="D199" s="97" t="str">
        <f ca="1">IF($B199="", "", VLOOKUP(ROW()-ROW($B$6), code!$G$51:$K$1483, 2, 0) )</f>
        <v/>
      </c>
      <c r="E199" s="98" t="str">
        <f ca="1">IF($B199="", "", VLOOKUP(ROW()-ROW($B$6), code!$G$51:$K$1483, 3, 0) )</f>
        <v/>
      </c>
      <c r="F199" s="99" t="str">
        <f ca="1">IF($B199="", "", VLOOKUP(ROW()-ROW($B$6), code!$G$51:$K$1483, 4, 0))</f>
        <v/>
      </c>
      <c r="G199" s="100" t="str">
        <f ca="1">IF($B199="", "", IF(_xll.IMDP("IR", $B199, G$6, $C$4, "fill=true")=0, "", _xll.IMDP("IR", $B199, G$6, $C$4, "fill=true")))</f>
        <v/>
      </c>
      <c r="H199" s="101" t="str">
        <f ca="1">IF($B199="", "", IF(_xll.IMDP("IR", $B199, H$6, $C$4, "fill=true")=0, "", _xll.IMDP("IR", $B199, H$6, $C$4, "fill=true")))</f>
        <v/>
      </c>
      <c r="I199" s="101" t="str">
        <f ca="1">IF($B199="", "", IF(_xll.IMDP("IR", $B199, I$6, $C$4, "fill=true")=0, "", _xll.IMDP("IR", $B199, I$6, $C$4, "fill=true")))</f>
        <v/>
      </c>
      <c r="J199" s="101" t="str">
        <f ca="1">IF($B199="", "", IF(_xll.IMDP("IR", $B199, J$6, $C$4, "fill=true")=0, "", _xll.IMDP("IR", $B199, J$6, $C$4, "fill=true")))</f>
        <v/>
      </c>
      <c r="K199" s="101" t="str">
        <f ca="1">IF($B199="", "", IF(_xll.IMDP("IR", $B199, K$6, $C$4, "fill=true")=0, "", _xll.IMDP("IR", $B199, K$6, $C$4, "fill=true")))</f>
        <v/>
      </c>
      <c r="L199" s="101" t="str">
        <f ca="1">IF($B199="", "", IF(_xll.IMDP("IR", $B199, L$6, $C$4, "fill=true")=0, "", _xll.IMDP("IR", $B199, L$6, $C$4, "fill=true")))</f>
        <v/>
      </c>
      <c r="M199" s="101" t="str">
        <f ca="1">IF($B199="", "", IF(_xll.IMDP("IR", $B199, M$6, $C$4, "fill=true")=0, "", _xll.IMDP("IR", $B199, M$6, $C$4, "fill=true")))</f>
        <v/>
      </c>
      <c r="N199" s="101" t="str">
        <f ca="1">IF($B199="", "", IF(_xll.IMDP("IR", $B199, N$6, $C$4, "fill=true")=0, "", _xll.IMDP("IR", $B199, N$6, $C$4, "fill=true")))</f>
        <v/>
      </c>
      <c r="O199" s="101" t="str">
        <f ca="1">IF($B199="", "", IF(_xll.IMDP("IR", $B199, O$6, $C$4, "fill=true")=0, "", _xll.IMDP("IR", $B199, O$6, $C$4, "fill=true")))</f>
        <v/>
      </c>
      <c r="P199" s="101" t="str">
        <f ca="1">IF($B199="", "", IF(_xll.IMDP("IR", $B199, P$6, $C$4, "fill=true")=0, "", _xll.IMDP("IR", $B199, P$6, $C$4, "fill=true")))</f>
        <v/>
      </c>
      <c r="Q199" s="102" t="str">
        <f ca="1">IF($B199="", "", IF(_xll.IMDP("IR", $B199, Q$6, $C$4, "fill=true")=0, "", _xll.IMDP("IR", $B199, Q$6, $C$4, "fill=true")))</f>
        <v/>
      </c>
    </row>
    <row r="200" spans="2:17" s="83" customFormat="1" ht="13.5">
      <c r="B200" s="83" t="str">
        <f ca="1">IFERROR( VLOOKUP(ROW()-ROW($B$6), code!$G$51:$K$1483, 5, 0), "")</f>
        <v/>
      </c>
      <c r="C200" s="96" t="str">
        <f ca="1">IF($B200="", "", _xll.IMDP("IR", $B200, "1일", $C$4, "fill=true, disp=date"))</f>
        <v/>
      </c>
      <c r="D200" s="97" t="str">
        <f ca="1">IF($B200="", "", VLOOKUP(ROW()-ROW($B$6), code!$G$51:$K$1483, 2, 0) )</f>
        <v/>
      </c>
      <c r="E200" s="98" t="str">
        <f ca="1">IF($B200="", "", VLOOKUP(ROW()-ROW($B$6), code!$G$51:$K$1483, 3, 0) )</f>
        <v/>
      </c>
      <c r="F200" s="99" t="str">
        <f ca="1">IF($B200="", "", VLOOKUP(ROW()-ROW($B$6), code!$G$51:$K$1483, 4, 0))</f>
        <v/>
      </c>
      <c r="G200" s="100" t="str">
        <f ca="1">IF($B200="", "", IF(_xll.IMDP("IR", $B200, G$6, $C$4, "fill=true")=0, "", _xll.IMDP("IR", $B200, G$6, $C$4, "fill=true")))</f>
        <v/>
      </c>
      <c r="H200" s="101" t="str">
        <f ca="1">IF($B200="", "", IF(_xll.IMDP("IR", $B200, H$6, $C$4, "fill=true")=0, "", _xll.IMDP("IR", $B200, H$6, $C$4, "fill=true")))</f>
        <v/>
      </c>
      <c r="I200" s="101" t="str">
        <f ca="1">IF($B200="", "", IF(_xll.IMDP("IR", $B200, I$6, $C$4, "fill=true")=0, "", _xll.IMDP("IR", $B200, I$6, $C$4, "fill=true")))</f>
        <v/>
      </c>
      <c r="J200" s="101" t="str">
        <f ca="1">IF($B200="", "", IF(_xll.IMDP("IR", $B200, J$6, $C$4, "fill=true")=0, "", _xll.IMDP("IR", $B200, J$6, $C$4, "fill=true")))</f>
        <v/>
      </c>
      <c r="K200" s="101" t="str">
        <f ca="1">IF($B200="", "", IF(_xll.IMDP("IR", $B200, K$6, $C$4, "fill=true")=0, "", _xll.IMDP("IR", $B200, K$6, $C$4, "fill=true")))</f>
        <v/>
      </c>
      <c r="L200" s="101" t="str">
        <f ca="1">IF($B200="", "", IF(_xll.IMDP("IR", $B200, L$6, $C$4, "fill=true")=0, "", _xll.IMDP("IR", $B200, L$6, $C$4, "fill=true")))</f>
        <v/>
      </c>
      <c r="M200" s="101" t="str">
        <f ca="1">IF($B200="", "", IF(_xll.IMDP("IR", $B200, M$6, $C$4, "fill=true")=0, "", _xll.IMDP("IR", $B200, M$6, $C$4, "fill=true")))</f>
        <v/>
      </c>
      <c r="N200" s="101" t="str">
        <f ca="1">IF($B200="", "", IF(_xll.IMDP("IR", $B200, N$6, $C$4, "fill=true")=0, "", _xll.IMDP("IR", $B200, N$6, $C$4, "fill=true")))</f>
        <v/>
      </c>
      <c r="O200" s="101" t="str">
        <f ca="1">IF($B200="", "", IF(_xll.IMDP("IR", $B200, O$6, $C$4, "fill=true")=0, "", _xll.IMDP("IR", $B200, O$6, $C$4, "fill=true")))</f>
        <v/>
      </c>
      <c r="P200" s="101" t="str">
        <f ca="1">IF($B200="", "", IF(_xll.IMDP("IR", $B200, P$6, $C$4, "fill=true")=0, "", _xll.IMDP("IR", $B200, P$6, $C$4, "fill=true")))</f>
        <v/>
      </c>
      <c r="Q200" s="102" t="str">
        <f ca="1">IF($B200="", "", IF(_xll.IMDP("IR", $B200, Q$6, $C$4, "fill=true")=0, "", _xll.IMDP("IR", $B200, Q$6, $C$4, "fill=true")))</f>
        <v/>
      </c>
    </row>
    <row r="201" spans="2:17" s="83" customFormat="1" ht="13.5">
      <c r="B201" s="83" t="str">
        <f ca="1">IFERROR( VLOOKUP(ROW()-ROW($B$6), code!$G$51:$K$1483, 5, 0), "")</f>
        <v/>
      </c>
      <c r="C201" s="96" t="str">
        <f ca="1">IF($B201="", "", _xll.IMDP("IR", $B201, "1일", $C$4, "fill=true, disp=date"))</f>
        <v/>
      </c>
      <c r="D201" s="97" t="str">
        <f ca="1">IF($B201="", "", VLOOKUP(ROW()-ROW($B$6), code!$G$51:$K$1483, 2, 0) )</f>
        <v/>
      </c>
      <c r="E201" s="98" t="str">
        <f ca="1">IF($B201="", "", VLOOKUP(ROW()-ROW($B$6), code!$G$51:$K$1483, 3, 0) )</f>
        <v/>
      </c>
      <c r="F201" s="99" t="str">
        <f ca="1">IF($B201="", "", VLOOKUP(ROW()-ROW($B$6), code!$G$51:$K$1483, 4, 0))</f>
        <v/>
      </c>
      <c r="G201" s="100" t="str">
        <f ca="1">IF($B201="", "", IF(_xll.IMDP("IR", $B201, G$6, $C$4, "fill=true")=0, "", _xll.IMDP("IR", $B201, G$6, $C$4, "fill=true")))</f>
        <v/>
      </c>
      <c r="H201" s="101" t="str">
        <f ca="1">IF($B201="", "", IF(_xll.IMDP("IR", $B201, H$6, $C$4, "fill=true")=0, "", _xll.IMDP("IR", $B201, H$6, $C$4, "fill=true")))</f>
        <v/>
      </c>
      <c r="I201" s="101" t="str">
        <f ca="1">IF($B201="", "", IF(_xll.IMDP("IR", $B201, I$6, $C$4, "fill=true")=0, "", _xll.IMDP("IR", $B201, I$6, $C$4, "fill=true")))</f>
        <v/>
      </c>
      <c r="J201" s="101" t="str">
        <f ca="1">IF($B201="", "", IF(_xll.IMDP("IR", $B201, J$6, $C$4, "fill=true")=0, "", _xll.IMDP("IR", $B201, J$6, $C$4, "fill=true")))</f>
        <v/>
      </c>
      <c r="K201" s="101" t="str">
        <f ca="1">IF($B201="", "", IF(_xll.IMDP("IR", $B201, K$6, $C$4, "fill=true")=0, "", _xll.IMDP("IR", $B201, K$6, $C$4, "fill=true")))</f>
        <v/>
      </c>
      <c r="L201" s="101" t="str">
        <f ca="1">IF($B201="", "", IF(_xll.IMDP("IR", $B201, L$6, $C$4, "fill=true")=0, "", _xll.IMDP("IR", $B201, L$6, $C$4, "fill=true")))</f>
        <v/>
      </c>
      <c r="M201" s="101" t="str">
        <f ca="1">IF($B201="", "", IF(_xll.IMDP("IR", $B201, M$6, $C$4, "fill=true")=0, "", _xll.IMDP("IR", $B201, M$6, $C$4, "fill=true")))</f>
        <v/>
      </c>
      <c r="N201" s="101" t="str">
        <f ca="1">IF($B201="", "", IF(_xll.IMDP("IR", $B201, N$6, $C$4, "fill=true")=0, "", _xll.IMDP("IR", $B201, N$6, $C$4, "fill=true")))</f>
        <v/>
      </c>
      <c r="O201" s="101" t="str">
        <f ca="1">IF($B201="", "", IF(_xll.IMDP("IR", $B201, O$6, $C$4, "fill=true")=0, "", _xll.IMDP("IR", $B201, O$6, $C$4, "fill=true")))</f>
        <v/>
      </c>
      <c r="P201" s="101" t="str">
        <f ca="1">IF($B201="", "", IF(_xll.IMDP("IR", $B201, P$6, $C$4, "fill=true")=0, "", _xll.IMDP("IR", $B201, P$6, $C$4, "fill=true")))</f>
        <v/>
      </c>
      <c r="Q201" s="102" t="str">
        <f ca="1">IF($B201="", "", IF(_xll.IMDP("IR", $B201, Q$6, $C$4, "fill=true")=0, "", _xll.IMDP("IR", $B201, Q$6, $C$4, "fill=true")))</f>
        <v/>
      </c>
    </row>
    <row r="202" spans="2:17">
      <c r="B202" s="83" t="str">
        <f ca="1">IFERROR( VLOOKUP(ROW()-ROW($B$6), code!$G$51:$K$1483, 5, 0), "")</f>
        <v/>
      </c>
      <c r="C202" s="96" t="str">
        <f ca="1">IF($B202="", "", _xll.IMDP("IR", $B202, "1일", $C$4, "fill=true, disp=date"))</f>
        <v/>
      </c>
      <c r="D202" s="97" t="str">
        <f ca="1">IF($B202="", "", VLOOKUP(ROW()-ROW($B$6), code!$G$51:$K$1483, 2, 0) )</f>
        <v/>
      </c>
      <c r="E202" s="98" t="str">
        <f ca="1">IF($B202="", "", VLOOKUP(ROW()-ROW($B$6), code!$G$51:$K$1483, 3, 0) )</f>
        <v/>
      </c>
      <c r="F202" s="99" t="str">
        <f ca="1">IF($B202="", "", VLOOKUP(ROW()-ROW($B$6), code!$G$51:$K$1483, 4, 0))</f>
        <v/>
      </c>
      <c r="G202" s="100" t="str">
        <f ca="1">IF($B202="", "", IF(_xll.IMDP("IR", $B202, G$6, $C$4, "fill=true")=0, "", _xll.IMDP("IR", $B202, G$6, $C$4, "fill=true")))</f>
        <v/>
      </c>
      <c r="H202" s="101" t="str">
        <f ca="1">IF($B202="", "", IF(_xll.IMDP("IR", $B202, H$6, $C$4, "fill=true")=0, "", _xll.IMDP("IR", $B202, H$6, $C$4, "fill=true")))</f>
        <v/>
      </c>
      <c r="I202" s="101" t="str">
        <f ca="1">IF($B202="", "", IF(_xll.IMDP("IR", $B202, I$6, $C$4, "fill=true")=0, "", _xll.IMDP("IR", $B202, I$6, $C$4, "fill=true")))</f>
        <v/>
      </c>
      <c r="J202" s="101" t="str">
        <f ca="1">IF($B202="", "", IF(_xll.IMDP("IR", $B202, J$6, $C$4, "fill=true")=0, "", _xll.IMDP("IR", $B202, J$6, $C$4, "fill=true")))</f>
        <v/>
      </c>
      <c r="K202" s="101" t="str">
        <f ca="1">IF($B202="", "", IF(_xll.IMDP("IR", $B202, K$6, $C$4, "fill=true")=0, "", _xll.IMDP("IR", $B202, K$6, $C$4, "fill=true")))</f>
        <v/>
      </c>
      <c r="L202" s="101" t="str">
        <f ca="1">IF($B202="", "", IF(_xll.IMDP("IR", $B202, L$6, $C$4, "fill=true")=0, "", _xll.IMDP("IR", $B202, L$6, $C$4, "fill=true")))</f>
        <v/>
      </c>
      <c r="M202" s="101" t="str">
        <f ca="1">IF($B202="", "", IF(_xll.IMDP("IR", $B202, M$6, $C$4, "fill=true")=0, "", _xll.IMDP("IR", $B202, M$6, $C$4, "fill=true")))</f>
        <v/>
      </c>
      <c r="N202" s="101" t="str">
        <f ca="1">IF($B202="", "", IF(_xll.IMDP("IR", $B202, N$6, $C$4, "fill=true")=0, "", _xll.IMDP("IR", $B202, N$6, $C$4, "fill=true")))</f>
        <v/>
      </c>
      <c r="O202" s="101" t="str">
        <f ca="1">IF($B202="", "", IF(_xll.IMDP("IR", $B202, O$6, $C$4, "fill=true")=0, "", _xll.IMDP("IR", $B202, O$6, $C$4, "fill=true")))</f>
        <v/>
      </c>
      <c r="P202" s="101" t="str">
        <f ca="1">IF($B202="", "", IF(_xll.IMDP("IR", $B202, P$6, $C$4, "fill=true")=0, "", _xll.IMDP("IR", $B202, P$6, $C$4, "fill=true")))</f>
        <v/>
      </c>
      <c r="Q202" s="102" t="str">
        <f ca="1">IF($B202="", "", IF(_xll.IMDP("IR", $B202, Q$6, $C$4, "fill=true")=0, "", _xll.IMDP("IR", $B202, Q$6, $C$4, "fill=true")))</f>
        <v/>
      </c>
    </row>
    <row r="203" spans="2:17">
      <c r="B203" s="83" t="str">
        <f ca="1">IFERROR( VLOOKUP(ROW()-ROW($B$6), code!$G$51:$K$1483, 5, 0), "")</f>
        <v/>
      </c>
      <c r="C203" s="96" t="str">
        <f ca="1">IF($B203="", "", _xll.IMDP("IR", $B203, "1일", $C$4, "fill=true, disp=date"))</f>
        <v/>
      </c>
      <c r="D203" s="97" t="str">
        <f ca="1">IF($B203="", "", VLOOKUP(ROW()-ROW($B$6), code!$G$51:$K$1483, 2, 0) )</f>
        <v/>
      </c>
      <c r="E203" s="98" t="str">
        <f ca="1">IF($B203="", "", VLOOKUP(ROW()-ROW($B$6), code!$G$51:$K$1483, 3, 0) )</f>
        <v/>
      </c>
      <c r="F203" s="99" t="str">
        <f ca="1">IF($B203="", "", VLOOKUP(ROW()-ROW($B$6), code!$G$51:$K$1483, 4, 0))</f>
        <v/>
      </c>
      <c r="G203" s="100" t="str">
        <f ca="1">IF($B203="", "", IF(_xll.IMDP("IR", $B203, G$6, $C$4, "fill=true")=0, "", _xll.IMDP("IR", $B203, G$6, $C$4, "fill=true")))</f>
        <v/>
      </c>
      <c r="H203" s="101" t="str">
        <f ca="1">IF($B203="", "", IF(_xll.IMDP("IR", $B203, H$6, $C$4, "fill=true")=0, "", _xll.IMDP("IR", $B203, H$6, $C$4, "fill=true")))</f>
        <v/>
      </c>
      <c r="I203" s="101" t="str">
        <f ca="1">IF($B203="", "", IF(_xll.IMDP("IR", $B203, I$6, $C$4, "fill=true")=0, "", _xll.IMDP("IR", $B203, I$6, $C$4, "fill=true")))</f>
        <v/>
      </c>
      <c r="J203" s="101" t="str">
        <f ca="1">IF($B203="", "", IF(_xll.IMDP("IR", $B203, J$6, $C$4, "fill=true")=0, "", _xll.IMDP("IR", $B203, J$6, $C$4, "fill=true")))</f>
        <v/>
      </c>
      <c r="K203" s="101" t="str">
        <f ca="1">IF($B203="", "", IF(_xll.IMDP("IR", $B203, K$6, $C$4, "fill=true")=0, "", _xll.IMDP("IR", $B203, K$6, $C$4, "fill=true")))</f>
        <v/>
      </c>
      <c r="L203" s="101" t="str">
        <f ca="1">IF($B203="", "", IF(_xll.IMDP("IR", $B203, L$6, $C$4, "fill=true")=0, "", _xll.IMDP("IR", $B203, L$6, $C$4, "fill=true")))</f>
        <v/>
      </c>
      <c r="M203" s="101" t="str">
        <f ca="1">IF($B203="", "", IF(_xll.IMDP("IR", $B203, M$6, $C$4, "fill=true")=0, "", _xll.IMDP("IR", $B203, M$6, $C$4, "fill=true")))</f>
        <v/>
      </c>
      <c r="N203" s="101" t="str">
        <f ca="1">IF($B203="", "", IF(_xll.IMDP("IR", $B203, N$6, $C$4, "fill=true")=0, "", _xll.IMDP("IR", $B203, N$6, $C$4, "fill=true")))</f>
        <v/>
      </c>
      <c r="O203" s="101" t="str">
        <f ca="1">IF($B203="", "", IF(_xll.IMDP("IR", $B203, O$6, $C$4, "fill=true")=0, "", _xll.IMDP("IR", $B203, O$6, $C$4, "fill=true")))</f>
        <v/>
      </c>
      <c r="P203" s="101" t="str">
        <f ca="1">IF($B203="", "", IF(_xll.IMDP("IR", $B203, P$6, $C$4, "fill=true")=0, "", _xll.IMDP("IR", $B203, P$6, $C$4, "fill=true")))</f>
        <v/>
      </c>
      <c r="Q203" s="102" t="str">
        <f ca="1">IF($B203="", "", IF(_xll.IMDP("IR", $B203, Q$6, $C$4, "fill=true")=0, "", _xll.IMDP("IR", $B203, Q$6, $C$4, "fill=true")))</f>
        <v/>
      </c>
    </row>
    <row r="204" spans="2:17">
      <c r="B204" s="83" t="str">
        <f ca="1">IFERROR( VLOOKUP(ROW()-ROW($B$6), code!$G$51:$K$1483, 5, 0), "")</f>
        <v/>
      </c>
      <c r="C204" s="96" t="str">
        <f ca="1">IF($B204="", "", _xll.IMDP("IR", $B204, "1일", $C$4, "fill=true, disp=date"))</f>
        <v/>
      </c>
      <c r="D204" s="97" t="str">
        <f ca="1">IF($B204="", "", VLOOKUP(ROW()-ROW($B$6), code!$G$51:$K$1483, 2, 0) )</f>
        <v/>
      </c>
      <c r="E204" s="98" t="str">
        <f ca="1">IF($B204="", "", VLOOKUP(ROW()-ROW($B$6), code!$G$51:$K$1483, 3, 0) )</f>
        <v/>
      </c>
      <c r="F204" s="99" t="str">
        <f ca="1">IF($B204="", "", VLOOKUP(ROW()-ROW($B$6), code!$G$51:$K$1483, 4, 0))</f>
        <v/>
      </c>
      <c r="G204" s="100" t="str">
        <f ca="1">IF($B204="", "", IF(_xll.IMDP("IR", $B204, G$6, $C$4, "fill=true")=0, "", _xll.IMDP("IR", $B204, G$6, $C$4, "fill=true")))</f>
        <v/>
      </c>
      <c r="H204" s="101" t="str">
        <f ca="1">IF($B204="", "", IF(_xll.IMDP("IR", $B204, H$6, $C$4, "fill=true")=0, "", _xll.IMDP("IR", $B204, H$6, $C$4, "fill=true")))</f>
        <v/>
      </c>
      <c r="I204" s="101" t="str">
        <f ca="1">IF($B204="", "", IF(_xll.IMDP("IR", $B204, I$6, $C$4, "fill=true")=0, "", _xll.IMDP("IR", $B204, I$6, $C$4, "fill=true")))</f>
        <v/>
      </c>
      <c r="J204" s="101" t="str">
        <f ca="1">IF($B204="", "", IF(_xll.IMDP("IR", $B204, J$6, $C$4, "fill=true")=0, "", _xll.IMDP("IR", $B204, J$6, $C$4, "fill=true")))</f>
        <v/>
      </c>
      <c r="K204" s="101" t="str">
        <f ca="1">IF($B204="", "", IF(_xll.IMDP("IR", $B204, K$6, $C$4, "fill=true")=0, "", _xll.IMDP("IR", $B204, K$6, $C$4, "fill=true")))</f>
        <v/>
      </c>
      <c r="L204" s="101" t="str">
        <f ca="1">IF($B204="", "", IF(_xll.IMDP("IR", $B204, L$6, $C$4, "fill=true")=0, "", _xll.IMDP("IR", $B204, L$6, $C$4, "fill=true")))</f>
        <v/>
      </c>
      <c r="M204" s="101" t="str">
        <f ca="1">IF($B204="", "", IF(_xll.IMDP("IR", $B204, M$6, $C$4, "fill=true")=0, "", _xll.IMDP("IR", $B204, M$6, $C$4, "fill=true")))</f>
        <v/>
      </c>
      <c r="N204" s="101" t="str">
        <f ca="1">IF($B204="", "", IF(_xll.IMDP("IR", $B204, N$6, $C$4, "fill=true")=0, "", _xll.IMDP("IR", $B204, N$6, $C$4, "fill=true")))</f>
        <v/>
      </c>
      <c r="O204" s="101" t="str">
        <f ca="1">IF($B204="", "", IF(_xll.IMDP("IR", $B204, O$6, $C$4, "fill=true")=0, "", _xll.IMDP("IR", $B204, O$6, $C$4, "fill=true")))</f>
        <v/>
      </c>
      <c r="P204" s="101" t="str">
        <f ca="1">IF($B204="", "", IF(_xll.IMDP("IR", $B204, P$6, $C$4, "fill=true")=0, "", _xll.IMDP("IR", $B204, P$6, $C$4, "fill=true")))</f>
        <v/>
      </c>
      <c r="Q204" s="102" t="str">
        <f ca="1">IF($B204="", "", IF(_xll.IMDP("IR", $B204, Q$6, $C$4, "fill=true")=0, "", _xll.IMDP("IR", $B204, Q$6, $C$4, "fill=true")))</f>
        <v/>
      </c>
    </row>
    <row r="205" spans="2:17">
      <c r="B205" s="83" t="str">
        <f ca="1">IFERROR( VLOOKUP(ROW()-ROW($B$6), code!$G$51:$K$1483, 5, 0), "")</f>
        <v/>
      </c>
      <c r="C205" s="96" t="str">
        <f ca="1">IF($B205="", "", _xll.IMDP("IR", $B205, "1일", $C$4, "fill=true, disp=date"))</f>
        <v/>
      </c>
      <c r="D205" s="97" t="str">
        <f ca="1">IF($B205="", "", VLOOKUP(ROW()-ROW($B$6), code!$G$51:$K$1483, 2, 0) )</f>
        <v/>
      </c>
      <c r="E205" s="98" t="str">
        <f ca="1">IF($B205="", "", VLOOKUP(ROW()-ROW($B$6), code!$G$51:$K$1483, 3, 0) )</f>
        <v/>
      </c>
      <c r="F205" s="99" t="str">
        <f ca="1">IF($B205="", "", VLOOKUP(ROW()-ROW($B$6), code!$G$51:$K$1483, 4, 0))</f>
        <v/>
      </c>
      <c r="G205" s="100" t="str">
        <f ca="1">IF($B205="", "", IF(_xll.IMDP("IR", $B205, G$6, $C$4, "fill=true")=0, "", _xll.IMDP("IR", $B205, G$6, $C$4, "fill=true")))</f>
        <v/>
      </c>
      <c r="H205" s="101" t="str">
        <f ca="1">IF($B205="", "", IF(_xll.IMDP("IR", $B205, H$6, $C$4, "fill=true")=0, "", _xll.IMDP("IR", $B205, H$6, $C$4, "fill=true")))</f>
        <v/>
      </c>
      <c r="I205" s="101" t="str">
        <f ca="1">IF($B205="", "", IF(_xll.IMDP("IR", $B205, I$6, $C$4, "fill=true")=0, "", _xll.IMDP("IR", $B205, I$6, $C$4, "fill=true")))</f>
        <v/>
      </c>
      <c r="J205" s="101" t="str">
        <f ca="1">IF($B205="", "", IF(_xll.IMDP("IR", $B205, J$6, $C$4, "fill=true")=0, "", _xll.IMDP("IR", $B205, J$6, $C$4, "fill=true")))</f>
        <v/>
      </c>
      <c r="K205" s="101" t="str">
        <f ca="1">IF($B205="", "", IF(_xll.IMDP("IR", $B205, K$6, $C$4, "fill=true")=0, "", _xll.IMDP("IR", $B205, K$6, $C$4, "fill=true")))</f>
        <v/>
      </c>
      <c r="L205" s="101" t="str">
        <f ca="1">IF($B205="", "", IF(_xll.IMDP("IR", $B205, L$6, $C$4, "fill=true")=0, "", _xll.IMDP("IR", $B205, L$6, $C$4, "fill=true")))</f>
        <v/>
      </c>
      <c r="M205" s="101" t="str">
        <f ca="1">IF($B205="", "", IF(_xll.IMDP("IR", $B205, M$6, $C$4, "fill=true")=0, "", _xll.IMDP("IR", $B205, M$6, $C$4, "fill=true")))</f>
        <v/>
      </c>
      <c r="N205" s="101" t="str">
        <f ca="1">IF($B205="", "", IF(_xll.IMDP("IR", $B205, N$6, $C$4, "fill=true")=0, "", _xll.IMDP("IR", $B205, N$6, $C$4, "fill=true")))</f>
        <v/>
      </c>
      <c r="O205" s="101" t="str">
        <f ca="1">IF($B205="", "", IF(_xll.IMDP("IR", $B205, O$6, $C$4, "fill=true")=0, "", _xll.IMDP("IR", $B205, O$6, $C$4, "fill=true")))</f>
        <v/>
      </c>
      <c r="P205" s="101" t="str">
        <f ca="1">IF($B205="", "", IF(_xll.IMDP("IR", $B205, P$6, $C$4, "fill=true")=0, "", _xll.IMDP("IR", $B205, P$6, $C$4, "fill=true")))</f>
        <v/>
      </c>
      <c r="Q205" s="102" t="str">
        <f ca="1">IF($B205="", "", IF(_xll.IMDP("IR", $B205, Q$6, $C$4, "fill=true")=0, "", _xll.IMDP("IR", $B205, Q$6, $C$4, "fill=true")))</f>
        <v/>
      </c>
    </row>
    <row r="206" spans="2:17">
      <c r="B206" s="83" t="str">
        <f ca="1">IFERROR( VLOOKUP(ROW()-ROW($B$6), code!$G$51:$K$1483, 5, 0), "")</f>
        <v/>
      </c>
      <c r="C206" s="96" t="str">
        <f ca="1">IF($B206="", "", _xll.IMDP("IR", $B206, "1일", $C$4, "fill=true, disp=date"))</f>
        <v/>
      </c>
      <c r="D206" s="97" t="str">
        <f ca="1">IF($B206="", "", VLOOKUP(ROW()-ROW($B$6), code!$G$51:$K$1483, 2, 0) )</f>
        <v/>
      </c>
      <c r="E206" s="98" t="str">
        <f ca="1">IF($B206="", "", VLOOKUP(ROW()-ROW($B$6), code!$G$51:$K$1483, 3, 0) )</f>
        <v/>
      </c>
      <c r="F206" s="99" t="str">
        <f ca="1">IF($B206="", "", VLOOKUP(ROW()-ROW($B$6), code!$G$51:$K$1483, 4, 0))</f>
        <v/>
      </c>
      <c r="G206" s="100" t="str">
        <f ca="1">IF($B206="", "", IF(_xll.IMDP("IR", $B206, G$6, $C$4, "fill=true")=0, "", _xll.IMDP("IR", $B206, G$6, $C$4, "fill=true")))</f>
        <v/>
      </c>
      <c r="H206" s="101" t="str">
        <f ca="1">IF($B206="", "", IF(_xll.IMDP("IR", $B206, H$6, $C$4, "fill=true")=0, "", _xll.IMDP("IR", $B206, H$6, $C$4, "fill=true")))</f>
        <v/>
      </c>
      <c r="I206" s="101" t="str">
        <f ca="1">IF($B206="", "", IF(_xll.IMDP("IR", $B206, I$6, $C$4, "fill=true")=0, "", _xll.IMDP("IR", $B206, I$6, $C$4, "fill=true")))</f>
        <v/>
      </c>
      <c r="J206" s="101" t="str">
        <f ca="1">IF($B206="", "", IF(_xll.IMDP("IR", $B206, J$6, $C$4, "fill=true")=0, "", _xll.IMDP("IR", $B206, J$6, $C$4, "fill=true")))</f>
        <v/>
      </c>
      <c r="K206" s="101" t="str">
        <f ca="1">IF($B206="", "", IF(_xll.IMDP("IR", $B206, K$6, $C$4, "fill=true")=0, "", _xll.IMDP("IR", $B206, K$6, $C$4, "fill=true")))</f>
        <v/>
      </c>
      <c r="L206" s="101" t="str">
        <f ca="1">IF($B206="", "", IF(_xll.IMDP("IR", $B206, L$6, $C$4, "fill=true")=0, "", _xll.IMDP("IR", $B206, L$6, $C$4, "fill=true")))</f>
        <v/>
      </c>
      <c r="M206" s="101" t="str">
        <f ca="1">IF($B206="", "", IF(_xll.IMDP("IR", $B206, M$6, $C$4, "fill=true")=0, "", _xll.IMDP("IR", $B206, M$6, $C$4, "fill=true")))</f>
        <v/>
      </c>
      <c r="N206" s="101" t="str">
        <f ca="1">IF($B206="", "", IF(_xll.IMDP("IR", $B206, N$6, $C$4, "fill=true")=0, "", _xll.IMDP("IR", $B206, N$6, $C$4, "fill=true")))</f>
        <v/>
      </c>
      <c r="O206" s="101" t="str">
        <f ca="1">IF($B206="", "", IF(_xll.IMDP("IR", $B206, O$6, $C$4, "fill=true")=0, "", _xll.IMDP("IR", $B206, O$6, $C$4, "fill=true")))</f>
        <v/>
      </c>
      <c r="P206" s="101" t="str">
        <f ca="1">IF($B206="", "", IF(_xll.IMDP("IR", $B206, P$6, $C$4, "fill=true")=0, "", _xll.IMDP("IR", $B206, P$6, $C$4, "fill=true")))</f>
        <v/>
      </c>
      <c r="Q206" s="102" t="str">
        <f ca="1">IF($B206="", "", IF(_xll.IMDP("IR", $B206, Q$6, $C$4, "fill=true")=0, "", _xll.IMDP("IR", $B206, Q$6, $C$4, "fill=true")))</f>
        <v/>
      </c>
    </row>
    <row r="207" spans="2:17">
      <c r="B207" s="83" t="str">
        <f ca="1">IFERROR( VLOOKUP(ROW()-ROW($B$6), code!$G$51:$K$1483, 5, 0), "")</f>
        <v/>
      </c>
      <c r="C207" s="96" t="str">
        <f ca="1">IF($B207="", "", _xll.IMDP("IR", $B207, "1일", $C$4, "fill=true, disp=date"))</f>
        <v/>
      </c>
      <c r="D207" s="97" t="str">
        <f ca="1">IF($B207="", "", VLOOKUP(ROW()-ROW($B$6), code!$G$51:$K$1483, 2, 0) )</f>
        <v/>
      </c>
      <c r="E207" s="98" t="str">
        <f ca="1">IF($B207="", "", VLOOKUP(ROW()-ROW($B$6), code!$G$51:$K$1483, 3, 0) )</f>
        <v/>
      </c>
      <c r="F207" s="99" t="str">
        <f ca="1">IF($B207="", "", VLOOKUP(ROW()-ROW($B$6), code!$G$51:$K$1483, 4, 0))</f>
        <v/>
      </c>
      <c r="G207" s="100" t="str">
        <f ca="1">IF($B207="", "", IF(_xll.IMDP("IR", $B207, G$6, $C$4, "fill=true")=0, "", _xll.IMDP("IR", $B207, G$6, $C$4, "fill=true")))</f>
        <v/>
      </c>
      <c r="H207" s="101" t="str">
        <f ca="1">IF($B207="", "", IF(_xll.IMDP("IR", $B207, H$6, $C$4, "fill=true")=0, "", _xll.IMDP("IR", $B207, H$6, $C$4, "fill=true")))</f>
        <v/>
      </c>
      <c r="I207" s="101" t="str">
        <f ca="1">IF($B207="", "", IF(_xll.IMDP("IR", $B207, I$6, $C$4, "fill=true")=0, "", _xll.IMDP("IR", $B207, I$6, $C$4, "fill=true")))</f>
        <v/>
      </c>
      <c r="J207" s="101" t="str">
        <f ca="1">IF($B207="", "", IF(_xll.IMDP("IR", $B207, J$6, $C$4, "fill=true")=0, "", _xll.IMDP("IR", $B207, J$6, $C$4, "fill=true")))</f>
        <v/>
      </c>
      <c r="K207" s="101" t="str">
        <f ca="1">IF($B207="", "", IF(_xll.IMDP("IR", $B207, K$6, $C$4, "fill=true")=0, "", _xll.IMDP("IR", $B207, K$6, $C$4, "fill=true")))</f>
        <v/>
      </c>
      <c r="L207" s="101" t="str">
        <f ca="1">IF($B207="", "", IF(_xll.IMDP("IR", $B207, L$6, $C$4, "fill=true")=0, "", _xll.IMDP("IR", $B207, L$6, $C$4, "fill=true")))</f>
        <v/>
      </c>
      <c r="M207" s="101" t="str">
        <f ca="1">IF($B207="", "", IF(_xll.IMDP("IR", $B207, M$6, $C$4, "fill=true")=0, "", _xll.IMDP("IR", $B207, M$6, $C$4, "fill=true")))</f>
        <v/>
      </c>
      <c r="N207" s="101" t="str">
        <f ca="1">IF($B207="", "", IF(_xll.IMDP("IR", $B207, N$6, $C$4, "fill=true")=0, "", _xll.IMDP("IR", $B207, N$6, $C$4, "fill=true")))</f>
        <v/>
      </c>
      <c r="O207" s="101" t="str">
        <f ca="1">IF($B207="", "", IF(_xll.IMDP("IR", $B207, O$6, $C$4, "fill=true")=0, "", _xll.IMDP("IR", $B207, O$6, $C$4, "fill=true")))</f>
        <v/>
      </c>
      <c r="P207" s="101" t="str">
        <f ca="1">IF($B207="", "", IF(_xll.IMDP("IR", $B207, P$6, $C$4, "fill=true")=0, "", _xll.IMDP("IR", $B207, P$6, $C$4, "fill=true")))</f>
        <v/>
      </c>
      <c r="Q207" s="102" t="str">
        <f ca="1">IF($B207="", "", IF(_xll.IMDP("IR", $B207, Q$6, $C$4, "fill=true")=0, "", _xll.IMDP("IR", $B207, Q$6, $C$4, "fill=true")))</f>
        <v/>
      </c>
    </row>
    <row r="208" spans="2:17">
      <c r="B208" s="83" t="str">
        <f ca="1">IFERROR( VLOOKUP(ROW()-ROW($B$6), code!$G$51:$K$1483, 5, 0), "")</f>
        <v/>
      </c>
      <c r="C208" s="96" t="str">
        <f ca="1">IF($B208="", "", _xll.IMDP("IR", $B208, "1일", $C$4, "fill=true, disp=date"))</f>
        <v/>
      </c>
      <c r="D208" s="97" t="str">
        <f ca="1">IF($B208="", "", VLOOKUP(ROW()-ROW($B$6), code!$G$51:$K$1483, 2, 0) )</f>
        <v/>
      </c>
      <c r="E208" s="98" t="str">
        <f ca="1">IF($B208="", "", VLOOKUP(ROW()-ROW($B$6), code!$G$51:$K$1483, 3, 0) )</f>
        <v/>
      </c>
      <c r="F208" s="99" t="str">
        <f ca="1">IF($B208="", "", VLOOKUP(ROW()-ROW($B$6), code!$G$51:$K$1483, 4, 0))</f>
        <v/>
      </c>
      <c r="G208" s="100" t="str">
        <f ca="1">IF($B208="", "", IF(_xll.IMDP("IR", $B208, G$6, $C$4, "fill=true")=0, "", _xll.IMDP("IR", $B208, G$6, $C$4, "fill=true")))</f>
        <v/>
      </c>
      <c r="H208" s="101" t="str">
        <f ca="1">IF($B208="", "", IF(_xll.IMDP("IR", $B208, H$6, $C$4, "fill=true")=0, "", _xll.IMDP("IR", $B208, H$6, $C$4, "fill=true")))</f>
        <v/>
      </c>
      <c r="I208" s="101" t="str">
        <f ca="1">IF($B208="", "", IF(_xll.IMDP("IR", $B208, I$6, $C$4, "fill=true")=0, "", _xll.IMDP("IR", $B208, I$6, $C$4, "fill=true")))</f>
        <v/>
      </c>
      <c r="J208" s="101" t="str">
        <f ca="1">IF($B208="", "", IF(_xll.IMDP("IR", $B208, J$6, $C$4, "fill=true")=0, "", _xll.IMDP("IR", $B208, J$6, $C$4, "fill=true")))</f>
        <v/>
      </c>
      <c r="K208" s="101" t="str">
        <f ca="1">IF($B208="", "", IF(_xll.IMDP("IR", $B208, K$6, $C$4, "fill=true")=0, "", _xll.IMDP("IR", $B208, K$6, $C$4, "fill=true")))</f>
        <v/>
      </c>
      <c r="L208" s="101" t="str">
        <f ca="1">IF($B208="", "", IF(_xll.IMDP("IR", $B208, L$6, $C$4, "fill=true")=0, "", _xll.IMDP("IR", $B208, L$6, $C$4, "fill=true")))</f>
        <v/>
      </c>
      <c r="M208" s="101" t="str">
        <f ca="1">IF($B208="", "", IF(_xll.IMDP("IR", $B208, M$6, $C$4, "fill=true")=0, "", _xll.IMDP("IR", $B208, M$6, $C$4, "fill=true")))</f>
        <v/>
      </c>
      <c r="N208" s="101" t="str">
        <f ca="1">IF($B208="", "", IF(_xll.IMDP("IR", $B208, N$6, $C$4, "fill=true")=0, "", _xll.IMDP("IR", $B208, N$6, $C$4, "fill=true")))</f>
        <v/>
      </c>
      <c r="O208" s="101" t="str">
        <f ca="1">IF($B208="", "", IF(_xll.IMDP("IR", $B208, O$6, $C$4, "fill=true")=0, "", _xll.IMDP("IR", $B208, O$6, $C$4, "fill=true")))</f>
        <v/>
      </c>
      <c r="P208" s="101" t="str">
        <f ca="1">IF($B208="", "", IF(_xll.IMDP("IR", $B208, P$6, $C$4, "fill=true")=0, "", _xll.IMDP("IR", $B208, P$6, $C$4, "fill=true")))</f>
        <v/>
      </c>
      <c r="Q208" s="102" t="str">
        <f ca="1">IF($B208="", "", IF(_xll.IMDP("IR", $B208, Q$6, $C$4, "fill=true")=0, "", _xll.IMDP("IR", $B208, Q$6, $C$4, "fill=true")))</f>
        <v/>
      </c>
    </row>
    <row r="209" spans="2:17">
      <c r="B209" s="83" t="str">
        <f ca="1">IFERROR( VLOOKUP(ROW()-ROW($B$6), code!$G$51:$K$1483, 5, 0), "")</f>
        <v/>
      </c>
      <c r="C209" s="96" t="str">
        <f ca="1">IF($B209="", "", _xll.IMDP("IR", $B209, "1일", $C$4, "fill=true, disp=date"))</f>
        <v/>
      </c>
      <c r="D209" s="97" t="str">
        <f ca="1">IF($B209="", "", VLOOKUP(ROW()-ROW($B$6), code!$G$51:$K$1483, 2, 0) )</f>
        <v/>
      </c>
      <c r="E209" s="98" t="str">
        <f ca="1">IF($B209="", "", VLOOKUP(ROW()-ROW($B$6), code!$G$51:$K$1483, 3, 0) )</f>
        <v/>
      </c>
      <c r="F209" s="99" t="str">
        <f ca="1">IF($B209="", "", VLOOKUP(ROW()-ROW($B$6), code!$G$51:$K$1483, 4, 0))</f>
        <v/>
      </c>
      <c r="G209" s="100" t="str">
        <f ca="1">IF($B209="", "", IF(_xll.IMDP("IR", $B209, G$6, $C$4, "fill=true")=0, "", _xll.IMDP("IR", $B209, G$6, $C$4, "fill=true")))</f>
        <v/>
      </c>
      <c r="H209" s="101" t="str">
        <f ca="1">IF($B209="", "", IF(_xll.IMDP("IR", $B209, H$6, $C$4, "fill=true")=0, "", _xll.IMDP("IR", $B209, H$6, $C$4, "fill=true")))</f>
        <v/>
      </c>
      <c r="I209" s="101" t="str">
        <f ca="1">IF($B209="", "", IF(_xll.IMDP("IR", $B209, I$6, $C$4, "fill=true")=0, "", _xll.IMDP("IR", $B209, I$6, $C$4, "fill=true")))</f>
        <v/>
      </c>
      <c r="J209" s="101" t="str">
        <f ca="1">IF($B209="", "", IF(_xll.IMDP("IR", $B209, J$6, $C$4, "fill=true")=0, "", _xll.IMDP("IR", $B209, J$6, $C$4, "fill=true")))</f>
        <v/>
      </c>
      <c r="K209" s="101" t="str">
        <f ca="1">IF($B209="", "", IF(_xll.IMDP("IR", $B209, K$6, $C$4, "fill=true")=0, "", _xll.IMDP("IR", $B209, K$6, $C$4, "fill=true")))</f>
        <v/>
      </c>
      <c r="L209" s="101" t="str">
        <f ca="1">IF($B209="", "", IF(_xll.IMDP("IR", $B209, L$6, $C$4, "fill=true")=0, "", _xll.IMDP("IR", $B209, L$6, $C$4, "fill=true")))</f>
        <v/>
      </c>
      <c r="M209" s="101" t="str">
        <f ca="1">IF($B209="", "", IF(_xll.IMDP("IR", $B209, M$6, $C$4, "fill=true")=0, "", _xll.IMDP("IR", $B209, M$6, $C$4, "fill=true")))</f>
        <v/>
      </c>
      <c r="N209" s="101" t="str">
        <f ca="1">IF($B209="", "", IF(_xll.IMDP("IR", $B209, N$6, $C$4, "fill=true")=0, "", _xll.IMDP("IR", $B209, N$6, $C$4, "fill=true")))</f>
        <v/>
      </c>
      <c r="O209" s="101" t="str">
        <f ca="1">IF($B209="", "", IF(_xll.IMDP("IR", $B209, O$6, $C$4, "fill=true")=0, "", _xll.IMDP("IR", $B209, O$6, $C$4, "fill=true")))</f>
        <v/>
      </c>
      <c r="P209" s="101" t="str">
        <f ca="1">IF($B209="", "", IF(_xll.IMDP("IR", $B209, P$6, $C$4, "fill=true")=0, "", _xll.IMDP("IR", $B209, P$6, $C$4, "fill=true")))</f>
        <v/>
      </c>
      <c r="Q209" s="102" t="str">
        <f ca="1">IF($B209="", "", IF(_xll.IMDP("IR", $B209, Q$6, $C$4, "fill=true")=0, "", _xll.IMDP("IR", $B209, Q$6, $C$4, "fill=true")))</f>
        <v/>
      </c>
    </row>
    <row r="210" spans="2:17">
      <c r="B210" s="83" t="str">
        <f ca="1">IFERROR( VLOOKUP(ROW()-ROW($B$6), code!$G$51:$K$1483, 5, 0), "")</f>
        <v/>
      </c>
      <c r="C210" s="96" t="str">
        <f ca="1">IF($B210="", "", _xll.IMDP("IR", $B210, "1일", $C$4, "fill=true, disp=date"))</f>
        <v/>
      </c>
      <c r="D210" s="97" t="str">
        <f ca="1">IF($B210="", "", VLOOKUP(ROW()-ROW($B$6), code!$G$51:$K$1483, 2, 0) )</f>
        <v/>
      </c>
      <c r="E210" s="98" t="str">
        <f ca="1">IF($B210="", "", VLOOKUP(ROW()-ROW($B$6), code!$G$51:$K$1483, 3, 0) )</f>
        <v/>
      </c>
      <c r="F210" s="99" t="str">
        <f ca="1">IF($B210="", "", VLOOKUP(ROW()-ROW($B$6), code!$G$51:$K$1483, 4, 0))</f>
        <v/>
      </c>
      <c r="G210" s="100" t="str">
        <f ca="1">IF($B210="", "", IF(_xll.IMDP("IR", $B210, G$6, $C$4, "fill=true")=0, "", _xll.IMDP("IR", $B210, G$6, $C$4, "fill=true")))</f>
        <v/>
      </c>
      <c r="H210" s="101" t="str">
        <f ca="1">IF($B210="", "", IF(_xll.IMDP("IR", $B210, H$6, $C$4, "fill=true")=0, "", _xll.IMDP("IR", $B210, H$6, $C$4, "fill=true")))</f>
        <v/>
      </c>
      <c r="I210" s="101" t="str">
        <f ca="1">IF($B210="", "", IF(_xll.IMDP("IR", $B210, I$6, $C$4, "fill=true")=0, "", _xll.IMDP("IR", $B210, I$6, $C$4, "fill=true")))</f>
        <v/>
      </c>
      <c r="J210" s="101" t="str">
        <f ca="1">IF($B210="", "", IF(_xll.IMDP("IR", $B210, J$6, $C$4, "fill=true")=0, "", _xll.IMDP("IR", $B210, J$6, $C$4, "fill=true")))</f>
        <v/>
      </c>
      <c r="K210" s="101" t="str">
        <f ca="1">IF($B210="", "", IF(_xll.IMDP("IR", $B210, K$6, $C$4, "fill=true")=0, "", _xll.IMDP("IR", $B210, K$6, $C$4, "fill=true")))</f>
        <v/>
      </c>
      <c r="L210" s="101" t="str">
        <f ca="1">IF($B210="", "", IF(_xll.IMDP("IR", $B210, L$6, $C$4, "fill=true")=0, "", _xll.IMDP("IR", $B210, L$6, $C$4, "fill=true")))</f>
        <v/>
      </c>
      <c r="M210" s="101" t="str">
        <f ca="1">IF($B210="", "", IF(_xll.IMDP("IR", $B210, M$6, $C$4, "fill=true")=0, "", _xll.IMDP("IR", $B210, M$6, $C$4, "fill=true")))</f>
        <v/>
      </c>
      <c r="N210" s="101" t="str">
        <f ca="1">IF($B210="", "", IF(_xll.IMDP("IR", $B210, N$6, $C$4, "fill=true")=0, "", _xll.IMDP("IR", $B210, N$6, $C$4, "fill=true")))</f>
        <v/>
      </c>
      <c r="O210" s="101" t="str">
        <f ca="1">IF($B210="", "", IF(_xll.IMDP("IR", $B210, O$6, $C$4, "fill=true")=0, "", _xll.IMDP("IR", $B210, O$6, $C$4, "fill=true")))</f>
        <v/>
      </c>
      <c r="P210" s="101" t="str">
        <f ca="1">IF($B210="", "", IF(_xll.IMDP("IR", $B210, P$6, $C$4, "fill=true")=0, "", _xll.IMDP("IR", $B210, P$6, $C$4, "fill=true")))</f>
        <v/>
      </c>
      <c r="Q210" s="102" t="str">
        <f ca="1">IF($B210="", "", IF(_xll.IMDP("IR", $B210, Q$6, $C$4, "fill=true")=0, "", _xll.IMDP("IR", $B210, Q$6, $C$4, "fill=true")))</f>
        <v/>
      </c>
    </row>
    <row r="211" spans="2:17">
      <c r="B211" s="83" t="str">
        <f ca="1">IFERROR( VLOOKUP(ROW()-ROW($B$6), code!$G$51:$K$1483, 5, 0), "")</f>
        <v/>
      </c>
      <c r="C211" s="96" t="str">
        <f ca="1">IF($B211="", "", _xll.IMDP("IR", $B211, "1일", $C$4, "fill=true, disp=date"))</f>
        <v/>
      </c>
      <c r="D211" s="97" t="str">
        <f ca="1">IF($B211="", "", VLOOKUP(ROW()-ROW($B$6), code!$G$51:$K$1483, 2, 0) )</f>
        <v/>
      </c>
      <c r="E211" s="98" t="str">
        <f ca="1">IF($B211="", "", VLOOKUP(ROW()-ROW($B$6), code!$G$51:$K$1483, 3, 0) )</f>
        <v/>
      </c>
      <c r="F211" s="99" t="str">
        <f ca="1">IF($B211="", "", VLOOKUP(ROW()-ROW($B$6), code!$G$51:$K$1483, 4, 0))</f>
        <v/>
      </c>
      <c r="G211" s="100" t="str">
        <f ca="1">IF($B211="", "", IF(_xll.IMDP("IR", $B211, G$6, $C$4, "fill=true")=0, "", _xll.IMDP("IR", $B211, G$6, $C$4, "fill=true")))</f>
        <v/>
      </c>
      <c r="H211" s="101" t="str">
        <f ca="1">IF($B211="", "", IF(_xll.IMDP("IR", $B211, H$6, $C$4, "fill=true")=0, "", _xll.IMDP("IR", $B211, H$6, $C$4, "fill=true")))</f>
        <v/>
      </c>
      <c r="I211" s="101" t="str">
        <f ca="1">IF($B211="", "", IF(_xll.IMDP("IR", $B211, I$6, $C$4, "fill=true")=0, "", _xll.IMDP("IR", $B211, I$6, $C$4, "fill=true")))</f>
        <v/>
      </c>
      <c r="J211" s="101" t="str">
        <f ca="1">IF($B211="", "", IF(_xll.IMDP("IR", $B211, J$6, $C$4, "fill=true")=0, "", _xll.IMDP("IR", $B211, J$6, $C$4, "fill=true")))</f>
        <v/>
      </c>
      <c r="K211" s="101" t="str">
        <f ca="1">IF($B211="", "", IF(_xll.IMDP("IR", $B211, K$6, $C$4, "fill=true")=0, "", _xll.IMDP("IR", $B211, K$6, $C$4, "fill=true")))</f>
        <v/>
      </c>
      <c r="L211" s="101" t="str">
        <f ca="1">IF($B211="", "", IF(_xll.IMDP("IR", $B211, L$6, $C$4, "fill=true")=0, "", _xll.IMDP("IR", $B211, L$6, $C$4, "fill=true")))</f>
        <v/>
      </c>
      <c r="M211" s="101" t="str">
        <f ca="1">IF($B211="", "", IF(_xll.IMDP("IR", $B211, M$6, $C$4, "fill=true")=0, "", _xll.IMDP("IR", $B211, M$6, $C$4, "fill=true")))</f>
        <v/>
      </c>
      <c r="N211" s="101" t="str">
        <f ca="1">IF($B211="", "", IF(_xll.IMDP("IR", $B211, N$6, $C$4, "fill=true")=0, "", _xll.IMDP("IR", $B211, N$6, $C$4, "fill=true")))</f>
        <v/>
      </c>
      <c r="O211" s="101" t="str">
        <f ca="1">IF($B211="", "", IF(_xll.IMDP("IR", $B211, O$6, $C$4, "fill=true")=0, "", _xll.IMDP("IR", $B211, O$6, $C$4, "fill=true")))</f>
        <v/>
      </c>
      <c r="P211" s="101" t="str">
        <f ca="1">IF($B211="", "", IF(_xll.IMDP("IR", $B211, P$6, $C$4, "fill=true")=0, "", _xll.IMDP("IR", $B211, P$6, $C$4, "fill=true")))</f>
        <v/>
      </c>
      <c r="Q211" s="102" t="str">
        <f ca="1">IF($B211="", "", IF(_xll.IMDP("IR", $B211, Q$6, $C$4, "fill=true")=0, "", _xll.IMDP("IR", $B211, Q$6, $C$4, "fill=true")))</f>
        <v/>
      </c>
    </row>
    <row r="212" spans="2:17">
      <c r="B212" s="83" t="str">
        <f ca="1">IFERROR( VLOOKUP(ROW()-ROW($B$6), code!$G$51:$K$1483, 5, 0), "")</f>
        <v/>
      </c>
      <c r="C212" s="96" t="str">
        <f ca="1">IF($B212="", "", _xll.IMDP("IR", $B212, "1일", $C$4, "fill=true, disp=date"))</f>
        <v/>
      </c>
      <c r="D212" s="97" t="str">
        <f ca="1">IF($B212="", "", VLOOKUP(ROW()-ROW($B$6), code!$G$51:$K$1483, 2, 0) )</f>
        <v/>
      </c>
      <c r="E212" s="98" t="str">
        <f ca="1">IF($B212="", "", VLOOKUP(ROW()-ROW($B$6), code!$G$51:$K$1483, 3, 0) )</f>
        <v/>
      </c>
      <c r="F212" s="99" t="str">
        <f ca="1">IF($B212="", "", VLOOKUP(ROW()-ROW($B$6), code!$G$51:$K$1483, 4, 0))</f>
        <v/>
      </c>
      <c r="G212" s="100" t="str">
        <f ca="1">IF($B212="", "", IF(_xll.IMDP("IR", $B212, G$6, $C$4, "fill=true")=0, "", _xll.IMDP("IR", $B212, G$6, $C$4, "fill=true")))</f>
        <v/>
      </c>
      <c r="H212" s="101" t="str">
        <f ca="1">IF($B212="", "", IF(_xll.IMDP("IR", $B212, H$6, $C$4, "fill=true")=0, "", _xll.IMDP("IR", $B212, H$6, $C$4, "fill=true")))</f>
        <v/>
      </c>
      <c r="I212" s="101" t="str">
        <f ca="1">IF($B212="", "", IF(_xll.IMDP("IR", $B212, I$6, $C$4, "fill=true")=0, "", _xll.IMDP("IR", $B212, I$6, $C$4, "fill=true")))</f>
        <v/>
      </c>
      <c r="J212" s="101" t="str">
        <f ca="1">IF($B212="", "", IF(_xll.IMDP("IR", $B212, J$6, $C$4, "fill=true")=0, "", _xll.IMDP("IR", $B212, J$6, $C$4, "fill=true")))</f>
        <v/>
      </c>
      <c r="K212" s="101" t="str">
        <f ca="1">IF($B212="", "", IF(_xll.IMDP("IR", $B212, K$6, $C$4, "fill=true")=0, "", _xll.IMDP("IR", $B212, K$6, $C$4, "fill=true")))</f>
        <v/>
      </c>
      <c r="L212" s="101" t="str">
        <f ca="1">IF($B212="", "", IF(_xll.IMDP("IR", $B212, L$6, $C$4, "fill=true")=0, "", _xll.IMDP("IR", $B212, L$6, $C$4, "fill=true")))</f>
        <v/>
      </c>
      <c r="M212" s="101" t="str">
        <f ca="1">IF($B212="", "", IF(_xll.IMDP("IR", $B212, M$6, $C$4, "fill=true")=0, "", _xll.IMDP("IR", $B212, M$6, $C$4, "fill=true")))</f>
        <v/>
      </c>
      <c r="N212" s="101" t="str">
        <f ca="1">IF($B212="", "", IF(_xll.IMDP("IR", $B212, N$6, $C$4, "fill=true")=0, "", _xll.IMDP("IR", $B212, N$6, $C$4, "fill=true")))</f>
        <v/>
      </c>
      <c r="O212" s="101" t="str">
        <f ca="1">IF($B212="", "", IF(_xll.IMDP("IR", $B212, O$6, $C$4, "fill=true")=0, "", _xll.IMDP("IR", $B212, O$6, $C$4, "fill=true")))</f>
        <v/>
      </c>
      <c r="P212" s="101" t="str">
        <f ca="1">IF($B212="", "", IF(_xll.IMDP("IR", $B212, P$6, $C$4, "fill=true")=0, "", _xll.IMDP("IR", $B212, P$6, $C$4, "fill=true")))</f>
        <v/>
      </c>
      <c r="Q212" s="102" t="str">
        <f ca="1">IF($B212="", "", IF(_xll.IMDP("IR", $B212, Q$6, $C$4, "fill=true")=0, "", _xll.IMDP("IR", $B212, Q$6, $C$4, "fill=true")))</f>
        <v/>
      </c>
    </row>
    <row r="213" spans="2:17">
      <c r="B213" s="83" t="str">
        <f ca="1">IFERROR( VLOOKUP(ROW()-ROW($B$6), code!$G$51:$K$1483, 5, 0), "")</f>
        <v/>
      </c>
      <c r="C213" s="96" t="str">
        <f ca="1">IF($B213="", "", _xll.IMDP("IR", $B213, "1일", $C$4, "fill=true, disp=date"))</f>
        <v/>
      </c>
      <c r="D213" s="97" t="str">
        <f ca="1">IF($B213="", "", VLOOKUP(ROW()-ROW($B$6), code!$G$51:$K$1483, 2, 0) )</f>
        <v/>
      </c>
      <c r="E213" s="98" t="str">
        <f ca="1">IF($B213="", "", VLOOKUP(ROW()-ROW($B$6), code!$G$51:$K$1483, 3, 0) )</f>
        <v/>
      </c>
      <c r="F213" s="99" t="str">
        <f ca="1">IF($B213="", "", VLOOKUP(ROW()-ROW($B$6), code!$G$51:$K$1483, 4, 0))</f>
        <v/>
      </c>
      <c r="G213" s="100" t="str">
        <f ca="1">IF($B213="", "", IF(_xll.IMDP("IR", $B213, G$6, $C$4, "fill=true")=0, "", _xll.IMDP("IR", $B213, G$6, $C$4, "fill=true")))</f>
        <v/>
      </c>
      <c r="H213" s="101" t="str">
        <f ca="1">IF($B213="", "", IF(_xll.IMDP("IR", $B213, H$6, $C$4, "fill=true")=0, "", _xll.IMDP("IR", $B213, H$6, $C$4, "fill=true")))</f>
        <v/>
      </c>
      <c r="I213" s="101" t="str">
        <f ca="1">IF($B213="", "", IF(_xll.IMDP("IR", $B213, I$6, $C$4, "fill=true")=0, "", _xll.IMDP("IR", $B213, I$6, $C$4, "fill=true")))</f>
        <v/>
      </c>
      <c r="J213" s="101" t="str">
        <f ca="1">IF($B213="", "", IF(_xll.IMDP("IR", $B213, J$6, $C$4, "fill=true")=0, "", _xll.IMDP("IR", $B213, J$6, $C$4, "fill=true")))</f>
        <v/>
      </c>
      <c r="K213" s="101" t="str">
        <f ca="1">IF($B213="", "", IF(_xll.IMDP("IR", $B213, K$6, $C$4, "fill=true")=0, "", _xll.IMDP("IR", $B213, K$6, $C$4, "fill=true")))</f>
        <v/>
      </c>
      <c r="L213" s="101" t="str">
        <f ca="1">IF($B213="", "", IF(_xll.IMDP("IR", $B213, L$6, $C$4, "fill=true")=0, "", _xll.IMDP("IR", $B213, L$6, $C$4, "fill=true")))</f>
        <v/>
      </c>
      <c r="M213" s="101" t="str">
        <f ca="1">IF($B213="", "", IF(_xll.IMDP("IR", $B213, M$6, $C$4, "fill=true")=0, "", _xll.IMDP("IR", $B213, M$6, $C$4, "fill=true")))</f>
        <v/>
      </c>
      <c r="N213" s="101" t="str">
        <f ca="1">IF($B213="", "", IF(_xll.IMDP("IR", $B213, N$6, $C$4, "fill=true")=0, "", _xll.IMDP("IR", $B213, N$6, $C$4, "fill=true")))</f>
        <v/>
      </c>
      <c r="O213" s="101" t="str">
        <f ca="1">IF($B213="", "", IF(_xll.IMDP("IR", $B213, O$6, $C$4, "fill=true")=0, "", _xll.IMDP("IR", $B213, O$6, $C$4, "fill=true")))</f>
        <v/>
      </c>
      <c r="P213" s="101" t="str">
        <f ca="1">IF($B213="", "", IF(_xll.IMDP("IR", $B213, P$6, $C$4, "fill=true")=0, "", _xll.IMDP("IR", $B213, P$6, $C$4, "fill=true")))</f>
        <v/>
      </c>
      <c r="Q213" s="102" t="str">
        <f ca="1">IF($B213="", "", IF(_xll.IMDP("IR", $B213, Q$6, $C$4, "fill=true")=0, "", _xll.IMDP("IR", $B213, Q$6, $C$4, "fill=true")))</f>
        <v/>
      </c>
    </row>
    <row r="214" spans="2:17">
      <c r="B214" s="83" t="str">
        <f ca="1">IFERROR( VLOOKUP(ROW()-ROW($B$6), code!$G$51:$K$1483, 5, 0), "")</f>
        <v/>
      </c>
      <c r="C214" s="96" t="str">
        <f ca="1">IF($B214="", "", _xll.IMDP("IR", $B214, "1일", $C$4, "fill=true, disp=date"))</f>
        <v/>
      </c>
      <c r="D214" s="97" t="str">
        <f ca="1">IF($B214="", "", VLOOKUP(ROW()-ROW($B$6), code!$G$51:$K$1483, 2, 0) )</f>
        <v/>
      </c>
      <c r="E214" s="98" t="str">
        <f ca="1">IF($B214="", "", VLOOKUP(ROW()-ROW($B$6), code!$G$51:$K$1483, 3, 0) )</f>
        <v/>
      </c>
      <c r="F214" s="99" t="str">
        <f ca="1">IF($B214="", "", VLOOKUP(ROW()-ROW($B$6), code!$G$51:$K$1483, 4, 0))</f>
        <v/>
      </c>
      <c r="G214" s="100" t="str">
        <f ca="1">IF($B214="", "", IF(_xll.IMDP("IR", $B214, G$6, $C$4, "fill=true")=0, "", _xll.IMDP("IR", $B214, G$6, $C$4, "fill=true")))</f>
        <v/>
      </c>
      <c r="H214" s="101" t="str">
        <f ca="1">IF($B214="", "", IF(_xll.IMDP("IR", $B214, H$6, $C$4, "fill=true")=0, "", _xll.IMDP("IR", $B214, H$6, $C$4, "fill=true")))</f>
        <v/>
      </c>
      <c r="I214" s="101" t="str">
        <f ca="1">IF($B214="", "", IF(_xll.IMDP("IR", $B214, I$6, $C$4, "fill=true")=0, "", _xll.IMDP("IR", $B214, I$6, $C$4, "fill=true")))</f>
        <v/>
      </c>
      <c r="J214" s="101" t="str">
        <f ca="1">IF($B214="", "", IF(_xll.IMDP("IR", $B214, J$6, $C$4, "fill=true")=0, "", _xll.IMDP("IR", $B214, J$6, $C$4, "fill=true")))</f>
        <v/>
      </c>
      <c r="K214" s="101" t="str">
        <f ca="1">IF($B214="", "", IF(_xll.IMDP("IR", $B214, K$6, $C$4, "fill=true")=0, "", _xll.IMDP("IR", $B214, K$6, $C$4, "fill=true")))</f>
        <v/>
      </c>
      <c r="L214" s="101" t="str">
        <f ca="1">IF($B214="", "", IF(_xll.IMDP("IR", $B214, L$6, $C$4, "fill=true")=0, "", _xll.IMDP("IR", $B214, L$6, $C$4, "fill=true")))</f>
        <v/>
      </c>
      <c r="M214" s="101" t="str">
        <f ca="1">IF($B214="", "", IF(_xll.IMDP("IR", $B214, M$6, $C$4, "fill=true")=0, "", _xll.IMDP("IR", $B214, M$6, $C$4, "fill=true")))</f>
        <v/>
      </c>
      <c r="N214" s="101" t="str">
        <f ca="1">IF($B214="", "", IF(_xll.IMDP("IR", $B214, N$6, $C$4, "fill=true")=0, "", _xll.IMDP("IR", $B214, N$6, $C$4, "fill=true")))</f>
        <v/>
      </c>
      <c r="O214" s="101" t="str">
        <f ca="1">IF($B214="", "", IF(_xll.IMDP("IR", $B214, O$6, $C$4, "fill=true")=0, "", _xll.IMDP("IR", $B214, O$6, $C$4, "fill=true")))</f>
        <v/>
      </c>
      <c r="P214" s="101" t="str">
        <f ca="1">IF($B214="", "", IF(_xll.IMDP("IR", $B214, P$6, $C$4, "fill=true")=0, "", _xll.IMDP("IR", $B214, P$6, $C$4, "fill=true")))</f>
        <v/>
      </c>
      <c r="Q214" s="102" t="str">
        <f ca="1">IF($B214="", "", IF(_xll.IMDP("IR", $B214, Q$6, $C$4, "fill=true")=0, "", _xll.IMDP("IR", $B214, Q$6, $C$4, "fill=true")))</f>
        <v/>
      </c>
    </row>
    <row r="215" spans="2:17">
      <c r="B215" s="83" t="str">
        <f ca="1">IFERROR( VLOOKUP(ROW()-ROW($B$6), code!$G$51:$K$1483, 5, 0), "")</f>
        <v/>
      </c>
      <c r="C215" s="96" t="str">
        <f ca="1">IF($B215="", "", _xll.IMDP("IR", $B215, "1일", $C$4, "fill=true, disp=date"))</f>
        <v/>
      </c>
      <c r="D215" s="97" t="str">
        <f ca="1">IF($B215="", "", VLOOKUP(ROW()-ROW($B$6), code!$G$51:$K$1483, 2, 0) )</f>
        <v/>
      </c>
      <c r="E215" s="98" t="str">
        <f ca="1">IF($B215="", "", VLOOKUP(ROW()-ROW($B$6), code!$G$51:$K$1483, 3, 0) )</f>
        <v/>
      </c>
      <c r="F215" s="99" t="str">
        <f ca="1">IF($B215="", "", VLOOKUP(ROW()-ROW($B$6), code!$G$51:$K$1483, 4, 0))</f>
        <v/>
      </c>
      <c r="G215" s="100" t="str">
        <f ca="1">IF($B215="", "", IF(_xll.IMDP("IR", $B215, G$6, $C$4, "fill=true")=0, "", _xll.IMDP("IR", $B215, G$6, $C$4, "fill=true")))</f>
        <v/>
      </c>
      <c r="H215" s="101" t="str">
        <f ca="1">IF($B215="", "", IF(_xll.IMDP("IR", $B215, H$6, $C$4, "fill=true")=0, "", _xll.IMDP("IR", $B215, H$6, $C$4, "fill=true")))</f>
        <v/>
      </c>
      <c r="I215" s="101" t="str">
        <f ca="1">IF($B215="", "", IF(_xll.IMDP("IR", $B215, I$6, $C$4, "fill=true")=0, "", _xll.IMDP("IR", $B215, I$6, $C$4, "fill=true")))</f>
        <v/>
      </c>
      <c r="J215" s="101" t="str">
        <f ca="1">IF($B215="", "", IF(_xll.IMDP("IR", $B215, J$6, $C$4, "fill=true")=0, "", _xll.IMDP("IR", $B215, J$6, $C$4, "fill=true")))</f>
        <v/>
      </c>
      <c r="K215" s="101" t="str">
        <f ca="1">IF($B215="", "", IF(_xll.IMDP("IR", $B215, K$6, $C$4, "fill=true")=0, "", _xll.IMDP("IR", $B215, K$6, $C$4, "fill=true")))</f>
        <v/>
      </c>
      <c r="L215" s="101" t="str">
        <f ca="1">IF($B215="", "", IF(_xll.IMDP("IR", $B215, L$6, $C$4, "fill=true")=0, "", _xll.IMDP("IR", $B215, L$6, $C$4, "fill=true")))</f>
        <v/>
      </c>
      <c r="M215" s="101" t="str">
        <f ca="1">IF($B215="", "", IF(_xll.IMDP("IR", $B215, M$6, $C$4, "fill=true")=0, "", _xll.IMDP("IR", $B215, M$6, $C$4, "fill=true")))</f>
        <v/>
      </c>
      <c r="N215" s="101" t="str">
        <f ca="1">IF($B215="", "", IF(_xll.IMDP("IR", $B215, N$6, $C$4, "fill=true")=0, "", _xll.IMDP("IR", $B215, N$6, $C$4, "fill=true")))</f>
        <v/>
      </c>
      <c r="O215" s="101" t="str">
        <f ca="1">IF($B215="", "", IF(_xll.IMDP("IR", $B215, O$6, $C$4, "fill=true")=0, "", _xll.IMDP("IR", $B215, O$6, $C$4, "fill=true")))</f>
        <v/>
      </c>
      <c r="P215" s="101" t="str">
        <f ca="1">IF($B215="", "", IF(_xll.IMDP("IR", $B215, P$6, $C$4, "fill=true")=0, "", _xll.IMDP("IR", $B215, P$6, $C$4, "fill=true")))</f>
        <v/>
      </c>
      <c r="Q215" s="102" t="str">
        <f ca="1">IF($B215="", "", IF(_xll.IMDP("IR", $B215, Q$6, $C$4, "fill=true")=0, "", _xll.IMDP("IR", $B215, Q$6, $C$4, "fill=true")))</f>
        <v/>
      </c>
    </row>
    <row r="216" spans="2:17">
      <c r="B216" s="83" t="str">
        <f ca="1">IFERROR( VLOOKUP(ROW()-ROW($B$6), code!$G$51:$K$1483, 5, 0), "")</f>
        <v/>
      </c>
      <c r="C216" s="96" t="str">
        <f ca="1">IF($B216="", "", _xll.IMDP("IR", $B216, "1일", $C$4, "fill=true, disp=date"))</f>
        <v/>
      </c>
      <c r="D216" s="97" t="str">
        <f ca="1">IF($B216="", "", VLOOKUP(ROW()-ROW($B$6), code!$G$51:$K$1483, 2, 0) )</f>
        <v/>
      </c>
      <c r="E216" s="98" t="str">
        <f ca="1">IF($B216="", "", VLOOKUP(ROW()-ROW($B$6), code!$G$51:$K$1483, 3, 0) )</f>
        <v/>
      </c>
      <c r="F216" s="99" t="str">
        <f ca="1">IF($B216="", "", VLOOKUP(ROW()-ROW($B$6), code!$G$51:$K$1483, 4, 0))</f>
        <v/>
      </c>
      <c r="G216" s="100" t="str">
        <f ca="1">IF($B216="", "", IF(_xll.IMDP("IR", $B216, G$6, $C$4, "fill=true")=0, "", _xll.IMDP("IR", $B216, G$6, $C$4, "fill=true")))</f>
        <v/>
      </c>
      <c r="H216" s="101" t="str">
        <f ca="1">IF($B216="", "", IF(_xll.IMDP("IR", $B216, H$6, $C$4, "fill=true")=0, "", _xll.IMDP("IR", $B216, H$6, $C$4, "fill=true")))</f>
        <v/>
      </c>
      <c r="I216" s="101" t="str">
        <f ca="1">IF($B216="", "", IF(_xll.IMDP("IR", $B216, I$6, $C$4, "fill=true")=0, "", _xll.IMDP("IR", $B216, I$6, $C$4, "fill=true")))</f>
        <v/>
      </c>
      <c r="J216" s="101" t="str">
        <f ca="1">IF($B216="", "", IF(_xll.IMDP("IR", $B216, J$6, $C$4, "fill=true")=0, "", _xll.IMDP("IR", $B216, J$6, $C$4, "fill=true")))</f>
        <v/>
      </c>
      <c r="K216" s="101" t="str">
        <f ca="1">IF($B216="", "", IF(_xll.IMDP("IR", $B216, K$6, $C$4, "fill=true")=0, "", _xll.IMDP("IR", $B216, K$6, $C$4, "fill=true")))</f>
        <v/>
      </c>
      <c r="L216" s="101" t="str">
        <f ca="1">IF($B216="", "", IF(_xll.IMDP("IR", $B216, L$6, $C$4, "fill=true")=0, "", _xll.IMDP("IR", $B216, L$6, $C$4, "fill=true")))</f>
        <v/>
      </c>
      <c r="M216" s="101" t="str">
        <f ca="1">IF($B216="", "", IF(_xll.IMDP("IR", $B216, M$6, $C$4, "fill=true")=0, "", _xll.IMDP("IR", $B216, M$6, $C$4, "fill=true")))</f>
        <v/>
      </c>
      <c r="N216" s="101" t="str">
        <f ca="1">IF($B216="", "", IF(_xll.IMDP("IR", $B216, N$6, $C$4, "fill=true")=0, "", _xll.IMDP("IR", $B216, N$6, $C$4, "fill=true")))</f>
        <v/>
      </c>
      <c r="O216" s="101" t="str">
        <f ca="1">IF($B216="", "", IF(_xll.IMDP("IR", $B216, O$6, $C$4, "fill=true")=0, "", _xll.IMDP("IR", $B216, O$6, $C$4, "fill=true")))</f>
        <v/>
      </c>
      <c r="P216" s="101" t="str">
        <f ca="1">IF($B216="", "", IF(_xll.IMDP("IR", $B216, P$6, $C$4, "fill=true")=0, "", _xll.IMDP("IR", $B216, P$6, $C$4, "fill=true")))</f>
        <v/>
      </c>
      <c r="Q216" s="102" t="str">
        <f ca="1">IF($B216="", "", IF(_xll.IMDP("IR", $B216, Q$6, $C$4, "fill=true")=0, "", _xll.IMDP("IR", $B216, Q$6, $C$4, "fill=true")))</f>
        <v/>
      </c>
    </row>
    <row r="217" spans="2:17">
      <c r="B217" s="83" t="str">
        <f ca="1">IFERROR( VLOOKUP(ROW()-ROW($B$6), code!$G$51:$K$1483, 5, 0), "")</f>
        <v/>
      </c>
      <c r="C217" s="96" t="str">
        <f ca="1">IF($B217="", "", _xll.IMDP("IR", $B217, "1일", $C$4, "fill=true, disp=date"))</f>
        <v/>
      </c>
      <c r="D217" s="97" t="str">
        <f ca="1">IF($B217="", "", VLOOKUP(ROW()-ROW($B$6), code!$G$51:$K$1483, 2, 0) )</f>
        <v/>
      </c>
      <c r="E217" s="98" t="str">
        <f ca="1">IF($B217="", "", VLOOKUP(ROW()-ROW($B$6), code!$G$51:$K$1483, 3, 0) )</f>
        <v/>
      </c>
      <c r="F217" s="99" t="str">
        <f ca="1">IF($B217="", "", VLOOKUP(ROW()-ROW($B$6), code!$G$51:$K$1483, 4, 0))</f>
        <v/>
      </c>
      <c r="G217" s="100" t="str">
        <f ca="1">IF($B217="", "", IF(_xll.IMDP("IR", $B217, G$6, $C$4, "fill=true")=0, "", _xll.IMDP("IR", $B217, G$6, $C$4, "fill=true")))</f>
        <v/>
      </c>
      <c r="H217" s="101" t="str">
        <f ca="1">IF($B217="", "", IF(_xll.IMDP("IR", $B217, H$6, $C$4, "fill=true")=0, "", _xll.IMDP("IR", $B217, H$6, $C$4, "fill=true")))</f>
        <v/>
      </c>
      <c r="I217" s="101" t="str">
        <f ca="1">IF($B217="", "", IF(_xll.IMDP("IR", $B217, I$6, $C$4, "fill=true")=0, "", _xll.IMDP("IR", $B217, I$6, $C$4, "fill=true")))</f>
        <v/>
      </c>
      <c r="J217" s="101" t="str">
        <f ca="1">IF($B217="", "", IF(_xll.IMDP("IR", $B217, J$6, $C$4, "fill=true")=0, "", _xll.IMDP("IR", $B217, J$6, $C$4, "fill=true")))</f>
        <v/>
      </c>
      <c r="K217" s="101" t="str">
        <f ca="1">IF($B217="", "", IF(_xll.IMDP("IR", $B217, K$6, $C$4, "fill=true")=0, "", _xll.IMDP("IR", $B217, K$6, $C$4, "fill=true")))</f>
        <v/>
      </c>
      <c r="L217" s="101" t="str">
        <f ca="1">IF($B217="", "", IF(_xll.IMDP("IR", $B217, L$6, $C$4, "fill=true")=0, "", _xll.IMDP("IR", $B217, L$6, $C$4, "fill=true")))</f>
        <v/>
      </c>
      <c r="M217" s="101" t="str">
        <f ca="1">IF($B217="", "", IF(_xll.IMDP("IR", $B217, M$6, $C$4, "fill=true")=0, "", _xll.IMDP("IR", $B217, M$6, $C$4, "fill=true")))</f>
        <v/>
      </c>
      <c r="N217" s="101" t="str">
        <f ca="1">IF($B217="", "", IF(_xll.IMDP("IR", $B217, N$6, $C$4, "fill=true")=0, "", _xll.IMDP("IR", $B217, N$6, $C$4, "fill=true")))</f>
        <v/>
      </c>
      <c r="O217" s="101" t="str">
        <f ca="1">IF($B217="", "", IF(_xll.IMDP("IR", $B217, O$6, $C$4, "fill=true")=0, "", _xll.IMDP("IR", $B217, O$6, $C$4, "fill=true")))</f>
        <v/>
      </c>
      <c r="P217" s="101" t="str">
        <f ca="1">IF($B217="", "", IF(_xll.IMDP("IR", $B217, P$6, $C$4, "fill=true")=0, "", _xll.IMDP("IR", $B217, P$6, $C$4, "fill=true")))</f>
        <v/>
      </c>
      <c r="Q217" s="102" t="str">
        <f ca="1">IF($B217="", "", IF(_xll.IMDP("IR", $B217, Q$6, $C$4, "fill=true")=0, "", _xll.IMDP("IR", $B217, Q$6, $C$4, "fill=true")))</f>
        <v/>
      </c>
    </row>
    <row r="218" spans="2:17">
      <c r="B218" s="83" t="str">
        <f ca="1">IFERROR( VLOOKUP(ROW()-ROW($B$6), code!$G$51:$K$1483, 5, 0), "")</f>
        <v/>
      </c>
      <c r="C218" s="96" t="str">
        <f ca="1">IF($B218="", "", _xll.IMDP("IR", $B218, "1일", $C$4, "fill=true, disp=date"))</f>
        <v/>
      </c>
      <c r="D218" s="97" t="str">
        <f ca="1">IF($B218="", "", VLOOKUP(ROW()-ROW($B$6), code!$G$51:$K$1483, 2, 0) )</f>
        <v/>
      </c>
      <c r="E218" s="98" t="str">
        <f ca="1">IF($B218="", "", VLOOKUP(ROW()-ROW($B$6), code!$G$51:$K$1483, 3, 0) )</f>
        <v/>
      </c>
      <c r="F218" s="99" t="str">
        <f ca="1">IF($B218="", "", VLOOKUP(ROW()-ROW($B$6), code!$G$51:$K$1483, 4, 0))</f>
        <v/>
      </c>
      <c r="G218" s="100" t="str">
        <f ca="1">IF($B218="", "", IF(_xll.IMDP("IR", $B218, G$6, $C$4, "fill=true")=0, "", _xll.IMDP("IR", $B218, G$6, $C$4, "fill=true")))</f>
        <v/>
      </c>
      <c r="H218" s="101" t="str">
        <f ca="1">IF($B218="", "", IF(_xll.IMDP("IR", $B218, H$6, $C$4, "fill=true")=0, "", _xll.IMDP("IR", $B218, H$6, $C$4, "fill=true")))</f>
        <v/>
      </c>
      <c r="I218" s="101" t="str">
        <f ca="1">IF($B218="", "", IF(_xll.IMDP("IR", $B218, I$6, $C$4, "fill=true")=0, "", _xll.IMDP("IR", $B218, I$6, $C$4, "fill=true")))</f>
        <v/>
      </c>
      <c r="J218" s="101" t="str">
        <f ca="1">IF($B218="", "", IF(_xll.IMDP("IR", $B218, J$6, $C$4, "fill=true")=0, "", _xll.IMDP("IR", $B218, J$6, $C$4, "fill=true")))</f>
        <v/>
      </c>
      <c r="K218" s="101" t="str">
        <f ca="1">IF($B218="", "", IF(_xll.IMDP("IR", $B218, K$6, $C$4, "fill=true")=0, "", _xll.IMDP("IR", $B218, K$6, $C$4, "fill=true")))</f>
        <v/>
      </c>
      <c r="L218" s="101" t="str">
        <f ca="1">IF($B218="", "", IF(_xll.IMDP("IR", $B218, L$6, $C$4, "fill=true")=0, "", _xll.IMDP("IR", $B218, L$6, $C$4, "fill=true")))</f>
        <v/>
      </c>
      <c r="M218" s="101" t="str">
        <f ca="1">IF($B218="", "", IF(_xll.IMDP("IR", $B218, M$6, $C$4, "fill=true")=0, "", _xll.IMDP("IR", $B218, M$6, $C$4, "fill=true")))</f>
        <v/>
      </c>
      <c r="N218" s="101" t="str">
        <f ca="1">IF($B218="", "", IF(_xll.IMDP("IR", $B218, N$6, $C$4, "fill=true")=0, "", _xll.IMDP("IR", $B218, N$6, $C$4, "fill=true")))</f>
        <v/>
      </c>
      <c r="O218" s="101" t="str">
        <f ca="1">IF($B218="", "", IF(_xll.IMDP("IR", $B218, O$6, $C$4, "fill=true")=0, "", _xll.IMDP("IR", $B218, O$6, $C$4, "fill=true")))</f>
        <v/>
      </c>
      <c r="P218" s="101" t="str">
        <f ca="1">IF($B218="", "", IF(_xll.IMDP("IR", $B218, P$6, $C$4, "fill=true")=0, "", _xll.IMDP("IR", $B218, P$6, $C$4, "fill=true")))</f>
        <v/>
      </c>
      <c r="Q218" s="102" t="str">
        <f ca="1">IF($B218="", "", IF(_xll.IMDP("IR", $B218, Q$6, $C$4, "fill=true")=0, "", _xll.IMDP("IR", $B218, Q$6, $C$4, "fill=true")))</f>
        <v/>
      </c>
    </row>
    <row r="219" spans="2:17">
      <c r="B219" s="83" t="str">
        <f ca="1">IFERROR( VLOOKUP(ROW()-ROW($B$6), code!$G$51:$K$1483, 5, 0), "")</f>
        <v/>
      </c>
      <c r="C219" s="96" t="str">
        <f ca="1">IF($B219="", "", _xll.IMDP("IR", $B219, "1일", $C$4, "fill=true, disp=date"))</f>
        <v/>
      </c>
      <c r="D219" s="97" t="str">
        <f ca="1">IF($B219="", "", VLOOKUP(ROW()-ROW($B$6), code!$G$51:$K$1483, 2, 0) )</f>
        <v/>
      </c>
      <c r="E219" s="98" t="str">
        <f ca="1">IF($B219="", "", VLOOKUP(ROW()-ROW($B$6), code!$G$51:$K$1483, 3, 0) )</f>
        <v/>
      </c>
      <c r="F219" s="99" t="str">
        <f ca="1">IF($B219="", "", VLOOKUP(ROW()-ROW($B$6), code!$G$51:$K$1483, 4, 0))</f>
        <v/>
      </c>
      <c r="G219" s="100" t="str">
        <f ca="1">IF($B219="", "", IF(_xll.IMDP("IR", $B219, G$6, $C$4, "fill=true")=0, "", _xll.IMDP("IR", $B219, G$6, $C$4, "fill=true")))</f>
        <v/>
      </c>
      <c r="H219" s="101" t="str">
        <f ca="1">IF($B219="", "", IF(_xll.IMDP("IR", $B219, H$6, $C$4, "fill=true")=0, "", _xll.IMDP("IR", $B219, H$6, $C$4, "fill=true")))</f>
        <v/>
      </c>
      <c r="I219" s="101" t="str">
        <f ca="1">IF($B219="", "", IF(_xll.IMDP("IR", $B219, I$6, $C$4, "fill=true")=0, "", _xll.IMDP("IR", $B219, I$6, $C$4, "fill=true")))</f>
        <v/>
      </c>
      <c r="J219" s="101" t="str">
        <f ca="1">IF($B219="", "", IF(_xll.IMDP("IR", $B219, J$6, $C$4, "fill=true")=0, "", _xll.IMDP("IR", $B219, J$6, $C$4, "fill=true")))</f>
        <v/>
      </c>
      <c r="K219" s="101" t="str">
        <f ca="1">IF($B219="", "", IF(_xll.IMDP("IR", $B219, K$6, $C$4, "fill=true")=0, "", _xll.IMDP("IR", $B219, K$6, $C$4, "fill=true")))</f>
        <v/>
      </c>
      <c r="L219" s="101" t="str">
        <f ca="1">IF($B219="", "", IF(_xll.IMDP("IR", $B219, L$6, $C$4, "fill=true")=0, "", _xll.IMDP("IR", $B219, L$6, $C$4, "fill=true")))</f>
        <v/>
      </c>
      <c r="M219" s="101" t="str">
        <f ca="1">IF($B219="", "", IF(_xll.IMDP("IR", $B219, M$6, $C$4, "fill=true")=0, "", _xll.IMDP("IR", $B219, M$6, $C$4, "fill=true")))</f>
        <v/>
      </c>
      <c r="N219" s="101" t="str">
        <f ca="1">IF($B219="", "", IF(_xll.IMDP("IR", $B219, N$6, $C$4, "fill=true")=0, "", _xll.IMDP("IR", $B219, N$6, $C$4, "fill=true")))</f>
        <v/>
      </c>
      <c r="O219" s="101" t="str">
        <f ca="1">IF($B219="", "", IF(_xll.IMDP("IR", $B219, O$6, $C$4, "fill=true")=0, "", _xll.IMDP("IR", $B219, O$6, $C$4, "fill=true")))</f>
        <v/>
      </c>
      <c r="P219" s="101" t="str">
        <f ca="1">IF($B219="", "", IF(_xll.IMDP("IR", $B219, P$6, $C$4, "fill=true")=0, "", _xll.IMDP("IR", $B219, P$6, $C$4, "fill=true")))</f>
        <v/>
      </c>
      <c r="Q219" s="102" t="str">
        <f ca="1">IF($B219="", "", IF(_xll.IMDP("IR", $B219, Q$6, $C$4, "fill=true")=0, "", _xll.IMDP("IR", $B219, Q$6, $C$4, "fill=true")))</f>
        <v/>
      </c>
    </row>
    <row r="220" spans="2:17">
      <c r="B220" s="83" t="str">
        <f ca="1">IFERROR( VLOOKUP(ROW()-ROW($B$6), code!$G$51:$K$1483, 5, 0), "")</f>
        <v/>
      </c>
      <c r="C220" s="96" t="str">
        <f ca="1">IF($B220="", "", _xll.IMDP("IR", $B220, "1일", $C$4, "fill=true, disp=date"))</f>
        <v/>
      </c>
      <c r="D220" s="97" t="str">
        <f ca="1">IF($B220="", "", VLOOKUP(ROW()-ROW($B$6), code!$G$51:$K$1483, 2, 0) )</f>
        <v/>
      </c>
      <c r="E220" s="98" t="str">
        <f ca="1">IF($B220="", "", VLOOKUP(ROW()-ROW($B$6), code!$G$51:$K$1483, 3, 0) )</f>
        <v/>
      </c>
      <c r="F220" s="99" t="str">
        <f ca="1">IF($B220="", "", VLOOKUP(ROW()-ROW($B$6), code!$G$51:$K$1483, 4, 0))</f>
        <v/>
      </c>
      <c r="G220" s="100" t="str">
        <f ca="1">IF($B220="", "", IF(_xll.IMDP("IR", $B220, G$6, $C$4, "fill=true")=0, "", _xll.IMDP("IR", $B220, G$6, $C$4, "fill=true")))</f>
        <v/>
      </c>
      <c r="H220" s="101" t="str">
        <f ca="1">IF($B220="", "", IF(_xll.IMDP("IR", $B220, H$6, $C$4, "fill=true")=0, "", _xll.IMDP("IR", $B220, H$6, $C$4, "fill=true")))</f>
        <v/>
      </c>
      <c r="I220" s="101" t="str">
        <f ca="1">IF($B220="", "", IF(_xll.IMDP("IR", $B220, I$6, $C$4, "fill=true")=0, "", _xll.IMDP("IR", $B220, I$6, $C$4, "fill=true")))</f>
        <v/>
      </c>
      <c r="J220" s="101" t="str">
        <f ca="1">IF($B220="", "", IF(_xll.IMDP("IR", $B220, J$6, $C$4, "fill=true")=0, "", _xll.IMDP("IR", $B220, J$6, $C$4, "fill=true")))</f>
        <v/>
      </c>
      <c r="K220" s="101" t="str">
        <f ca="1">IF($B220="", "", IF(_xll.IMDP("IR", $B220, K$6, $C$4, "fill=true")=0, "", _xll.IMDP("IR", $B220, K$6, $C$4, "fill=true")))</f>
        <v/>
      </c>
      <c r="L220" s="101" t="str">
        <f ca="1">IF($B220="", "", IF(_xll.IMDP("IR", $B220, L$6, $C$4, "fill=true")=0, "", _xll.IMDP("IR", $B220, L$6, $C$4, "fill=true")))</f>
        <v/>
      </c>
      <c r="M220" s="101" t="str">
        <f ca="1">IF($B220="", "", IF(_xll.IMDP("IR", $B220, M$6, $C$4, "fill=true")=0, "", _xll.IMDP("IR", $B220, M$6, $C$4, "fill=true")))</f>
        <v/>
      </c>
      <c r="N220" s="101" t="str">
        <f ca="1">IF($B220="", "", IF(_xll.IMDP("IR", $B220, N$6, $C$4, "fill=true")=0, "", _xll.IMDP("IR", $B220, N$6, $C$4, "fill=true")))</f>
        <v/>
      </c>
      <c r="O220" s="101" t="str">
        <f ca="1">IF($B220="", "", IF(_xll.IMDP("IR", $B220, O$6, $C$4, "fill=true")=0, "", _xll.IMDP("IR", $B220, O$6, $C$4, "fill=true")))</f>
        <v/>
      </c>
      <c r="P220" s="101" t="str">
        <f ca="1">IF($B220="", "", IF(_xll.IMDP("IR", $B220, P$6, $C$4, "fill=true")=0, "", _xll.IMDP("IR", $B220, P$6, $C$4, "fill=true")))</f>
        <v/>
      </c>
      <c r="Q220" s="102" t="str">
        <f ca="1">IF($B220="", "", IF(_xll.IMDP("IR", $B220, Q$6, $C$4, "fill=true")=0, "", _xll.IMDP("IR", $B220, Q$6, $C$4, "fill=true")))</f>
        <v/>
      </c>
    </row>
    <row r="221" spans="2:17">
      <c r="B221" s="83" t="str">
        <f ca="1">IFERROR( VLOOKUP(ROW()-ROW($B$6), code!$G$51:$K$1483, 5, 0), "")</f>
        <v/>
      </c>
      <c r="C221" s="96" t="str">
        <f ca="1">IF($B221="", "", _xll.IMDP("IR", $B221, "1일", $C$4, "fill=true, disp=date"))</f>
        <v/>
      </c>
      <c r="D221" s="97" t="str">
        <f ca="1">IF($B221="", "", VLOOKUP(ROW()-ROW($B$6), code!$G$51:$K$1483, 2, 0) )</f>
        <v/>
      </c>
      <c r="E221" s="98" t="str">
        <f ca="1">IF($B221="", "", VLOOKUP(ROW()-ROW($B$6), code!$G$51:$K$1483, 3, 0) )</f>
        <v/>
      </c>
      <c r="F221" s="99" t="str">
        <f ca="1">IF($B221="", "", VLOOKUP(ROW()-ROW($B$6), code!$G$51:$K$1483, 4, 0))</f>
        <v/>
      </c>
      <c r="G221" s="100" t="str">
        <f ca="1">IF($B221="", "", IF(_xll.IMDP("IR", $B221, G$6, $C$4, "fill=true")=0, "", _xll.IMDP("IR", $B221, G$6, $C$4, "fill=true")))</f>
        <v/>
      </c>
      <c r="H221" s="101" t="str">
        <f ca="1">IF($B221="", "", IF(_xll.IMDP("IR", $B221, H$6, $C$4, "fill=true")=0, "", _xll.IMDP("IR", $B221, H$6, $C$4, "fill=true")))</f>
        <v/>
      </c>
      <c r="I221" s="101" t="str">
        <f ca="1">IF($B221="", "", IF(_xll.IMDP("IR", $B221, I$6, $C$4, "fill=true")=0, "", _xll.IMDP("IR", $B221, I$6, $C$4, "fill=true")))</f>
        <v/>
      </c>
      <c r="J221" s="101" t="str">
        <f ca="1">IF($B221="", "", IF(_xll.IMDP("IR", $B221, J$6, $C$4, "fill=true")=0, "", _xll.IMDP("IR", $B221, J$6, $C$4, "fill=true")))</f>
        <v/>
      </c>
      <c r="K221" s="101" t="str">
        <f ca="1">IF($B221="", "", IF(_xll.IMDP("IR", $B221, K$6, $C$4, "fill=true")=0, "", _xll.IMDP("IR", $B221, K$6, $C$4, "fill=true")))</f>
        <v/>
      </c>
      <c r="L221" s="101" t="str">
        <f ca="1">IF($B221="", "", IF(_xll.IMDP("IR", $B221, L$6, $C$4, "fill=true")=0, "", _xll.IMDP("IR", $B221, L$6, $C$4, "fill=true")))</f>
        <v/>
      </c>
      <c r="M221" s="101" t="str">
        <f ca="1">IF($B221="", "", IF(_xll.IMDP("IR", $B221, M$6, $C$4, "fill=true")=0, "", _xll.IMDP("IR", $B221, M$6, $C$4, "fill=true")))</f>
        <v/>
      </c>
      <c r="N221" s="101" t="str">
        <f ca="1">IF($B221="", "", IF(_xll.IMDP("IR", $B221, N$6, $C$4, "fill=true")=0, "", _xll.IMDP("IR", $B221, N$6, $C$4, "fill=true")))</f>
        <v/>
      </c>
      <c r="O221" s="101" t="str">
        <f ca="1">IF($B221="", "", IF(_xll.IMDP("IR", $B221, O$6, $C$4, "fill=true")=0, "", _xll.IMDP("IR", $B221, O$6, $C$4, "fill=true")))</f>
        <v/>
      </c>
      <c r="P221" s="101" t="str">
        <f ca="1">IF($B221="", "", IF(_xll.IMDP("IR", $B221, P$6, $C$4, "fill=true")=0, "", _xll.IMDP("IR", $B221, P$6, $C$4, "fill=true")))</f>
        <v/>
      </c>
      <c r="Q221" s="102" t="str">
        <f ca="1">IF($B221="", "", IF(_xll.IMDP("IR", $B221, Q$6, $C$4, "fill=true")=0, "", _xll.IMDP("IR", $B221, Q$6, $C$4, "fill=true")))</f>
        <v/>
      </c>
    </row>
    <row r="222" spans="2:17">
      <c r="B222" s="83" t="str">
        <f ca="1">IFERROR( VLOOKUP(ROW()-ROW($B$6), code!$G$51:$K$1483, 5, 0), "")</f>
        <v/>
      </c>
      <c r="C222" s="96" t="str">
        <f ca="1">IF($B222="", "", _xll.IMDP("IR", $B222, "1일", $C$4, "fill=true, disp=date"))</f>
        <v/>
      </c>
      <c r="D222" s="97" t="str">
        <f ca="1">IF($B222="", "", VLOOKUP(ROW()-ROW($B$6), code!$G$51:$K$1483, 2, 0) )</f>
        <v/>
      </c>
      <c r="E222" s="98" t="str">
        <f ca="1">IF($B222="", "", VLOOKUP(ROW()-ROW($B$6), code!$G$51:$K$1483, 3, 0) )</f>
        <v/>
      </c>
      <c r="F222" s="99" t="str">
        <f ca="1">IF($B222="", "", VLOOKUP(ROW()-ROW($B$6), code!$G$51:$K$1483, 4, 0))</f>
        <v/>
      </c>
      <c r="G222" s="100" t="str">
        <f ca="1">IF($B222="", "", IF(_xll.IMDP("IR", $B222, G$6, $C$4, "fill=true")=0, "", _xll.IMDP("IR", $B222, G$6, $C$4, "fill=true")))</f>
        <v/>
      </c>
      <c r="H222" s="101" t="str">
        <f ca="1">IF($B222="", "", IF(_xll.IMDP("IR", $B222, H$6, $C$4, "fill=true")=0, "", _xll.IMDP("IR", $B222, H$6, $C$4, "fill=true")))</f>
        <v/>
      </c>
      <c r="I222" s="101" t="str">
        <f ca="1">IF($B222="", "", IF(_xll.IMDP("IR", $B222, I$6, $C$4, "fill=true")=0, "", _xll.IMDP("IR", $B222, I$6, $C$4, "fill=true")))</f>
        <v/>
      </c>
      <c r="J222" s="101" t="str">
        <f ca="1">IF($B222="", "", IF(_xll.IMDP("IR", $B222, J$6, $C$4, "fill=true")=0, "", _xll.IMDP("IR", $B222, J$6, $C$4, "fill=true")))</f>
        <v/>
      </c>
      <c r="K222" s="101" t="str">
        <f ca="1">IF($B222="", "", IF(_xll.IMDP("IR", $B222, K$6, $C$4, "fill=true")=0, "", _xll.IMDP("IR", $B222, K$6, $C$4, "fill=true")))</f>
        <v/>
      </c>
      <c r="L222" s="101" t="str">
        <f ca="1">IF($B222="", "", IF(_xll.IMDP("IR", $B222, L$6, $C$4, "fill=true")=0, "", _xll.IMDP("IR", $B222, L$6, $C$4, "fill=true")))</f>
        <v/>
      </c>
      <c r="M222" s="101" t="str">
        <f ca="1">IF($B222="", "", IF(_xll.IMDP("IR", $B222, M$6, $C$4, "fill=true")=0, "", _xll.IMDP("IR", $B222, M$6, $C$4, "fill=true")))</f>
        <v/>
      </c>
      <c r="N222" s="101" t="str">
        <f ca="1">IF($B222="", "", IF(_xll.IMDP("IR", $B222, N$6, $C$4, "fill=true")=0, "", _xll.IMDP("IR", $B222, N$6, $C$4, "fill=true")))</f>
        <v/>
      </c>
      <c r="O222" s="101" t="str">
        <f ca="1">IF($B222="", "", IF(_xll.IMDP("IR", $B222, O$6, $C$4, "fill=true")=0, "", _xll.IMDP("IR", $B222, O$6, $C$4, "fill=true")))</f>
        <v/>
      </c>
      <c r="P222" s="101" t="str">
        <f ca="1">IF($B222="", "", IF(_xll.IMDP("IR", $B222, P$6, $C$4, "fill=true")=0, "", _xll.IMDP("IR", $B222, P$6, $C$4, "fill=true")))</f>
        <v/>
      </c>
      <c r="Q222" s="102" t="str">
        <f ca="1">IF($B222="", "", IF(_xll.IMDP("IR", $B222, Q$6, $C$4, "fill=true")=0, "", _xll.IMDP("IR", $B222, Q$6, $C$4, "fill=true")))</f>
        <v/>
      </c>
    </row>
    <row r="223" spans="2:17">
      <c r="B223" s="83" t="str">
        <f ca="1">IFERROR( VLOOKUP(ROW()-ROW($B$6), code!$G$51:$K$1483, 5, 0), "")</f>
        <v/>
      </c>
      <c r="C223" s="96" t="str">
        <f ca="1">IF($B223="", "", _xll.IMDP("IR", $B223, "1일", $C$4, "fill=true, disp=date"))</f>
        <v/>
      </c>
      <c r="D223" s="97" t="str">
        <f ca="1">IF($B223="", "", VLOOKUP(ROW()-ROW($B$6), code!$G$51:$K$1483, 2, 0) )</f>
        <v/>
      </c>
      <c r="E223" s="98" t="str">
        <f ca="1">IF($B223="", "", VLOOKUP(ROW()-ROW($B$6), code!$G$51:$K$1483, 3, 0) )</f>
        <v/>
      </c>
      <c r="F223" s="99" t="str">
        <f ca="1">IF($B223="", "", VLOOKUP(ROW()-ROW($B$6), code!$G$51:$K$1483, 4, 0))</f>
        <v/>
      </c>
      <c r="G223" s="100" t="str">
        <f ca="1">IF($B223="", "", IF(_xll.IMDP("IR", $B223, G$6, $C$4, "fill=true")=0, "", _xll.IMDP("IR", $B223, G$6, $C$4, "fill=true")))</f>
        <v/>
      </c>
      <c r="H223" s="101" t="str">
        <f ca="1">IF($B223="", "", IF(_xll.IMDP("IR", $B223, H$6, $C$4, "fill=true")=0, "", _xll.IMDP("IR", $B223, H$6, $C$4, "fill=true")))</f>
        <v/>
      </c>
      <c r="I223" s="101" t="str">
        <f ca="1">IF($B223="", "", IF(_xll.IMDP("IR", $B223, I$6, $C$4, "fill=true")=0, "", _xll.IMDP("IR", $B223, I$6, $C$4, "fill=true")))</f>
        <v/>
      </c>
      <c r="J223" s="101" t="str">
        <f ca="1">IF($B223="", "", IF(_xll.IMDP("IR", $B223, J$6, $C$4, "fill=true")=0, "", _xll.IMDP("IR", $B223, J$6, $C$4, "fill=true")))</f>
        <v/>
      </c>
      <c r="K223" s="101" t="str">
        <f ca="1">IF($B223="", "", IF(_xll.IMDP("IR", $B223, K$6, $C$4, "fill=true")=0, "", _xll.IMDP("IR", $B223, K$6, $C$4, "fill=true")))</f>
        <v/>
      </c>
      <c r="L223" s="101" t="str">
        <f ca="1">IF($B223="", "", IF(_xll.IMDP("IR", $B223, L$6, $C$4, "fill=true")=0, "", _xll.IMDP("IR", $B223, L$6, $C$4, "fill=true")))</f>
        <v/>
      </c>
      <c r="M223" s="101" t="str">
        <f ca="1">IF($B223="", "", IF(_xll.IMDP("IR", $B223, M$6, $C$4, "fill=true")=0, "", _xll.IMDP("IR", $B223, M$6, $C$4, "fill=true")))</f>
        <v/>
      </c>
      <c r="N223" s="101" t="str">
        <f ca="1">IF($B223="", "", IF(_xll.IMDP("IR", $B223, N$6, $C$4, "fill=true")=0, "", _xll.IMDP("IR", $B223, N$6, $C$4, "fill=true")))</f>
        <v/>
      </c>
      <c r="O223" s="101" t="str">
        <f ca="1">IF($B223="", "", IF(_xll.IMDP("IR", $B223, O$6, $C$4, "fill=true")=0, "", _xll.IMDP("IR", $B223, O$6, $C$4, "fill=true")))</f>
        <v/>
      </c>
      <c r="P223" s="101" t="str">
        <f ca="1">IF($B223="", "", IF(_xll.IMDP("IR", $B223, P$6, $C$4, "fill=true")=0, "", _xll.IMDP("IR", $B223, P$6, $C$4, "fill=true")))</f>
        <v/>
      </c>
      <c r="Q223" s="102" t="str">
        <f ca="1">IF($B223="", "", IF(_xll.IMDP("IR", $B223, Q$6, $C$4, "fill=true")=0, "", _xll.IMDP("IR", $B223, Q$6, $C$4, "fill=true")))</f>
        <v/>
      </c>
    </row>
    <row r="224" spans="2:17">
      <c r="B224" s="83" t="str">
        <f ca="1">IFERROR( VLOOKUP(ROW()-ROW($B$6), code!$G$51:$K$1483, 5, 0), "")</f>
        <v/>
      </c>
      <c r="C224" s="96" t="str">
        <f ca="1">IF($B224="", "", _xll.IMDP("IR", $B224, "1일", $C$4, "fill=true, disp=date"))</f>
        <v/>
      </c>
      <c r="D224" s="97" t="str">
        <f ca="1">IF($B224="", "", VLOOKUP(ROW()-ROW($B$6), code!$G$51:$K$1483, 2, 0) )</f>
        <v/>
      </c>
      <c r="E224" s="98" t="str">
        <f ca="1">IF($B224="", "", VLOOKUP(ROW()-ROW($B$6), code!$G$51:$K$1483, 3, 0) )</f>
        <v/>
      </c>
      <c r="F224" s="99" t="str">
        <f ca="1">IF($B224="", "", VLOOKUP(ROW()-ROW($B$6), code!$G$51:$K$1483, 4, 0))</f>
        <v/>
      </c>
      <c r="G224" s="100" t="str">
        <f ca="1">IF($B224="", "", IF(_xll.IMDP("IR", $B224, G$6, $C$4, "fill=true")=0, "", _xll.IMDP("IR", $B224, G$6, $C$4, "fill=true")))</f>
        <v/>
      </c>
      <c r="H224" s="101" t="str">
        <f ca="1">IF($B224="", "", IF(_xll.IMDP("IR", $B224, H$6, $C$4, "fill=true")=0, "", _xll.IMDP("IR", $B224, H$6, $C$4, "fill=true")))</f>
        <v/>
      </c>
      <c r="I224" s="101" t="str">
        <f ca="1">IF($B224="", "", IF(_xll.IMDP("IR", $B224, I$6, $C$4, "fill=true")=0, "", _xll.IMDP("IR", $B224, I$6, $C$4, "fill=true")))</f>
        <v/>
      </c>
      <c r="J224" s="101" t="str">
        <f ca="1">IF($B224="", "", IF(_xll.IMDP("IR", $B224, J$6, $C$4, "fill=true")=0, "", _xll.IMDP("IR", $B224, J$6, $C$4, "fill=true")))</f>
        <v/>
      </c>
      <c r="K224" s="101" t="str">
        <f ca="1">IF($B224="", "", IF(_xll.IMDP("IR", $B224, K$6, $C$4, "fill=true")=0, "", _xll.IMDP("IR", $B224, K$6, $C$4, "fill=true")))</f>
        <v/>
      </c>
      <c r="L224" s="101" t="str">
        <f ca="1">IF($B224="", "", IF(_xll.IMDP("IR", $B224, L$6, $C$4, "fill=true")=0, "", _xll.IMDP("IR", $B224, L$6, $C$4, "fill=true")))</f>
        <v/>
      </c>
      <c r="M224" s="101" t="str">
        <f ca="1">IF($B224="", "", IF(_xll.IMDP("IR", $B224, M$6, $C$4, "fill=true")=0, "", _xll.IMDP("IR", $B224, M$6, $C$4, "fill=true")))</f>
        <v/>
      </c>
      <c r="N224" s="101" t="str">
        <f ca="1">IF($B224="", "", IF(_xll.IMDP("IR", $B224, N$6, $C$4, "fill=true")=0, "", _xll.IMDP("IR", $B224, N$6, $C$4, "fill=true")))</f>
        <v/>
      </c>
      <c r="O224" s="101" t="str">
        <f ca="1">IF($B224="", "", IF(_xll.IMDP("IR", $B224, O$6, $C$4, "fill=true")=0, "", _xll.IMDP("IR", $B224, O$6, $C$4, "fill=true")))</f>
        <v/>
      </c>
      <c r="P224" s="101" t="str">
        <f ca="1">IF($B224="", "", IF(_xll.IMDP("IR", $B224, P$6, $C$4, "fill=true")=0, "", _xll.IMDP("IR", $B224, P$6, $C$4, "fill=true")))</f>
        <v/>
      </c>
      <c r="Q224" s="102" t="str">
        <f ca="1">IF($B224="", "", IF(_xll.IMDP("IR", $B224, Q$6, $C$4, "fill=true")=0, "", _xll.IMDP("IR", $B224, Q$6, $C$4, "fill=true")))</f>
        <v/>
      </c>
    </row>
    <row r="225" spans="2:17">
      <c r="B225" s="83" t="str">
        <f ca="1">IFERROR( VLOOKUP(ROW()-ROW($B$6), code!$G$51:$K$1483, 5, 0), "")</f>
        <v/>
      </c>
      <c r="C225" s="96" t="str">
        <f ca="1">IF($B225="", "", _xll.IMDP("IR", $B225, "1일", $C$4, "fill=true, disp=date"))</f>
        <v/>
      </c>
      <c r="D225" s="97" t="str">
        <f ca="1">IF($B225="", "", VLOOKUP(ROW()-ROW($B$6), code!$G$51:$K$1483, 2, 0) )</f>
        <v/>
      </c>
      <c r="E225" s="98" t="str">
        <f ca="1">IF($B225="", "", VLOOKUP(ROW()-ROW($B$6), code!$G$51:$K$1483, 3, 0) )</f>
        <v/>
      </c>
      <c r="F225" s="99" t="str">
        <f ca="1">IF($B225="", "", VLOOKUP(ROW()-ROW($B$6), code!$G$51:$K$1483, 4, 0))</f>
        <v/>
      </c>
      <c r="G225" s="100" t="str">
        <f ca="1">IF($B225="", "", IF(_xll.IMDP("IR", $B225, G$6, $C$4, "fill=true")=0, "", _xll.IMDP("IR", $B225, G$6, $C$4, "fill=true")))</f>
        <v/>
      </c>
      <c r="H225" s="101" t="str">
        <f ca="1">IF($B225="", "", IF(_xll.IMDP("IR", $B225, H$6, $C$4, "fill=true")=0, "", _xll.IMDP("IR", $B225, H$6, $C$4, "fill=true")))</f>
        <v/>
      </c>
      <c r="I225" s="101" t="str">
        <f ca="1">IF($B225="", "", IF(_xll.IMDP("IR", $B225, I$6, $C$4, "fill=true")=0, "", _xll.IMDP("IR", $B225, I$6, $C$4, "fill=true")))</f>
        <v/>
      </c>
      <c r="J225" s="101" t="str">
        <f ca="1">IF($B225="", "", IF(_xll.IMDP("IR", $B225, J$6, $C$4, "fill=true")=0, "", _xll.IMDP("IR", $B225, J$6, $C$4, "fill=true")))</f>
        <v/>
      </c>
      <c r="K225" s="101" t="str">
        <f ca="1">IF($B225="", "", IF(_xll.IMDP("IR", $B225, K$6, $C$4, "fill=true")=0, "", _xll.IMDP("IR", $B225, K$6, $C$4, "fill=true")))</f>
        <v/>
      </c>
      <c r="L225" s="101" t="str">
        <f ca="1">IF($B225="", "", IF(_xll.IMDP("IR", $B225, L$6, $C$4, "fill=true")=0, "", _xll.IMDP("IR", $B225, L$6, $C$4, "fill=true")))</f>
        <v/>
      </c>
      <c r="M225" s="101" t="str">
        <f ca="1">IF($B225="", "", IF(_xll.IMDP("IR", $B225, M$6, $C$4, "fill=true")=0, "", _xll.IMDP("IR", $B225, M$6, $C$4, "fill=true")))</f>
        <v/>
      </c>
      <c r="N225" s="101" t="str">
        <f ca="1">IF($B225="", "", IF(_xll.IMDP("IR", $B225, N$6, $C$4, "fill=true")=0, "", _xll.IMDP("IR", $B225, N$6, $C$4, "fill=true")))</f>
        <v/>
      </c>
      <c r="O225" s="101" t="str">
        <f ca="1">IF($B225="", "", IF(_xll.IMDP("IR", $B225, O$6, $C$4, "fill=true")=0, "", _xll.IMDP("IR", $B225, O$6, $C$4, "fill=true")))</f>
        <v/>
      </c>
      <c r="P225" s="101" t="str">
        <f ca="1">IF($B225="", "", IF(_xll.IMDP("IR", $B225, P$6, $C$4, "fill=true")=0, "", _xll.IMDP("IR", $B225, P$6, $C$4, "fill=true")))</f>
        <v/>
      </c>
      <c r="Q225" s="102" t="str">
        <f ca="1">IF($B225="", "", IF(_xll.IMDP("IR", $B225, Q$6, $C$4, "fill=true")=0, "", _xll.IMDP("IR", $B225, Q$6, $C$4, "fill=true")))</f>
        <v/>
      </c>
    </row>
    <row r="226" spans="2:17">
      <c r="B226" s="83" t="str">
        <f ca="1">IFERROR( VLOOKUP(ROW()-ROW($B$6), code!$G$51:$K$1483, 5, 0), "")</f>
        <v/>
      </c>
      <c r="C226" s="96" t="str">
        <f ca="1">IF($B226="", "", _xll.IMDP("IR", $B226, "1일", $C$4, "fill=true, disp=date"))</f>
        <v/>
      </c>
      <c r="D226" s="97" t="str">
        <f ca="1">IF($B226="", "", VLOOKUP(ROW()-ROW($B$6), code!$G$51:$K$1483, 2, 0) )</f>
        <v/>
      </c>
      <c r="E226" s="98" t="str">
        <f ca="1">IF($B226="", "", VLOOKUP(ROW()-ROW($B$6), code!$G$51:$K$1483, 3, 0) )</f>
        <v/>
      </c>
      <c r="F226" s="99" t="str">
        <f ca="1">IF($B226="", "", VLOOKUP(ROW()-ROW($B$6), code!$G$51:$K$1483, 4, 0))</f>
        <v/>
      </c>
      <c r="G226" s="100" t="str">
        <f ca="1">IF($B226="", "", IF(_xll.IMDP("IR", $B226, G$6, $C$4, "fill=true")=0, "", _xll.IMDP("IR", $B226, G$6, $C$4, "fill=true")))</f>
        <v/>
      </c>
      <c r="H226" s="101" t="str">
        <f ca="1">IF($B226="", "", IF(_xll.IMDP("IR", $B226, H$6, $C$4, "fill=true")=0, "", _xll.IMDP("IR", $B226, H$6, $C$4, "fill=true")))</f>
        <v/>
      </c>
      <c r="I226" s="101" t="str">
        <f ca="1">IF($B226="", "", IF(_xll.IMDP("IR", $B226, I$6, $C$4, "fill=true")=0, "", _xll.IMDP("IR", $B226, I$6, $C$4, "fill=true")))</f>
        <v/>
      </c>
      <c r="J226" s="101" t="str">
        <f ca="1">IF($B226="", "", IF(_xll.IMDP("IR", $B226, J$6, $C$4, "fill=true")=0, "", _xll.IMDP("IR", $B226, J$6, $C$4, "fill=true")))</f>
        <v/>
      </c>
      <c r="K226" s="101" t="str">
        <f ca="1">IF($B226="", "", IF(_xll.IMDP("IR", $B226, K$6, $C$4, "fill=true")=0, "", _xll.IMDP("IR", $B226, K$6, $C$4, "fill=true")))</f>
        <v/>
      </c>
      <c r="L226" s="101" t="str">
        <f ca="1">IF($B226="", "", IF(_xll.IMDP("IR", $B226, L$6, $C$4, "fill=true")=0, "", _xll.IMDP("IR", $B226, L$6, $C$4, "fill=true")))</f>
        <v/>
      </c>
      <c r="M226" s="101" t="str">
        <f ca="1">IF($B226="", "", IF(_xll.IMDP("IR", $B226, M$6, $C$4, "fill=true")=0, "", _xll.IMDP("IR", $B226, M$6, $C$4, "fill=true")))</f>
        <v/>
      </c>
      <c r="N226" s="101" t="str">
        <f ca="1">IF($B226="", "", IF(_xll.IMDP("IR", $B226, N$6, $C$4, "fill=true")=0, "", _xll.IMDP("IR", $B226, N$6, $C$4, "fill=true")))</f>
        <v/>
      </c>
      <c r="O226" s="101" t="str">
        <f ca="1">IF($B226="", "", IF(_xll.IMDP("IR", $B226, O$6, $C$4, "fill=true")=0, "", _xll.IMDP("IR", $B226, O$6, $C$4, "fill=true")))</f>
        <v/>
      </c>
      <c r="P226" s="101" t="str">
        <f ca="1">IF($B226="", "", IF(_xll.IMDP("IR", $B226, P$6, $C$4, "fill=true")=0, "", _xll.IMDP("IR", $B226, P$6, $C$4, "fill=true")))</f>
        <v/>
      </c>
      <c r="Q226" s="102" t="str">
        <f ca="1">IF($B226="", "", IF(_xll.IMDP("IR", $B226, Q$6, $C$4, "fill=true")=0, "", _xll.IMDP("IR", $B226, Q$6, $C$4, "fill=true")))</f>
        <v/>
      </c>
    </row>
    <row r="227" spans="2:17">
      <c r="B227" s="83" t="str">
        <f ca="1">IFERROR( VLOOKUP(ROW()-ROW($B$6), code!$G$51:$K$1483, 5, 0), "")</f>
        <v/>
      </c>
      <c r="C227" s="96" t="str">
        <f ca="1">IF($B227="", "", _xll.IMDP("IR", $B227, "1일", $C$4, "fill=true, disp=date"))</f>
        <v/>
      </c>
      <c r="D227" s="97" t="str">
        <f ca="1">IF($B227="", "", VLOOKUP(ROW()-ROW($B$6), code!$G$51:$K$1483, 2, 0) )</f>
        <v/>
      </c>
      <c r="E227" s="98" t="str">
        <f ca="1">IF($B227="", "", VLOOKUP(ROW()-ROW($B$6), code!$G$51:$K$1483, 3, 0) )</f>
        <v/>
      </c>
      <c r="F227" s="99" t="str">
        <f ca="1">IF($B227="", "", VLOOKUP(ROW()-ROW($B$6), code!$G$51:$K$1483, 4, 0))</f>
        <v/>
      </c>
      <c r="G227" s="100" t="str">
        <f ca="1">IF($B227="", "", IF(_xll.IMDP("IR", $B227, G$6, $C$4, "fill=true")=0, "", _xll.IMDP("IR", $B227, G$6, $C$4, "fill=true")))</f>
        <v/>
      </c>
      <c r="H227" s="101" t="str">
        <f ca="1">IF($B227="", "", IF(_xll.IMDP("IR", $B227, H$6, $C$4, "fill=true")=0, "", _xll.IMDP("IR", $B227, H$6, $C$4, "fill=true")))</f>
        <v/>
      </c>
      <c r="I227" s="101" t="str">
        <f ca="1">IF($B227="", "", IF(_xll.IMDP("IR", $B227, I$6, $C$4, "fill=true")=0, "", _xll.IMDP("IR", $B227, I$6, $C$4, "fill=true")))</f>
        <v/>
      </c>
      <c r="J227" s="101" t="str">
        <f ca="1">IF($B227="", "", IF(_xll.IMDP("IR", $B227, J$6, $C$4, "fill=true")=0, "", _xll.IMDP("IR", $B227, J$6, $C$4, "fill=true")))</f>
        <v/>
      </c>
      <c r="K227" s="101" t="str">
        <f ca="1">IF($B227="", "", IF(_xll.IMDP("IR", $B227, K$6, $C$4, "fill=true")=0, "", _xll.IMDP("IR", $B227, K$6, $C$4, "fill=true")))</f>
        <v/>
      </c>
      <c r="L227" s="101" t="str">
        <f ca="1">IF($B227="", "", IF(_xll.IMDP("IR", $B227, L$6, $C$4, "fill=true")=0, "", _xll.IMDP("IR", $B227, L$6, $C$4, "fill=true")))</f>
        <v/>
      </c>
      <c r="M227" s="101" t="str">
        <f ca="1">IF($B227="", "", IF(_xll.IMDP("IR", $B227, M$6, $C$4, "fill=true")=0, "", _xll.IMDP("IR", $B227, M$6, $C$4, "fill=true")))</f>
        <v/>
      </c>
      <c r="N227" s="101" t="str">
        <f ca="1">IF($B227="", "", IF(_xll.IMDP("IR", $B227, N$6, $C$4, "fill=true")=0, "", _xll.IMDP("IR", $B227, N$6, $C$4, "fill=true")))</f>
        <v/>
      </c>
      <c r="O227" s="101" t="str">
        <f ca="1">IF($B227="", "", IF(_xll.IMDP("IR", $B227, O$6, $C$4, "fill=true")=0, "", _xll.IMDP("IR", $B227, O$6, $C$4, "fill=true")))</f>
        <v/>
      </c>
      <c r="P227" s="101" t="str">
        <f ca="1">IF($B227="", "", IF(_xll.IMDP("IR", $B227, P$6, $C$4, "fill=true")=0, "", _xll.IMDP("IR", $B227, P$6, $C$4, "fill=true")))</f>
        <v/>
      </c>
      <c r="Q227" s="102" t="str">
        <f ca="1">IF($B227="", "", IF(_xll.IMDP("IR", $B227, Q$6, $C$4, "fill=true")=0, "", _xll.IMDP("IR", $B227, Q$6, $C$4, "fill=true")))</f>
        <v/>
      </c>
    </row>
    <row r="228" spans="2:17">
      <c r="B228" s="83" t="str">
        <f ca="1">IFERROR( VLOOKUP(ROW()-ROW($B$6), code!$G$51:$K$1483, 5, 0), "")</f>
        <v/>
      </c>
      <c r="C228" s="96" t="str">
        <f ca="1">IF($B228="", "", _xll.IMDP("IR", $B228, "1일", $C$4, "fill=true, disp=date"))</f>
        <v/>
      </c>
      <c r="D228" s="97" t="str">
        <f ca="1">IF($B228="", "", VLOOKUP(ROW()-ROW($B$6), code!$G$51:$K$1483, 2, 0) )</f>
        <v/>
      </c>
      <c r="E228" s="98" t="str">
        <f ca="1">IF($B228="", "", VLOOKUP(ROW()-ROW($B$6), code!$G$51:$K$1483, 3, 0) )</f>
        <v/>
      </c>
      <c r="F228" s="99" t="str">
        <f ca="1">IF($B228="", "", VLOOKUP(ROW()-ROW($B$6), code!$G$51:$K$1483, 4, 0))</f>
        <v/>
      </c>
      <c r="G228" s="100" t="str">
        <f ca="1">IF($B228="", "", IF(_xll.IMDP("IR", $B228, G$6, $C$4, "fill=true")=0, "", _xll.IMDP("IR", $B228, G$6, $C$4, "fill=true")))</f>
        <v/>
      </c>
      <c r="H228" s="101" t="str">
        <f ca="1">IF($B228="", "", IF(_xll.IMDP("IR", $B228, H$6, $C$4, "fill=true")=0, "", _xll.IMDP("IR", $B228, H$6, $C$4, "fill=true")))</f>
        <v/>
      </c>
      <c r="I228" s="101" t="str">
        <f ca="1">IF($B228="", "", IF(_xll.IMDP("IR", $B228, I$6, $C$4, "fill=true")=0, "", _xll.IMDP("IR", $B228, I$6, $C$4, "fill=true")))</f>
        <v/>
      </c>
      <c r="J228" s="101" t="str">
        <f ca="1">IF($B228="", "", IF(_xll.IMDP("IR", $B228, J$6, $C$4, "fill=true")=0, "", _xll.IMDP("IR", $B228, J$6, $C$4, "fill=true")))</f>
        <v/>
      </c>
      <c r="K228" s="101" t="str">
        <f ca="1">IF($B228="", "", IF(_xll.IMDP("IR", $B228, K$6, $C$4, "fill=true")=0, "", _xll.IMDP("IR", $B228, K$6, $C$4, "fill=true")))</f>
        <v/>
      </c>
      <c r="L228" s="101" t="str">
        <f ca="1">IF($B228="", "", IF(_xll.IMDP("IR", $B228, L$6, $C$4, "fill=true")=0, "", _xll.IMDP("IR", $B228, L$6, $C$4, "fill=true")))</f>
        <v/>
      </c>
      <c r="M228" s="101" t="str">
        <f ca="1">IF($B228="", "", IF(_xll.IMDP("IR", $B228, M$6, $C$4, "fill=true")=0, "", _xll.IMDP("IR", $B228, M$6, $C$4, "fill=true")))</f>
        <v/>
      </c>
      <c r="N228" s="101" t="str">
        <f ca="1">IF($B228="", "", IF(_xll.IMDP("IR", $B228, N$6, $C$4, "fill=true")=0, "", _xll.IMDP("IR", $B228, N$6, $C$4, "fill=true")))</f>
        <v/>
      </c>
      <c r="O228" s="101" t="str">
        <f ca="1">IF($B228="", "", IF(_xll.IMDP("IR", $B228, O$6, $C$4, "fill=true")=0, "", _xll.IMDP("IR", $B228, O$6, $C$4, "fill=true")))</f>
        <v/>
      </c>
      <c r="P228" s="101" t="str">
        <f ca="1">IF($B228="", "", IF(_xll.IMDP("IR", $B228, P$6, $C$4, "fill=true")=0, "", _xll.IMDP("IR", $B228, P$6, $C$4, "fill=true")))</f>
        <v/>
      </c>
      <c r="Q228" s="102" t="str">
        <f ca="1">IF($B228="", "", IF(_xll.IMDP("IR", $B228, Q$6, $C$4, "fill=true")=0, "", _xll.IMDP("IR", $B228, Q$6, $C$4, "fill=true")))</f>
        <v/>
      </c>
    </row>
    <row r="229" spans="2:17">
      <c r="B229" s="83" t="str">
        <f ca="1">IFERROR( VLOOKUP(ROW()-ROW($B$6), code!$G$51:$K$1483, 5, 0), "")</f>
        <v/>
      </c>
      <c r="C229" s="96" t="str">
        <f ca="1">IF($B229="", "", _xll.IMDP("IR", $B229, "1일", $C$4, "fill=true, disp=date"))</f>
        <v/>
      </c>
      <c r="D229" s="97" t="str">
        <f ca="1">IF($B229="", "", VLOOKUP(ROW()-ROW($B$6), code!$G$51:$K$1483, 2, 0) )</f>
        <v/>
      </c>
      <c r="E229" s="98" t="str">
        <f ca="1">IF($B229="", "", VLOOKUP(ROW()-ROW($B$6), code!$G$51:$K$1483, 3, 0) )</f>
        <v/>
      </c>
      <c r="F229" s="99" t="str">
        <f ca="1">IF($B229="", "", VLOOKUP(ROW()-ROW($B$6), code!$G$51:$K$1483, 4, 0))</f>
        <v/>
      </c>
      <c r="G229" s="100" t="str">
        <f ca="1">IF($B229="", "", IF(_xll.IMDP("IR", $B229, G$6, $C$4, "fill=true")=0, "", _xll.IMDP("IR", $B229, G$6, $C$4, "fill=true")))</f>
        <v/>
      </c>
      <c r="H229" s="101" t="str">
        <f ca="1">IF($B229="", "", IF(_xll.IMDP("IR", $B229, H$6, $C$4, "fill=true")=0, "", _xll.IMDP("IR", $B229, H$6, $C$4, "fill=true")))</f>
        <v/>
      </c>
      <c r="I229" s="101" t="str">
        <f ca="1">IF($B229="", "", IF(_xll.IMDP("IR", $B229, I$6, $C$4, "fill=true")=0, "", _xll.IMDP("IR", $B229, I$6, $C$4, "fill=true")))</f>
        <v/>
      </c>
      <c r="J229" s="101" t="str">
        <f ca="1">IF($B229="", "", IF(_xll.IMDP("IR", $B229, J$6, $C$4, "fill=true")=0, "", _xll.IMDP("IR", $B229, J$6, $C$4, "fill=true")))</f>
        <v/>
      </c>
      <c r="K229" s="101" t="str">
        <f ca="1">IF($B229="", "", IF(_xll.IMDP("IR", $B229, K$6, $C$4, "fill=true")=0, "", _xll.IMDP("IR", $B229, K$6, $C$4, "fill=true")))</f>
        <v/>
      </c>
      <c r="L229" s="101" t="str">
        <f ca="1">IF($B229="", "", IF(_xll.IMDP("IR", $B229, L$6, $C$4, "fill=true")=0, "", _xll.IMDP("IR", $B229, L$6, $C$4, "fill=true")))</f>
        <v/>
      </c>
      <c r="M229" s="101" t="str">
        <f ca="1">IF($B229="", "", IF(_xll.IMDP("IR", $B229, M$6, $C$4, "fill=true")=0, "", _xll.IMDP("IR", $B229, M$6, $C$4, "fill=true")))</f>
        <v/>
      </c>
      <c r="N229" s="101" t="str">
        <f ca="1">IF($B229="", "", IF(_xll.IMDP("IR", $B229, N$6, $C$4, "fill=true")=0, "", _xll.IMDP("IR", $B229, N$6, $C$4, "fill=true")))</f>
        <v/>
      </c>
      <c r="O229" s="101" t="str">
        <f ca="1">IF($B229="", "", IF(_xll.IMDP("IR", $B229, O$6, $C$4, "fill=true")=0, "", _xll.IMDP("IR", $B229, O$6, $C$4, "fill=true")))</f>
        <v/>
      </c>
      <c r="P229" s="101" t="str">
        <f ca="1">IF($B229="", "", IF(_xll.IMDP("IR", $B229, P$6, $C$4, "fill=true")=0, "", _xll.IMDP("IR", $B229, P$6, $C$4, "fill=true")))</f>
        <v/>
      </c>
      <c r="Q229" s="102" t="str">
        <f ca="1">IF($B229="", "", IF(_xll.IMDP("IR", $B229, Q$6, $C$4, "fill=true")=0, "", _xll.IMDP("IR", $B229, Q$6, $C$4, "fill=true")))</f>
        <v/>
      </c>
    </row>
    <row r="230" spans="2:17">
      <c r="B230" s="83" t="str">
        <f ca="1">IFERROR( VLOOKUP(ROW()-ROW($B$6), code!$G$51:$K$1483, 5, 0), "")</f>
        <v/>
      </c>
      <c r="C230" s="96" t="str">
        <f ca="1">IF($B230="", "", _xll.IMDP("IR", $B230, "1일", $C$4, "fill=true, disp=date"))</f>
        <v/>
      </c>
      <c r="D230" s="97" t="str">
        <f ca="1">IF($B230="", "", VLOOKUP(ROW()-ROW($B$6), code!$G$51:$K$1483, 2, 0) )</f>
        <v/>
      </c>
      <c r="E230" s="98" t="str">
        <f ca="1">IF($B230="", "", VLOOKUP(ROW()-ROW($B$6), code!$G$51:$K$1483, 3, 0) )</f>
        <v/>
      </c>
      <c r="F230" s="99" t="str">
        <f ca="1">IF($B230="", "", VLOOKUP(ROW()-ROW($B$6), code!$G$51:$K$1483, 4, 0))</f>
        <v/>
      </c>
      <c r="G230" s="100" t="str">
        <f ca="1">IF($B230="", "", IF(_xll.IMDP("IR", $B230, G$6, $C$4, "fill=true")=0, "", _xll.IMDP("IR", $B230, G$6, $C$4, "fill=true")))</f>
        <v/>
      </c>
      <c r="H230" s="101" t="str">
        <f ca="1">IF($B230="", "", IF(_xll.IMDP("IR", $B230, H$6, $C$4, "fill=true")=0, "", _xll.IMDP("IR", $B230, H$6, $C$4, "fill=true")))</f>
        <v/>
      </c>
      <c r="I230" s="101" t="str">
        <f ca="1">IF($B230="", "", IF(_xll.IMDP("IR", $B230, I$6, $C$4, "fill=true")=0, "", _xll.IMDP("IR", $B230, I$6, $C$4, "fill=true")))</f>
        <v/>
      </c>
      <c r="J230" s="101" t="str">
        <f ca="1">IF($B230="", "", IF(_xll.IMDP("IR", $B230, J$6, $C$4, "fill=true")=0, "", _xll.IMDP("IR", $B230, J$6, $C$4, "fill=true")))</f>
        <v/>
      </c>
      <c r="K230" s="101" t="str">
        <f ca="1">IF($B230="", "", IF(_xll.IMDP("IR", $B230, K$6, $C$4, "fill=true")=0, "", _xll.IMDP("IR", $B230, K$6, $C$4, "fill=true")))</f>
        <v/>
      </c>
      <c r="L230" s="101" t="str">
        <f ca="1">IF($B230="", "", IF(_xll.IMDP("IR", $B230, L$6, $C$4, "fill=true")=0, "", _xll.IMDP("IR", $B230, L$6, $C$4, "fill=true")))</f>
        <v/>
      </c>
      <c r="M230" s="101" t="str">
        <f ca="1">IF($B230="", "", IF(_xll.IMDP("IR", $B230, M$6, $C$4, "fill=true")=0, "", _xll.IMDP("IR", $B230, M$6, $C$4, "fill=true")))</f>
        <v/>
      </c>
      <c r="N230" s="101" t="str">
        <f ca="1">IF($B230="", "", IF(_xll.IMDP("IR", $B230, N$6, $C$4, "fill=true")=0, "", _xll.IMDP("IR", $B230, N$6, $C$4, "fill=true")))</f>
        <v/>
      </c>
      <c r="O230" s="101" t="str">
        <f ca="1">IF($B230="", "", IF(_xll.IMDP("IR", $B230, O$6, $C$4, "fill=true")=0, "", _xll.IMDP("IR", $B230, O$6, $C$4, "fill=true")))</f>
        <v/>
      </c>
      <c r="P230" s="101" t="str">
        <f ca="1">IF($B230="", "", IF(_xll.IMDP("IR", $B230, P$6, $C$4, "fill=true")=0, "", _xll.IMDP("IR", $B230, P$6, $C$4, "fill=true")))</f>
        <v/>
      </c>
      <c r="Q230" s="102" t="str">
        <f ca="1">IF($B230="", "", IF(_xll.IMDP("IR", $B230, Q$6, $C$4, "fill=true")=0, "", _xll.IMDP("IR", $B230, Q$6, $C$4, "fill=true")))</f>
        <v/>
      </c>
    </row>
    <row r="231" spans="2:17">
      <c r="B231" s="83" t="str">
        <f ca="1">IFERROR( VLOOKUP(ROW()-ROW($B$6), code!$G$51:$K$1483, 5, 0), "")</f>
        <v/>
      </c>
      <c r="C231" s="96" t="str">
        <f ca="1">IF($B231="", "", _xll.IMDP("IR", $B231, "1일", $C$4, "fill=true, disp=date"))</f>
        <v/>
      </c>
      <c r="D231" s="97" t="str">
        <f ca="1">IF($B231="", "", VLOOKUP(ROW()-ROW($B$6), code!$G$51:$K$1483, 2, 0) )</f>
        <v/>
      </c>
      <c r="E231" s="98" t="str">
        <f ca="1">IF($B231="", "", VLOOKUP(ROW()-ROW($B$6), code!$G$51:$K$1483, 3, 0) )</f>
        <v/>
      </c>
      <c r="F231" s="99" t="str">
        <f ca="1">IF($B231="", "", VLOOKUP(ROW()-ROW($B$6), code!$G$51:$K$1483, 4, 0))</f>
        <v/>
      </c>
      <c r="G231" s="100" t="str">
        <f ca="1">IF($B231="", "", IF(_xll.IMDP("IR", $B231, G$6, $C$4, "fill=true")=0, "", _xll.IMDP("IR", $B231, G$6, $C$4, "fill=true")))</f>
        <v/>
      </c>
      <c r="H231" s="101" t="str">
        <f ca="1">IF($B231="", "", IF(_xll.IMDP("IR", $B231, H$6, $C$4, "fill=true")=0, "", _xll.IMDP("IR", $B231, H$6, $C$4, "fill=true")))</f>
        <v/>
      </c>
      <c r="I231" s="101" t="str">
        <f ca="1">IF($B231="", "", IF(_xll.IMDP("IR", $B231, I$6, $C$4, "fill=true")=0, "", _xll.IMDP("IR", $B231, I$6, $C$4, "fill=true")))</f>
        <v/>
      </c>
      <c r="J231" s="101" t="str">
        <f ca="1">IF($B231="", "", IF(_xll.IMDP("IR", $B231, J$6, $C$4, "fill=true")=0, "", _xll.IMDP("IR", $B231, J$6, $C$4, "fill=true")))</f>
        <v/>
      </c>
      <c r="K231" s="101" t="str">
        <f ca="1">IF($B231="", "", IF(_xll.IMDP("IR", $B231, K$6, $C$4, "fill=true")=0, "", _xll.IMDP("IR", $B231, K$6, $C$4, "fill=true")))</f>
        <v/>
      </c>
      <c r="L231" s="101" t="str">
        <f ca="1">IF($B231="", "", IF(_xll.IMDP("IR", $B231, L$6, $C$4, "fill=true")=0, "", _xll.IMDP("IR", $B231, L$6, $C$4, "fill=true")))</f>
        <v/>
      </c>
      <c r="M231" s="101" t="str">
        <f ca="1">IF($B231="", "", IF(_xll.IMDP("IR", $B231, M$6, $C$4, "fill=true")=0, "", _xll.IMDP("IR", $B231, M$6, $C$4, "fill=true")))</f>
        <v/>
      </c>
      <c r="N231" s="101" t="str">
        <f ca="1">IF($B231="", "", IF(_xll.IMDP("IR", $B231, N$6, $C$4, "fill=true")=0, "", _xll.IMDP("IR", $B231, N$6, $C$4, "fill=true")))</f>
        <v/>
      </c>
      <c r="O231" s="101" t="str">
        <f ca="1">IF($B231="", "", IF(_xll.IMDP("IR", $B231, O$6, $C$4, "fill=true")=0, "", _xll.IMDP("IR", $B231, O$6, $C$4, "fill=true")))</f>
        <v/>
      </c>
      <c r="P231" s="101" t="str">
        <f ca="1">IF($B231="", "", IF(_xll.IMDP("IR", $B231, P$6, $C$4, "fill=true")=0, "", _xll.IMDP("IR", $B231, P$6, $C$4, "fill=true")))</f>
        <v/>
      </c>
      <c r="Q231" s="102" t="str">
        <f ca="1">IF($B231="", "", IF(_xll.IMDP("IR", $B231, Q$6, $C$4, "fill=true")=0, "", _xll.IMDP("IR", $B231, Q$6, $C$4, "fill=true")))</f>
        <v/>
      </c>
    </row>
    <row r="232" spans="2:17">
      <c r="B232" s="83" t="str">
        <f ca="1">IFERROR( VLOOKUP(ROW()-ROW($B$6), code!$G$51:$K$1483, 5, 0), "")</f>
        <v/>
      </c>
      <c r="C232" s="96" t="str">
        <f ca="1">IF($B232="", "", _xll.IMDP("IR", $B232, "1일", $C$4, "fill=true, disp=date"))</f>
        <v/>
      </c>
      <c r="D232" s="97" t="str">
        <f ca="1">IF($B232="", "", VLOOKUP(ROW()-ROW($B$6), code!$G$51:$K$1483, 2, 0) )</f>
        <v/>
      </c>
      <c r="E232" s="98" t="str">
        <f ca="1">IF($B232="", "", VLOOKUP(ROW()-ROW($B$6), code!$G$51:$K$1483, 3, 0) )</f>
        <v/>
      </c>
      <c r="F232" s="99" t="str">
        <f ca="1">IF($B232="", "", VLOOKUP(ROW()-ROW($B$6), code!$G$51:$K$1483, 4, 0))</f>
        <v/>
      </c>
      <c r="G232" s="100" t="str">
        <f ca="1">IF($B232="", "", IF(_xll.IMDP("IR", $B232, G$6, $C$4, "fill=true")=0, "", _xll.IMDP("IR", $B232, G$6, $C$4, "fill=true")))</f>
        <v/>
      </c>
      <c r="H232" s="101" t="str">
        <f ca="1">IF($B232="", "", IF(_xll.IMDP("IR", $B232, H$6, $C$4, "fill=true")=0, "", _xll.IMDP("IR", $B232, H$6, $C$4, "fill=true")))</f>
        <v/>
      </c>
      <c r="I232" s="101" t="str">
        <f ca="1">IF($B232="", "", IF(_xll.IMDP("IR", $B232, I$6, $C$4, "fill=true")=0, "", _xll.IMDP("IR", $B232, I$6, $C$4, "fill=true")))</f>
        <v/>
      </c>
      <c r="J232" s="101" t="str">
        <f ca="1">IF($B232="", "", IF(_xll.IMDP("IR", $B232, J$6, $C$4, "fill=true")=0, "", _xll.IMDP("IR", $B232, J$6, $C$4, "fill=true")))</f>
        <v/>
      </c>
      <c r="K232" s="101" t="str">
        <f ca="1">IF($B232="", "", IF(_xll.IMDP("IR", $B232, K$6, $C$4, "fill=true")=0, "", _xll.IMDP("IR", $B232, K$6, $C$4, "fill=true")))</f>
        <v/>
      </c>
      <c r="L232" s="101" t="str">
        <f ca="1">IF($B232="", "", IF(_xll.IMDP("IR", $B232, L$6, $C$4, "fill=true")=0, "", _xll.IMDP("IR", $B232, L$6, $C$4, "fill=true")))</f>
        <v/>
      </c>
      <c r="M232" s="101" t="str">
        <f ca="1">IF($B232="", "", IF(_xll.IMDP("IR", $B232, M$6, $C$4, "fill=true")=0, "", _xll.IMDP("IR", $B232, M$6, $C$4, "fill=true")))</f>
        <v/>
      </c>
      <c r="N232" s="101" t="str">
        <f ca="1">IF($B232="", "", IF(_xll.IMDP("IR", $B232, N$6, $C$4, "fill=true")=0, "", _xll.IMDP("IR", $B232, N$6, $C$4, "fill=true")))</f>
        <v/>
      </c>
      <c r="O232" s="101" t="str">
        <f ca="1">IF($B232="", "", IF(_xll.IMDP("IR", $B232, O$6, $C$4, "fill=true")=0, "", _xll.IMDP("IR", $B232, O$6, $C$4, "fill=true")))</f>
        <v/>
      </c>
      <c r="P232" s="101" t="str">
        <f ca="1">IF($B232="", "", IF(_xll.IMDP("IR", $B232, P$6, $C$4, "fill=true")=0, "", _xll.IMDP("IR", $B232, P$6, $C$4, "fill=true")))</f>
        <v/>
      </c>
      <c r="Q232" s="102" t="str">
        <f ca="1">IF($B232="", "", IF(_xll.IMDP("IR", $B232, Q$6, $C$4, "fill=true")=0, "", _xll.IMDP("IR", $B232, Q$6, $C$4, "fill=true")))</f>
        <v/>
      </c>
    </row>
    <row r="233" spans="2:17">
      <c r="B233" s="83" t="str">
        <f ca="1">IFERROR( VLOOKUP(ROW()-ROW($B$6), code!$G$51:$K$1483, 5, 0), "")</f>
        <v/>
      </c>
      <c r="C233" s="96" t="str">
        <f ca="1">IF($B233="", "", _xll.IMDP("IR", $B233, "1일", $C$4, "fill=true, disp=date"))</f>
        <v/>
      </c>
      <c r="D233" s="97" t="str">
        <f ca="1">IF($B233="", "", VLOOKUP(ROW()-ROW($B$6), code!$G$51:$K$1483, 2, 0) )</f>
        <v/>
      </c>
      <c r="E233" s="98" t="str">
        <f ca="1">IF($B233="", "", VLOOKUP(ROW()-ROW($B$6), code!$G$51:$K$1483, 3, 0) )</f>
        <v/>
      </c>
      <c r="F233" s="99" t="str">
        <f ca="1">IF($B233="", "", VLOOKUP(ROW()-ROW($B$6), code!$G$51:$K$1483, 4, 0))</f>
        <v/>
      </c>
      <c r="G233" s="100" t="str">
        <f ca="1">IF($B233="", "", IF(_xll.IMDP("IR", $B233, G$6, $C$4, "fill=true")=0, "", _xll.IMDP("IR", $B233, G$6, $C$4, "fill=true")))</f>
        <v/>
      </c>
      <c r="H233" s="101" t="str">
        <f ca="1">IF($B233="", "", IF(_xll.IMDP("IR", $B233, H$6, $C$4, "fill=true")=0, "", _xll.IMDP("IR", $B233, H$6, $C$4, "fill=true")))</f>
        <v/>
      </c>
      <c r="I233" s="101" t="str">
        <f ca="1">IF($B233="", "", IF(_xll.IMDP("IR", $B233, I$6, $C$4, "fill=true")=0, "", _xll.IMDP("IR", $B233, I$6, $C$4, "fill=true")))</f>
        <v/>
      </c>
      <c r="J233" s="101" t="str">
        <f ca="1">IF($B233="", "", IF(_xll.IMDP("IR", $B233, J$6, $C$4, "fill=true")=0, "", _xll.IMDP("IR", $B233, J$6, $C$4, "fill=true")))</f>
        <v/>
      </c>
      <c r="K233" s="101" t="str">
        <f ca="1">IF($B233="", "", IF(_xll.IMDP("IR", $B233, K$6, $C$4, "fill=true")=0, "", _xll.IMDP("IR", $B233, K$6, $C$4, "fill=true")))</f>
        <v/>
      </c>
      <c r="L233" s="101" t="str">
        <f ca="1">IF($B233="", "", IF(_xll.IMDP("IR", $B233, L$6, $C$4, "fill=true")=0, "", _xll.IMDP("IR", $B233, L$6, $C$4, "fill=true")))</f>
        <v/>
      </c>
      <c r="M233" s="101" t="str">
        <f ca="1">IF($B233="", "", IF(_xll.IMDP("IR", $B233, M$6, $C$4, "fill=true")=0, "", _xll.IMDP("IR", $B233, M$6, $C$4, "fill=true")))</f>
        <v/>
      </c>
      <c r="N233" s="101" t="str">
        <f ca="1">IF($B233="", "", IF(_xll.IMDP("IR", $B233, N$6, $C$4, "fill=true")=0, "", _xll.IMDP("IR", $B233, N$6, $C$4, "fill=true")))</f>
        <v/>
      </c>
      <c r="O233" s="101" t="str">
        <f ca="1">IF($B233="", "", IF(_xll.IMDP("IR", $B233, O$6, $C$4, "fill=true")=0, "", _xll.IMDP("IR", $B233, O$6, $C$4, "fill=true")))</f>
        <v/>
      </c>
      <c r="P233" s="101" t="str">
        <f ca="1">IF($B233="", "", IF(_xll.IMDP("IR", $B233, P$6, $C$4, "fill=true")=0, "", _xll.IMDP("IR", $B233, P$6, $C$4, "fill=true")))</f>
        <v/>
      </c>
      <c r="Q233" s="102" t="str">
        <f ca="1">IF($B233="", "", IF(_xll.IMDP("IR", $B233, Q$6, $C$4, "fill=true")=0, "", _xll.IMDP("IR", $B233, Q$6, $C$4, "fill=true")))</f>
        <v/>
      </c>
    </row>
    <row r="234" spans="2:17">
      <c r="B234" s="83" t="str">
        <f ca="1">IFERROR( VLOOKUP(ROW()-ROW($B$6), code!$G$51:$K$1483, 5, 0), "")</f>
        <v/>
      </c>
      <c r="C234" s="96" t="str">
        <f ca="1">IF($B234="", "", _xll.IMDP("IR", $B234, "1일", $C$4, "fill=true, disp=date"))</f>
        <v/>
      </c>
      <c r="D234" s="97" t="str">
        <f ca="1">IF($B234="", "", VLOOKUP(ROW()-ROW($B$6), code!$G$51:$K$1483, 2, 0) )</f>
        <v/>
      </c>
      <c r="E234" s="98" t="str">
        <f ca="1">IF($B234="", "", VLOOKUP(ROW()-ROW($B$6), code!$G$51:$K$1483, 3, 0) )</f>
        <v/>
      </c>
      <c r="F234" s="99" t="str">
        <f ca="1">IF($B234="", "", VLOOKUP(ROW()-ROW($B$6), code!$G$51:$K$1483, 4, 0))</f>
        <v/>
      </c>
      <c r="G234" s="100" t="str">
        <f ca="1">IF($B234="", "", IF(_xll.IMDP("IR", $B234, G$6, $C$4, "fill=true")=0, "", _xll.IMDP("IR", $B234, G$6, $C$4, "fill=true")))</f>
        <v/>
      </c>
      <c r="H234" s="101" t="str">
        <f ca="1">IF($B234="", "", IF(_xll.IMDP("IR", $B234, H$6, $C$4, "fill=true")=0, "", _xll.IMDP("IR", $B234, H$6, $C$4, "fill=true")))</f>
        <v/>
      </c>
      <c r="I234" s="101" t="str">
        <f ca="1">IF($B234="", "", IF(_xll.IMDP("IR", $B234, I$6, $C$4, "fill=true")=0, "", _xll.IMDP("IR", $B234, I$6, $C$4, "fill=true")))</f>
        <v/>
      </c>
      <c r="J234" s="101" t="str">
        <f ca="1">IF($B234="", "", IF(_xll.IMDP("IR", $B234, J$6, $C$4, "fill=true")=0, "", _xll.IMDP("IR", $B234, J$6, $C$4, "fill=true")))</f>
        <v/>
      </c>
      <c r="K234" s="101" t="str">
        <f ca="1">IF($B234="", "", IF(_xll.IMDP("IR", $B234, K$6, $C$4, "fill=true")=0, "", _xll.IMDP("IR", $B234, K$6, $C$4, "fill=true")))</f>
        <v/>
      </c>
      <c r="L234" s="101" t="str">
        <f ca="1">IF($B234="", "", IF(_xll.IMDP("IR", $B234, L$6, $C$4, "fill=true")=0, "", _xll.IMDP("IR", $B234, L$6, $C$4, "fill=true")))</f>
        <v/>
      </c>
      <c r="M234" s="101" t="str">
        <f ca="1">IF($B234="", "", IF(_xll.IMDP("IR", $B234, M$6, $C$4, "fill=true")=0, "", _xll.IMDP("IR", $B234, M$6, $C$4, "fill=true")))</f>
        <v/>
      </c>
      <c r="N234" s="101" t="str">
        <f ca="1">IF($B234="", "", IF(_xll.IMDP("IR", $B234, N$6, $C$4, "fill=true")=0, "", _xll.IMDP("IR", $B234, N$6, $C$4, "fill=true")))</f>
        <v/>
      </c>
      <c r="O234" s="101" t="str">
        <f ca="1">IF($B234="", "", IF(_xll.IMDP("IR", $B234, O$6, $C$4, "fill=true")=0, "", _xll.IMDP("IR", $B234, O$6, $C$4, "fill=true")))</f>
        <v/>
      </c>
      <c r="P234" s="101" t="str">
        <f ca="1">IF($B234="", "", IF(_xll.IMDP("IR", $B234, P$6, $C$4, "fill=true")=0, "", _xll.IMDP("IR", $B234, P$6, $C$4, "fill=true")))</f>
        <v/>
      </c>
      <c r="Q234" s="102" t="str">
        <f ca="1">IF($B234="", "", IF(_xll.IMDP("IR", $B234, Q$6, $C$4, "fill=true")=0, "", _xll.IMDP("IR", $B234, Q$6, $C$4, "fill=true")))</f>
        <v/>
      </c>
    </row>
    <row r="235" spans="2:17">
      <c r="B235" s="83" t="str">
        <f ca="1">IFERROR( VLOOKUP(ROW()-ROW($B$6), code!$G$51:$K$1483, 5, 0), "")</f>
        <v/>
      </c>
      <c r="C235" s="96" t="str">
        <f ca="1">IF($B235="", "", _xll.IMDP("IR", $B235, "1일", $C$4, "fill=true, disp=date"))</f>
        <v/>
      </c>
      <c r="D235" s="97" t="str">
        <f ca="1">IF($B235="", "", VLOOKUP(ROW()-ROW($B$6), code!$G$51:$K$1483, 2, 0) )</f>
        <v/>
      </c>
      <c r="E235" s="98" t="str">
        <f ca="1">IF($B235="", "", VLOOKUP(ROW()-ROW($B$6), code!$G$51:$K$1483, 3, 0) )</f>
        <v/>
      </c>
      <c r="F235" s="99" t="str">
        <f ca="1">IF($B235="", "", VLOOKUP(ROW()-ROW($B$6), code!$G$51:$K$1483, 4, 0))</f>
        <v/>
      </c>
      <c r="G235" s="100" t="str">
        <f ca="1">IF($B235="", "", IF(_xll.IMDP("IR", $B235, G$6, $C$4, "fill=true")=0, "", _xll.IMDP("IR", $B235, G$6, $C$4, "fill=true")))</f>
        <v/>
      </c>
      <c r="H235" s="101" t="str">
        <f ca="1">IF($B235="", "", IF(_xll.IMDP("IR", $B235, H$6, $C$4, "fill=true")=0, "", _xll.IMDP("IR", $B235, H$6, $C$4, "fill=true")))</f>
        <v/>
      </c>
      <c r="I235" s="101" t="str">
        <f ca="1">IF($B235="", "", IF(_xll.IMDP("IR", $B235, I$6, $C$4, "fill=true")=0, "", _xll.IMDP("IR", $B235, I$6, $C$4, "fill=true")))</f>
        <v/>
      </c>
      <c r="J235" s="101" t="str">
        <f ca="1">IF($B235="", "", IF(_xll.IMDP("IR", $B235, J$6, $C$4, "fill=true")=0, "", _xll.IMDP("IR", $B235, J$6, $C$4, "fill=true")))</f>
        <v/>
      </c>
      <c r="K235" s="101" t="str">
        <f ca="1">IF($B235="", "", IF(_xll.IMDP("IR", $B235, K$6, $C$4, "fill=true")=0, "", _xll.IMDP("IR", $B235, K$6, $C$4, "fill=true")))</f>
        <v/>
      </c>
      <c r="L235" s="101" t="str">
        <f ca="1">IF($B235="", "", IF(_xll.IMDP("IR", $B235, L$6, $C$4, "fill=true")=0, "", _xll.IMDP("IR", $B235, L$6, $C$4, "fill=true")))</f>
        <v/>
      </c>
      <c r="M235" s="101" t="str">
        <f ca="1">IF($B235="", "", IF(_xll.IMDP("IR", $B235, M$6, $C$4, "fill=true")=0, "", _xll.IMDP("IR", $B235, M$6, $C$4, "fill=true")))</f>
        <v/>
      </c>
      <c r="N235" s="101" t="str">
        <f ca="1">IF($B235="", "", IF(_xll.IMDP("IR", $B235, N$6, $C$4, "fill=true")=0, "", _xll.IMDP("IR", $B235, N$6, $C$4, "fill=true")))</f>
        <v/>
      </c>
      <c r="O235" s="101" t="str">
        <f ca="1">IF($B235="", "", IF(_xll.IMDP("IR", $B235, O$6, $C$4, "fill=true")=0, "", _xll.IMDP("IR", $B235, O$6, $C$4, "fill=true")))</f>
        <v/>
      </c>
      <c r="P235" s="101" t="str">
        <f ca="1">IF($B235="", "", IF(_xll.IMDP("IR", $B235, P$6, $C$4, "fill=true")=0, "", _xll.IMDP("IR", $B235, P$6, $C$4, "fill=true")))</f>
        <v/>
      </c>
      <c r="Q235" s="102" t="str">
        <f ca="1">IF($B235="", "", IF(_xll.IMDP("IR", $B235, Q$6, $C$4, "fill=true")=0, "", _xll.IMDP("IR", $B235, Q$6, $C$4, "fill=true")))</f>
        <v/>
      </c>
    </row>
    <row r="236" spans="2:17">
      <c r="B236" s="83" t="str">
        <f ca="1">IFERROR( VLOOKUP(ROW()-ROW($B$6), code!$G$51:$K$1483, 5, 0), "")</f>
        <v/>
      </c>
      <c r="C236" s="96" t="str">
        <f ca="1">IF($B236="", "", _xll.IMDP("IR", $B236, "1일", $C$4, "fill=true, disp=date"))</f>
        <v/>
      </c>
      <c r="D236" s="97" t="str">
        <f ca="1">IF($B236="", "", VLOOKUP(ROW()-ROW($B$6), code!$G$51:$K$1483, 2, 0) )</f>
        <v/>
      </c>
      <c r="E236" s="98" t="str">
        <f ca="1">IF($B236="", "", VLOOKUP(ROW()-ROW($B$6), code!$G$51:$K$1483, 3, 0) )</f>
        <v/>
      </c>
      <c r="F236" s="99" t="str">
        <f ca="1">IF($B236="", "", VLOOKUP(ROW()-ROW($B$6), code!$G$51:$K$1483, 4, 0))</f>
        <v/>
      </c>
      <c r="G236" s="100" t="str">
        <f ca="1">IF($B236="", "", IF(_xll.IMDP("IR", $B236, G$6, $C$4, "fill=true")=0, "", _xll.IMDP("IR", $B236, G$6, $C$4, "fill=true")))</f>
        <v/>
      </c>
      <c r="H236" s="101" t="str">
        <f ca="1">IF($B236="", "", IF(_xll.IMDP("IR", $B236, H$6, $C$4, "fill=true")=0, "", _xll.IMDP("IR", $B236, H$6, $C$4, "fill=true")))</f>
        <v/>
      </c>
      <c r="I236" s="101" t="str">
        <f ca="1">IF($B236="", "", IF(_xll.IMDP("IR", $B236, I$6, $C$4, "fill=true")=0, "", _xll.IMDP("IR", $B236, I$6, $C$4, "fill=true")))</f>
        <v/>
      </c>
      <c r="J236" s="101" t="str">
        <f ca="1">IF($B236="", "", IF(_xll.IMDP("IR", $B236, J$6, $C$4, "fill=true")=0, "", _xll.IMDP("IR", $B236, J$6, $C$4, "fill=true")))</f>
        <v/>
      </c>
      <c r="K236" s="101" t="str">
        <f ca="1">IF($B236="", "", IF(_xll.IMDP("IR", $B236, K$6, $C$4, "fill=true")=0, "", _xll.IMDP("IR", $B236, K$6, $C$4, "fill=true")))</f>
        <v/>
      </c>
      <c r="L236" s="101" t="str">
        <f ca="1">IF($B236="", "", IF(_xll.IMDP("IR", $B236, L$6, $C$4, "fill=true")=0, "", _xll.IMDP("IR", $B236, L$6, $C$4, "fill=true")))</f>
        <v/>
      </c>
      <c r="M236" s="101" t="str">
        <f ca="1">IF($B236="", "", IF(_xll.IMDP("IR", $B236, M$6, $C$4, "fill=true")=0, "", _xll.IMDP("IR", $B236, M$6, $C$4, "fill=true")))</f>
        <v/>
      </c>
      <c r="N236" s="101" t="str">
        <f ca="1">IF($B236="", "", IF(_xll.IMDP("IR", $B236, N$6, $C$4, "fill=true")=0, "", _xll.IMDP("IR", $B236, N$6, $C$4, "fill=true")))</f>
        <v/>
      </c>
      <c r="O236" s="101" t="str">
        <f ca="1">IF($B236="", "", IF(_xll.IMDP("IR", $B236, O$6, $C$4, "fill=true")=0, "", _xll.IMDP("IR", $B236, O$6, $C$4, "fill=true")))</f>
        <v/>
      </c>
      <c r="P236" s="101" t="str">
        <f ca="1">IF($B236="", "", IF(_xll.IMDP("IR", $B236, P$6, $C$4, "fill=true")=0, "", _xll.IMDP("IR", $B236, P$6, $C$4, "fill=true")))</f>
        <v/>
      </c>
      <c r="Q236" s="102" t="str">
        <f ca="1">IF($B236="", "", IF(_xll.IMDP("IR", $B236, Q$6, $C$4, "fill=true")=0, "", _xll.IMDP("IR", $B236, Q$6, $C$4, "fill=true")))</f>
        <v/>
      </c>
    </row>
    <row r="237" spans="2:17">
      <c r="B237" s="83" t="str">
        <f ca="1">IFERROR( VLOOKUP(ROW()-ROW($B$6), code!$G$51:$K$1483, 5, 0), "")</f>
        <v/>
      </c>
      <c r="C237" s="96" t="str">
        <f ca="1">IF($B237="", "", _xll.IMDP("IR", $B237, "1일", $C$4, "fill=true, disp=date"))</f>
        <v/>
      </c>
      <c r="D237" s="97" t="str">
        <f ca="1">IF($B237="", "", VLOOKUP(ROW()-ROW($B$6), code!$G$51:$K$1483, 2, 0) )</f>
        <v/>
      </c>
      <c r="E237" s="98" t="str">
        <f ca="1">IF($B237="", "", VLOOKUP(ROW()-ROW($B$6), code!$G$51:$K$1483, 3, 0) )</f>
        <v/>
      </c>
      <c r="F237" s="99" t="str">
        <f ca="1">IF($B237="", "", VLOOKUP(ROW()-ROW($B$6), code!$G$51:$K$1483, 4, 0))</f>
        <v/>
      </c>
      <c r="G237" s="100" t="str">
        <f ca="1">IF($B237="", "", IF(_xll.IMDP("IR", $B237, G$6, $C$4, "fill=true")=0, "", _xll.IMDP("IR", $B237, G$6, $C$4, "fill=true")))</f>
        <v/>
      </c>
      <c r="H237" s="101" t="str">
        <f ca="1">IF($B237="", "", IF(_xll.IMDP("IR", $B237, H$6, $C$4, "fill=true")=0, "", _xll.IMDP("IR", $B237, H$6, $C$4, "fill=true")))</f>
        <v/>
      </c>
      <c r="I237" s="101" t="str">
        <f ca="1">IF($B237="", "", IF(_xll.IMDP("IR", $B237, I$6, $C$4, "fill=true")=0, "", _xll.IMDP("IR", $B237, I$6, $C$4, "fill=true")))</f>
        <v/>
      </c>
      <c r="J237" s="101" t="str">
        <f ca="1">IF($B237="", "", IF(_xll.IMDP("IR", $B237, J$6, $C$4, "fill=true")=0, "", _xll.IMDP("IR", $B237, J$6, $C$4, "fill=true")))</f>
        <v/>
      </c>
      <c r="K237" s="101" t="str">
        <f ca="1">IF($B237="", "", IF(_xll.IMDP("IR", $B237, K$6, $C$4, "fill=true")=0, "", _xll.IMDP("IR", $B237, K$6, $C$4, "fill=true")))</f>
        <v/>
      </c>
      <c r="L237" s="101" t="str">
        <f ca="1">IF($B237="", "", IF(_xll.IMDP("IR", $B237, L$6, $C$4, "fill=true")=0, "", _xll.IMDP("IR", $B237, L$6, $C$4, "fill=true")))</f>
        <v/>
      </c>
      <c r="M237" s="101" t="str">
        <f ca="1">IF($B237="", "", IF(_xll.IMDP("IR", $B237, M$6, $C$4, "fill=true")=0, "", _xll.IMDP("IR", $B237, M$6, $C$4, "fill=true")))</f>
        <v/>
      </c>
      <c r="N237" s="101" t="str">
        <f ca="1">IF($B237="", "", IF(_xll.IMDP("IR", $B237, N$6, $C$4, "fill=true")=0, "", _xll.IMDP("IR", $B237, N$6, $C$4, "fill=true")))</f>
        <v/>
      </c>
      <c r="O237" s="101" t="str">
        <f ca="1">IF($B237="", "", IF(_xll.IMDP("IR", $B237, O$6, $C$4, "fill=true")=0, "", _xll.IMDP("IR", $B237, O$6, $C$4, "fill=true")))</f>
        <v/>
      </c>
      <c r="P237" s="101" t="str">
        <f ca="1">IF($B237="", "", IF(_xll.IMDP("IR", $B237, P$6, $C$4, "fill=true")=0, "", _xll.IMDP("IR", $B237, P$6, $C$4, "fill=true")))</f>
        <v/>
      </c>
      <c r="Q237" s="102" t="str">
        <f ca="1">IF($B237="", "", IF(_xll.IMDP("IR", $B237, Q$6, $C$4, "fill=true")=0, "", _xll.IMDP("IR", $B237, Q$6, $C$4, "fill=true")))</f>
        <v/>
      </c>
    </row>
    <row r="238" spans="2:17">
      <c r="B238" s="83" t="str">
        <f ca="1">IFERROR( VLOOKUP(ROW()-ROW($B$6), code!$G$51:$K$1483, 5, 0), "")</f>
        <v/>
      </c>
      <c r="C238" s="96" t="str">
        <f ca="1">IF($B238="", "", _xll.IMDP("IR", $B238, "1일", $C$4, "fill=true, disp=date"))</f>
        <v/>
      </c>
      <c r="D238" s="97" t="str">
        <f ca="1">IF($B238="", "", VLOOKUP(ROW()-ROW($B$6), code!$G$51:$K$1483, 2, 0) )</f>
        <v/>
      </c>
      <c r="E238" s="98" t="str">
        <f ca="1">IF($B238="", "", VLOOKUP(ROW()-ROW($B$6), code!$G$51:$K$1483, 3, 0) )</f>
        <v/>
      </c>
      <c r="F238" s="99" t="str">
        <f ca="1">IF($B238="", "", VLOOKUP(ROW()-ROW($B$6), code!$G$51:$K$1483, 4, 0))</f>
        <v/>
      </c>
      <c r="G238" s="100" t="str">
        <f ca="1">IF($B238="", "", IF(_xll.IMDP("IR", $B238, G$6, $C$4, "fill=true")=0, "", _xll.IMDP("IR", $B238, G$6, $C$4, "fill=true")))</f>
        <v/>
      </c>
      <c r="H238" s="101" t="str">
        <f ca="1">IF($B238="", "", IF(_xll.IMDP("IR", $B238, H$6, $C$4, "fill=true")=0, "", _xll.IMDP("IR", $B238, H$6, $C$4, "fill=true")))</f>
        <v/>
      </c>
      <c r="I238" s="101" t="str">
        <f ca="1">IF($B238="", "", IF(_xll.IMDP("IR", $B238, I$6, $C$4, "fill=true")=0, "", _xll.IMDP("IR", $B238, I$6, $C$4, "fill=true")))</f>
        <v/>
      </c>
      <c r="J238" s="101" t="str">
        <f ca="1">IF($B238="", "", IF(_xll.IMDP("IR", $B238, J$6, $C$4, "fill=true")=0, "", _xll.IMDP("IR", $B238, J$6, $C$4, "fill=true")))</f>
        <v/>
      </c>
      <c r="K238" s="101" t="str">
        <f ca="1">IF($B238="", "", IF(_xll.IMDP("IR", $B238, K$6, $C$4, "fill=true")=0, "", _xll.IMDP("IR", $B238, K$6, $C$4, "fill=true")))</f>
        <v/>
      </c>
      <c r="L238" s="101" t="str">
        <f ca="1">IF($B238="", "", IF(_xll.IMDP("IR", $B238, L$6, $C$4, "fill=true")=0, "", _xll.IMDP("IR", $B238, L$6, $C$4, "fill=true")))</f>
        <v/>
      </c>
      <c r="M238" s="101" t="str">
        <f ca="1">IF($B238="", "", IF(_xll.IMDP("IR", $B238, M$6, $C$4, "fill=true")=0, "", _xll.IMDP("IR", $B238, M$6, $C$4, "fill=true")))</f>
        <v/>
      </c>
      <c r="N238" s="101" t="str">
        <f ca="1">IF($B238="", "", IF(_xll.IMDP("IR", $B238, N$6, $C$4, "fill=true")=0, "", _xll.IMDP("IR", $B238, N$6, $C$4, "fill=true")))</f>
        <v/>
      </c>
      <c r="O238" s="101" t="str">
        <f ca="1">IF($B238="", "", IF(_xll.IMDP("IR", $B238, O$6, $C$4, "fill=true")=0, "", _xll.IMDP("IR", $B238, O$6, $C$4, "fill=true")))</f>
        <v/>
      </c>
      <c r="P238" s="101" t="str">
        <f ca="1">IF($B238="", "", IF(_xll.IMDP("IR", $B238, P$6, $C$4, "fill=true")=0, "", _xll.IMDP("IR", $B238, P$6, $C$4, "fill=true")))</f>
        <v/>
      </c>
      <c r="Q238" s="102" t="str">
        <f ca="1">IF($B238="", "", IF(_xll.IMDP("IR", $B238, Q$6, $C$4, "fill=true")=0, "", _xll.IMDP("IR", $B238, Q$6, $C$4, "fill=true")))</f>
        <v/>
      </c>
    </row>
    <row r="239" spans="2:17">
      <c r="B239" s="83" t="str">
        <f ca="1">IFERROR( VLOOKUP(ROW()-ROW($B$6), code!$G$51:$K$1483, 5, 0), "")</f>
        <v/>
      </c>
      <c r="C239" s="96" t="str">
        <f ca="1">IF($B239="", "", _xll.IMDP("IR", $B239, "1일", $C$4, "fill=true, disp=date"))</f>
        <v/>
      </c>
      <c r="D239" s="97" t="str">
        <f ca="1">IF($B239="", "", VLOOKUP(ROW()-ROW($B$6), code!$G$51:$K$1483, 2, 0) )</f>
        <v/>
      </c>
      <c r="E239" s="98" t="str">
        <f ca="1">IF($B239="", "", VLOOKUP(ROW()-ROW($B$6), code!$G$51:$K$1483, 3, 0) )</f>
        <v/>
      </c>
      <c r="F239" s="99" t="str">
        <f ca="1">IF($B239="", "", VLOOKUP(ROW()-ROW($B$6), code!$G$51:$K$1483, 4, 0))</f>
        <v/>
      </c>
      <c r="G239" s="100" t="str">
        <f ca="1">IF($B239="", "", IF(_xll.IMDP("IR", $B239, G$6, $C$4, "fill=true")=0, "", _xll.IMDP("IR", $B239, G$6, $C$4, "fill=true")))</f>
        <v/>
      </c>
      <c r="H239" s="101" t="str">
        <f ca="1">IF($B239="", "", IF(_xll.IMDP("IR", $B239, H$6, $C$4, "fill=true")=0, "", _xll.IMDP("IR", $B239, H$6, $C$4, "fill=true")))</f>
        <v/>
      </c>
      <c r="I239" s="101" t="str">
        <f ca="1">IF($B239="", "", IF(_xll.IMDP("IR", $B239, I$6, $C$4, "fill=true")=0, "", _xll.IMDP("IR", $B239, I$6, $C$4, "fill=true")))</f>
        <v/>
      </c>
      <c r="J239" s="101" t="str">
        <f ca="1">IF($B239="", "", IF(_xll.IMDP("IR", $B239, J$6, $C$4, "fill=true")=0, "", _xll.IMDP("IR", $B239, J$6, $C$4, "fill=true")))</f>
        <v/>
      </c>
      <c r="K239" s="101" t="str">
        <f ca="1">IF($B239="", "", IF(_xll.IMDP("IR", $B239, K$6, $C$4, "fill=true")=0, "", _xll.IMDP("IR", $B239, K$6, $C$4, "fill=true")))</f>
        <v/>
      </c>
      <c r="L239" s="101" t="str">
        <f ca="1">IF($B239="", "", IF(_xll.IMDP("IR", $B239, L$6, $C$4, "fill=true")=0, "", _xll.IMDP("IR", $B239, L$6, $C$4, "fill=true")))</f>
        <v/>
      </c>
      <c r="M239" s="101" t="str">
        <f ca="1">IF($B239="", "", IF(_xll.IMDP("IR", $B239, M$6, $C$4, "fill=true")=0, "", _xll.IMDP("IR", $B239, M$6, $C$4, "fill=true")))</f>
        <v/>
      </c>
      <c r="N239" s="101" t="str">
        <f ca="1">IF($B239="", "", IF(_xll.IMDP("IR", $B239, N$6, $C$4, "fill=true")=0, "", _xll.IMDP("IR", $B239, N$6, $C$4, "fill=true")))</f>
        <v/>
      </c>
      <c r="O239" s="101" t="str">
        <f ca="1">IF($B239="", "", IF(_xll.IMDP("IR", $B239, O$6, $C$4, "fill=true")=0, "", _xll.IMDP("IR", $B239, O$6, $C$4, "fill=true")))</f>
        <v/>
      </c>
      <c r="P239" s="101" t="str">
        <f ca="1">IF($B239="", "", IF(_xll.IMDP("IR", $B239, P$6, $C$4, "fill=true")=0, "", _xll.IMDP("IR", $B239, P$6, $C$4, "fill=true")))</f>
        <v/>
      </c>
      <c r="Q239" s="102" t="str">
        <f ca="1">IF($B239="", "", IF(_xll.IMDP("IR", $B239, Q$6, $C$4, "fill=true")=0, "", _xll.IMDP("IR", $B239, Q$6, $C$4, "fill=true")))</f>
        <v/>
      </c>
    </row>
    <row r="240" spans="2:17">
      <c r="B240" s="83" t="str">
        <f ca="1">IFERROR( VLOOKUP(ROW()-ROW($B$6), code!$G$51:$K$1483, 5, 0), "")</f>
        <v/>
      </c>
      <c r="C240" s="96" t="str">
        <f ca="1">IF($B240="", "", _xll.IMDP("IR", $B240, "1일", $C$4, "fill=true, disp=date"))</f>
        <v/>
      </c>
      <c r="D240" s="97" t="str">
        <f ca="1">IF($B240="", "", VLOOKUP(ROW()-ROW($B$6), code!$G$51:$K$1483, 2, 0) )</f>
        <v/>
      </c>
      <c r="E240" s="98" t="str">
        <f ca="1">IF($B240="", "", VLOOKUP(ROW()-ROW($B$6), code!$G$51:$K$1483, 3, 0) )</f>
        <v/>
      </c>
      <c r="F240" s="99" t="str">
        <f ca="1">IF($B240="", "", VLOOKUP(ROW()-ROW($B$6), code!$G$51:$K$1483, 4, 0))</f>
        <v/>
      </c>
      <c r="G240" s="100" t="str">
        <f ca="1">IF($B240="", "", IF(_xll.IMDP("IR", $B240, G$6, $C$4, "fill=true")=0, "", _xll.IMDP("IR", $B240, G$6, $C$4, "fill=true")))</f>
        <v/>
      </c>
      <c r="H240" s="101" t="str">
        <f ca="1">IF($B240="", "", IF(_xll.IMDP("IR", $B240, H$6, $C$4, "fill=true")=0, "", _xll.IMDP("IR", $B240, H$6, $C$4, "fill=true")))</f>
        <v/>
      </c>
      <c r="I240" s="101" t="str">
        <f ca="1">IF($B240="", "", IF(_xll.IMDP("IR", $B240, I$6, $C$4, "fill=true")=0, "", _xll.IMDP("IR", $B240, I$6, $C$4, "fill=true")))</f>
        <v/>
      </c>
      <c r="J240" s="101" t="str">
        <f ca="1">IF($B240="", "", IF(_xll.IMDP("IR", $B240, J$6, $C$4, "fill=true")=0, "", _xll.IMDP("IR", $B240, J$6, $C$4, "fill=true")))</f>
        <v/>
      </c>
      <c r="K240" s="101" t="str">
        <f ca="1">IF($B240="", "", IF(_xll.IMDP("IR", $B240, K$6, $C$4, "fill=true")=0, "", _xll.IMDP("IR", $B240, K$6, $C$4, "fill=true")))</f>
        <v/>
      </c>
      <c r="L240" s="101" t="str">
        <f ca="1">IF($B240="", "", IF(_xll.IMDP("IR", $B240, L$6, $C$4, "fill=true")=0, "", _xll.IMDP("IR", $B240, L$6, $C$4, "fill=true")))</f>
        <v/>
      </c>
      <c r="M240" s="101" t="str">
        <f ca="1">IF($B240="", "", IF(_xll.IMDP("IR", $B240, M$6, $C$4, "fill=true")=0, "", _xll.IMDP("IR", $B240, M$6, $C$4, "fill=true")))</f>
        <v/>
      </c>
      <c r="N240" s="101" t="str">
        <f ca="1">IF($B240="", "", IF(_xll.IMDP("IR", $B240, N$6, $C$4, "fill=true")=0, "", _xll.IMDP("IR", $B240, N$6, $C$4, "fill=true")))</f>
        <v/>
      </c>
      <c r="O240" s="101" t="str">
        <f ca="1">IF($B240="", "", IF(_xll.IMDP("IR", $B240, O$6, $C$4, "fill=true")=0, "", _xll.IMDP("IR", $B240, O$6, $C$4, "fill=true")))</f>
        <v/>
      </c>
      <c r="P240" s="101" t="str">
        <f ca="1">IF($B240="", "", IF(_xll.IMDP("IR", $B240, P$6, $C$4, "fill=true")=0, "", _xll.IMDP("IR", $B240, P$6, $C$4, "fill=true")))</f>
        <v/>
      </c>
      <c r="Q240" s="102" t="str">
        <f ca="1">IF($B240="", "", IF(_xll.IMDP("IR", $B240, Q$6, $C$4, "fill=true")=0, "", _xll.IMDP("IR", $B240, Q$6, $C$4, "fill=true")))</f>
        <v/>
      </c>
    </row>
    <row r="241" spans="2:17">
      <c r="B241" s="83" t="str">
        <f ca="1">IFERROR( VLOOKUP(ROW()-ROW($B$6), code!$G$51:$K$1483, 5, 0), "")</f>
        <v/>
      </c>
      <c r="C241" s="96" t="str">
        <f ca="1">IF($B241="", "", _xll.IMDP("IR", $B241, "1일", $C$4, "fill=true, disp=date"))</f>
        <v/>
      </c>
      <c r="D241" s="97" t="str">
        <f ca="1">IF($B241="", "", VLOOKUP(ROW()-ROW($B$6), code!$G$51:$K$1483, 2, 0) )</f>
        <v/>
      </c>
      <c r="E241" s="98" t="str">
        <f ca="1">IF($B241="", "", VLOOKUP(ROW()-ROW($B$6), code!$G$51:$K$1483, 3, 0) )</f>
        <v/>
      </c>
      <c r="F241" s="99" t="str">
        <f ca="1">IF($B241="", "", VLOOKUP(ROW()-ROW($B$6), code!$G$51:$K$1483, 4, 0))</f>
        <v/>
      </c>
      <c r="G241" s="100" t="str">
        <f ca="1">IF($B241="", "", IF(_xll.IMDP("IR", $B241, G$6, $C$4, "fill=true")=0, "", _xll.IMDP("IR", $B241, G$6, $C$4, "fill=true")))</f>
        <v/>
      </c>
      <c r="H241" s="101" t="str">
        <f ca="1">IF($B241="", "", IF(_xll.IMDP("IR", $B241, H$6, $C$4, "fill=true")=0, "", _xll.IMDP("IR", $B241, H$6, $C$4, "fill=true")))</f>
        <v/>
      </c>
      <c r="I241" s="101" t="str">
        <f ca="1">IF($B241="", "", IF(_xll.IMDP("IR", $B241, I$6, $C$4, "fill=true")=0, "", _xll.IMDP("IR", $B241, I$6, $C$4, "fill=true")))</f>
        <v/>
      </c>
      <c r="J241" s="101" t="str">
        <f ca="1">IF($B241="", "", IF(_xll.IMDP("IR", $B241, J$6, $C$4, "fill=true")=0, "", _xll.IMDP("IR", $B241, J$6, $C$4, "fill=true")))</f>
        <v/>
      </c>
      <c r="K241" s="101" t="str">
        <f ca="1">IF($B241="", "", IF(_xll.IMDP("IR", $B241, K$6, $C$4, "fill=true")=0, "", _xll.IMDP("IR", $B241, K$6, $C$4, "fill=true")))</f>
        <v/>
      </c>
      <c r="L241" s="101" t="str">
        <f ca="1">IF($B241="", "", IF(_xll.IMDP("IR", $B241, L$6, $C$4, "fill=true")=0, "", _xll.IMDP("IR", $B241, L$6, $C$4, "fill=true")))</f>
        <v/>
      </c>
      <c r="M241" s="101" t="str">
        <f ca="1">IF($B241="", "", IF(_xll.IMDP("IR", $B241, M$6, $C$4, "fill=true")=0, "", _xll.IMDP("IR", $B241, M$6, $C$4, "fill=true")))</f>
        <v/>
      </c>
      <c r="N241" s="101" t="str">
        <f ca="1">IF($B241="", "", IF(_xll.IMDP("IR", $B241, N$6, $C$4, "fill=true")=0, "", _xll.IMDP("IR", $B241, N$6, $C$4, "fill=true")))</f>
        <v/>
      </c>
      <c r="O241" s="101" t="str">
        <f ca="1">IF($B241="", "", IF(_xll.IMDP("IR", $B241, O$6, $C$4, "fill=true")=0, "", _xll.IMDP("IR", $B241, O$6, $C$4, "fill=true")))</f>
        <v/>
      </c>
      <c r="P241" s="101" t="str">
        <f ca="1">IF($B241="", "", IF(_xll.IMDP("IR", $B241, P$6, $C$4, "fill=true")=0, "", _xll.IMDP("IR", $B241, P$6, $C$4, "fill=true")))</f>
        <v/>
      </c>
      <c r="Q241" s="102" t="str">
        <f ca="1">IF($B241="", "", IF(_xll.IMDP("IR", $B241, Q$6, $C$4, "fill=true")=0, "", _xll.IMDP("IR", $B241, Q$6, $C$4, "fill=true")))</f>
        <v/>
      </c>
    </row>
    <row r="242" spans="2:17">
      <c r="B242" s="83" t="str">
        <f ca="1">IFERROR( VLOOKUP(ROW()-ROW($B$6), code!$G$51:$K$1483, 5, 0), "")</f>
        <v/>
      </c>
      <c r="C242" s="96" t="str">
        <f ca="1">IF($B242="", "", _xll.IMDP("IR", $B242, "1일", $C$4, "fill=true, disp=date"))</f>
        <v/>
      </c>
      <c r="D242" s="97" t="str">
        <f ca="1">IF($B242="", "", VLOOKUP(ROW()-ROW($B$6), code!$G$51:$K$1483, 2, 0) )</f>
        <v/>
      </c>
      <c r="E242" s="98" t="str">
        <f ca="1">IF($B242="", "", VLOOKUP(ROW()-ROW($B$6), code!$G$51:$K$1483, 3, 0) )</f>
        <v/>
      </c>
      <c r="F242" s="99" t="str">
        <f ca="1">IF($B242="", "", VLOOKUP(ROW()-ROW($B$6), code!$G$51:$K$1483, 4, 0))</f>
        <v/>
      </c>
      <c r="G242" s="100" t="str">
        <f ca="1">IF($B242="", "", IF(_xll.IMDP("IR", $B242, G$6, $C$4, "fill=true")=0, "", _xll.IMDP("IR", $B242, G$6, $C$4, "fill=true")))</f>
        <v/>
      </c>
      <c r="H242" s="101" t="str">
        <f ca="1">IF($B242="", "", IF(_xll.IMDP("IR", $B242, H$6, $C$4, "fill=true")=0, "", _xll.IMDP("IR", $B242, H$6, $C$4, "fill=true")))</f>
        <v/>
      </c>
      <c r="I242" s="101" t="str">
        <f ca="1">IF($B242="", "", IF(_xll.IMDP("IR", $B242, I$6, $C$4, "fill=true")=0, "", _xll.IMDP("IR", $B242, I$6, $C$4, "fill=true")))</f>
        <v/>
      </c>
      <c r="J242" s="101" t="str">
        <f ca="1">IF($B242="", "", IF(_xll.IMDP("IR", $B242, J$6, $C$4, "fill=true")=0, "", _xll.IMDP("IR", $B242, J$6, $C$4, "fill=true")))</f>
        <v/>
      </c>
      <c r="K242" s="101" t="str">
        <f ca="1">IF($B242="", "", IF(_xll.IMDP("IR", $B242, K$6, $C$4, "fill=true")=0, "", _xll.IMDP("IR", $B242, K$6, $C$4, "fill=true")))</f>
        <v/>
      </c>
      <c r="L242" s="101" t="str">
        <f ca="1">IF($B242="", "", IF(_xll.IMDP("IR", $B242, L$6, $C$4, "fill=true")=0, "", _xll.IMDP("IR", $B242, L$6, $C$4, "fill=true")))</f>
        <v/>
      </c>
      <c r="M242" s="101" t="str">
        <f ca="1">IF($B242="", "", IF(_xll.IMDP("IR", $B242, M$6, $C$4, "fill=true")=0, "", _xll.IMDP("IR", $B242, M$6, $C$4, "fill=true")))</f>
        <v/>
      </c>
      <c r="N242" s="101" t="str">
        <f ca="1">IF($B242="", "", IF(_xll.IMDP("IR", $B242, N$6, $C$4, "fill=true")=0, "", _xll.IMDP("IR", $B242, N$6, $C$4, "fill=true")))</f>
        <v/>
      </c>
      <c r="O242" s="101" t="str">
        <f ca="1">IF($B242="", "", IF(_xll.IMDP("IR", $B242, O$6, $C$4, "fill=true")=0, "", _xll.IMDP("IR", $B242, O$6, $C$4, "fill=true")))</f>
        <v/>
      </c>
      <c r="P242" s="101" t="str">
        <f ca="1">IF($B242="", "", IF(_xll.IMDP("IR", $B242, P$6, $C$4, "fill=true")=0, "", _xll.IMDP("IR", $B242, P$6, $C$4, "fill=true")))</f>
        <v/>
      </c>
      <c r="Q242" s="102" t="str">
        <f ca="1">IF($B242="", "", IF(_xll.IMDP("IR", $B242, Q$6, $C$4, "fill=true")=0, "", _xll.IMDP("IR", $B242, Q$6, $C$4, "fill=true")))</f>
        <v/>
      </c>
    </row>
    <row r="243" spans="2:17">
      <c r="B243" s="83" t="str">
        <f ca="1">IFERROR( VLOOKUP(ROW()-ROW($B$6), code!$G$51:$K$1483, 5, 0), "")</f>
        <v/>
      </c>
      <c r="C243" s="96" t="str">
        <f ca="1">IF($B243="", "", _xll.IMDP("IR", $B243, "1일", $C$4, "fill=true, disp=date"))</f>
        <v/>
      </c>
      <c r="D243" s="97" t="str">
        <f ca="1">IF($B243="", "", VLOOKUP(ROW()-ROW($B$6), code!$G$51:$K$1483, 2, 0) )</f>
        <v/>
      </c>
      <c r="E243" s="98" t="str">
        <f ca="1">IF($B243="", "", VLOOKUP(ROW()-ROW($B$6), code!$G$51:$K$1483, 3, 0) )</f>
        <v/>
      </c>
      <c r="F243" s="99" t="str">
        <f ca="1">IF($B243="", "", VLOOKUP(ROW()-ROW($B$6), code!$G$51:$K$1483, 4, 0))</f>
        <v/>
      </c>
      <c r="G243" s="100" t="str">
        <f ca="1">IF($B243="", "", IF(_xll.IMDP("IR", $B243, G$6, $C$4, "fill=true")=0, "", _xll.IMDP("IR", $B243, G$6, $C$4, "fill=true")))</f>
        <v/>
      </c>
      <c r="H243" s="101" t="str">
        <f ca="1">IF($B243="", "", IF(_xll.IMDP("IR", $B243, H$6, $C$4, "fill=true")=0, "", _xll.IMDP("IR", $B243, H$6, $C$4, "fill=true")))</f>
        <v/>
      </c>
      <c r="I243" s="101" t="str">
        <f ca="1">IF($B243="", "", IF(_xll.IMDP("IR", $B243, I$6, $C$4, "fill=true")=0, "", _xll.IMDP("IR", $B243, I$6, $C$4, "fill=true")))</f>
        <v/>
      </c>
      <c r="J243" s="101" t="str">
        <f ca="1">IF($B243="", "", IF(_xll.IMDP("IR", $B243, J$6, $C$4, "fill=true")=0, "", _xll.IMDP("IR", $B243, J$6, $C$4, "fill=true")))</f>
        <v/>
      </c>
      <c r="K243" s="101" t="str">
        <f ca="1">IF($B243="", "", IF(_xll.IMDP("IR", $B243, K$6, $C$4, "fill=true")=0, "", _xll.IMDP("IR", $B243, K$6, $C$4, "fill=true")))</f>
        <v/>
      </c>
      <c r="L243" s="101" t="str">
        <f ca="1">IF($B243="", "", IF(_xll.IMDP("IR", $B243, L$6, $C$4, "fill=true")=0, "", _xll.IMDP("IR", $B243, L$6, $C$4, "fill=true")))</f>
        <v/>
      </c>
      <c r="M243" s="101" t="str">
        <f ca="1">IF($B243="", "", IF(_xll.IMDP("IR", $B243, M$6, $C$4, "fill=true")=0, "", _xll.IMDP("IR", $B243, M$6, $C$4, "fill=true")))</f>
        <v/>
      </c>
      <c r="N243" s="101" t="str">
        <f ca="1">IF($B243="", "", IF(_xll.IMDP("IR", $B243, N$6, $C$4, "fill=true")=0, "", _xll.IMDP("IR", $B243, N$6, $C$4, "fill=true")))</f>
        <v/>
      </c>
      <c r="O243" s="101" t="str">
        <f ca="1">IF($B243="", "", IF(_xll.IMDP("IR", $B243, O$6, $C$4, "fill=true")=0, "", _xll.IMDP("IR", $B243, O$6, $C$4, "fill=true")))</f>
        <v/>
      </c>
      <c r="P243" s="101" t="str">
        <f ca="1">IF($B243="", "", IF(_xll.IMDP("IR", $B243, P$6, $C$4, "fill=true")=0, "", _xll.IMDP("IR", $B243, P$6, $C$4, "fill=true")))</f>
        <v/>
      </c>
      <c r="Q243" s="102" t="str">
        <f ca="1">IF($B243="", "", IF(_xll.IMDP("IR", $B243, Q$6, $C$4, "fill=true")=0, "", _xll.IMDP("IR", $B243, Q$6, $C$4, "fill=true")))</f>
        <v/>
      </c>
    </row>
    <row r="244" spans="2:17">
      <c r="B244" s="83" t="str">
        <f ca="1">IFERROR( VLOOKUP(ROW()-ROW($B$6), code!$G$51:$K$1483, 5, 0), "")</f>
        <v/>
      </c>
      <c r="C244" s="96" t="str">
        <f ca="1">IF($B244="", "", _xll.IMDP("IR", $B244, "1일", $C$4, "fill=true, disp=date"))</f>
        <v/>
      </c>
      <c r="D244" s="97" t="str">
        <f ca="1">IF($B244="", "", VLOOKUP(ROW()-ROW($B$6), code!$G$51:$K$1483, 2, 0) )</f>
        <v/>
      </c>
      <c r="E244" s="98" t="str">
        <f ca="1">IF($B244="", "", VLOOKUP(ROW()-ROW($B$6), code!$G$51:$K$1483, 3, 0) )</f>
        <v/>
      </c>
      <c r="F244" s="99" t="str">
        <f ca="1">IF($B244="", "", VLOOKUP(ROW()-ROW($B$6), code!$G$51:$K$1483, 4, 0))</f>
        <v/>
      </c>
      <c r="G244" s="100" t="str">
        <f ca="1">IF($B244="", "", IF(_xll.IMDP("IR", $B244, G$6, $C$4, "fill=true")=0, "", _xll.IMDP("IR", $B244, G$6, $C$4, "fill=true")))</f>
        <v/>
      </c>
      <c r="H244" s="101" t="str">
        <f ca="1">IF($B244="", "", IF(_xll.IMDP("IR", $B244, H$6, $C$4, "fill=true")=0, "", _xll.IMDP("IR", $B244, H$6, $C$4, "fill=true")))</f>
        <v/>
      </c>
      <c r="I244" s="101" t="str">
        <f ca="1">IF($B244="", "", IF(_xll.IMDP("IR", $B244, I$6, $C$4, "fill=true")=0, "", _xll.IMDP("IR", $B244, I$6, $C$4, "fill=true")))</f>
        <v/>
      </c>
      <c r="J244" s="101" t="str">
        <f ca="1">IF($B244="", "", IF(_xll.IMDP("IR", $B244, J$6, $C$4, "fill=true")=0, "", _xll.IMDP("IR", $B244, J$6, $C$4, "fill=true")))</f>
        <v/>
      </c>
      <c r="K244" s="101" t="str">
        <f ca="1">IF($B244="", "", IF(_xll.IMDP("IR", $B244, K$6, $C$4, "fill=true")=0, "", _xll.IMDP("IR", $B244, K$6, $C$4, "fill=true")))</f>
        <v/>
      </c>
      <c r="L244" s="101" t="str">
        <f ca="1">IF($B244="", "", IF(_xll.IMDP("IR", $B244, L$6, $C$4, "fill=true")=0, "", _xll.IMDP("IR", $B244, L$6, $C$4, "fill=true")))</f>
        <v/>
      </c>
      <c r="M244" s="101" t="str">
        <f ca="1">IF($B244="", "", IF(_xll.IMDP("IR", $B244, M$6, $C$4, "fill=true")=0, "", _xll.IMDP("IR", $B244, M$6, $C$4, "fill=true")))</f>
        <v/>
      </c>
      <c r="N244" s="101" t="str">
        <f ca="1">IF($B244="", "", IF(_xll.IMDP("IR", $B244, N$6, $C$4, "fill=true")=0, "", _xll.IMDP("IR", $B244, N$6, $C$4, "fill=true")))</f>
        <v/>
      </c>
      <c r="O244" s="101" t="str">
        <f ca="1">IF($B244="", "", IF(_xll.IMDP("IR", $B244, O$6, $C$4, "fill=true")=0, "", _xll.IMDP("IR", $B244, O$6, $C$4, "fill=true")))</f>
        <v/>
      </c>
      <c r="P244" s="101" t="str">
        <f ca="1">IF($B244="", "", IF(_xll.IMDP("IR", $B244, P$6, $C$4, "fill=true")=0, "", _xll.IMDP("IR", $B244, P$6, $C$4, "fill=true")))</f>
        <v/>
      </c>
      <c r="Q244" s="102" t="str">
        <f ca="1">IF($B244="", "", IF(_xll.IMDP("IR", $B244, Q$6, $C$4, "fill=true")=0, "", _xll.IMDP("IR", $B244, Q$6, $C$4, "fill=true")))</f>
        <v/>
      </c>
    </row>
    <row r="245" spans="2:17">
      <c r="B245" s="83" t="str">
        <f ca="1">IFERROR( VLOOKUP(ROW()-ROW($B$6), code!$G$51:$K$1483, 5, 0), "")</f>
        <v/>
      </c>
      <c r="C245" s="96" t="str">
        <f ca="1">IF($B245="", "", _xll.IMDP("IR", $B245, "1일", $C$4, "fill=true, disp=date"))</f>
        <v/>
      </c>
      <c r="D245" s="97" t="str">
        <f ca="1">IF($B245="", "", VLOOKUP(ROW()-ROW($B$6), code!$G$51:$K$1483, 2, 0) )</f>
        <v/>
      </c>
      <c r="E245" s="98" t="str">
        <f ca="1">IF($B245="", "", VLOOKUP(ROW()-ROW($B$6), code!$G$51:$K$1483, 3, 0) )</f>
        <v/>
      </c>
      <c r="F245" s="99" t="str">
        <f ca="1">IF($B245="", "", VLOOKUP(ROW()-ROW($B$6), code!$G$51:$K$1483, 4, 0))</f>
        <v/>
      </c>
      <c r="G245" s="100" t="str">
        <f ca="1">IF($B245="", "", IF(_xll.IMDP("IR", $B245, G$6, $C$4, "fill=true")=0, "", _xll.IMDP("IR", $B245, G$6, $C$4, "fill=true")))</f>
        <v/>
      </c>
      <c r="H245" s="101" t="str">
        <f ca="1">IF($B245="", "", IF(_xll.IMDP("IR", $B245, H$6, $C$4, "fill=true")=0, "", _xll.IMDP("IR", $B245, H$6, $C$4, "fill=true")))</f>
        <v/>
      </c>
      <c r="I245" s="101" t="str">
        <f ca="1">IF($B245="", "", IF(_xll.IMDP("IR", $B245, I$6, $C$4, "fill=true")=0, "", _xll.IMDP("IR", $B245, I$6, $C$4, "fill=true")))</f>
        <v/>
      </c>
      <c r="J245" s="101" t="str">
        <f ca="1">IF($B245="", "", IF(_xll.IMDP("IR", $B245, J$6, $C$4, "fill=true")=0, "", _xll.IMDP("IR", $B245, J$6, $C$4, "fill=true")))</f>
        <v/>
      </c>
      <c r="K245" s="101" t="str">
        <f ca="1">IF($B245="", "", IF(_xll.IMDP("IR", $B245, K$6, $C$4, "fill=true")=0, "", _xll.IMDP("IR", $B245, K$6, $C$4, "fill=true")))</f>
        <v/>
      </c>
      <c r="L245" s="101" t="str">
        <f ca="1">IF($B245="", "", IF(_xll.IMDP("IR", $B245, L$6, $C$4, "fill=true")=0, "", _xll.IMDP("IR", $B245, L$6, $C$4, "fill=true")))</f>
        <v/>
      </c>
      <c r="M245" s="101" t="str">
        <f ca="1">IF($B245="", "", IF(_xll.IMDP("IR", $B245, M$6, $C$4, "fill=true")=0, "", _xll.IMDP("IR", $B245, M$6, $C$4, "fill=true")))</f>
        <v/>
      </c>
      <c r="N245" s="101" t="str">
        <f ca="1">IF($B245="", "", IF(_xll.IMDP("IR", $B245, N$6, $C$4, "fill=true")=0, "", _xll.IMDP("IR", $B245, N$6, $C$4, "fill=true")))</f>
        <v/>
      </c>
      <c r="O245" s="101" t="str">
        <f ca="1">IF($B245="", "", IF(_xll.IMDP("IR", $B245, O$6, $C$4, "fill=true")=0, "", _xll.IMDP("IR", $B245, O$6, $C$4, "fill=true")))</f>
        <v/>
      </c>
      <c r="P245" s="101" t="str">
        <f ca="1">IF($B245="", "", IF(_xll.IMDP("IR", $B245, P$6, $C$4, "fill=true")=0, "", _xll.IMDP("IR", $B245, P$6, $C$4, "fill=true")))</f>
        <v/>
      </c>
      <c r="Q245" s="102" t="str">
        <f ca="1">IF($B245="", "", IF(_xll.IMDP("IR", $B245, Q$6, $C$4, "fill=true")=0, "", _xll.IMDP("IR", $B245, Q$6, $C$4, "fill=true")))</f>
        <v/>
      </c>
    </row>
    <row r="246" spans="2:17">
      <c r="B246" s="83" t="str">
        <f ca="1">IFERROR( VLOOKUP(ROW()-ROW($B$6), code!$G$51:$K$1483, 5, 0), "")</f>
        <v/>
      </c>
      <c r="C246" s="96" t="str">
        <f ca="1">IF($B246="", "", _xll.IMDP("IR", $B246, "1일", $C$4, "fill=true, disp=date"))</f>
        <v/>
      </c>
      <c r="D246" s="97" t="str">
        <f ca="1">IF($B246="", "", VLOOKUP(ROW()-ROW($B$6), code!$G$51:$K$1483, 2, 0) )</f>
        <v/>
      </c>
      <c r="E246" s="98" t="str">
        <f ca="1">IF($B246="", "", VLOOKUP(ROW()-ROW($B$6), code!$G$51:$K$1483, 3, 0) )</f>
        <v/>
      </c>
      <c r="F246" s="99" t="str">
        <f ca="1">IF($B246="", "", VLOOKUP(ROW()-ROW($B$6), code!$G$51:$K$1483, 4, 0))</f>
        <v/>
      </c>
      <c r="G246" s="100" t="str">
        <f ca="1">IF($B246="", "", IF(_xll.IMDP("IR", $B246, G$6, $C$4, "fill=true")=0, "", _xll.IMDP("IR", $B246, G$6, $C$4, "fill=true")))</f>
        <v/>
      </c>
      <c r="H246" s="101" t="str">
        <f ca="1">IF($B246="", "", IF(_xll.IMDP("IR", $B246, H$6, $C$4, "fill=true")=0, "", _xll.IMDP("IR", $B246, H$6, $C$4, "fill=true")))</f>
        <v/>
      </c>
      <c r="I246" s="101" t="str">
        <f ca="1">IF($B246="", "", IF(_xll.IMDP("IR", $B246, I$6, $C$4, "fill=true")=0, "", _xll.IMDP("IR", $B246, I$6, $C$4, "fill=true")))</f>
        <v/>
      </c>
      <c r="J246" s="101" t="str">
        <f ca="1">IF($B246="", "", IF(_xll.IMDP("IR", $B246, J$6, $C$4, "fill=true")=0, "", _xll.IMDP("IR", $B246, J$6, $C$4, "fill=true")))</f>
        <v/>
      </c>
      <c r="K246" s="101" t="str">
        <f ca="1">IF($B246="", "", IF(_xll.IMDP("IR", $B246, K$6, $C$4, "fill=true")=0, "", _xll.IMDP("IR", $B246, K$6, $C$4, "fill=true")))</f>
        <v/>
      </c>
      <c r="L246" s="101" t="str">
        <f ca="1">IF($B246="", "", IF(_xll.IMDP("IR", $B246, L$6, $C$4, "fill=true")=0, "", _xll.IMDP("IR", $B246, L$6, $C$4, "fill=true")))</f>
        <v/>
      </c>
      <c r="M246" s="101" t="str">
        <f ca="1">IF($B246="", "", IF(_xll.IMDP("IR", $B246, M$6, $C$4, "fill=true")=0, "", _xll.IMDP("IR", $B246, M$6, $C$4, "fill=true")))</f>
        <v/>
      </c>
      <c r="N246" s="101" t="str">
        <f ca="1">IF($B246="", "", IF(_xll.IMDP("IR", $B246, N$6, $C$4, "fill=true")=0, "", _xll.IMDP("IR", $B246, N$6, $C$4, "fill=true")))</f>
        <v/>
      </c>
      <c r="O246" s="101" t="str">
        <f ca="1">IF($B246="", "", IF(_xll.IMDP("IR", $B246, O$6, $C$4, "fill=true")=0, "", _xll.IMDP("IR", $B246, O$6, $C$4, "fill=true")))</f>
        <v/>
      </c>
      <c r="P246" s="101" t="str">
        <f ca="1">IF($B246="", "", IF(_xll.IMDP("IR", $B246, P$6, $C$4, "fill=true")=0, "", _xll.IMDP("IR", $B246, P$6, $C$4, "fill=true")))</f>
        <v/>
      </c>
      <c r="Q246" s="102" t="str">
        <f ca="1">IF($B246="", "", IF(_xll.IMDP("IR", $B246, Q$6, $C$4, "fill=true")=0, "", _xll.IMDP("IR", $B246, Q$6, $C$4, "fill=true")))</f>
        <v/>
      </c>
    </row>
    <row r="247" spans="2:17">
      <c r="B247" s="83" t="str">
        <f ca="1">IFERROR( VLOOKUP(ROW()-ROW($B$6), code!$G$51:$K$1483, 5, 0), "")</f>
        <v/>
      </c>
      <c r="C247" s="96" t="str">
        <f ca="1">IF($B247="", "", _xll.IMDP("IR", $B247, "1일", $C$4, "fill=true, disp=date"))</f>
        <v/>
      </c>
      <c r="D247" s="97" t="str">
        <f ca="1">IF($B247="", "", VLOOKUP(ROW()-ROW($B$6), code!$G$51:$K$1483, 2, 0) )</f>
        <v/>
      </c>
      <c r="E247" s="98" t="str">
        <f ca="1">IF($B247="", "", VLOOKUP(ROW()-ROW($B$6), code!$G$51:$K$1483, 3, 0) )</f>
        <v/>
      </c>
      <c r="F247" s="99" t="str">
        <f ca="1">IF($B247="", "", VLOOKUP(ROW()-ROW($B$6), code!$G$51:$K$1483, 4, 0))</f>
        <v/>
      </c>
      <c r="G247" s="100" t="str">
        <f ca="1">IF($B247="", "", IF(_xll.IMDP("IR", $B247, G$6, $C$4, "fill=true")=0, "", _xll.IMDP("IR", $B247, G$6, $C$4, "fill=true")))</f>
        <v/>
      </c>
      <c r="H247" s="101" t="str">
        <f ca="1">IF($B247="", "", IF(_xll.IMDP("IR", $B247, H$6, $C$4, "fill=true")=0, "", _xll.IMDP("IR", $B247, H$6, $C$4, "fill=true")))</f>
        <v/>
      </c>
      <c r="I247" s="101" t="str">
        <f ca="1">IF($B247="", "", IF(_xll.IMDP("IR", $B247, I$6, $C$4, "fill=true")=0, "", _xll.IMDP("IR", $B247, I$6, $C$4, "fill=true")))</f>
        <v/>
      </c>
      <c r="J247" s="101" t="str">
        <f ca="1">IF($B247="", "", IF(_xll.IMDP("IR", $B247, J$6, $C$4, "fill=true")=0, "", _xll.IMDP("IR", $B247, J$6, $C$4, "fill=true")))</f>
        <v/>
      </c>
      <c r="K247" s="101" t="str">
        <f ca="1">IF($B247="", "", IF(_xll.IMDP("IR", $B247, K$6, $C$4, "fill=true")=0, "", _xll.IMDP("IR", $B247, K$6, $C$4, "fill=true")))</f>
        <v/>
      </c>
      <c r="L247" s="101" t="str">
        <f ca="1">IF($B247="", "", IF(_xll.IMDP("IR", $B247, L$6, $C$4, "fill=true")=0, "", _xll.IMDP("IR", $B247, L$6, $C$4, "fill=true")))</f>
        <v/>
      </c>
      <c r="M247" s="101" t="str">
        <f ca="1">IF($B247="", "", IF(_xll.IMDP("IR", $B247, M$6, $C$4, "fill=true")=0, "", _xll.IMDP("IR", $B247, M$6, $C$4, "fill=true")))</f>
        <v/>
      </c>
      <c r="N247" s="101" t="str">
        <f ca="1">IF($B247="", "", IF(_xll.IMDP("IR", $B247, N$6, $C$4, "fill=true")=0, "", _xll.IMDP("IR", $B247, N$6, $C$4, "fill=true")))</f>
        <v/>
      </c>
      <c r="O247" s="101" t="str">
        <f ca="1">IF($B247="", "", IF(_xll.IMDP("IR", $B247, O$6, $C$4, "fill=true")=0, "", _xll.IMDP("IR", $B247, O$6, $C$4, "fill=true")))</f>
        <v/>
      </c>
      <c r="P247" s="101" t="str">
        <f ca="1">IF($B247="", "", IF(_xll.IMDP("IR", $B247, P$6, $C$4, "fill=true")=0, "", _xll.IMDP("IR", $B247, P$6, $C$4, "fill=true")))</f>
        <v/>
      </c>
      <c r="Q247" s="102" t="str">
        <f ca="1">IF($B247="", "", IF(_xll.IMDP("IR", $B247, Q$6, $C$4, "fill=true")=0, "", _xll.IMDP("IR", $B247, Q$6, $C$4, "fill=true")))</f>
        <v/>
      </c>
    </row>
    <row r="248" spans="2:17">
      <c r="B248" s="83" t="str">
        <f ca="1">IFERROR( VLOOKUP(ROW()-ROW($B$6), code!$G$51:$K$1483, 5, 0), "")</f>
        <v/>
      </c>
      <c r="C248" s="96" t="str">
        <f ca="1">IF($B248="", "", _xll.IMDP("IR", $B248, "1일", $C$4, "fill=true, disp=date"))</f>
        <v/>
      </c>
      <c r="D248" s="97" t="str">
        <f ca="1">IF($B248="", "", VLOOKUP(ROW()-ROW($B$6), code!$G$51:$K$1483, 2, 0) )</f>
        <v/>
      </c>
      <c r="E248" s="98" t="str">
        <f ca="1">IF($B248="", "", VLOOKUP(ROW()-ROW($B$6), code!$G$51:$K$1483, 3, 0) )</f>
        <v/>
      </c>
      <c r="F248" s="99" t="str">
        <f ca="1">IF($B248="", "", VLOOKUP(ROW()-ROW($B$6), code!$G$51:$K$1483, 4, 0))</f>
        <v/>
      </c>
      <c r="G248" s="100" t="str">
        <f ca="1">IF($B248="", "", IF(_xll.IMDP("IR", $B248, G$6, $C$4, "fill=true")=0, "", _xll.IMDP("IR", $B248, G$6, $C$4, "fill=true")))</f>
        <v/>
      </c>
      <c r="H248" s="101" t="str">
        <f ca="1">IF($B248="", "", IF(_xll.IMDP("IR", $B248, H$6, $C$4, "fill=true")=0, "", _xll.IMDP("IR", $B248, H$6, $C$4, "fill=true")))</f>
        <v/>
      </c>
      <c r="I248" s="101" t="str">
        <f ca="1">IF($B248="", "", IF(_xll.IMDP("IR", $B248, I$6, $C$4, "fill=true")=0, "", _xll.IMDP("IR", $B248, I$6, $C$4, "fill=true")))</f>
        <v/>
      </c>
      <c r="J248" s="101" t="str">
        <f ca="1">IF($B248="", "", IF(_xll.IMDP("IR", $B248, J$6, $C$4, "fill=true")=0, "", _xll.IMDP("IR", $B248, J$6, $C$4, "fill=true")))</f>
        <v/>
      </c>
      <c r="K248" s="101" t="str">
        <f ca="1">IF($B248="", "", IF(_xll.IMDP("IR", $B248, K$6, $C$4, "fill=true")=0, "", _xll.IMDP("IR", $B248, K$6, $C$4, "fill=true")))</f>
        <v/>
      </c>
      <c r="L248" s="101" t="str">
        <f ca="1">IF($B248="", "", IF(_xll.IMDP("IR", $B248, L$6, $C$4, "fill=true")=0, "", _xll.IMDP("IR", $B248, L$6, $C$4, "fill=true")))</f>
        <v/>
      </c>
      <c r="M248" s="101" t="str">
        <f ca="1">IF($B248="", "", IF(_xll.IMDP("IR", $B248, M$6, $C$4, "fill=true")=0, "", _xll.IMDP("IR", $B248, M$6, $C$4, "fill=true")))</f>
        <v/>
      </c>
      <c r="N248" s="101" t="str">
        <f ca="1">IF($B248="", "", IF(_xll.IMDP("IR", $B248, N$6, $C$4, "fill=true")=0, "", _xll.IMDP("IR", $B248, N$6, $C$4, "fill=true")))</f>
        <v/>
      </c>
      <c r="O248" s="101" t="str">
        <f ca="1">IF($B248="", "", IF(_xll.IMDP("IR", $B248, O$6, $C$4, "fill=true")=0, "", _xll.IMDP("IR", $B248, O$6, $C$4, "fill=true")))</f>
        <v/>
      </c>
      <c r="P248" s="101" t="str">
        <f ca="1">IF($B248="", "", IF(_xll.IMDP("IR", $B248, P$6, $C$4, "fill=true")=0, "", _xll.IMDP("IR", $B248, P$6, $C$4, "fill=true")))</f>
        <v/>
      </c>
      <c r="Q248" s="102" t="str">
        <f ca="1">IF($B248="", "", IF(_xll.IMDP("IR", $B248, Q$6, $C$4, "fill=true")=0, "", _xll.IMDP("IR", $B248, Q$6, $C$4, "fill=true")))</f>
        <v/>
      </c>
    </row>
    <row r="249" spans="2:17">
      <c r="B249" s="83" t="str">
        <f ca="1">IFERROR( VLOOKUP(ROW()-ROW($B$6), code!$G$51:$K$1483, 5, 0), "")</f>
        <v/>
      </c>
      <c r="C249" s="96" t="str">
        <f ca="1">IF($B249="", "", _xll.IMDP("IR", $B249, "1일", $C$4, "fill=true, disp=date"))</f>
        <v/>
      </c>
      <c r="D249" s="97" t="str">
        <f ca="1">IF($B249="", "", VLOOKUP(ROW()-ROW($B$6), code!$G$51:$K$1483, 2, 0) )</f>
        <v/>
      </c>
      <c r="E249" s="98" t="str">
        <f ca="1">IF($B249="", "", VLOOKUP(ROW()-ROW($B$6), code!$G$51:$K$1483, 3, 0) )</f>
        <v/>
      </c>
      <c r="F249" s="99" t="str">
        <f ca="1">IF($B249="", "", VLOOKUP(ROW()-ROW($B$6), code!$G$51:$K$1483, 4, 0))</f>
        <v/>
      </c>
      <c r="G249" s="100" t="str">
        <f ca="1">IF($B249="", "", IF(_xll.IMDP("IR", $B249, G$6, $C$4, "fill=true")=0, "", _xll.IMDP("IR", $B249, G$6, $C$4, "fill=true")))</f>
        <v/>
      </c>
      <c r="H249" s="101" t="str">
        <f ca="1">IF($B249="", "", IF(_xll.IMDP("IR", $B249, H$6, $C$4, "fill=true")=0, "", _xll.IMDP("IR", $B249, H$6, $C$4, "fill=true")))</f>
        <v/>
      </c>
      <c r="I249" s="101" t="str">
        <f ca="1">IF($B249="", "", IF(_xll.IMDP("IR", $B249, I$6, $C$4, "fill=true")=0, "", _xll.IMDP("IR", $B249, I$6, $C$4, "fill=true")))</f>
        <v/>
      </c>
      <c r="J249" s="101" t="str">
        <f ca="1">IF($B249="", "", IF(_xll.IMDP("IR", $B249, J$6, $C$4, "fill=true")=0, "", _xll.IMDP("IR", $B249, J$6, $C$4, "fill=true")))</f>
        <v/>
      </c>
      <c r="K249" s="101" t="str">
        <f ca="1">IF($B249="", "", IF(_xll.IMDP("IR", $B249, K$6, $C$4, "fill=true")=0, "", _xll.IMDP("IR", $B249, K$6, $C$4, "fill=true")))</f>
        <v/>
      </c>
      <c r="L249" s="101" t="str">
        <f ca="1">IF($B249="", "", IF(_xll.IMDP("IR", $B249, L$6, $C$4, "fill=true")=0, "", _xll.IMDP("IR", $B249, L$6, $C$4, "fill=true")))</f>
        <v/>
      </c>
      <c r="M249" s="101" t="str">
        <f ca="1">IF($B249="", "", IF(_xll.IMDP("IR", $B249, M$6, $C$4, "fill=true")=0, "", _xll.IMDP("IR", $B249, M$6, $C$4, "fill=true")))</f>
        <v/>
      </c>
      <c r="N249" s="101" t="str">
        <f ca="1">IF($B249="", "", IF(_xll.IMDP("IR", $B249, N$6, $C$4, "fill=true")=0, "", _xll.IMDP("IR", $B249, N$6, $C$4, "fill=true")))</f>
        <v/>
      </c>
      <c r="O249" s="101" t="str">
        <f ca="1">IF($B249="", "", IF(_xll.IMDP("IR", $B249, O$6, $C$4, "fill=true")=0, "", _xll.IMDP("IR", $B249, O$6, $C$4, "fill=true")))</f>
        <v/>
      </c>
      <c r="P249" s="101" t="str">
        <f ca="1">IF($B249="", "", IF(_xll.IMDP("IR", $B249, P$6, $C$4, "fill=true")=0, "", _xll.IMDP("IR", $B249, P$6, $C$4, "fill=true")))</f>
        <v/>
      </c>
      <c r="Q249" s="102" t="str">
        <f ca="1">IF($B249="", "", IF(_xll.IMDP("IR", $B249, Q$6, $C$4, "fill=true")=0, "", _xll.IMDP("IR", $B249, Q$6, $C$4, "fill=true")))</f>
        <v/>
      </c>
    </row>
    <row r="250" spans="2:17">
      <c r="B250" s="83" t="str">
        <f ca="1">IFERROR( VLOOKUP(ROW()-ROW($B$6), code!$G$51:$K$1483, 5, 0), "")</f>
        <v/>
      </c>
      <c r="C250" s="96" t="str">
        <f ca="1">IF($B250="", "", _xll.IMDP("IR", $B250, "1일", $C$4, "fill=true, disp=date"))</f>
        <v/>
      </c>
      <c r="D250" s="97" t="str">
        <f ca="1">IF($B250="", "", VLOOKUP(ROW()-ROW($B$6), code!$G$51:$K$1483, 2, 0) )</f>
        <v/>
      </c>
      <c r="E250" s="98" t="str">
        <f ca="1">IF($B250="", "", VLOOKUP(ROW()-ROW($B$6), code!$G$51:$K$1483, 3, 0) )</f>
        <v/>
      </c>
      <c r="F250" s="99" t="str">
        <f ca="1">IF($B250="", "", VLOOKUP(ROW()-ROW($B$6), code!$G$51:$K$1483, 4, 0))</f>
        <v/>
      </c>
      <c r="G250" s="100" t="str">
        <f ca="1">IF($B250="", "", IF(_xll.IMDP("IR", $B250, G$6, $C$4, "fill=true")=0, "", _xll.IMDP("IR", $B250, G$6, $C$4, "fill=true")))</f>
        <v/>
      </c>
      <c r="H250" s="101" t="str">
        <f ca="1">IF($B250="", "", IF(_xll.IMDP("IR", $B250, H$6, $C$4, "fill=true")=0, "", _xll.IMDP("IR", $B250, H$6, $C$4, "fill=true")))</f>
        <v/>
      </c>
      <c r="I250" s="101" t="str">
        <f ca="1">IF($B250="", "", IF(_xll.IMDP("IR", $B250, I$6, $C$4, "fill=true")=0, "", _xll.IMDP("IR", $B250, I$6, $C$4, "fill=true")))</f>
        <v/>
      </c>
      <c r="J250" s="101" t="str">
        <f ca="1">IF($B250="", "", IF(_xll.IMDP("IR", $B250, J$6, $C$4, "fill=true")=0, "", _xll.IMDP("IR", $B250, J$6, $C$4, "fill=true")))</f>
        <v/>
      </c>
      <c r="K250" s="101" t="str">
        <f ca="1">IF($B250="", "", IF(_xll.IMDP("IR", $B250, K$6, $C$4, "fill=true")=0, "", _xll.IMDP("IR", $B250, K$6, $C$4, "fill=true")))</f>
        <v/>
      </c>
      <c r="L250" s="101" t="str">
        <f ca="1">IF($B250="", "", IF(_xll.IMDP("IR", $B250, L$6, $C$4, "fill=true")=0, "", _xll.IMDP("IR", $B250, L$6, $C$4, "fill=true")))</f>
        <v/>
      </c>
      <c r="M250" s="101" t="str">
        <f ca="1">IF($B250="", "", IF(_xll.IMDP("IR", $B250, M$6, $C$4, "fill=true")=0, "", _xll.IMDP("IR", $B250, M$6, $C$4, "fill=true")))</f>
        <v/>
      </c>
      <c r="N250" s="101" t="str">
        <f ca="1">IF($B250="", "", IF(_xll.IMDP("IR", $B250, N$6, $C$4, "fill=true")=0, "", _xll.IMDP("IR", $B250, N$6, $C$4, "fill=true")))</f>
        <v/>
      </c>
      <c r="O250" s="101" t="str">
        <f ca="1">IF($B250="", "", IF(_xll.IMDP("IR", $B250, O$6, $C$4, "fill=true")=0, "", _xll.IMDP("IR", $B250, O$6, $C$4, "fill=true")))</f>
        <v/>
      </c>
      <c r="P250" s="101" t="str">
        <f ca="1">IF($B250="", "", IF(_xll.IMDP("IR", $B250, P$6, $C$4, "fill=true")=0, "", _xll.IMDP("IR", $B250, P$6, $C$4, "fill=true")))</f>
        <v/>
      </c>
      <c r="Q250" s="102" t="str">
        <f ca="1">IF($B250="", "", IF(_xll.IMDP("IR", $B250, Q$6, $C$4, "fill=true")=0, "", _xll.IMDP("IR", $B250, Q$6, $C$4, "fill=true")))</f>
        <v/>
      </c>
    </row>
    <row r="251" spans="2:17">
      <c r="B251" s="83" t="str">
        <f ca="1">IFERROR( VLOOKUP(ROW()-ROW($B$6), code!$G$51:$K$1483, 5, 0), "")</f>
        <v/>
      </c>
      <c r="C251" s="96" t="str">
        <f ca="1">IF($B251="", "", _xll.IMDP("IR", $B251, "1일", $C$4, "fill=true, disp=date"))</f>
        <v/>
      </c>
      <c r="D251" s="97" t="str">
        <f ca="1">IF($B251="", "", VLOOKUP(ROW()-ROW($B$6), code!$G$51:$K$1483, 2, 0) )</f>
        <v/>
      </c>
      <c r="E251" s="98" t="str">
        <f ca="1">IF($B251="", "", VLOOKUP(ROW()-ROW($B$6), code!$G$51:$K$1483, 3, 0) )</f>
        <v/>
      </c>
      <c r="F251" s="99" t="str">
        <f ca="1">IF($B251="", "", VLOOKUP(ROW()-ROW($B$6), code!$G$51:$K$1483, 4, 0))</f>
        <v/>
      </c>
      <c r="G251" s="100" t="str">
        <f ca="1">IF($B251="", "", IF(_xll.IMDP("IR", $B251, G$6, $C$4, "fill=true")=0, "", _xll.IMDP("IR", $B251, G$6, $C$4, "fill=true")))</f>
        <v/>
      </c>
      <c r="H251" s="101" t="str">
        <f ca="1">IF($B251="", "", IF(_xll.IMDP("IR", $B251, H$6, $C$4, "fill=true")=0, "", _xll.IMDP("IR", $B251, H$6, $C$4, "fill=true")))</f>
        <v/>
      </c>
      <c r="I251" s="101" t="str">
        <f ca="1">IF($B251="", "", IF(_xll.IMDP("IR", $B251, I$6, $C$4, "fill=true")=0, "", _xll.IMDP("IR", $B251, I$6, $C$4, "fill=true")))</f>
        <v/>
      </c>
      <c r="J251" s="101" t="str">
        <f ca="1">IF($B251="", "", IF(_xll.IMDP("IR", $B251, J$6, $C$4, "fill=true")=0, "", _xll.IMDP("IR", $B251, J$6, $C$4, "fill=true")))</f>
        <v/>
      </c>
      <c r="K251" s="101" t="str">
        <f ca="1">IF($B251="", "", IF(_xll.IMDP("IR", $B251, K$6, $C$4, "fill=true")=0, "", _xll.IMDP("IR", $B251, K$6, $C$4, "fill=true")))</f>
        <v/>
      </c>
      <c r="L251" s="101" t="str">
        <f ca="1">IF($B251="", "", IF(_xll.IMDP("IR", $B251, L$6, $C$4, "fill=true")=0, "", _xll.IMDP("IR", $B251, L$6, $C$4, "fill=true")))</f>
        <v/>
      </c>
      <c r="M251" s="101" t="str">
        <f ca="1">IF($B251="", "", IF(_xll.IMDP("IR", $B251, M$6, $C$4, "fill=true")=0, "", _xll.IMDP("IR", $B251, M$6, $C$4, "fill=true")))</f>
        <v/>
      </c>
      <c r="N251" s="101" t="str">
        <f ca="1">IF($B251="", "", IF(_xll.IMDP("IR", $B251, N$6, $C$4, "fill=true")=0, "", _xll.IMDP("IR", $B251, N$6, $C$4, "fill=true")))</f>
        <v/>
      </c>
      <c r="O251" s="101" t="str">
        <f ca="1">IF($B251="", "", IF(_xll.IMDP("IR", $B251, O$6, $C$4, "fill=true")=0, "", _xll.IMDP("IR", $B251, O$6, $C$4, "fill=true")))</f>
        <v/>
      </c>
      <c r="P251" s="101" t="str">
        <f ca="1">IF($B251="", "", IF(_xll.IMDP("IR", $B251, P$6, $C$4, "fill=true")=0, "", _xll.IMDP("IR", $B251, P$6, $C$4, "fill=true")))</f>
        <v/>
      </c>
      <c r="Q251" s="102" t="str">
        <f ca="1">IF($B251="", "", IF(_xll.IMDP("IR", $B251, Q$6, $C$4, "fill=true")=0, "", _xll.IMDP("IR", $B251, Q$6, $C$4, "fill=true")))</f>
        <v/>
      </c>
    </row>
    <row r="252" spans="2:17">
      <c r="B252" s="83" t="str">
        <f ca="1">IFERROR( VLOOKUP(ROW()-ROW($B$6), code!$G$51:$K$1483, 5, 0), "")</f>
        <v/>
      </c>
      <c r="C252" s="96" t="str">
        <f ca="1">IF($B252="", "", _xll.IMDP("IR", $B252, "1일", $C$4, "fill=true, disp=date"))</f>
        <v/>
      </c>
      <c r="D252" s="97" t="str">
        <f ca="1">IF($B252="", "", VLOOKUP(ROW()-ROW($B$6), code!$G$51:$K$1483, 2, 0) )</f>
        <v/>
      </c>
      <c r="E252" s="98" t="str">
        <f ca="1">IF($B252="", "", VLOOKUP(ROW()-ROW($B$6), code!$G$51:$K$1483, 3, 0) )</f>
        <v/>
      </c>
      <c r="F252" s="99" t="str">
        <f ca="1">IF($B252="", "", VLOOKUP(ROW()-ROW($B$6), code!$G$51:$K$1483, 4, 0))</f>
        <v/>
      </c>
      <c r="G252" s="100" t="str">
        <f ca="1">IF($B252="", "", IF(_xll.IMDP("IR", $B252, G$6, $C$4, "fill=true")=0, "", _xll.IMDP("IR", $B252, G$6, $C$4, "fill=true")))</f>
        <v/>
      </c>
      <c r="H252" s="101" t="str">
        <f ca="1">IF($B252="", "", IF(_xll.IMDP("IR", $B252, H$6, $C$4, "fill=true")=0, "", _xll.IMDP("IR", $B252, H$6, $C$4, "fill=true")))</f>
        <v/>
      </c>
      <c r="I252" s="101" t="str">
        <f ca="1">IF($B252="", "", IF(_xll.IMDP("IR", $B252, I$6, $C$4, "fill=true")=0, "", _xll.IMDP("IR", $B252, I$6, $C$4, "fill=true")))</f>
        <v/>
      </c>
      <c r="J252" s="101" t="str">
        <f ca="1">IF($B252="", "", IF(_xll.IMDP("IR", $B252, J$6, $C$4, "fill=true")=0, "", _xll.IMDP("IR", $B252, J$6, $C$4, "fill=true")))</f>
        <v/>
      </c>
      <c r="K252" s="101" t="str">
        <f ca="1">IF($B252="", "", IF(_xll.IMDP("IR", $B252, K$6, $C$4, "fill=true")=0, "", _xll.IMDP("IR", $B252, K$6, $C$4, "fill=true")))</f>
        <v/>
      </c>
      <c r="L252" s="101" t="str">
        <f ca="1">IF($B252="", "", IF(_xll.IMDP("IR", $B252, L$6, $C$4, "fill=true")=0, "", _xll.IMDP("IR", $B252, L$6, $C$4, "fill=true")))</f>
        <v/>
      </c>
      <c r="M252" s="101" t="str">
        <f ca="1">IF($B252="", "", IF(_xll.IMDP("IR", $B252, M$6, $C$4, "fill=true")=0, "", _xll.IMDP("IR", $B252, M$6, $C$4, "fill=true")))</f>
        <v/>
      </c>
      <c r="N252" s="101" t="str">
        <f ca="1">IF($B252="", "", IF(_xll.IMDP("IR", $B252, N$6, $C$4, "fill=true")=0, "", _xll.IMDP("IR", $B252, N$6, $C$4, "fill=true")))</f>
        <v/>
      </c>
      <c r="O252" s="101" t="str">
        <f ca="1">IF($B252="", "", IF(_xll.IMDP("IR", $B252, O$6, $C$4, "fill=true")=0, "", _xll.IMDP("IR", $B252, O$6, $C$4, "fill=true")))</f>
        <v/>
      </c>
      <c r="P252" s="101" t="str">
        <f ca="1">IF($B252="", "", IF(_xll.IMDP("IR", $B252, P$6, $C$4, "fill=true")=0, "", _xll.IMDP("IR", $B252, P$6, $C$4, "fill=true")))</f>
        <v/>
      </c>
      <c r="Q252" s="102" t="str">
        <f ca="1">IF($B252="", "", IF(_xll.IMDP("IR", $B252, Q$6, $C$4, "fill=true")=0, "", _xll.IMDP("IR", $B252, Q$6, $C$4, "fill=true")))</f>
        <v/>
      </c>
    </row>
    <row r="253" spans="2:17">
      <c r="B253" s="83" t="str">
        <f ca="1">IFERROR( VLOOKUP(ROW()-ROW($B$6), code!$G$51:$K$1483, 5, 0), "")</f>
        <v/>
      </c>
      <c r="C253" s="96" t="str">
        <f ca="1">IF($B253="", "", _xll.IMDP("IR", $B253, "1일", $C$4, "fill=true, disp=date"))</f>
        <v/>
      </c>
      <c r="D253" s="97" t="str">
        <f ca="1">IF($B253="", "", VLOOKUP(ROW()-ROW($B$6), code!$G$51:$K$1483, 2, 0) )</f>
        <v/>
      </c>
      <c r="E253" s="98" t="str">
        <f ca="1">IF($B253="", "", VLOOKUP(ROW()-ROW($B$6), code!$G$51:$K$1483, 3, 0) )</f>
        <v/>
      </c>
      <c r="F253" s="99" t="str">
        <f ca="1">IF($B253="", "", VLOOKUP(ROW()-ROW($B$6), code!$G$51:$K$1483, 4, 0))</f>
        <v/>
      </c>
      <c r="G253" s="100" t="str">
        <f ca="1">IF($B253="", "", IF(_xll.IMDP("IR", $B253, G$6, $C$4, "fill=true")=0, "", _xll.IMDP("IR", $B253, G$6, $C$4, "fill=true")))</f>
        <v/>
      </c>
      <c r="H253" s="101" t="str">
        <f ca="1">IF($B253="", "", IF(_xll.IMDP("IR", $B253, H$6, $C$4, "fill=true")=0, "", _xll.IMDP("IR", $B253, H$6, $C$4, "fill=true")))</f>
        <v/>
      </c>
      <c r="I253" s="101" t="str">
        <f ca="1">IF($B253="", "", IF(_xll.IMDP("IR", $B253, I$6, $C$4, "fill=true")=0, "", _xll.IMDP("IR", $B253, I$6, $C$4, "fill=true")))</f>
        <v/>
      </c>
      <c r="J253" s="101" t="str">
        <f ca="1">IF($B253="", "", IF(_xll.IMDP("IR", $B253, J$6, $C$4, "fill=true")=0, "", _xll.IMDP("IR", $B253, J$6, $C$4, "fill=true")))</f>
        <v/>
      </c>
      <c r="K253" s="101" t="str">
        <f ca="1">IF($B253="", "", IF(_xll.IMDP("IR", $B253, K$6, $C$4, "fill=true")=0, "", _xll.IMDP("IR", $B253, K$6, $C$4, "fill=true")))</f>
        <v/>
      </c>
      <c r="L253" s="101" t="str">
        <f ca="1">IF($B253="", "", IF(_xll.IMDP("IR", $B253, L$6, $C$4, "fill=true")=0, "", _xll.IMDP("IR", $B253, L$6, $C$4, "fill=true")))</f>
        <v/>
      </c>
      <c r="M253" s="101" t="str">
        <f ca="1">IF($B253="", "", IF(_xll.IMDP("IR", $B253, M$6, $C$4, "fill=true")=0, "", _xll.IMDP("IR", $B253, M$6, $C$4, "fill=true")))</f>
        <v/>
      </c>
      <c r="N253" s="101" t="str">
        <f ca="1">IF($B253="", "", IF(_xll.IMDP("IR", $B253, N$6, $C$4, "fill=true")=0, "", _xll.IMDP("IR", $B253, N$6, $C$4, "fill=true")))</f>
        <v/>
      </c>
      <c r="O253" s="101" t="str">
        <f ca="1">IF($B253="", "", IF(_xll.IMDP("IR", $B253, O$6, $C$4, "fill=true")=0, "", _xll.IMDP("IR", $B253, O$6, $C$4, "fill=true")))</f>
        <v/>
      </c>
      <c r="P253" s="101" t="str">
        <f ca="1">IF($B253="", "", IF(_xll.IMDP("IR", $B253, P$6, $C$4, "fill=true")=0, "", _xll.IMDP("IR", $B253, P$6, $C$4, "fill=true")))</f>
        <v/>
      </c>
      <c r="Q253" s="102" t="str">
        <f ca="1">IF($B253="", "", IF(_xll.IMDP("IR", $B253, Q$6, $C$4, "fill=true")=0, "", _xll.IMDP("IR", $B253, Q$6, $C$4, "fill=true")))</f>
        <v/>
      </c>
    </row>
    <row r="254" spans="2:17">
      <c r="B254" s="83" t="str">
        <f ca="1">IFERROR( VLOOKUP(ROW()-ROW($B$6), code!$G$51:$K$1483, 5, 0), "")</f>
        <v/>
      </c>
      <c r="C254" s="96" t="str">
        <f ca="1">IF($B254="", "", _xll.IMDP("IR", $B254, "1일", $C$4, "fill=true, disp=date"))</f>
        <v/>
      </c>
      <c r="D254" s="97" t="str">
        <f ca="1">IF($B254="", "", VLOOKUP(ROW()-ROW($B$6), code!$G$51:$K$1483, 2, 0) )</f>
        <v/>
      </c>
      <c r="E254" s="98" t="str">
        <f ca="1">IF($B254="", "", VLOOKUP(ROW()-ROW($B$6), code!$G$51:$K$1483, 3, 0) )</f>
        <v/>
      </c>
      <c r="F254" s="99" t="str">
        <f ca="1">IF($B254="", "", VLOOKUP(ROW()-ROW($B$6), code!$G$51:$K$1483, 4, 0))</f>
        <v/>
      </c>
      <c r="G254" s="100" t="str">
        <f ca="1">IF($B254="", "", IF(_xll.IMDP("IR", $B254, G$6, $C$4, "fill=true")=0, "", _xll.IMDP("IR", $B254, G$6, $C$4, "fill=true")))</f>
        <v/>
      </c>
      <c r="H254" s="101" t="str">
        <f ca="1">IF($B254="", "", IF(_xll.IMDP("IR", $B254, H$6, $C$4, "fill=true")=0, "", _xll.IMDP("IR", $B254, H$6, $C$4, "fill=true")))</f>
        <v/>
      </c>
      <c r="I254" s="101" t="str">
        <f ca="1">IF($B254="", "", IF(_xll.IMDP("IR", $B254, I$6, $C$4, "fill=true")=0, "", _xll.IMDP("IR", $B254, I$6, $C$4, "fill=true")))</f>
        <v/>
      </c>
      <c r="J254" s="101" t="str">
        <f ca="1">IF($B254="", "", IF(_xll.IMDP("IR", $B254, J$6, $C$4, "fill=true")=0, "", _xll.IMDP("IR", $B254, J$6, $C$4, "fill=true")))</f>
        <v/>
      </c>
      <c r="K254" s="101" t="str">
        <f ca="1">IF($B254="", "", IF(_xll.IMDP("IR", $B254, K$6, $C$4, "fill=true")=0, "", _xll.IMDP("IR", $B254, K$6, $C$4, "fill=true")))</f>
        <v/>
      </c>
      <c r="L254" s="101" t="str">
        <f ca="1">IF($B254="", "", IF(_xll.IMDP("IR", $B254, L$6, $C$4, "fill=true")=0, "", _xll.IMDP("IR", $B254, L$6, $C$4, "fill=true")))</f>
        <v/>
      </c>
      <c r="M254" s="101" t="str">
        <f ca="1">IF($B254="", "", IF(_xll.IMDP("IR", $B254, M$6, $C$4, "fill=true")=0, "", _xll.IMDP("IR", $B254, M$6, $C$4, "fill=true")))</f>
        <v/>
      </c>
      <c r="N254" s="101" t="str">
        <f ca="1">IF($B254="", "", IF(_xll.IMDP("IR", $B254, N$6, $C$4, "fill=true")=0, "", _xll.IMDP("IR", $B254, N$6, $C$4, "fill=true")))</f>
        <v/>
      </c>
      <c r="O254" s="101" t="str">
        <f ca="1">IF($B254="", "", IF(_xll.IMDP("IR", $B254, O$6, $C$4, "fill=true")=0, "", _xll.IMDP("IR", $B254, O$6, $C$4, "fill=true")))</f>
        <v/>
      </c>
      <c r="P254" s="101" t="str">
        <f ca="1">IF($B254="", "", IF(_xll.IMDP("IR", $B254, P$6, $C$4, "fill=true")=0, "", _xll.IMDP("IR", $B254, P$6, $C$4, "fill=true")))</f>
        <v/>
      </c>
      <c r="Q254" s="102" t="str">
        <f ca="1">IF($B254="", "", IF(_xll.IMDP("IR", $B254, Q$6, $C$4, "fill=true")=0, "", _xll.IMDP("IR", $B254, Q$6, $C$4, "fill=true")))</f>
        <v/>
      </c>
    </row>
    <row r="255" spans="2:17">
      <c r="B255" s="83" t="str">
        <f ca="1">IFERROR( VLOOKUP(ROW()-ROW($B$6), code!$G$51:$K$1483, 5, 0), "")</f>
        <v/>
      </c>
      <c r="C255" s="96" t="str">
        <f ca="1">IF($B255="", "", _xll.IMDP("IR", $B255, "1일", $C$4, "fill=true, disp=date"))</f>
        <v/>
      </c>
      <c r="D255" s="97" t="str">
        <f ca="1">IF($B255="", "", VLOOKUP(ROW()-ROW($B$6), code!$G$51:$K$1483, 2, 0) )</f>
        <v/>
      </c>
      <c r="E255" s="98" t="str">
        <f ca="1">IF($B255="", "", VLOOKUP(ROW()-ROW($B$6), code!$G$51:$K$1483, 3, 0) )</f>
        <v/>
      </c>
      <c r="F255" s="99" t="str">
        <f ca="1">IF($B255="", "", VLOOKUP(ROW()-ROW($B$6), code!$G$51:$K$1483, 4, 0))</f>
        <v/>
      </c>
      <c r="G255" s="100" t="str">
        <f ca="1">IF($B255="", "", IF(_xll.IMDP("IR", $B255, G$6, $C$4, "fill=true")=0, "", _xll.IMDP("IR", $B255, G$6, $C$4, "fill=true")))</f>
        <v/>
      </c>
      <c r="H255" s="101" t="str">
        <f ca="1">IF($B255="", "", IF(_xll.IMDP("IR", $B255, H$6, $C$4, "fill=true")=0, "", _xll.IMDP("IR", $B255, H$6, $C$4, "fill=true")))</f>
        <v/>
      </c>
      <c r="I255" s="101" t="str">
        <f ca="1">IF($B255="", "", IF(_xll.IMDP("IR", $B255, I$6, $C$4, "fill=true")=0, "", _xll.IMDP("IR", $B255, I$6, $C$4, "fill=true")))</f>
        <v/>
      </c>
      <c r="J255" s="101" t="str">
        <f ca="1">IF($B255="", "", IF(_xll.IMDP("IR", $B255, J$6, $C$4, "fill=true")=0, "", _xll.IMDP("IR", $B255, J$6, $C$4, "fill=true")))</f>
        <v/>
      </c>
      <c r="K255" s="101" t="str">
        <f ca="1">IF($B255="", "", IF(_xll.IMDP("IR", $B255, K$6, $C$4, "fill=true")=0, "", _xll.IMDP("IR", $B255, K$6, $C$4, "fill=true")))</f>
        <v/>
      </c>
      <c r="L255" s="101" t="str">
        <f ca="1">IF($B255="", "", IF(_xll.IMDP("IR", $B255, L$6, $C$4, "fill=true")=0, "", _xll.IMDP("IR", $B255, L$6, $C$4, "fill=true")))</f>
        <v/>
      </c>
      <c r="M255" s="101" t="str">
        <f ca="1">IF($B255="", "", IF(_xll.IMDP("IR", $B255, M$6, $C$4, "fill=true")=0, "", _xll.IMDP("IR", $B255, M$6, $C$4, "fill=true")))</f>
        <v/>
      </c>
      <c r="N255" s="101" t="str">
        <f ca="1">IF($B255="", "", IF(_xll.IMDP("IR", $B255, N$6, $C$4, "fill=true")=0, "", _xll.IMDP("IR", $B255, N$6, $C$4, "fill=true")))</f>
        <v/>
      </c>
      <c r="O255" s="101" t="str">
        <f ca="1">IF($B255="", "", IF(_xll.IMDP("IR", $B255, O$6, $C$4, "fill=true")=0, "", _xll.IMDP("IR", $B255, O$6, $C$4, "fill=true")))</f>
        <v/>
      </c>
      <c r="P255" s="101" t="str">
        <f ca="1">IF($B255="", "", IF(_xll.IMDP("IR", $B255, P$6, $C$4, "fill=true")=0, "", _xll.IMDP("IR", $B255, P$6, $C$4, "fill=true")))</f>
        <v/>
      </c>
      <c r="Q255" s="102" t="str">
        <f ca="1">IF($B255="", "", IF(_xll.IMDP("IR", $B255, Q$6, $C$4, "fill=true")=0, "", _xll.IMDP("IR", $B255, Q$6, $C$4, "fill=true")))</f>
        <v/>
      </c>
    </row>
    <row r="256" spans="2:17">
      <c r="B256" s="83" t="str">
        <f ca="1">IFERROR( VLOOKUP(ROW()-ROW($B$6), code!$G$51:$K$1483, 5, 0), "")</f>
        <v/>
      </c>
      <c r="C256" s="96" t="str">
        <f ca="1">IF($B256="", "", _xll.IMDP("IR", $B256, "1일", $C$4, "fill=true, disp=date"))</f>
        <v/>
      </c>
      <c r="D256" s="97" t="str">
        <f ca="1">IF($B256="", "", VLOOKUP(ROW()-ROW($B$6), code!$G$51:$K$1483, 2, 0) )</f>
        <v/>
      </c>
      <c r="E256" s="98" t="str">
        <f ca="1">IF($B256="", "", VLOOKUP(ROW()-ROW($B$6), code!$G$51:$K$1483, 3, 0) )</f>
        <v/>
      </c>
      <c r="F256" s="99" t="str">
        <f ca="1">IF($B256="", "", VLOOKUP(ROW()-ROW($B$6), code!$G$51:$K$1483, 4, 0))</f>
        <v/>
      </c>
      <c r="G256" s="100" t="str">
        <f ca="1">IF($B256="", "", IF(_xll.IMDP("IR", $B256, G$6, $C$4, "fill=true")=0, "", _xll.IMDP("IR", $B256, G$6, $C$4, "fill=true")))</f>
        <v/>
      </c>
      <c r="H256" s="101" t="str">
        <f ca="1">IF($B256="", "", IF(_xll.IMDP("IR", $B256, H$6, $C$4, "fill=true")=0, "", _xll.IMDP("IR", $B256, H$6, $C$4, "fill=true")))</f>
        <v/>
      </c>
      <c r="I256" s="101" t="str">
        <f ca="1">IF($B256="", "", IF(_xll.IMDP("IR", $B256, I$6, $C$4, "fill=true")=0, "", _xll.IMDP("IR", $B256, I$6, $C$4, "fill=true")))</f>
        <v/>
      </c>
      <c r="J256" s="101" t="str">
        <f ca="1">IF($B256="", "", IF(_xll.IMDP("IR", $B256, J$6, $C$4, "fill=true")=0, "", _xll.IMDP("IR", $B256, J$6, $C$4, "fill=true")))</f>
        <v/>
      </c>
      <c r="K256" s="101" t="str">
        <f ca="1">IF($B256="", "", IF(_xll.IMDP("IR", $B256, K$6, $C$4, "fill=true")=0, "", _xll.IMDP("IR", $B256, K$6, $C$4, "fill=true")))</f>
        <v/>
      </c>
      <c r="L256" s="101" t="str">
        <f ca="1">IF($B256="", "", IF(_xll.IMDP("IR", $B256, L$6, $C$4, "fill=true")=0, "", _xll.IMDP("IR", $B256, L$6, $C$4, "fill=true")))</f>
        <v/>
      </c>
      <c r="M256" s="101" t="str">
        <f ca="1">IF($B256="", "", IF(_xll.IMDP("IR", $B256, M$6, $C$4, "fill=true")=0, "", _xll.IMDP("IR", $B256, M$6, $C$4, "fill=true")))</f>
        <v/>
      </c>
      <c r="N256" s="101" t="str">
        <f ca="1">IF($B256="", "", IF(_xll.IMDP("IR", $B256, N$6, $C$4, "fill=true")=0, "", _xll.IMDP("IR", $B256, N$6, $C$4, "fill=true")))</f>
        <v/>
      </c>
      <c r="O256" s="101" t="str">
        <f ca="1">IF($B256="", "", IF(_xll.IMDP("IR", $B256, O$6, $C$4, "fill=true")=0, "", _xll.IMDP("IR", $B256, O$6, $C$4, "fill=true")))</f>
        <v/>
      </c>
      <c r="P256" s="101" t="str">
        <f ca="1">IF($B256="", "", IF(_xll.IMDP("IR", $B256, P$6, $C$4, "fill=true")=0, "", _xll.IMDP("IR", $B256, P$6, $C$4, "fill=true")))</f>
        <v/>
      </c>
      <c r="Q256" s="102" t="str">
        <f ca="1">IF($B256="", "", IF(_xll.IMDP("IR", $B256, Q$6, $C$4, "fill=true")=0, "", _xll.IMDP("IR", $B256, Q$6, $C$4, "fill=true")))</f>
        <v/>
      </c>
    </row>
    <row r="257" spans="2:17">
      <c r="B257" s="83" t="str">
        <f ca="1">IFERROR( VLOOKUP(ROW()-ROW($B$6), code!$G$51:$K$1483, 5, 0), "")</f>
        <v/>
      </c>
      <c r="C257" s="96" t="str">
        <f ca="1">IF($B257="", "", _xll.IMDP("IR", $B257, "1일", $C$4, "fill=true, disp=date"))</f>
        <v/>
      </c>
      <c r="D257" s="97" t="str">
        <f ca="1">IF($B257="", "", VLOOKUP(ROW()-ROW($B$6), code!$G$51:$K$1483, 2, 0) )</f>
        <v/>
      </c>
      <c r="E257" s="98" t="str">
        <f ca="1">IF($B257="", "", VLOOKUP(ROW()-ROW($B$6), code!$G$51:$K$1483, 3, 0) )</f>
        <v/>
      </c>
      <c r="F257" s="99" t="str">
        <f ca="1">IF($B257="", "", VLOOKUP(ROW()-ROW($B$6), code!$G$51:$K$1483, 4, 0))</f>
        <v/>
      </c>
      <c r="G257" s="100" t="str">
        <f ca="1">IF($B257="", "", IF(_xll.IMDP("IR", $B257, G$6, $C$4, "fill=true")=0, "", _xll.IMDP("IR", $B257, G$6, $C$4, "fill=true")))</f>
        <v/>
      </c>
      <c r="H257" s="101" t="str">
        <f ca="1">IF($B257="", "", IF(_xll.IMDP("IR", $B257, H$6, $C$4, "fill=true")=0, "", _xll.IMDP("IR", $B257, H$6, $C$4, "fill=true")))</f>
        <v/>
      </c>
      <c r="I257" s="101" t="str">
        <f ca="1">IF($B257="", "", IF(_xll.IMDP("IR", $B257, I$6, $C$4, "fill=true")=0, "", _xll.IMDP("IR", $B257, I$6, $C$4, "fill=true")))</f>
        <v/>
      </c>
      <c r="J257" s="101" t="str">
        <f ca="1">IF($B257="", "", IF(_xll.IMDP("IR", $B257, J$6, $C$4, "fill=true")=0, "", _xll.IMDP("IR", $B257, J$6, $C$4, "fill=true")))</f>
        <v/>
      </c>
      <c r="K257" s="101" t="str">
        <f ca="1">IF($B257="", "", IF(_xll.IMDP("IR", $B257, K$6, $C$4, "fill=true")=0, "", _xll.IMDP("IR", $B257, K$6, $C$4, "fill=true")))</f>
        <v/>
      </c>
      <c r="L257" s="101" t="str">
        <f ca="1">IF($B257="", "", IF(_xll.IMDP("IR", $B257, L$6, $C$4, "fill=true")=0, "", _xll.IMDP("IR", $B257, L$6, $C$4, "fill=true")))</f>
        <v/>
      </c>
      <c r="M257" s="101" t="str">
        <f ca="1">IF($B257="", "", IF(_xll.IMDP("IR", $B257, M$6, $C$4, "fill=true")=0, "", _xll.IMDP("IR", $B257, M$6, $C$4, "fill=true")))</f>
        <v/>
      </c>
      <c r="N257" s="101" t="str">
        <f ca="1">IF($B257="", "", IF(_xll.IMDP("IR", $B257, N$6, $C$4, "fill=true")=0, "", _xll.IMDP("IR", $B257, N$6, $C$4, "fill=true")))</f>
        <v/>
      </c>
      <c r="O257" s="101" t="str">
        <f ca="1">IF($B257="", "", IF(_xll.IMDP("IR", $B257, O$6, $C$4, "fill=true")=0, "", _xll.IMDP("IR", $B257, O$6, $C$4, "fill=true")))</f>
        <v/>
      </c>
      <c r="P257" s="101" t="str">
        <f ca="1">IF($B257="", "", IF(_xll.IMDP("IR", $B257, P$6, $C$4, "fill=true")=0, "", _xll.IMDP("IR", $B257, P$6, $C$4, "fill=true")))</f>
        <v/>
      </c>
      <c r="Q257" s="102" t="str">
        <f ca="1">IF($B257="", "", IF(_xll.IMDP("IR", $B257, Q$6, $C$4, "fill=true")=0, "", _xll.IMDP("IR", $B257, Q$6, $C$4, "fill=true")))</f>
        <v/>
      </c>
    </row>
    <row r="258" spans="2:17">
      <c r="B258" s="83" t="str">
        <f ca="1">IFERROR( VLOOKUP(ROW()-ROW($B$6), code!$G$51:$K$1483, 5, 0), "")</f>
        <v/>
      </c>
      <c r="C258" s="96" t="str">
        <f ca="1">IF($B258="", "", _xll.IMDP("IR", $B258, "1일", $C$4, "fill=true, disp=date"))</f>
        <v/>
      </c>
      <c r="D258" s="97" t="str">
        <f ca="1">IF($B258="", "", VLOOKUP(ROW()-ROW($B$6), code!$G$51:$K$1483, 2, 0) )</f>
        <v/>
      </c>
      <c r="E258" s="98" t="str">
        <f ca="1">IF($B258="", "", VLOOKUP(ROW()-ROW($B$6), code!$G$51:$K$1483, 3, 0) )</f>
        <v/>
      </c>
      <c r="F258" s="99" t="str">
        <f ca="1">IF($B258="", "", VLOOKUP(ROW()-ROW($B$6), code!$G$51:$K$1483, 4, 0))</f>
        <v/>
      </c>
      <c r="G258" s="100" t="str">
        <f ca="1">IF($B258="", "", IF(_xll.IMDP("IR", $B258, G$6, $C$4, "fill=true")=0, "", _xll.IMDP("IR", $B258, G$6, $C$4, "fill=true")))</f>
        <v/>
      </c>
      <c r="H258" s="101" t="str">
        <f ca="1">IF($B258="", "", IF(_xll.IMDP("IR", $B258, H$6, $C$4, "fill=true")=0, "", _xll.IMDP("IR", $B258, H$6, $C$4, "fill=true")))</f>
        <v/>
      </c>
      <c r="I258" s="101" t="str">
        <f ca="1">IF($B258="", "", IF(_xll.IMDP("IR", $B258, I$6, $C$4, "fill=true")=0, "", _xll.IMDP("IR", $B258, I$6, $C$4, "fill=true")))</f>
        <v/>
      </c>
      <c r="J258" s="101" t="str">
        <f ca="1">IF($B258="", "", IF(_xll.IMDP("IR", $B258, J$6, $C$4, "fill=true")=0, "", _xll.IMDP("IR", $B258, J$6, $C$4, "fill=true")))</f>
        <v/>
      </c>
      <c r="K258" s="101" t="str">
        <f ca="1">IF($B258="", "", IF(_xll.IMDP("IR", $B258, K$6, $C$4, "fill=true")=0, "", _xll.IMDP("IR", $B258, K$6, $C$4, "fill=true")))</f>
        <v/>
      </c>
      <c r="L258" s="101" t="str">
        <f ca="1">IF($B258="", "", IF(_xll.IMDP("IR", $B258, L$6, $C$4, "fill=true")=0, "", _xll.IMDP("IR", $B258, L$6, $C$4, "fill=true")))</f>
        <v/>
      </c>
      <c r="M258" s="101" t="str">
        <f ca="1">IF($B258="", "", IF(_xll.IMDP("IR", $B258, M$6, $C$4, "fill=true")=0, "", _xll.IMDP("IR", $B258, M$6, $C$4, "fill=true")))</f>
        <v/>
      </c>
      <c r="N258" s="101" t="str">
        <f ca="1">IF($B258="", "", IF(_xll.IMDP("IR", $B258, N$6, $C$4, "fill=true")=0, "", _xll.IMDP("IR", $B258, N$6, $C$4, "fill=true")))</f>
        <v/>
      </c>
      <c r="O258" s="101" t="str">
        <f ca="1">IF($B258="", "", IF(_xll.IMDP("IR", $B258, O$6, $C$4, "fill=true")=0, "", _xll.IMDP("IR", $B258, O$6, $C$4, "fill=true")))</f>
        <v/>
      </c>
      <c r="P258" s="101" t="str">
        <f ca="1">IF($B258="", "", IF(_xll.IMDP("IR", $B258, P$6, $C$4, "fill=true")=0, "", _xll.IMDP("IR", $B258, P$6, $C$4, "fill=true")))</f>
        <v/>
      </c>
      <c r="Q258" s="102" t="str">
        <f ca="1">IF($B258="", "", IF(_xll.IMDP("IR", $B258, Q$6, $C$4, "fill=true")=0, "", _xll.IMDP("IR", $B258, Q$6, $C$4, "fill=true")))</f>
        <v/>
      </c>
    </row>
    <row r="259" spans="2:17">
      <c r="B259" s="83" t="str">
        <f ca="1">IFERROR( VLOOKUP(ROW()-ROW($B$6), code!$G$51:$K$1483, 5, 0), "")</f>
        <v/>
      </c>
      <c r="C259" s="96" t="str">
        <f ca="1">IF($B259="", "", _xll.IMDP("IR", $B259, "1일", $C$4, "fill=true, disp=date"))</f>
        <v/>
      </c>
      <c r="D259" s="97" t="str">
        <f ca="1">IF($B259="", "", VLOOKUP(ROW()-ROW($B$6), code!$G$51:$K$1483, 2, 0) )</f>
        <v/>
      </c>
      <c r="E259" s="98" t="str">
        <f ca="1">IF($B259="", "", VLOOKUP(ROW()-ROW($B$6), code!$G$51:$K$1483, 3, 0) )</f>
        <v/>
      </c>
      <c r="F259" s="99" t="str">
        <f ca="1">IF($B259="", "", VLOOKUP(ROW()-ROW($B$6), code!$G$51:$K$1483, 4, 0))</f>
        <v/>
      </c>
      <c r="G259" s="100" t="str">
        <f ca="1">IF($B259="", "", IF(_xll.IMDP("IR", $B259, G$6, $C$4, "fill=true")=0, "", _xll.IMDP("IR", $B259, G$6, $C$4, "fill=true")))</f>
        <v/>
      </c>
      <c r="H259" s="101" t="str">
        <f ca="1">IF($B259="", "", IF(_xll.IMDP("IR", $B259, H$6, $C$4, "fill=true")=0, "", _xll.IMDP("IR", $B259, H$6, $C$4, "fill=true")))</f>
        <v/>
      </c>
      <c r="I259" s="101" t="str">
        <f ca="1">IF($B259="", "", IF(_xll.IMDP("IR", $B259, I$6, $C$4, "fill=true")=0, "", _xll.IMDP("IR", $B259, I$6, $C$4, "fill=true")))</f>
        <v/>
      </c>
      <c r="J259" s="101" t="str">
        <f ca="1">IF($B259="", "", IF(_xll.IMDP("IR", $B259, J$6, $C$4, "fill=true")=0, "", _xll.IMDP("IR", $B259, J$6, $C$4, "fill=true")))</f>
        <v/>
      </c>
      <c r="K259" s="101" t="str">
        <f ca="1">IF($B259="", "", IF(_xll.IMDP("IR", $B259, K$6, $C$4, "fill=true")=0, "", _xll.IMDP("IR", $B259, K$6, $C$4, "fill=true")))</f>
        <v/>
      </c>
      <c r="L259" s="101" t="str">
        <f ca="1">IF($B259="", "", IF(_xll.IMDP("IR", $B259, L$6, $C$4, "fill=true")=0, "", _xll.IMDP("IR", $B259, L$6, $C$4, "fill=true")))</f>
        <v/>
      </c>
      <c r="M259" s="101" t="str">
        <f ca="1">IF($B259="", "", IF(_xll.IMDP("IR", $B259, M$6, $C$4, "fill=true")=0, "", _xll.IMDP("IR", $B259, M$6, $C$4, "fill=true")))</f>
        <v/>
      </c>
      <c r="N259" s="101" t="str">
        <f ca="1">IF($B259="", "", IF(_xll.IMDP("IR", $B259, N$6, $C$4, "fill=true")=0, "", _xll.IMDP("IR", $B259, N$6, $C$4, "fill=true")))</f>
        <v/>
      </c>
      <c r="O259" s="101" t="str">
        <f ca="1">IF($B259="", "", IF(_xll.IMDP("IR", $B259, O$6, $C$4, "fill=true")=0, "", _xll.IMDP("IR", $B259, O$6, $C$4, "fill=true")))</f>
        <v/>
      </c>
      <c r="P259" s="101" t="str">
        <f ca="1">IF($B259="", "", IF(_xll.IMDP("IR", $B259, P$6, $C$4, "fill=true")=0, "", _xll.IMDP("IR", $B259, P$6, $C$4, "fill=true")))</f>
        <v/>
      </c>
      <c r="Q259" s="102" t="str">
        <f ca="1">IF($B259="", "", IF(_xll.IMDP("IR", $B259, Q$6, $C$4, "fill=true")=0, "", _xll.IMDP("IR", $B259, Q$6, $C$4, "fill=true")))</f>
        <v/>
      </c>
    </row>
    <row r="260" spans="2:17">
      <c r="B260" s="83" t="str">
        <f ca="1">IFERROR( VLOOKUP(ROW()-ROW($B$6), code!$G$51:$K$1483, 5, 0), "")</f>
        <v/>
      </c>
      <c r="C260" s="96" t="str">
        <f ca="1">IF($B260="", "", _xll.IMDP("IR", $B260, "1일", $C$4, "fill=true, disp=date"))</f>
        <v/>
      </c>
      <c r="D260" s="97" t="str">
        <f ca="1">IF($B260="", "", VLOOKUP(ROW()-ROW($B$6), code!$G$51:$K$1483, 2, 0) )</f>
        <v/>
      </c>
      <c r="E260" s="98" t="str">
        <f ca="1">IF($B260="", "", VLOOKUP(ROW()-ROW($B$6), code!$G$51:$K$1483, 3, 0) )</f>
        <v/>
      </c>
      <c r="F260" s="99" t="str">
        <f ca="1">IF($B260="", "", VLOOKUP(ROW()-ROW($B$6), code!$G$51:$K$1483, 4, 0))</f>
        <v/>
      </c>
      <c r="G260" s="100" t="str">
        <f ca="1">IF($B260="", "", IF(_xll.IMDP("IR", $B260, G$6, $C$4, "fill=true")=0, "", _xll.IMDP("IR", $B260, G$6, $C$4, "fill=true")))</f>
        <v/>
      </c>
      <c r="H260" s="101" t="str">
        <f ca="1">IF($B260="", "", IF(_xll.IMDP("IR", $B260, H$6, $C$4, "fill=true")=0, "", _xll.IMDP("IR", $B260, H$6, $C$4, "fill=true")))</f>
        <v/>
      </c>
      <c r="I260" s="101" t="str">
        <f ca="1">IF($B260="", "", IF(_xll.IMDP("IR", $B260, I$6, $C$4, "fill=true")=0, "", _xll.IMDP("IR", $B260, I$6, $C$4, "fill=true")))</f>
        <v/>
      </c>
      <c r="J260" s="101" t="str">
        <f ca="1">IF($B260="", "", IF(_xll.IMDP("IR", $B260, J$6, $C$4, "fill=true")=0, "", _xll.IMDP("IR", $B260, J$6, $C$4, "fill=true")))</f>
        <v/>
      </c>
      <c r="K260" s="101" t="str">
        <f ca="1">IF($B260="", "", IF(_xll.IMDP("IR", $B260, K$6, $C$4, "fill=true")=0, "", _xll.IMDP("IR", $B260, K$6, $C$4, "fill=true")))</f>
        <v/>
      </c>
      <c r="L260" s="101" t="str">
        <f ca="1">IF($B260="", "", IF(_xll.IMDP("IR", $B260, L$6, $C$4, "fill=true")=0, "", _xll.IMDP("IR", $B260, L$6, $C$4, "fill=true")))</f>
        <v/>
      </c>
      <c r="M260" s="101" t="str">
        <f ca="1">IF($B260="", "", IF(_xll.IMDP("IR", $B260, M$6, $C$4, "fill=true")=0, "", _xll.IMDP("IR", $B260, M$6, $C$4, "fill=true")))</f>
        <v/>
      </c>
      <c r="N260" s="101" t="str">
        <f ca="1">IF($B260="", "", IF(_xll.IMDP("IR", $B260, N$6, $C$4, "fill=true")=0, "", _xll.IMDP("IR", $B260, N$6, $C$4, "fill=true")))</f>
        <v/>
      </c>
      <c r="O260" s="101" t="str">
        <f ca="1">IF($B260="", "", IF(_xll.IMDP("IR", $B260, O$6, $C$4, "fill=true")=0, "", _xll.IMDP("IR", $B260, O$6, $C$4, "fill=true")))</f>
        <v/>
      </c>
      <c r="P260" s="101" t="str">
        <f ca="1">IF($B260="", "", IF(_xll.IMDP("IR", $B260, P$6, $C$4, "fill=true")=0, "", _xll.IMDP("IR", $B260, P$6, $C$4, "fill=true")))</f>
        <v/>
      </c>
      <c r="Q260" s="102" t="str">
        <f ca="1">IF($B260="", "", IF(_xll.IMDP("IR", $B260, Q$6, $C$4, "fill=true")=0, "", _xll.IMDP("IR", $B260, Q$6, $C$4, "fill=true")))</f>
        <v/>
      </c>
    </row>
    <row r="261" spans="2:17">
      <c r="B261" s="83" t="str">
        <f ca="1">IFERROR( VLOOKUP(ROW()-ROW($B$6), code!$G$51:$K$1483, 5, 0), "")</f>
        <v/>
      </c>
      <c r="C261" s="96" t="str">
        <f ca="1">IF($B261="", "", _xll.IMDP("IR", $B261, "1일", $C$4, "fill=true, disp=date"))</f>
        <v/>
      </c>
      <c r="D261" s="97" t="str">
        <f ca="1">IF($B261="", "", VLOOKUP(ROW()-ROW($B$6), code!$G$51:$K$1483, 2, 0) )</f>
        <v/>
      </c>
      <c r="E261" s="98" t="str">
        <f ca="1">IF($B261="", "", VLOOKUP(ROW()-ROW($B$6), code!$G$51:$K$1483, 3, 0) )</f>
        <v/>
      </c>
      <c r="F261" s="99" t="str">
        <f ca="1">IF($B261="", "", VLOOKUP(ROW()-ROW($B$6), code!$G$51:$K$1483, 4, 0))</f>
        <v/>
      </c>
      <c r="G261" s="100" t="str">
        <f ca="1">IF($B261="", "", IF(_xll.IMDP("IR", $B261, G$6, $C$4, "fill=true")=0, "", _xll.IMDP("IR", $B261, G$6, $C$4, "fill=true")))</f>
        <v/>
      </c>
      <c r="H261" s="101" t="str">
        <f ca="1">IF($B261="", "", IF(_xll.IMDP("IR", $B261, H$6, $C$4, "fill=true")=0, "", _xll.IMDP("IR", $B261, H$6, $C$4, "fill=true")))</f>
        <v/>
      </c>
      <c r="I261" s="101" t="str">
        <f ca="1">IF($B261="", "", IF(_xll.IMDP("IR", $B261, I$6, $C$4, "fill=true")=0, "", _xll.IMDP("IR", $B261, I$6, $C$4, "fill=true")))</f>
        <v/>
      </c>
      <c r="J261" s="101" t="str">
        <f ca="1">IF($B261="", "", IF(_xll.IMDP("IR", $B261, J$6, $C$4, "fill=true")=0, "", _xll.IMDP("IR", $B261, J$6, $C$4, "fill=true")))</f>
        <v/>
      </c>
      <c r="K261" s="101" t="str">
        <f ca="1">IF($B261="", "", IF(_xll.IMDP("IR", $B261, K$6, $C$4, "fill=true")=0, "", _xll.IMDP("IR", $B261, K$6, $C$4, "fill=true")))</f>
        <v/>
      </c>
      <c r="L261" s="101" t="str">
        <f ca="1">IF($B261="", "", IF(_xll.IMDP("IR", $B261, L$6, $C$4, "fill=true")=0, "", _xll.IMDP("IR", $B261, L$6, $C$4, "fill=true")))</f>
        <v/>
      </c>
      <c r="M261" s="101" t="str">
        <f ca="1">IF($B261="", "", IF(_xll.IMDP("IR", $B261, M$6, $C$4, "fill=true")=0, "", _xll.IMDP("IR", $B261, M$6, $C$4, "fill=true")))</f>
        <v/>
      </c>
      <c r="N261" s="101" t="str">
        <f ca="1">IF($B261="", "", IF(_xll.IMDP("IR", $B261, N$6, $C$4, "fill=true")=0, "", _xll.IMDP("IR", $B261, N$6, $C$4, "fill=true")))</f>
        <v/>
      </c>
      <c r="O261" s="101" t="str">
        <f ca="1">IF($B261="", "", IF(_xll.IMDP("IR", $B261, O$6, $C$4, "fill=true")=0, "", _xll.IMDP("IR", $B261, O$6, $C$4, "fill=true")))</f>
        <v/>
      </c>
      <c r="P261" s="101" t="str">
        <f ca="1">IF($B261="", "", IF(_xll.IMDP("IR", $B261, P$6, $C$4, "fill=true")=0, "", _xll.IMDP("IR", $B261, P$6, $C$4, "fill=true")))</f>
        <v/>
      </c>
      <c r="Q261" s="102" t="str">
        <f ca="1">IF($B261="", "", IF(_xll.IMDP("IR", $B261, Q$6, $C$4, "fill=true")=0, "", _xll.IMDP("IR", $B261, Q$6, $C$4, "fill=true")))</f>
        <v/>
      </c>
    </row>
    <row r="262" spans="2:17">
      <c r="B262" s="83" t="str">
        <f ca="1">IFERROR( VLOOKUP(ROW()-ROW($B$6), code!$G$51:$K$1483, 5, 0), "")</f>
        <v/>
      </c>
      <c r="C262" s="96" t="str">
        <f ca="1">IF($B262="", "", _xll.IMDP("IR", $B262, "1일", $C$4, "fill=true, disp=date"))</f>
        <v/>
      </c>
      <c r="D262" s="97" t="str">
        <f ca="1">IF($B262="", "", VLOOKUP(ROW()-ROW($B$6), code!$G$51:$K$1483, 2, 0) )</f>
        <v/>
      </c>
      <c r="E262" s="98" t="str">
        <f ca="1">IF($B262="", "", VLOOKUP(ROW()-ROW($B$6), code!$G$51:$K$1483, 3, 0) )</f>
        <v/>
      </c>
      <c r="F262" s="99" t="str">
        <f ca="1">IF($B262="", "", VLOOKUP(ROW()-ROW($B$6), code!$G$51:$K$1483, 4, 0))</f>
        <v/>
      </c>
      <c r="G262" s="100" t="str">
        <f ca="1">IF($B262="", "", IF(_xll.IMDP("IR", $B262, G$6, $C$4, "fill=true")=0, "", _xll.IMDP("IR", $B262, G$6, $C$4, "fill=true")))</f>
        <v/>
      </c>
      <c r="H262" s="101" t="str">
        <f ca="1">IF($B262="", "", IF(_xll.IMDP("IR", $B262, H$6, $C$4, "fill=true")=0, "", _xll.IMDP("IR", $B262, H$6, $C$4, "fill=true")))</f>
        <v/>
      </c>
      <c r="I262" s="101" t="str">
        <f ca="1">IF($B262="", "", IF(_xll.IMDP("IR", $B262, I$6, $C$4, "fill=true")=0, "", _xll.IMDP("IR", $B262, I$6, $C$4, "fill=true")))</f>
        <v/>
      </c>
      <c r="J262" s="101" t="str">
        <f ca="1">IF($B262="", "", IF(_xll.IMDP("IR", $B262, J$6, $C$4, "fill=true")=0, "", _xll.IMDP("IR", $B262, J$6, $C$4, "fill=true")))</f>
        <v/>
      </c>
      <c r="K262" s="101" t="str">
        <f ca="1">IF($B262="", "", IF(_xll.IMDP("IR", $B262, K$6, $C$4, "fill=true")=0, "", _xll.IMDP("IR", $B262, K$6, $C$4, "fill=true")))</f>
        <v/>
      </c>
      <c r="L262" s="101" t="str">
        <f ca="1">IF($B262="", "", IF(_xll.IMDP("IR", $B262, L$6, $C$4, "fill=true")=0, "", _xll.IMDP("IR", $B262, L$6, $C$4, "fill=true")))</f>
        <v/>
      </c>
      <c r="M262" s="101" t="str">
        <f ca="1">IF($B262="", "", IF(_xll.IMDP("IR", $B262, M$6, $C$4, "fill=true")=0, "", _xll.IMDP("IR", $B262, M$6, $C$4, "fill=true")))</f>
        <v/>
      </c>
      <c r="N262" s="101" t="str">
        <f ca="1">IF($B262="", "", IF(_xll.IMDP("IR", $B262, N$6, $C$4, "fill=true")=0, "", _xll.IMDP("IR", $B262, N$6, $C$4, "fill=true")))</f>
        <v/>
      </c>
      <c r="O262" s="101" t="str">
        <f ca="1">IF($B262="", "", IF(_xll.IMDP("IR", $B262, O$6, $C$4, "fill=true")=0, "", _xll.IMDP("IR", $B262, O$6, $C$4, "fill=true")))</f>
        <v/>
      </c>
      <c r="P262" s="101" t="str">
        <f ca="1">IF($B262="", "", IF(_xll.IMDP("IR", $B262, P$6, $C$4, "fill=true")=0, "", _xll.IMDP("IR", $B262, P$6, $C$4, "fill=true")))</f>
        <v/>
      </c>
      <c r="Q262" s="102" t="str">
        <f ca="1">IF($B262="", "", IF(_xll.IMDP("IR", $B262, Q$6, $C$4, "fill=true")=0, "", _xll.IMDP("IR", $B262, Q$6, $C$4, "fill=true")))</f>
        <v/>
      </c>
    </row>
    <row r="263" spans="2:17">
      <c r="B263" s="83" t="str">
        <f ca="1">IFERROR( VLOOKUP(ROW()-ROW($B$6), code!$G$51:$K$1483, 5, 0), "")</f>
        <v/>
      </c>
      <c r="C263" s="96" t="str">
        <f ca="1">IF($B263="", "", _xll.IMDP("IR", $B263, "1일", $C$4, "fill=true, disp=date"))</f>
        <v/>
      </c>
      <c r="D263" s="97" t="str">
        <f ca="1">IF($B263="", "", VLOOKUP(ROW()-ROW($B$6), code!$G$51:$K$1483, 2, 0) )</f>
        <v/>
      </c>
      <c r="E263" s="98" t="str">
        <f ca="1">IF($B263="", "", VLOOKUP(ROW()-ROW($B$6), code!$G$51:$K$1483, 3, 0) )</f>
        <v/>
      </c>
      <c r="F263" s="99" t="str">
        <f ca="1">IF($B263="", "", VLOOKUP(ROW()-ROW($B$6), code!$G$51:$K$1483, 4, 0))</f>
        <v/>
      </c>
      <c r="G263" s="100" t="str">
        <f ca="1">IF($B263="", "", IF(_xll.IMDP("IR", $B263, G$6, $C$4, "fill=true")=0, "", _xll.IMDP("IR", $B263, G$6, $C$4, "fill=true")))</f>
        <v/>
      </c>
      <c r="H263" s="101" t="str">
        <f ca="1">IF($B263="", "", IF(_xll.IMDP("IR", $B263, H$6, $C$4, "fill=true")=0, "", _xll.IMDP("IR", $B263, H$6, $C$4, "fill=true")))</f>
        <v/>
      </c>
      <c r="I263" s="101" t="str">
        <f ca="1">IF($B263="", "", IF(_xll.IMDP("IR", $B263, I$6, $C$4, "fill=true")=0, "", _xll.IMDP("IR", $B263, I$6, $C$4, "fill=true")))</f>
        <v/>
      </c>
      <c r="J263" s="101" t="str">
        <f ca="1">IF($B263="", "", IF(_xll.IMDP("IR", $B263, J$6, $C$4, "fill=true")=0, "", _xll.IMDP("IR", $B263, J$6, $C$4, "fill=true")))</f>
        <v/>
      </c>
      <c r="K263" s="101" t="str">
        <f ca="1">IF($B263="", "", IF(_xll.IMDP("IR", $B263, K$6, $C$4, "fill=true")=0, "", _xll.IMDP("IR", $B263, K$6, $C$4, "fill=true")))</f>
        <v/>
      </c>
      <c r="L263" s="101" t="str">
        <f ca="1">IF($B263="", "", IF(_xll.IMDP("IR", $B263, L$6, $C$4, "fill=true")=0, "", _xll.IMDP("IR", $B263, L$6, $C$4, "fill=true")))</f>
        <v/>
      </c>
      <c r="M263" s="101" t="str">
        <f ca="1">IF($B263="", "", IF(_xll.IMDP("IR", $B263, M$6, $C$4, "fill=true")=0, "", _xll.IMDP("IR", $B263, M$6, $C$4, "fill=true")))</f>
        <v/>
      </c>
      <c r="N263" s="101" t="str">
        <f ca="1">IF($B263="", "", IF(_xll.IMDP("IR", $B263, N$6, $C$4, "fill=true")=0, "", _xll.IMDP("IR", $B263, N$6, $C$4, "fill=true")))</f>
        <v/>
      </c>
      <c r="O263" s="101" t="str">
        <f ca="1">IF($B263="", "", IF(_xll.IMDP("IR", $B263, O$6, $C$4, "fill=true")=0, "", _xll.IMDP("IR", $B263, O$6, $C$4, "fill=true")))</f>
        <v/>
      </c>
      <c r="P263" s="101" t="str">
        <f ca="1">IF($B263="", "", IF(_xll.IMDP("IR", $B263, P$6, $C$4, "fill=true")=0, "", _xll.IMDP("IR", $B263, P$6, $C$4, "fill=true")))</f>
        <v/>
      </c>
      <c r="Q263" s="102" t="str">
        <f ca="1">IF($B263="", "", IF(_xll.IMDP("IR", $B263, Q$6, $C$4, "fill=true")=0, "", _xll.IMDP("IR", $B263, Q$6, $C$4, "fill=true")))</f>
        <v/>
      </c>
    </row>
    <row r="264" spans="2:17">
      <c r="B264" s="83" t="str">
        <f ca="1">IFERROR( VLOOKUP(ROW()-ROW($B$6), code!$G$51:$K$1483, 5, 0), "")</f>
        <v/>
      </c>
      <c r="C264" s="96" t="str">
        <f ca="1">IF($B264="", "", _xll.IMDP("IR", $B264, "1일", $C$4, "fill=true, disp=date"))</f>
        <v/>
      </c>
      <c r="D264" s="97" t="str">
        <f ca="1">IF($B264="", "", VLOOKUP(ROW()-ROW($B$6), code!$G$51:$K$1483, 2, 0) )</f>
        <v/>
      </c>
      <c r="E264" s="98" t="str">
        <f ca="1">IF($B264="", "", VLOOKUP(ROW()-ROW($B$6), code!$G$51:$K$1483, 3, 0) )</f>
        <v/>
      </c>
      <c r="F264" s="99" t="str">
        <f ca="1">IF($B264="", "", VLOOKUP(ROW()-ROW($B$6), code!$G$51:$K$1483, 4, 0))</f>
        <v/>
      </c>
      <c r="G264" s="100" t="str">
        <f ca="1">IF($B264="", "", IF(_xll.IMDP("IR", $B264, G$6, $C$4, "fill=true")=0, "", _xll.IMDP("IR", $B264, G$6, $C$4, "fill=true")))</f>
        <v/>
      </c>
      <c r="H264" s="101" t="str">
        <f ca="1">IF($B264="", "", IF(_xll.IMDP("IR", $B264, H$6, $C$4, "fill=true")=0, "", _xll.IMDP("IR", $B264, H$6, $C$4, "fill=true")))</f>
        <v/>
      </c>
      <c r="I264" s="101" t="str">
        <f ca="1">IF($B264="", "", IF(_xll.IMDP("IR", $B264, I$6, $C$4, "fill=true")=0, "", _xll.IMDP("IR", $B264, I$6, $C$4, "fill=true")))</f>
        <v/>
      </c>
      <c r="J264" s="101" t="str">
        <f ca="1">IF($B264="", "", IF(_xll.IMDP("IR", $B264, J$6, $C$4, "fill=true")=0, "", _xll.IMDP("IR", $B264, J$6, $C$4, "fill=true")))</f>
        <v/>
      </c>
      <c r="K264" s="101" t="str">
        <f ca="1">IF($B264="", "", IF(_xll.IMDP("IR", $B264, K$6, $C$4, "fill=true")=0, "", _xll.IMDP("IR", $B264, K$6, $C$4, "fill=true")))</f>
        <v/>
      </c>
      <c r="L264" s="101" t="str">
        <f ca="1">IF($B264="", "", IF(_xll.IMDP("IR", $B264, L$6, $C$4, "fill=true")=0, "", _xll.IMDP("IR", $B264, L$6, $C$4, "fill=true")))</f>
        <v/>
      </c>
      <c r="M264" s="101" t="str">
        <f ca="1">IF($B264="", "", IF(_xll.IMDP("IR", $B264, M$6, $C$4, "fill=true")=0, "", _xll.IMDP("IR", $B264, M$6, $C$4, "fill=true")))</f>
        <v/>
      </c>
      <c r="N264" s="101" t="str">
        <f ca="1">IF($B264="", "", IF(_xll.IMDP("IR", $B264, N$6, $C$4, "fill=true")=0, "", _xll.IMDP("IR", $B264, N$6, $C$4, "fill=true")))</f>
        <v/>
      </c>
      <c r="O264" s="101" t="str">
        <f ca="1">IF($B264="", "", IF(_xll.IMDP("IR", $B264, O$6, $C$4, "fill=true")=0, "", _xll.IMDP("IR", $B264, O$6, $C$4, "fill=true")))</f>
        <v/>
      </c>
      <c r="P264" s="101" t="str">
        <f ca="1">IF($B264="", "", IF(_xll.IMDP("IR", $B264, P$6, $C$4, "fill=true")=0, "", _xll.IMDP("IR", $B264, P$6, $C$4, "fill=true")))</f>
        <v/>
      </c>
      <c r="Q264" s="102" t="str">
        <f ca="1">IF($B264="", "", IF(_xll.IMDP("IR", $B264, Q$6, $C$4, "fill=true")=0, "", _xll.IMDP("IR", $B264, Q$6, $C$4, "fill=true")))</f>
        <v/>
      </c>
    </row>
    <row r="265" spans="2:17">
      <c r="B265" s="83" t="str">
        <f ca="1">IFERROR( VLOOKUP(ROW()-ROW($B$6), code!$G$51:$K$1483, 5, 0), "")</f>
        <v/>
      </c>
      <c r="C265" s="96" t="str">
        <f ca="1">IF($B265="", "", _xll.IMDP("IR", $B265, "1일", $C$4, "fill=true, disp=date"))</f>
        <v/>
      </c>
      <c r="D265" s="97" t="str">
        <f ca="1">IF($B265="", "", VLOOKUP(ROW()-ROW($B$6), code!$G$51:$K$1483, 2, 0) )</f>
        <v/>
      </c>
      <c r="E265" s="98" t="str">
        <f ca="1">IF($B265="", "", VLOOKUP(ROW()-ROW($B$6), code!$G$51:$K$1483, 3, 0) )</f>
        <v/>
      </c>
      <c r="F265" s="99" t="str">
        <f ca="1">IF($B265="", "", VLOOKUP(ROW()-ROW($B$6), code!$G$51:$K$1483, 4, 0))</f>
        <v/>
      </c>
      <c r="G265" s="100" t="str">
        <f ca="1">IF($B265="", "", IF(_xll.IMDP("IR", $B265, G$6, $C$4, "fill=true")=0, "", _xll.IMDP("IR", $B265, G$6, $C$4, "fill=true")))</f>
        <v/>
      </c>
      <c r="H265" s="101" t="str">
        <f ca="1">IF($B265="", "", IF(_xll.IMDP("IR", $B265, H$6, $C$4, "fill=true")=0, "", _xll.IMDP("IR", $B265, H$6, $C$4, "fill=true")))</f>
        <v/>
      </c>
      <c r="I265" s="101" t="str">
        <f ca="1">IF($B265="", "", IF(_xll.IMDP("IR", $B265, I$6, $C$4, "fill=true")=0, "", _xll.IMDP("IR", $B265, I$6, $C$4, "fill=true")))</f>
        <v/>
      </c>
      <c r="J265" s="101" t="str">
        <f ca="1">IF($B265="", "", IF(_xll.IMDP("IR", $B265, J$6, $C$4, "fill=true")=0, "", _xll.IMDP("IR", $B265, J$6, $C$4, "fill=true")))</f>
        <v/>
      </c>
      <c r="K265" s="101" t="str">
        <f ca="1">IF($B265="", "", IF(_xll.IMDP("IR", $B265, K$6, $C$4, "fill=true")=0, "", _xll.IMDP("IR", $B265, K$6, $C$4, "fill=true")))</f>
        <v/>
      </c>
      <c r="L265" s="101" t="str">
        <f ca="1">IF($B265="", "", IF(_xll.IMDP("IR", $B265, L$6, $C$4, "fill=true")=0, "", _xll.IMDP("IR", $B265, L$6, $C$4, "fill=true")))</f>
        <v/>
      </c>
      <c r="M265" s="101" t="str">
        <f ca="1">IF($B265="", "", IF(_xll.IMDP("IR", $B265, M$6, $C$4, "fill=true")=0, "", _xll.IMDP("IR", $B265, M$6, $C$4, "fill=true")))</f>
        <v/>
      </c>
      <c r="N265" s="101" t="str">
        <f ca="1">IF($B265="", "", IF(_xll.IMDP("IR", $B265, N$6, $C$4, "fill=true")=0, "", _xll.IMDP("IR", $B265, N$6, $C$4, "fill=true")))</f>
        <v/>
      </c>
      <c r="O265" s="101" t="str">
        <f ca="1">IF($B265="", "", IF(_xll.IMDP("IR", $B265, O$6, $C$4, "fill=true")=0, "", _xll.IMDP("IR", $B265, O$6, $C$4, "fill=true")))</f>
        <v/>
      </c>
      <c r="P265" s="101" t="str">
        <f ca="1">IF($B265="", "", IF(_xll.IMDP("IR", $B265, P$6, $C$4, "fill=true")=0, "", _xll.IMDP("IR", $B265, P$6, $C$4, "fill=true")))</f>
        <v/>
      </c>
      <c r="Q265" s="102" t="str">
        <f ca="1">IF($B265="", "", IF(_xll.IMDP("IR", $B265, Q$6, $C$4, "fill=true")=0, "", _xll.IMDP("IR", $B265, Q$6, $C$4, "fill=true")))</f>
        <v/>
      </c>
    </row>
    <row r="266" spans="2:17">
      <c r="B266" s="83" t="str">
        <f ca="1">IFERROR( VLOOKUP(ROW()-ROW($B$6), code!$G$51:$K$1483, 5, 0), "")</f>
        <v/>
      </c>
      <c r="C266" s="96" t="str">
        <f ca="1">IF($B266="", "", _xll.IMDP("IR", $B266, "1일", $C$4, "fill=true, disp=date"))</f>
        <v/>
      </c>
      <c r="D266" s="97" t="str">
        <f ca="1">IF($B266="", "", VLOOKUP(ROW()-ROW($B$6), code!$G$51:$K$1483, 2, 0) )</f>
        <v/>
      </c>
      <c r="E266" s="98" t="str">
        <f ca="1">IF($B266="", "", VLOOKUP(ROW()-ROW($B$6), code!$G$51:$K$1483, 3, 0) )</f>
        <v/>
      </c>
      <c r="F266" s="99" t="str">
        <f ca="1">IF($B266="", "", VLOOKUP(ROW()-ROW($B$6), code!$G$51:$K$1483, 4, 0))</f>
        <v/>
      </c>
      <c r="G266" s="100" t="str">
        <f ca="1">IF($B266="", "", IF(_xll.IMDP("IR", $B266, G$6, $C$4, "fill=true")=0, "", _xll.IMDP("IR", $B266, G$6, $C$4, "fill=true")))</f>
        <v/>
      </c>
      <c r="H266" s="101" t="str">
        <f ca="1">IF($B266="", "", IF(_xll.IMDP("IR", $B266, H$6, $C$4, "fill=true")=0, "", _xll.IMDP("IR", $B266, H$6, $C$4, "fill=true")))</f>
        <v/>
      </c>
      <c r="I266" s="101" t="str">
        <f ca="1">IF($B266="", "", IF(_xll.IMDP("IR", $B266, I$6, $C$4, "fill=true")=0, "", _xll.IMDP("IR", $B266, I$6, $C$4, "fill=true")))</f>
        <v/>
      </c>
      <c r="J266" s="101" t="str">
        <f ca="1">IF($B266="", "", IF(_xll.IMDP("IR", $B266, J$6, $C$4, "fill=true")=0, "", _xll.IMDP("IR", $B266, J$6, $C$4, "fill=true")))</f>
        <v/>
      </c>
      <c r="K266" s="101" t="str">
        <f ca="1">IF($B266="", "", IF(_xll.IMDP("IR", $B266, K$6, $C$4, "fill=true")=0, "", _xll.IMDP("IR", $B266, K$6, $C$4, "fill=true")))</f>
        <v/>
      </c>
      <c r="L266" s="101" t="str">
        <f ca="1">IF($B266="", "", IF(_xll.IMDP("IR", $B266, L$6, $C$4, "fill=true")=0, "", _xll.IMDP("IR", $B266, L$6, $C$4, "fill=true")))</f>
        <v/>
      </c>
      <c r="M266" s="101" t="str">
        <f ca="1">IF($B266="", "", IF(_xll.IMDP("IR", $B266, M$6, $C$4, "fill=true")=0, "", _xll.IMDP("IR", $B266, M$6, $C$4, "fill=true")))</f>
        <v/>
      </c>
      <c r="N266" s="101" t="str">
        <f ca="1">IF($B266="", "", IF(_xll.IMDP("IR", $B266, N$6, $C$4, "fill=true")=0, "", _xll.IMDP("IR", $B266, N$6, $C$4, "fill=true")))</f>
        <v/>
      </c>
      <c r="O266" s="101" t="str">
        <f ca="1">IF($B266="", "", IF(_xll.IMDP("IR", $B266, O$6, $C$4, "fill=true")=0, "", _xll.IMDP("IR", $B266, O$6, $C$4, "fill=true")))</f>
        <v/>
      </c>
      <c r="P266" s="101" t="str">
        <f ca="1">IF($B266="", "", IF(_xll.IMDP("IR", $B266, P$6, $C$4, "fill=true")=0, "", _xll.IMDP("IR", $B266, P$6, $C$4, "fill=true")))</f>
        <v/>
      </c>
      <c r="Q266" s="102" t="str">
        <f ca="1">IF($B266="", "", IF(_xll.IMDP("IR", $B266, Q$6, $C$4, "fill=true")=0, "", _xll.IMDP("IR", $B266, Q$6, $C$4, "fill=true")))</f>
        <v/>
      </c>
    </row>
    <row r="267" spans="2:17">
      <c r="B267" s="83" t="str">
        <f ca="1">IFERROR( VLOOKUP(ROW()-ROW($B$6), code!$G$51:$K$1483, 5, 0), "")</f>
        <v/>
      </c>
      <c r="C267" s="96" t="str">
        <f ca="1">IF($B267="", "", _xll.IMDP("IR", $B267, "1일", $C$4, "fill=true, disp=date"))</f>
        <v/>
      </c>
      <c r="D267" s="97" t="str">
        <f ca="1">IF($B267="", "", VLOOKUP(ROW()-ROW($B$6), code!$G$51:$K$1483, 2, 0) )</f>
        <v/>
      </c>
      <c r="E267" s="98" t="str">
        <f ca="1">IF($B267="", "", VLOOKUP(ROW()-ROW($B$6), code!$G$51:$K$1483, 3, 0) )</f>
        <v/>
      </c>
      <c r="F267" s="99" t="str">
        <f ca="1">IF($B267="", "", VLOOKUP(ROW()-ROW($B$6), code!$G$51:$K$1483, 4, 0))</f>
        <v/>
      </c>
      <c r="G267" s="100" t="str">
        <f ca="1">IF($B267="", "", IF(_xll.IMDP("IR", $B267, G$6, $C$4, "fill=true")=0, "", _xll.IMDP("IR", $B267, G$6, $C$4, "fill=true")))</f>
        <v/>
      </c>
      <c r="H267" s="101" t="str">
        <f ca="1">IF($B267="", "", IF(_xll.IMDP("IR", $B267, H$6, $C$4, "fill=true")=0, "", _xll.IMDP("IR", $B267, H$6, $C$4, "fill=true")))</f>
        <v/>
      </c>
      <c r="I267" s="101" t="str">
        <f ca="1">IF($B267="", "", IF(_xll.IMDP("IR", $B267, I$6, $C$4, "fill=true")=0, "", _xll.IMDP("IR", $B267, I$6, $C$4, "fill=true")))</f>
        <v/>
      </c>
      <c r="J267" s="101" t="str">
        <f ca="1">IF($B267="", "", IF(_xll.IMDP("IR", $B267, J$6, $C$4, "fill=true")=0, "", _xll.IMDP("IR", $B267, J$6, $C$4, "fill=true")))</f>
        <v/>
      </c>
      <c r="K267" s="101" t="str">
        <f ca="1">IF($B267="", "", IF(_xll.IMDP("IR", $B267, K$6, $C$4, "fill=true")=0, "", _xll.IMDP("IR", $B267, K$6, $C$4, "fill=true")))</f>
        <v/>
      </c>
      <c r="L267" s="101" t="str">
        <f ca="1">IF($B267="", "", IF(_xll.IMDP("IR", $B267, L$6, $C$4, "fill=true")=0, "", _xll.IMDP("IR", $B267, L$6, $C$4, "fill=true")))</f>
        <v/>
      </c>
      <c r="M267" s="101" t="str">
        <f ca="1">IF($B267="", "", IF(_xll.IMDP("IR", $B267, M$6, $C$4, "fill=true")=0, "", _xll.IMDP("IR", $B267, M$6, $C$4, "fill=true")))</f>
        <v/>
      </c>
      <c r="N267" s="101" t="str">
        <f ca="1">IF($B267="", "", IF(_xll.IMDP("IR", $B267, N$6, $C$4, "fill=true")=0, "", _xll.IMDP("IR", $B267, N$6, $C$4, "fill=true")))</f>
        <v/>
      </c>
      <c r="O267" s="101" t="str">
        <f ca="1">IF($B267="", "", IF(_xll.IMDP("IR", $B267, O$6, $C$4, "fill=true")=0, "", _xll.IMDP("IR", $B267, O$6, $C$4, "fill=true")))</f>
        <v/>
      </c>
      <c r="P267" s="101" t="str">
        <f ca="1">IF($B267="", "", IF(_xll.IMDP("IR", $B267, P$6, $C$4, "fill=true")=0, "", _xll.IMDP("IR", $B267, P$6, $C$4, "fill=true")))</f>
        <v/>
      </c>
      <c r="Q267" s="102" t="str">
        <f ca="1">IF($B267="", "", IF(_xll.IMDP("IR", $B267, Q$6, $C$4, "fill=true")=0, "", _xll.IMDP("IR", $B267, Q$6, $C$4, "fill=true")))</f>
        <v/>
      </c>
    </row>
    <row r="268" spans="2:17">
      <c r="B268" s="83" t="str">
        <f ca="1">IFERROR( VLOOKUP(ROW()-ROW($B$6), code!$G$51:$K$1483, 5, 0), "")</f>
        <v/>
      </c>
      <c r="C268" s="96" t="str">
        <f ca="1">IF($B268="", "", _xll.IMDP("IR", $B268, "1일", $C$4, "fill=true, disp=date"))</f>
        <v/>
      </c>
      <c r="D268" s="97" t="str">
        <f ca="1">IF($B268="", "", VLOOKUP(ROW()-ROW($B$6), code!$G$51:$K$1483, 2, 0) )</f>
        <v/>
      </c>
      <c r="E268" s="98" t="str">
        <f ca="1">IF($B268="", "", VLOOKUP(ROW()-ROW($B$6), code!$G$51:$K$1483, 3, 0) )</f>
        <v/>
      </c>
      <c r="F268" s="99" t="str">
        <f ca="1">IF($B268="", "", VLOOKUP(ROW()-ROW($B$6), code!$G$51:$K$1483, 4, 0))</f>
        <v/>
      </c>
      <c r="G268" s="100" t="str">
        <f ca="1">IF($B268="", "", IF(_xll.IMDP("IR", $B268, G$6, $C$4, "fill=true")=0, "", _xll.IMDP("IR", $B268, G$6, $C$4, "fill=true")))</f>
        <v/>
      </c>
      <c r="H268" s="101" t="str">
        <f ca="1">IF($B268="", "", IF(_xll.IMDP("IR", $B268, H$6, $C$4, "fill=true")=0, "", _xll.IMDP("IR", $B268, H$6, $C$4, "fill=true")))</f>
        <v/>
      </c>
      <c r="I268" s="101" t="str">
        <f ca="1">IF($B268="", "", IF(_xll.IMDP("IR", $B268, I$6, $C$4, "fill=true")=0, "", _xll.IMDP("IR", $B268, I$6, $C$4, "fill=true")))</f>
        <v/>
      </c>
      <c r="J268" s="101" t="str">
        <f ca="1">IF($B268="", "", IF(_xll.IMDP("IR", $B268, J$6, $C$4, "fill=true")=0, "", _xll.IMDP("IR", $B268, J$6, $C$4, "fill=true")))</f>
        <v/>
      </c>
      <c r="K268" s="101" t="str">
        <f ca="1">IF($B268="", "", IF(_xll.IMDP("IR", $B268, K$6, $C$4, "fill=true")=0, "", _xll.IMDP("IR", $B268, K$6, $C$4, "fill=true")))</f>
        <v/>
      </c>
      <c r="L268" s="101" t="str">
        <f ca="1">IF($B268="", "", IF(_xll.IMDP("IR", $B268, L$6, $C$4, "fill=true")=0, "", _xll.IMDP("IR", $B268, L$6, $C$4, "fill=true")))</f>
        <v/>
      </c>
      <c r="M268" s="101" t="str">
        <f ca="1">IF($B268="", "", IF(_xll.IMDP("IR", $B268, M$6, $C$4, "fill=true")=0, "", _xll.IMDP("IR", $B268, M$6, $C$4, "fill=true")))</f>
        <v/>
      </c>
      <c r="N268" s="101" t="str">
        <f ca="1">IF($B268="", "", IF(_xll.IMDP("IR", $B268, N$6, $C$4, "fill=true")=0, "", _xll.IMDP("IR", $B268, N$6, $C$4, "fill=true")))</f>
        <v/>
      </c>
      <c r="O268" s="101" t="str">
        <f ca="1">IF($B268="", "", IF(_xll.IMDP("IR", $B268, O$6, $C$4, "fill=true")=0, "", _xll.IMDP("IR", $B268, O$6, $C$4, "fill=true")))</f>
        <v/>
      </c>
      <c r="P268" s="101" t="str">
        <f ca="1">IF($B268="", "", IF(_xll.IMDP("IR", $B268, P$6, $C$4, "fill=true")=0, "", _xll.IMDP("IR", $B268, P$6, $C$4, "fill=true")))</f>
        <v/>
      </c>
      <c r="Q268" s="102" t="str">
        <f ca="1">IF($B268="", "", IF(_xll.IMDP("IR", $B268, Q$6, $C$4, "fill=true")=0, "", _xll.IMDP("IR", $B268, Q$6, $C$4, "fill=true")))</f>
        <v/>
      </c>
    </row>
    <row r="269" spans="2:17">
      <c r="B269" s="83" t="str">
        <f ca="1">IFERROR( VLOOKUP(ROW()-ROW($B$6), code!$G$51:$K$1483, 5, 0), "")</f>
        <v/>
      </c>
      <c r="C269" s="96" t="str">
        <f ca="1">IF($B269="", "", _xll.IMDP("IR", $B269, "1일", $C$4, "fill=true, disp=date"))</f>
        <v/>
      </c>
      <c r="D269" s="97" t="str">
        <f ca="1">IF($B269="", "", VLOOKUP(ROW()-ROW($B$6), code!$G$51:$K$1483, 2, 0) )</f>
        <v/>
      </c>
      <c r="E269" s="98" t="str">
        <f ca="1">IF($B269="", "", VLOOKUP(ROW()-ROW($B$6), code!$G$51:$K$1483, 3, 0) )</f>
        <v/>
      </c>
      <c r="F269" s="99" t="str">
        <f ca="1">IF($B269="", "", VLOOKUP(ROW()-ROW($B$6), code!$G$51:$K$1483, 4, 0))</f>
        <v/>
      </c>
      <c r="G269" s="100" t="str">
        <f ca="1">IF($B269="", "", IF(_xll.IMDP("IR", $B269, G$6, $C$4, "fill=true")=0, "", _xll.IMDP("IR", $B269, G$6, $C$4, "fill=true")))</f>
        <v/>
      </c>
      <c r="H269" s="101" t="str">
        <f ca="1">IF($B269="", "", IF(_xll.IMDP("IR", $B269, H$6, $C$4, "fill=true")=0, "", _xll.IMDP("IR", $B269, H$6, $C$4, "fill=true")))</f>
        <v/>
      </c>
      <c r="I269" s="101" t="str">
        <f ca="1">IF($B269="", "", IF(_xll.IMDP("IR", $B269, I$6, $C$4, "fill=true")=0, "", _xll.IMDP("IR", $B269, I$6, $C$4, "fill=true")))</f>
        <v/>
      </c>
      <c r="J269" s="101" t="str">
        <f ca="1">IF($B269="", "", IF(_xll.IMDP("IR", $B269, J$6, $C$4, "fill=true")=0, "", _xll.IMDP("IR", $B269, J$6, $C$4, "fill=true")))</f>
        <v/>
      </c>
      <c r="K269" s="101" t="str">
        <f ca="1">IF($B269="", "", IF(_xll.IMDP("IR", $B269, K$6, $C$4, "fill=true")=0, "", _xll.IMDP("IR", $B269, K$6, $C$4, "fill=true")))</f>
        <v/>
      </c>
      <c r="L269" s="101" t="str">
        <f ca="1">IF($B269="", "", IF(_xll.IMDP("IR", $B269, L$6, $C$4, "fill=true")=0, "", _xll.IMDP("IR", $B269, L$6, $C$4, "fill=true")))</f>
        <v/>
      </c>
      <c r="M269" s="101" t="str">
        <f ca="1">IF($B269="", "", IF(_xll.IMDP("IR", $B269, M$6, $C$4, "fill=true")=0, "", _xll.IMDP("IR", $B269, M$6, $C$4, "fill=true")))</f>
        <v/>
      </c>
      <c r="N269" s="101" t="str">
        <f ca="1">IF($B269="", "", IF(_xll.IMDP("IR", $B269, N$6, $C$4, "fill=true")=0, "", _xll.IMDP("IR", $B269, N$6, $C$4, "fill=true")))</f>
        <v/>
      </c>
      <c r="O269" s="101" t="str">
        <f ca="1">IF($B269="", "", IF(_xll.IMDP("IR", $B269, O$6, $C$4, "fill=true")=0, "", _xll.IMDP("IR", $B269, O$6, $C$4, "fill=true")))</f>
        <v/>
      </c>
      <c r="P269" s="101" t="str">
        <f ca="1">IF($B269="", "", IF(_xll.IMDP("IR", $B269, P$6, $C$4, "fill=true")=0, "", _xll.IMDP("IR", $B269, P$6, $C$4, "fill=true")))</f>
        <v/>
      </c>
      <c r="Q269" s="102" t="str">
        <f ca="1">IF($B269="", "", IF(_xll.IMDP("IR", $B269, Q$6, $C$4, "fill=true")=0, "", _xll.IMDP("IR", $B269, Q$6, $C$4, "fill=true")))</f>
        <v/>
      </c>
    </row>
    <row r="270" spans="2:17">
      <c r="B270" s="83" t="str">
        <f ca="1">IFERROR( VLOOKUP(ROW()-ROW($B$6), code!$G$51:$K$1483, 5, 0), "")</f>
        <v/>
      </c>
      <c r="C270" s="96" t="str">
        <f ca="1">IF($B270="", "", _xll.IMDP("IR", $B270, "1일", $C$4, "fill=true, disp=date"))</f>
        <v/>
      </c>
      <c r="D270" s="97" t="str">
        <f ca="1">IF($B270="", "", VLOOKUP(ROW()-ROW($B$6), code!$G$51:$K$1483, 2, 0) )</f>
        <v/>
      </c>
      <c r="E270" s="98" t="str">
        <f ca="1">IF($B270="", "", VLOOKUP(ROW()-ROW($B$6), code!$G$51:$K$1483, 3, 0) )</f>
        <v/>
      </c>
      <c r="F270" s="99" t="str">
        <f ca="1">IF($B270="", "", VLOOKUP(ROW()-ROW($B$6), code!$G$51:$K$1483, 4, 0))</f>
        <v/>
      </c>
      <c r="G270" s="100" t="str">
        <f ca="1">IF($B270="", "", IF(_xll.IMDP("IR", $B270, G$6, $C$4, "fill=true")=0, "", _xll.IMDP("IR", $B270, G$6, $C$4, "fill=true")))</f>
        <v/>
      </c>
      <c r="H270" s="101" t="str">
        <f ca="1">IF($B270="", "", IF(_xll.IMDP("IR", $B270, H$6, $C$4, "fill=true")=0, "", _xll.IMDP("IR", $B270, H$6, $C$4, "fill=true")))</f>
        <v/>
      </c>
      <c r="I270" s="101" t="str">
        <f ca="1">IF($B270="", "", IF(_xll.IMDP("IR", $B270, I$6, $C$4, "fill=true")=0, "", _xll.IMDP("IR", $B270, I$6, $C$4, "fill=true")))</f>
        <v/>
      </c>
      <c r="J270" s="101" t="str">
        <f ca="1">IF($B270="", "", IF(_xll.IMDP("IR", $B270, J$6, $C$4, "fill=true")=0, "", _xll.IMDP("IR", $B270, J$6, $C$4, "fill=true")))</f>
        <v/>
      </c>
      <c r="K270" s="101" t="str">
        <f ca="1">IF($B270="", "", IF(_xll.IMDP("IR", $B270, K$6, $C$4, "fill=true")=0, "", _xll.IMDP("IR", $B270, K$6, $C$4, "fill=true")))</f>
        <v/>
      </c>
      <c r="L270" s="101" t="str">
        <f ca="1">IF($B270="", "", IF(_xll.IMDP("IR", $B270, L$6, $C$4, "fill=true")=0, "", _xll.IMDP("IR", $B270, L$6, $C$4, "fill=true")))</f>
        <v/>
      </c>
      <c r="M270" s="101" t="str">
        <f ca="1">IF($B270="", "", IF(_xll.IMDP("IR", $B270, M$6, $C$4, "fill=true")=0, "", _xll.IMDP("IR", $B270, M$6, $C$4, "fill=true")))</f>
        <v/>
      </c>
      <c r="N270" s="101" t="str">
        <f ca="1">IF($B270="", "", IF(_xll.IMDP("IR", $B270, N$6, $C$4, "fill=true")=0, "", _xll.IMDP("IR", $B270, N$6, $C$4, "fill=true")))</f>
        <v/>
      </c>
      <c r="O270" s="101" t="str">
        <f ca="1">IF($B270="", "", IF(_xll.IMDP("IR", $B270, O$6, $C$4, "fill=true")=0, "", _xll.IMDP("IR", $B270, O$6, $C$4, "fill=true")))</f>
        <v/>
      </c>
      <c r="P270" s="101" t="str">
        <f ca="1">IF($B270="", "", IF(_xll.IMDP("IR", $B270, P$6, $C$4, "fill=true")=0, "", _xll.IMDP("IR", $B270, P$6, $C$4, "fill=true")))</f>
        <v/>
      </c>
      <c r="Q270" s="102" t="str">
        <f ca="1">IF($B270="", "", IF(_xll.IMDP("IR", $B270, Q$6, $C$4, "fill=true")=0, "", _xll.IMDP("IR", $B270, Q$6, $C$4, "fill=true")))</f>
        <v/>
      </c>
    </row>
    <row r="271" spans="2:17">
      <c r="B271" s="83" t="str">
        <f ca="1">IFERROR( VLOOKUP(ROW()-ROW($B$6), code!$G$51:$K$1483, 5, 0), "")</f>
        <v/>
      </c>
      <c r="C271" s="96" t="str">
        <f ca="1">IF($B271="", "", _xll.IMDP("IR", $B271, "1일", $C$4, "fill=true, disp=date"))</f>
        <v/>
      </c>
      <c r="D271" s="97" t="str">
        <f ca="1">IF($B271="", "", VLOOKUP(ROW()-ROW($B$6), code!$G$51:$K$1483, 2, 0) )</f>
        <v/>
      </c>
      <c r="E271" s="98" t="str">
        <f ca="1">IF($B271="", "", VLOOKUP(ROW()-ROW($B$6), code!$G$51:$K$1483, 3, 0) )</f>
        <v/>
      </c>
      <c r="F271" s="99" t="str">
        <f ca="1">IF($B271="", "", VLOOKUP(ROW()-ROW($B$6), code!$G$51:$K$1483, 4, 0))</f>
        <v/>
      </c>
      <c r="G271" s="100" t="str">
        <f ca="1">IF($B271="", "", IF(_xll.IMDP("IR", $B271, G$6, $C$4, "fill=true")=0, "", _xll.IMDP("IR", $B271, G$6, $C$4, "fill=true")))</f>
        <v/>
      </c>
      <c r="H271" s="101" t="str">
        <f ca="1">IF($B271="", "", IF(_xll.IMDP("IR", $B271, H$6, $C$4, "fill=true")=0, "", _xll.IMDP("IR", $B271, H$6, $C$4, "fill=true")))</f>
        <v/>
      </c>
      <c r="I271" s="101" t="str">
        <f ca="1">IF($B271="", "", IF(_xll.IMDP("IR", $B271, I$6, $C$4, "fill=true")=0, "", _xll.IMDP("IR", $B271, I$6, $C$4, "fill=true")))</f>
        <v/>
      </c>
      <c r="J271" s="101" t="str">
        <f ca="1">IF($B271="", "", IF(_xll.IMDP("IR", $B271, J$6, $C$4, "fill=true")=0, "", _xll.IMDP("IR", $B271, J$6, $C$4, "fill=true")))</f>
        <v/>
      </c>
      <c r="K271" s="101" t="str">
        <f ca="1">IF($B271="", "", IF(_xll.IMDP("IR", $B271, K$6, $C$4, "fill=true")=0, "", _xll.IMDP("IR", $B271, K$6, $C$4, "fill=true")))</f>
        <v/>
      </c>
      <c r="L271" s="101" t="str">
        <f ca="1">IF($B271="", "", IF(_xll.IMDP("IR", $B271, L$6, $C$4, "fill=true")=0, "", _xll.IMDP("IR", $B271, L$6, $C$4, "fill=true")))</f>
        <v/>
      </c>
      <c r="M271" s="101" t="str">
        <f ca="1">IF($B271="", "", IF(_xll.IMDP("IR", $B271, M$6, $C$4, "fill=true")=0, "", _xll.IMDP("IR", $B271, M$6, $C$4, "fill=true")))</f>
        <v/>
      </c>
      <c r="N271" s="101" t="str">
        <f ca="1">IF($B271="", "", IF(_xll.IMDP("IR", $B271, N$6, $C$4, "fill=true")=0, "", _xll.IMDP("IR", $B271, N$6, $C$4, "fill=true")))</f>
        <v/>
      </c>
      <c r="O271" s="101" t="str">
        <f ca="1">IF($B271="", "", IF(_xll.IMDP("IR", $B271, O$6, $C$4, "fill=true")=0, "", _xll.IMDP("IR", $B271, O$6, $C$4, "fill=true")))</f>
        <v/>
      </c>
      <c r="P271" s="101" t="str">
        <f ca="1">IF($B271="", "", IF(_xll.IMDP("IR", $B271, P$6, $C$4, "fill=true")=0, "", _xll.IMDP("IR", $B271, P$6, $C$4, "fill=true")))</f>
        <v/>
      </c>
      <c r="Q271" s="102" t="str">
        <f ca="1">IF($B271="", "", IF(_xll.IMDP("IR", $B271, Q$6, $C$4, "fill=true")=0, "", _xll.IMDP("IR", $B271, Q$6, $C$4, "fill=true")))</f>
        <v/>
      </c>
    </row>
    <row r="272" spans="2:17">
      <c r="B272" s="83" t="str">
        <f ca="1">IFERROR( VLOOKUP(ROW()-ROW($B$6), code!$G$51:$K$1483, 5, 0), "")</f>
        <v/>
      </c>
      <c r="C272" s="96" t="str">
        <f ca="1">IF($B272="", "", _xll.IMDP("IR", $B272, "1일", $C$4, "fill=true, disp=date"))</f>
        <v/>
      </c>
      <c r="D272" s="97" t="str">
        <f ca="1">IF($B272="", "", VLOOKUP(ROW()-ROW($B$6), code!$G$51:$K$1483, 2, 0) )</f>
        <v/>
      </c>
      <c r="E272" s="98" t="str">
        <f ca="1">IF($B272="", "", VLOOKUP(ROW()-ROW($B$6), code!$G$51:$K$1483, 3, 0) )</f>
        <v/>
      </c>
      <c r="F272" s="99" t="str">
        <f ca="1">IF($B272="", "", VLOOKUP(ROW()-ROW($B$6), code!$G$51:$K$1483, 4, 0))</f>
        <v/>
      </c>
      <c r="G272" s="100" t="str">
        <f ca="1">IF($B272="", "", IF(_xll.IMDP("IR", $B272, G$6, $C$4, "fill=true")=0, "", _xll.IMDP("IR", $B272, G$6, $C$4, "fill=true")))</f>
        <v/>
      </c>
      <c r="H272" s="101" t="str">
        <f ca="1">IF($B272="", "", IF(_xll.IMDP("IR", $B272, H$6, $C$4, "fill=true")=0, "", _xll.IMDP("IR", $B272, H$6, $C$4, "fill=true")))</f>
        <v/>
      </c>
      <c r="I272" s="101" t="str">
        <f ca="1">IF($B272="", "", IF(_xll.IMDP("IR", $B272, I$6, $C$4, "fill=true")=0, "", _xll.IMDP("IR", $B272, I$6, $C$4, "fill=true")))</f>
        <v/>
      </c>
      <c r="J272" s="101" t="str">
        <f ca="1">IF($B272="", "", IF(_xll.IMDP("IR", $B272, J$6, $C$4, "fill=true")=0, "", _xll.IMDP("IR", $B272, J$6, $C$4, "fill=true")))</f>
        <v/>
      </c>
      <c r="K272" s="101" t="str">
        <f ca="1">IF($B272="", "", IF(_xll.IMDP("IR", $B272, K$6, $C$4, "fill=true")=0, "", _xll.IMDP("IR", $B272, K$6, $C$4, "fill=true")))</f>
        <v/>
      </c>
      <c r="L272" s="101" t="str">
        <f ca="1">IF($B272="", "", IF(_xll.IMDP("IR", $B272, L$6, $C$4, "fill=true")=0, "", _xll.IMDP("IR", $B272, L$6, $C$4, "fill=true")))</f>
        <v/>
      </c>
      <c r="M272" s="101" t="str">
        <f ca="1">IF($B272="", "", IF(_xll.IMDP("IR", $B272, M$6, $C$4, "fill=true")=0, "", _xll.IMDP("IR", $B272, M$6, $C$4, "fill=true")))</f>
        <v/>
      </c>
      <c r="N272" s="101" t="str">
        <f ca="1">IF($B272="", "", IF(_xll.IMDP("IR", $B272, N$6, $C$4, "fill=true")=0, "", _xll.IMDP("IR", $B272, N$6, $C$4, "fill=true")))</f>
        <v/>
      </c>
      <c r="O272" s="101" t="str">
        <f ca="1">IF($B272="", "", IF(_xll.IMDP("IR", $B272, O$6, $C$4, "fill=true")=0, "", _xll.IMDP("IR", $B272, O$6, $C$4, "fill=true")))</f>
        <v/>
      </c>
      <c r="P272" s="101" t="str">
        <f ca="1">IF($B272="", "", IF(_xll.IMDP("IR", $B272, P$6, $C$4, "fill=true")=0, "", _xll.IMDP("IR", $B272, P$6, $C$4, "fill=true")))</f>
        <v/>
      </c>
      <c r="Q272" s="102" t="str">
        <f ca="1">IF($B272="", "", IF(_xll.IMDP("IR", $B272, Q$6, $C$4, "fill=true")=0, "", _xll.IMDP("IR", $B272, Q$6, $C$4, "fill=true")))</f>
        <v/>
      </c>
    </row>
    <row r="273" spans="2:17">
      <c r="B273" s="83" t="str">
        <f ca="1">IFERROR( VLOOKUP(ROW()-ROW($B$6), code!$G$51:$K$1483, 5, 0), "")</f>
        <v/>
      </c>
      <c r="C273" s="96" t="str">
        <f ca="1">IF($B273="", "", _xll.IMDP("IR", $B273, "1일", $C$4, "fill=true, disp=date"))</f>
        <v/>
      </c>
      <c r="D273" s="97" t="str">
        <f ca="1">IF($B273="", "", VLOOKUP(ROW()-ROW($B$6), code!$G$51:$K$1483, 2, 0) )</f>
        <v/>
      </c>
      <c r="E273" s="98" t="str">
        <f ca="1">IF($B273="", "", VLOOKUP(ROW()-ROW($B$6), code!$G$51:$K$1483, 3, 0) )</f>
        <v/>
      </c>
      <c r="F273" s="99" t="str">
        <f ca="1">IF($B273="", "", VLOOKUP(ROW()-ROW($B$6), code!$G$51:$K$1483, 4, 0))</f>
        <v/>
      </c>
      <c r="G273" s="100" t="str">
        <f ca="1">IF($B273="", "", IF(_xll.IMDP("IR", $B273, G$6, $C$4, "fill=true")=0, "", _xll.IMDP("IR", $B273, G$6, $C$4, "fill=true")))</f>
        <v/>
      </c>
      <c r="H273" s="101" t="str">
        <f ca="1">IF($B273="", "", IF(_xll.IMDP("IR", $B273, H$6, $C$4, "fill=true")=0, "", _xll.IMDP("IR", $B273, H$6, $C$4, "fill=true")))</f>
        <v/>
      </c>
      <c r="I273" s="101" t="str">
        <f ca="1">IF($B273="", "", IF(_xll.IMDP("IR", $B273, I$6, $C$4, "fill=true")=0, "", _xll.IMDP("IR", $B273, I$6, $C$4, "fill=true")))</f>
        <v/>
      </c>
      <c r="J273" s="101" t="str">
        <f ca="1">IF($B273="", "", IF(_xll.IMDP("IR", $B273, J$6, $C$4, "fill=true")=0, "", _xll.IMDP("IR", $B273, J$6, $C$4, "fill=true")))</f>
        <v/>
      </c>
      <c r="K273" s="101" t="str">
        <f ca="1">IF($B273="", "", IF(_xll.IMDP("IR", $B273, K$6, $C$4, "fill=true")=0, "", _xll.IMDP("IR", $B273, K$6, $C$4, "fill=true")))</f>
        <v/>
      </c>
      <c r="L273" s="101" t="str">
        <f ca="1">IF($B273="", "", IF(_xll.IMDP("IR", $B273, L$6, $C$4, "fill=true")=0, "", _xll.IMDP("IR", $B273, L$6, $C$4, "fill=true")))</f>
        <v/>
      </c>
      <c r="M273" s="101" t="str">
        <f ca="1">IF($B273="", "", IF(_xll.IMDP("IR", $B273, M$6, $C$4, "fill=true")=0, "", _xll.IMDP("IR", $B273, M$6, $C$4, "fill=true")))</f>
        <v/>
      </c>
      <c r="N273" s="101" t="str">
        <f ca="1">IF($B273="", "", IF(_xll.IMDP("IR", $B273, N$6, $C$4, "fill=true")=0, "", _xll.IMDP("IR", $B273, N$6, $C$4, "fill=true")))</f>
        <v/>
      </c>
      <c r="O273" s="101" t="str">
        <f ca="1">IF($B273="", "", IF(_xll.IMDP("IR", $B273, O$6, $C$4, "fill=true")=0, "", _xll.IMDP("IR", $B273, O$6, $C$4, "fill=true")))</f>
        <v/>
      </c>
      <c r="P273" s="101" t="str">
        <f ca="1">IF($B273="", "", IF(_xll.IMDP("IR", $B273, P$6, $C$4, "fill=true")=0, "", _xll.IMDP("IR", $B273, P$6, $C$4, "fill=true")))</f>
        <v/>
      </c>
      <c r="Q273" s="102" t="str">
        <f ca="1">IF($B273="", "", IF(_xll.IMDP("IR", $B273, Q$6, $C$4, "fill=true")=0, "", _xll.IMDP("IR", $B273, Q$6, $C$4, "fill=true")))</f>
        <v/>
      </c>
    </row>
    <row r="274" spans="2:17">
      <c r="B274" s="83" t="str">
        <f ca="1">IFERROR( VLOOKUP(ROW()-ROW($B$6), code!$G$51:$K$1483, 5, 0), "")</f>
        <v/>
      </c>
      <c r="C274" s="96" t="str">
        <f ca="1">IF($B274="", "", _xll.IMDP("IR", $B274, "1일", $C$4, "fill=true, disp=date"))</f>
        <v/>
      </c>
      <c r="D274" s="97" t="str">
        <f ca="1">IF($B274="", "", VLOOKUP(ROW()-ROW($B$6), code!$G$51:$K$1483, 2, 0) )</f>
        <v/>
      </c>
      <c r="E274" s="98" t="str">
        <f ca="1">IF($B274="", "", VLOOKUP(ROW()-ROW($B$6), code!$G$51:$K$1483, 3, 0) )</f>
        <v/>
      </c>
      <c r="F274" s="99" t="str">
        <f ca="1">IF($B274="", "", VLOOKUP(ROW()-ROW($B$6), code!$G$51:$K$1483, 4, 0))</f>
        <v/>
      </c>
      <c r="G274" s="100" t="str">
        <f ca="1">IF($B274="", "", IF(_xll.IMDP("IR", $B274, G$6, $C$4, "fill=true")=0, "", _xll.IMDP("IR", $B274, G$6, $C$4, "fill=true")))</f>
        <v/>
      </c>
      <c r="H274" s="101" t="str">
        <f ca="1">IF($B274="", "", IF(_xll.IMDP("IR", $B274, H$6, $C$4, "fill=true")=0, "", _xll.IMDP("IR", $B274, H$6, $C$4, "fill=true")))</f>
        <v/>
      </c>
      <c r="I274" s="101" t="str">
        <f ca="1">IF($B274="", "", IF(_xll.IMDP("IR", $B274, I$6, $C$4, "fill=true")=0, "", _xll.IMDP("IR", $B274, I$6, $C$4, "fill=true")))</f>
        <v/>
      </c>
      <c r="J274" s="101" t="str">
        <f ca="1">IF($B274="", "", IF(_xll.IMDP("IR", $B274, J$6, $C$4, "fill=true")=0, "", _xll.IMDP("IR", $B274, J$6, $C$4, "fill=true")))</f>
        <v/>
      </c>
      <c r="K274" s="101" t="str">
        <f ca="1">IF($B274="", "", IF(_xll.IMDP("IR", $B274, K$6, $C$4, "fill=true")=0, "", _xll.IMDP("IR", $B274, K$6, $C$4, "fill=true")))</f>
        <v/>
      </c>
      <c r="L274" s="101" t="str">
        <f ca="1">IF($B274="", "", IF(_xll.IMDP("IR", $B274, L$6, $C$4, "fill=true")=0, "", _xll.IMDP("IR", $B274, L$6, $C$4, "fill=true")))</f>
        <v/>
      </c>
      <c r="M274" s="101" t="str">
        <f ca="1">IF($B274="", "", IF(_xll.IMDP("IR", $B274, M$6, $C$4, "fill=true")=0, "", _xll.IMDP("IR", $B274, M$6, $C$4, "fill=true")))</f>
        <v/>
      </c>
      <c r="N274" s="101" t="str">
        <f ca="1">IF($B274="", "", IF(_xll.IMDP("IR", $B274, N$6, $C$4, "fill=true")=0, "", _xll.IMDP("IR", $B274, N$6, $C$4, "fill=true")))</f>
        <v/>
      </c>
      <c r="O274" s="101" t="str">
        <f ca="1">IF($B274="", "", IF(_xll.IMDP("IR", $B274, O$6, $C$4, "fill=true")=0, "", _xll.IMDP("IR", $B274, O$6, $C$4, "fill=true")))</f>
        <v/>
      </c>
      <c r="P274" s="101" t="str">
        <f ca="1">IF($B274="", "", IF(_xll.IMDP("IR", $B274, P$6, $C$4, "fill=true")=0, "", _xll.IMDP("IR", $B274, P$6, $C$4, "fill=true")))</f>
        <v/>
      </c>
      <c r="Q274" s="102" t="str">
        <f ca="1">IF($B274="", "", IF(_xll.IMDP("IR", $B274, Q$6, $C$4, "fill=true")=0, "", _xll.IMDP("IR", $B274, Q$6, $C$4, "fill=true")))</f>
        <v/>
      </c>
    </row>
    <row r="275" spans="2:17">
      <c r="B275" s="83" t="str">
        <f ca="1">IFERROR( VLOOKUP(ROW()-ROW($B$6), code!$G$51:$K$1483, 5, 0), "")</f>
        <v/>
      </c>
      <c r="C275" s="96" t="str">
        <f ca="1">IF($B275="", "", _xll.IMDP("IR", $B275, "1일", $C$4, "fill=true, disp=date"))</f>
        <v/>
      </c>
      <c r="D275" s="97" t="str">
        <f ca="1">IF($B275="", "", VLOOKUP(ROW()-ROW($B$6), code!$G$51:$K$1483, 2, 0) )</f>
        <v/>
      </c>
      <c r="E275" s="98" t="str">
        <f ca="1">IF($B275="", "", VLOOKUP(ROW()-ROW($B$6), code!$G$51:$K$1483, 3, 0) )</f>
        <v/>
      </c>
      <c r="F275" s="99" t="str">
        <f ca="1">IF($B275="", "", VLOOKUP(ROW()-ROW($B$6), code!$G$51:$K$1483, 4, 0))</f>
        <v/>
      </c>
      <c r="G275" s="100" t="str">
        <f ca="1">IF($B275="", "", IF(_xll.IMDP("IR", $B275, G$6, $C$4, "fill=true")=0, "", _xll.IMDP("IR", $B275, G$6, $C$4, "fill=true")))</f>
        <v/>
      </c>
      <c r="H275" s="101" t="str">
        <f ca="1">IF($B275="", "", IF(_xll.IMDP("IR", $B275, H$6, $C$4, "fill=true")=0, "", _xll.IMDP("IR", $B275, H$6, $C$4, "fill=true")))</f>
        <v/>
      </c>
      <c r="I275" s="101" t="str">
        <f ca="1">IF($B275="", "", IF(_xll.IMDP("IR", $B275, I$6, $C$4, "fill=true")=0, "", _xll.IMDP("IR", $B275, I$6, $C$4, "fill=true")))</f>
        <v/>
      </c>
      <c r="J275" s="101" t="str">
        <f ca="1">IF($B275="", "", IF(_xll.IMDP("IR", $B275, J$6, $C$4, "fill=true")=0, "", _xll.IMDP("IR", $B275, J$6, $C$4, "fill=true")))</f>
        <v/>
      </c>
      <c r="K275" s="101" t="str">
        <f ca="1">IF($B275="", "", IF(_xll.IMDP("IR", $B275, K$6, $C$4, "fill=true")=0, "", _xll.IMDP("IR", $B275, K$6, $C$4, "fill=true")))</f>
        <v/>
      </c>
      <c r="L275" s="101" t="str">
        <f ca="1">IF($B275="", "", IF(_xll.IMDP("IR", $B275, L$6, $C$4, "fill=true")=0, "", _xll.IMDP("IR", $B275, L$6, $C$4, "fill=true")))</f>
        <v/>
      </c>
      <c r="M275" s="101" t="str">
        <f ca="1">IF($B275="", "", IF(_xll.IMDP("IR", $B275, M$6, $C$4, "fill=true")=0, "", _xll.IMDP("IR", $B275, M$6, $C$4, "fill=true")))</f>
        <v/>
      </c>
      <c r="N275" s="101" t="str">
        <f ca="1">IF($B275="", "", IF(_xll.IMDP("IR", $B275, N$6, $C$4, "fill=true")=0, "", _xll.IMDP("IR", $B275, N$6, $C$4, "fill=true")))</f>
        <v/>
      </c>
      <c r="O275" s="101" t="str">
        <f ca="1">IF($B275="", "", IF(_xll.IMDP("IR", $B275, O$6, $C$4, "fill=true")=0, "", _xll.IMDP("IR", $B275, O$6, $C$4, "fill=true")))</f>
        <v/>
      </c>
      <c r="P275" s="101" t="str">
        <f ca="1">IF($B275="", "", IF(_xll.IMDP("IR", $B275, P$6, $C$4, "fill=true")=0, "", _xll.IMDP("IR", $B275, P$6, $C$4, "fill=true")))</f>
        <v/>
      </c>
      <c r="Q275" s="102" t="str">
        <f ca="1">IF($B275="", "", IF(_xll.IMDP("IR", $B275, Q$6, $C$4, "fill=true")=0, "", _xll.IMDP("IR", $B275, Q$6, $C$4, "fill=true")))</f>
        <v/>
      </c>
    </row>
    <row r="276" spans="2:17">
      <c r="B276" s="83" t="str">
        <f ca="1">IFERROR( VLOOKUP(ROW()-ROW($B$6), code!$G$51:$K$1483, 5, 0), "")</f>
        <v/>
      </c>
      <c r="C276" s="96" t="str">
        <f ca="1">IF($B276="", "", _xll.IMDP("IR", $B276, "1일", $C$4, "fill=true, disp=date"))</f>
        <v/>
      </c>
      <c r="D276" s="97" t="str">
        <f ca="1">IF($B276="", "", VLOOKUP(ROW()-ROW($B$6), code!$G$51:$K$1483, 2, 0) )</f>
        <v/>
      </c>
      <c r="E276" s="98" t="str">
        <f ca="1">IF($B276="", "", VLOOKUP(ROW()-ROW($B$6), code!$G$51:$K$1483, 3, 0) )</f>
        <v/>
      </c>
      <c r="F276" s="99" t="str">
        <f ca="1">IF($B276="", "", VLOOKUP(ROW()-ROW($B$6), code!$G$51:$K$1483, 4, 0))</f>
        <v/>
      </c>
      <c r="G276" s="100" t="str">
        <f ca="1">IF($B276="", "", IF(_xll.IMDP("IR", $B276, G$6, $C$4, "fill=true")=0, "", _xll.IMDP("IR", $B276, G$6, $C$4, "fill=true")))</f>
        <v/>
      </c>
      <c r="H276" s="101" t="str">
        <f ca="1">IF($B276="", "", IF(_xll.IMDP("IR", $B276, H$6, $C$4, "fill=true")=0, "", _xll.IMDP("IR", $B276, H$6, $C$4, "fill=true")))</f>
        <v/>
      </c>
      <c r="I276" s="101" t="str">
        <f ca="1">IF($B276="", "", IF(_xll.IMDP("IR", $B276, I$6, $C$4, "fill=true")=0, "", _xll.IMDP("IR", $B276, I$6, $C$4, "fill=true")))</f>
        <v/>
      </c>
      <c r="J276" s="101" t="str">
        <f ca="1">IF($B276="", "", IF(_xll.IMDP("IR", $B276, J$6, $C$4, "fill=true")=0, "", _xll.IMDP("IR", $B276, J$6, $C$4, "fill=true")))</f>
        <v/>
      </c>
      <c r="K276" s="101" t="str">
        <f ca="1">IF($B276="", "", IF(_xll.IMDP("IR", $B276, K$6, $C$4, "fill=true")=0, "", _xll.IMDP("IR", $B276, K$6, $C$4, "fill=true")))</f>
        <v/>
      </c>
      <c r="L276" s="101" t="str">
        <f ca="1">IF($B276="", "", IF(_xll.IMDP("IR", $B276, L$6, $C$4, "fill=true")=0, "", _xll.IMDP("IR", $B276, L$6, $C$4, "fill=true")))</f>
        <v/>
      </c>
      <c r="M276" s="101" t="str">
        <f ca="1">IF($B276="", "", IF(_xll.IMDP("IR", $B276, M$6, $C$4, "fill=true")=0, "", _xll.IMDP("IR", $B276, M$6, $C$4, "fill=true")))</f>
        <v/>
      </c>
      <c r="N276" s="101" t="str">
        <f ca="1">IF($B276="", "", IF(_xll.IMDP("IR", $B276, N$6, $C$4, "fill=true")=0, "", _xll.IMDP("IR", $B276, N$6, $C$4, "fill=true")))</f>
        <v/>
      </c>
      <c r="O276" s="101" t="str">
        <f ca="1">IF($B276="", "", IF(_xll.IMDP("IR", $B276, O$6, $C$4, "fill=true")=0, "", _xll.IMDP("IR", $B276, O$6, $C$4, "fill=true")))</f>
        <v/>
      </c>
      <c r="P276" s="101" t="str">
        <f ca="1">IF($B276="", "", IF(_xll.IMDP("IR", $B276, P$6, $C$4, "fill=true")=0, "", _xll.IMDP("IR", $B276, P$6, $C$4, "fill=true")))</f>
        <v/>
      </c>
      <c r="Q276" s="102" t="str">
        <f ca="1">IF($B276="", "", IF(_xll.IMDP("IR", $B276, Q$6, $C$4, "fill=true")=0, "", _xll.IMDP("IR", $B276, Q$6, $C$4, "fill=true")))</f>
        <v/>
      </c>
    </row>
    <row r="277" spans="2:17">
      <c r="B277" s="83" t="str">
        <f ca="1">IFERROR( VLOOKUP(ROW()-ROW($B$6), code!$G$51:$K$1483, 5, 0), "")</f>
        <v/>
      </c>
      <c r="C277" s="96" t="str">
        <f ca="1">IF($B277="", "", _xll.IMDP("IR", $B277, "1일", $C$4, "fill=true, disp=date"))</f>
        <v/>
      </c>
      <c r="D277" s="97" t="str">
        <f ca="1">IF($B277="", "", VLOOKUP(ROW()-ROW($B$6), code!$G$51:$K$1483, 2, 0) )</f>
        <v/>
      </c>
      <c r="E277" s="98" t="str">
        <f ca="1">IF($B277="", "", VLOOKUP(ROW()-ROW($B$6), code!$G$51:$K$1483, 3, 0) )</f>
        <v/>
      </c>
      <c r="F277" s="99" t="str">
        <f ca="1">IF($B277="", "", VLOOKUP(ROW()-ROW($B$6), code!$G$51:$K$1483, 4, 0))</f>
        <v/>
      </c>
      <c r="G277" s="100" t="str">
        <f ca="1">IF($B277="", "", IF(_xll.IMDP("IR", $B277, G$6, $C$4, "fill=true")=0, "", _xll.IMDP("IR", $B277, G$6, $C$4, "fill=true")))</f>
        <v/>
      </c>
      <c r="H277" s="101" t="str">
        <f ca="1">IF($B277="", "", IF(_xll.IMDP("IR", $B277, H$6, $C$4, "fill=true")=0, "", _xll.IMDP("IR", $B277, H$6, $C$4, "fill=true")))</f>
        <v/>
      </c>
      <c r="I277" s="101" t="str">
        <f ca="1">IF($B277="", "", IF(_xll.IMDP("IR", $B277, I$6, $C$4, "fill=true")=0, "", _xll.IMDP("IR", $B277, I$6, $C$4, "fill=true")))</f>
        <v/>
      </c>
      <c r="J277" s="101" t="str">
        <f ca="1">IF($B277="", "", IF(_xll.IMDP("IR", $B277, J$6, $C$4, "fill=true")=0, "", _xll.IMDP("IR", $B277, J$6, $C$4, "fill=true")))</f>
        <v/>
      </c>
      <c r="K277" s="101" t="str">
        <f ca="1">IF($B277="", "", IF(_xll.IMDP("IR", $B277, K$6, $C$4, "fill=true")=0, "", _xll.IMDP("IR", $B277, K$6, $C$4, "fill=true")))</f>
        <v/>
      </c>
      <c r="L277" s="101" t="str">
        <f ca="1">IF($B277="", "", IF(_xll.IMDP("IR", $B277, L$6, $C$4, "fill=true")=0, "", _xll.IMDP("IR", $B277, L$6, $C$4, "fill=true")))</f>
        <v/>
      </c>
      <c r="M277" s="101" t="str">
        <f ca="1">IF($B277="", "", IF(_xll.IMDP("IR", $B277, M$6, $C$4, "fill=true")=0, "", _xll.IMDP("IR", $B277, M$6, $C$4, "fill=true")))</f>
        <v/>
      </c>
      <c r="N277" s="101" t="str">
        <f ca="1">IF($B277="", "", IF(_xll.IMDP("IR", $B277, N$6, $C$4, "fill=true")=0, "", _xll.IMDP("IR", $B277, N$6, $C$4, "fill=true")))</f>
        <v/>
      </c>
      <c r="O277" s="101" t="str">
        <f ca="1">IF($B277="", "", IF(_xll.IMDP("IR", $B277, O$6, $C$4, "fill=true")=0, "", _xll.IMDP("IR", $B277, O$6, $C$4, "fill=true")))</f>
        <v/>
      </c>
      <c r="P277" s="101" t="str">
        <f ca="1">IF($B277="", "", IF(_xll.IMDP("IR", $B277, P$6, $C$4, "fill=true")=0, "", _xll.IMDP("IR", $B277, P$6, $C$4, "fill=true")))</f>
        <v/>
      </c>
      <c r="Q277" s="102" t="str">
        <f ca="1">IF($B277="", "", IF(_xll.IMDP("IR", $B277, Q$6, $C$4, "fill=true")=0, "", _xll.IMDP("IR", $B277, Q$6, $C$4, "fill=true")))</f>
        <v/>
      </c>
    </row>
    <row r="278" spans="2:17">
      <c r="B278" s="83" t="str">
        <f ca="1">IFERROR( VLOOKUP(ROW()-ROW($B$6), code!$G$51:$K$1483, 5, 0), "")</f>
        <v/>
      </c>
      <c r="C278" s="96" t="str">
        <f ca="1">IF($B278="", "", _xll.IMDP("IR", $B278, "1일", $C$4, "fill=true, disp=date"))</f>
        <v/>
      </c>
      <c r="D278" s="97" t="str">
        <f ca="1">IF($B278="", "", VLOOKUP(ROW()-ROW($B$6), code!$G$51:$K$1483, 2, 0) )</f>
        <v/>
      </c>
      <c r="E278" s="98" t="str">
        <f ca="1">IF($B278="", "", VLOOKUP(ROW()-ROW($B$6), code!$G$51:$K$1483, 3, 0) )</f>
        <v/>
      </c>
      <c r="F278" s="99" t="str">
        <f ca="1">IF($B278="", "", VLOOKUP(ROW()-ROW($B$6), code!$G$51:$K$1483, 4, 0))</f>
        <v/>
      </c>
      <c r="G278" s="100" t="str">
        <f ca="1">IF($B278="", "", IF(_xll.IMDP("IR", $B278, G$6, $C$4, "fill=true")=0, "", _xll.IMDP("IR", $B278, G$6, $C$4, "fill=true")))</f>
        <v/>
      </c>
      <c r="H278" s="101" t="str">
        <f ca="1">IF($B278="", "", IF(_xll.IMDP("IR", $B278, H$6, $C$4, "fill=true")=0, "", _xll.IMDP("IR", $B278, H$6, $C$4, "fill=true")))</f>
        <v/>
      </c>
      <c r="I278" s="101" t="str">
        <f ca="1">IF($B278="", "", IF(_xll.IMDP("IR", $B278, I$6, $C$4, "fill=true")=0, "", _xll.IMDP("IR", $B278, I$6, $C$4, "fill=true")))</f>
        <v/>
      </c>
      <c r="J278" s="101" t="str">
        <f ca="1">IF($B278="", "", IF(_xll.IMDP("IR", $B278, J$6, $C$4, "fill=true")=0, "", _xll.IMDP("IR", $B278, J$6, $C$4, "fill=true")))</f>
        <v/>
      </c>
      <c r="K278" s="101" t="str">
        <f ca="1">IF($B278="", "", IF(_xll.IMDP("IR", $B278, K$6, $C$4, "fill=true")=0, "", _xll.IMDP("IR", $B278, K$6, $C$4, "fill=true")))</f>
        <v/>
      </c>
      <c r="L278" s="101" t="str">
        <f ca="1">IF($B278="", "", IF(_xll.IMDP("IR", $B278, L$6, $C$4, "fill=true")=0, "", _xll.IMDP("IR", $B278, L$6, $C$4, "fill=true")))</f>
        <v/>
      </c>
      <c r="M278" s="101" t="str">
        <f ca="1">IF($B278="", "", IF(_xll.IMDP("IR", $B278, M$6, $C$4, "fill=true")=0, "", _xll.IMDP("IR", $B278, M$6, $C$4, "fill=true")))</f>
        <v/>
      </c>
      <c r="N278" s="101" t="str">
        <f ca="1">IF($B278="", "", IF(_xll.IMDP("IR", $B278, N$6, $C$4, "fill=true")=0, "", _xll.IMDP("IR", $B278, N$6, $C$4, "fill=true")))</f>
        <v/>
      </c>
      <c r="O278" s="101" t="str">
        <f ca="1">IF($B278="", "", IF(_xll.IMDP("IR", $B278, O$6, $C$4, "fill=true")=0, "", _xll.IMDP("IR", $B278, O$6, $C$4, "fill=true")))</f>
        <v/>
      </c>
      <c r="P278" s="101" t="str">
        <f ca="1">IF($B278="", "", IF(_xll.IMDP("IR", $B278, P$6, $C$4, "fill=true")=0, "", _xll.IMDP("IR", $B278, P$6, $C$4, "fill=true")))</f>
        <v/>
      </c>
      <c r="Q278" s="102" t="str">
        <f ca="1">IF($B278="", "", IF(_xll.IMDP("IR", $B278, Q$6, $C$4, "fill=true")=0, "", _xll.IMDP("IR", $B278, Q$6, $C$4, "fill=true")))</f>
        <v/>
      </c>
    </row>
    <row r="279" spans="2:17">
      <c r="B279" s="83" t="str">
        <f ca="1">IFERROR( VLOOKUP(ROW()-ROW($B$6), code!$G$51:$K$1483, 5, 0), "")</f>
        <v/>
      </c>
      <c r="C279" s="96" t="str">
        <f ca="1">IF($B279="", "", _xll.IMDP("IR", $B279, "1일", $C$4, "fill=true, disp=date"))</f>
        <v/>
      </c>
      <c r="D279" s="97" t="str">
        <f ca="1">IF($B279="", "", VLOOKUP(ROW()-ROW($B$6), code!$G$51:$K$1483, 2, 0) )</f>
        <v/>
      </c>
      <c r="E279" s="98" t="str">
        <f ca="1">IF($B279="", "", VLOOKUP(ROW()-ROW($B$6), code!$G$51:$K$1483, 3, 0) )</f>
        <v/>
      </c>
      <c r="F279" s="99" t="str">
        <f ca="1">IF($B279="", "", VLOOKUP(ROW()-ROW($B$6), code!$G$51:$K$1483, 4, 0))</f>
        <v/>
      </c>
      <c r="G279" s="100" t="str">
        <f ca="1">IF($B279="", "", IF(_xll.IMDP("IR", $B279, G$6, $C$4, "fill=true")=0, "", _xll.IMDP("IR", $B279, G$6, $C$4, "fill=true")))</f>
        <v/>
      </c>
      <c r="H279" s="101" t="str">
        <f ca="1">IF($B279="", "", IF(_xll.IMDP("IR", $B279, H$6, $C$4, "fill=true")=0, "", _xll.IMDP("IR", $B279, H$6, $C$4, "fill=true")))</f>
        <v/>
      </c>
      <c r="I279" s="101" t="str">
        <f ca="1">IF($B279="", "", IF(_xll.IMDP("IR", $B279, I$6, $C$4, "fill=true")=0, "", _xll.IMDP("IR", $B279, I$6, $C$4, "fill=true")))</f>
        <v/>
      </c>
      <c r="J279" s="101" t="str">
        <f ca="1">IF($B279="", "", IF(_xll.IMDP("IR", $B279, J$6, $C$4, "fill=true")=0, "", _xll.IMDP("IR", $B279, J$6, $C$4, "fill=true")))</f>
        <v/>
      </c>
      <c r="K279" s="101" t="str">
        <f ca="1">IF($B279="", "", IF(_xll.IMDP("IR", $B279, K$6, $C$4, "fill=true")=0, "", _xll.IMDP("IR", $B279, K$6, $C$4, "fill=true")))</f>
        <v/>
      </c>
      <c r="L279" s="101" t="str">
        <f ca="1">IF($B279="", "", IF(_xll.IMDP("IR", $B279, L$6, $C$4, "fill=true")=0, "", _xll.IMDP("IR", $B279, L$6, $C$4, "fill=true")))</f>
        <v/>
      </c>
      <c r="M279" s="101" t="str">
        <f ca="1">IF($B279="", "", IF(_xll.IMDP("IR", $B279, M$6, $C$4, "fill=true")=0, "", _xll.IMDP("IR", $B279, M$6, $C$4, "fill=true")))</f>
        <v/>
      </c>
      <c r="N279" s="101" t="str">
        <f ca="1">IF($B279="", "", IF(_xll.IMDP("IR", $B279, N$6, $C$4, "fill=true")=0, "", _xll.IMDP("IR", $B279, N$6, $C$4, "fill=true")))</f>
        <v/>
      </c>
      <c r="O279" s="101" t="str">
        <f ca="1">IF($B279="", "", IF(_xll.IMDP("IR", $B279, O$6, $C$4, "fill=true")=0, "", _xll.IMDP("IR", $B279, O$6, $C$4, "fill=true")))</f>
        <v/>
      </c>
      <c r="P279" s="101" t="str">
        <f ca="1">IF($B279="", "", IF(_xll.IMDP("IR", $B279, P$6, $C$4, "fill=true")=0, "", _xll.IMDP("IR", $B279, P$6, $C$4, "fill=true")))</f>
        <v/>
      </c>
      <c r="Q279" s="102" t="str">
        <f ca="1">IF($B279="", "", IF(_xll.IMDP("IR", $B279, Q$6, $C$4, "fill=true")=0, "", _xll.IMDP("IR", $B279, Q$6, $C$4, "fill=true")))</f>
        <v/>
      </c>
    </row>
    <row r="280" spans="2:17">
      <c r="B280" s="83" t="str">
        <f ca="1">IFERROR( VLOOKUP(ROW()-ROW($B$6), code!$G$51:$K$1483, 5, 0), "")</f>
        <v/>
      </c>
      <c r="C280" s="96" t="str">
        <f ca="1">IF($B280="", "", _xll.IMDP("IR", $B280, "1일", $C$4, "fill=true, disp=date"))</f>
        <v/>
      </c>
      <c r="D280" s="97" t="str">
        <f ca="1">IF($B280="", "", VLOOKUP(ROW()-ROW($B$6), code!$G$51:$K$1483, 2, 0) )</f>
        <v/>
      </c>
      <c r="E280" s="98" t="str">
        <f ca="1">IF($B280="", "", VLOOKUP(ROW()-ROW($B$6), code!$G$51:$K$1483, 3, 0) )</f>
        <v/>
      </c>
      <c r="F280" s="99" t="str">
        <f ca="1">IF($B280="", "", VLOOKUP(ROW()-ROW($B$6), code!$G$51:$K$1483, 4, 0))</f>
        <v/>
      </c>
      <c r="G280" s="100" t="str">
        <f ca="1">IF($B280="", "", IF(_xll.IMDP("IR", $B280, G$6, $C$4, "fill=true")=0, "", _xll.IMDP("IR", $B280, G$6, $C$4, "fill=true")))</f>
        <v/>
      </c>
      <c r="H280" s="101" t="str">
        <f ca="1">IF($B280="", "", IF(_xll.IMDP("IR", $B280, H$6, $C$4, "fill=true")=0, "", _xll.IMDP("IR", $B280, H$6, $C$4, "fill=true")))</f>
        <v/>
      </c>
      <c r="I280" s="101" t="str">
        <f ca="1">IF($B280="", "", IF(_xll.IMDP("IR", $B280, I$6, $C$4, "fill=true")=0, "", _xll.IMDP("IR", $B280, I$6, $C$4, "fill=true")))</f>
        <v/>
      </c>
      <c r="J280" s="101" t="str">
        <f ca="1">IF($B280="", "", IF(_xll.IMDP("IR", $B280, J$6, $C$4, "fill=true")=0, "", _xll.IMDP("IR", $B280, J$6, $C$4, "fill=true")))</f>
        <v/>
      </c>
      <c r="K280" s="101" t="str">
        <f ca="1">IF($B280="", "", IF(_xll.IMDP("IR", $B280, K$6, $C$4, "fill=true")=0, "", _xll.IMDP("IR", $B280, K$6, $C$4, "fill=true")))</f>
        <v/>
      </c>
      <c r="L280" s="101" t="str">
        <f ca="1">IF($B280="", "", IF(_xll.IMDP("IR", $B280, L$6, $C$4, "fill=true")=0, "", _xll.IMDP("IR", $B280, L$6, $C$4, "fill=true")))</f>
        <v/>
      </c>
      <c r="M280" s="101" t="str">
        <f ca="1">IF($B280="", "", IF(_xll.IMDP("IR", $B280, M$6, $C$4, "fill=true")=0, "", _xll.IMDP("IR", $B280, M$6, $C$4, "fill=true")))</f>
        <v/>
      </c>
      <c r="N280" s="101" t="str">
        <f ca="1">IF($B280="", "", IF(_xll.IMDP("IR", $B280, N$6, $C$4, "fill=true")=0, "", _xll.IMDP("IR", $B280, N$6, $C$4, "fill=true")))</f>
        <v/>
      </c>
      <c r="O280" s="101" t="str">
        <f ca="1">IF($B280="", "", IF(_xll.IMDP("IR", $B280, O$6, $C$4, "fill=true")=0, "", _xll.IMDP("IR", $B280, O$6, $C$4, "fill=true")))</f>
        <v/>
      </c>
      <c r="P280" s="101" t="str">
        <f ca="1">IF($B280="", "", IF(_xll.IMDP("IR", $B280, P$6, $C$4, "fill=true")=0, "", _xll.IMDP("IR", $B280, P$6, $C$4, "fill=true")))</f>
        <v/>
      </c>
      <c r="Q280" s="102" t="str">
        <f ca="1">IF($B280="", "", IF(_xll.IMDP("IR", $B280, Q$6, $C$4, "fill=true")=0, "", _xll.IMDP("IR", $B280, Q$6, $C$4, "fill=true")))</f>
        <v/>
      </c>
    </row>
    <row r="281" spans="2:17">
      <c r="B281" s="83" t="str">
        <f ca="1">IFERROR( VLOOKUP(ROW()-ROW($B$6), code!$G$51:$K$1483, 5, 0), "")</f>
        <v/>
      </c>
      <c r="C281" s="96" t="str">
        <f ca="1">IF($B281="", "", _xll.IMDP("IR", $B281, "1일", $C$4, "fill=true, disp=date"))</f>
        <v/>
      </c>
      <c r="D281" s="97" t="str">
        <f ca="1">IF($B281="", "", VLOOKUP(ROW()-ROW($B$6), code!$G$51:$K$1483, 2, 0) )</f>
        <v/>
      </c>
      <c r="E281" s="98" t="str">
        <f ca="1">IF($B281="", "", VLOOKUP(ROW()-ROW($B$6), code!$G$51:$K$1483, 3, 0) )</f>
        <v/>
      </c>
      <c r="F281" s="99" t="str">
        <f ca="1">IF($B281="", "", VLOOKUP(ROW()-ROW($B$6), code!$G$51:$K$1483, 4, 0))</f>
        <v/>
      </c>
      <c r="G281" s="100" t="str">
        <f ca="1">IF($B281="", "", IF(_xll.IMDP("IR", $B281, G$6, $C$4, "fill=true")=0, "", _xll.IMDP("IR", $B281, G$6, $C$4, "fill=true")))</f>
        <v/>
      </c>
      <c r="H281" s="101" t="str">
        <f ca="1">IF($B281="", "", IF(_xll.IMDP("IR", $B281, H$6, $C$4, "fill=true")=0, "", _xll.IMDP("IR", $B281, H$6, $C$4, "fill=true")))</f>
        <v/>
      </c>
      <c r="I281" s="101" t="str">
        <f ca="1">IF($B281="", "", IF(_xll.IMDP("IR", $B281, I$6, $C$4, "fill=true")=0, "", _xll.IMDP("IR", $B281, I$6, $C$4, "fill=true")))</f>
        <v/>
      </c>
      <c r="J281" s="101" t="str">
        <f ca="1">IF($B281="", "", IF(_xll.IMDP("IR", $B281, J$6, $C$4, "fill=true")=0, "", _xll.IMDP("IR", $B281, J$6, $C$4, "fill=true")))</f>
        <v/>
      </c>
      <c r="K281" s="101" t="str">
        <f ca="1">IF($B281="", "", IF(_xll.IMDP("IR", $B281, K$6, $C$4, "fill=true")=0, "", _xll.IMDP("IR", $B281, K$6, $C$4, "fill=true")))</f>
        <v/>
      </c>
      <c r="L281" s="101" t="str">
        <f ca="1">IF($B281="", "", IF(_xll.IMDP("IR", $B281, L$6, $C$4, "fill=true")=0, "", _xll.IMDP("IR", $B281, L$6, $C$4, "fill=true")))</f>
        <v/>
      </c>
      <c r="M281" s="101" t="str">
        <f ca="1">IF($B281="", "", IF(_xll.IMDP("IR", $B281, M$6, $C$4, "fill=true")=0, "", _xll.IMDP("IR", $B281, M$6, $C$4, "fill=true")))</f>
        <v/>
      </c>
      <c r="N281" s="101" t="str">
        <f ca="1">IF($B281="", "", IF(_xll.IMDP("IR", $B281, N$6, $C$4, "fill=true")=0, "", _xll.IMDP("IR", $B281, N$6, $C$4, "fill=true")))</f>
        <v/>
      </c>
      <c r="O281" s="101" t="str">
        <f ca="1">IF($B281="", "", IF(_xll.IMDP("IR", $B281, O$6, $C$4, "fill=true")=0, "", _xll.IMDP("IR", $B281, O$6, $C$4, "fill=true")))</f>
        <v/>
      </c>
      <c r="P281" s="101" t="str">
        <f ca="1">IF($B281="", "", IF(_xll.IMDP("IR", $B281, P$6, $C$4, "fill=true")=0, "", _xll.IMDP("IR", $B281, P$6, $C$4, "fill=true")))</f>
        <v/>
      </c>
      <c r="Q281" s="102" t="str">
        <f ca="1">IF($B281="", "", IF(_xll.IMDP("IR", $B281, Q$6, $C$4, "fill=true")=0, "", _xll.IMDP("IR", $B281, Q$6, $C$4, "fill=true")))</f>
        <v/>
      </c>
    </row>
    <row r="282" spans="2:17">
      <c r="B282" s="83" t="str">
        <f ca="1">IFERROR( VLOOKUP(ROW()-ROW($B$6), code!$G$51:$K$1483, 5, 0), "")</f>
        <v/>
      </c>
      <c r="C282" s="96" t="str">
        <f ca="1">IF($B282="", "", _xll.IMDP("IR", $B282, "1일", $C$4, "fill=true, disp=date"))</f>
        <v/>
      </c>
      <c r="D282" s="97" t="str">
        <f ca="1">IF($B282="", "", VLOOKUP(ROW()-ROW($B$6), code!$G$51:$K$1483, 2, 0) )</f>
        <v/>
      </c>
      <c r="E282" s="98" t="str">
        <f ca="1">IF($B282="", "", VLOOKUP(ROW()-ROW($B$6), code!$G$51:$K$1483, 3, 0) )</f>
        <v/>
      </c>
      <c r="F282" s="99" t="str">
        <f ca="1">IF($B282="", "", VLOOKUP(ROW()-ROW($B$6), code!$G$51:$K$1483, 4, 0))</f>
        <v/>
      </c>
      <c r="G282" s="100" t="str">
        <f ca="1">IF($B282="", "", IF(_xll.IMDP("IR", $B282, G$6, $C$4, "fill=true")=0, "", _xll.IMDP("IR", $B282, G$6, $C$4, "fill=true")))</f>
        <v/>
      </c>
      <c r="H282" s="101" t="str">
        <f ca="1">IF($B282="", "", IF(_xll.IMDP("IR", $B282, H$6, $C$4, "fill=true")=0, "", _xll.IMDP("IR", $B282, H$6, $C$4, "fill=true")))</f>
        <v/>
      </c>
      <c r="I282" s="101" t="str">
        <f ca="1">IF($B282="", "", IF(_xll.IMDP("IR", $B282, I$6, $C$4, "fill=true")=0, "", _xll.IMDP("IR", $B282, I$6, $C$4, "fill=true")))</f>
        <v/>
      </c>
      <c r="J282" s="101" t="str">
        <f ca="1">IF($B282="", "", IF(_xll.IMDP("IR", $B282, J$6, $C$4, "fill=true")=0, "", _xll.IMDP("IR", $B282, J$6, $C$4, "fill=true")))</f>
        <v/>
      </c>
      <c r="K282" s="101" t="str">
        <f ca="1">IF($B282="", "", IF(_xll.IMDP("IR", $B282, K$6, $C$4, "fill=true")=0, "", _xll.IMDP("IR", $B282, K$6, $C$4, "fill=true")))</f>
        <v/>
      </c>
      <c r="L282" s="101" t="str">
        <f ca="1">IF($B282="", "", IF(_xll.IMDP("IR", $B282, L$6, $C$4, "fill=true")=0, "", _xll.IMDP("IR", $B282, L$6, $C$4, "fill=true")))</f>
        <v/>
      </c>
      <c r="M282" s="101" t="str">
        <f ca="1">IF($B282="", "", IF(_xll.IMDP("IR", $B282, M$6, $C$4, "fill=true")=0, "", _xll.IMDP("IR", $B282, M$6, $C$4, "fill=true")))</f>
        <v/>
      </c>
      <c r="N282" s="101" t="str">
        <f ca="1">IF($B282="", "", IF(_xll.IMDP("IR", $B282, N$6, $C$4, "fill=true")=0, "", _xll.IMDP("IR", $B282, N$6, $C$4, "fill=true")))</f>
        <v/>
      </c>
      <c r="O282" s="101" t="str">
        <f ca="1">IF($B282="", "", IF(_xll.IMDP("IR", $B282, O$6, $C$4, "fill=true")=0, "", _xll.IMDP("IR", $B282, O$6, $C$4, "fill=true")))</f>
        <v/>
      </c>
      <c r="P282" s="101" t="str">
        <f ca="1">IF($B282="", "", IF(_xll.IMDP("IR", $B282, P$6, $C$4, "fill=true")=0, "", _xll.IMDP("IR", $B282, P$6, $C$4, "fill=true")))</f>
        <v/>
      </c>
      <c r="Q282" s="102" t="str">
        <f ca="1">IF($B282="", "", IF(_xll.IMDP("IR", $B282, Q$6, $C$4, "fill=true")=0, "", _xll.IMDP("IR", $B282, Q$6, $C$4, "fill=true")))</f>
        <v/>
      </c>
    </row>
    <row r="283" spans="2:17">
      <c r="B283" s="83" t="str">
        <f ca="1">IFERROR( VLOOKUP(ROW()-ROW($B$6), code!$G$51:$K$1483, 5, 0), "")</f>
        <v/>
      </c>
      <c r="C283" s="96" t="str">
        <f ca="1">IF($B283="", "", _xll.IMDP("IR", $B283, "1일", $C$4, "fill=true, disp=date"))</f>
        <v/>
      </c>
      <c r="D283" s="97" t="str">
        <f ca="1">IF($B283="", "", VLOOKUP(ROW()-ROW($B$6), code!$G$51:$K$1483, 2, 0) )</f>
        <v/>
      </c>
      <c r="E283" s="98" t="str">
        <f ca="1">IF($B283="", "", VLOOKUP(ROW()-ROW($B$6), code!$G$51:$K$1483, 3, 0) )</f>
        <v/>
      </c>
      <c r="F283" s="99" t="str">
        <f ca="1">IF($B283="", "", VLOOKUP(ROW()-ROW($B$6), code!$G$51:$K$1483, 4, 0))</f>
        <v/>
      </c>
      <c r="G283" s="100" t="str">
        <f ca="1">IF($B283="", "", IF(_xll.IMDP("IR", $B283, G$6, $C$4, "fill=true")=0, "", _xll.IMDP("IR", $B283, G$6, $C$4, "fill=true")))</f>
        <v/>
      </c>
      <c r="H283" s="101" t="str">
        <f ca="1">IF($B283="", "", IF(_xll.IMDP("IR", $B283, H$6, $C$4, "fill=true")=0, "", _xll.IMDP("IR", $B283, H$6, $C$4, "fill=true")))</f>
        <v/>
      </c>
      <c r="I283" s="101" t="str">
        <f ca="1">IF($B283="", "", IF(_xll.IMDP("IR", $B283, I$6, $C$4, "fill=true")=0, "", _xll.IMDP("IR", $B283, I$6, $C$4, "fill=true")))</f>
        <v/>
      </c>
      <c r="J283" s="101" t="str">
        <f ca="1">IF($B283="", "", IF(_xll.IMDP("IR", $B283, J$6, $C$4, "fill=true")=0, "", _xll.IMDP("IR", $B283, J$6, $C$4, "fill=true")))</f>
        <v/>
      </c>
      <c r="K283" s="101" t="str">
        <f ca="1">IF($B283="", "", IF(_xll.IMDP("IR", $B283, K$6, $C$4, "fill=true")=0, "", _xll.IMDP("IR", $B283, K$6, $C$4, "fill=true")))</f>
        <v/>
      </c>
      <c r="L283" s="101" t="str">
        <f ca="1">IF($B283="", "", IF(_xll.IMDP("IR", $B283, L$6, $C$4, "fill=true")=0, "", _xll.IMDP("IR", $B283, L$6, $C$4, "fill=true")))</f>
        <v/>
      </c>
      <c r="M283" s="101" t="str">
        <f ca="1">IF($B283="", "", IF(_xll.IMDP("IR", $B283, M$6, $C$4, "fill=true")=0, "", _xll.IMDP("IR", $B283, M$6, $C$4, "fill=true")))</f>
        <v/>
      </c>
      <c r="N283" s="101" t="str">
        <f ca="1">IF($B283="", "", IF(_xll.IMDP("IR", $B283, N$6, $C$4, "fill=true")=0, "", _xll.IMDP("IR", $B283, N$6, $C$4, "fill=true")))</f>
        <v/>
      </c>
      <c r="O283" s="101" t="str">
        <f ca="1">IF($B283="", "", IF(_xll.IMDP("IR", $B283, O$6, $C$4, "fill=true")=0, "", _xll.IMDP("IR", $B283, O$6, $C$4, "fill=true")))</f>
        <v/>
      </c>
      <c r="P283" s="101" t="str">
        <f ca="1">IF($B283="", "", IF(_xll.IMDP("IR", $B283, P$6, $C$4, "fill=true")=0, "", _xll.IMDP("IR", $B283, P$6, $C$4, "fill=true")))</f>
        <v/>
      </c>
      <c r="Q283" s="102" t="str">
        <f ca="1">IF($B283="", "", IF(_xll.IMDP("IR", $B283, Q$6, $C$4, "fill=true")=0, "", _xll.IMDP("IR", $B283, Q$6, $C$4, "fill=true")))</f>
        <v/>
      </c>
    </row>
    <row r="284" spans="2:17">
      <c r="B284" s="83" t="str">
        <f ca="1">IFERROR( VLOOKUP(ROW()-ROW($B$6), code!$G$51:$K$1483, 5, 0), "")</f>
        <v/>
      </c>
      <c r="C284" s="96" t="str">
        <f ca="1">IF($B284="", "", _xll.IMDP("IR", $B284, "1일", $C$4, "fill=true, disp=date"))</f>
        <v/>
      </c>
      <c r="D284" s="97" t="str">
        <f ca="1">IF($B284="", "", VLOOKUP(ROW()-ROW($B$6), code!$G$51:$K$1483, 2, 0) )</f>
        <v/>
      </c>
      <c r="E284" s="98" t="str">
        <f ca="1">IF($B284="", "", VLOOKUP(ROW()-ROW($B$6), code!$G$51:$K$1483, 3, 0) )</f>
        <v/>
      </c>
      <c r="F284" s="99" t="str">
        <f ca="1">IF($B284="", "", VLOOKUP(ROW()-ROW($B$6), code!$G$51:$K$1483, 4, 0))</f>
        <v/>
      </c>
      <c r="G284" s="100" t="str">
        <f ca="1">IF($B284="", "", IF(_xll.IMDP("IR", $B284, G$6, $C$4, "fill=true")=0, "", _xll.IMDP("IR", $B284, G$6, $C$4, "fill=true")))</f>
        <v/>
      </c>
      <c r="H284" s="101" t="str">
        <f ca="1">IF($B284="", "", IF(_xll.IMDP("IR", $B284, H$6, $C$4, "fill=true")=0, "", _xll.IMDP("IR", $B284, H$6, $C$4, "fill=true")))</f>
        <v/>
      </c>
      <c r="I284" s="101" t="str">
        <f ca="1">IF($B284="", "", IF(_xll.IMDP("IR", $B284, I$6, $C$4, "fill=true")=0, "", _xll.IMDP("IR", $B284, I$6, $C$4, "fill=true")))</f>
        <v/>
      </c>
      <c r="J284" s="101" t="str">
        <f ca="1">IF($B284="", "", IF(_xll.IMDP("IR", $B284, J$6, $C$4, "fill=true")=0, "", _xll.IMDP("IR", $B284, J$6, $C$4, "fill=true")))</f>
        <v/>
      </c>
      <c r="K284" s="101" t="str">
        <f ca="1">IF($B284="", "", IF(_xll.IMDP("IR", $B284, K$6, $C$4, "fill=true")=0, "", _xll.IMDP("IR", $B284, K$6, $C$4, "fill=true")))</f>
        <v/>
      </c>
      <c r="L284" s="101" t="str">
        <f ca="1">IF($B284="", "", IF(_xll.IMDP("IR", $B284, L$6, $C$4, "fill=true")=0, "", _xll.IMDP("IR", $B284, L$6, $C$4, "fill=true")))</f>
        <v/>
      </c>
      <c r="M284" s="101" t="str">
        <f ca="1">IF($B284="", "", IF(_xll.IMDP("IR", $B284, M$6, $C$4, "fill=true")=0, "", _xll.IMDP("IR", $B284, M$6, $C$4, "fill=true")))</f>
        <v/>
      </c>
      <c r="N284" s="101" t="str">
        <f ca="1">IF($B284="", "", IF(_xll.IMDP("IR", $B284, N$6, $C$4, "fill=true")=0, "", _xll.IMDP("IR", $B284, N$6, $C$4, "fill=true")))</f>
        <v/>
      </c>
      <c r="O284" s="101" t="str">
        <f ca="1">IF($B284="", "", IF(_xll.IMDP("IR", $B284, O$6, $C$4, "fill=true")=0, "", _xll.IMDP("IR", $B284, O$6, $C$4, "fill=true")))</f>
        <v/>
      </c>
      <c r="P284" s="101" t="str">
        <f ca="1">IF($B284="", "", IF(_xll.IMDP("IR", $B284, P$6, $C$4, "fill=true")=0, "", _xll.IMDP("IR", $B284, P$6, $C$4, "fill=true")))</f>
        <v/>
      </c>
      <c r="Q284" s="102" t="str">
        <f ca="1">IF($B284="", "", IF(_xll.IMDP("IR", $B284, Q$6, $C$4, "fill=true")=0, "", _xll.IMDP("IR", $B284, Q$6, $C$4, "fill=true")))</f>
        <v/>
      </c>
    </row>
    <row r="285" spans="2:17">
      <c r="B285" s="83" t="str">
        <f ca="1">IFERROR( VLOOKUP(ROW()-ROW($B$6), code!$G$51:$K$1483, 5, 0), "")</f>
        <v/>
      </c>
      <c r="C285" s="96" t="str">
        <f ca="1">IF($B285="", "", _xll.IMDP("IR", $B285, "1일", $C$4, "fill=true, disp=date"))</f>
        <v/>
      </c>
      <c r="D285" s="97" t="str">
        <f ca="1">IF($B285="", "", VLOOKUP(ROW()-ROW($B$6), code!$G$51:$K$1483, 2, 0) )</f>
        <v/>
      </c>
      <c r="E285" s="98" t="str">
        <f ca="1">IF($B285="", "", VLOOKUP(ROW()-ROW($B$6), code!$G$51:$K$1483, 3, 0) )</f>
        <v/>
      </c>
      <c r="F285" s="99" t="str">
        <f ca="1">IF($B285="", "", VLOOKUP(ROW()-ROW($B$6), code!$G$51:$K$1483, 4, 0))</f>
        <v/>
      </c>
      <c r="G285" s="100" t="str">
        <f ca="1">IF($B285="", "", IF(_xll.IMDP("IR", $B285, G$6, $C$4, "fill=true")=0, "", _xll.IMDP("IR", $B285, G$6, $C$4, "fill=true")))</f>
        <v/>
      </c>
      <c r="H285" s="101" t="str">
        <f ca="1">IF($B285="", "", IF(_xll.IMDP("IR", $B285, H$6, $C$4, "fill=true")=0, "", _xll.IMDP("IR", $B285, H$6, $C$4, "fill=true")))</f>
        <v/>
      </c>
      <c r="I285" s="101" t="str">
        <f ca="1">IF($B285="", "", IF(_xll.IMDP("IR", $B285, I$6, $C$4, "fill=true")=0, "", _xll.IMDP("IR", $B285, I$6, $C$4, "fill=true")))</f>
        <v/>
      </c>
      <c r="J285" s="101" t="str">
        <f ca="1">IF($B285="", "", IF(_xll.IMDP("IR", $B285, J$6, $C$4, "fill=true")=0, "", _xll.IMDP("IR", $B285, J$6, $C$4, "fill=true")))</f>
        <v/>
      </c>
      <c r="K285" s="101" t="str">
        <f ca="1">IF($B285="", "", IF(_xll.IMDP("IR", $B285, K$6, $C$4, "fill=true")=0, "", _xll.IMDP("IR", $B285, K$6, $C$4, "fill=true")))</f>
        <v/>
      </c>
      <c r="L285" s="101" t="str">
        <f ca="1">IF($B285="", "", IF(_xll.IMDP("IR", $B285, L$6, $C$4, "fill=true")=0, "", _xll.IMDP("IR", $B285, L$6, $C$4, "fill=true")))</f>
        <v/>
      </c>
      <c r="M285" s="101" t="str">
        <f ca="1">IF($B285="", "", IF(_xll.IMDP("IR", $B285, M$6, $C$4, "fill=true")=0, "", _xll.IMDP("IR", $B285, M$6, $C$4, "fill=true")))</f>
        <v/>
      </c>
      <c r="N285" s="101" t="str">
        <f ca="1">IF($B285="", "", IF(_xll.IMDP("IR", $B285, N$6, $C$4, "fill=true")=0, "", _xll.IMDP("IR", $B285, N$6, $C$4, "fill=true")))</f>
        <v/>
      </c>
      <c r="O285" s="101" t="str">
        <f ca="1">IF($B285="", "", IF(_xll.IMDP("IR", $B285, O$6, $C$4, "fill=true")=0, "", _xll.IMDP("IR", $B285, O$6, $C$4, "fill=true")))</f>
        <v/>
      </c>
      <c r="P285" s="101" t="str">
        <f ca="1">IF($B285="", "", IF(_xll.IMDP("IR", $B285, P$6, $C$4, "fill=true")=0, "", _xll.IMDP("IR", $B285, P$6, $C$4, "fill=true")))</f>
        <v/>
      </c>
      <c r="Q285" s="102" t="str">
        <f ca="1">IF($B285="", "", IF(_xll.IMDP("IR", $B285, Q$6, $C$4, "fill=true")=0, "", _xll.IMDP("IR", $B285, Q$6, $C$4, "fill=true")))</f>
        <v/>
      </c>
    </row>
    <row r="286" spans="2:17">
      <c r="B286" s="83" t="str">
        <f ca="1">IFERROR( VLOOKUP(ROW()-ROW($B$6), code!$G$51:$K$1483, 5, 0), "")</f>
        <v/>
      </c>
      <c r="C286" s="96" t="str">
        <f ca="1">IF($B286="", "", _xll.IMDP("IR", $B286, "1일", $C$4, "fill=true, disp=date"))</f>
        <v/>
      </c>
      <c r="D286" s="97" t="str">
        <f ca="1">IF($B286="", "", VLOOKUP(ROW()-ROW($B$6), code!$G$51:$K$1483, 2, 0) )</f>
        <v/>
      </c>
      <c r="E286" s="98" t="str">
        <f ca="1">IF($B286="", "", VLOOKUP(ROW()-ROW($B$6), code!$G$51:$K$1483, 3, 0) )</f>
        <v/>
      </c>
      <c r="F286" s="99" t="str">
        <f ca="1">IF($B286="", "", VLOOKUP(ROW()-ROW($B$6), code!$G$51:$K$1483, 4, 0))</f>
        <v/>
      </c>
      <c r="G286" s="100" t="str">
        <f ca="1">IF($B286="", "", IF(_xll.IMDP("IR", $B286, G$6, $C$4, "fill=true")=0, "", _xll.IMDP("IR", $B286, G$6, $C$4, "fill=true")))</f>
        <v/>
      </c>
      <c r="H286" s="101" t="str">
        <f ca="1">IF($B286="", "", IF(_xll.IMDP("IR", $B286, H$6, $C$4, "fill=true")=0, "", _xll.IMDP("IR", $B286, H$6, $C$4, "fill=true")))</f>
        <v/>
      </c>
      <c r="I286" s="101" t="str">
        <f ca="1">IF($B286="", "", IF(_xll.IMDP("IR", $B286, I$6, $C$4, "fill=true")=0, "", _xll.IMDP("IR", $B286, I$6, $C$4, "fill=true")))</f>
        <v/>
      </c>
      <c r="J286" s="101" t="str">
        <f ca="1">IF($B286="", "", IF(_xll.IMDP("IR", $B286, J$6, $C$4, "fill=true")=0, "", _xll.IMDP("IR", $B286, J$6, $C$4, "fill=true")))</f>
        <v/>
      </c>
      <c r="K286" s="101" t="str">
        <f ca="1">IF($B286="", "", IF(_xll.IMDP("IR", $B286, K$6, $C$4, "fill=true")=0, "", _xll.IMDP("IR", $B286, K$6, $C$4, "fill=true")))</f>
        <v/>
      </c>
      <c r="L286" s="101" t="str">
        <f ca="1">IF($B286="", "", IF(_xll.IMDP("IR", $B286, L$6, $C$4, "fill=true")=0, "", _xll.IMDP("IR", $B286, L$6, $C$4, "fill=true")))</f>
        <v/>
      </c>
      <c r="M286" s="101" t="str">
        <f ca="1">IF($B286="", "", IF(_xll.IMDP("IR", $B286, M$6, $C$4, "fill=true")=0, "", _xll.IMDP("IR", $B286, M$6, $C$4, "fill=true")))</f>
        <v/>
      </c>
      <c r="N286" s="101" t="str">
        <f ca="1">IF($B286="", "", IF(_xll.IMDP("IR", $B286, N$6, $C$4, "fill=true")=0, "", _xll.IMDP("IR", $B286, N$6, $C$4, "fill=true")))</f>
        <v/>
      </c>
      <c r="O286" s="101" t="str">
        <f ca="1">IF($B286="", "", IF(_xll.IMDP("IR", $B286, O$6, $C$4, "fill=true")=0, "", _xll.IMDP("IR", $B286, O$6, $C$4, "fill=true")))</f>
        <v/>
      </c>
      <c r="P286" s="101" t="str">
        <f ca="1">IF($B286="", "", IF(_xll.IMDP("IR", $B286, P$6, $C$4, "fill=true")=0, "", _xll.IMDP("IR", $B286, P$6, $C$4, "fill=true")))</f>
        <v/>
      </c>
      <c r="Q286" s="102" t="str">
        <f ca="1">IF($B286="", "", IF(_xll.IMDP("IR", $B286, Q$6, $C$4, "fill=true")=0, "", _xll.IMDP("IR", $B286, Q$6, $C$4, "fill=true")))</f>
        <v/>
      </c>
    </row>
    <row r="287" spans="2:17">
      <c r="B287" s="83" t="str">
        <f ca="1">IFERROR( VLOOKUP(ROW()-ROW($B$6), code!$G$51:$K$1483, 5, 0), "")</f>
        <v/>
      </c>
      <c r="C287" s="96" t="str">
        <f ca="1">IF($B287="", "", _xll.IMDP("IR", $B287, "1일", $C$4, "fill=true, disp=date"))</f>
        <v/>
      </c>
      <c r="D287" s="97" t="str">
        <f ca="1">IF($B287="", "", VLOOKUP(ROW()-ROW($B$6), code!$G$51:$K$1483, 2, 0) )</f>
        <v/>
      </c>
      <c r="E287" s="98" t="str">
        <f ca="1">IF($B287="", "", VLOOKUP(ROW()-ROW($B$6), code!$G$51:$K$1483, 3, 0) )</f>
        <v/>
      </c>
      <c r="F287" s="99" t="str">
        <f ca="1">IF($B287="", "", VLOOKUP(ROW()-ROW($B$6), code!$G$51:$K$1483, 4, 0))</f>
        <v/>
      </c>
      <c r="G287" s="100" t="str">
        <f ca="1">IF($B287="", "", IF(_xll.IMDP("IR", $B287, G$6, $C$4, "fill=true")=0, "", _xll.IMDP("IR", $B287, G$6, $C$4, "fill=true")))</f>
        <v/>
      </c>
      <c r="H287" s="101" t="str">
        <f ca="1">IF($B287="", "", IF(_xll.IMDP("IR", $B287, H$6, $C$4, "fill=true")=0, "", _xll.IMDP("IR", $B287, H$6, $C$4, "fill=true")))</f>
        <v/>
      </c>
      <c r="I287" s="101" t="str">
        <f ca="1">IF($B287="", "", IF(_xll.IMDP("IR", $B287, I$6, $C$4, "fill=true")=0, "", _xll.IMDP("IR", $B287, I$6, $C$4, "fill=true")))</f>
        <v/>
      </c>
      <c r="J287" s="101" t="str">
        <f ca="1">IF($B287="", "", IF(_xll.IMDP("IR", $B287, J$6, $C$4, "fill=true")=0, "", _xll.IMDP("IR", $B287, J$6, $C$4, "fill=true")))</f>
        <v/>
      </c>
      <c r="K287" s="101" t="str">
        <f ca="1">IF($B287="", "", IF(_xll.IMDP("IR", $B287, K$6, $C$4, "fill=true")=0, "", _xll.IMDP("IR", $B287, K$6, $C$4, "fill=true")))</f>
        <v/>
      </c>
      <c r="L287" s="101" t="str">
        <f ca="1">IF($B287="", "", IF(_xll.IMDP("IR", $B287, L$6, $C$4, "fill=true")=0, "", _xll.IMDP("IR", $B287, L$6, $C$4, "fill=true")))</f>
        <v/>
      </c>
      <c r="M287" s="101" t="str">
        <f ca="1">IF($B287="", "", IF(_xll.IMDP("IR", $B287, M$6, $C$4, "fill=true")=0, "", _xll.IMDP("IR", $B287, M$6, $C$4, "fill=true")))</f>
        <v/>
      </c>
      <c r="N287" s="101" t="str">
        <f ca="1">IF($B287="", "", IF(_xll.IMDP("IR", $B287, N$6, $C$4, "fill=true")=0, "", _xll.IMDP("IR", $B287, N$6, $C$4, "fill=true")))</f>
        <v/>
      </c>
      <c r="O287" s="101" t="str">
        <f ca="1">IF($B287="", "", IF(_xll.IMDP("IR", $B287, O$6, $C$4, "fill=true")=0, "", _xll.IMDP("IR", $B287, O$6, $C$4, "fill=true")))</f>
        <v/>
      </c>
      <c r="P287" s="101" t="str">
        <f ca="1">IF($B287="", "", IF(_xll.IMDP("IR", $B287, P$6, $C$4, "fill=true")=0, "", _xll.IMDP("IR", $B287, P$6, $C$4, "fill=true")))</f>
        <v/>
      </c>
      <c r="Q287" s="102" t="str">
        <f ca="1">IF($B287="", "", IF(_xll.IMDP("IR", $B287, Q$6, $C$4, "fill=true")=0, "", _xll.IMDP("IR", $B287, Q$6, $C$4, "fill=true")))</f>
        <v/>
      </c>
    </row>
    <row r="288" spans="2:17">
      <c r="B288" s="83" t="str">
        <f ca="1">IFERROR( VLOOKUP(ROW()-ROW($B$6), code!$G$51:$K$1483, 5, 0), "")</f>
        <v/>
      </c>
      <c r="C288" s="96" t="str">
        <f ca="1">IF($B288="", "", _xll.IMDP("IR", $B288, "1일", $C$4, "fill=true, disp=date"))</f>
        <v/>
      </c>
      <c r="D288" s="97" t="str">
        <f ca="1">IF($B288="", "", VLOOKUP(ROW()-ROW($B$6), code!$G$51:$K$1483, 2, 0) )</f>
        <v/>
      </c>
      <c r="E288" s="98" t="str">
        <f ca="1">IF($B288="", "", VLOOKUP(ROW()-ROW($B$6), code!$G$51:$K$1483, 3, 0) )</f>
        <v/>
      </c>
      <c r="F288" s="99" t="str">
        <f ca="1">IF($B288="", "", VLOOKUP(ROW()-ROW($B$6), code!$G$51:$K$1483, 4, 0))</f>
        <v/>
      </c>
      <c r="G288" s="100" t="str">
        <f ca="1">IF($B288="", "", IF(_xll.IMDP("IR", $B288, G$6, $C$4, "fill=true")=0, "", _xll.IMDP("IR", $B288, G$6, $C$4, "fill=true")))</f>
        <v/>
      </c>
      <c r="H288" s="101" t="str">
        <f ca="1">IF($B288="", "", IF(_xll.IMDP("IR", $B288, H$6, $C$4, "fill=true")=0, "", _xll.IMDP("IR", $B288, H$6, $C$4, "fill=true")))</f>
        <v/>
      </c>
      <c r="I288" s="101" t="str">
        <f ca="1">IF($B288="", "", IF(_xll.IMDP("IR", $B288, I$6, $C$4, "fill=true")=0, "", _xll.IMDP("IR", $B288, I$6, $C$4, "fill=true")))</f>
        <v/>
      </c>
      <c r="J288" s="101" t="str">
        <f ca="1">IF($B288="", "", IF(_xll.IMDP("IR", $B288, J$6, $C$4, "fill=true")=0, "", _xll.IMDP("IR", $B288, J$6, $C$4, "fill=true")))</f>
        <v/>
      </c>
      <c r="K288" s="101" t="str">
        <f ca="1">IF($B288="", "", IF(_xll.IMDP("IR", $B288, K$6, $C$4, "fill=true")=0, "", _xll.IMDP("IR", $B288, K$6, $C$4, "fill=true")))</f>
        <v/>
      </c>
      <c r="L288" s="101" t="str">
        <f ca="1">IF($B288="", "", IF(_xll.IMDP("IR", $B288, L$6, $C$4, "fill=true")=0, "", _xll.IMDP("IR", $B288, L$6, $C$4, "fill=true")))</f>
        <v/>
      </c>
      <c r="M288" s="101" t="str">
        <f ca="1">IF($B288="", "", IF(_xll.IMDP("IR", $B288, M$6, $C$4, "fill=true")=0, "", _xll.IMDP("IR", $B288, M$6, $C$4, "fill=true")))</f>
        <v/>
      </c>
      <c r="N288" s="101" t="str">
        <f ca="1">IF($B288="", "", IF(_xll.IMDP("IR", $B288, N$6, $C$4, "fill=true")=0, "", _xll.IMDP("IR", $B288, N$6, $C$4, "fill=true")))</f>
        <v/>
      </c>
      <c r="O288" s="101" t="str">
        <f ca="1">IF($B288="", "", IF(_xll.IMDP("IR", $B288, O$6, $C$4, "fill=true")=0, "", _xll.IMDP("IR", $B288, O$6, $C$4, "fill=true")))</f>
        <v/>
      </c>
      <c r="P288" s="101" t="str">
        <f ca="1">IF($B288="", "", IF(_xll.IMDP("IR", $B288, P$6, $C$4, "fill=true")=0, "", _xll.IMDP("IR", $B288, P$6, $C$4, "fill=true")))</f>
        <v/>
      </c>
      <c r="Q288" s="102" t="str">
        <f ca="1">IF($B288="", "", IF(_xll.IMDP("IR", $B288, Q$6, $C$4, "fill=true")=0, "", _xll.IMDP("IR", $B288, Q$6, $C$4, "fill=true")))</f>
        <v/>
      </c>
    </row>
    <row r="289" spans="2:17">
      <c r="B289" s="83" t="str">
        <f ca="1">IFERROR( VLOOKUP(ROW()-ROW($B$6), code!$G$51:$K$1483, 5, 0), "")</f>
        <v/>
      </c>
      <c r="C289" s="96" t="str">
        <f ca="1">IF($B289="", "", _xll.IMDP("IR", $B289, "1일", $C$4, "fill=true, disp=date"))</f>
        <v/>
      </c>
      <c r="D289" s="97" t="str">
        <f ca="1">IF($B289="", "", VLOOKUP(ROW()-ROW($B$6), code!$G$51:$K$1483, 2, 0) )</f>
        <v/>
      </c>
      <c r="E289" s="98" t="str">
        <f ca="1">IF($B289="", "", VLOOKUP(ROW()-ROW($B$6), code!$G$51:$K$1483, 3, 0) )</f>
        <v/>
      </c>
      <c r="F289" s="99" t="str">
        <f ca="1">IF($B289="", "", VLOOKUP(ROW()-ROW($B$6), code!$G$51:$K$1483, 4, 0))</f>
        <v/>
      </c>
      <c r="G289" s="100" t="str">
        <f ca="1">IF($B289="", "", IF(_xll.IMDP("IR", $B289, G$6, $C$4, "fill=true")=0, "", _xll.IMDP("IR", $B289, G$6, $C$4, "fill=true")))</f>
        <v/>
      </c>
      <c r="H289" s="101" t="str">
        <f ca="1">IF($B289="", "", IF(_xll.IMDP("IR", $B289, H$6, $C$4, "fill=true")=0, "", _xll.IMDP("IR", $B289, H$6, $C$4, "fill=true")))</f>
        <v/>
      </c>
      <c r="I289" s="101" t="str">
        <f ca="1">IF($B289="", "", IF(_xll.IMDP("IR", $B289, I$6, $C$4, "fill=true")=0, "", _xll.IMDP("IR", $B289, I$6, $C$4, "fill=true")))</f>
        <v/>
      </c>
      <c r="J289" s="101" t="str">
        <f ca="1">IF($B289="", "", IF(_xll.IMDP("IR", $B289, J$6, $C$4, "fill=true")=0, "", _xll.IMDP("IR", $B289, J$6, $C$4, "fill=true")))</f>
        <v/>
      </c>
      <c r="K289" s="101" t="str">
        <f ca="1">IF($B289="", "", IF(_xll.IMDP("IR", $B289, K$6, $C$4, "fill=true")=0, "", _xll.IMDP("IR", $B289, K$6, $C$4, "fill=true")))</f>
        <v/>
      </c>
      <c r="L289" s="101" t="str">
        <f ca="1">IF($B289="", "", IF(_xll.IMDP("IR", $B289, L$6, $C$4, "fill=true")=0, "", _xll.IMDP("IR", $B289, L$6, $C$4, "fill=true")))</f>
        <v/>
      </c>
      <c r="M289" s="101" t="str">
        <f ca="1">IF($B289="", "", IF(_xll.IMDP("IR", $B289, M$6, $C$4, "fill=true")=0, "", _xll.IMDP("IR", $B289, M$6, $C$4, "fill=true")))</f>
        <v/>
      </c>
      <c r="N289" s="101" t="str">
        <f ca="1">IF($B289="", "", IF(_xll.IMDP("IR", $B289, N$6, $C$4, "fill=true")=0, "", _xll.IMDP("IR", $B289, N$6, $C$4, "fill=true")))</f>
        <v/>
      </c>
      <c r="O289" s="101" t="str">
        <f ca="1">IF($B289="", "", IF(_xll.IMDP("IR", $B289, O$6, $C$4, "fill=true")=0, "", _xll.IMDP("IR", $B289, O$6, $C$4, "fill=true")))</f>
        <v/>
      </c>
      <c r="P289" s="101" t="str">
        <f ca="1">IF($B289="", "", IF(_xll.IMDP("IR", $B289, P$6, $C$4, "fill=true")=0, "", _xll.IMDP("IR", $B289, P$6, $C$4, "fill=true")))</f>
        <v/>
      </c>
      <c r="Q289" s="102" t="str">
        <f ca="1">IF($B289="", "", IF(_xll.IMDP("IR", $B289, Q$6, $C$4, "fill=true")=0, "", _xll.IMDP("IR", $B289, Q$6, $C$4, "fill=true")))</f>
        <v/>
      </c>
    </row>
    <row r="290" spans="2:17">
      <c r="B290" s="83" t="str">
        <f ca="1">IFERROR( VLOOKUP(ROW()-ROW($B$6), code!$G$51:$K$1483, 5, 0), "")</f>
        <v/>
      </c>
      <c r="C290" s="96" t="str">
        <f ca="1">IF($B290="", "", _xll.IMDP("IR", $B290, "1일", $C$4, "fill=true, disp=date"))</f>
        <v/>
      </c>
      <c r="D290" s="97" t="str">
        <f ca="1">IF($B290="", "", VLOOKUP(ROW()-ROW($B$6), code!$G$51:$K$1483, 2, 0) )</f>
        <v/>
      </c>
      <c r="E290" s="98" t="str">
        <f ca="1">IF($B290="", "", VLOOKUP(ROW()-ROW($B$6), code!$G$51:$K$1483, 3, 0) )</f>
        <v/>
      </c>
      <c r="F290" s="99" t="str">
        <f ca="1">IF($B290="", "", VLOOKUP(ROW()-ROW($B$6), code!$G$51:$K$1483, 4, 0))</f>
        <v/>
      </c>
      <c r="G290" s="100" t="str">
        <f ca="1">IF($B290="", "", IF(_xll.IMDP("IR", $B290, G$6, $C$4, "fill=true")=0, "", _xll.IMDP("IR", $B290, G$6, $C$4, "fill=true")))</f>
        <v/>
      </c>
      <c r="H290" s="101" t="str">
        <f ca="1">IF($B290="", "", IF(_xll.IMDP("IR", $B290, H$6, $C$4, "fill=true")=0, "", _xll.IMDP("IR", $B290, H$6, $C$4, "fill=true")))</f>
        <v/>
      </c>
      <c r="I290" s="101" t="str">
        <f ca="1">IF($B290="", "", IF(_xll.IMDP("IR", $B290, I$6, $C$4, "fill=true")=0, "", _xll.IMDP("IR", $B290, I$6, $C$4, "fill=true")))</f>
        <v/>
      </c>
      <c r="J290" s="101" t="str">
        <f ca="1">IF($B290="", "", IF(_xll.IMDP("IR", $B290, J$6, $C$4, "fill=true")=0, "", _xll.IMDP("IR", $B290, J$6, $C$4, "fill=true")))</f>
        <v/>
      </c>
      <c r="K290" s="101" t="str">
        <f ca="1">IF($B290="", "", IF(_xll.IMDP("IR", $B290, K$6, $C$4, "fill=true")=0, "", _xll.IMDP("IR", $B290, K$6, $C$4, "fill=true")))</f>
        <v/>
      </c>
      <c r="L290" s="101" t="str">
        <f ca="1">IF($B290="", "", IF(_xll.IMDP("IR", $B290, L$6, $C$4, "fill=true")=0, "", _xll.IMDP("IR", $B290, L$6, $C$4, "fill=true")))</f>
        <v/>
      </c>
      <c r="M290" s="101" t="str">
        <f ca="1">IF($B290="", "", IF(_xll.IMDP("IR", $B290, M$6, $C$4, "fill=true")=0, "", _xll.IMDP("IR", $B290, M$6, $C$4, "fill=true")))</f>
        <v/>
      </c>
      <c r="N290" s="101" t="str">
        <f ca="1">IF($B290="", "", IF(_xll.IMDP("IR", $B290, N$6, $C$4, "fill=true")=0, "", _xll.IMDP("IR", $B290, N$6, $C$4, "fill=true")))</f>
        <v/>
      </c>
      <c r="O290" s="101" t="str">
        <f ca="1">IF($B290="", "", IF(_xll.IMDP("IR", $B290, O$6, $C$4, "fill=true")=0, "", _xll.IMDP("IR", $B290, O$6, $C$4, "fill=true")))</f>
        <v/>
      </c>
      <c r="P290" s="101" t="str">
        <f ca="1">IF($B290="", "", IF(_xll.IMDP("IR", $B290, P$6, $C$4, "fill=true")=0, "", _xll.IMDP("IR", $B290, P$6, $C$4, "fill=true")))</f>
        <v/>
      </c>
      <c r="Q290" s="102" t="str">
        <f ca="1">IF($B290="", "", IF(_xll.IMDP("IR", $B290, Q$6, $C$4, "fill=true")=0, "", _xll.IMDP("IR", $B290, Q$6, $C$4, "fill=true")))</f>
        <v/>
      </c>
    </row>
    <row r="291" spans="2:17">
      <c r="B291" s="83" t="str">
        <f ca="1">IFERROR( VLOOKUP(ROW()-ROW($B$6), code!$G$51:$K$1483, 5, 0), "")</f>
        <v/>
      </c>
      <c r="C291" s="96" t="str">
        <f ca="1">IF($B291="", "", _xll.IMDP("IR", $B291, "1일", $C$4, "fill=true, disp=date"))</f>
        <v/>
      </c>
      <c r="D291" s="97" t="str">
        <f ca="1">IF($B291="", "", VLOOKUP(ROW()-ROW($B$6), code!$G$51:$K$1483, 2, 0) )</f>
        <v/>
      </c>
      <c r="E291" s="98" t="str">
        <f ca="1">IF($B291="", "", VLOOKUP(ROW()-ROW($B$6), code!$G$51:$K$1483, 3, 0) )</f>
        <v/>
      </c>
      <c r="F291" s="99" t="str">
        <f ca="1">IF($B291="", "", VLOOKUP(ROW()-ROW($B$6), code!$G$51:$K$1483, 4, 0))</f>
        <v/>
      </c>
      <c r="G291" s="100" t="str">
        <f ca="1">IF($B291="", "", IF(_xll.IMDP("IR", $B291, G$6, $C$4, "fill=true")=0, "", _xll.IMDP("IR", $B291, G$6, $C$4, "fill=true")))</f>
        <v/>
      </c>
      <c r="H291" s="101" t="str">
        <f ca="1">IF($B291="", "", IF(_xll.IMDP("IR", $B291, H$6, $C$4, "fill=true")=0, "", _xll.IMDP("IR", $B291, H$6, $C$4, "fill=true")))</f>
        <v/>
      </c>
      <c r="I291" s="101" t="str">
        <f ca="1">IF($B291="", "", IF(_xll.IMDP("IR", $B291, I$6, $C$4, "fill=true")=0, "", _xll.IMDP("IR", $B291, I$6, $C$4, "fill=true")))</f>
        <v/>
      </c>
      <c r="J291" s="101" t="str">
        <f ca="1">IF($B291="", "", IF(_xll.IMDP("IR", $B291, J$6, $C$4, "fill=true")=0, "", _xll.IMDP("IR", $B291, J$6, $C$4, "fill=true")))</f>
        <v/>
      </c>
      <c r="K291" s="101" t="str">
        <f ca="1">IF($B291="", "", IF(_xll.IMDP("IR", $B291, K$6, $C$4, "fill=true")=0, "", _xll.IMDP("IR", $B291, K$6, $C$4, "fill=true")))</f>
        <v/>
      </c>
      <c r="L291" s="101" t="str">
        <f ca="1">IF($B291="", "", IF(_xll.IMDP("IR", $B291, L$6, $C$4, "fill=true")=0, "", _xll.IMDP("IR", $B291, L$6, $C$4, "fill=true")))</f>
        <v/>
      </c>
      <c r="M291" s="101" t="str">
        <f ca="1">IF($B291="", "", IF(_xll.IMDP("IR", $B291, M$6, $C$4, "fill=true")=0, "", _xll.IMDP("IR", $B291, M$6, $C$4, "fill=true")))</f>
        <v/>
      </c>
      <c r="N291" s="101" t="str">
        <f ca="1">IF($B291="", "", IF(_xll.IMDP("IR", $B291, N$6, $C$4, "fill=true")=0, "", _xll.IMDP("IR", $B291, N$6, $C$4, "fill=true")))</f>
        <v/>
      </c>
      <c r="O291" s="101" t="str">
        <f ca="1">IF($B291="", "", IF(_xll.IMDP("IR", $B291, O$6, $C$4, "fill=true")=0, "", _xll.IMDP("IR", $B291, O$6, $C$4, "fill=true")))</f>
        <v/>
      </c>
      <c r="P291" s="101" t="str">
        <f ca="1">IF($B291="", "", IF(_xll.IMDP("IR", $B291, P$6, $C$4, "fill=true")=0, "", _xll.IMDP("IR", $B291, P$6, $C$4, "fill=true")))</f>
        <v/>
      </c>
      <c r="Q291" s="102" t="str">
        <f ca="1">IF($B291="", "", IF(_xll.IMDP("IR", $B291, Q$6, $C$4, "fill=true")=0, "", _xll.IMDP("IR", $B291, Q$6, $C$4, "fill=true")))</f>
        <v/>
      </c>
    </row>
    <row r="292" spans="2:17">
      <c r="B292" s="83" t="str">
        <f ca="1">IFERROR( VLOOKUP(ROW()-ROW($B$6), code!$G$51:$K$1483, 5, 0), "")</f>
        <v/>
      </c>
      <c r="C292" s="96" t="str">
        <f ca="1">IF($B292="", "", _xll.IMDP("IR", $B292, "1일", $C$4, "fill=true, disp=date"))</f>
        <v/>
      </c>
      <c r="D292" s="97" t="str">
        <f ca="1">IF($B292="", "", VLOOKUP(ROW()-ROW($B$6), code!$G$51:$K$1483, 2, 0) )</f>
        <v/>
      </c>
      <c r="E292" s="98" t="str">
        <f ca="1">IF($B292="", "", VLOOKUP(ROW()-ROW($B$6), code!$G$51:$K$1483, 3, 0) )</f>
        <v/>
      </c>
      <c r="F292" s="99" t="str">
        <f ca="1">IF($B292="", "", VLOOKUP(ROW()-ROW($B$6), code!$G$51:$K$1483, 4, 0))</f>
        <v/>
      </c>
      <c r="G292" s="100" t="str">
        <f ca="1">IF($B292="", "", IF(_xll.IMDP("IR", $B292, G$6, $C$4, "fill=true")=0, "", _xll.IMDP("IR", $B292, G$6, $C$4, "fill=true")))</f>
        <v/>
      </c>
      <c r="H292" s="101" t="str">
        <f ca="1">IF($B292="", "", IF(_xll.IMDP("IR", $B292, H$6, $C$4, "fill=true")=0, "", _xll.IMDP("IR", $B292, H$6, $C$4, "fill=true")))</f>
        <v/>
      </c>
      <c r="I292" s="101" t="str">
        <f ca="1">IF($B292="", "", IF(_xll.IMDP("IR", $B292, I$6, $C$4, "fill=true")=0, "", _xll.IMDP("IR", $B292, I$6, $C$4, "fill=true")))</f>
        <v/>
      </c>
      <c r="J292" s="101" t="str">
        <f ca="1">IF($B292="", "", IF(_xll.IMDP("IR", $B292, J$6, $C$4, "fill=true")=0, "", _xll.IMDP("IR", $B292, J$6, $C$4, "fill=true")))</f>
        <v/>
      </c>
      <c r="K292" s="101" t="str">
        <f ca="1">IF($B292="", "", IF(_xll.IMDP("IR", $B292, K$6, $C$4, "fill=true")=0, "", _xll.IMDP("IR", $B292, K$6, $C$4, "fill=true")))</f>
        <v/>
      </c>
      <c r="L292" s="101" t="str">
        <f ca="1">IF($B292="", "", IF(_xll.IMDP("IR", $B292, L$6, $C$4, "fill=true")=0, "", _xll.IMDP("IR", $B292, L$6, $C$4, "fill=true")))</f>
        <v/>
      </c>
      <c r="M292" s="101" t="str">
        <f ca="1">IF($B292="", "", IF(_xll.IMDP("IR", $B292, M$6, $C$4, "fill=true")=0, "", _xll.IMDP("IR", $B292, M$6, $C$4, "fill=true")))</f>
        <v/>
      </c>
      <c r="N292" s="101" t="str">
        <f ca="1">IF($B292="", "", IF(_xll.IMDP("IR", $B292, N$6, $C$4, "fill=true")=0, "", _xll.IMDP("IR", $B292, N$6, $C$4, "fill=true")))</f>
        <v/>
      </c>
      <c r="O292" s="101" t="str">
        <f ca="1">IF($B292="", "", IF(_xll.IMDP("IR", $B292, O$6, $C$4, "fill=true")=0, "", _xll.IMDP("IR", $B292, O$6, $C$4, "fill=true")))</f>
        <v/>
      </c>
      <c r="P292" s="101" t="str">
        <f ca="1">IF($B292="", "", IF(_xll.IMDP("IR", $B292, P$6, $C$4, "fill=true")=0, "", _xll.IMDP("IR", $B292, P$6, $C$4, "fill=true")))</f>
        <v/>
      </c>
      <c r="Q292" s="102" t="str">
        <f ca="1">IF($B292="", "", IF(_xll.IMDP("IR", $B292, Q$6, $C$4, "fill=true")=0, "", _xll.IMDP("IR", $B292, Q$6, $C$4, "fill=true")))</f>
        <v/>
      </c>
    </row>
    <row r="293" spans="2:17">
      <c r="B293" s="83" t="str">
        <f ca="1">IFERROR( VLOOKUP(ROW()-ROW($B$6), code!$G$51:$K$1483, 5, 0), "")</f>
        <v/>
      </c>
      <c r="C293" s="96" t="str">
        <f ca="1">IF($B293="", "", _xll.IMDP("IR", $B293, "1일", $C$4, "fill=true, disp=date"))</f>
        <v/>
      </c>
      <c r="D293" s="97" t="str">
        <f ca="1">IF($B293="", "", VLOOKUP(ROW()-ROW($B$6), code!$G$51:$K$1483, 2, 0) )</f>
        <v/>
      </c>
      <c r="E293" s="98" t="str">
        <f ca="1">IF($B293="", "", VLOOKUP(ROW()-ROW($B$6), code!$G$51:$K$1483, 3, 0) )</f>
        <v/>
      </c>
      <c r="F293" s="99" t="str">
        <f ca="1">IF($B293="", "", VLOOKUP(ROW()-ROW($B$6), code!$G$51:$K$1483, 4, 0))</f>
        <v/>
      </c>
      <c r="G293" s="100" t="str">
        <f ca="1">IF($B293="", "", IF(_xll.IMDP("IR", $B293, G$6, $C$4, "fill=true")=0, "", _xll.IMDP("IR", $B293, G$6, $C$4, "fill=true")))</f>
        <v/>
      </c>
      <c r="H293" s="101" t="str">
        <f ca="1">IF($B293="", "", IF(_xll.IMDP("IR", $B293, H$6, $C$4, "fill=true")=0, "", _xll.IMDP("IR", $B293, H$6, $C$4, "fill=true")))</f>
        <v/>
      </c>
      <c r="I293" s="101" t="str">
        <f ca="1">IF($B293="", "", IF(_xll.IMDP("IR", $B293, I$6, $C$4, "fill=true")=0, "", _xll.IMDP("IR", $B293, I$6, $C$4, "fill=true")))</f>
        <v/>
      </c>
      <c r="J293" s="101" t="str">
        <f ca="1">IF($B293="", "", IF(_xll.IMDP("IR", $B293, J$6, $C$4, "fill=true")=0, "", _xll.IMDP("IR", $B293, J$6, $C$4, "fill=true")))</f>
        <v/>
      </c>
      <c r="K293" s="101" t="str">
        <f ca="1">IF($B293="", "", IF(_xll.IMDP("IR", $B293, K$6, $C$4, "fill=true")=0, "", _xll.IMDP("IR", $B293, K$6, $C$4, "fill=true")))</f>
        <v/>
      </c>
      <c r="L293" s="101" t="str">
        <f ca="1">IF($B293="", "", IF(_xll.IMDP("IR", $B293, L$6, $C$4, "fill=true")=0, "", _xll.IMDP("IR", $B293, L$6, $C$4, "fill=true")))</f>
        <v/>
      </c>
      <c r="M293" s="101" t="str">
        <f ca="1">IF($B293="", "", IF(_xll.IMDP("IR", $B293, M$6, $C$4, "fill=true")=0, "", _xll.IMDP("IR", $B293, M$6, $C$4, "fill=true")))</f>
        <v/>
      </c>
      <c r="N293" s="101" t="str">
        <f ca="1">IF($B293="", "", IF(_xll.IMDP("IR", $B293, N$6, $C$4, "fill=true")=0, "", _xll.IMDP("IR", $B293, N$6, $C$4, "fill=true")))</f>
        <v/>
      </c>
      <c r="O293" s="101" t="str">
        <f ca="1">IF($B293="", "", IF(_xll.IMDP("IR", $B293, O$6, $C$4, "fill=true")=0, "", _xll.IMDP("IR", $B293, O$6, $C$4, "fill=true")))</f>
        <v/>
      </c>
      <c r="P293" s="101" t="str">
        <f ca="1">IF($B293="", "", IF(_xll.IMDP("IR", $B293, P$6, $C$4, "fill=true")=0, "", _xll.IMDP("IR", $B293, P$6, $C$4, "fill=true")))</f>
        <v/>
      </c>
      <c r="Q293" s="102" t="str">
        <f ca="1">IF($B293="", "", IF(_xll.IMDP("IR", $B293, Q$6, $C$4, "fill=true")=0, "", _xll.IMDP("IR", $B293, Q$6, $C$4, "fill=true")))</f>
        <v/>
      </c>
    </row>
    <row r="294" spans="2:17">
      <c r="B294" s="83" t="str">
        <f ca="1">IFERROR( VLOOKUP(ROW()-ROW($B$6), code!$G$51:$K$1483, 5, 0), "")</f>
        <v/>
      </c>
      <c r="C294" s="96" t="str">
        <f ca="1">IF($B294="", "", _xll.IMDP("IR", $B294, "1일", $C$4, "fill=true, disp=date"))</f>
        <v/>
      </c>
      <c r="D294" s="97" t="str">
        <f ca="1">IF($B294="", "", VLOOKUP(ROW()-ROW($B$6), code!$G$51:$K$1483, 2, 0) )</f>
        <v/>
      </c>
      <c r="E294" s="98" t="str">
        <f ca="1">IF($B294="", "", VLOOKUP(ROW()-ROW($B$6), code!$G$51:$K$1483, 3, 0) )</f>
        <v/>
      </c>
      <c r="F294" s="99" t="str">
        <f ca="1">IF($B294="", "", VLOOKUP(ROW()-ROW($B$6), code!$G$51:$K$1483, 4, 0))</f>
        <v/>
      </c>
      <c r="G294" s="100" t="str">
        <f ca="1">IF($B294="", "", IF(_xll.IMDP("IR", $B294, G$6, $C$4, "fill=true")=0, "", _xll.IMDP("IR", $B294, G$6, $C$4, "fill=true")))</f>
        <v/>
      </c>
      <c r="H294" s="101" t="str">
        <f ca="1">IF($B294="", "", IF(_xll.IMDP("IR", $B294, H$6, $C$4, "fill=true")=0, "", _xll.IMDP("IR", $B294, H$6, $C$4, "fill=true")))</f>
        <v/>
      </c>
      <c r="I294" s="101" t="str">
        <f ca="1">IF($B294="", "", IF(_xll.IMDP("IR", $B294, I$6, $C$4, "fill=true")=0, "", _xll.IMDP("IR", $B294, I$6, $C$4, "fill=true")))</f>
        <v/>
      </c>
      <c r="J294" s="101" t="str">
        <f ca="1">IF($B294="", "", IF(_xll.IMDP("IR", $B294, J$6, $C$4, "fill=true")=0, "", _xll.IMDP("IR", $B294, J$6, $C$4, "fill=true")))</f>
        <v/>
      </c>
      <c r="K294" s="101" t="str">
        <f ca="1">IF($B294="", "", IF(_xll.IMDP("IR", $B294, K$6, $C$4, "fill=true")=0, "", _xll.IMDP("IR", $B294, K$6, $C$4, "fill=true")))</f>
        <v/>
      </c>
      <c r="L294" s="101" t="str">
        <f ca="1">IF($B294="", "", IF(_xll.IMDP("IR", $B294, L$6, $C$4, "fill=true")=0, "", _xll.IMDP("IR", $B294, L$6, $C$4, "fill=true")))</f>
        <v/>
      </c>
      <c r="M294" s="101" t="str">
        <f ca="1">IF($B294="", "", IF(_xll.IMDP("IR", $B294, M$6, $C$4, "fill=true")=0, "", _xll.IMDP("IR", $B294, M$6, $C$4, "fill=true")))</f>
        <v/>
      </c>
      <c r="N294" s="101" t="str">
        <f ca="1">IF($B294="", "", IF(_xll.IMDP("IR", $B294, N$6, $C$4, "fill=true")=0, "", _xll.IMDP("IR", $B294, N$6, $C$4, "fill=true")))</f>
        <v/>
      </c>
      <c r="O294" s="101" t="str">
        <f ca="1">IF($B294="", "", IF(_xll.IMDP("IR", $B294, O$6, $C$4, "fill=true")=0, "", _xll.IMDP("IR", $B294, O$6, $C$4, "fill=true")))</f>
        <v/>
      </c>
      <c r="P294" s="101" t="str">
        <f ca="1">IF($B294="", "", IF(_xll.IMDP("IR", $B294, P$6, $C$4, "fill=true")=0, "", _xll.IMDP("IR", $B294, P$6, $C$4, "fill=true")))</f>
        <v/>
      </c>
      <c r="Q294" s="102" t="str">
        <f ca="1">IF($B294="", "", IF(_xll.IMDP("IR", $B294, Q$6, $C$4, "fill=true")=0, "", _xll.IMDP("IR", $B294, Q$6, $C$4, "fill=true")))</f>
        <v/>
      </c>
    </row>
    <row r="295" spans="2:17">
      <c r="B295" s="83" t="str">
        <f ca="1">IFERROR( VLOOKUP(ROW()-ROW($B$6), code!$G$51:$K$1483, 5, 0), "")</f>
        <v/>
      </c>
      <c r="C295" s="96" t="str">
        <f ca="1">IF($B295="", "", _xll.IMDP("IR", $B295, "1일", $C$4, "fill=true, disp=date"))</f>
        <v/>
      </c>
      <c r="D295" s="97" t="str">
        <f ca="1">IF($B295="", "", VLOOKUP(ROW()-ROW($B$6), code!$G$51:$K$1483, 2, 0) )</f>
        <v/>
      </c>
      <c r="E295" s="98" t="str">
        <f ca="1">IF($B295="", "", VLOOKUP(ROW()-ROW($B$6), code!$G$51:$K$1483, 3, 0) )</f>
        <v/>
      </c>
      <c r="F295" s="99" t="str">
        <f ca="1">IF($B295="", "", VLOOKUP(ROW()-ROW($B$6), code!$G$51:$K$1483, 4, 0))</f>
        <v/>
      </c>
      <c r="G295" s="100" t="str">
        <f ca="1">IF($B295="", "", IF(_xll.IMDP("IR", $B295, G$6, $C$4, "fill=true")=0, "", _xll.IMDP("IR", $B295, G$6, $C$4, "fill=true")))</f>
        <v/>
      </c>
      <c r="H295" s="101" t="str">
        <f ca="1">IF($B295="", "", IF(_xll.IMDP("IR", $B295, H$6, $C$4, "fill=true")=0, "", _xll.IMDP("IR", $B295, H$6, $C$4, "fill=true")))</f>
        <v/>
      </c>
      <c r="I295" s="101" t="str">
        <f ca="1">IF($B295="", "", IF(_xll.IMDP("IR", $B295, I$6, $C$4, "fill=true")=0, "", _xll.IMDP("IR", $B295, I$6, $C$4, "fill=true")))</f>
        <v/>
      </c>
      <c r="J295" s="101" t="str">
        <f ca="1">IF($B295="", "", IF(_xll.IMDP("IR", $B295, J$6, $C$4, "fill=true")=0, "", _xll.IMDP("IR", $B295, J$6, $C$4, "fill=true")))</f>
        <v/>
      </c>
      <c r="K295" s="101" t="str">
        <f ca="1">IF($B295="", "", IF(_xll.IMDP("IR", $B295, K$6, $C$4, "fill=true")=0, "", _xll.IMDP("IR", $B295, K$6, $C$4, "fill=true")))</f>
        <v/>
      </c>
      <c r="L295" s="101" t="str">
        <f ca="1">IF($B295="", "", IF(_xll.IMDP("IR", $B295, L$6, $C$4, "fill=true")=0, "", _xll.IMDP("IR", $B295, L$6, $C$4, "fill=true")))</f>
        <v/>
      </c>
      <c r="M295" s="101" t="str">
        <f ca="1">IF($B295="", "", IF(_xll.IMDP("IR", $B295, M$6, $C$4, "fill=true")=0, "", _xll.IMDP("IR", $B295, M$6, $C$4, "fill=true")))</f>
        <v/>
      </c>
      <c r="N295" s="101" t="str">
        <f ca="1">IF($B295="", "", IF(_xll.IMDP("IR", $B295, N$6, $C$4, "fill=true")=0, "", _xll.IMDP("IR", $B295, N$6, $C$4, "fill=true")))</f>
        <v/>
      </c>
      <c r="O295" s="101" t="str">
        <f ca="1">IF($B295="", "", IF(_xll.IMDP("IR", $B295, O$6, $C$4, "fill=true")=0, "", _xll.IMDP("IR", $B295, O$6, $C$4, "fill=true")))</f>
        <v/>
      </c>
      <c r="P295" s="101" t="str">
        <f ca="1">IF($B295="", "", IF(_xll.IMDP("IR", $B295, P$6, $C$4, "fill=true")=0, "", _xll.IMDP("IR", $B295, P$6, $C$4, "fill=true")))</f>
        <v/>
      </c>
      <c r="Q295" s="102" t="str">
        <f ca="1">IF($B295="", "", IF(_xll.IMDP("IR", $B295, Q$6, $C$4, "fill=true")=0, "", _xll.IMDP("IR", $B295, Q$6, $C$4, "fill=true")))</f>
        <v/>
      </c>
    </row>
    <row r="296" spans="2:17">
      <c r="B296" s="83" t="str">
        <f ca="1">IFERROR( VLOOKUP(ROW()-ROW($B$6), code!$G$51:$K$1483, 5, 0), "")</f>
        <v/>
      </c>
      <c r="C296" s="96" t="str">
        <f ca="1">IF($B296="", "", _xll.IMDP("IR", $B296, "1일", $C$4, "fill=true, disp=date"))</f>
        <v/>
      </c>
      <c r="D296" s="97" t="str">
        <f ca="1">IF($B296="", "", VLOOKUP(ROW()-ROW($B$6), code!$G$51:$K$1483, 2, 0) )</f>
        <v/>
      </c>
      <c r="E296" s="98" t="str">
        <f ca="1">IF($B296="", "", VLOOKUP(ROW()-ROW($B$6), code!$G$51:$K$1483, 3, 0) )</f>
        <v/>
      </c>
      <c r="F296" s="99" t="str">
        <f ca="1">IF($B296="", "", VLOOKUP(ROW()-ROW($B$6), code!$G$51:$K$1483, 4, 0))</f>
        <v/>
      </c>
      <c r="G296" s="100" t="str">
        <f ca="1">IF($B296="", "", IF(_xll.IMDP("IR", $B296, G$6, $C$4, "fill=true")=0, "", _xll.IMDP("IR", $B296, G$6, $C$4, "fill=true")))</f>
        <v/>
      </c>
      <c r="H296" s="101" t="str">
        <f ca="1">IF($B296="", "", IF(_xll.IMDP("IR", $B296, H$6, $C$4, "fill=true")=0, "", _xll.IMDP("IR", $B296, H$6, $C$4, "fill=true")))</f>
        <v/>
      </c>
      <c r="I296" s="101" t="str">
        <f ca="1">IF($B296="", "", IF(_xll.IMDP("IR", $B296, I$6, $C$4, "fill=true")=0, "", _xll.IMDP("IR", $B296, I$6, $C$4, "fill=true")))</f>
        <v/>
      </c>
      <c r="J296" s="101" t="str">
        <f ca="1">IF($B296="", "", IF(_xll.IMDP("IR", $B296, J$6, $C$4, "fill=true")=0, "", _xll.IMDP("IR", $B296, J$6, $C$4, "fill=true")))</f>
        <v/>
      </c>
      <c r="K296" s="101" t="str">
        <f ca="1">IF($B296="", "", IF(_xll.IMDP("IR", $B296, K$6, $C$4, "fill=true")=0, "", _xll.IMDP("IR", $B296, K$6, $C$4, "fill=true")))</f>
        <v/>
      </c>
      <c r="L296" s="101" t="str">
        <f ca="1">IF($B296="", "", IF(_xll.IMDP("IR", $B296, L$6, $C$4, "fill=true")=0, "", _xll.IMDP("IR", $B296, L$6, $C$4, "fill=true")))</f>
        <v/>
      </c>
      <c r="M296" s="101" t="str">
        <f ca="1">IF($B296="", "", IF(_xll.IMDP("IR", $B296, M$6, $C$4, "fill=true")=0, "", _xll.IMDP("IR", $B296, M$6, $C$4, "fill=true")))</f>
        <v/>
      </c>
      <c r="N296" s="101" t="str">
        <f ca="1">IF($B296="", "", IF(_xll.IMDP("IR", $B296, N$6, $C$4, "fill=true")=0, "", _xll.IMDP("IR", $B296, N$6, $C$4, "fill=true")))</f>
        <v/>
      </c>
      <c r="O296" s="101" t="str">
        <f ca="1">IF($B296="", "", IF(_xll.IMDP("IR", $B296, O$6, $C$4, "fill=true")=0, "", _xll.IMDP("IR", $B296, O$6, $C$4, "fill=true")))</f>
        <v/>
      </c>
      <c r="P296" s="101" t="str">
        <f ca="1">IF($B296="", "", IF(_xll.IMDP("IR", $B296, P$6, $C$4, "fill=true")=0, "", _xll.IMDP("IR", $B296, P$6, $C$4, "fill=true")))</f>
        <v/>
      </c>
      <c r="Q296" s="102" t="str">
        <f ca="1">IF($B296="", "", IF(_xll.IMDP("IR", $B296, Q$6, $C$4, "fill=true")=0, "", _xll.IMDP("IR", $B296, Q$6, $C$4, "fill=true")))</f>
        <v/>
      </c>
    </row>
    <row r="297" spans="2:17">
      <c r="B297" s="83" t="str">
        <f ca="1">IFERROR( VLOOKUP(ROW()-ROW($B$6), code!$G$51:$K$1483, 5, 0), "")</f>
        <v/>
      </c>
      <c r="C297" s="96" t="str">
        <f ca="1">IF($B297="", "", _xll.IMDP("IR", $B297, "1일", $C$4, "fill=true, disp=date"))</f>
        <v/>
      </c>
      <c r="D297" s="97" t="str">
        <f ca="1">IF($B297="", "", VLOOKUP(ROW()-ROW($B$6), code!$G$51:$K$1483, 2, 0) )</f>
        <v/>
      </c>
      <c r="E297" s="98" t="str">
        <f ca="1">IF($B297="", "", VLOOKUP(ROW()-ROW($B$6), code!$G$51:$K$1483, 3, 0) )</f>
        <v/>
      </c>
      <c r="F297" s="99" t="str">
        <f ca="1">IF($B297="", "", VLOOKUP(ROW()-ROW($B$6), code!$G$51:$K$1483, 4, 0))</f>
        <v/>
      </c>
      <c r="G297" s="100" t="str">
        <f ca="1">IF($B297="", "", IF(_xll.IMDP("IR", $B297, G$6, $C$4, "fill=true")=0, "", _xll.IMDP("IR", $B297, G$6, $C$4, "fill=true")))</f>
        <v/>
      </c>
      <c r="H297" s="101" t="str">
        <f ca="1">IF($B297="", "", IF(_xll.IMDP("IR", $B297, H$6, $C$4, "fill=true")=0, "", _xll.IMDP("IR", $B297, H$6, $C$4, "fill=true")))</f>
        <v/>
      </c>
      <c r="I297" s="101" t="str">
        <f ca="1">IF($B297="", "", IF(_xll.IMDP("IR", $B297, I$6, $C$4, "fill=true")=0, "", _xll.IMDP("IR", $B297, I$6, $C$4, "fill=true")))</f>
        <v/>
      </c>
      <c r="J297" s="101" t="str">
        <f ca="1">IF($B297="", "", IF(_xll.IMDP("IR", $B297, J$6, $C$4, "fill=true")=0, "", _xll.IMDP("IR", $B297, J$6, $C$4, "fill=true")))</f>
        <v/>
      </c>
      <c r="K297" s="101" t="str">
        <f ca="1">IF($B297="", "", IF(_xll.IMDP("IR", $B297, K$6, $C$4, "fill=true")=0, "", _xll.IMDP("IR", $B297, K$6, $C$4, "fill=true")))</f>
        <v/>
      </c>
      <c r="L297" s="101" t="str">
        <f ca="1">IF($B297="", "", IF(_xll.IMDP("IR", $B297, L$6, $C$4, "fill=true")=0, "", _xll.IMDP("IR", $B297, L$6, $C$4, "fill=true")))</f>
        <v/>
      </c>
      <c r="M297" s="101" t="str">
        <f ca="1">IF($B297="", "", IF(_xll.IMDP("IR", $B297, M$6, $C$4, "fill=true")=0, "", _xll.IMDP("IR", $B297, M$6, $C$4, "fill=true")))</f>
        <v/>
      </c>
      <c r="N297" s="101" t="str">
        <f ca="1">IF($B297="", "", IF(_xll.IMDP("IR", $B297, N$6, $C$4, "fill=true")=0, "", _xll.IMDP("IR", $B297, N$6, $C$4, "fill=true")))</f>
        <v/>
      </c>
      <c r="O297" s="101" t="str">
        <f ca="1">IF($B297="", "", IF(_xll.IMDP("IR", $B297, O$6, $C$4, "fill=true")=0, "", _xll.IMDP("IR", $B297, O$6, $C$4, "fill=true")))</f>
        <v/>
      </c>
      <c r="P297" s="101" t="str">
        <f ca="1">IF($B297="", "", IF(_xll.IMDP("IR", $B297, P$6, $C$4, "fill=true")=0, "", _xll.IMDP("IR", $B297, P$6, $C$4, "fill=true")))</f>
        <v/>
      </c>
      <c r="Q297" s="102" t="str">
        <f ca="1">IF($B297="", "", IF(_xll.IMDP("IR", $B297, Q$6, $C$4, "fill=true")=0, "", _xll.IMDP("IR", $B297, Q$6, $C$4, "fill=true")))</f>
        <v/>
      </c>
    </row>
    <row r="298" spans="2:17">
      <c r="B298" s="83" t="str">
        <f ca="1">IFERROR( VLOOKUP(ROW()-ROW($B$6), code!$G$51:$K$1483, 5, 0), "")</f>
        <v/>
      </c>
      <c r="C298" s="96" t="str">
        <f ca="1">IF($B298="", "", _xll.IMDP("IR", $B298, "1일", $C$4, "fill=true, disp=date"))</f>
        <v/>
      </c>
      <c r="D298" s="97" t="str">
        <f ca="1">IF($B298="", "", VLOOKUP(ROW()-ROW($B$6), code!$G$51:$K$1483, 2, 0) )</f>
        <v/>
      </c>
      <c r="E298" s="98" t="str">
        <f ca="1">IF($B298="", "", VLOOKUP(ROW()-ROW($B$6), code!$G$51:$K$1483, 3, 0) )</f>
        <v/>
      </c>
      <c r="F298" s="99" t="str">
        <f ca="1">IF($B298="", "", VLOOKUP(ROW()-ROW($B$6), code!$G$51:$K$1483, 4, 0))</f>
        <v/>
      </c>
      <c r="G298" s="100" t="str">
        <f ca="1">IF($B298="", "", IF(_xll.IMDP("IR", $B298, G$6, $C$4, "fill=true")=0, "", _xll.IMDP("IR", $B298, G$6, $C$4, "fill=true")))</f>
        <v/>
      </c>
      <c r="H298" s="101" t="str">
        <f ca="1">IF($B298="", "", IF(_xll.IMDP("IR", $B298, H$6, $C$4, "fill=true")=0, "", _xll.IMDP("IR", $B298, H$6, $C$4, "fill=true")))</f>
        <v/>
      </c>
      <c r="I298" s="101" t="str">
        <f ca="1">IF($B298="", "", IF(_xll.IMDP("IR", $B298, I$6, $C$4, "fill=true")=0, "", _xll.IMDP("IR", $B298, I$6, $C$4, "fill=true")))</f>
        <v/>
      </c>
      <c r="J298" s="101" t="str">
        <f ca="1">IF($B298="", "", IF(_xll.IMDP("IR", $B298, J$6, $C$4, "fill=true")=0, "", _xll.IMDP("IR", $B298, J$6, $C$4, "fill=true")))</f>
        <v/>
      </c>
      <c r="K298" s="101" t="str">
        <f ca="1">IF($B298="", "", IF(_xll.IMDP("IR", $B298, K$6, $C$4, "fill=true")=0, "", _xll.IMDP("IR", $B298, K$6, $C$4, "fill=true")))</f>
        <v/>
      </c>
      <c r="L298" s="101" t="str">
        <f ca="1">IF($B298="", "", IF(_xll.IMDP("IR", $B298, L$6, $C$4, "fill=true")=0, "", _xll.IMDP("IR", $B298, L$6, $C$4, "fill=true")))</f>
        <v/>
      </c>
      <c r="M298" s="101" t="str">
        <f ca="1">IF($B298="", "", IF(_xll.IMDP("IR", $B298, M$6, $C$4, "fill=true")=0, "", _xll.IMDP("IR", $B298, M$6, $C$4, "fill=true")))</f>
        <v/>
      </c>
      <c r="N298" s="101" t="str">
        <f ca="1">IF($B298="", "", IF(_xll.IMDP("IR", $B298, N$6, $C$4, "fill=true")=0, "", _xll.IMDP("IR", $B298, N$6, $C$4, "fill=true")))</f>
        <v/>
      </c>
      <c r="O298" s="101" t="str">
        <f ca="1">IF($B298="", "", IF(_xll.IMDP("IR", $B298, O$6, $C$4, "fill=true")=0, "", _xll.IMDP("IR", $B298, O$6, $C$4, "fill=true")))</f>
        <v/>
      </c>
      <c r="P298" s="101" t="str">
        <f ca="1">IF($B298="", "", IF(_xll.IMDP("IR", $B298, P$6, $C$4, "fill=true")=0, "", _xll.IMDP("IR", $B298, P$6, $C$4, "fill=true")))</f>
        <v/>
      </c>
      <c r="Q298" s="102" t="str">
        <f ca="1">IF($B298="", "", IF(_xll.IMDP("IR", $B298, Q$6, $C$4, "fill=true")=0, "", _xll.IMDP("IR", $B298, Q$6, $C$4, "fill=true")))</f>
        <v/>
      </c>
    </row>
    <row r="299" spans="2:17">
      <c r="B299" s="83" t="str">
        <f ca="1">IFERROR( VLOOKUP(ROW()-ROW($B$6), code!$G$51:$K$1483, 5, 0), "")</f>
        <v/>
      </c>
      <c r="C299" s="96" t="str">
        <f ca="1">IF($B299="", "", _xll.IMDP("IR", $B299, "1일", $C$4, "fill=true, disp=date"))</f>
        <v/>
      </c>
      <c r="D299" s="97" t="str">
        <f ca="1">IF($B299="", "", VLOOKUP(ROW()-ROW($B$6), code!$G$51:$K$1483, 2, 0) )</f>
        <v/>
      </c>
      <c r="E299" s="98" t="str">
        <f ca="1">IF($B299="", "", VLOOKUP(ROW()-ROW($B$6), code!$G$51:$K$1483, 3, 0) )</f>
        <v/>
      </c>
      <c r="F299" s="99" t="str">
        <f ca="1">IF($B299="", "", VLOOKUP(ROW()-ROW($B$6), code!$G$51:$K$1483, 4, 0))</f>
        <v/>
      </c>
      <c r="G299" s="100" t="str">
        <f ca="1">IF($B299="", "", IF(_xll.IMDP("IR", $B299, G$6, $C$4, "fill=true")=0, "", _xll.IMDP("IR", $B299, G$6, $C$4, "fill=true")))</f>
        <v/>
      </c>
      <c r="H299" s="101" t="str">
        <f ca="1">IF($B299="", "", IF(_xll.IMDP("IR", $B299, H$6, $C$4, "fill=true")=0, "", _xll.IMDP("IR", $B299, H$6, $C$4, "fill=true")))</f>
        <v/>
      </c>
      <c r="I299" s="101" t="str">
        <f ca="1">IF($B299="", "", IF(_xll.IMDP("IR", $B299, I$6, $C$4, "fill=true")=0, "", _xll.IMDP("IR", $B299, I$6, $C$4, "fill=true")))</f>
        <v/>
      </c>
      <c r="J299" s="101" t="str">
        <f ca="1">IF($B299="", "", IF(_xll.IMDP("IR", $B299, J$6, $C$4, "fill=true")=0, "", _xll.IMDP("IR", $B299, J$6, $C$4, "fill=true")))</f>
        <v/>
      </c>
      <c r="K299" s="101" t="str">
        <f ca="1">IF($B299="", "", IF(_xll.IMDP("IR", $B299, K$6, $C$4, "fill=true")=0, "", _xll.IMDP("IR", $B299, K$6, $C$4, "fill=true")))</f>
        <v/>
      </c>
      <c r="L299" s="101" t="str">
        <f ca="1">IF($B299="", "", IF(_xll.IMDP("IR", $B299, L$6, $C$4, "fill=true")=0, "", _xll.IMDP("IR", $B299, L$6, $C$4, "fill=true")))</f>
        <v/>
      </c>
      <c r="M299" s="101" t="str">
        <f ca="1">IF($B299="", "", IF(_xll.IMDP("IR", $B299, M$6, $C$4, "fill=true")=0, "", _xll.IMDP("IR", $B299, M$6, $C$4, "fill=true")))</f>
        <v/>
      </c>
      <c r="N299" s="101" t="str">
        <f ca="1">IF($B299="", "", IF(_xll.IMDP("IR", $B299, N$6, $C$4, "fill=true")=0, "", _xll.IMDP("IR", $B299, N$6, $C$4, "fill=true")))</f>
        <v/>
      </c>
      <c r="O299" s="101" t="str">
        <f ca="1">IF($B299="", "", IF(_xll.IMDP("IR", $B299, O$6, $C$4, "fill=true")=0, "", _xll.IMDP("IR", $B299, O$6, $C$4, "fill=true")))</f>
        <v/>
      </c>
      <c r="P299" s="101" t="str">
        <f ca="1">IF($B299="", "", IF(_xll.IMDP("IR", $B299, P$6, $C$4, "fill=true")=0, "", _xll.IMDP("IR", $B299, P$6, $C$4, "fill=true")))</f>
        <v/>
      </c>
      <c r="Q299" s="102" t="str">
        <f ca="1">IF($B299="", "", IF(_xll.IMDP("IR", $B299, Q$6, $C$4, "fill=true")=0, "", _xll.IMDP("IR", $B299, Q$6, $C$4, "fill=true")))</f>
        <v/>
      </c>
    </row>
    <row r="300" spans="2:17">
      <c r="B300" s="83" t="str">
        <f ca="1">IFERROR( VLOOKUP(ROW()-ROW($B$6), code!$G$51:$K$1483, 5, 0), "")</f>
        <v/>
      </c>
      <c r="C300" s="96" t="str">
        <f ca="1">IF($B300="", "", _xll.IMDP("IR", $B300, "1일", $C$4, "fill=true, disp=date"))</f>
        <v/>
      </c>
      <c r="D300" s="97" t="str">
        <f ca="1">IF($B300="", "", VLOOKUP(ROW()-ROW($B$6), code!$G$51:$K$1483, 2, 0) )</f>
        <v/>
      </c>
      <c r="E300" s="98" t="str">
        <f ca="1">IF($B300="", "", VLOOKUP(ROW()-ROW($B$6), code!$G$51:$K$1483, 3, 0) )</f>
        <v/>
      </c>
      <c r="F300" s="99" t="str">
        <f ca="1">IF($B300="", "", VLOOKUP(ROW()-ROW($B$6), code!$G$51:$K$1483, 4, 0))</f>
        <v/>
      </c>
      <c r="G300" s="100" t="str">
        <f ca="1">IF($B300="", "", IF(_xll.IMDP("IR", $B300, G$6, $C$4, "fill=true")=0, "", _xll.IMDP("IR", $B300, G$6, $C$4, "fill=true")))</f>
        <v/>
      </c>
      <c r="H300" s="101" t="str">
        <f ca="1">IF($B300="", "", IF(_xll.IMDP("IR", $B300, H$6, $C$4, "fill=true")=0, "", _xll.IMDP("IR", $B300, H$6, $C$4, "fill=true")))</f>
        <v/>
      </c>
      <c r="I300" s="101" t="str">
        <f ca="1">IF($B300="", "", IF(_xll.IMDP("IR", $B300, I$6, $C$4, "fill=true")=0, "", _xll.IMDP("IR", $B300, I$6, $C$4, "fill=true")))</f>
        <v/>
      </c>
      <c r="J300" s="101" t="str">
        <f ca="1">IF($B300="", "", IF(_xll.IMDP("IR", $B300, J$6, $C$4, "fill=true")=0, "", _xll.IMDP("IR", $B300, J$6, $C$4, "fill=true")))</f>
        <v/>
      </c>
      <c r="K300" s="101" t="str">
        <f ca="1">IF($B300="", "", IF(_xll.IMDP("IR", $B300, K$6, $C$4, "fill=true")=0, "", _xll.IMDP("IR", $B300, K$6, $C$4, "fill=true")))</f>
        <v/>
      </c>
      <c r="L300" s="101" t="str">
        <f ca="1">IF($B300="", "", IF(_xll.IMDP("IR", $B300, L$6, $C$4, "fill=true")=0, "", _xll.IMDP("IR", $B300, L$6, $C$4, "fill=true")))</f>
        <v/>
      </c>
      <c r="M300" s="101" t="str">
        <f ca="1">IF($B300="", "", IF(_xll.IMDP("IR", $B300, M$6, $C$4, "fill=true")=0, "", _xll.IMDP("IR", $B300, M$6, $C$4, "fill=true")))</f>
        <v/>
      </c>
      <c r="N300" s="101" t="str">
        <f ca="1">IF($B300="", "", IF(_xll.IMDP("IR", $B300, N$6, $C$4, "fill=true")=0, "", _xll.IMDP("IR", $B300, N$6, $C$4, "fill=true")))</f>
        <v/>
      </c>
      <c r="O300" s="101" t="str">
        <f ca="1">IF($B300="", "", IF(_xll.IMDP("IR", $B300, O$6, $C$4, "fill=true")=0, "", _xll.IMDP("IR", $B300, O$6, $C$4, "fill=true")))</f>
        <v/>
      </c>
      <c r="P300" s="101" t="str">
        <f ca="1">IF($B300="", "", IF(_xll.IMDP("IR", $B300, P$6, $C$4, "fill=true")=0, "", _xll.IMDP("IR", $B300, P$6, $C$4, "fill=true")))</f>
        <v/>
      </c>
      <c r="Q300" s="102" t="str">
        <f ca="1">IF($B300="", "", IF(_xll.IMDP("IR", $B300, Q$6, $C$4, "fill=true")=0, "", _xll.IMDP("IR", $B300, Q$6, $C$4, "fill=true")))</f>
        <v/>
      </c>
    </row>
    <row r="301" spans="2:17">
      <c r="B301" s="83" t="str">
        <f ca="1">IFERROR( VLOOKUP(ROW()-ROW($B$6), code!$G$51:$K$1483, 5, 0), "")</f>
        <v/>
      </c>
      <c r="C301" s="96" t="str">
        <f ca="1">IF($B301="", "", _xll.IMDP("IR", $B301, "1일", $C$4, "fill=true, disp=date"))</f>
        <v/>
      </c>
      <c r="D301" s="97" t="str">
        <f ca="1">IF($B301="", "", VLOOKUP(ROW()-ROW($B$6), code!$G$51:$K$1483, 2, 0) )</f>
        <v/>
      </c>
      <c r="E301" s="98" t="str">
        <f ca="1">IF($B301="", "", VLOOKUP(ROW()-ROW($B$6), code!$G$51:$K$1483, 3, 0) )</f>
        <v/>
      </c>
      <c r="F301" s="99" t="str">
        <f ca="1">IF($B301="", "", VLOOKUP(ROW()-ROW($B$6), code!$G$51:$K$1483, 4, 0))</f>
        <v/>
      </c>
      <c r="G301" s="100" t="str">
        <f ca="1">IF($B301="", "", IF(_xll.IMDP("IR", $B301, G$6, $C$4, "fill=true")=0, "", _xll.IMDP("IR", $B301, G$6, $C$4, "fill=true")))</f>
        <v/>
      </c>
      <c r="H301" s="101" t="str">
        <f ca="1">IF($B301="", "", IF(_xll.IMDP("IR", $B301, H$6, $C$4, "fill=true")=0, "", _xll.IMDP("IR", $B301, H$6, $C$4, "fill=true")))</f>
        <v/>
      </c>
      <c r="I301" s="101" t="str">
        <f ca="1">IF($B301="", "", IF(_xll.IMDP("IR", $B301, I$6, $C$4, "fill=true")=0, "", _xll.IMDP("IR", $B301, I$6, $C$4, "fill=true")))</f>
        <v/>
      </c>
      <c r="J301" s="101" t="str">
        <f ca="1">IF($B301="", "", IF(_xll.IMDP("IR", $B301, J$6, $C$4, "fill=true")=0, "", _xll.IMDP("IR", $B301, J$6, $C$4, "fill=true")))</f>
        <v/>
      </c>
      <c r="K301" s="101" t="str">
        <f ca="1">IF($B301="", "", IF(_xll.IMDP("IR", $B301, K$6, $C$4, "fill=true")=0, "", _xll.IMDP("IR", $B301, K$6, $C$4, "fill=true")))</f>
        <v/>
      </c>
      <c r="L301" s="101" t="str">
        <f ca="1">IF($B301="", "", IF(_xll.IMDP("IR", $B301, L$6, $C$4, "fill=true")=0, "", _xll.IMDP("IR", $B301, L$6, $C$4, "fill=true")))</f>
        <v/>
      </c>
      <c r="M301" s="101" t="str">
        <f ca="1">IF($B301="", "", IF(_xll.IMDP("IR", $B301, M$6, $C$4, "fill=true")=0, "", _xll.IMDP("IR", $B301, M$6, $C$4, "fill=true")))</f>
        <v/>
      </c>
      <c r="N301" s="101" t="str">
        <f ca="1">IF($B301="", "", IF(_xll.IMDP("IR", $B301, N$6, $C$4, "fill=true")=0, "", _xll.IMDP("IR", $B301, N$6, $C$4, "fill=true")))</f>
        <v/>
      </c>
      <c r="O301" s="101" t="str">
        <f ca="1">IF($B301="", "", IF(_xll.IMDP("IR", $B301, O$6, $C$4, "fill=true")=0, "", _xll.IMDP("IR", $B301, O$6, $C$4, "fill=true")))</f>
        <v/>
      </c>
      <c r="P301" s="101" t="str">
        <f ca="1">IF($B301="", "", IF(_xll.IMDP("IR", $B301, P$6, $C$4, "fill=true")=0, "", _xll.IMDP("IR", $B301, P$6, $C$4, "fill=true")))</f>
        <v/>
      </c>
      <c r="Q301" s="102" t="str">
        <f ca="1">IF($B301="", "", IF(_xll.IMDP("IR", $B301, Q$6, $C$4, "fill=true")=0, "", _xll.IMDP("IR", $B301, Q$6, $C$4, "fill=true")))</f>
        <v/>
      </c>
    </row>
    <row r="302" spans="2:17">
      <c r="B302" s="83" t="str">
        <f ca="1">IFERROR( VLOOKUP(ROW()-ROW($B$6), code!$G$51:$K$1483, 5, 0), "")</f>
        <v/>
      </c>
      <c r="C302" s="96" t="str">
        <f ca="1">IF($B302="", "", _xll.IMDP("IR", $B302, "1일", $C$4, "fill=true, disp=date"))</f>
        <v/>
      </c>
      <c r="D302" s="97" t="str">
        <f ca="1">IF($B302="", "", VLOOKUP(ROW()-ROW($B$6), code!$G$51:$K$1483, 2, 0) )</f>
        <v/>
      </c>
      <c r="E302" s="98" t="str">
        <f ca="1">IF($B302="", "", VLOOKUP(ROW()-ROW($B$6), code!$G$51:$K$1483, 3, 0) )</f>
        <v/>
      </c>
      <c r="F302" s="99" t="str">
        <f ca="1">IF($B302="", "", VLOOKUP(ROW()-ROW($B$6), code!$G$51:$K$1483, 4, 0))</f>
        <v/>
      </c>
      <c r="G302" s="100" t="str">
        <f ca="1">IF($B302="", "", IF(_xll.IMDP("IR", $B302, G$6, $C$4, "fill=true")=0, "", _xll.IMDP("IR", $B302, G$6, $C$4, "fill=true")))</f>
        <v/>
      </c>
      <c r="H302" s="101" t="str">
        <f ca="1">IF($B302="", "", IF(_xll.IMDP("IR", $B302, H$6, $C$4, "fill=true")=0, "", _xll.IMDP("IR", $B302, H$6, $C$4, "fill=true")))</f>
        <v/>
      </c>
      <c r="I302" s="101" t="str">
        <f ca="1">IF($B302="", "", IF(_xll.IMDP("IR", $B302, I$6, $C$4, "fill=true")=0, "", _xll.IMDP("IR", $B302, I$6, $C$4, "fill=true")))</f>
        <v/>
      </c>
      <c r="J302" s="101" t="str">
        <f ca="1">IF($B302="", "", IF(_xll.IMDP("IR", $B302, J$6, $C$4, "fill=true")=0, "", _xll.IMDP("IR", $B302, J$6, $C$4, "fill=true")))</f>
        <v/>
      </c>
      <c r="K302" s="101" t="str">
        <f ca="1">IF($B302="", "", IF(_xll.IMDP("IR", $B302, K$6, $C$4, "fill=true")=0, "", _xll.IMDP("IR", $B302, K$6, $C$4, "fill=true")))</f>
        <v/>
      </c>
      <c r="L302" s="101" t="str">
        <f ca="1">IF($B302="", "", IF(_xll.IMDP("IR", $B302, L$6, $C$4, "fill=true")=0, "", _xll.IMDP("IR", $B302, L$6, $C$4, "fill=true")))</f>
        <v/>
      </c>
      <c r="M302" s="101" t="str">
        <f ca="1">IF($B302="", "", IF(_xll.IMDP("IR", $B302, M$6, $C$4, "fill=true")=0, "", _xll.IMDP("IR", $B302, M$6, $C$4, "fill=true")))</f>
        <v/>
      </c>
      <c r="N302" s="101" t="str">
        <f ca="1">IF($B302="", "", IF(_xll.IMDP("IR", $B302, N$6, $C$4, "fill=true")=0, "", _xll.IMDP("IR", $B302, N$6, $C$4, "fill=true")))</f>
        <v/>
      </c>
      <c r="O302" s="101" t="str">
        <f ca="1">IF($B302="", "", IF(_xll.IMDP("IR", $B302, O$6, $C$4, "fill=true")=0, "", _xll.IMDP("IR", $B302, O$6, $C$4, "fill=true")))</f>
        <v/>
      </c>
      <c r="P302" s="101" t="str">
        <f ca="1">IF($B302="", "", IF(_xll.IMDP("IR", $B302, P$6, $C$4, "fill=true")=0, "", _xll.IMDP("IR", $B302, P$6, $C$4, "fill=true")))</f>
        <v/>
      </c>
      <c r="Q302" s="102" t="str">
        <f ca="1">IF($B302="", "", IF(_xll.IMDP("IR", $B302, Q$6, $C$4, "fill=true")=0, "", _xll.IMDP("IR", $B302, Q$6, $C$4, "fill=true")))</f>
        <v/>
      </c>
    </row>
    <row r="303" spans="2:17">
      <c r="B303" s="83" t="str">
        <f ca="1">IFERROR( VLOOKUP(ROW()-ROW($B$6), code!$G$51:$K$1483, 5, 0), "")</f>
        <v/>
      </c>
      <c r="C303" s="96" t="str">
        <f ca="1">IF($B303="", "", _xll.IMDP("IR", $B303, "1일", $C$4, "fill=true, disp=date"))</f>
        <v/>
      </c>
      <c r="D303" s="97" t="str">
        <f ca="1">IF($B303="", "", VLOOKUP(ROW()-ROW($B$6), code!$G$51:$K$1483, 2, 0) )</f>
        <v/>
      </c>
      <c r="E303" s="98" t="str">
        <f ca="1">IF($B303="", "", VLOOKUP(ROW()-ROW($B$6), code!$G$51:$K$1483, 3, 0) )</f>
        <v/>
      </c>
      <c r="F303" s="99" t="str">
        <f ca="1">IF($B303="", "", VLOOKUP(ROW()-ROW($B$6), code!$G$51:$K$1483, 4, 0))</f>
        <v/>
      </c>
      <c r="G303" s="100" t="str">
        <f ca="1">IF($B303="", "", IF(_xll.IMDP("IR", $B303, G$6, $C$4, "fill=true")=0, "", _xll.IMDP("IR", $B303, G$6, $C$4, "fill=true")))</f>
        <v/>
      </c>
      <c r="H303" s="101" t="str">
        <f ca="1">IF($B303="", "", IF(_xll.IMDP("IR", $B303, H$6, $C$4, "fill=true")=0, "", _xll.IMDP("IR", $B303, H$6, $C$4, "fill=true")))</f>
        <v/>
      </c>
      <c r="I303" s="101" t="str">
        <f ca="1">IF($B303="", "", IF(_xll.IMDP("IR", $B303, I$6, $C$4, "fill=true")=0, "", _xll.IMDP("IR", $B303, I$6, $C$4, "fill=true")))</f>
        <v/>
      </c>
      <c r="J303" s="101" t="str">
        <f ca="1">IF($B303="", "", IF(_xll.IMDP("IR", $B303, J$6, $C$4, "fill=true")=0, "", _xll.IMDP("IR", $B303, J$6, $C$4, "fill=true")))</f>
        <v/>
      </c>
      <c r="K303" s="101" t="str">
        <f ca="1">IF($B303="", "", IF(_xll.IMDP("IR", $B303, K$6, $C$4, "fill=true")=0, "", _xll.IMDP("IR", $B303, K$6, $C$4, "fill=true")))</f>
        <v/>
      </c>
      <c r="L303" s="101" t="str">
        <f ca="1">IF($B303="", "", IF(_xll.IMDP("IR", $B303, L$6, $C$4, "fill=true")=0, "", _xll.IMDP("IR", $B303, L$6, $C$4, "fill=true")))</f>
        <v/>
      </c>
      <c r="M303" s="101" t="str">
        <f ca="1">IF($B303="", "", IF(_xll.IMDP("IR", $B303, M$6, $C$4, "fill=true")=0, "", _xll.IMDP("IR", $B303, M$6, $C$4, "fill=true")))</f>
        <v/>
      </c>
      <c r="N303" s="101" t="str">
        <f ca="1">IF($B303="", "", IF(_xll.IMDP("IR", $B303, N$6, $C$4, "fill=true")=0, "", _xll.IMDP("IR", $B303, N$6, $C$4, "fill=true")))</f>
        <v/>
      </c>
      <c r="O303" s="101" t="str">
        <f ca="1">IF($B303="", "", IF(_xll.IMDP("IR", $B303, O$6, $C$4, "fill=true")=0, "", _xll.IMDP("IR", $B303, O$6, $C$4, "fill=true")))</f>
        <v/>
      </c>
      <c r="P303" s="101" t="str">
        <f ca="1">IF($B303="", "", IF(_xll.IMDP("IR", $B303, P$6, $C$4, "fill=true")=0, "", _xll.IMDP("IR", $B303, P$6, $C$4, "fill=true")))</f>
        <v/>
      </c>
      <c r="Q303" s="102" t="str">
        <f ca="1">IF($B303="", "", IF(_xll.IMDP("IR", $B303, Q$6, $C$4, "fill=true")=0, "", _xll.IMDP("IR", $B303, Q$6, $C$4, "fill=true")))</f>
        <v/>
      </c>
    </row>
    <row r="304" spans="2:17">
      <c r="B304" s="83" t="str">
        <f ca="1">IFERROR( VLOOKUP(ROW()-ROW($B$6), code!$G$51:$K$1483, 5, 0), "")</f>
        <v/>
      </c>
      <c r="C304" s="96" t="str">
        <f ca="1">IF($B304="", "", _xll.IMDP("IR", $B304, "1일", $C$4, "fill=true, disp=date"))</f>
        <v/>
      </c>
      <c r="D304" s="97" t="str">
        <f ca="1">IF($B304="", "", VLOOKUP(ROW()-ROW($B$6), code!$G$51:$K$1483, 2, 0) )</f>
        <v/>
      </c>
      <c r="E304" s="98" t="str">
        <f ca="1">IF($B304="", "", VLOOKUP(ROW()-ROW($B$6), code!$G$51:$K$1483, 3, 0) )</f>
        <v/>
      </c>
      <c r="F304" s="99" t="str">
        <f ca="1">IF($B304="", "", VLOOKUP(ROW()-ROW($B$6), code!$G$51:$K$1483, 4, 0))</f>
        <v/>
      </c>
      <c r="G304" s="100" t="str">
        <f ca="1">IF($B304="", "", IF(_xll.IMDP("IR", $B304, G$6, $C$4, "fill=true")=0, "", _xll.IMDP("IR", $B304, G$6, $C$4, "fill=true")))</f>
        <v/>
      </c>
      <c r="H304" s="101" t="str">
        <f ca="1">IF($B304="", "", IF(_xll.IMDP("IR", $B304, H$6, $C$4, "fill=true")=0, "", _xll.IMDP("IR", $B304, H$6, $C$4, "fill=true")))</f>
        <v/>
      </c>
      <c r="I304" s="101" t="str">
        <f ca="1">IF($B304="", "", IF(_xll.IMDP("IR", $B304, I$6, $C$4, "fill=true")=0, "", _xll.IMDP("IR", $B304, I$6, $C$4, "fill=true")))</f>
        <v/>
      </c>
      <c r="J304" s="101" t="str">
        <f ca="1">IF($B304="", "", IF(_xll.IMDP("IR", $B304, J$6, $C$4, "fill=true")=0, "", _xll.IMDP("IR", $B304, J$6, $C$4, "fill=true")))</f>
        <v/>
      </c>
      <c r="K304" s="101" t="str">
        <f ca="1">IF($B304="", "", IF(_xll.IMDP("IR", $B304, K$6, $C$4, "fill=true")=0, "", _xll.IMDP("IR", $B304, K$6, $C$4, "fill=true")))</f>
        <v/>
      </c>
      <c r="L304" s="101" t="str">
        <f ca="1">IF($B304="", "", IF(_xll.IMDP("IR", $B304, L$6, $C$4, "fill=true")=0, "", _xll.IMDP("IR", $B304, L$6, $C$4, "fill=true")))</f>
        <v/>
      </c>
      <c r="M304" s="101" t="str">
        <f ca="1">IF($B304="", "", IF(_xll.IMDP("IR", $B304, M$6, $C$4, "fill=true")=0, "", _xll.IMDP("IR", $B304, M$6, $C$4, "fill=true")))</f>
        <v/>
      </c>
      <c r="N304" s="101" t="str">
        <f ca="1">IF($B304="", "", IF(_xll.IMDP("IR", $B304, N$6, $C$4, "fill=true")=0, "", _xll.IMDP("IR", $B304, N$6, $C$4, "fill=true")))</f>
        <v/>
      </c>
      <c r="O304" s="101" t="str">
        <f ca="1">IF($B304="", "", IF(_xll.IMDP("IR", $B304, O$6, $C$4, "fill=true")=0, "", _xll.IMDP("IR", $B304, O$6, $C$4, "fill=true")))</f>
        <v/>
      </c>
      <c r="P304" s="101" t="str">
        <f ca="1">IF($B304="", "", IF(_xll.IMDP("IR", $B304, P$6, $C$4, "fill=true")=0, "", _xll.IMDP("IR", $B304, P$6, $C$4, "fill=true")))</f>
        <v/>
      </c>
      <c r="Q304" s="102" t="str">
        <f ca="1">IF($B304="", "", IF(_xll.IMDP("IR", $B304, Q$6, $C$4, "fill=true")=0, "", _xll.IMDP("IR", $B304, Q$6, $C$4, "fill=true")))</f>
        <v/>
      </c>
    </row>
    <row r="305" spans="2:17">
      <c r="B305" s="83" t="str">
        <f ca="1">IFERROR( VLOOKUP(ROW()-ROW($B$6), code!$G$51:$K$1483, 5, 0), "")</f>
        <v/>
      </c>
      <c r="C305" s="96" t="str">
        <f ca="1">IF($B305="", "", _xll.IMDP("IR", $B305, "1일", $C$4, "fill=true, disp=date"))</f>
        <v/>
      </c>
      <c r="D305" s="97" t="str">
        <f ca="1">IF($B305="", "", VLOOKUP(ROW()-ROW($B$6), code!$G$51:$K$1483, 2, 0) )</f>
        <v/>
      </c>
      <c r="E305" s="98" t="str">
        <f ca="1">IF($B305="", "", VLOOKUP(ROW()-ROW($B$6), code!$G$51:$K$1483, 3, 0) )</f>
        <v/>
      </c>
      <c r="F305" s="99" t="str">
        <f ca="1">IF($B305="", "", VLOOKUP(ROW()-ROW($B$6), code!$G$51:$K$1483, 4, 0))</f>
        <v/>
      </c>
      <c r="G305" s="100" t="str">
        <f ca="1">IF($B305="", "", IF(_xll.IMDP("IR", $B305, G$6, $C$4, "fill=true")=0, "", _xll.IMDP("IR", $B305, G$6, $C$4, "fill=true")))</f>
        <v/>
      </c>
      <c r="H305" s="101" t="str">
        <f ca="1">IF($B305="", "", IF(_xll.IMDP("IR", $B305, H$6, $C$4, "fill=true")=0, "", _xll.IMDP("IR", $B305, H$6, $C$4, "fill=true")))</f>
        <v/>
      </c>
      <c r="I305" s="101" t="str">
        <f ca="1">IF($B305="", "", IF(_xll.IMDP("IR", $B305, I$6, $C$4, "fill=true")=0, "", _xll.IMDP("IR", $B305, I$6, $C$4, "fill=true")))</f>
        <v/>
      </c>
      <c r="J305" s="101" t="str">
        <f ca="1">IF($B305="", "", IF(_xll.IMDP("IR", $B305, J$6, $C$4, "fill=true")=0, "", _xll.IMDP("IR", $B305, J$6, $C$4, "fill=true")))</f>
        <v/>
      </c>
      <c r="K305" s="101" t="str">
        <f ca="1">IF($B305="", "", IF(_xll.IMDP("IR", $B305, K$6, $C$4, "fill=true")=0, "", _xll.IMDP("IR", $B305, K$6, $C$4, "fill=true")))</f>
        <v/>
      </c>
      <c r="L305" s="101" t="str">
        <f ca="1">IF($B305="", "", IF(_xll.IMDP("IR", $B305, L$6, $C$4, "fill=true")=0, "", _xll.IMDP("IR", $B305, L$6, $C$4, "fill=true")))</f>
        <v/>
      </c>
      <c r="M305" s="101" t="str">
        <f ca="1">IF($B305="", "", IF(_xll.IMDP("IR", $B305, M$6, $C$4, "fill=true")=0, "", _xll.IMDP("IR", $B305, M$6, $C$4, "fill=true")))</f>
        <v/>
      </c>
      <c r="N305" s="101" t="str">
        <f ca="1">IF($B305="", "", IF(_xll.IMDP("IR", $B305, N$6, $C$4, "fill=true")=0, "", _xll.IMDP("IR", $B305, N$6, $C$4, "fill=true")))</f>
        <v/>
      </c>
      <c r="O305" s="101" t="str">
        <f ca="1">IF($B305="", "", IF(_xll.IMDP("IR", $B305, O$6, $C$4, "fill=true")=0, "", _xll.IMDP("IR", $B305, O$6, $C$4, "fill=true")))</f>
        <v/>
      </c>
      <c r="P305" s="101" t="str">
        <f ca="1">IF($B305="", "", IF(_xll.IMDP("IR", $B305, P$6, $C$4, "fill=true")=0, "", _xll.IMDP("IR", $B305, P$6, $C$4, "fill=true")))</f>
        <v/>
      </c>
      <c r="Q305" s="102" t="str">
        <f ca="1">IF($B305="", "", IF(_xll.IMDP("IR", $B305, Q$6, $C$4, "fill=true")=0, "", _xll.IMDP("IR", $B305, Q$6, $C$4, "fill=true")))</f>
        <v/>
      </c>
    </row>
    <row r="306" spans="2:17" ht="17.25" thickBot="1">
      <c r="B306" s="83" t="str">
        <f ca="1">IFERROR( VLOOKUP(ROW()-ROW($B$6), code!$G$51:$K$1483, 5, 0), "")</f>
        <v/>
      </c>
      <c r="C306" s="103" t="str">
        <f ca="1">IF($B306="", "", _xll.IMDP("IR", $B306, "1일", $C$4, "fill=true, disp=date"))</f>
        <v/>
      </c>
      <c r="D306" s="104" t="str">
        <f ca="1">IF($B306="", "", VLOOKUP(ROW()-ROW($B$6), code!$G$51:$K$1483, 2, 0) )</f>
        <v/>
      </c>
      <c r="E306" s="105" t="str">
        <f ca="1">IF($B306="", "", VLOOKUP(ROW()-ROW($B$6), code!$G$51:$K$1483, 3, 0) )</f>
        <v/>
      </c>
      <c r="F306" s="106" t="str">
        <f ca="1">IF($B306="", "", VLOOKUP(ROW()-ROW($B$6), code!$G$51:$K$1483, 4, 0))</f>
        <v/>
      </c>
      <c r="G306" s="107" t="str">
        <f ca="1">IF($B306="", "", IF(_xll.IMDP("IR", $B306, G$6, $C$4, "fill=true")=0, "", _xll.IMDP("IR", $B306, G$6, $C$4, "fill=true")))</f>
        <v/>
      </c>
      <c r="H306" s="108" t="str">
        <f ca="1">IF($B306="", "", IF(_xll.IMDP("IR", $B306, H$6, $C$4, "fill=true")=0, "", _xll.IMDP("IR", $B306, H$6, $C$4, "fill=true")))</f>
        <v/>
      </c>
      <c r="I306" s="108" t="str">
        <f ca="1">IF($B306="", "", IF(_xll.IMDP("IR", $B306, I$6, $C$4, "fill=true")=0, "", _xll.IMDP("IR", $B306, I$6, $C$4, "fill=true")))</f>
        <v/>
      </c>
      <c r="J306" s="108" t="str">
        <f ca="1">IF($B306="", "", IF(_xll.IMDP("IR", $B306, J$6, $C$4, "fill=true")=0, "", _xll.IMDP("IR", $B306, J$6, $C$4, "fill=true")))</f>
        <v/>
      </c>
      <c r="K306" s="108" t="str">
        <f ca="1">IF($B306="", "", IF(_xll.IMDP("IR", $B306, K$6, $C$4, "fill=true")=0, "", _xll.IMDP("IR", $B306, K$6, $C$4, "fill=true")))</f>
        <v/>
      </c>
      <c r="L306" s="108" t="str">
        <f ca="1">IF($B306="", "", IF(_xll.IMDP("IR", $B306, L$6, $C$4, "fill=true")=0, "", _xll.IMDP("IR", $B306, L$6, $C$4, "fill=true")))</f>
        <v/>
      </c>
      <c r="M306" s="108" t="str">
        <f ca="1">IF($B306="", "", IF(_xll.IMDP("IR", $B306, M$6, $C$4, "fill=true")=0, "", _xll.IMDP("IR", $B306, M$6, $C$4, "fill=true")))</f>
        <v/>
      </c>
      <c r="N306" s="108" t="str">
        <f ca="1">IF($B306="", "", IF(_xll.IMDP("IR", $B306, N$6, $C$4, "fill=true")=0, "", _xll.IMDP("IR", $B306, N$6, $C$4, "fill=true")))</f>
        <v/>
      </c>
      <c r="O306" s="108" t="str">
        <f ca="1">IF($B306="", "", IF(_xll.IMDP("IR", $B306, O$6, $C$4, "fill=true")=0, "", _xll.IMDP("IR", $B306, O$6, $C$4, "fill=true")))</f>
        <v/>
      </c>
      <c r="P306" s="108" t="str">
        <f ca="1">IF($B306="", "", IF(_xll.IMDP("IR", $B306, P$6, $C$4, "fill=true")=0, "", _xll.IMDP("IR", $B306, P$6, $C$4, "fill=true")))</f>
        <v/>
      </c>
      <c r="Q306" s="109" t="str">
        <f ca="1">IF($B306="", "", IF(_xll.IMDP("IR", $B306, Q$6, $C$4, "fill=true")=0, "", _xll.IMDP("IR", $B306, Q$6, $C$4, "fill=true")))</f>
        <v/>
      </c>
    </row>
  </sheetData>
  <mergeCells count="1">
    <mergeCell ref="C4:D4"/>
  </mergeCells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Option Button 1">
              <controlPr defaultSize="0" autoFill="0" autoLine="0" autoPict="0">
                <anchor moveWithCells="1">
                  <from>
                    <xdr:col>4</xdr:col>
                    <xdr:colOff>66675</xdr:colOff>
                    <xdr:row>3</xdr:row>
                    <xdr:rowOff>9525</xdr:rowOff>
                  </from>
                  <to>
                    <xdr:col>4</xdr:col>
                    <xdr:colOff>466725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Group Box 2">
              <controlPr defaultSize="0" autoFill="0" autoPict="0">
                <anchor moveWithCells="1">
                  <from>
                    <xdr:col>4</xdr:col>
                    <xdr:colOff>57150</xdr:colOff>
                    <xdr:row>2</xdr:row>
                    <xdr:rowOff>85725</xdr:rowOff>
                  </from>
                  <to>
                    <xdr:col>4</xdr:col>
                    <xdr:colOff>952500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Option Button 3">
              <controlPr defaultSize="0" autoFill="0" autoLine="0" autoPict="0">
                <anchor moveWithCells="1">
                  <from>
                    <xdr:col>4</xdr:col>
                    <xdr:colOff>504825</xdr:colOff>
                    <xdr:row>3</xdr:row>
                    <xdr:rowOff>9525</xdr:rowOff>
                  </from>
                  <to>
                    <xdr:col>4</xdr:col>
                    <xdr:colOff>895350</xdr:colOff>
                    <xdr:row>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Drop Down 4">
              <controlPr defaultSize="0" autoLine="0" autoPict="0">
                <anchor>
                  <from>
                    <xdr:col>5</xdr:col>
                    <xdr:colOff>647700</xdr:colOff>
                    <xdr:row>3</xdr:row>
                    <xdr:rowOff>9525</xdr:rowOff>
                  </from>
                  <to>
                    <xdr:col>7</xdr:col>
                    <xdr:colOff>66675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Drop Down 5">
              <controlPr defaultSize="0" autoLine="0" autoPict="0">
                <anchor>
                  <from>
                    <xdr:col>4</xdr:col>
                    <xdr:colOff>1009650</xdr:colOff>
                    <xdr:row>3</xdr:row>
                    <xdr:rowOff>9525</xdr:rowOff>
                  </from>
                  <to>
                    <xdr:col>4</xdr:col>
                    <xdr:colOff>1733550</xdr:colOff>
                    <xdr:row>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Drop Down 6">
              <controlPr defaultSize="0" autoLine="0" autoPict="0">
                <anchor>
                  <from>
                    <xdr:col>4</xdr:col>
                    <xdr:colOff>1809750</xdr:colOff>
                    <xdr:row>3</xdr:row>
                    <xdr:rowOff>9525</xdr:rowOff>
                  </from>
                  <to>
                    <xdr:col>5</xdr:col>
                    <xdr:colOff>571500</xdr:colOff>
                    <xdr:row>3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code</vt:lpstr>
      <vt:lpstr>CD|CP Matrix</vt:lpstr>
      <vt:lpstr>CD|CP 일별추이</vt:lpstr>
      <vt:lpstr>CD|CP 발행사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2023-07-03T23:41:36Z</dcterms:created>
  <dcterms:modified xsi:type="dcterms:W3CDTF">2023-07-12T00:20:11Z</dcterms:modified>
</cp:coreProperties>
</file>