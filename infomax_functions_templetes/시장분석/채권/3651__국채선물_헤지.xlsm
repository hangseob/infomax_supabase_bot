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orks\0승환\템플릿\"/>
    </mc:Choice>
  </mc:AlternateContent>
  <xr:revisionPtr revIDLastSave="0" documentId="13_ncr:1_{424AA4BB-A100-4476-BCF2-664A76523FE5}" xr6:coauthVersionLast="47" xr6:coauthVersionMax="47" xr10:uidLastSave="{00000000-0000-0000-0000-000000000000}"/>
  <bookViews>
    <workbookView xWindow="960" yWindow="870" windowWidth="27120" windowHeight="14265" xr2:uid="{00000000-000D-0000-FFFF-FFFF00000000}"/>
  </bookViews>
  <sheets>
    <sheet name="헤지" sheetId="2" r:id="rId1"/>
    <sheet name="option" sheetId="3" state="hidden" r:id="rId2"/>
  </sheets>
  <definedNames>
    <definedName name="future_row">option!$A$6</definedName>
    <definedName name="value_input">option!$C$3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2" l="1" a="1"/>
  <c r="E36" i="2" s="1"/>
  <c r="E35" i="2" a="1"/>
  <c r="E35" i="2" s="1"/>
  <c r="E34" i="2" a="1"/>
  <c r="E34" i="2" s="1"/>
  <c r="E33" i="2" a="1"/>
  <c r="E33" i="2" s="1"/>
  <c r="E32" i="2" a="1"/>
  <c r="E32" i="2" s="1"/>
  <c r="E31" i="2" a="1"/>
  <c r="E31" i="2" s="1"/>
  <c r="E30" i="2" a="1"/>
  <c r="E30" i="2" s="1"/>
  <c r="E29" i="2" a="1"/>
  <c r="E29" i="2" s="1"/>
  <c r="E28" i="2" a="1"/>
  <c r="E28" i="2" s="1"/>
  <c r="E27" i="2" a="1"/>
  <c r="E27" i="2" s="1"/>
  <c r="E26" i="2" a="1"/>
  <c r="E26" i="2" s="1"/>
  <c r="E25" i="2" a="1"/>
  <c r="E25" i="2" s="1"/>
  <c r="E24" i="2" a="1"/>
  <c r="E24" i="2" s="1"/>
  <c r="E23" i="2" a="1"/>
  <c r="E23" i="2" s="1"/>
  <c r="E22" i="2" a="1"/>
  <c r="E22" i="2" s="1"/>
  <c r="E21" i="2" a="1"/>
  <c r="E21" i="2" s="1"/>
  <c r="E20" i="2" a="1"/>
  <c r="E20" i="2" s="1"/>
  <c r="E19" i="2" a="1"/>
  <c r="E19" i="2" s="1"/>
  <c r="P1" i="3"/>
  <c r="L36" i="2" l="1"/>
  <c r="K36" i="2"/>
  <c r="J36" i="2"/>
  <c r="I36" i="2"/>
  <c r="H36" i="2"/>
  <c r="G36" i="2"/>
  <c r="F36" i="2"/>
  <c r="C36" i="2"/>
  <c r="L35" i="2"/>
  <c r="K35" i="2"/>
  <c r="J35" i="2"/>
  <c r="I35" i="2"/>
  <c r="H35" i="2"/>
  <c r="G35" i="2"/>
  <c r="F35" i="2"/>
  <c r="C35" i="2"/>
  <c r="L34" i="2"/>
  <c r="K34" i="2"/>
  <c r="J34" i="2"/>
  <c r="I34" i="2"/>
  <c r="H34" i="2"/>
  <c r="G34" i="2"/>
  <c r="F34" i="2"/>
  <c r="C34" i="2"/>
  <c r="L33" i="2"/>
  <c r="K33" i="2"/>
  <c r="J33" i="2"/>
  <c r="I33" i="2"/>
  <c r="H33" i="2"/>
  <c r="G33" i="2"/>
  <c r="F33" i="2"/>
  <c r="C33" i="2"/>
  <c r="L32" i="2"/>
  <c r="K32" i="2"/>
  <c r="J32" i="2"/>
  <c r="I32" i="2"/>
  <c r="H32" i="2"/>
  <c r="G32" i="2"/>
  <c r="F32" i="2"/>
  <c r="C32" i="2"/>
  <c r="L31" i="2"/>
  <c r="K31" i="2"/>
  <c r="J31" i="2"/>
  <c r="I31" i="2"/>
  <c r="H31" i="2"/>
  <c r="G31" i="2"/>
  <c r="F31" i="2"/>
  <c r="C31" i="2"/>
  <c r="L30" i="2"/>
  <c r="K30" i="2"/>
  <c r="J30" i="2"/>
  <c r="I30" i="2"/>
  <c r="H30" i="2"/>
  <c r="G30" i="2"/>
  <c r="F30" i="2"/>
  <c r="C30" i="2"/>
  <c r="L29" i="2"/>
  <c r="K29" i="2"/>
  <c r="J29" i="2"/>
  <c r="I29" i="2"/>
  <c r="H29" i="2"/>
  <c r="G29" i="2"/>
  <c r="F29" i="2"/>
  <c r="C29" i="2"/>
  <c r="L28" i="2"/>
  <c r="K28" i="2"/>
  <c r="J28" i="2"/>
  <c r="I28" i="2"/>
  <c r="H28" i="2"/>
  <c r="G28" i="2"/>
  <c r="F28" i="2"/>
  <c r="C28" i="2"/>
  <c r="L27" i="2"/>
  <c r="K27" i="2"/>
  <c r="J27" i="2"/>
  <c r="I27" i="2"/>
  <c r="H27" i="2"/>
  <c r="G27" i="2"/>
  <c r="F27" i="2"/>
  <c r="C27" i="2"/>
  <c r="L26" i="2"/>
  <c r="K26" i="2"/>
  <c r="J26" i="2"/>
  <c r="I26" i="2"/>
  <c r="H26" i="2"/>
  <c r="G26" i="2"/>
  <c r="F26" i="2"/>
  <c r="C26" i="2"/>
  <c r="L25" i="2"/>
  <c r="K25" i="2"/>
  <c r="J25" i="2"/>
  <c r="I25" i="2"/>
  <c r="H25" i="2"/>
  <c r="G25" i="2"/>
  <c r="F25" i="2"/>
  <c r="C25" i="2"/>
  <c r="L24" i="2"/>
  <c r="K24" i="2"/>
  <c r="J24" i="2"/>
  <c r="I24" i="2"/>
  <c r="H24" i="2"/>
  <c r="G24" i="2"/>
  <c r="F24" i="2"/>
  <c r="C24" i="2"/>
  <c r="L23" i="2"/>
  <c r="K23" i="2"/>
  <c r="J23" i="2"/>
  <c r="I23" i="2"/>
  <c r="H23" i="2"/>
  <c r="G23" i="2"/>
  <c r="F23" i="2"/>
  <c r="C23" i="2"/>
  <c r="L22" i="2"/>
  <c r="K22" i="2"/>
  <c r="J22" i="2"/>
  <c r="I22" i="2"/>
  <c r="H22" i="2"/>
  <c r="G22" i="2"/>
  <c r="F22" i="2"/>
  <c r="C22" i="2"/>
  <c r="L21" i="2"/>
  <c r="K21" i="2"/>
  <c r="J21" i="2"/>
  <c r="I21" i="2"/>
  <c r="H21" i="2"/>
  <c r="G21" i="2"/>
  <c r="F21" i="2"/>
  <c r="C21" i="2"/>
  <c r="L20" i="2"/>
  <c r="K20" i="2"/>
  <c r="J20" i="2"/>
  <c r="I20" i="2"/>
  <c r="H20" i="2"/>
  <c r="G20" i="2"/>
  <c r="F20" i="2"/>
  <c r="C20" i="2"/>
  <c r="L19" i="2"/>
  <c r="K19" i="2"/>
  <c r="J19" i="2"/>
  <c r="I19" i="2"/>
  <c r="H19" i="2"/>
  <c r="G19" i="2"/>
  <c r="F19" i="2"/>
  <c r="C19" i="2"/>
  <c r="Q36" i="2"/>
  <c r="P36" i="2"/>
  <c r="O36" i="2"/>
  <c r="N36" i="2"/>
  <c r="Q35" i="2"/>
  <c r="P35" i="2"/>
  <c r="O35" i="2"/>
  <c r="N35" i="2"/>
  <c r="Q34" i="2"/>
  <c r="P34" i="2"/>
  <c r="O34" i="2"/>
  <c r="N34" i="2"/>
  <c r="Q33" i="2"/>
  <c r="P33" i="2"/>
  <c r="O33" i="2"/>
  <c r="N33" i="2"/>
  <c r="Q32" i="2"/>
  <c r="P32" i="2"/>
  <c r="O32" i="2"/>
  <c r="N32" i="2"/>
  <c r="Q31" i="2"/>
  <c r="P31" i="2"/>
  <c r="O31" i="2"/>
  <c r="N31" i="2"/>
  <c r="Q30" i="2"/>
  <c r="P30" i="2"/>
  <c r="O30" i="2"/>
  <c r="N30" i="2"/>
  <c r="Q29" i="2"/>
  <c r="P29" i="2"/>
  <c r="O29" i="2"/>
  <c r="N29" i="2"/>
  <c r="Q28" i="2"/>
  <c r="P28" i="2"/>
  <c r="O28" i="2"/>
  <c r="N28" i="2"/>
  <c r="Q27" i="2"/>
  <c r="P27" i="2"/>
  <c r="O27" i="2"/>
  <c r="N27" i="2"/>
  <c r="Q26" i="2"/>
  <c r="P26" i="2"/>
  <c r="O26" i="2"/>
  <c r="N26" i="2"/>
  <c r="Q25" i="2"/>
  <c r="P25" i="2"/>
  <c r="O25" i="2"/>
  <c r="N25" i="2"/>
  <c r="Q24" i="2"/>
  <c r="P24" i="2"/>
  <c r="O24" i="2"/>
  <c r="N24" i="2"/>
  <c r="Q23" i="2"/>
  <c r="P23" i="2"/>
  <c r="O23" i="2"/>
  <c r="N23" i="2"/>
  <c r="Q22" i="2"/>
  <c r="P22" i="2"/>
  <c r="O22" i="2"/>
  <c r="N22" i="2"/>
  <c r="Q21" i="2"/>
  <c r="P21" i="2"/>
  <c r="O21" i="2"/>
  <c r="N21" i="2"/>
  <c r="Q20" i="2"/>
  <c r="P20" i="2"/>
  <c r="O20" i="2"/>
  <c r="N20" i="2"/>
  <c r="Q19" i="2"/>
  <c r="P19" i="2"/>
  <c r="O19" i="2"/>
  <c r="N19" i="2"/>
  <c r="C18" i="2"/>
  <c r="B5" i="2" l="1"/>
  <c r="D12" i="2"/>
  <c r="E13" i="2" a="1"/>
  <c r="E13" i="2" s="1"/>
  <c r="U13" i="3"/>
  <c r="U12" i="3"/>
  <c r="U11" i="3"/>
  <c r="U10" i="3"/>
  <c r="U9" i="3"/>
  <c r="U8" i="3"/>
  <c r="U7" i="3"/>
  <c r="U6" i="3"/>
  <c r="U5" i="3"/>
  <c r="U4" i="3"/>
  <c r="U3" i="3"/>
  <c r="U2" i="3"/>
  <c r="T13" i="3"/>
  <c r="T12" i="3"/>
  <c r="T11" i="3"/>
  <c r="T10" i="3"/>
  <c r="T9" i="3"/>
  <c r="T8" i="3"/>
  <c r="T7" i="3"/>
  <c r="T6" i="3"/>
  <c r="T5" i="3"/>
  <c r="T4" i="3"/>
  <c r="T3" i="3"/>
  <c r="T2" i="3"/>
  <c r="H4" i="2" a="1"/>
  <c r="H4" i="2" s="1"/>
  <c r="D13" i="2" a="1"/>
  <c r="D13" i="2" s="1"/>
  <c r="E17" i="2" a="1"/>
  <c r="E18" i="2" a="1"/>
  <c r="O4" i="2"/>
  <c r="Q4" i="2"/>
  <c r="O5" i="2"/>
  <c r="C17" i="2"/>
  <c r="P4" i="2"/>
  <c r="Q5" i="2"/>
  <c r="P5" i="2"/>
  <c r="E18" i="2" l="1"/>
  <c r="E17" i="2"/>
  <c r="J5" i="2"/>
  <c r="I5" i="2"/>
  <c r="H5" i="2"/>
  <c r="F18" i="2"/>
  <c r="G17" i="2"/>
  <c r="F17" i="2"/>
  <c r="G18" i="2"/>
  <c r="O2" i="3" l="1"/>
  <c r="P2" i="3" s="1"/>
  <c r="O3" i="3"/>
  <c r="Q3" i="3" s="1"/>
  <c r="P3" i="3" s="1"/>
  <c r="O5" i="3" l="1"/>
  <c r="P5" i="3" a="1"/>
  <c r="P5" i="3" l="1"/>
  <c r="P6" i="3" s="1"/>
  <c r="O8" i="3" s="1"/>
  <c r="P8" i="3" l="1"/>
  <c r="P9" i="3" s="1"/>
  <c r="B9" i="2"/>
  <c r="B15" i="2" s="1"/>
  <c r="Q8" i="3"/>
  <c r="D9" i="2"/>
  <c r="F9" i="2"/>
  <c r="G9" i="2"/>
  <c r="O18" i="2"/>
  <c r="I9" i="2"/>
  <c r="N18" i="2"/>
  <c r="K9" i="2"/>
  <c r="N17" i="2"/>
  <c r="H9" i="2"/>
  <c r="O17" i="2"/>
  <c r="L9" i="2"/>
  <c r="C9" i="2"/>
  <c r="E9" i="2"/>
  <c r="J9" i="2"/>
  <c r="O9" i="3" l="1"/>
  <c r="B10" i="2" s="1"/>
  <c r="B16" i="2" s="1"/>
  <c r="K18" i="2"/>
  <c r="I18" i="2"/>
  <c r="H18" i="2"/>
  <c r="H17" i="2"/>
  <c r="D10" i="2"/>
  <c r="I10" i="2"/>
  <c r="G15" i="2" a="1"/>
  <c r="E15" i="2" a="1"/>
  <c r="P18" i="2"/>
  <c r="F10" i="2"/>
  <c r="E10" i="2"/>
  <c r="C10" i="2"/>
  <c r="J10" i="2"/>
  <c r="K10" i="2"/>
  <c r="F15" i="2" a="1"/>
  <c r="G10" i="2"/>
  <c r="H10" i="2"/>
  <c r="C15" i="2" a="1"/>
  <c r="L10" i="2"/>
  <c r="Q17" i="2"/>
  <c r="P17" i="2"/>
  <c r="J18" i="2" l="1"/>
  <c r="C15" i="2"/>
  <c r="G15" i="2"/>
  <c r="E15" i="2"/>
  <c r="F15" i="2"/>
  <c r="E16" i="2" a="1"/>
  <c r="F16" i="2" a="1"/>
  <c r="C16" i="2" a="1"/>
  <c r="Q18" i="2"/>
  <c r="G16" i="2" a="1"/>
  <c r="L18" i="2" l="1"/>
  <c r="J15" i="2"/>
  <c r="H15" i="2"/>
  <c r="I15" i="2"/>
  <c r="C16" i="2"/>
  <c r="G16" i="2"/>
  <c r="F16" i="2"/>
  <c r="E16" i="2"/>
  <c r="E12" i="2" s="1"/>
  <c r="F12" i="2" l="1"/>
  <c r="J16" i="2"/>
  <c r="L16" i="2" s="1"/>
  <c r="I16" i="2"/>
  <c r="K16" i="2" s="1"/>
  <c r="H16" i="2"/>
  <c r="L15" i="2"/>
  <c r="K15" i="2"/>
  <c r="G12" i="2" l="1"/>
  <c r="I17" i="2"/>
  <c r="I12" i="2" s="1"/>
  <c r="J17" i="2"/>
  <c r="J12" i="2" s="1"/>
  <c r="H12" i="2" l="1"/>
  <c r="K17" i="2"/>
  <c r="K12" i="2" s="1"/>
  <c r="L17" i="2" l="1"/>
  <c r="L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<sst xmlns="http://schemas.openxmlformats.org/spreadsheetml/2006/main" count="92" uniqueCount="69">
  <si>
    <t>한글종목명</t>
    <phoneticPr fontId="1" type="noConversion"/>
  </si>
  <si>
    <t>현재가</t>
    <phoneticPr fontId="1" type="noConversion"/>
  </si>
  <si>
    <t>수정듀레이션</t>
    <phoneticPr fontId="1" type="noConversion"/>
  </si>
  <si>
    <t>세전단가</t>
    <phoneticPr fontId="1" type="noConversion"/>
  </si>
  <si>
    <t>ModDuration</t>
    <phoneticPr fontId="1" type="noConversion"/>
  </si>
  <si>
    <t>세전수익률</t>
    <phoneticPr fontId="1" type="noConversion"/>
  </si>
  <si>
    <t>헤지비율</t>
    <phoneticPr fontId="1" type="noConversion"/>
  </si>
  <si>
    <t>근월물</t>
    <phoneticPr fontId="1" type="noConversion"/>
  </si>
  <si>
    <t>원월물</t>
    <phoneticPr fontId="1" type="noConversion"/>
  </si>
  <si>
    <t>근월물만기</t>
    <phoneticPr fontId="1" type="noConversion"/>
  </si>
  <si>
    <t>원월물만기</t>
    <phoneticPr fontId="1" type="noConversion"/>
  </si>
  <si>
    <t>목표 Duration</t>
    <phoneticPr fontId="1" type="noConversion"/>
  </si>
  <si>
    <t>근월물만기단가</t>
    <phoneticPr fontId="1" type="noConversion"/>
  </si>
  <si>
    <t>근월물만기Dur</t>
    <phoneticPr fontId="1" type="noConversion"/>
  </si>
  <si>
    <t>원월물만기단가</t>
    <phoneticPr fontId="1" type="noConversion"/>
  </si>
  <si>
    <t>원월물만기Dur</t>
    <phoneticPr fontId="1" type="noConversion"/>
  </si>
  <si>
    <t>최종결제일</t>
    <phoneticPr fontId="1" type="noConversion"/>
  </si>
  <si>
    <t>CD91</t>
    <phoneticPr fontId="1" type="noConversion"/>
  </si>
  <si>
    <t>수익률</t>
    <phoneticPr fontId="1" type="noConversion"/>
  </si>
  <si>
    <t>가격</t>
    <phoneticPr fontId="1" type="noConversion"/>
  </si>
  <si>
    <t>전일대비</t>
    <phoneticPr fontId="1" type="noConversion"/>
  </si>
  <si>
    <t>이론가</t>
    <phoneticPr fontId="1" type="noConversion"/>
  </si>
  <si>
    <t>저평가</t>
    <phoneticPr fontId="1" type="noConversion"/>
  </si>
  <si>
    <t>국채현물가</t>
    <phoneticPr fontId="1" type="noConversion"/>
  </si>
  <si>
    <t>선물내재수익률</t>
    <phoneticPr fontId="1" type="noConversion"/>
  </si>
  <si>
    <t>국채현물수익률</t>
    <phoneticPr fontId="1" type="noConversion"/>
  </si>
  <si>
    <t>KR103501GBC2</t>
    <phoneticPr fontId="1" type="noConversion"/>
  </si>
  <si>
    <t>KR103501GC33</t>
    <phoneticPr fontId="1" type="noConversion"/>
  </si>
  <si>
    <t>일자</t>
    <phoneticPr fontId="1" type="noConversion"/>
  </si>
  <si>
    <t>수량 (억)</t>
    <phoneticPr fontId="1" type="noConversion"/>
  </si>
  <si>
    <t>종목명</t>
    <phoneticPr fontId="1" type="noConversion"/>
  </si>
  <si>
    <t>선물가</t>
    <phoneticPr fontId="1" type="noConversion"/>
  </si>
  <si>
    <t>저평가(틱)</t>
    <phoneticPr fontId="1" type="noConversion"/>
  </si>
  <si>
    <t>현물가</t>
    <phoneticPr fontId="1" type="noConversion"/>
  </si>
  <si>
    <t>현물 수익률</t>
    <phoneticPr fontId="1" type="noConversion"/>
  </si>
  <si>
    <t>선물 수익률</t>
    <phoneticPr fontId="1" type="noConversion"/>
  </si>
  <si>
    <t>M. Dur</t>
    <phoneticPr fontId="1" type="noConversion"/>
  </si>
  <si>
    <t>종목 코드</t>
    <phoneticPr fontId="1" type="noConversion"/>
  </si>
  <si>
    <t>CALL</t>
  </si>
  <si>
    <t>통안 1Y</t>
    <phoneticPr fontId="1" type="noConversion"/>
  </si>
  <si>
    <t>민평</t>
    <phoneticPr fontId="1" type="noConversion"/>
  </si>
  <si>
    <t>직접 입력</t>
    <phoneticPr fontId="1" type="noConversion"/>
  </si>
  <si>
    <t>3사평균</t>
    <phoneticPr fontId="1" type="noConversion"/>
  </si>
  <si>
    <t>금투협 최종호가</t>
    <phoneticPr fontId="1" type="noConversion"/>
  </si>
  <si>
    <t>한화 대표수익률</t>
    <phoneticPr fontId="1" type="noConversion"/>
  </si>
  <si>
    <t>CALL (BOK)</t>
    <phoneticPr fontId="1" type="noConversion"/>
  </si>
  <si>
    <t>선물포함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</si>
  <si>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</si>
  <si>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</si>
  <si>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</si>
  <si>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</si>
  <si>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</si>
  <si>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</si>
  <si>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</si>
  <si>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</si>
  <si>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</si>
  <si>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</si>
  <si>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</si>
  <si>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V</t>
    <phoneticPr fontId="1" type="noConversion"/>
  </si>
  <si>
    <t>W</t>
    <phoneticPr fontId="1" type="noConversion"/>
  </si>
  <si>
    <t>A</t>
    <phoneticPr fontId="1" type="noConversion"/>
  </si>
  <si>
    <t>T</t>
    <phoneticPr fontId="1" type="noConversion"/>
  </si>
  <si>
    <t>C000</t>
    <phoneticPr fontId="1" type="noConversion"/>
  </si>
  <si>
    <t xml:space="preserve">  [3651] 국채선물 헤지</t>
    <phoneticPr fontId="1" type="noConversion"/>
  </si>
  <si>
    <t xml:space="preserve">단순 합계(평균) </t>
    <phoneticPr fontId="1" type="noConversion"/>
  </si>
  <si>
    <t>KTB03</t>
  </si>
  <si>
    <t>KTB10</t>
  </si>
  <si>
    <t>KRB30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</si>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</sst>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#,##0.00_ "/>
    <numFmt numFmtId="166" formatCode="#,##0_ "/>
    <numFmt numFmtId="167" formatCode="#,##0.0_ "/>
    <numFmt numFmtId="168" formatCode="#,##0.000_ "/>
    <numFmt numFmtId="169" formatCode="#,##0.0000_ "/>
    <numFmt numFmtId="170" formatCode="#,##0.00000_ "/>
  </numFmts>
  <fonts count="7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b/>
      <sz val="11"/>
      <color theme="0"/>
      <name val="Calibri"/>
      <family val="3"/>
      <charset val="129"/>
      <scheme val="minor"/>
    </font>
    <font>
      <b/>
      <sz val="18"/>
      <color theme="0"/>
      <name val="Calibri"/>
      <family val="3"/>
      <charset val="129"/>
      <scheme val="minor"/>
    </font>
    <font>
      <sz val="9"/>
      <color rgb="FF000000"/>
      <name val="Malgun Gothic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14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167" fontId="0" fillId="0" borderId="0" xfId="0" applyNumberFormat="1">
      <alignment vertical="center"/>
    </xf>
    <xf numFmtId="168" fontId="0" fillId="0" borderId="0" xfId="0" applyNumberFormat="1">
      <alignment vertical="center"/>
    </xf>
    <xf numFmtId="169" fontId="0" fillId="0" borderId="0" xfId="0" applyNumberFormat="1">
      <alignment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65" fontId="0" fillId="0" borderId="8" xfId="0" applyNumberFormat="1" applyBorder="1">
      <alignment vertical="center"/>
    </xf>
    <xf numFmtId="169" fontId="0" fillId="0" borderId="8" xfId="0" applyNumberFormat="1" applyBorder="1">
      <alignment vertical="center"/>
    </xf>
    <xf numFmtId="169" fontId="0" fillId="0" borderId="9" xfId="0" applyNumberFormat="1" applyBorder="1">
      <alignment vertical="center"/>
    </xf>
    <xf numFmtId="14" fontId="0" fillId="0" borderId="10" xfId="0" applyNumberFormat="1" applyBorder="1" applyAlignment="1">
      <alignment horizontal="center" vertical="center"/>
    </xf>
    <xf numFmtId="165" fontId="0" fillId="0" borderId="10" xfId="0" applyNumberFormat="1" applyBorder="1">
      <alignment vertical="center"/>
    </xf>
    <xf numFmtId="169" fontId="0" fillId="0" borderId="10" xfId="0" applyNumberFormat="1" applyBorder="1">
      <alignment vertical="center"/>
    </xf>
    <xf numFmtId="169" fontId="0" fillId="0" borderId="11" xfId="0" applyNumberFormat="1" applyBorder="1">
      <alignment vertical="center"/>
    </xf>
    <xf numFmtId="166" fontId="0" fillId="2" borderId="12" xfId="0" applyNumberFormat="1" applyFill="1" applyBorder="1" applyAlignment="1">
      <alignment horizontal="right" vertical="center"/>
    </xf>
    <xf numFmtId="165" fontId="0" fillId="0" borderId="12" xfId="0" applyNumberFormat="1" applyBorder="1">
      <alignment vertical="center"/>
    </xf>
    <xf numFmtId="169" fontId="0" fillId="0" borderId="12" xfId="0" applyNumberFormat="1" applyBorder="1">
      <alignment vertical="center"/>
    </xf>
    <xf numFmtId="167" fontId="0" fillId="0" borderId="12" xfId="0" applyNumberFormat="1" applyBorder="1">
      <alignment vertical="center"/>
    </xf>
    <xf numFmtId="166" fontId="0" fillId="2" borderId="13" xfId="0" applyNumberFormat="1" applyFill="1" applyBorder="1" applyAlignment="1">
      <alignment horizontal="right" vertical="center"/>
    </xf>
    <xf numFmtId="165" fontId="0" fillId="0" borderId="13" xfId="0" applyNumberFormat="1" applyBorder="1">
      <alignment vertical="center"/>
    </xf>
    <xf numFmtId="169" fontId="0" fillId="0" borderId="13" xfId="0" applyNumberFormat="1" applyBorder="1">
      <alignment vertical="center"/>
    </xf>
    <xf numFmtId="167" fontId="0" fillId="0" borderId="13" xfId="0" applyNumberFormat="1" applyBorder="1">
      <alignment vertical="center"/>
    </xf>
    <xf numFmtId="166" fontId="0" fillId="2" borderId="14" xfId="0" applyNumberFormat="1" applyFill="1" applyBorder="1" applyAlignment="1">
      <alignment horizontal="right" vertical="center"/>
    </xf>
    <xf numFmtId="165" fontId="0" fillId="0" borderId="14" xfId="0" applyNumberFormat="1" applyBorder="1">
      <alignment vertical="center"/>
    </xf>
    <xf numFmtId="169" fontId="0" fillId="0" borderId="14" xfId="0" applyNumberFormat="1" applyBorder="1">
      <alignment vertical="center"/>
    </xf>
    <xf numFmtId="167" fontId="0" fillId="0" borderId="14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65" fontId="4" fillId="3" borderId="3" xfId="0" applyNumberFormat="1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>
      <alignment horizontal="center" vertical="center"/>
    </xf>
    <xf numFmtId="166" fontId="0" fillId="0" borderId="6" xfId="0" applyNumberFormat="1" applyBorder="1">
      <alignment vertical="center"/>
    </xf>
    <xf numFmtId="168" fontId="0" fillId="0" borderId="6" xfId="0" applyNumberFormat="1" applyBorder="1">
      <alignment vertical="center"/>
    </xf>
    <xf numFmtId="165" fontId="0" fillId="0" borderId="6" xfId="0" applyNumberFormat="1" applyBorder="1">
      <alignment vertical="center"/>
    </xf>
    <xf numFmtId="169" fontId="0" fillId="0" borderId="6" xfId="0" applyNumberFormat="1" applyBorder="1">
      <alignment vertical="center"/>
    </xf>
    <xf numFmtId="0" fontId="4" fillId="3" borderId="15" xfId="0" applyFont="1" applyFill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4" fillId="3" borderId="15" xfId="0" applyFont="1" applyFill="1" applyBorder="1" applyAlignment="1">
      <alignment horizontal="right" vertical="center"/>
    </xf>
    <xf numFmtId="0" fontId="4" fillId="3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2" borderId="28" xfId="0" applyFill="1" applyBorder="1" applyAlignment="1">
      <alignment horizontal="center" vertical="center"/>
    </xf>
    <xf numFmtId="167" fontId="0" fillId="0" borderId="29" xfId="0" applyNumberFormat="1" applyBorder="1">
      <alignment vertical="center"/>
    </xf>
    <xf numFmtId="167" fontId="0" fillId="0" borderId="30" xfId="0" applyNumberFormat="1" applyBorder="1">
      <alignment vertical="center"/>
    </xf>
    <xf numFmtId="0" fontId="0" fillId="0" borderId="17" xfId="0" applyBorder="1">
      <alignment vertical="center"/>
    </xf>
    <xf numFmtId="166" fontId="0" fillId="2" borderId="10" xfId="0" applyNumberFormat="1" applyFill="1" applyBorder="1" applyAlignment="1">
      <alignment horizontal="right" vertical="center"/>
    </xf>
    <xf numFmtId="167" fontId="0" fillId="0" borderId="10" xfId="0" applyNumberFormat="1" applyBorder="1">
      <alignment vertical="center"/>
    </xf>
    <xf numFmtId="167" fontId="0" fillId="0" borderId="11" xfId="0" applyNumberFormat="1" applyBorder="1">
      <alignment vertical="center"/>
    </xf>
    <xf numFmtId="0" fontId="0" fillId="2" borderId="27" xfId="0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0" fillId="0" borderId="16" xfId="0" applyBorder="1">
      <alignment vertical="center"/>
    </xf>
    <xf numFmtId="166" fontId="0" fillId="2" borderId="8" xfId="0" applyNumberFormat="1" applyFill="1" applyBorder="1" applyAlignment="1">
      <alignment horizontal="right" vertical="center"/>
    </xf>
    <xf numFmtId="167" fontId="0" fillId="0" borderId="8" xfId="0" applyNumberFormat="1" applyBorder="1">
      <alignment vertical="center"/>
    </xf>
    <xf numFmtId="167" fontId="0" fillId="0" borderId="9" xfId="0" applyNumberFormat="1" applyBorder="1">
      <alignment vertical="center"/>
    </xf>
    <xf numFmtId="0" fontId="3" fillId="0" borderId="31" xfId="0" applyFont="1" applyBorder="1" applyAlignment="1">
      <alignment horizontal="center" vertical="center"/>
    </xf>
    <xf numFmtId="167" fontId="0" fillId="0" borderId="32" xfId="0" applyNumberFormat="1" applyBorder="1">
      <alignment vertical="center"/>
    </xf>
    <xf numFmtId="14" fontId="0" fillId="2" borderId="26" xfId="0" applyNumberFormat="1" applyFill="1" applyBorder="1" applyAlignment="1">
      <alignment horizontal="center" vertical="center"/>
    </xf>
    <xf numFmtId="168" fontId="0" fillId="0" borderId="33" xfId="0" applyNumberFormat="1" applyBorder="1">
      <alignment vertical="center"/>
    </xf>
    <xf numFmtId="168" fontId="0" fillId="0" borderId="34" xfId="0" applyNumberFormat="1" applyBorder="1">
      <alignment vertical="center"/>
    </xf>
    <xf numFmtId="168" fontId="0" fillId="0" borderId="35" xfId="0" applyNumberFormat="1" applyBorder="1">
      <alignment vertical="center"/>
    </xf>
    <xf numFmtId="168" fontId="0" fillId="0" borderId="14" xfId="0" applyNumberFormat="1" applyBorder="1" applyAlignment="1">
      <alignment horizontal="right" vertical="center"/>
    </xf>
    <xf numFmtId="168" fontId="0" fillId="0" borderId="12" xfId="0" applyNumberFormat="1" applyBorder="1" applyAlignment="1">
      <alignment horizontal="right" vertical="center"/>
    </xf>
    <xf numFmtId="168" fontId="0" fillId="0" borderId="10" xfId="0" applyNumberFormat="1" applyBorder="1" applyAlignment="1">
      <alignment horizontal="righ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168" fontId="0" fillId="0" borderId="8" xfId="0" applyNumberFormat="1" applyBorder="1">
      <alignment vertical="center"/>
    </xf>
    <xf numFmtId="168" fontId="0" fillId="0" borderId="13" xfId="0" applyNumberFormat="1" applyBorder="1">
      <alignment vertical="center"/>
    </xf>
    <xf numFmtId="165" fontId="0" fillId="2" borderId="26" xfId="0" applyNumberFormat="1" applyFill="1" applyBorder="1">
      <alignment vertical="center"/>
    </xf>
    <xf numFmtId="167" fontId="0" fillId="0" borderId="7" xfId="0" applyNumberFormat="1" applyBorder="1">
      <alignment vertical="center"/>
    </xf>
    <xf numFmtId="167" fontId="0" fillId="0" borderId="6" xfId="0" applyNumberFormat="1" applyBorder="1">
      <alignment vertical="center"/>
    </xf>
    <xf numFmtId="170" fontId="0" fillId="0" borderId="0" xfId="0" applyNumberFormat="1">
      <alignment vertical="center"/>
    </xf>
    <xf numFmtId="168" fontId="0" fillId="0" borderId="0" xfId="0" applyNumberFormat="1" applyAlignment="1">
      <alignment horizontal="center" vertical="center"/>
    </xf>
    <xf numFmtId="168" fontId="0" fillId="0" borderId="10" xfId="0" applyNumberFormat="1" applyBorder="1">
      <alignment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표준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>국고02375-2703(22-1)</v>
        <stp/>
        <stp>P</stp>
        <stp>0</stp>
        <stp>BND</stp>
        <stp>KR103501GC33</stp>
        <stp>한글종목명</stp>
        <stp/>
        <stp/>
        <tr r="C18" s="2"/>
      </tp>
      <tp t="s">
        <v>국고01875-2412(21-10)</v>
        <stp/>
        <stp>P</stp>
        <stp>0</stp>
        <stp>BND</stp>
        <stp>KR103501GBC2</stp>
        <stp>한글종목명</stp>
        <stp/>
        <stp/>
        <tr r="C17" s="2"/>
      </tp>
      <tp>
        <v>3.4649999999999999</v>
        <stp/>
        <stp>C</stp>
        <stp>0</stp>
        <stp>KR103501GC33</stp>
        <stp>세전수익률</stp>
        <stp>45343</stp>
        <stp>0</stp>
        <stp>3사평균</stp>
        <tr r="E18" s="2"/>
      </tp>
      <tp>
        <v>3.4950000000000001</v>
        <stp/>
        <stp>C</stp>
        <stp>0</stp>
        <stp>KR103501GBC2</stp>
        <stp>세전수익률</stp>
        <stp>45343</stp>
        <stp>0</stp>
        <stp>3사평균</stp>
        <tr r="E17" s="2"/>
      </tp>
      <tp>
        <v>0.78220000000000001</v>
        <stp/>
        <stp>C</stp>
        <stp>0</stp>
        <stp>KR103501GBC2</stp>
        <stp>ModDuration</stp>
        <stp>45343</stp>
        <stp>3.495</stp>
        <stp>3사평균</stp>
        <tr r="G17" s="2"/>
      </tp>
      <tp>
        <v>0.70699999999999996</v>
        <stp/>
        <stp>C</stp>
        <stp>0</stp>
        <stp>KR103501GBC2</stp>
        <stp>ModDuration</stp>
        <stp>45371</stp>
        <stp>3.495</stp>
        <stp>3사평균</stp>
        <tr r="O17" s="2"/>
      </tp>
      <tp>
        <v>0.4672</v>
        <stp/>
        <stp>C</stp>
        <stp>0</stp>
        <stp>KR103501GBC2</stp>
        <stp>ModDuration</stp>
        <stp>45462</stp>
        <stp>3.495</stp>
        <stp>3사평균</stp>
        <tr r="Q17" s="2"/>
      </tp>
      <tp t="s">
        <v>3년국채    F 202403</v>
        <stp/>
        <stp>P</stp>
        <stp>0</stp>
        <stp>FUT</stp>
        <stp>165V3000</stp>
        <stp>한글종목명</stp>
        <stp>45343</stp>
        <stp>DtFmt=1</stp>
        <tr r="C9" s="2"/>
      </tp>
      <tp t="s">
        <v>3년국채    F 202406</v>
        <stp/>
        <stp>P</stp>
        <stp>0</stp>
        <stp>FUT</stp>
        <stp>165V6000</stp>
        <stp>한글종목명</stp>
        <stp>45343</stp>
        <stp>DtFmt=1</stp>
        <tr r="C10" s="2"/>
      </tp>
      <tp>
        <v>2.7797000000000001</v>
        <stp/>
        <stp>P</stp>
        <stp>0</stp>
        <stp>FUT</stp>
        <stp>165V3000</stp>
        <stp>수정듀레이션</stp>
        <stp>45343</stp>
        <stp/>
        <tr r="G15" s="2"/>
        <tr r="L9" s="2"/>
      </tp>
      <tp>
        <v>2.7806000000000002</v>
        <stp/>
        <stp>P</stp>
        <stp>0</stp>
        <stp>FUT</stp>
        <stp>165V6000</stp>
        <stp>수정듀레이션</stp>
        <stp>45343</stp>
        <stp/>
        <tr r="G16" s="2"/>
        <tr r="L10" s="2"/>
      </tp>
      <tp>
        <v>3.4449999999999998</v>
        <stp/>
        <stp>P</stp>
        <stp>0</stp>
        <stp>FUT</stp>
        <stp>165V3000</stp>
        <stp>국채현물수익률</stp>
        <stp>45343</stp>
        <stp/>
        <tr r="J9" s="2"/>
      </tp>
      <tp>
        <v>3.43</v>
        <stp/>
        <stp>P</stp>
        <stp>0</stp>
        <stp>FUT</stp>
        <stp>165V6000</stp>
        <stp>국채현물수익률</stp>
        <stp>45343</stp>
        <stp/>
        <tr r="J10" s="2"/>
      </tp>
      <tp>
        <v>9936.33</v>
        <stp/>
        <stp>C</stp>
        <stp>0</stp>
        <stp>KR103501GBC2</stp>
        <stp>세전단가</stp>
        <stp>45371</stp>
        <stp>3.495</stp>
        <stp>3사평균</stp>
        <tr r="N17" s="2"/>
      </tp>
      <tp>
        <v>9910.0400000000009</v>
        <stp/>
        <stp>C</stp>
        <stp>0</stp>
        <stp>KR103501GBC2</stp>
        <stp>세전단가</stp>
        <stp>45343</stp>
        <stp>3.495</stp>
        <stp>3사평균</stp>
        <tr r="F17" s="2"/>
      </tp>
      <tp>
        <v>9928.77</v>
        <stp/>
        <stp>C</stp>
        <stp>0</stp>
        <stp>KR103501GBC2</stp>
        <stp>세전단가</stp>
        <stp>45462</stp>
        <stp>3.495</stp>
        <stp>3사평균</stp>
        <tr r="P17" s="2"/>
      </tp>
      <tp>
        <v>2.8761000000000001</v>
        <stp/>
        <stp>C</stp>
        <stp>0</stp>
        <stp>KR103501GC33</stp>
        <stp>ModDuration</stp>
        <stp>45343</stp>
        <stp>3.465</stp>
        <stp>3사평균</stp>
        <tr r="G18" s="2"/>
      </tp>
      <tp>
        <v>2.8353999999999999</v>
        <stp/>
        <stp>C</stp>
        <stp>0</stp>
        <stp>KR103501GC33</stp>
        <stp>ModDuration</stp>
        <stp>45371</stp>
        <stp>3.465</stp>
        <stp>3사평균</stp>
        <tr r="O18" s="2"/>
      </tp>
      <tp>
        <v>2.5922999999999998</v>
        <stp/>
        <stp>C</stp>
        <stp>0</stp>
        <stp>KR103501GC33</stp>
        <stp>ModDuration</stp>
        <stp>45462</stp>
        <stp>3.465</stp>
        <stp>3사평균</stp>
        <tr r="Q18" s="2"/>
      </tp>
      <tp>
        <v>9700.92</v>
        <stp/>
        <stp>C</stp>
        <stp>0</stp>
        <stp>KR103501GC33</stp>
        <stp>세전단가</stp>
        <stp>45371</stp>
        <stp>3.465</stp>
        <stp>3사평균</stp>
        <tr r="N18" s="2"/>
      </tp>
      <tp>
        <v>9793.91</v>
        <stp/>
        <stp>C</stp>
        <stp>0</stp>
        <stp>KR103501GC33</stp>
        <stp>세전단가</stp>
        <stp>45343</stp>
        <stp>3.465</stp>
        <stp>3사평균</stp>
        <tr r="F18" s="2"/>
      </tp>
      <tp>
        <v>9783.4</v>
        <stp/>
        <stp>C</stp>
        <stp>0</stp>
        <stp>KR103501GC33</stp>
        <stp>세전단가</stp>
        <stp>45462</stp>
        <stp>3.465</stp>
        <stp>3사평균</stp>
        <tr r="P18" s="2"/>
      </tp>
      <tp>
        <v>3.6339999999999999</v>
        <stp/>
        <stp>P</stp>
        <stp>0</stp>
        <stp>ECO</stp>
        <stp>700504</stp>
        <stp>현재가</stp>
        <stp>45343</stp>
        <stp>fill=true</stp>
        <tr r="O4" s="2"/>
      </tp>
      <tp>
        <v>45370</v>
        <stp/>
        <stp>P</stp>
        <stp>0</stp>
        <stp>FUT</stp>
        <stp>165V3000</stp>
        <stp>최종거래일</stp>
        <stp/>
        <stp>DtFmt=1</stp>
        <tr r="P5" s="3"/>
      </tp>
      <tp>
        <v>45371</v>
        <stp/>
        <stp>P</stp>
        <stp>0</stp>
        <stp>FUT</stp>
        <stp>165V3000</stp>
        <stp>최종결제일</stp>
        <stp>45343</stp>
        <stp>DtFmt=1</stp>
        <tr r="D9" s="2"/>
      </tp>
      <tp>
        <v>45462</v>
        <stp/>
        <stp>P</stp>
        <stp>0</stp>
        <stp>FUT</stp>
        <stp>165V6000</stp>
        <stp>최종결제일</stp>
        <stp>45343</stp>
        <stp>DtFmt=1</stp>
        <tr r="D10" s="2"/>
      </tp>
      <tp>
        <v>104.39700000000001</v>
        <stp/>
        <stp>P</stp>
        <stp>0</stp>
        <stp>FUT</stp>
        <stp>165V3000</stp>
        <stp>국채현물가</stp>
        <stp>45343</stp>
        <stp/>
        <tr r="I9" s="2"/>
      </tp>
      <tp>
        <v>104.43899999999999</v>
        <stp/>
        <stp>P</stp>
        <stp>0</stp>
        <stp>FUT</stp>
        <stp>165V6000</stp>
        <stp>국채현물가</stp>
        <stp>45343</stp>
        <stp/>
        <tr r="I10" s="2"/>
      </tp>
      <tp>
        <v>3.69</v>
        <stp/>
        <stp>P</stp>
        <stp>0</stp>
        <stp>IR</stp>
        <stp>BONDKSDCAL08</stp>
        <stp>대표수익률</stp>
        <stp>45343</stp>
        <stp>fill=true</stp>
        <tr r="P4" s="2"/>
      </tp>
      <tp>
        <v>3.407</v>
        <stp/>
        <stp>P</stp>
        <stp>0</stp>
        <stp>IR</stp>
        <stp>BONDKSDCAL02</stp>
        <stp>대표수익률</stp>
        <stp>45343</stp>
        <stp>fill=true</stp>
        <tr r="Q4" s="2"/>
      </tp>
      <tp>
        <v>3.375</v>
        <stp/>
        <stp>P</stp>
        <stp>0</stp>
        <stp>FUT</stp>
        <stp>165V6000</stp>
        <stp>선물내재수익률</stp>
        <stp>45343</stp>
        <stp/>
        <tr r="E16" s="2"/>
        <tr r="K10" s="2"/>
      </tp>
      <tp>
        <v>3.67</v>
        <stp/>
        <stp>P</stp>
        <stp>0</stp>
        <stp>IR</stp>
        <stp>BONDHANYLD920</stp>
        <stp>수익률</stp>
        <stp>45343</stp>
        <stp>fill=true</stp>
        <tr r="P5" s="2"/>
      </tp>
      <tp>
        <v>3.43</v>
        <stp/>
        <stp>P</stp>
        <stp>0</stp>
        <stp>FUT</stp>
        <stp>165V3000</stp>
        <stp>선물내재수익률</stp>
        <stp>45343</stp>
        <stp/>
        <tr r="E15" s="2"/>
        <tr r="K9" s="2"/>
      </tp>
      <tp>
        <v>3.68</v>
        <stp/>
        <stp>P</stp>
        <stp>0</stp>
        <stp>IR</stp>
        <stp>BONDHANYLD810</stp>
        <stp>수익률</stp>
        <stp>45343</stp>
        <stp>fill=true</stp>
        <tr r="O5" s="2"/>
      </tp>
      <tp>
        <v>0</v>
        <stp/>
        <stp>P</stp>
        <stp>0</stp>
        <stp>FUT</stp>
        <stp>165V6000</stp>
        <stp>전일대비</stp>
        <stp>45343</stp>
        <stp/>
        <tr r="F10" s="2"/>
      </tp>
      <tp>
        <v>0</v>
        <stp/>
        <stp>P</stp>
        <stp>0</stp>
        <stp>FUT</stp>
        <stp>165V3000</stp>
        <stp>전일대비</stp>
        <stp>45343</stp>
        <stp/>
        <tr r="F9" s="2"/>
      </tp>
      <tp>
        <v>3.407</v>
        <stp/>
        <stp>P</stp>
        <stp>0</stp>
        <stp>IR</stp>
        <stp>BONDHANYLD410</stp>
        <stp>수익률</stp>
        <stp>45343</stp>
        <stp>fill=true</stp>
        <tr r="Q5" s="2"/>
      </tp>
      <tp>
        <v>104.44000200000001</v>
        <stp/>
        <stp>P</stp>
        <stp>0</stp>
        <stp>FUT</stp>
        <stp>165V3000</stp>
        <stp>현재가</stp>
        <stp>45343</stp>
        <stp/>
        <tr r="F15" s="2"/>
        <tr r="E9" s="2"/>
      </tp>
      <tp>
        <v>104.55999799999999</v>
        <stp/>
        <stp>P</stp>
        <stp>0</stp>
        <stp>FUT</stp>
        <stp>165V6000</stp>
        <stp>현재가</stp>
        <stp>45343</stp>
        <stp/>
        <tr r="F16" s="2"/>
        <tr r="E10" s="2"/>
      </tp>
      <tp>
        <v>2.7E-2</v>
        <stp/>
        <stp>P</stp>
        <stp>0</stp>
        <stp>FUT</stp>
        <stp>165V6000</stp>
        <stp>저평가</stp>
        <stp>45343</stp>
        <stp/>
        <tr r="H10" s="2"/>
      </tp>
      <tp>
        <v>2.3E-2</v>
        <stp/>
        <stp>P</stp>
        <stp>0</stp>
        <stp>FUT</stp>
        <stp>165V3000</stp>
        <stp>저평가</stp>
        <stp>45343</stp>
        <stp/>
        <tr r="H9" s="2"/>
      </tp>
      <tp>
        <v>104.417</v>
        <stp/>
        <stp>P</stp>
        <stp>0</stp>
        <stp>FUT</stp>
        <stp>165V3000</stp>
        <stp>이론가</stp>
        <stp>45343</stp>
        <stp/>
        <tr r="G9" s="2"/>
      </tp>
      <tp t="s">
        <v>3년국채    F 202406</v>
        <stp/>
        <stp>P</stp>
        <stp>0</stp>
        <stp>FUT</stp>
        <stp>165V6000</stp>
        <stp>한글종목명</stp>
        <stp/>
        <stp>DtFmt=1</stp>
        <tr r="C16" s="2"/>
      </tp>
      <tp>
        <v>104.53299699999999</v>
        <stp/>
        <stp>P</stp>
        <stp>0</stp>
        <stp>FUT</stp>
        <stp>165V6000</stp>
        <stp>이론가</stp>
        <stp>45343</stp>
        <stp/>
        <tr r="G10" s="2"/>
      </tp>
      <tp t="s">
        <v>3년국채    F 202403</v>
        <stp/>
        <stp>P</stp>
        <stp>0</stp>
        <stp>FUT</stp>
        <stp>165V3000</stp>
        <stp>한글종목명</stp>
        <stp/>
        <stp>DtFmt=1</stp>
        <tr r="C1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option!$A$6" lockText="1" noThreeD="1"/>
</file>

<file path=xl/ctrlProps/ctrlProp2.xml><?xml version="1.0" encoding="utf-8"?>
<formControlPr xmlns="http://schemas.microsoft.com/office/spreadsheetml/2009/9/main" objectType="Drop" dropStyle="combo" dx="22" fmlaLink="option!$C$3" fmlaRange="option!$C$1:$C$2" noThreeD="1" sel="1" val="0"/>
</file>

<file path=xl/ctrlProps/ctrlProp3.xml><?xml version="1.0" encoding="utf-8"?>
<formControlPr xmlns="http://schemas.microsoft.com/office/spreadsheetml/2009/9/main" objectType="Drop" dropStyle="combo" dx="22" fmlaLink="option!$F$3" fmlaRange="option!$F$1:$F$2" noThreeD="1" sel="1" val="0"/>
</file>

<file path=xl/ctrlProps/ctrlProp4.xml><?xml version="1.0" encoding="utf-8"?>
<formControlPr xmlns="http://schemas.microsoft.com/office/spreadsheetml/2009/9/main" objectType="Drop" dropStyle="combo" dx="22" fmlaLink="option!$H$4" fmlaRange="option!$H$1:$H$3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4</xdr:row>
          <xdr:rowOff>0</xdr:rowOff>
        </xdr:from>
        <xdr:to>
          <xdr:col>2</xdr:col>
          <xdr:colOff>1047750</xdr:colOff>
          <xdr:row>5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선물 포함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0</xdr:rowOff>
        </xdr:from>
        <xdr:to>
          <xdr:col>5</xdr:col>
          <xdr:colOff>9525</xdr:colOff>
          <xdr:row>13</xdr:row>
          <xdr:rowOff>200025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3</xdr:row>
          <xdr:rowOff>0</xdr:rowOff>
        </xdr:from>
        <xdr:to>
          <xdr:col>6</xdr:col>
          <xdr:colOff>800100</xdr:colOff>
          <xdr:row>4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6</xdr:row>
          <xdr:rowOff>0</xdr:rowOff>
        </xdr:from>
        <xdr:to>
          <xdr:col>1</xdr:col>
          <xdr:colOff>962025</xdr:colOff>
          <xdr:row>8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37"/>
  <sheetViews>
    <sheetView showGridLines="0" showRowColHeaders="0" tabSelected="1" zoomScale="90" zoomScaleNormal="90" workbookViewId="0">
      <selection activeCell="D4" sqref="D4"/>
    </sheetView>
  </sheetViews>
  <sheetFormatPr defaultColWidth="0" defaultRowHeight="15" zeroHeight="1"/>
  <cols>
    <col min="1" max="1" width="1.28515625" customWidth="1"/>
    <col min="2" max="2" width="14.85546875" bestFit="1" customWidth="1"/>
    <col min="3" max="3" width="22.28515625" customWidth="1"/>
    <col min="4" max="12" width="13" customWidth="1"/>
    <col min="13" max="13" width="1.85546875" customWidth="1"/>
    <col min="14" max="14" width="15.140625" hidden="1"/>
    <col min="15" max="15" width="14.42578125" hidden="1"/>
    <col min="16" max="16" width="15.140625" hidden="1"/>
    <col min="17" max="17" width="14.42578125" hidden="1"/>
    <col min="18" max="18" width="9" hidden="1"/>
    <col min="19" max="19" width="11.5703125" hidden="1"/>
    <col min="20" max="20" width="10.42578125" hidden="1"/>
    <col min="21" max="16384" width="9" hidden="1"/>
  </cols>
  <sheetData>
    <row r="1" spans="2:20" ht="8.25" customHeight="1"/>
    <row r="2" spans="2:20" ht="33.75" customHeight="1">
      <c r="B2" s="86" t="s">
        <v>63</v>
      </c>
      <c r="C2" s="86"/>
      <c r="D2" s="86"/>
      <c r="E2" s="86"/>
      <c r="F2" s="86"/>
      <c r="G2" s="86"/>
      <c r="H2" s="86"/>
      <c r="I2" s="86"/>
      <c r="J2" s="86"/>
      <c r="K2" s="86"/>
      <c r="L2" s="86"/>
    </row>
    <row r="3" spans="2:20" ht="9.75" customHeight="1" thickBot="1">
      <c r="I3" s="7"/>
      <c r="J3" s="7"/>
    </row>
    <row r="4" spans="2:20" ht="15.75" thickBot="1">
      <c r="B4" s="43" t="s">
        <v>28</v>
      </c>
      <c r="C4" s="87"/>
      <c r="H4" s="9" t="str" cm="1">
        <f t="array" ref="H4">INDEX($N$4:$N$5, option!$F$3)</f>
        <v>CALL (BOK)</v>
      </c>
      <c r="I4" s="10" t="s">
        <v>17</v>
      </c>
      <c r="J4" s="11" t="s">
        <v>39</v>
      </c>
      <c r="L4" s="43" t="s">
        <v>11</v>
      </c>
      <c r="N4" t="s">
        <v>45</v>
      </c>
      <c r="O4" s="4">
        <f ca="1">_xll.IMDP("ECO", "700504", "현재가", $B$5, "fill=true")</f>
        <v>3.6339999999999999</v>
      </c>
      <c r="P4" s="4">
        <f ca="1">_xll.IMDP("IR", "BONDKSDCAL08", "대표수익률", $B$5, "fill=true")</f>
        <v>3.69</v>
      </c>
      <c r="Q4" s="4">
        <f ca="1">_xll.IMDP("IR", "BONDKSDCAL02", "대표수익률", $B$5, "fill=true")</f>
        <v>3.407</v>
      </c>
    </row>
    <row r="5" spans="2:20" ht="15.75" thickBot="1">
      <c r="B5" s="65">
        <f ca="1">TODAY()</f>
        <v>45343</v>
      </c>
      <c r="H5" s="66">
        <f ca="1">INDEX(O4:O5, option!$F$3)</f>
        <v>3.6339999999999999</v>
      </c>
      <c r="I5" s="67">
        <f ca="1">INDEX(P4:P5, option!$F$3)</f>
        <v>3.69</v>
      </c>
      <c r="J5" s="68">
        <f ca="1">INDEX(Q4:Q5, option!$F$3)</f>
        <v>3.407</v>
      </c>
      <c r="L5" s="77">
        <v>0</v>
      </c>
      <c r="N5" t="s">
        <v>38</v>
      </c>
      <c r="O5" s="4">
        <f ca="1">_xll.IMDP("IR", "BONDHANYLD810", "수익률", $B$5, "fill=true")</f>
        <v>3.68</v>
      </c>
      <c r="P5" s="4">
        <f ca="1">_xll.IMDP("IR", "BONDHANYLD920", "수익률", $B$5, "fill=true")</f>
        <v>3.67</v>
      </c>
      <c r="Q5" s="4">
        <f ca="1">_xll.IMDP("IR", "BONDHANYLD410", "수익률", $B$5, "fill=true")</f>
        <v>3.407</v>
      </c>
    </row>
    <row r="6" spans="2:20" ht="6.75" customHeight="1" thickBot="1"/>
    <row r="7" spans="2:20" ht="15.75" hidden="1" thickBot="1">
      <c r="B7" s="5"/>
      <c r="C7" s="5" t="s">
        <v>0</v>
      </c>
      <c r="D7" s="5" t="s">
        <v>16</v>
      </c>
      <c r="E7" s="5" t="s">
        <v>1</v>
      </c>
      <c r="F7" s="5" t="s">
        <v>20</v>
      </c>
      <c r="G7" s="5" t="s">
        <v>21</v>
      </c>
      <c r="H7" s="5" t="s">
        <v>22</v>
      </c>
      <c r="I7" s="5" t="s">
        <v>23</v>
      </c>
      <c r="J7" s="5" t="s">
        <v>25</v>
      </c>
      <c r="K7" s="5" t="s">
        <v>24</v>
      </c>
      <c r="L7" s="5" t="s">
        <v>2</v>
      </c>
    </row>
    <row r="8" spans="2:20" ht="15.75" thickBot="1">
      <c r="B8" s="43"/>
      <c r="C8" s="40" t="s">
        <v>30</v>
      </c>
      <c r="D8" s="10" t="s">
        <v>16</v>
      </c>
      <c r="E8" s="10" t="s">
        <v>31</v>
      </c>
      <c r="F8" s="10" t="s">
        <v>20</v>
      </c>
      <c r="G8" s="10" t="s">
        <v>21</v>
      </c>
      <c r="H8" s="10" t="s">
        <v>32</v>
      </c>
      <c r="I8" s="10" t="s">
        <v>33</v>
      </c>
      <c r="J8" s="10" t="s">
        <v>34</v>
      </c>
      <c r="K8" s="10" t="s">
        <v>35</v>
      </c>
      <c r="L8" s="11" t="s">
        <v>36</v>
      </c>
    </row>
    <row r="9" spans="2:20">
      <c r="B9" s="72" t="str">
        <f ca="1">option!$O$8</f>
        <v>165V3000</v>
      </c>
      <c r="C9" s="41" t="str">
        <f ca="1">_xll.IMDP("FUT", $B9, C$7, $B$5, "DtFmt=1")</f>
        <v>3년국채    F 202403</v>
      </c>
      <c r="D9" s="12">
        <f ca="1">_xll.IMDP("FUT", $B9, D$7, $B$5, "DtFmt=1")</f>
        <v>45371</v>
      </c>
      <c r="E9" s="13">
        <f ca="1">_xll.IMDP("FUT",$B9,E$7,$B$5)</f>
        <v>104.44000200000001</v>
      </c>
      <c r="F9" s="13">
        <f ca="1">_xll.IMDP("FUT",$B9,F$7,$B$5)</f>
        <v>0</v>
      </c>
      <c r="G9" s="75">
        <f ca="1">_xll.IMDP("FUT",$B9,G$7,$B$5)</f>
        <v>104.417</v>
      </c>
      <c r="H9" s="61">
        <f ca="1">_xll.IMDP("FUT",$B9,H$7,$B$5)*100</f>
        <v>2.2999999999999998</v>
      </c>
      <c r="I9" s="75">
        <f ca="1">_xll.IMDP("FUT",$B9,I$7,$B$5)</f>
        <v>104.39700000000001</v>
      </c>
      <c r="J9" s="14">
        <f ca="1">_xll.IMDP("FUT",$B9,J$7,$B$5)</f>
        <v>3.4449999999999998</v>
      </c>
      <c r="K9" s="14">
        <f ca="1">_xll.IMDP("FUT",$B9,K$7,$B$5)</f>
        <v>3.43</v>
      </c>
      <c r="L9" s="15">
        <f ca="1" xml:space="preserve"> _xll.IMDP("FUT",$B9,L$7,$B$5)</f>
        <v>2.7797000000000001</v>
      </c>
    </row>
    <row r="10" spans="2:20" ht="15.75" thickBot="1">
      <c r="B10" s="73" t="str">
        <f ca="1">option!$O$9</f>
        <v>165V6000</v>
      </c>
      <c r="C10" s="42" t="str">
        <f ca="1">_xll.IMDP("FUT", $B10, C$7, $B$5, "DtFmt=1")</f>
        <v>3년국채    F 202406</v>
      </c>
      <c r="D10" s="16">
        <f ca="1">_xll.IMDP("FUT", $B10, D$7, $B$5, "DtFmt=1")</f>
        <v>45462</v>
      </c>
      <c r="E10" s="17">
        <f ca="1">_xll.IMDP("FUT",$B10,E$7,$B$5)</f>
        <v>104.55999799999999</v>
      </c>
      <c r="F10" s="17">
        <f ca="1">_xll.IMDP("FUT",$B10,F$7,$B$5)</f>
        <v>0</v>
      </c>
      <c r="G10" s="82">
        <f ca="1">_xll.IMDP("FUT",$B10,G$7,$B$5)</f>
        <v>104.53299699999999</v>
      </c>
      <c r="H10" s="55">
        <f ca="1">_xll.IMDP("FUT",$B10,H$7,$B$5)*100</f>
        <v>2.7</v>
      </c>
      <c r="I10" s="82">
        <f ca="1">_xll.IMDP("FUT",$B10,I$7,$B$5)</f>
        <v>104.43899999999999</v>
      </c>
      <c r="J10" s="18">
        <f ca="1">_xll.IMDP("FUT",$B10,J$7,$B$5)</f>
        <v>3.43</v>
      </c>
      <c r="K10" s="18">
        <f ca="1">_xll.IMDP("FUT",$B10,K$7,$B$5)</f>
        <v>3.375</v>
      </c>
      <c r="L10" s="19">
        <f ca="1" xml:space="preserve"> _xll.IMDP("FUT",$B10,L$7,$B$5)</f>
        <v>2.7806000000000002</v>
      </c>
    </row>
    <row r="11" spans="2:20" ht="15.75" thickBot="1"/>
    <row r="12" spans="2:20" ht="15.75" thickBot="1">
      <c r="B12" s="83" t="s">
        <v>37</v>
      </c>
      <c r="C12" s="45" t="s">
        <v>64</v>
      </c>
      <c r="D12" s="36">
        <f>SUM(D$15:D$36)</f>
        <v>200</v>
      </c>
      <c r="E12" s="37">
        <f ca="1">SUMPRODUCT($D$15:$D$36, E$15:E$36)/SUM($D$15:$D$36)</f>
        <v>3.48</v>
      </c>
      <c r="F12" s="38">
        <f ca="1">SUMPRODUCT($D$15:$D$36, F$15:F$36)/SUM($D$15:$D$36)</f>
        <v>9851.9750000000004</v>
      </c>
      <c r="G12" s="39">
        <f ca="1">SUMPRODUCT($D$15:$D$36, G$15:G$36)/SUM($D$15:$D$36)</f>
        <v>1.8291500000000003</v>
      </c>
      <c r="H12" s="79">
        <f ca="1">SUM(H$15:H$36)</f>
        <v>123.7</v>
      </c>
      <c r="I12" s="79">
        <f ca="1">SUM(I$15:I$36)</f>
        <v>123.7</v>
      </c>
      <c r="J12" s="79">
        <f ca="1">SUM(J$15:J$36)</f>
        <v>123.4</v>
      </c>
      <c r="K12" s="79">
        <f ca="1">SUM(K$15:K$36)</f>
        <v>118.80000000000001</v>
      </c>
      <c r="L12" s="78">
        <f ca="1">SUM(L$15:L$36)</f>
        <v>103.10000000000001</v>
      </c>
      <c r="S12" s="6"/>
    </row>
    <row r="13" spans="2:20" s="3" customFormat="1" ht="16.5" hidden="1" customHeight="1">
      <c r="B13" s="84"/>
      <c r="C13" s="5" t="s">
        <v>0</v>
      </c>
      <c r="D13" s="5" t="str" cm="1">
        <f t="array" ref="D13">INDEX(option!$D$1:$D$2, option!$C$3)</f>
        <v>3사평균</v>
      </c>
      <c r="E13" s="69" t="str" cm="1">
        <f t="array" ref="E13">IF( ISBLANK($B13), "", _xll.IMBC($B13,"세전수익률",$B$5,0,$D$13) )</f>
        <v/>
      </c>
      <c r="F13" s="5" t="s">
        <v>3</v>
      </c>
      <c r="G13" s="5" t="s">
        <v>4</v>
      </c>
      <c r="L13" s="32"/>
    </row>
    <row r="14" spans="2:20" s="3" customFormat="1" ht="15.75" thickBot="1">
      <c r="B14" s="85"/>
      <c r="C14" s="46" t="s">
        <v>30</v>
      </c>
      <c r="D14" s="33" t="s">
        <v>29</v>
      </c>
      <c r="E14" s="33" t="s">
        <v>18</v>
      </c>
      <c r="F14" s="33" t="s">
        <v>19</v>
      </c>
      <c r="G14" s="33" t="s">
        <v>36</v>
      </c>
      <c r="H14" s="34" t="s">
        <v>6</v>
      </c>
      <c r="I14" s="34" t="s">
        <v>7</v>
      </c>
      <c r="J14" s="34" t="s">
        <v>8</v>
      </c>
      <c r="K14" s="34" t="s">
        <v>9</v>
      </c>
      <c r="L14" s="35" t="s">
        <v>10</v>
      </c>
      <c r="N14" s="3" t="s">
        <v>12</v>
      </c>
      <c r="O14" s="3" t="s">
        <v>13</v>
      </c>
      <c r="P14" s="3" t="s">
        <v>14</v>
      </c>
      <c r="Q14" s="3" t="s">
        <v>15</v>
      </c>
      <c r="S14" s="80"/>
    </row>
    <row r="15" spans="2:20" s="3" customFormat="1" hidden="1">
      <c r="B15" s="58" t="str">
        <f ca="1">$B$9</f>
        <v>165V3000</v>
      </c>
      <c r="C15" s="59" t="str" cm="1">
        <f t="array" aca="1" ref="C15" ca="1">_xll.IMDP("FUT", $B15, C$7, , "DtFmt=1")</f>
        <v>3년국채    F 202403</v>
      </c>
      <c r="D15" s="60"/>
      <c r="E15" s="75" cm="1">
        <f t="array" aca="1" ref="E15" ca="1">_xll.IMDP("FUT", $B15, $K$7, $B$5)</f>
        <v>3.43</v>
      </c>
      <c r="F15" s="13" cm="1">
        <f t="array" aca="1" ref="F15" ca="1">_xll.IMDP("FUT", $B15, $E$7, $B$5)</f>
        <v>104.44000200000001</v>
      </c>
      <c r="G15" s="14" cm="1">
        <f t="array" aca="1" ref="G15" ca="1">_xll.IMDP("FUT", $B15, $L$7, $B$5)</f>
        <v>2.7797000000000001</v>
      </c>
      <c r="H15" s="61" t="str">
        <f>IF( ISBLANK($D15), "", ROUNDDOWN( ($F15*$G15)/($E$9*$L$9)*100, 1) )</f>
        <v/>
      </c>
      <c r="I15" s="61" t="str">
        <f>IF( ISBLANK($D15), "", ROUNDDOWN( ( ($D15*$F15*$G15)/($E$9*$L$9)/100 - ($D15*$F15*$L$5)/($E$9*$L$9)/100 )*100, 1) )</f>
        <v/>
      </c>
      <c r="J15" s="61" t="str">
        <f>IF( ISBLANK($D15), "", ROUNDDOWN( ( ($D15*$F15*$G15)/($E$10*$L$10)/100 - ($D15*$F15*$L$5)/($E$10*$L$10)/100)*100, 1) )</f>
        <v/>
      </c>
      <c r="K15" s="61" t="str">
        <f>I15</f>
        <v/>
      </c>
      <c r="L15" s="62" t="str">
        <f>J15</f>
        <v/>
      </c>
      <c r="S15" s="6"/>
    </row>
    <row r="16" spans="2:20" s="3" customFormat="1" hidden="1">
      <c r="B16" s="63" t="str">
        <f ca="1">$B$10</f>
        <v>165V6000</v>
      </c>
      <c r="C16" s="49" t="str" cm="1">
        <f t="array" aca="1" ref="C16" ca="1">_xll.IMDP("FUT", $B16, C$7, , "DtFmt=1")</f>
        <v>3년국채    F 202406</v>
      </c>
      <c r="D16" s="24"/>
      <c r="E16" s="76" cm="1">
        <f t="array" aca="1" ref="E16" ca="1">_xll.IMDP("FUT", $B16, $K$7, $B$5)</f>
        <v>3.375</v>
      </c>
      <c r="F16" s="25" cm="1">
        <f t="array" aca="1" ref="F16" ca="1">_xll.IMDP("FUT", $B16, $E$7, $B$5)</f>
        <v>104.55999799999999</v>
      </c>
      <c r="G16" s="26" cm="1">
        <f t="array" aca="1" ref="G16" ca="1">_xll.IMDP("FUT", $B16, $L$7, $B$5)</f>
        <v>2.7806000000000002</v>
      </c>
      <c r="H16" s="27" t="str">
        <f>IF( ISBLANK($D16), "", ROUNDDOWN( ($F16*$G16)/($E$9*$L$9)*100, 1) )</f>
        <v/>
      </c>
      <c r="I16" s="27" t="str">
        <f>IF( ISBLANK($D16), "", ROUNDDOWN( ( ($D16*$F16*$G16)/($E$9*$L$9)/100 - ($D16*$F16*$L$5)/($E$9*$L$9)/100) *100, 1) )</f>
        <v/>
      </c>
      <c r="J16" s="27" t="str">
        <f>IF( ISBLANK($D16), "", ROUNDDOWN( (($D16*$F16*$G16)/($E$10*$L$10)/100 - ($D16*$F16*$L$5)/($E$10*$L$10)/100)*100, 1) )</f>
        <v/>
      </c>
      <c r="K16" s="27" t="str">
        <f>I16</f>
        <v/>
      </c>
      <c r="L16" s="64" t="str">
        <f>J16</f>
        <v/>
      </c>
      <c r="S16" s="6"/>
      <c r="T16" s="81"/>
    </row>
    <row r="17" spans="2:20">
      <c r="B17" s="57" t="s">
        <v>26</v>
      </c>
      <c r="C17" s="47" t="str">
        <f>IF( ISBLANK($B17), "", _xll.IMDP("BND",$B17,C$13) )</f>
        <v>국고01875-2412(21-10)</v>
      </c>
      <c r="D17" s="28">
        <v>100</v>
      </c>
      <c r="E17" s="69" cm="1">
        <f t="array" aca="1" ref="E17" ca="1">IF( ISBLANK($B17), "", _xll.IMBC($B17,"세전수익률",$B$5,0,$D$13) )</f>
        <v>3.4950000000000001</v>
      </c>
      <c r="F17" s="29">
        <f ca="1">IF( ISBLANK($B17), "", _xll.IMBC($B17,F$13,$B$5,$E17,$D$13) )</f>
        <v>9910.0400000000009</v>
      </c>
      <c r="G17" s="30">
        <f ca="1">IF( ISBLANK($B17), "", _xll.IMBC($B17,G$13,$B$5,$E17,$D$13) )</f>
        <v>0.78220000000000001</v>
      </c>
      <c r="H17" s="31">
        <f ca="1">IF( ISBLANK($B17), "", ROUNDDOWN( ($F17*$G17)/($E$9*$L$9), 1) )</f>
        <v>26.7</v>
      </c>
      <c r="I17" s="31">
        <f t="shared" ref="I17:I36" ca="1" si="0">IF( ISBLANK($B17), "", ROUNDDOWN( ($D17*$F17*$G17)/($E$9*$L$9)/100 - ($D17*$F17*$L$5)/($E$9*$L$9)/100, 1) )</f>
        <v>26.7</v>
      </c>
      <c r="J17" s="31">
        <f t="shared" ref="J17:J36" ca="1" si="1">IF( ISBLANK($B17), "", ROUNDDOWN( ($D17*$F17*$G17)/($E$10*$L$10)/100 - ($D17*$F17*$L$5)/($E$10*$L$10)/100, 1) )</f>
        <v>26.6</v>
      </c>
      <c r="K17" s="31">
        <f t="shared" ref="K17:K36" ca="1" si="2">IF( ISBLANK($B17), "", ROUNDDOWN( ($D17*$N17*$O17)/($E$9*$L$9)/100 - ($D17*$N17*$L$5)/($E$9*$L$9)/100, 1) )</f>
        <v>24.1</v>
      </c>
      <c r="L17" s="51">
        <f t="shared" ref="L17" ca="1" si="3">IF( ISBLANK($B17), "", ROUNDDOWN( ($D17*P17*$Q17)/($E$10*$L$10)/100 - ($D17*$P17*$L$5)/($E$10*$L$10)/100, 1) )</f>
        <v>15.9</v>
      </c>
      <c r="M17" s="2"/>
      <c r="N17" s="2">
        <f ca="1">IF( ISBLANK($B17), "", _xll.IMBC($B17,F$13,$D$9,$E17,$D$13) )</f>
        <v>9936.33</v>
      </c>
      <c r="O17" s="8">
        <f ca="1">IF( ISBLANK($B17), "", _xll.IMBC($B17,G$13,$D$9,$E17,$D$13) )</f>
        <v>0.70699999999999996</v>
      </c>
      <c r="P17" s="2">
        <f ca="1">IF( ISBLANK($B17), "", _xll.IMBC($B17,F$13,$D$10,$E17,$D$13) )</f>
        <v>9928.77</v>
      </c>
      <c r="Q17" s="8">
        <f ca="1">IF( ISBLANK($B17), "", _xll.IMBC($B17,G$13,$D$10,$E17,$D$13) )</f>
        <v>0.4672</v>
      </c>
      <c r="R17" s="7">
        <v>3.4950000000000001</v>
      </c>
      <c r="S17" s="8"/>
      <c r="T17" s="7"/>
    </row>
    <row r="18" spans="2:20">
      <c r="B18" s="50" t="s">
        <v>27</v>
      </c>
      <c r="C18" s="48" t="str">
        <f>IF( ISBLANK($B18), "", _xll.IMDP("BND",$B18,C$13) )</f>
        <v>국고02375-2703(22-1)</v>
      </c>
      <c r="D18" s="20">
        <v>100</v>
      </c>
      <c r="E18" s="70" cm="1">
        <f t="array" aca="1" ref="E18" ca="1">IF( ISBLANK($B18), "", _xll.IMBC($B18,"세전수익률",$B$5,0,$D$13) )</f>
        <v>3.4649999999999999</v>
      </c>
      <c r="F18" s="21">
        <f ca="1">IF( ISBLANK($B18), "", _xll.IMBC($B18,F$13,$B$5,$E18,$D$13) )</f>
        <v>9793.91</v>
      </c>
      <c r="G18" s="22">
        <f ca="1">IF( ISBLANK($B18), "", _xll.IMBC($B18,G$13,$B$5,$E18,$D$13) )</f>
        <v>2.8761000000000001</v>
      </c>
      <c r="H18" s="23">
        <f t="shared" ref="H18:H36" ca="1" si="4">IF( ISBLANK($B18), "", ROUNDDOWN( ($F18*$G18)/($E$9*$L$9), 1) )</f>
        <v>97</v>
      </c>
      <c r="I18" s="23">
        <f t="shared" ca="1" si="0"/>
        <v>97</v>
      </c>
      <c r="J18" s="23">
        <f t="shared" ca="1" si="1"/>
        <v>96.8</v>
      </c>
      <c r="K18" s="23">
        <f t="shared" ca="1" si="2"/>
        <v>94.7</v>
      </c>
      <c r="L18" s="52">
        <f t="shared" ref="L18:L36" ca="1" si="5">IF( ISBLANK($B18), "", ROUNDDOWN( ($D18*P18*$Q18)/($E$10*$L$10)/100 - ($D18*$P18*$L$5)/($E$10*$L$10)/100, 1) )</f>
        <v>87.2</v>
      </c>
      <c r="M18" s="2"/>
      <c r="N18" s="2">
        <f ca="1">IF( ISBLANK($B18), "", _xll.IMBC($B18,F$13,$D$9,$E18,$D$13) )</f>
        <v>9700.92</v>
      </c>
      <c r="O18" s="8">
        <f ca="1">IF( ISBLANK($B18), "", _xll.IMBC($B18,G$13,$D$9,$E18,$D$13) )</f>
        <v>2.8353999999999999</v>
      </c>
      <c r="P18" s="2">
        <f ca="1">IF( ISBLANK($B18), "", _xll.IMBC($B18,F$13,$D$10,$E18,$D$13) )</f>
        <v>9783.4</v>
      </c>
      <c r="Q18" s="8">
        <f ca="1">IF( ISBLANK($B18), "", _xll.IMBC($B18,G$13,$D$10,$E18,$D$13) )</f>
        <v>2.5922999999999998</v>
      </c>
      <c r="R18" s="7">
        <v>3.4649999999999999</v>
      </c>
      <c r="S18" s="8"/>
      <c r="T18" s="7"/>
    </row>
    <row r="19" spans="2:20">
      <c r="B19" s="50"/>
      <c r="C19" s="48" t="str">
        <f>IF( ISBLANK($B19), "", _xll.IMDP("BND",$B19,C$13) )</f>
        <v/>
      </c>
      <c r="D19" s="20"/>
      <c r="E19" s="70" t="str" cm="1">
        <f t="array" ref="E19">IF( ISBLANK($B19), "", _xll.IMBC($B19,"세전수익률",$B$5,0,$D$13) )</f>
        <v/>
      </c>
      <c r="F19" s="21" t="str">
        <f>IF( ISBLANK($B19), "", _xll.IMBC($B19,F$13,$B$5,$E19,$D$13) )</f>
        <v/>
      </c>
      <c r="G19" s="22" t="str">
        <f>IF( ISBLANK($B19), "", _xll.IMBC($B19,G$13,$B$5,$E19,$D$13) )</f>
        <v/>
      </c>
      <c r="H19" s="23" t="str">
        <f t="shared" si="4"/>
        <v/>
      </c>
      <c r="I19" s="23" t="str">
        <f t="shared" si="0"/>
        <v/>
      </c>
      <c r="J19" s="23" t="str">
        <f t="shared" si="1"/>
        <v/>
      </c>
      <c r="K19" s="23" t="str">
        <f t="shared" si="2"/>
        <v/>
      </c>
      <c r="L19" s="52" t="str">
        <f t="shared" si="5"/>
        <v/>
      </c>
      <c r="M19" s="2"/>
      <c r="N19" s="2" t="str">
        <f>IF( ISBLANK($B19), "", _xll.IMBC($B19,F$13,$D$9,$E19,$D$13) )</f>
        <v/>
      </c>
      <c r="O19" s="8" t="str">
        <f>IF( ISBLANK($B19), "", _xll.IMBC($B19,G$13,$D$9,$E19,$D$13) )</f>
        <v/>
      </c>
      <c r="P19" s="2" t="str">
        <f>IF( ISBLANK($B19), "", _xll.IMBC($B19,F$13,$D$10,$E19,$D$13) )</f>
        <v/>
      </c>
      <c r="Q19" s="8" t="str">
        <f>IF( ISBLANK($B19), "", _xll.IMBC($B19,G$13,$D$10,$E19,$D$13) )</f>
        <v/>
      </c>
      <c r="R19" s="7" t="s">
        <v>68</v>
      </c>
    </row>
    <row r="20" spans="2:20">
      <c r="B20" s="50"/>
      <c r="C20" s="48" t="str">
        <f>IF( ISBLANK($B20), "", _xll.IMDP("BND",$B20,C$13) )</f>
        <v/>
      </c>
      <c r="D20" s="20"/>
      <c r="E20" s="70" t="str" cm="1">
        <f t="array" ref="E20">IF( ISBLANK($B20), "", _xll.IMBC($B20,"세전수익률",$B$5,0,$D$13) )</f>
        <v/>
      </c>
      <c r="F20" s="21" t="str">
        <f>IF( ISBLANK($B20), "", _xll.IMBC($B20,F$13,$B$5,$E20,$D$13) )</f>
        <v/>
      </c>
      <c r="G20" s="22" t="str">
        <f>IF( ISBLANK($B20), "", _xll.IMBC($B20,G$13,$B$5,$E20,$D$13) )</f>
        <v/>
      </c>
      <c r="H20" s="23" t="str">
        <f t="shared" si="4"/>
        <v/>
      </c>
      <c r="I20" s="23" t="str">
        <f t="shared" si="0"/>
        <v/>
      </c>
      <c r="J20" s="23" t="str">
        <f t="shared" si="1"/>
        <v/>
      </c>
      <c r="K20" s="23" t="str">
        <f t="shared" si="2"/>
        <v/>
      </c>
      <c r="L20" s="52" t="str">
        <f t="shared" si="5"/>
        <v/>
      </c>
      <c r="M20" s="2"/>
      <c r="N20" s="2" t="str">
        <f>IF( ISBLANK($B20), "", _xll.IMBC($B20,F$13,$D$9,$E20,$D$13) )</f>
        <v/>
      </c>
      <c r="O20" s="8" t="str">
        <f>IF( ISBLANK($B20), "", _xll.IMBC($B20,G$13,$D$9,$E20,$D$13) )</f>
        <v/>
      </c>
      <c r="P20" s="2" t="str">
        <f>IF( ISBLANK($B20), "", _xll.IMBC($B20,F$13,$D$10,$E20,$D$13) )</f>
        <v/>
      </c>
      <c r="Q20" s="8" t="str">
        <f>IF( ISBLANK($B20), "", _xll.IMBC($B20,G$13,$D$10,$E20,$D$13) )</f>
        <v/>
      </c>
      <c r="R20" s="7" t="s">
        <v>68</v>
      </c>
    </row>
    <row r="21" spans="2:20">
      <c r="B21" s="50"/>
      <c r="C21" s="48" t="str">
        <f>IF( ISBLANK($B21), "", _xll.IMDP("BND",$B21,C$13) )</f>
        <v/>
      </c>
      <c r="D21" s="20"/>
      <c r="E21" s="70" t="str" cm="1">
        <f t="array" ref="E21">IF( ISBLANK($B21), "", _xll.IMBC($B21,"세전수익률",$B$5,0,$D$13) )</f>
        <v/>
      </c>
      <c r="F21" s="21" t="str">
        <f>IF( ISBLANK($B21), "", _xll.IMBC($B21,F$13,$B$5,$E21,$D$13) )</f>
        <v/>
      </c>
      <c r="G21" s="22" t="str">
        <f>IF( ISBLANK($B21), "", _xll.IMBC($B21,G$13,$B$5,$E21,$D$13) )</f>
        <v/>
      </c>
      <c r="H21" s="23" t="str">
        <f t="shared" si="4"/>
        <v/>
      </c>
      <c r="I21" s="23" t="str">
        <f t="shared" si="0"/>
        <v/>
      </c>
      <c r="J21" s="23" t="str">
        <f t="shared" si="1"/>
        <v/>
      </c>
      <c r="K21" s="23" t="str">
        <f t="shared" si="2"/>
        <v/>
      </c>
      <c r="L21" s="52" t="str">
        <f t="shared" si="5"/>
        <v/>
      </c>
      <c r="M21" s="2"/>
      <c r="N21" s="2" t="str">
        <f>IF( ISBLANK($B21), "", _xll.IMBC($B21,F$13,$D$9,$E21,$D$13) )</f>
        <v/>
      </c>
      <c r="O21" s="8" t="str">
        <f>IF( ISBLANK($B21), "", _xll.IMBC($B21,G$13,$D$9,$E21,$D$13) )</f>
        <v/>
      </c>
      <c r="P21" s="2" t="str">
        <f>IF( ISBLANK($B21), "", _xll.IMBC($B21,F$13,$D$10,$E21,$D$13) )</f>
        <v/>
      </c>
      <c r="Q21" s="8" t="str">
        <f>IF( ISBLANK($B21), "", _xll.IMBC($B21,G$13,$D$10,$E21,$D$13) )</f>
        <v/>
      </c>
      <c r="R21" s="7" t="s">
        <v>68</v>
      </c>
    </row>
    <row r="22" spans="2:20">
      <c r="B22" s="50"/>
      <c r="C22" s="48" t="str">
        <f>IF( ISBLANK($B22), "", _xll.IMDP("BND",$B22,C$13) )</f>
        <v/>
      </c>
      <c r="D22" s="20"/>
      <c r="E22" s="70" t="str" cm="1">
        <f t="array" ref="E22">IF( ISBLANK($B22), "", _xll.IMBC($B22,"세전수익률",$B$5,0,$D$13) )</f>
        <v/>
      </c>
      <c r="F22" s="21" t="str">
        <f>IF( ISBLANK($B22), "", _xll.IMBC($B22,F$13,$B$5,$E22,$D$13) )</f>
        <v/>
      </c>
      <c r="G22" s="22" t="str">
        <f>IF( ISBLANK($B22), "", _xll.IMBC($B22,G$13,$B$5,$E22,$D$13) )</f>
        <v/>
      </c>
      <c r="H22" s="23" t="str">
        <f t="shared" si="4"/>
        <v/>
      </c>
      <c r="I22" s="23" t="str">
        <f t="shared" si="0"/>
        <v/>
      </c>
      <c r="J22" s="23" t="str">
        <f t="shared" si="1"/>
        <v/>
      </c>
      <c r="K22" s="23" t="str">
        <f t="shared" si="2"/>
        <v/>
      </c>
      <c r="L22" s="52" t="str">
        <f t="shared" si="5"/>
        <v/>
      </c>
      <c r="M22" s="2"/>
      <c r="N22" s="2" t="str">
        <f>IF( ISBLANK($B22), "", _xll.IMBC($B22,F$13,$D$9,$E22,$D$13) )</f>
        <v/>
      </c>
      <c r="O22" s="8" t="str">
        <f>IF( ISBLANK($B22), "", _xll.IMBC($B22,G$13,$D$9,$E22,$D$13) )</f>
        <v/>
      </c>
      <c r="P22" s="2" t="str">
        <f>IF( ISBLANK($B22), "", _xll.IMBC($B22,F$13,$D$10,$E22,$D$13) )</f>
        <v/>
      </c>
      <c r="Q22" s="8" t="str">
        <f>IF( ISBLANK($B22), "", _xll.IMBC($B22,G$13,$D$10,$E22,$D$13) )</f>
        <v/>
      </c>
      <c r="R22" s="7" t="s">
        <v>68</v>
      </c>
    </row>
    <row r="23" spans="2:20">
      <c r="B23" s="50"/>
      <c r="C23" s="48" t="str">
        <f>IF( ISBLANK($B23), "", _xll.IMDP("BND",$B23,C$13) )</f>
        <v/>
      </c>
      <c r="D23" s="20"/>
      <c r="E23" s="70" t="str" cm="1">
        <f t="array" ref="E23">IF( ISBLANK($B23), "", _xll.IMBC($B23,"세전수익률",$B$5,0,$D$13) )</f>
        <v/>
      </c>
      <c r="F23" s="21" t="str">
        <f>IF( ISBLANK($B23), "", _xll.IMBC($B23,F$13,$B$5,$E23,$D$13) )</f>
        <v/>
      </c>
      <c r="G23" s="22" t="str">
        <f>IF( ISBLANK($B23), "", _xll.IMBC($B23,G$13,$B$5,$E23,$D$13) )</f>
        <v/>
      </c>
      <c r="H23" s="23" t="str">
        <f t="shared" si="4"/>
        <v/>
      </c>
      <c r="I23" s="23" t="str">
        <f t="shared" si="0"/>
        <v/>
      </c>
      <c r="J23" s="23" t="str">
        <f t="shared" si="1"/>
        <v/>
      </c>
      <c r="K23" s="23" t="str">
        <f t="shared" si="2"/>
        <v/>
      </c>
      <c r="L23" s="52" t="str">
        <f t="shared" si="5"/>
        <v/>
      </c>
      <c r="M23" s="2"/>
      <c r="N23" s="2" t="str">
        <f>IF( ISBLANK($B23), "", _xll.IMBC($B23,F$13,$D$9,$E23,$D$13) )</f>
        <v/>
      </c>
      <c r="O23" s="8" t="str">
        <f>IF( ISBLANK($B23), "", _xll.IMBC($B23,G$13,$D$9,$E23,$D$13) )</f>
        <v/>
      </c>
      <c r="P23" s="2" t="str">
        <f>IF( ISBLANK($B23), "", _xll.IMBC($B23,F$13,$D$10,$E23,$D$13) )</f>
        <v/>
      </c>
      <c r="Q23" s="8" t="str">
        <f>IF( ISBLANK($B23), "", _xll.IMBC($B23,G$13,$D$10,$E23,$D$13) )</f>
        <v/>
      </c>
      <c r="R23" s="7" t="s">
        <v>68</v>
      </c>
    </row>
    <row r="24" spans="2:20">
      <c r="B24" s="50"/>
      <c r="C24" s="48" t="str">
        <f>IF( ISBLANK($B24), "", _xll.IMDP("BND",$B24,C$13) )</f>
        <v/>
      </c>
      <c r="D24" s="20"/>
      <c r="E24" s="70" t="str" cm="1">
        <f t="array" ref="E24">IF( ISBLANK($B24), "", _xll.IMBC($B24,"세전수익률",$B$5,0,$D$13) )</f>
        <v/>
      </c>
      <c r="F24" s="21" t="str">
        <f>IF( ISBLANK($B24), "", _xll.IMBC($B24,F$13,$B$5,$E24,$D$13) )</f>
        <v/>
      </c>
      <c r="G24" s="22" t="str">
        <f>IF( ISBLANK($B24), "", _xll.IMBC($B24,G$13,$B$5,$E24,$D$13) )</f>
        <v/>
      </c>
      <c r="H24" s="23" t="str">
        <f t="shared" si="4"/>
        <v/>
      </c>
      <c r="I24" s="23" t="str">
        <f t="shared" si="0"/>
        <v/>
      </c>
      <c r="J24" s="23" t="str">
        <f t="shared" si="1"/>
        <v/>
      </c>
      <c r="K24" s="23" t="str">
        <f t="shared" si="2"/>
        <v/>
      </c>
      <c r="L24" s="52" t="str">
        <f t="shared" si="5"/>
        <v/>
      </c>
      <c r="M24" s="2"/>
      <c r="N24" s="2" t="str">
        <f>IF( ISBLANK($B24), "", _xll.IMBC($B24,F$13,$D$9,$E24,$D$13) )</f>
        <v/>
      </c>
      <c r="O24" s="8" t="str">
        <f>IF( ISBLANK($B24), "", _xll.IMBC($B24,G$13,$D$9,$E24,$D$13) )</f>
        <v/>
      </c>
      <c r="P24" s="2" t="str">
        <f>IF( ISBLANK($B24), "", _xll.IMBC($B24,F$13,$D$10,$E24,$D$13) )</f>
        <v/>
      </c>
      <c r="Q24" s="8" t="str">
        <f>IF( ISBLANK($B24), "", _xll.IMBC($B24,G$13,$D$10,$E24,$D$13) )</f>
        <v/>
      </c>
      <c r="R24" s="7" t="s">
        <v>68</v>
      </c>
    </row>
    <row r="25" spans="2:20">
      <c r="B25" s="50"/>
      <c r="C25" s="48" t="str">
        <f>IF( ISBLANK($B25), "", _xll.IMDP("BND",$B25,C$13) )</f>
        <v/>
      </c>
      <c r="D25" s="20"/>
      <c r="E25" s="70" t="str" cm="1">
        <f t="array" ref="E25">IF( ISBLANK($B25), "", _xll.IMBC($B25,"세전수익률",$B$5,0,$D$13) )</f>
        <v/>
      </c>
      <c r="F25" s="21" t="str">
        <f>IF( ISBLANK($B25), "", _xll.IMBC($B25,F$13,$B$5,$E25,$D$13) )</f>
        <v/>
      </c>
      <c r="G25" s="22" t="str">
        <f>IF( ISBLANK($B25), "", _xll.IMBC($B25,G$13,$B$5,$E25,$D$13) )</f>
        <v/>
      </c>
      <c r="H25" s="23" t="str">
        <f t="shared" si="4"/>
        <v/>
      </c>
      <c r="I25" s="23" t="str">
        <f t="shared" si="0"/>
        <v/>
      </c>
      <c r="J25" s="23" t="str">
        <f t="shared" si="1"/>
        <v/>
      </c>
      <c r="K25" s="23" t="str">
        <f t="shared" si="2"/>
        <v/>
      </c>
      <c r="L25" s="52" t="str">
        <f t="shared" si="5"/>
        <v/>
      </c>
      <c r="M25" s="2"/>
      <c r="N25" s="2" t="str">
        <f>IF( ISBLANK($B25), "", _xll.IMBC($B25,F$13,$D$9,$E25,$D$13) )</f>
        <v/>
      </c>
      <c r="O25" s="8" t="str">
        <f>IF( ISBLANK($B25), "", _xll.IMBC($B25,G$13,$D$9,$E25,$D$13) )</f>
        <v/>
      </c>
      <c r="P25" s="2" t="str">
        <f>IF( ISBLANK($B25), "", _xll.IMBC($B25,F$13,$D$10,$E25,$D$13) )</f>
        <v/>
      </c>
      <c r="Q25" s="8" t="str">
        <f>IF( ISBLANK($B25), "", _xll.IMBC($B25,G$13,$D$10,$E25,$D$13) )</f>
        <v/>
      </c>
      <c r="R25" s="7" t="s">
        <v>68</v>
      </c>
    </row>
    <row r="26" spans="2:20">
      <c r="B26" s="50"/>
      <c r="C26" s="48" t="str">
        <f>IF( ISBLANK($B26), "", _xll.IMDP("BND",$B26,C$13) )</f>
        <v/>
      </c>
      <c r="D26" s="20"/>
      <c r="E26" s="70" t="str" cm="1">
        <f t="array" ref="E26">IF( ISBLANK($B26), "", _xll.IMBC($B26,"세전수익률",$B$5,0,$D$13) )</f>
        <v/>
      </c>
      <c r="F26" s="21" t="str">
        <f>IF( ISBLANK($B26), "", _xll.IMBC($B26,F$13,$B$5,$E26,$D$13) )</f>
        <v/>
      </c>
      <c r="G26" s="22" t="str">
        <f>IF( ISBLANK($B26), "", _xll.IMBC($B26,G$13,$B$5,$E26,$D$13) )</f>
        <v/>
      </c>
      <c r="H26" s="23" t="str">
        <f t="shared" si="4"/>
        <v/>
      </c>
      <c r="I26" s="23" t="str">
        <f t="shared" si="0"/>
        <v/>
      </c>
      <c r="J26" s="23" t="str">
        <f t="shared" si="1"/>
        <v/>
      </c>
      <c r="K26" s="23" t="str">
        <f t="shared" si="2"/>
        <v/>
      </c>
      <c r="L26" s="52" t="str">
        <f t="shared" si="5"/>
        <v/>
      </c>
      <c r="M26" s="2"/>
      <c r="N26" s="2" t="str">
        <f>IF( ISBLANK($B26), "", _xll.IMBC($B26,F$13,$D$9,$E26,$D$13) )</f>
        <v/>
      </c>
      <c r="O26" s="8" t="str">
        <f>IF( ISBLANK($B26), "", _xll.IMBC($B26,G$13,$D$9,$E26,$D$13) )</f>
        <v/>
      </c>
      <c r="P26" s="2" t="str">
        <f>IF( ISBLANK($B26), "", _xll.IMBC($B26,F$13,$D$10,$E26,$D$13) )</f>
        <v/>
      </c>
      <c r="Q26" s="8" t="str">
        <f>IF( ISBLANK($B26), "", _xll.IMBC($B26,G$13,$D$10,$E26,$D$13) )</f>
        <v/>
      </c>
      <c r="R26" s="7" t="s">
        <v>68</v>
      </c>
    </row>
    <row r="27" spans="2:20">
      <c r="B27" s="50"/>
      <c r="C27" s="48" t="str">
        <f>IF( ISBLANK($B27), "", _xll.IMDP("BND",$B27,C$13) )</f>
        <v/>
      </c>
      <c r="D27" s="20"/>
      <c r="E27" s="70" t="str" cm="1">
        <f t="array" ref="E27">IF( ISBLANK($B27), "", _xll.IMBC($B27,"세전수익률",$B$5,0,$D$13) )</f>
        <v/>
      </c>
      <c r="F27" s="21" t="str">
        <f>IF( ISBLANK($B27), "", _xll.IMBC($B27,F$13,$B$5,$E27,$D$13) )</f>
        <v/>
      </c>
      <c r="G27" s="22" t="str">
        <f>IF( ISBLANK($B27), "", _xll.IMBC($B27,G$13,$B$5,$E27,$D$13) )</f>
        <v/>
      </c>
      <c r="H27" s="23" t="str">
        <f t="shared" si="4"/>
        <v/>
      </c>
      <c r="I27" s="23" t="str">
        <f t="shared" si="0"/>
        <v/>
      </c>
      <c r="J27" s="23" t="str">
        <f t="shared" si="1"/>
        <v/>
      </c>
      <c r="K27" s="23" t="str">
        <f t="shared" si="2"/>
        <v/>
      </c>
      <c r="L27" s="52" t="str">
        <f t="shared" si="5"/>
        <v/>
      </c>
      <c r="M27" s="2"/>
      <c r="N27" s="2" t="str">
        <f>IF( ISBLANK($B27), "", _xll.IMBC($B27,F$13,$D$9,$E27,$D$13) )</f>
        <v/>
      </c>
      <c r="O27" s="8" t="str">
        <f>IF( ISBLANK($B27), "", _xll.IMBC($B27,G$13,$D$9,$E27,$D$13) )</f>
        <v/>
      </c>
      <c r="P27" s="2" t="str">
        <f>IF( ISBLANK($B27), "", _xll.IMBC($B27,F$13,$D$10,$E27,$D$13) )</f>
        <v/>
      </c>
      <c r="Q27" s="8" t="str">
        <f>IF( ISBLANK($B27), "", _xll.IMBC($B27,G$13,$D$10,$E27,$D$13) )</f>
        <v/>
      </c>
      <c r="R27" s="7" t="s">
        <v>68</v>
      </c>
    </row>
    <row r="28" spans="2:20">
      <c r="B28" s="50"/>
      <c r="C28" s="48" t="str">
        <f>IF( ISBLANK($B28), "", _xll.IMDP("BND",$B28,C$13) )</f>
        <v/>
      </c>
      <c r="D28" s="20"/>
      <c r="E28" s="70" t="str" cm="1">
        <f t="array" ref="E28">IF( ISBLANK($B28), "", _xll.IMBC($B28,"세전수익률",$B$5,0,$D$13) )</f>
        <v/>
      </c>
      <c r="F28" s="21" t="str">
        <f>IF( ISBLANK($B28), "", _xll.IMBC($B28,F$13,$B$5,$E28,$D$13) )</f>
        <v/>
      </c>
      <c r="G28" s="22" t="str">
        <f>IF( ISBLANK($B28), "", _xll.IMBC($B28,G$13,$B$5,$E28,$D$13) )</f>
        <v/>
      </c>
      <c r="H28" s="23" t="str">
        <f t="shared" si="4"/>
        <v/>
      </c>
      <c r="I28" s="23" t="str">
        <f t="shared" si="0"/>
        <v/>
      </c>
      <c r="J28" s="23" t="str">
        <f t="shared" si="1"/>
        <v/>
      </c>
      <c r="K28" s="23" t="str">
        <f t="shared" si="2"/>
        <v/>
      </c>
      <c r="L28" s="52" t="str">
        <f t="shared" si="5"/>
        <v/>
      </c>
      <c r="M28" s="2"/>
      <c r="N28" s="2" t="str">
        <f>IF( ISBLANK($B28), "", _xll.IMBC($B28,F$13,$D$9,$E28,$D$13) )</f>
        <v/>
      </c>
      <c r="O28" s="8" t="str">
        <f>IF( ISBLANK($B28), "", _xll.IMBC($B28,G$13,$D$9,$E28,$D$13) )</f>
        <v/>
      </c>
      <c r="P28" s="2" t="str">
        <f>IF( ISBLANK($B28), "", _xll.IMBC($B28,F$13,$D$10,$E28,$D$13) )</f>
        <v/>
      </c>
      <c r="Q28" s="8" t="str">
        <f>IF( ISBLANK($B28), "", _xll.IMBC($B28,G$13,$D$10,$E28,$D$13) )</f>
        <v/>
      </c>
      <c r="R28" s="7" t="s">
        <v>68</v>
      </c>
    </row>
    <row r="29" spans="2:20">
      <c r="B29" s="50"/>
      <c r="C29" s="48" t="str">
        <f>IF( ISBLANK($B29), "", _xll.IMDP("BND",$B29,C$13) )</f>
        <v/>
      </c>
      <c r="D29" s="20"/>
      <c r="E29" s="70" t="str" cm="1">
        <f t="array" ref="E29">IF( ISBLANK($B29), "", _xll.IMBC($B29,"세전수익률",$B$5,0,$D$13) )</f>
        <v/>
      </c>
      <c r="F29" s="21" t="str">
        <f>IF( ISBLANK($B29), "", _xll.IMBC($B29,F$13,$B$5,$E29,$D$13) )</f>
        <v/>
      </c>
      <c r="G29" s="22" t="str">
        <f>IF( ISBLANK($B29), "", _xll.IMBC($B29,G$13,$B$5,$E29,$D$13) )</f>
        <v/>
      </c>
      <c r="H29" s="23" t="str">
        <f t="shared" si="4"/>
        <v/>
      </c>
      <c r="I29" s="23" t="str">
        <f t="shared" si="0"/>
        <v/>
      </c>
      <c r="J29" s="23" t="str">
        <f t="shared" si="1"/>
        <v/>
      </c>
      <c r="K29" s="23" t="str">
        <f t="shared" si="2"/>
        <v/>
      </c>
      <c r="L29" s="52" t="str">
        <f t="shared" si="5"/>
        <v/>
      </c>
      <c r="M29" s="2"/>
      <c r="N29" s="2" t="str">
        <f>IF( ISBLANK($B29), "", _xll.IMBC($B29,F$13,$D$9,$E29,$D$13) )</f>
        <v/>
      </c>
      <c r="O29" s="8" t="str">
        <f>IF( ISBLANK($B29), "", _xll.IMBC($B29,G$13,$D$9,$E29,$D$13) )</f>
        <v/>
      </c>
      <c r="P29" s="2" t="str">
        <f>IF( ISBLANK($B29), "", _xll.IMBC($B29,F$13,$D$10,$E29,$D$13) )</f>
        <v/>
      </c>
      <c r="Q29" s="8" t="str">
        <f>IF( ISBLANK($B29), "", _xll.IMBC($B29,G$13,$D$10,$E29,$D$13) )</f>
        <v/>
      </c>
      <c r="R29" s="7" t="s">
        <v>68</v>
      </c>
    </row>
    <row r="30" spans="2:20">
      <c r="B30" s="50"/>
      <c r="C30" s="48" t="str">
        <f>IF( ISBLANK($B30), "", _xll.IMDP("BND",$B30,C$13) )</f>
        <v/>
      </c>
      <c r="D30" s="20"/>
      <c r="E30" s="70" t="str" cm="1">
        <f t="array" ref="E30">IF( ISBLANK($B30), "", _xll.IMBC($B30,"세전수익률",$B$5,0,$D$13) )</f>
        <v/>
      </c>
      <c r="F30" s="21" t="str">
        <f>IF( ISBLANK($B30), "", _xll.IMBC($B30,F$13,$B$5,$E30,$D$13) )</f>
        <v/>
      </c>
      <c r="G30" s="22" t="str">
        <f>IF( ISBLANK($B30), "", _xll.IMBC($B30,G$13,$B$5,$E30,$D$13) )</f>
        <v/>
      </c>
      <c r="H30" s="23" t="str">
        <f t="shared" si="4"/>
        <v/>
      </c>
      <c r="I30" s="23" t="str">
        <f t="shared" si="0"/>
        <v/>
      </c>
      <c r="J30" s="23" t="str">
        <f t="shared" si="1"/>
        <v/>
      </c>
      <c r="K30" s="23" t="str">
        <f t="shared" si="2"/>
        <v/>
      </c>
      <c r="L30" s="52" t="str">
        <f t="shared" si="5"/>
        <v/>
      </c>
      <c r="M30" s="2"/>
      <c r="N30" s="2" t="str">
        <f>IF( ISBLANK($B30), "", _xll.IMBC($B30,F$13,$D$9,$E30,$D$13) )</f>
        <v/>
      </c>
      <c r="O30" s="8" t="str">
        <f>IF( ISBLANK($B30), "", _xll.IMBC($B30,G$13,$D$9,$E30,$D$13) )</f>
        <v/>
      </c>
      <c r="P30" s="2" t="str">
        <f>IF( ISBLANK($B30), "", _xll.IMBC($B30,F$13,$D$10,$E30,$D$13) )</f>
        <v/>
      </c>
      <c r="Q30" s="8" t="str">
        <f>IF( ISBLANK($B30), "", _xll.IMBC($B30,G$13,$D$10,$E30,$D$13) )</f>
        <v/>
      </c>
      <c r="R30" s="7" t="s">
        <v>68</v>
      </c>
    </row>
    <row r="31" spans="2:20">
      <c r="B31" s="50"/>
      <c r="C31" s="48" t="str">
        <f>IF( ISBLANK($B31), "", _xll.IMDP("BND",$B31,C$13) )</f>
        <v/>
      </c>
      <c r="D31" s="20"/>
      <c r="E31" s="70" t="str" cm="1">
        <f t="array" ref="E31">IF( ISBLANK($B31), "", _xll.IMBC($B31,"세전수익률",$B$5,0,$D$13) )</f>
        <v/>
      </c>
      <c r="F31" s="21" t="str">
        <f>IF( ISBLANK($B31), "", _xll.IMBC($B31,F$13,$B$5,$E31,$D$13) )</f>
        <v/>
      </c>
      <c r="G31" s="22" t="str">
        <f>IF( ISBLANK($B31), "", _xll.IMBC($B31,G$13,$B$5,$E31,$D$13) )</f>
        <v/>
      </c>
      <c r="H31" s="23" t="str">
        <f t="shared" si="4"/>
        <v/>
      </c>
      <c r="I31" s="23" t="str">
        <f t="shared" si="0"/>
        <v/>
      </c>
      <c r="J31" s="23" t="str">
        <f t="shared" si="1"/>
        <v/>
      </c>
      <c r="K31" s="23" t="str">
        <f t="shared" si="2"/>
        <v/>
      </c>
      <c r="L31" s="52" t="str">
        <f t="shared" si="5"/>
        <v/>
      </c>
      <c r="M31" s="2"/>
      <c r="N31" s="2" t="str">
        <f>IF( ISBLANK($B31), "", _xll.IMBC($B31,F$13,$D$9,$E31,$D$13) )</f>
        <v/>
      </c>
      <c r="O31" s="8" t="str">
        <f>IF( ISBLANK($B31), "", _xll.IMBC($B31,G$13,$D$9,$E31,$D$13) )</f>
        <v/>
      </c>
      <c r="P31" s="2" t="str">
        <f>IF( ISBLANK($B31), "", _xll.IMBC($B31,F$13,$D$10,$E31,$D$13) )</f>
        <v/>
      </c>
      <c r="Q31" s="8" t="str">
        <f>IF( ISBLANK($B31), "", _xll.IMBC($B31,G$13,$D$10,$E31,$D$13) )</f>
        <v/>
      </c>
      <c r="R31" s="7" t="s">
        <v>68</v>
      </c>
    </row>
    <row r="32" spans="2:20">
      <c r="B32" s="50"/>
      <c r="C32" s="48" t="str">
        <f>IF( ISBLANK($B32), "", _xll.IMDP("BND",$B32,C$13) )</f>
        <v/>
      </c>
      <c r="D32" s="20"/>
      <c r="E32" s="70" t="str" cm="1">
        <f t="array" ref="E32">IF( ISBLANK($B32), "", _xll.IMBC($B32,"세전수익률",$B$5,0,$D$13) )</f>
        <v/>
      </c>
      <c r="F32" s="21" t="str">
        <f>IF( ISBLANK($B32), "", _xll.IMBC($B32,F$13,$B$5,$E32,$D$13) )</f>
        <v/>
      </c>
      <c r="G32" s="22" t="str">
        <f>IF( ISBLANK($B32), "", _xll.IMBC($B32,G$13,$B$5,$E32,$D$13) )</f>
        <v/>
      </c>
      <c r="H32" s="23" t="str">
        <f t="shared" si="4"/>
        <v/>
      </c>
      <c r="I32" s="23" t="str">
        <f t="shared" si="0"/>
        <v/>
      </c>
      <c r="J32" s="23" t="str">
        <f t="shared" si="1"/>
        <v/>
      </c>
      <c r="K32" s="23" t="str">
        <f t="shared" si="2"/>
        <v/>
      </c>
      <c r="L32" s="52" t="str">
        <f t="shared" si="5"/>
        <v/>
      </c>
      <c r="M32" s="2"/>
      <c r="N32" s="2" t="str">
        <f>IF( ISBLANK($B32), "", _xll.IMBC($B32,F$13,$D$9,$E32,$D$13) )</f>
        <v/>
      </c>
      <c r="O32" s="8" t="str">
        <f>IF( ISBLANK($B32), "", _xll.IMBC($B32,G$13,$D$9,$E32,$D$13) )</f>
        <v/>
      </c>
      <c r="P32" s="2" t="str">
        <f>IF( ISBLANK($B32), "", _xll.IMBC($B32,F$13,$D$10,$E32,$D$13) )</f>
        <v/>
      </c>
      <c r="Q32" s="8" t="str">
        <f>IF( ISBLANK($B32), "", _xll.IMBC($B32,G$13,$D$10,$E32,$D$13) )</f>
        <v/>
      </c>
      <c r="R32" s="7" t="s">
        <v>68</v>
      </c>
    </row>
    <row r="33" spans="2:18">
      <c r="B33" s="50"/>
      <c r="C33" s="48" t="str">
        <f>IF( ISBLANK($B33), "", _xll.IMDP("BND",$B33,C$13) )</f>
        <v/>
      </c>
      <c r="D33" s="20"/>
      <c r="E33" s="70" t="str" cm="1">
        <f t="array" ref="E33">IF( ISBLANK($B33), "", _xll.IMBC($B33,"세전수익률",$B$5,0,$D$13) )</f>
        <v/>
      </c>
      <c r="F33" s="21" t="str">
        <f>IF( ISBLANK($B33), "", _xll.IMBC($B33,F$13,$B$5,$E33,$D$13) )</f>
        <v/>
      </c>
      <c r="G33" s="22" t="str">
        <f>IF( ISBLANK($B33), "", _xll.IMBC($B33,G$13,$B$5,$E33,$D$13) )</f>
        <v/>
      </c>
      <c r="H33" s="23" t="str">
        <f t="shared" si="4"/>
        <v/>
      </c>
      <c r="I33" s="23" t="str">
        <f t="shared" si="0"/>
        <v/>
      </c>
      <c r="J33" s="23" t="str">
        <f t="shared" si="1"/>
        <v/>
      </c>
      <c r="K33" s="23" t="str">
        <f t="shared" si="2"/>
        <v/>
      </c>
      <c r="L33" s="52" t="str">
        <f t="shared" si="5"/>
        <v/>
      </c>
      <c r="M33" s="2"/>
      <c r="N33" s="2" t="str">
        <f>IF( ISBLANK($B33), "", _xll.IMBC($B33,F$13,$D$9,$E33,$D$13) )</f>
        <v/>
      </c>
      <c r="O33" s="8" t="str">
        <f>IF( ISBLANK($B33), "", _xll.IMBC($B33,G$13,$D$9,$E33,$D$13) )</f>
        <v/>
      </c>
      <c r="P33" s="2" t="str">
        <f>IF( ISBLANK($B33), "", _xll.IMBC($B33,F$13,$D$10,$E33,$D$13) )</f>
        <v/>
      </c>
      <c r="Q33" s="8" t="str">
        <f>IF( ISBLANK($B33), "", _xll.IMBC($B33,G$13,$D$10,$E33,$D$13) )</f>
        <v/>
      </c>
      <c r="R33" s="7" t="s">
        <v>68</v>
      </c>
    </row>
    <row r="34" spans="2:18">
      <c r="B34" s="50"/>
      <c r="C34" s="48" t="str">
        <f>IF( ISBLANK($B34), "", _xll.IMDP("BND",$B34,C$13) )</f>
        <v/>
      </c>
      <c r="D34" s="20"/>
      <c r="E34" s="70" t="str" cm="1">
        <f t="array" ref="E34">IF( ISBLANK($B34), "", _xll.IMBC($B34,"세전수익률",$B$5,0,$D$13) )</f>
        <v/>
      </c>
      <c r="F34" s="21" t="str">
        <f>IF( ISBLANK($B34), "", _xll.IMBC($B34,F$13,$B$5,$E34,$D$13) )</f>
        <v/>
      </c>
      <c r="G34" s="22" t="str">
        <f>IF( ISBLANK($B34), "", _xll.IMBC($B34,G$13,$B$5,$E34,$D$13) )</f>
        <v/>
      </c>
      <c r="H34" s="23" t="str">
        <f t="shared" si="4"/>
        <v/>
      </c>
      <c r="I34" s="23" t="str">
        <f t="shared" si="0"/>
        <v/>
      </c>
      <c r="J34" s="23" t="str">
        <f t="shared" si="1"/>
        <v/>
      </c>
      <c r="K34" s="23" t="str">
        <f t="shared" si="2"/>
        <v/>
      </c>
      <c r="L34" s="52" t="str">
        <f t="shared" si="5"/>
        <v/>
      </c>
      <c r="M34" s="2"/>
      <c r="N34" s="2" t="str">
        <f>IF( ISBLANK($B34), "", _xll.IMBC($B34,F$13,$D$9,$E34,$D$13) )</f>
        <v/>
      </c>
      <c r="O34" s="8" t="str">
        <f>IF( ISBLANK($B34), "", _xll.IMBC($B34,G$13,$D$9,$E34,$D$13) )</f>
        <v/>
      </c>
      <c r="P34" s="2" t="str">
        <f>IF( ISBLANK($B34), "", _xll.IMBC($B34,F$13,$D$10,$E34,$D$13) )</f>
        <v/>
      </c>
      <c r="Q34" s="8" t="str">
        <f>IF( ISBLANK($B34), "", _xll.IMBC($B34,G$13,$D$10,$E34,$D$13) )</f>
        <v/>
      </c>
      <c r="R34" s="7" t="s">
        <v>68</v>
      </c>
    </row>
    <row r="35" spans="2:18">
      <c r="B35" s="50"/>
      <c r="C35" s="48" t="str">
        <f>IF( ISBLANK($B35), "", _xll.IMDP("BND",$B35,C$13) )</f>
        <v/>
      </c>
      <c r="D35" s="20"/>
      <c r="E35" s="70" t="str" cm="1">
        <f t="array" ref="E35">IF( ISBLANK($B35), "", _xll.IMBC($B35,"세전수익률",$B$5,0,$D$13) )</f>
        <v/>
      </c>
      <c r="F35" s="21" t="str">
        <f>IF( ISBLANK($B35), "", _xll.IMBC($B35,F$13,$B$5,$E35,$D$13) )</f>
        <v/>
      </c>
      <c r="G35" s="22" t="str">
        <f>IF( ISBLANK($B35), "", _xll.IMBC($B35,G$13,$B$5,$E35,$D$13) )</f>
        <v/>
      </c>
      <c r="H35" s="23" t="str">
        <f t="shared" si="4"/>
        <v/>
      </c>
      <c r="I35" s="23" t="str">
        <f t="shared" si="0"/>
        <v/>
      </c>
      <c r="J35" s="23" t="str">
        <f t="shared" si="1"/>
        <v/>
      </c>
      <c r="K35" s="23" t="str">
        <f t="shared" si="2"/>
        <v/>
      </c>
      <c r="L35" s="52" t="str">
        <f t="shared" si="5"/>
        <v/>
      </c>
      <c r="M35" s="2"/>
      <c r="N35" s="2" t="str">
        <f>IF( ISBLANK($B35), "", _xll.IMBC($B35,F$13,$D$9,$E35,$D$13) )</f>
        <v/>
      </c>
      <c r="O35" s="8" t="str">
        <f>IF( ISBLANK($B35), "", _xll.IMBC($B35,G$13,$D$9,$E35,$D$13) )</f>
        <v/>
      </c>
      <c r="P35" s="2" t="str">
        <f>IF( ISBLANK($B35), "", _xll.IMBC($B35,F$13,$D$10,$E35,$D$13) )</f>
        <v/>
      </c>
      <c r="Q35" s="8" t="str">
        <f>IF( ISBLANK($B35), "", _xll.IMBC($B35,G$13,$D$10,$E35,$D$13) )</f>
        <v/>
      </c>
      <c r="R35" s="7" t="s">
        <v>68</v>
      </c>
    </row>
    <row r="36" spans="2:18" ht="15.75" thickBot="1">
      <c r="B36" s="44"/>
      <c r="C36" s="53" t="str">
        <f>IF( ISBLANK($B36), "", _xll.IMDP("BND",$B36,C$13) )</f>
        <v/>
      </c>
      <c r="D36" s="54"/>
      <c r="E36" s="71" t="str" cm="1">
        <f t="array" ref="E36">IF( ISBLANK($B36), "", _xll.IMBC($B36,"세전수익률",$B$5,0,$D$13) )</f>
        <v/>
      </c>
      <c r="F36" s="17" t="str">
        <f>IF( ISBLANK($B36), "", _xll.IMBC($B36,F$13,$B$5,$E36,$D$13) )</f>
        <v/>
      </c>
      <c r="G36" s="18" t="str">
        <f>IF( ISBLANK($B36), "", _xll.IMBC($B36,G$13,$B$5,$E36,$D$13) )</f>
        <v/>
      </c>
      <c r="H36" s="55" t="str">
        <f t="shared" si="4"/>
        <v/>
      </c>
      <c r="I36" s="55" t="str">
        <f t="shared" si="0"/>
        <v/>
      </c>
      <c r="J36" s="55" t="str">
        <f t="shared" si="1"/>
        <v/>
      </c>
      <c r="K36" s="55" t="str">
        <f t="shared" si="2"/>
        <v/>
      </c>
      <c r="L36" s="56" t="str">
        <f t="shared" si="5"/>
        <v/>
      </c>
      <c r="M36" s="2"/>
      <c r="N36" s="2" t="str">
        <f>IF( ISBLANK($B36), "", _xll.IMBC($B36,F$13,$D$9,$E36,$D$13) )</f>
        <v/>
      </c>
      <c r="O36" s="8" t="str">
        <f>IF( ISBLANK($B36), "", _xll.IMBC($B36,G$13,$D$9,$E36,$D$13) )</f>
        <v/>
      </c>
      <c r="P36" s="2" t="str">
        <f>IF( ISBLANK($B36), "", _xll.IMBC($B36,F$13,$D$10,$E36,$D$13) )</f>
        <v/>
      </c>
      <c r="Q36" s="8" t="str">
        <f>IF( ISBLANK($B36), "", _xll.IMBC($B36,G$13,$D$10,$E36,$D$13) )</f>
        <v/>
      </c>
      <c r="R36" s="7" t="s">
        <v>68</v>
      </c>
    </row>
    <row r="37" spans="2:18"/>
  </sheetData>
  <mergeCells count="2">
    <mergeCell ref="B12:B14"/>
    <mergeCell ref="B2:L2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row_hide">
                <anchor moveWithCells="1">
                  <from>
                    <xdr:col>2</xdr:col>
                    <xdr:colOff>285750</xdr:colOff>
                    <xdr:row>4</xdr:row>
                    <xdr:rowOff>0</xdr:rowOff>
                  </from>
                  <to>
                    <xdr:col>2</xdr:col>
                    <xdr:colOff>1047750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 macro="[0]!input_value">
                <anchor moveWithCells="1">
                  <from>
                    <xdr:col>4</xdr:col>
                    <xdr:colOff>28575</xdr:colOff>
                    <xdr:row>12</xdr:row>
                    <xdr:rowOff>0</xdr:rowOff>
                  </from>
                  <to>
                    <xdr:col>5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5</xdr:col>
                    <xdr:colOff>476250</xdr:colOff>
                    <xdr:row>3</xdr:row>
                    <xdr:rowOff>0</xdr:rowOff>
                  </from>
                  <to>
                    <xdr:col>6</xdr:col>
                    <xdr:colOff>800100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</xdr:col>
                    <xdr:colOff>238125</xdr:colOff>
                    <xdr:row>6</xdr:row>
                    <xdr:rowOff>0</xdr:rowOff>
                  </from>
                  <to>
                    <xdr:col>1</xdr:col>
                    <xdr:colOff>962025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FB0E7E9-5701-4773-8E5B-C723EE27FEA6}">
            <xm:f>option!$C$3=2</xm:f>
            <x14:dxf>
              <fill>
                <patternFill>
                  <bgColor theme="9" tint="0.79998168889431442"/>
                </patternFill>
              </fill>
            </x14:dxf>
          </x14:cfRule>
          <xm:sqref>E17:E36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U25"/>
  <sheetViews>
    <sheetView workbookViewId="0">
      <selection activeCell="O9" sqref="O9"/>
    </sheetView>
  </sheetViews>
  <sheetFormatPr defaultRowHeight="15"/>
  <cols>
    <col min="2" max="2" width="2.5703125" customWidth="1"/>
    <col min="5" max="5" width="2.5703125" customWidth="1"/>
    <col min="7" max="7" width="2.5703125" customWidth="1"/>
    <col min="14" max="14" width="11.140625" bestFit="1" customWidth="1"/>
    <col min="15" max="15" width="10.140625" customWidth="1"/>
    <col min="16" max="16" width="11.140625" bestFit="1" customWidth="1"/>
  </cols>
  <sheetData>
    <row r="1" spans="1:21">
      <c r="C1" t="s">
        <v>40</v>
      </c>
      <c r="D1" t="s">
        <v>42</v>
      </c>
      <c r="F1" t="s">
        <v>43</v>
      </c>
      <c r="H1" t="s">
        <v>65</v>
      </c>
      <c r="I1">
        <v>165</v>
      </c>
      <c r="K1">
        <v>2012</v>
      </c>
      <c r="L1" t="s">
        <v>47</v>
      </c>
      <c r="M1" s="74">
        <v>3000</v>
      </c>
      <c r="N1" s="1"/>
      <c r="P1">
        <f>INDEX($I$1:$I$3,$H$4)</f>
        <v>165</v>
      </c>
    </row>
    <row r="2" spans="1:21">
      <c r="C2" t="s">
        <v>41</v>
      </c>
      <c r="D2" t="s">
        <v>5</v>
      </c>
      <c r="F2" t="s">
        <v>44</v>
      </c>
      <c r="H2" t="s">
        <v>66</v>
      </c>
      <c r="I2">
        <v>167</v>
      </c>
      <c r="K2">
        <v>2013</v>
      </c>
      <c r="L2" t="s">
        <v>48</v>
      </c>
      <c r="M2" s="74">
        <v>6000</v>
      </c>
      <c r="O2">
        <f ca="1">YEAR(헤지!$B$5)</f>
        <v>2024</v>
      </c>
      <c r="P2" t="str">
        <f ca="1">VLOOKUP($O$2,$K:$L,2,0)</f>
        <v>V</v>
      </c>
      <c r="S2">
        <v>1</v>
      </c>
      <c r="T2">
        <f>QUOTIENT(S2,3)</f>
        <v>0</v>
      </c>
      <c r="U2">
        <f>MOD(S2,3)</f>
        <v>1</v>
      </c>
    </row>
    <row r="3" spans="1:21">
      <c r="C3">
        <v>1</v>
      </c>
      <c r="F3">
        <v>1</v>
      </c>
      <c r="H3" t="s">
        <v>67</v>
      </c>
      <c r="I3">
        <v>170</v>
      </c>
      <c r="K3">
        <v>2014</v>
      </c>
      <c r="L3" t="s">
        <v>49</v>
      </c>
      <c r="M3" s="74">
        <v>9000</v>
      </c>
      <c r="O3">
        <f ca="1">MONTH(헤지!$B$5)</f>
        <v>2</v>
      </c>
      <c r="P3">
        <f ca="1">INDEX($M$1:$M$4, Q3 )</f>
        <v>3000</v>
      </c>
      <c r="Q3">
        <f ca="1">IF( MOD($O$3,3)&lt;&gt;0, QUOTIENT($O$3, 3)+1, QUOTIENT($O$3,3))</f>
        <v>1</v>
      </c>
      <c r="S3">
        <v>2</v>
      </c>
      <c r="T3">
        <f t="shared" ref="T3:T13" si="0">QUOTIENT(S3,3)</f>
        <v>0</v>
      </c>
      <c r="U3">
        <f t="shared" ref="U3:U13" si="1">MOD(S3,3)</f>
        <v>2</v>
      </c>
    </row>
    <row r="4" spans="1:21">
      <c r="H4">
        <v>1</v>
      </c>
      <c r="K4">
        <v>2015</v>
      </c>
      <c r="L4" t="s">
        <v>50</v>
      </c>
      <c r="M4" s="74" t="s">
        <v>62</v>
      </c>
      <c r="S4">
        <v>3</v>
      </c>
      <c r="T4">
        <f t="shared" si="0"/>
        <v>1</v>
      </c>
      <c r="U4">
        <f t="shared" si="1"/>
        <v>0</v>
      </c>
    </row>
    <row r="5" spans="1:21">
      <c r="A5" t="s">
        <v>46</v>
      </c>
      <c r="K5">
        <v>2016</v>
      </c>
      <c r="L5" t="s">
        <v>51</v>
      </c>
      <c r="O5" t="str">
        <f ca="1">$P$1&amp;$P$2&amp;$P$3</f>
        <v>165V3000</v>
      </c>
      <c r="P5" s="1" cm="1">
        <f t="array" aca="1" ref="P5" ca="1">_xll.IMDP("FUT", O5, "최종거래일",,"DtFmt=1")</f>
        <v>45370</v>
      </c>
      <c r="S5">
        <v>4</v>
      </c>
      <c r="T5">
        <f t="shared" si="0"/>
        <v>1</v>
      </c>
      <c r="U5">
        <f t="shared" si="1"/>
        <v>1</v>
      </c>
    </row>
    <row r="6" spans="1:21">
      <c r="A6" t="b">
        <v>0</v>
      </c>
      <c r="K6">
        <v>2017</v>
      </c>
      <c r="L6" t="s">
        <v>52</v>
      </c>
      <c r="P6" t="b">
        <f ca="1">P5&gt;=헤지!$B$5</f>
        <v>1</v>
      </c>
      <c r="S6">
        <v>5</v>
      </c>
      <c r="T6">
        <f t="shared" si="0"/>
        <v>1</v>
      </c>
      <c r="U6">
        <f t="shared" si="1"/>
        <v>2</v>
      </c>
    </row>
    <row r="7" spans="1:21">
      <c r="K7">
        <v>2018</v>
      </c>
      <c r="L7" t="s">
        <v>53</v>
      </c>
      <c r="S7">
        <v>6</v>
      </c>
      <c r="T7">
        <f t="shared" si="0"/>
        <v>2</v>
      </c>
      <c r="U7">
        <f t="shared" si="1"/>
        <v>0</v>
      </c>
    </row>
    <row r="8" spans="1:21">
      <c r="K8">
        <v>2019</v>
      </c>
      <c r="L8" t="s">
        <v>54</v>
      </c>
      <c r="O8" t="str">
        <f ca="1">IF(AND($H$4=3, 헤지!$B$5&lt;45341), "데이터 없음", IF($P$6, O5, IF(Q3=4, P1&amp;VLOOKUP(O2+1,$K:$L, 2)&amp;INDEX($M$1:$M$4, 1), P1&amp;P2&amp;_xlfn.SINGLE(INDEX($M$1:$M$4, Q3+1) )) ) )</f>
        <v>165V3000</v>
      </c>
      <c r="P8" t="str">
        <f ca="1">IF($P$6, VLOOKUP(O2,$K:$L, 2), IF(Q3=4, VLOOKUP(O2+1,$K:$L, 2), VLOOKUP(O2,$K:$L, 2) ) )</f>
        <v>V</v>
      </c>
      <c r="Q8">
        <f ca="1">IF($P$6, Q3, IF(Q3=4, 1, Q3+1 ) )</f>
        <v>1</v>
      </c>
      <c r="S8">
        <v>7</v>
      </c>
      <c r="T8">
        <f t="shared" si="0"/>
        <v>2</v>
      </c>
      <c r="U8">
        <f t="shared" si="1"/>
        <v>1</v>
      </c>
    </row>
    <row r="9" spans="1:21">
      <c r="K9">
        <v>2020</v>
      </c>
      <c r="L9" t="s">
        <v>55</v>
      </c>
      <c r="O9" t="str">
        <f ca="1">IF(AND($H$4=3, 헤지!$B$5&lt;45341), "데이터 없음", IF(Q8=4, P1&amp;P9&amp;INDEX($M$1:$M$4, 1), P1&amp;P8&amp;_xlfn.SINGLE(INDEX($M$1:$M$4, Q8+1) )) )</f>
        <v>165V6000</v>
      </c>
      <c r="P9" t="str">
        <f ca="1">INDEX($L:$L, MATCH(P8,$L:$L,0)+1)</f>
        <v>W</v>
      </c>
      <c r="S9">
        <v>8</v>
      </c>
      <c r="T9">
        <f t="shared" si="0"/>
        <v>2</v>
      </c>
      <c r="U9">
        <f t="shared" si="1"/>
        <v>2</v>
      </c>
    </row>
    <row r="10" spans="1:21">
      <c r="K10">
        <v>2021</v>
      </c>
      <c r="L10" t="s">
        <v>56</v>
      </c>
      <c r="S10">
        <v>9</v>
      </c>
      <c r="T10">
        <f t="shared" si="0"/>
        <v>3</v>
      </c>
      <c r="U10">
        <f t="shared" si="1"/>
        <v>0</v>
      </c>
    </row>
    <row r="11" spans="1:21">
      <c r="K11">
        <v>2022</v>
      </c>
      <c r="L11" t="s">
        <v>57</v>
      </c>
      <c r="S11">
        <v>10</v>
      </c>
      <c r="T11">
        <f t="shared" si="0"/>
        <v>3</v>
      </c>
      <c r="U11">
        <f t="shared" si="1"/>
        <v>1</v>
      </c>
    </row>
    <row r="12" spans="1:21">
      <c r="K12">
        <v>2023</v>
      </c>
      <c r="L12" t="s">
        <v>61</v>
      </c>
      <c r="S12">
        <v>11</v>
      </c>
      <c r="T12">
        <f t="shared" si="0"/>
        <v>3</v>
      </c>
      <c r="U12">
        <f t="shared" si="1"/>
        <v>2</v>
      </c>
    </row>
    <row r="13" spans="1:21">
      <c r="K13">
        <v>2024</v>
      </c>
      <c r="L13" t="s">
        <v>58</v>
      </c>
      <c r="S13">
        <v>12</v>
      </c>
      <c r="T13">
        <f t="shared" si="0"/>
        <v>4</v>
      </c>
      <c r="U13">
        <f t="shared" si="1"/>
        <v>0</v>
      </c>
    </row>
    <row r="14" spans="1:21">
      <c r="K14">
        <v>2025</v>
      </c>
      <c r="L14" t="s">
        <v>59</v>
      </c>
    </row>
    <row r="15" spans="1:21">
      <c r="K15">
        <v>2026</v>
      </c>
      <c r="L15">
        <v>6</v>
      </c>
    </row>
    <row r="16" spans="1:21">
      <c r="K16">
        <v>2027</v>
      </c>
      <c r="L16">
        <v>7</v>
      </c>
    </row>
    <row r="17" spans="11:12">
      <c r="K17">
        <v>2028</v>
      </c>
      <c r="L17">
        <v>8</v>
      </c>
    </row>
    <row r="18" spans="11:12">
      <c r="K18">
        <v>2029</v>
      </c>
      <c r="L18">
        <v>9</v>
      </c>
    </row>
    <row r="19" spans="11:12">
      <c r="K19">
        <v>2030</v>
      </c>
      <c r="L19">
        <v>0</v>
      </c>
    </row>
    <row r="20" spans="11:12">
      <c r="K20">
        <v>2031</v>
      </c>
      <c r="L20">
        <v>1</v>
      </c>
    </row>
    <row r="21" spans="11:12">
      <c r="K21">
        <v>2032</v>
      </c>
      <c r="L21">
        <v>2</v>
      </c>
    </row>
    <row r="22" spans="11:12">
      <c r="K22">
        <v>2033</v>
      </c>
      <c r="L22">
        <v>3</v>
      </c>
    </row>
    <row r="23" spans="11:12">
      <c r="K23">
        <v>2034</v>
      </c>
      <c r="L23">
        <v>4</v>
      </c>
    </row>
    <row r="24" spans="11:12">
      <c r="K24">
        <v>2035</v>
      </c>
      <c r="L24">
        <v>5</v>
      </c>
    </row>
    <row r="25" spans="11:12">
      <c r="K25">
        <v>2036</v>
      </c>
      <c r="L25" t="s">
        <v>60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헤지</vt:lpstr>
      <vt:lpstr>option</vt:lpstr>
      <vt:lpstr>future_row</vt:lpstr>
      <vt:lpstr>value_input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Snow Jung</cp:lastModifiedBy>
  <dcterms:created xsi:type="dcterms:W3CDTF">2020-05-13T02:07:49Z</dcterms:created>
  <dcterms:modified xsi:type="dcterms:W3CDTF">2024-02-20T23:50:03Z</dcterms:modified>
</cp:coreProperties>
</file>