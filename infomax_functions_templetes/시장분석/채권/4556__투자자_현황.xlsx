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120" yWindow="75" windowWidth="24960" windowHeight="12330"/>
  </bookViews>
  <sheets>
    <sheet name="채권투자자현황" sheetId="1" r:id="rId1"/>
  </sheets>
  <calcPr calcId="125725"/>
</workbook>
</file>

<file path=xl/calcChain.xml><?xml version="1.0" encoding="utf-8"?>
<calcChain xmlns="http://schemas.openxmlformats.org/spreadsheetml/2006/main">
  <c r="CR13" i="1"/>
  <c r="CQ9"/>
  <c r="CQ10"/>
  <c r="CQ11"/>
  <c r="CQ12"/>
  <c r="CQ13"/>
  <c r="CQ14"/>
  <c r="CQ15"/>
  <c r="CQ16"/>
  <c r="CQ17"/>
  <c r="CQ18"/>
  <c r="CQ19"/>
  <c r="CQ20"/>
  <c r="CQ21"/>
  <c r="CQ22"/>
  <c r="CQ23"/>
  <c r="CQ24"/>
  <c r="CQ25"/>
  <c r="CQ26"/>
  <c r="CQ27"/>
  <c r="CQ28"/>
  <c r="CQ29"/>
  <c r="CQ30"/>
  <c r="CQ31"/>
  <c r="CQ8"/>
  <c r="CR10"/>
  <c r="DD8"/>
  <c r="DD9"/>
  <c r="DD10"/>
  <c r="DD11"/>
  <c r="DD12"/>
  <c r="DD13"/>
  <c r="DD14"/>
  <c r="DD15"/>
  <c r="DD16"/>
  <c r="DD17"/>
  <c r="DD18"/>
  <c r="DD19"/>
  <c r="DD20"/>
  <c r="DD21"/>
  <c r="DD22"/>
  <c r="DD23"/>
  <c r="DD24"/>
  <c r="DD25"/>
  <c r="DD26"/>
  <c r="DD27"/>
  <c r="DD28"/>
  <c r="DD29"/>
  <c r="DD30"/>
  <c r="DD31"/>
  <c r="DC8"/>
  <c r="DC9"/>
  <c r="DC10"/>
  <c r="DC11"/>
  <c r="DC12"/>
  <c r="DC13"/>
  <c r="DC14"/>
  <c r="DC15"/>
  <c r="DC16"/>
  <c r="DC17"/>
  <c r="DC18"/>
  <c r="DC19"/>
  <c r="DC20"/>
  <c r="DC21"/>
  <c r="DC22"/>
  <c r="DC23"/>
  <c r="DC24"/>
  <c r="DC25"/>
  <c r="DC26"/>
  <c r="DC27"/>
  <c r="DC28"/>
  <c r="DC29"/>
  <c r="DC30"/>
  <c r="DC31"/>
  <c r="DB8"/>
  <c r="DB9"/>
  <c r="DB10"/>
  <c r="DB11"/>
  <c r="DB12"/>
  <c r="DB13"/>
  <c r="DB14"/>
  <c r="DB15"/>
  <c r="DB16"/>
  <c r="DB17"/>
  <c r="DB18"/>
  <c r="DB19"/>
  <c r="DB20"/>
  <c r="DB21"/>
  <c r="DB22"/>
  <c r="DB23"/>
  <c r="DB24"/>
  <c r="DB25"/>
  <c r="DB26"/>
  <c r="DB27"/>
  <c r="DB28"/>
  <c r="DB29"/>
  <c r="DB30"/>
  <c r="DB31"/>
  <c r="DA8"/>
  <c r="DA9"/>
  <c r="DA10"/>
  <c r="DA11"/>
  <c r="DA12"/>
  <c r="DA13"/>
  <c r="DA14"/>
  <c r="DA15"/>
  <c r="DA16"/>
  <c r="DA17"/>
  <c r="DA18"/>
  <c r="DA19"/>
  <c r="DA20"/>
  <c r="DA21"/>
  <c r="DA22"/>
  <c r="DA23"/>
  <c r="DA24"/>
  <c r="DA25"/>
  <c r="DA26"/>
  <c r="DA27"/>
  <c r="DA28"/>
  <c r="DA29"/>
  <c r="DA30"/>
  <c r="DA31"/>
  <c r="CZ8"/>
  <c r="CZ9"/>
  <c r="CZ10"/>
  <c r="CZ11"/>
  <c r="CZ12"/>
  <c r="CZ13"/>
  <c r="CZ14"/>
  <c r="CZ15"/>
  <c r="CZ16"/>
  <c r="CZ17"/>
  <c r="CZ18"/>
  <c r="CZ19"/>
  <c r="CZ20"/>
  <c r="CZ21"/>
  <c r="CZ22"/>
  <c r="CZ23"/>
  <c r="CZ24"/>
  <c r="CZ25"/>
  <c r="CZ26"/>
  <c r="CZ27"/>
  <c r="CZ28"/>
  <c r="CZ29"/>
  <c r="CZ30"/>
  <c r="CZ31"/>
  <c r="CY8"/>
  <c r="CY9"/>
  <c r="CY10"/>
  <c r="CY11"/>
  <c r="CY12"/>
  <c r="CY13"/>
  <c r="CY14"/>
  <c r="CY15"/>
  <c r="CY16"/>
  <c r="CY17"/>
  <c r="CY18"/>
  <c r="CY19"/>
  <c r="CY20"/>
  <c r="CY21"/>
  <c r="CY22"/>
  <c r="CY23"/>
  <c r="CY24"/>
  <c r="CY25"/>
  <c r="CY26"/>
  <c r="CY27"/>
  <c r="CY28"/>
  <c r="CY29"/>
  <c r="CY30"/>
  <c r="CY31"/>
  <c r="CX8"/>
  <c r="CX9"/>
  <c r="CX10"/>
  <c r="CX11"/>
  <c r="CX12"/>
  <c r="CX13"/>
  <c r="CX14"/>
  <c r="CX15"/>
  <c r="CX16"/>
  <c r="CX17"/>
  <c r="CX18"/>
  <c r="CX19"/>
  <c r="CX20"/>
  <c r="CX21"/>
  <c r="CX22"/>
  <c r="CX23"/>
  <c r="CX24"/>
  <c r="CX25"/>
  <c r="CX26"/>
  <c r="CX27"/>
  <c r="CX28"/>
  <c r="CX29"/>
  <c r="CX30"/>
  <c r="CX31"/>
  <c r="CW8"/>
  <c r="CW9"/>
  <c r="CW10"/>
  <c r="CW11"/>
  <c r="CW12"/>
  <c r="CW13"/>
  <c r="CW14"/>
  <c r="CW15"/>
  <c r="CW16"/>
  <c r="CW17"/>
  <c r="CW18"/>
  <c r="CW19"/>
  <c r="CW20"/>
  <c r="CW21"/>
  <c r="CW22"/>
  <c r="CW23"/>
  <c r="CW24"/>
  <c r="CW25"/>
  <c r="CW26"/>
  <c r="CW27"/>
  <c r="CW28"/>
  <c r="CW29"/>
  <c r="CW30"/>
  <c r="CW31"/>
  <c r="CV8"/>
  <c r="CV9"/>
  <c r="CV10"/>
  <c r="CV11"/>
  <c r="CV12"/>
  <c r="CV13"/>
  <c r="CV14"/>
  <c r="CV15"/>
  <c r="CV16"/>
  <c r="CV17"/>
  <c r="CV18"/>
  <c r="CV19"/>
  <c r="CV20"/>
  <c r="CV21"/>
  <c r="CV22"/>
  <c r="CV23"/>
  <c r="CV24"/>
  <c r="CV25"/>
  <c r="CV26"/>
  <c r="CV27"/>
  <c r="CV28"/>
  <c r="CV29"/>
  <c r="CV30"/>
  <c r="CV31"/>
  <c r="CU8"/>
  <c r="CU9"/>
  <c r="CU10"/>
  <c r="CU11"/>
  <c r="CU12"/>
  <c r="CU13"/>
  <c r="CU14"/>
  <c r="CU15"/>
  <c r="CU16"/>
  <c r="CU17"/>
  <c r="CU18"/>
  <c r="CU19"/>
  <c r="CU20"/>
  <c r="CU21"/>
  <c r="CU22"/>
  <c r="CU23"/>
  <c r="CU24"/>
  <c r="CU25"/>
  <c r="CU26"/>
  <c r="CU27"/>
  <c r="CU28"/>
  <c r="CU29"/>
  <c r="CU30"/>
  <c r="CU31"/>
  <c r="CT8"/>
  <c r="CT9"/>
  <c r="CT10"/>
  <c r="CT11"/>
  <c r="CT12"/>
  <c r="CT13"/>
  <c r="CT14"/>
  <c r="CT15"/>
  <c r="CT16"/>
  <c r="CT17"/>
  <c r="CT18"/>
  <c r="CT19"/>
  <c r="CT20"/>
  <c r="CT21"/>
  <c r="CT22"/>
  <c r="CT23"/>
  <c r="CT24"/>
  <c r="CT25"/>
  <c r="CT26"/>
  <c r="CT27"/>
  <c r="CT28"/>
  <c r="CT29"/>
  <c r="CT30"/>
  <c r="CT31"/>
  <c r="CS8"/>
  <c r="CS9"/>
  <c r="CS10"/>
  <c r="CS11"/>
  <c r="CS12"/>
  <c r="CS13"/>
  <c r="CS14"/>
  <c r="CS15"/>
  <c r="CS16"/>
  <c r="CS17"/>
  <c r="CS18"/>
  <c r="CS19"/>
  <c r="CS20"/>
  <c r="CS21"/>
  <c r="CS22"/>
  <c r="CS23"/>
  <c r="CS24"/>
  <c r="CS25"/>
  <c r="CS26"/>
  <c r="CS27"/>
  <c r="CS28"/>
  <c r="CS29"/>
  <c r="CS30"/>
  <c r="CS31"/>
  <c r="CR9"/>
  <c r="CR11"/>
  <c r="CR12"/>
  <c r="CR14"/>
  <c r="CR15"/>
  <c r="CR16"/>
  <c r="CR17"/>
  <c r="CR18"/>
  <c r="CR19"/>
  <c r="CR20"/>
  <c r="CR21"/>
  <c r="CR22"/>
  <c r="CR23"/>
  <c r="CR24"/>
  <c r="CR25"/>
  <c r="CR26"/>
  <c r="CR27"/>
  <c r="CR28"/>
  <c r="CR29"/>
  <c r="CR30"/>
  <c r="CR31"/>
  <c r="CR8"/>
  <c r="CD3"/>
  <c r="CF3"/>
  <c r="H4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8"/>
  <c r="BO3"/>
  <c r="J9"/>
  <c r="I9"/>
  <c r="K9"/>
  <c r="L9"/>
  <c r="M9"/>
  <c r="N9"/>
  <c r="O9"/>
  <c r="P9"/>
  <c r="Q9"/>
  <c r="R9"/>
  <c r="S9"/>
  <c r="T9"/>
  <c r="I10"/>
  <c r="J10"/>
  <c r="K10"/>
  <c r="L10"/>
  <c r="M10"/>
  <c r="N10"/>
  <c r="O10"/>
  <c r="P10"/>
  <c r="Q10"/>
  <c r="R10"/>
  <c r="S10"/>
  <c r="T10"/>
  <c r="I11"/>
  <c r="J11"/>
  <c r="K11"/>
  <c r="L11"/>
  <c r="M11"/>
  <c r="N11"/>
  <c r="O11"/>
  <c r="P11"/>
  <c r="Q11"/>
  <c r="R11"/>
  <c r="S11"/>
  <c r="T11"/>
  <c r="I12"/>
  <c r="J12"/>
  <c r="K12"/>
  <c r="L12"/>
  <c r="M12"/>
  <c r="N12"/>
  <c r="O12"/>
  <c r="P12"/>
  <c r="Q12"/>
  <c r="R12"/>
  <c r="S12"/>
  <c r="T12"/>
  <c r="I13"/>
  <c r="J13"/>
  <c r="K13"/>
  <c r="L13"/>
  <c r="M13"/>
  <c r="N13"/>
  <c r="O13"/>
  <c r="P13"/>
  <c r="Q13"/>
  <c r="R13"/>
  <c r="S13"/>
  <c r="T13"/>
  <c r="I14"/>
  <c r="J14"/>
  <c r="K14"/>
  <c r="L14"/>
  <c r="M14"/>
  <c r="N14"/>
  <c r="O14"/>
  <c r="P14"/>
  <c r="Q14"/>
  <c r="R14"/>
  <c r="S14"/>
  <c r="T14"/>
  <c r="I15"/>
  <c r="J15"/>
  <c r="K15"/>
  <c r="L15"/>
  <c r="M15"/>
  <c r="N15"/>
  <c r="O15"/>
  <c r="P15"/>
  <c r="Q15"/>
  <c r="R15"/>
  <c r="S15"/>
  <c r="T15"/>
  <c r="I16"/>
  <c r="J16"/>
  <c r="K16"/>
  <c r="L16"/>
  <c r="M16"/>
  <c r="N16"/>
  <c r="O16"/>
  <c r="P16"/>
  <c r="Q16"/>
  <c r="R16"/>
  <c r="S16"/>
  <c r="T16"/>
  <c r="I17"/>
  <c r="J17"/>
  <c r="K17"/>
  <c r="L17"/>
  <c r="M17"/>
  <c r="N17"/>
  <c r="O17"/>
  <c r="P17"/>
  <c r="Q17"/>
  <c r="R17"/>
  <c r="S17"/>
  <c r="T17"/>
  <c r="I18"/>
  <c r="J18"/>
  <c r="K18"/>
  <c r="L18"/>
  <c r="M18"/>
  <c r="N18"/>
  <c r="O18"/>
  <c r="P18"/>
  <c r="Q18"/>
  <c r="R18"/>
  <c r="S18"/>
  <c r="T18"/>
  <c r="I19"/>
  <c r="J19"/>
  <c r="K19"/>
  <c r="L19"/>
  <c r="M19"/>
  <c r="N19"/>
  <c r="O19"/>
  <c r="P19"/>
  <c r="Q19"/>
  <c r="R19"/>
  <c r="S19"/>
  <c r="T19"/>
  <c r="I20"/>
  <c r="J20"/>
  <c r="K20"/>
  <c r="L20"/>
  <c r="M20"/>
  <c r="N20"/>
  <c r="O20"/>
  <c r="P20"/>
  <c r="Q20"/>
  <c r="R20"/>
  <c r="S20"/>
  <c r="T20"/>
  <c r="I21"/>
  <c r="J21"/>
  <c r="K21"/>
  <c r="L21"/>
  <c r="M21"/>
  <c r="N21"/>
  <c r="O21"/>
  <c r="P21"/>
  <c r="Q21"/>
  <c r="R21"/>
  <c r="S21"/>
  <c r="T21"/>
  <c r="I22"/>
  <c r="J22"/>
  <c r="K22"/>
  <c r="L22"/>
  <c r="M22"/>
  <c r="N22"/>
  <c r="O22"/>
  <c r="P22"/>
  <c r="Q22"/>
  <c r="R22"/>
  <c r="S22"/>
  <c r="T22"/>
  <c r="I23"/>
  <c r="J23"/>
  <c r="K23"/>
  <c r="L23"/>
  <c r="M23"/>
  <c r="N23"/>
  <c r="O23"/>
  <c r="P23"/>
  <c r="Q23"/>
  <c r="R23"/>
  <c r="S23"/>
  <c r="T23"/>
  <c r="I24"/>
  <c r="J24"/>
  <c r="K24"/>
  <c r="L24"/>
  <c r="M24"/>
  <c r="N24"/>
  <c r="O24"/>
  <c r="P24"/>
  <c r="Q24"/>
  <c r="R24"/>
  <c r="S24"/>
  <c r="T24"/>
  <c r="I25"/>
  <c r="J25"/>
  <c r="K25"/>
  <c r="L25"/>
  <c r="M25"/>
  <c r="N25"/>
  <c r="O25"/>
  <c r="P25"/>
  <c r="Q25"/>
  <c r="R25"/>
  <c r="S25"/>
  <c r="T25"/>
  <c r="I26"/>
  <c r="J26"/>
  <c r="K26"/>
  <c r="L26"/>
  <c r="M26"/>
  <c r="N26"/>
  <c r="O26"/>
  <c r="P26"/>
  <c r="Q26"/>
  <c r="R26"/>
  <c r="S26"/>
  <c r="T26"/>
  <c r="I27"/>
  <c r="J27"/>
  <c r="K27"/>
  <c r="L27"/>
  <c r="M27"/>
  <c r="N27"/>
  <c r="O27"/>
  <c r="P27"/>
  <c r="Q27"/>
  <c r="R27"/>
  <c r="S27"/>
  <c r="T27"/>
  <c r="I28"/>
  <c r="J28"/>
  <c r="K28"/>
  <c r="L28"/>
  <c r="M28"/>
  <c r="N28"/>
  <c r="O28"/>
  <c r="P28"/>
  <c r="Q28"/>
  <c r="R28"/>
  <c r="S28"/>
  <c r="T28"/>
  <c r="J8"/>
  <c r="K8"/>
  <c r="L8"/>
  <c r="M8"/>
  <c r="N8"/>
  <c r="O8"/>
  <c r="P8"/>
  <c r="Q8"/>
  <c r="R8"/>
  <c r="S8"/>
  <c r="T8"/>
  <c r="I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8"/>
  <c r="E8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C20"/>
  <c r="C15"/>
  <c r="C7"/>
  <c r="D7"/>
  <c r="J4"/>
  <c r="BQ3" s="1"/>
  <c r="CC6"/>
  <c r="I6" l="1"/>
  <c r="BP7" s="1"/>
  <c r="T6"/>
  <c r="CA7" s="1"/>
  <c r="R6"/>
  <c r="BY7" s="1"/>
  <c r="P6"/>
  <c r="BW7" s="1"/>
  <c r="N6"/>
  <c r="BU7" s="1"/>
  <c r="L6"/>
  <c r="BS7" s="1"/>
  <c r="J6"/>
  <c r="BQ7" s="1"/>
  <c r="H6"/>
  <c r="BO7" s="1"/>
  <c r="S6"/>
  <c r="BZ7" s="1"/>
  <c r="Q6"/>
  <c r="BX7" s="1"/>
  <c r="O6"/>
  <c r="BV7" s="1"/>
  <c r="M6"/>
  <c r="BT7" s="1"/>
  <c r="K6"/>
  <c r="BR7" s="1"/>
  <c r="BN6"/>
</calcChain>
</file>

<file path=xl/sharedStrings.xml><?xml version="1.0" encoding="utf-8"?>
<sst xmlns="http://schemas.openxmlformats.org/spreadsheetml/2006/main" count="111" uniqueCount="84">
  <si>
    <t>BNDINV0000</t>
  </si>
  <si>
    <t>BNDINV0001</t>
  </si>
  <si>
    <t>BNDINV0002</t>
  </si>
  <si>
    <t>BNDINV0003</t>
  </si>
  <si>
    <t>BNDINV0004</t>
  </si>
  <si>
    <t>BNDINV0005</t>
  </si>
  <si>
    <t>BNDINV0006</t>
  </si>
  <si>
    <t>전체</t>
    <phoneticPr fontId="2" type="noConversion"/>
  </si>
  <si>
    <t>지방채</t>
    <phoneticPr fontId="2" type="noConversion"/>
  </si>
  <si>
    <t>특수채</t>
    <phoneticPr fontId="2" type="noConversion"/>
  </si>
  <si>
    <t>통안채</t>
    <phoneticPr fontId="2" type="noConversion"/>
  </si>
  <si>
    <t>금융채</t>
    <phoneticPr fontId="2" type="noConversion"/>
  </si>
  <si>
    <t>회사채</t>
    <phoneticPr fontId="2" type="noConversion"/>
  </si>
  <si>
    <t>증권사</t>
    <phoneticPr fontId="2" type="noConversion"/>
  </si>
  <si>
    <t>은행</t>
    <phoneticPr fontId="2" type="noConversion"/>
  </si>
  <si>
    <t>보험</t>
    <phoneticPr fontId="2" type="noConversion"/>
  </si>
  <si>
    <t>투신</t>
    <phoneticPr fontId="2" type="noConversion"/>
  </si>
  <si>
    <t>종금</t>
    <phoneticPr fontId="2" type="noConversion"/>
  </si>
  <si>
    <t>기금</t>
    <phoneticPr fontId="2" type="noConversion"/>
  </si>
  <si>
    <t>외국인</t>
    <phoneticPr fontId="2" type="noConversion"/>
  </si>
  <si>
    <t>외인기타</t>
    <phoneticPr fontId="2" type="noConversion"/>
  </si>
  <si>
    <t>기타법인</t>
    <phoneticPr fontId="2" type="noConversion"/>
  </si>
  <si>
    <t>개인</t>
    <phoneticPr fontId="2" type="noConversion"/>
  </si>
  <si>
    <t>정부</t>
    <phoneticPr fontId="2" type="noConversion"/>
  </si>
  <si>
    <t>사모펀드</t>
    <phoneticPr fontId="2" type="noConversion"/>
  </si>
  <si>
    <t>거래량</t>
    <phoneticPr fontId="2" type="noConversion"/>
  </si>
  <si>
    <t>거래대금</t>
    <phoneticPr fontId="2" type="noConversion"/>
  </si>
  <si>
    <t>증권사</t>
    <phoneticPr fontId="2" type="noConversion"/>
  </si>
  <si>
    <t>은행</t>
    <phoneticPr fontId="2" type="noConversion"/>
  </si>
  <si>
    <t>보험</t>
    <phoneticPr fontId="2" type="noConversion"/>
  </si>
  <si>
    <t>투신</t>
    <phoneticPr fontId="2" type="noConversion"/>
  </si>
  <si>
    <t>종금</t>
    <phoneticPr fontId="2" type="noConversion"/>
  </si>
  <si>
    <t>기금</t>
    <phoneticPr fontId="2" type="noConversion"/>
  </si>
  <si>
    <t>외국인</t>
    <phoneticPr fontId="2" type="noConversion"/>
  </si>
  <si>
    <t>외인기타</t>
    <phoneticPr fontId="2" type="noConversion"/>
  </si>
  <si>
    <t>기타법인</t>
    <phoneticPr fontId="2" type="noConversion"/>
  </si>
  <si>
    <t>개인</t>
    <phoneticPr fontId="2" type="noConversion"/>
  </si>
  <si>
    <t>정부</t>
    <phoneticPr fontId="2" type="noConversion"/>
  </si>
  <si>
    <t>사모펀드</t>
    <phoneticPr fontId="2" type="noConversion"/>
  </si>
  <si>
    <t>매수</t>
    <phoneticPr fontId="2" type="noConversion"/>
  </si>
  <si>
    <t>매도</t>
    <phoneticPr fontId="2" type="noConversion"/>
  </si>
  <si>
    <t>순매수</t>
    <phoneticPr fontId="2" type="noConversion"/>
  </si>
  <si>
    <t>총거래</t>
    <phoneticPr fontId="2" type="noConversion"/>
  </si>
  <si>
    <t>일자</t>
    <phoneticPr fontId="2" type="noConversion"/>
  </si>
  <si>
    <t>국채</t>
    <phoneticPr fontId="2" type="noConversion"/>
  </si>
  <si>
    <t>시작일</t>
    <phoneticPr fontId="2" type="noConversion"/>
  </si>
  <si>
    <t>종료일</t>
    <phoneticPr fontId="2" type="noConversion"/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</si>
  <si>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</si>
  <si>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</si>
  <si>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</si>
  <si>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</si>
  <si>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</si>
  <si>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</si>
  <si>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</si>
  <si>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</si>
  <si>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</si>
  <si>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</si>
  <si>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증권사 순매수거래량</t>
  </si>
  <si>
    <t>은행 순매수거래량</t>
  </si>
  <si>
    <t>보험 순매수거래량</t>
  </si>
  <si>
    <t>투신 순매수거래량</t>
  </si>
  <si>
    <t>종금 순매수거래량</t>
  </si>
  <si>
    <t>기금 순매수거래량</t>
  </si>
  <si>
    <t>외국인 순매수거래량</t>
  </si>
  <si>
    <t>외인기타 순매수거래량</t>
  </si>
  <si>
    <t>기타법인 순매수거래량</t>
  </si>
  <si>
    <t>개인 순매수거래량</t>
  </si>
  <si>
    <t>정부 순매수거래량</t>
  </si>
  <si>
    <t>사모펀드 순매수거래량</t>
  </si>
  <si>
    <t>전체</t>
    <phoneticPr fontId="2" type="noConversion"/>
  </si>
  <si>
    <t>증권사</t>
    <phoneticPr fontId="2" type="noConversion"/>
  </si>
  <si>
    <t>은행</t>
    <phoneticPr fontId="2" type="noConversion"/>
  </si>
  <si>
    <t>보험</t>
    <phoneticPr fontId="2" type="noConversion"/>
  </si>
  <si>
    <t>투신</t>
    <phoneticPr fontId="2" type="noConversion"/>
  </si>
  <si>
    <t>종금</t>
    <phoneticPr fontId="2" type="noConversion"/>
  </si>
  <si>
    <t>기금</t>
    <phoneticPr fontId="2" type="noConversion"/>
  </si>
  <si>
    <t>외국인</t>
    <phoneticPr fontId="2" type="noConversion"/>
  </si>
  <si>
    <t>기타법인</t>
    <phoneticPr fontId="2" type="noConversion"/>
  </si>
  <si>
    <t>개인</t>
    <phoneticPr fontId="2" type="noConversion"/>
  </si>
  <si>
    <t>정부</t>
    <phoneticPr fontId="2" type="noConversion"/>
  </si>
  <si>
    <t>사모펀드</t>
    <phoneticPr fontId="2" type="noConversion"/>
  </si>
  <si>
    <t>일자</t>
    <phoneticPr fontId="2" type="noConversion"/>
  </si>
  <si>
    <t>전체 순매수거래량</t>
    <phoneticPr fontId="2" type="noConversion"/>
  </si>
  <si>
    <t>채권 투자자 현황</t>
    <phoneticPr fontId="2" type="noConversion"/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</si>
</sst>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6" formatCode="0_ "/>
  </numFmts>
  <fonts count="9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11"/>
      <color rgb="FF9933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Protection="1">
      <alignment vertical="center"/>
      <protection hidden="1"/>
    </xf>
    <xf numFmtId="0" fontId="0" fillId="0" borderId="0" xfId="0" applyFill="1" applyProtection="1">
      <alignment vertical="center"/>
      <protection hidden="1"/>
    </xf>
    <xf numFmtId="0" fontId="5" fillId="0" borderId="0" xfId="0" applyFont="1" applyFill="1" applyProtection="1">
      <alignment vertical="center"/>
      <protection hidden="1"/>
    </xf>
    <xf numFmtId="14" fontId="6" fillId="0" borderId="0" xfId="0" applyNumberFormat="1" applyFont="1" applyFill="1" applyProtection="1">
      <alignment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0" fillId="0" borderId="3" xfId="0" applyBorder="1" applyProtection="1">
      <alignment vertical="center"/>
      <protection hidden="1"/>
    </xf>
    <xf numFmtId="49" fontId="4" fillId="2" borderId="2" xfId="0" applyNumberFormat="1" applyFont="1" applyFill="1" applyBorder="1" applyAlignment="1" applyProtection="1">
      <alignment horizontal="center" vertical="center"/>
      <protection hidden="1"/>
    </xf>
    <xf numFmtId="49" fontId="4" fillId="2" borderId="1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Fill="1" applyAlignment="1" applyProtection="1">
      <alignment horizontal="center" vertical="center"/>
      <protection hidden="1"/>
    </xf>
    <xf numFmtId="0" fontId="6" fillId="0" borderId="0" xfId="0" applyNumberFormat="1" applyFont="1" applyFill="1" applyProtection="1">
      <alignment vertical="center"/>
      <protection hidden="1"/>
    </xf>
    <xf numFmtId="0" fontId="6" fillId="0" borderId="0" xfId="0" applyNumberFormat="1" applyFont="1" applyFill="1" applyAlignment="1" applyProtection="1">
      <alignment horizontal="center" vertical="center"/>
      <protection hidden="1"/>
    </xf>
    <xf numFmtId="0" fontId="0" fillId="0" borderId="4" xfId="0" applyBorder="1" applyProtection="1">
      <alignment vertical="center"/>
      <protection hidden="1"/>
    </xf>
    <xf numFmtId="41" fontId="0" fillId="0" borderId="1" xfId="0" applyNumberFormat="1" applyBorder="1" applyProtection="1">
      <alignment vertical="center"/>
      <protection hidden="1"/>
    </xf>
    <xf numFmtId="41" fontId="6" fillId="0" borderId="0" xfId="1" applyFont="1" applyFill="1" applyProtection="1">
      <alignment vertical="center"/>
      <protection hidden="1"/>
    </xf>
    <xf numFmtId="176" fontId="6" fillId="0" borderId="0" xfId="0" applyNumberFormat="1" applyFont="1" applyFill="1" applyProtection="1">
      <alignment vertical="center"/>
      <protection hidden="1"/>
    </xf>
    <xf numFmtId="0" fontId="0" fillId="0" borderId="5" xfId="0" applyBorder="1" applyProtection="1">
      <alignment vertical="center"/>
      <protection hidden="1"/>
    </xf>
    <xf numFmtId="41" fontId="6" fillId="0" borderId="0" xfId="0" applyNumberFormat="1" applyFont="1" applyFill="1" applyProtection="1">
      <alignment vertical="center"/>
      <protection hidden="1"/>
    </xf>
    <xf numFmtId="49" fontId="0" fillId="0" borderId="0" xfId="0" applyNumberFormat="1" applyFill="1" applyProtection="1">
      <alignment vertical="center"/>
      <protection hidden="1"/>
    </xf>
    <xf numFmtId="41" fontId="0" fillId="0" borderId="0" xfId="0" applyNumberFormat="1" applyProtection="1">
      <alignment vertical="center"/>
      <protection hidden="1"/>
    </xf>
    <xf numFmtId="0" fontId="0" fillId="0" borderId="12" xfId="0" applyBorder="1" applyProtection="1">
      <alignment vertical="center"/>
      <protection locked="0"/>
    </xf>
    <xf numFmtId="14" fontId="0" fillId="4" borderId="1" xfId="0" applyNumberFormat="1" applyFill="1" applyBorder="1" applyAlignment="1" applyProtection="1">
      <alignment horizontal="center" vertical="center"/>
      <protection locked="0" hidden="1"/>
    </xf>
    <xf numFmtId="0" fontId="0" fillId="2" borderId="6" xfId="0" applyNumberFormat="1" applyFill="1" applyBorder="1" applyProtection="1">
      <alignment vertical="center"/>
      <protection locked="0" hidden="1"/>
    </xf>
    <xf numFmtId="0" fontId="0" fillId="2" borderId="6" xfId="0" applyFill="1" applyBorder="1" applyProtection="1">
      <alignment vertical="center"/>
      <protection locked="0" hidden="1"/>
    </xf>
    <xf numFmtId="0" fontId="0" fillId="2" borderId="7" xfId="0" applyNumberFormat="1" applyFill="1" applyBorder="1" applyProtection="1">
      <alignment vertical="center"/>
      <protection locked="0" hidden="1"/>
    </xf>
    <xf numFmtId="0" fontId="0" fillId="2" borderId="18" xfId="0" applyNumberFormat="1" applyFill="1" applyBorder="1" applyProtection="1">
      <alignment vertical="center"/>
      <protection locked="0" hidden="1"/>
    </xf>
    <xf numFmtId="0" fontId="0" fillId="2" borderId="15" xfId="0" applyFill="1" applyBorder="1" applyProtection="1">
      <alignment vertical="center"/>
      <protection locked="0" hidden="1"/>
    </xf>
    <xf numFmtId="49" fontId="0" fillId="2" borderId="18" xfId="0" applyNumberFormat="1" applyFill="1" applyBorder="1" applyProtection="1">
      <alignment vertical="center"/>
      <protection locked="0" hidden="1"/>
    </xf>
    <xf numFmtId="49" fontId="0" fillId="2" borderId="19" xfId="0" applyNumberFormat="1" applyFill="1" applyBorder="1" applyProtection="1">
      <alignment vertical="center"/>
      <protection locked="0" hidden="1"/>
    </xf>
    <xf numFmtId="49" fontId="0" fillId="2" borderId="20" xfId="0" applyNumberFormat="1" applyFill="1" applyBorder="1" applyProtection="1">
      <alignment vertical="center"/>
      <protection locked="0" hidden="1"/>
    </xf>
    <xf numFmtId="0" fontId="0" fillId="0" borderId="13" xfId="0" applyBorder="1" applyProtection="1">
      <alignment vertical="center"/>
      <protection locked="0" hidden="1"/>
    </xf>
    <xf numFmtId="0" fontId="0" fillId="0" borderId="14" xfId="0" applyBorder="1" applyProtection="1">
      <alignment vertical="center"/>
      <protection locked="0" hidden="1"/>
    </xf>
    <xf numFmtId="14" fontId="0" fillId="0" borderId="2" xfId="0" applyNumberFormat="1" applyBorder="1" applyProtection="1">
      <alignment vertical="center"/>
      <protection locked="0" hidden="1"/>
    </xf>
    <xf numFmtId="41" fontId="0" fillId="0" borderId="1" xfId="0" applyNumberFormat="1" applyBorder="1" applyProtection="1">
      <alignment vertical="center"/>
      <protection locked="0" hidden="1"/>
    </xf>
    <xf numFmtId="0" fontId="0" fillId="0" borderId="8" xfId="0" applyNumberFormat="1" applyFill="1" applyBorder="1" applyProtection="1">
      <alignment vertical="center"/>
      <protection locked="0" hidden="1"/>
    </xf>
    <xf numFmtId="49" fontId="0" fillId="0" borderId="9" xfId="0" applyNumberFormat="1" applyFill="1" applyBorder="1" applyProtection="1">
      <alignment vertical="center"/>
      <protection locked="0" hidden="1"/>
    </xf>
    <xf numFmtId="49" fontId="0" fillId="0" borderId="19" xfId="0" applyNumberFormat="1" applyFill="1" applyBorder="1" applyProtection="1">
      <alignment vertical="center"/>
      <protection locked="0" hidden="1"/>
    </xf>
    <xf numFmtId="0" fontId="0" fillId="0" borderId="10" xfId="0" applyNumberFormat="1" applyFill="1" applyBorder="1" applyProtection="1">
      <alignment vertical="center"/>
      <protection locked="0" hidden="1"/>
    </xf>
    <xf numFmtId="49" fontId="0" fillId="0" borderId="11" xfId="0" applyNumberFormat="1" applyFill="1" applyBorder="1" applyProtection="1">
      <alignment vertical="center"/>
      <protection locked="0" hidden="1"/>
    </xf>
    <xf numFmtId="49" fontId="0" fillId="0" borderId="20" xfId="0" applyNumberFormat="1" applyFill="1" applyBorder="1" applyProtection="1">
      <alignment vertical="center"/>
      <protection locked="0" hidden="1"/>
    </xf>
    <xf numFmtId="49" fontId="0" fillId="0" borderId="16" xfId="0" applyNumberFormat="1" applyFill="1" applyBorder="1" applyProtection="1">
      <alignment vertical="center"/>
      <protection locked="0" hidden="1"/>
    </xf>
    <xf numFmtId="49" fontId="0" fillId="0" borderId="17" xfId="0" applyNumberFormat="1" applyFill="1" applyBorder="1" applyProtection="1">
      <alignment vertical="center"/>
      <protection locked="0" hidden="1"/>
    </xf>
    <xf numFmtId="0" fontId="0" fillId="0" borderId="0" xfId="0" applyFill="1" applyProtection="1">
      <alignment vertical="center"/>
      <protection locked="0" hidden="1"/>
    </xf>
    <xf numFmtId="0" fontId="5" fillId="0" borderId="0" xfId="0" applyFont="1" applyProtection="1">
      <alignment vertical="center"/>
      <protection hidden="1"/>
    </xf>
    <xf numFmtId="0" fontId="7" fillId="0" borderId="0" xfId="0" applyFont="1" applyProtection="1">
      <alignment vertical="center"/>
      <protection locked="0" hidden="1"/>
    </xf>
    <xf numFmtId="0" fontId="8" fillId="0" borderId="0" xfId="0" applyFont="1" applyProtection="1">
      <alignment vertical="center"/>
      <protection hidden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993300"/>
      <color rgb="FFFFFFCC"/>
    </mruColors>
  </colors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x2.h2Zb</stp>
        <stp>79</stp>
        <stp>794616</stp>
        <tr r="BN6" s="1"/>
      </tp>
      <tp>
        <v>0</v>
        <stp/>
        <stp>H</stp>
        <stp>x1.h2Zb</stp>
        <stp>78</stp>
        <stp>794616</stp>
        <tr r="CC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채권투자자현황!$H$7</c:f>
              <c:strCache>
                <c:ptCount val="1"/>
                <c:pt idx="0">
                  <c:v>전체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채권투자자현황!$H$8:$H$28</c:f>
              <c:numCache>
                <c:formatCode>_-* #,##0_-;\-* #,##0_-;_-* "-"_-;_-@_-</c:formatCode>
                <c:ptCount val="21"/>
                <c:pt idx="0">
                  <c:v>327741667</c:v>
                </c:pt>
                <c:pt idx="1">
                  <c:v>2286076037</c:v>
                </c:pt>
                <c:pt idx="2">
                  <c:v>1377670764</c:v>
                </c:pt>
                <c:pt idx="3">
                  <c:v>-490824378</c:v>
                </c:pt>
                <c:pt idx="4">
                  <c:v>-467588117</c:v>
                </c:pt>
                <c:pt idx="5">
                  <c:v>2205547156</c:v>
                </c:pt>
                <c:pt idx="6">
                  <c:v>1361681872</c:v>
                </c:pt>
                <c:pt idx="7">
                  <c:v>1546899632</c:v>
                </c:pt>
                <c:pt idx="8">
                  <c:v>387032527</c:v>
                </c:pt>
                <c:pt idx="9">
                  <c:v>1773898718</c:v>
                </c:pt>
                <c:pt idx="10">
                  <c:v>2238541580</c:v>
                </c:pt>
                <c:pt idx="11">
                  <c:v>2331363954</c:v>
                </c:pt>
                <c:pt idx="12">
                  <c:v>1618683704</c:v>
                </c:pt>
                <c:pt idx="13">
                  <c:v>1862283998</c:v>
                </c:pt>
                <c:pt idx="14">
                  <c:v>2391355862</c:v>
                </c:pt>
                <c:pt idx="15">
                  <c:v>956776357</c:v>
                </c:pt>
                <c:pt idx="16">
                  <c:v>1518831883</c:v>
                </c:pt>
                <c:pt idx="17">
                  <c:v>1442492938</c:v>
                </c:pt>
                <c:pt idx="18">
                  <c:v>2024266871</c:v>
                </c:pt>
                <c:pt idx="19">
                  <c:v>829539857</c:v>
                </c:pt>
                <c:pt idx="20">
                  <c:v>1320823246</c:v>
                </c:pt>
              </c:numCache>
            </c:numRef>
          </c:val>
        </c:ser>
        <c:ser>
          <c:idx val="1"/>
          <c:order val="1"/>
          <c:tx>
            <c:strRef>
              <c:f>채권투자자현황!$I$7</c:f>
              <c:strCache>
                <c:ptCount val="1"/>
                <c:pt idx="0">
                  <c:v>증권사</c:v>
                </c:pt>
              </c:strCache>
            </c:strRef>
          </c:tx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채권투자자현황!$I$8:$I$28</c:f>
              <c:numCache>
                <c:formatCode>_-* #,##0_-;\-* #,##0_-;_-* "-"_-;_-@_-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채권투자자현황!$J$7</c:f>
              <c:strCache>
                <c:ptCount val="1"/>
                <c:pt idx="0">
                  <c:v>은행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채권투자자현황!$J$8:$J$28</c:f>
              <c:numCache>
                <c:formatCode>_-* #,##0_-;\-* #,##0_-;_-* "-"_-;_-@_-</c:formatCode>
                <c:ptCount val="21"/>
                <c:pt idx="0">
                  <c:v>-772574130</c:v>
                </c:pt>
                <c:pt idx="1">
                  <c:v>222462650</c:v>
                </c:pt>
                <c:pt idx="2">
                  <c:v>-764071745</c:v>
                </c:pt>
                <c:pt idx="3">
                  <c:v>-1017210270</c:v>
                </c:pt>
                <c:pt idx="4">
                  <c:v>-363642925</c:v>
                </c:pt>
                <c:pt idx="5">
                  <c:v>245070885</c:v>
                </c:pt>
                <c:pt idx="6">
                  <c:v>-2571095</c:v>
                </c:pt>
                <c:pt idx="7">
                  <c:v>156146175</c:v>
                </c:pt>
                <c:pt idx="8">
                  <c:v>-652883140</c:v>
                </c:pt>
                <c:pt idx="9">
                  <c:v>302088365</c:v>
                </c:pt>
                <c:pt idx="10">
                  <c:v>1252638895</c:v>
                </c:pt>
                <c:pt idx="11">
                  <c:v>296068115</c:v>
                </c:pt>
                <c:pt idx="12">
                  <c:v>278465270</c:v>
                </c:pt>
                <c:pt idx="13">
                  <c:v>379104800</c:v>
                </c:pt>
                <c:pt idx="14">
                  <c:v>584028505</c:v>
                </c:pt>
                <c:pt idx="15">
                  <c:v>265818745</c:v>
                </c:pt>
                <c:pt idx="16">
                  <c:v>-142566740</c:v>
                </c:pt>
                <c:pt idx="17">
                  <c:v>-311429075</c:v>
                </c:pt>
                <c:pt idx="18">
                  <c:v>-316219410</c:v>
                </c:pt>
                <c:pt idx="19">
                  <c:v>477439600</c:v>
                </c:pt>
                <c:pt idx="20">
                  <c:v>-3688415</c:v>
                </c:pt>
              </c:numCache>
            </c:numRef>
          </c:val>
        </c:ser>
        <c:ser>
          <c:idx val="3"/>
          <c:order val="3"/>
          <c:tx>
            <c:strRef>
              <c:f>채권투자자현황!$K$7</c:f>
              <c:strCache>
                <c:ptCount val="1"/>
                <c:pt idx="0">
                  <c:v>보험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채권투자자현황!$K$8:$K$28</c:f>
              <c:numCache>
                <c:formatCode>_-* #,##0_-;\-* #,##0_-;_-* "-"_-;_-@_-</c:formatCode>
                <c:ptCount val="21"/>
                <c:pt idx="0">
                  <c:v>-65331237</c:v>
                </c:pt>
                <c:pt idx="1">
                  <c:v>482031043</c:v>
                </c:pt>
                <c:pt idx="2">
                  <c:v>99582000</c:v>
                </c:pt>
                <c:pt idx="3">
                  <c:v>-4123610</c:v>
                </c:pt>
                <c:pt idx="4">
                  <c:v>354033000</c:v>
                </c:pt>
                <c:pt idx="5">
                  <c:v>679070000</c:v>
                </c:pt>
                <c:pt idx="6">
                  <c:v>55831000</c:v>
                </c:pt>
                <c:pt idx="7">
                  <c:v>623465780</c:v>
                </c:pt>
                <c:pt idx="8">
                  <c:v>-111104000</c:v>
                </c:pt>
                <c:pt idx="9">
                  <c:v>20837226</c:v>
                </c:pt>
                <c:pt idx="10">
                  <c:v>211400000</c:v>
                </c:pt>
                <c:pt idx="11">
                  <c:v>99572720</c:v>
                </c:pt>
                <c:pt idx="12">
                  <c:v>218250770</c:v>
                </c:pt>
                <c:pt idx="13">
                  <c:v>-161653996</c:v>
                </c:pt>
                <c:pt idx="14">
                  <c:v>628455587</c:v>
                </c:pt>
                <c:pt idx="15">
                  <c:v>82150000</c:v>
                </c:pt>
                <c:pt idx="16">
                  <c:v>-178041000</c:v>
                </c:pt>
                <c:pt idx="17">
                  <c:v>265142000</c:v>
                </c:pt>
                <c:pt idx="18">
                  <c:v>421992880</c:v>
                </c:pt>
                <c:pt idx="19">
                  <c:v>-58549000</c:v>
                </c:pt>
                <c:pt idx="20">
                  <c:v>152640000</c:v>
                </c:pt>
              </c:numCache>
            </c:numRef>
          </c:val>
        </c:ser>
        <c:ser>
          <c:idx val="4"/>
          <c:order val="4"/>
          <c:tx>
            <c:strRef>
              <c:f>채권투자자현황!$L$7</c:f>
              <c:strCache>
                <c:ptCount val="1"/>
                <c:pt idx="0">
                  <c:v>투신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채권투자자현황!$L$8:$L$28</c:f>
              <c:numCache>
                <c:formatCode>_-* #,##0_-;\-* #,##0_-;_-* "-"_-;_-@_-</c:formatCode>
                <c:ptCount val="21"/>
                <c:pt idx="0">
                  <c:v>1776606900</c:v>
                </c:pt>
                <c:pt idx="1">
                  <c:v>847781506</c:v>
                </c:pt>
                <c:pt idx="2">
                  <c:v>1555486220</c:v>
                </c:pt>
                <c:pt idx="3">
                  <c:v>1472856680</c:v>
                </c:pt>
                <c:pt idx="4">
                  <c:v>652968290</c:v>
                </c:pt>
                <c:pt idx="5">
                  <c:v>539591020</c:v>
                </c:pt>
                <c:pt idx="6">
                  <c:v>1217983204</c:v>
                </c:pt>
                <c:pt idx="7">
                  <c:v>1113414960</c:v>
                </c:pt>
                <c:pt idx="8">
                  <c:v>1554623600</c:v>
                </c:pt>
                <c:pt idx="9">
                  <c:v>1374872000</c:v>
                </c:pt>
                <c:pt idx="10">
                  <c:v>324821000</c:v>
                </c:pt>
                <c:pt idx="11">
                  <c:v>1364927280</c:v>
                </c:pt>
                <c:pt idx="12">
                  <c:v>1183175000</c:v>
                </c:pt>
                <c:pt idx="13">
                  <c:v>1500675000</c:v>
                </c:pt>
                <c:pt idx="14">
                  <c:v>242220000</c:v>
                </c:pt>
                <c:pt idx="15">
                  <c:v>431472720</c:v>
                </c:pt>
                <c:pt idx="16">
                  <c:v>2224261000</c:v>
                </c:pt>
                <c:pt idx="17">
                  <c:v>1207013890</c:v>
                </c:pt>
                <c:pt idx="18">
                  <c:v>1219632380</c:v>
                </c:pt>
                <c:pt idx="19">
                  <c:v>503230000</c:v>
                </c:pt>
                <c:pt idx="20">
                  <c:v>461261000</c:v>
                </c:pt>
              </c:numCache>
            </c:numRef>
          </c:val>
        </c:ser>
        <c:ser>
          <c:idx val="5"/>
          <c:order val="5"/>
          <c:tx>
            <c:strRef>
              <c:f>채권투자자현황!$M$7</c:f>
              <c:strCache>
                <c:ptCount val="1"/>
                <c:pt idx="0">
                  <c:v>종금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채권투자자현황!$M$8:$M$28</c:f>
              <c:numCache>
                <c:formatCode>_-* #,##0_-;\-* #,##0_-;_-* "-"_-;_-@_-</c:formatCode>
                <c:ptCount val="21"/>
                <c:pt idx="0">
                  <c:v>-7436544</c:v>
                </c:pt>
                <c:pt idx="1">
                  <c:v>32185030</c:v>
                </c:pt>
                <c:pt idx="2">
                  <c:v>36032773</c:v>
                </c:pt>
                <c:pt idx="3">
                  <c:v>-27157739</c:v>
                </c:pt>
                <c:pt idx="4">
                  <c:v>51487320</c:v>
                </c:pt>
                <c:pt idx="5">
                  <c:v>90939720</c:v>
                </c:pt>
                <c:pt idx="6">
                  <c:v>-15130000</c:v>
                </c:pt>
                <c:pt idx="7">
                  <c:v>-55454840</c:v>
                </c:pt>
                <c:pt idx="8">
                  <c:v>-25700250</c:v>
                </c:pt>
                <c:pt idx="9">
                  <c:v>43200000</c:v>
                </c:pt>
                <c:pt idx="10">
                  <c:v>51600000</c:v>
                </c:pt>
                <c:pt idx="11">
                  <c:v>3380000</c:v>
                </c:pt>
                <c:pt idx="12">
                  <c:v>-16150000</c:v>
                </c:pt>
                <c:pt idx="13">
                  <c:v>62000000</c:v>
                </c:pt>
                <c:pt idx="14">
                  <c:v>21600000</c:v>
                </c:pt>
                <c:pt idx="15">
                  <c:v>-4318376</c:v>
                </c:pt>
                <c:pt idx="16">
                  <c:v>-56018654</c:v>
                </c:pt>
                <c:pt idx="17">
                  <c:v>-91800000</c:v>
                </c:pt>
                <c:pt idx="18">
                  <c:v>207000000</c:v>
                </c:pt>
                <c:pt idx="19">
                  <c:v>-33540020</c:v>
                </c:pt>
                <c:pt idx="20">
                  <c:v>-28429866</c:v>
                </c:pt>
              </c:numCache>
            </c:numRef>
          </c:val>
        </c:ser>
        <c:ser>
          <c:idx val="6"/>
          <c:order val="6"/>
          <c:tx>
            <c:strRef>
              <c:f>채권투자자현황!$N$7</c:f>
              <c:strCache>
                <c:ptCount val="1"/>
                <c:pt idx="0">
                  <c:v>기금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채권투자자현황!$N$8:$N$28</c:f>
              <c:numCache>
                <c:formatCode>_-* #,##0_-;\-* #,##0_-;_-* "-"_-;_-@_-</c:formatCode>
                <c:ptCount val="21"/>
                <c:pt idx="0">
                  <c:v>-350700000</c:v>
                </c:pt>
                <c:pt idx="1">
                  <c:v>716650000</c:v>
                </c:pt>
                <c:pt idx="2">
                  <c:v>832570000</c:v>
                </c:pt>
                <c:pt idx="3">
                  <c:v>-249095000</c:v>
                </c:pt>
                <c:pt idx="4">
                  <c:v>435590000</c:v>
                </c:pt>
                <c:pt idx="5">
                  <c:v>617550000</c:v>
                </c:pt>
                <c:pt idx="6">
                  <c:v>69200000</c:v>
                </c:pt>
                <c:pt idx="7">
                  <c:v>66610000</c:v>
                </c:pt>
                <c:pt idx="8">
                  <c:v>-136605487</c:v>
                </c:pt>
                <c:pt idx="9">
                  <c:v>-148926400</c:v>
                </c:pt>
                <c:pt idx="10">
                  <c:v>308900000</c:v>
                </c:pt>
                <c:pt idx="11">
                  <c:v>525800000</c:v>
                </c:pt>
                <c:pt idx="12">
                  <c:v>-93400000</c:v>
                </c:pt>
                <c:pt idx="13">
                  <c:v>13900000</c:v>
                </c:pt>
                <c:pt idx="14">
                  <c:v>784300000</c:v>
                </c:pt>
                <c:pt idx="15">
                  <c:v>76100000</c:v>
                </c:pt>
                <c:pt idx="16">
                  <c:v>-307800000</c:v>
                </c:pt>
                <c:pt idx="17">
                  <c:v>301300000</c:v>
                </c:pt>
                <c:pt idx="18">
                  <c:v>540009270</c:v>
                </c:pt>
                <c:pt idx="19">
                  <c:v>62120000</c:v>
                </c:pt>
                <c:pt idx="20">
                  <c:v>131000000</c:v>
                </c:pt>
              </c:numCache>
            </c:numRef>
          </c:val>
        </c:ser>
        <c:ser>
          <c:idx val="7"/>
          <c:order val="7"/>
          <c:tx>
            <c:strRef>
              <c:f>채권투자자현황!$O$7</c:f>
              <c:strCache>
                <c:ptCount val="1"/>
                <c:pt idx="0">
                  <c:v>외국인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채권투자자현황!$O$8:$O$28</c:f>
              <c:numCache>
                <c:formatCode>_-* #,##0_-;\-* #,##0_-;_-* "-"_-;_-@_-</c:formatCode>
                <c:ptCount val="21"/>
                <c:pt idx="0">
                  <c:v>-290633980</c:v>
                </c:pt>
                <c:pt idx="1">
                  <c:v>4107800</c:v>
                </c:pt>
                <c:pt idx="2">
                  <c:v>-421911644</c:v>
                </c:pt>
                <c:pt idx="3">
                  <c:v>-779693300</c:v>
                </c:pt>
                <c:pt idx="4">
                  <c:v>-1529045580</c:v>
                </c:pt>
                <c:pt idx="5">
                  <c:v>-66642920</c:v>
                </c:pt>
                <c:pt idx="6">
                  <c:v>45582160</c:v>
                </c:pt>
                <c:pt idx="7">
                  <c:v>-408174200</c:v>
                </c:pt>
                <c:pt idx="8">
                  <c:v>-157716410</c:v>
                </c:pt>
                <c:pt idx="9">
                  <c:v>91607400</c:v>
                </c:pt>
                <c:pt idx="10">
                  <c:v>23600000</c:v>
                </c:pt>
                <c:pt idx="11">
                  <c:v>2013700</c:v>
                </c:pt>
                <c:pt idx="12">
                  <c:v>-79422640</c:v>
                </c:pt>
                <c:pt idx="13">
                  <c:v>30783610</c:v>
                </c:pt>
                <c:pt idx="14">
                  <c:v>-23502310</c:v>
                </c:pt>
                <c:pt idx="15">
                  <c:v>-50554690</c:v>
                </c:pt>
                <c:pt idx="16">
                  <c:v>-10544800</c:v>
                </c:pt>
                <c:pt idx="17">
                  <c:v>-55175250</c:v>
                </c:pt>
                <c:pt idx="18">
                  <c:v>-28254350</c:v>
                </c:pt>
                <c:pt idx="19">
                  <c:v>-118146440</c:v>
                </c:pt>
                <c:pt idx="20">
                  <c:v>359930200</c:v>
                </c:pt>
              </c:numCache>
            </c:numRef>
          </c:val>
        </c:ser>
        <c:ser>
          <c:idx val="8"/>
          <c:order val="8"/>
          <c:tx>
            <c:strRef>
              <c:f>채권투자자현황!$P$7</c:f>
              <c:strCache>
                <c:ptCount val="1"/>
                <c:pt idx="0">
                  <c:v>외인기타</c:v>
                </c:pt>
              </c:strCache>
            </c:strRef>
          </c:tx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채권투자자현황!$P$8:$P$28</c:f>
              <c:numCache>
                <c:formatCode>_-* #,##0_-;\-* #,##0_-;_-* "-"_-;_-@_-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9"/>
          <c:order val="9"/>
          <c:tx>
            <c:strRef>
              <c:f>채권투자자현황!$Q$7</c:f>
              <c:strCache>
                <c:ptCount val="1"/>
                <c:pt idx="0">
                  <c:v>기타법인</c:v>
                </c:pt>
              </c:strCache>
            </c:strRef>
          </c:tx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채권투자자현황!$Q$8:$Q$28</c:f>
              <c:numCache>
                <c:formatCode>_-* #,##0_-;\-* #,##0_-;_-* "-"_-;_-@_-</c:formatCode>
                <c:ptCount val="21"/>
                <c:pt idx="0">
                  <c:v>56044814</c:v>
                </c:pt>
                <c:pt idx="1">
                  <c:v>-6486573</c:v>
                </c:pt>
                <c:pt idx="2">
                  <c:v>-43356049</c:v>
                </c:pt>
                <c:pt idx="3">
                  <c:v>12730122</c:v>
                </c:pt>
                <c:pt idx="4">
                  <c:v>-4204246</c:v>
                </c:pt>
                <c:pt idx="5">
                  <c:v>68116778</c:v>
                </c:pt>
                <c:pt idx="6">
                  <c:v>-17973805</c:v>
                </c:pt>
                <c:pt idx="7">
                  <c:v>33847491</c:v>
                </c:pt>
                <c:pt idx="8">
                  <c:v>-32884139</c:v>
                </c:pt>
                <c:pt idx="9">
                  <c:v>-20199841</c:v>
                </c:pt>
                <c:pt idx="10">
                  <c:v>24814646</c:v>
                </c:pt>
                <c:pt idx="11">
                  <c:v>51295614</c:v>
                </c:pt>
                <c:pt idx="12">
                  <c:v>55195152</c:v>
                </c:pt>
                <c:pt idx="13">
                  <c:v>-3540195</c:v>
                </c:pt>
                <c:pt idx="14">
                  <c:v>6416567</c:v>
                </c:pt>
                <c:pt idx="15">
                  <c:v>148143149</c:v>
                </c:pt>
                <c:pt idx="16">
                  <c:v>-77214497</c:v>
                </c:pt>
                <c:pt idx="17">
                  <c:v>75078539</c:v>
                </c:pt>
                <c:pt idx="18">
                  <c:v>-14944269</c:v>
                </c:pt>
                <c:pt idx="19">
                  <c:v>5843922</c:v>
                </c:pt>
                <c:pt idx="20">
                  <c:v>-14644880</c:v>
                </c:pt>
              </c:numCache>
            </c:numRef>
          </c:val>
        </c:ser>
        <c:ser>
          <c:idx val="10"/>
          <c:order val="10"/>
          <c:tx>
            <c:strRef>
              <c:f>채권투자자현황!$R$7</c:f>
              <c:strCache>
                <c:ptCount val="1"/>
                <c:pt idx="0">
                  <c:v>개인</c:v>
                </c:pt>
              </c:strCache>
            </c:strRef>
          </c:tx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채권투자자현황!$R$8:$R$28</c:f>
              <c:numCache>
                <c:formatCode>_-* #,##0_-;\-* #,##0_-;_-* "-"_-;_-@_-</c:formatCode>
                <c:ptCount val="21"/>
                <c:pt idx="0">
                  <c:v>565844</c:v>
                </c:pt>
                <c:pt idx="1">
                  <c:v>-2555419</c:v>
                </c:pt>
                <c:pt idx="2">
                  <c:v>4239209</c:v>
                </c:pt>
                <c:pt idx="3">
                  <c:v>2099908</c:v>
                </c:pt>
                <c:pt idx="4">
                  <c:v>2226024</c:v>
                </c:pt>
                <c:pt idx="5">
                  <c:v>4851673</c:v>
                </c:pt>
                <c:pt idx="6">
                  <c:v>7560408</c:v>
                </c:pt>
                <c:pt idx="7">
                  <c:v>1744266</c:v>
                </c:pt>
                <c:pt idx="8">
                  <c:v>-1021699</c:v>
                </c:pt>
                <c:pt idx="9">
                  <c:v>2319968</c:v>
                </c:pt>
                <c:pt idx="10">
                  <c:v>3787252</c:v>
                </c:pt>
                <c:pt idx="11">
                  <c:v>5116525</c:v>
                </c:pt>
                <c:pt idx="12">
                  <c:v>2070152</c:v>
                </c:pt>
                <c:pt idx="13">
                  <c:v>3136363</c:v>
                </c:pt>
                <c:pt idx="14">
                  <c:v>10337513</c:v>
                </c:pt>
                <c:pt idx="15">
                  <c:v>4564809</c:v>
                </c:pt>
                <c:pt idx="16">
                  <c:v>1558338</c:v>
                </c:pt>
                <c:pt idx="17">
                  <c:v>7382158</c:v>
                </c:pt>
                <c:pt idx="18">
                  <c:v>4602540</c:v>
                </c:pt>
                <c:pt idx="19">
                  <c:v>6989183</c:v>
                </c:pt>
                <c:pt idx="20">
                  <c:v>3755207</c:v>
                </c:pt>
              </c:numCache>
            </c:numRef>
          </c:val>
        </c:ser>
        <c:ser>
          <c:idx val="11"/>
          <c:order val="11"/>
          <c:tx>
            <c:strRef>
              <c:f>채권투자자현황!$S$7</c:f>
              <c:strCache>
                <c:ptCount val="1"/>
                <c:pt idx="0">
                  <c:v>정부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채권투자자현황!$S$8:$S$28</c:f>
              <c:numCache>
                <c:formatCode>_-* #,##0_-;\-* #,##0_-;_-* "-"_-;_-@_-</c:formatCode>
                <c:ptCount val="21"/>
                <c:pt idx="0">
                  <c:v>-24800000</c:v>
                </c:pt>
                <c:pt idx="1">
                  <c:v>-3100000</c:v>
                </c:pt>
                <c:pt idx="2">
                  <c:v>37100000</c:v>
                </c:pt>
                <c:pt idx="3">
                  <c:v>83968831</c:v>
                </c:pt>
                <c:pt idx="4">
                  <c:v>-77000000</c:v>
                </c:pt>
                <c:pt idx="5">
                  <c:v>17000000</c:v>
                </c:pt>
                <c:pt idx="6">
                  <c:v>54700000</c:v>
                </c:pt>
                <c:pt idx="7">
                  <c:v>-15100000</c:v>
                </c:pt>
                <c:pt idx="8">
                  <c:v>-28675948</c:v>
                </c:pt>
                <c:pt idx="9">
                  <c:v>73100000</c:v>
                </c:pt>
                <c:pt idx="10">
                  <c:v>36979787</c:v>
                </c:pt>
                <c:pt idx="11">
                  <c:v>-31800000</c:v>
                </c:pt>
                <c:pt idx="12">
                  <c:v>87500000</c:v>
                </c:pt>
                <c:pt idx="13">
                  <c:v>27878416</c:v>
                </c:pt>
                <c:pt idx="14">
                  <c:v>150500000</c:v>
                </c:pt>
                <c:pt idx="15">
                  <c:v>73000000</c:v>
                </c:pt>
                <c:pt idx="16">
                  <c:v>69198236</c:v>
                </c:pt>
                <c:pt idx="17">
                  <c:v>24980676</c:v>
                </c:pt>
                <c:pt idx="18">
                  <c:v>-7552170</c:v>
                </c:pt>
                <c:pt idx="19">
                  <c:v>-5847388</c:v>
                </c:pt>
                <c:pt idx="20">
                  <c:v>257000000</c:v>
                </c:pt>
              </c:numCache>
            </c:numRef>
          </c:val>
        </c:ser>
        <c:ser>
          <c:idx val="12"/>
          <c:order val="12"/>
          <c:tx>
            <c:strRef>
              <c:f>채권투자자현황!$T$7</c:f>
              <c:strCache>
                <c:ptCount val="1"/>
                <c:pt idx="0">
                  <c:v>사모펀드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채권투자자현황!$G$8:$G$28</c:f>
              <c:numCache>
                <c:formatCode>yyyy/mm/dd</c:formatCode>
                <c:ptCount val="21"/>
                <c:pt idx="0">
                  <c:v>42416</c:v>
                </c:pt>
                <c:pt idx="1">
                  <c:v>42415</c:v>
                </c:pt>
                <c:pt idx="2">
                  <c:v>42412</c:v>
                </c:pt>
                <c:pt idx="3">
                  <c:v>42411</c:v>
                </c:pt>
                <c:pt idx="4">
                  <c:v>42405</c:v>
                </c:pt>
                <c:pt idx="5">
                  <c:v>42404</c:v>
                </c:pt>
                <c:pt idx="6">
                  <c:v>42403</c:v>
                </c:pt>
                <c:pt idx="7">
                  <c:v>42402</c:v>
                </c:pt>
                <c:pt idx="8">
                  <c:v>42401</c:v>
                </c:pt>
                <c:pt idx="9">
                  <c:v>42398</c:v>
                </c:pt>
                <c:pt idx="10">
                  <c:v>42397</c:v>
                </c:pt>
                <c:pt idx="11">
                  <c:v>42396</c:v>
                </c:pt>
                <c:pt idx="12">
                  <c:v>42395</c:v>
                </c:pt>
                <c:pt idx="13">
                  <c:v>42394</c:v>
                </c:pt>
                <c:pt idx="14">
                  <c:v>42391</c:v>
                </c:pt>
                <c:pt idx="15">
                  <c:v>42390</c:v>
                </c:pt>
                <c:pt idx="16">
                  <c:v>42389</c:v>
                </c:pt>
                <c:pt idx="17">
                  <c:v>42388</c:v>
                </c:pt>
                <c:pt idx="18">
                  <c:v>42387</c:v>
                </c:pt>
                <c:pt idx="19">
                  <c:v>42384</c:v>
                </c:pt>
                <c:pt idx="20">
                  <c:v>42383</c:v>
                </c:pt>
              </c:numCache>
            </c:numRef>
          </c:cat>
          <c:val>
            <c:numRef>
              <c:f>채권투자자현황!$T$8:$T$28</c:f>
              <c:numCache>
                <c:formatCode>_-* #,##0_-;\-* #,##0_-;_-* "-"_-;_-@_-</c:formatCode>
                <c:ptCount val="21"/>
                <c:pt idx="0">
                  <c:v>6000000</c:v>
                </c:pt>
                <c:pt idx="1">
                  <c:v>-7000000</c:v>
                </c:pt>
                <c:pt idx="2">
                  <c:v>42000000</c:v>
                </c:pt>
                <c:pt idx="3">
                  <c:v>14800000</c:v>
                </c:pt>
                <c:pt idx="4">
                  <c:v>10000000</c:v>
                </c:pt>
                <c:pt idx="5">
                  <c:v>10000000</c:v>
                </c:pt>
                <c:pt idx="6">
                  <c:v>-53500000</c:v>
                </c:pt>
                <c:pt idx="7">
                  <c:v>30400000</c:v>
                </c:pt>
                <c:pt idx="8">
                  <c:v>-21000000</c:v>
                </c:pt>
                <c:pt idx="9">
                  <c:v>35000000</c:v>
                </c:pt>
                <c:pt idx="10">
                  <c:v>0</c:v>
                </c:pt>
                <c:pt idx="11">
                  <c:v>14990000</c:v>
                </c:pt>
                <c:pt idx="12">
                  <c:v>-17000000</c:v>
                </c:pt>
                <c:pt idx="13">
                  <c:v>10000000</c:v>
                </c:pt>
                <c:pt idx="14">
                  <c:v>-13000000</c:v>
                </c:pt>
                <c:pt idx="15">
                  <c:v>-69600000</c:v>
                </c:pt>
                <c:pt idx="16">
                  <c:v>-4000000</c:v>
                </c:pt>
                <c:pt idx="17">
                  <c:v>20000000</c:v>
                </c:pt>
                <c:pt idx="18">
                  <c:v>-2000000</c:v>
                </c:pt>
                <c:pt idx="19">
                  <c:v>-10000000</c:v>
                </c:pt>
                <c:pt idx="20">
                  <c:v>2000000</c:v>
                </c:pt>
              </c:numCache>
            </c:numRef>
          </c:val>
        </c:ser>
        <c:marker val="1"/>
        <c:axId val="116633984"/>
        <c:axId val="116635904"/>
      </c:lineChart>
      <c:dateAx>
        <c:axId val="116633984"/>
        <c:scaling>
          <c:orientation val="minMax"/>
        </c:scaling>
        <c:axPos val="b"/>
        <c:numFmt formatCode="yyyy/mm/dd" sourceLinked="1"/>
        <c:tickLblPos val="low"/>
        <c:txPr>
          <a:bodyPr rot="0"/>
          <a:lstStyle/>
          <a:p>
            <a:pPr>
              <a:defRPr sz="800"/>
            </a:pPr>
            <a:endParaRPr lang="ko-KR"/>
          </a:p>
        </c:txPr>
        <c:crossAx val="116635904"/>
        <c:crosses val="autoZero"/>
        <c:auto val="1"/>
        <c:lblOffset val="100"/>
      </c:dateAx>
      <c:valAx>
        <c:axId val="116635904"/>
        <c:scaling>
          <c:orientation val="minMax"/>
        </c:scaling>
        <c:axPos val="l"/>
        <c:numFmt formatCode="_-* #,##0_-;\-* #,##0_-;_-* &quot;-&quot;_-;_-@_-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6633984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/>
          </a:pPr>
          <a:endParaRPr lang="ko-KR"/>
        </a:p>
      </c:txPr>
    </c:legend>
    <c:plotVisOnly val="1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28</xdr:row>
      <xdr:rowOff>104775</xdr:rowOff>
    </xdr:from>
    <xdr:to>
      <xdr:col>20</xdr:col>
      <xdr:colOff>0</xdr:colOff>
      <xdr:row>44</xdr:row>
      <xdr:rowOff>104775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DE10007"/>
  <sheetViews>
    <sheetView showGridLines="0" tabSelected="1" zoomScaleNormal="100" workbookViewId="0">
      <selection activeCell="W12" sqref="W12"/>
    </sheetView>
  </sheetViews>
  <sheetFormatPr defaultRowHeight="13.5"/>
  <cols>
    <col min="1" max="1" width="2.85546875" style="1" customWidth="1"/>
    <col min="2" max="2" width="2.7109375" style="2" hidden="1" customWidth="1"/>
    <col min="3" max="3" width="13" style="2" hidden="1" customWidth="1"/>
    <col min="4" max="4" width="13.28515625" style="2" hidden="1" customWidth="1"/>
    <col min="5" max="5" width="3.140625" style="2" hidden="1" customWidth="1"/>
    <col min="6" max="6" width="3.28515625" style="1" customWidth="1"/>
    <col min="7" max="7" width="11.28515625" style="1" customWidth="1"/>
    <col min="8" max="20" width="13.7109375" style="1" customWidth="1"/>
    <col min="21" max="65" width="9.140625" style="1"/>
    <col min="66" max="66" width="11.7109375" style="3" hidden="1" customWidth="1"/>
    <col min="67" max="67" width="19.28515625" style="3" hidden="1" customWidth="1"/>
    <col min="68" max="68" width="9" style="3" hidden="1" customWidth="1"/>
    <col min="69" max="69" width="11.28515625" style="3" hidden="1" customWidth="1"/>
    <col min="70" max="80" width="0" style="3" hidden="1" customWidth="1"/>
    <col min="81" max="81" width="11.7109375" style="3" hidden="1" customWidth="1"/>
    <col min="82" max="82" width="19.28515625" style="3" hidden="1" customWidth="1"/>
    <col min="83" max="83" width="9" style="3" hidden="1" customWidth="1"/>
    <col min="84" max="84" width="11.28515625" style="3" hidden="1" customWidth="1"/>
    <col min="85" max="94" width="0" style="3" hidden="1" customWidth="1"/>
    <col min="95" max="95" width="11.28515625" style="3" hidden="1" customWidth="1"/>
    <col min="96" max="96" width="14.28515625" style="3" hidden="1" customWidth="1"/>
    <col min="97" max="105" width="11.85546875" style="3" hidden="1" customWidth="1"/>
    <col min="106" max="108" width="12.28515625" style="3" hidden="1" customWidth="1"/>
    <col min="109" max="109" width="0" style="3" hidden="1" customWidth="1"/>
    <col min="110" max="16384" width="9.140625" style="1"/>
  </cols>
  <sheetData>
    <row r="1" spans="2:108" ht="7.5" customHeight="1"/>
    <row r="2" spans="2:108" ht="16.5">
      <c r="G2" s="45" t="s">
        <v>83</v>
      </c>
    </row>
    <row r="3" spans="2:108" ht="5.25" customHeight="1">
      <c r="G3" s="2"/>
      <c r="H3" s="2"/>
      <c r="BN3" s="3" t="s">
        <v>47</v>
      </c>
      <c r="BO3" s="4">
        <f ca="1">H4</f>
        <v>42052</v>
      </c>
      <c r="BP3" s="3" t="s">
        <v>48</v>
      </c>
      <c r="BQ3" s="4">
        <f ca="1">J4</f>
        <v>42416</v>
      </c>
      <c r="BR3" s="3" t="s">
        <v>49</v>
      </c>
      <c r="BS3" s="3">
        <v>9999</v>
      </c>
      <c r="BT3" s="3" t="s">
        <v>50</v>
      </c>
      <c r="BU3" s="3" t="s">
        <v>51</v>
      </c>
      <c r="BV3" s="3" t="s">
        <v>52</v>
      </c>
      <c r="BW3" s="3" t="s">
        <v>53</v>
      </c>
      <c r="BX3" s="3" t="s">
        <v>54</v>
      </c>
      <c r="BY3" s="3">
        <v>0</v>
      </c>
      <c r="BZ3" s="3" t="s">
        <v>55</v>
      </c>
      <c r="CA3" s="3" t="s">
        <v>56</v>
      </c>
      <c r="CC3" s="3" t="s">
        <v>47</v>
      </c>
      <c r="CD3" s="4">
        <f ca="1">EDATE(TODAY()-1,-1)</f>
        <v>42385</v>
      </c>
      <c r="CE3" s="3" t="s">
        <v>48</v>
      </c>
      <c r="CF3" s="4">
        <f ca="1">TODAY()-1</f>
        <v>42416</v>
      </c>
      <c r="CG3" s="3" t="s">
        <v>49</v>
      </c>
      <c r="CH3" s="3">
        <v>9999</v>
      </c>
      <c r="CI3" s="3" t="s">
        <v>50</v>
      </c>
      <c r="CJ3" s="3" t="s">
        <v>51</v>
      </c>
      <c r="CK3" s="3" t="s">
        <v>52</v>
      </c>
      <c r="CL3" s="3" t="s">
        <v>53</v>
      </c>
      <c r="CM3" s="3" t="s">
        <v>54</v>
      </c>
      <c r="CN3" s="3">
        <v>0</v>
      </c>
      <c r="CO3" s="3" t="s">
        <v>55</v>
      </c>
      <c r="CP3" s="3" t="s">
        <v>56</v>
      </c>
    </row>
    <row r="4" spans="2:108" ht="16.5" customHeight="1">
      <c r="G4" s="5" t="s">
        <v>45</v>
      </c>
      <c r="H4" s="21">
        <f ca="1">TODAY()-365</f>
        <v>42052</v>
      </c>
      <c r="I4" s="5" t="s">
        <v>46</v>
      </c>
      <c r="J4" s="21">
        <f ca="1">TODAY()-1</f>
        <v>42416</v>
      </c>
    </row>
    <row r="5" spans="2:108" ht="4.5" customHeight="1" thickBot="1"/>
    <row r="6" spans="2:108" ht="14.25" hidden="1" thickBot="1">
      <c r="B6" s="1"/>
      <c r="G6" s="43"/>
      <c r="H6" s="44" t="str">
        <f t="shared" ref="H6:T6" si="0">H$7&amp;" "&amp;$C$15&amp;$C$20</f>
        <v>전체 순매수거래량</v>
      </c>
      <c r="I6" s="44" t="str">
        <f t="shared" si="0"/>
        <v>증권사 순매수거래량</v>
      </c>
      <c r="J6" s="44" t="str">
        <f t="shared" si="0"/>
        <v>은행 순매수거래량</v>
      </c>
      <c r="K6" s="44" t="str">
        <f t="shared" si="0"/>
        <v>보험 순매수거래량</v>
      </c>
      <c r="L6" s="44" t="str">
        <f t="shared" si="0"/>
        <v>투신 순매수거래량</v>
      </c>
      <c r="M6" s="44" t="str">
        <f t="shared" si="0"/>
        <v>종금 순매수거래량</v>
      </c>
      <c r="N6" s="44" t="str">
        <f t="shared" si="0"/>
        <v>기금 순매수거래량</v>
      </c>
      <c r="O6" s="44" t="str">
        <f t="shared" si="0"/>
        <v>외국인 순매수거래량</v>
      </c>
      <c r="P6" s="44" t="str">
        <f t="shared" si="0"/>
        <v>외인기타 순매수거래량</v>
      </c>
      <c r="Q6" s="44" t="str">
        <f t="shared" si="0"/>
        <v>기타법인 순매수거래량</v>
      </c>
      <c r="R6" s="44" t="str">
        <f t="shared" si="0"/>
        <v>개인 순매수거래량</v>
      </c>
      <c r="S6" s="44" t="str">
        <f t="shared" si="0"/>
        <v>정부 순매수거래량</v>
      </c>
      <c r="T6" s="44" t="str">
        <f t="shared" si="0"/>
        <v>사모펀드 순매수거래량</v>
      </c>
      <c r="U6" s="43"/>
      <c r="BN6" s="3" t="str">
        <f ca="1">_xll.IMDH("IR",$D$7,BN7:CA7,$BO$3,$BQ$3,$BS$3,"Per="&amp;$BU$3&amp;",sort="&amp;$BW$3&amp;",real=true,Bizday="&amp;$BY$3&amp;",Quote="&amp;$CA$3&amp;",Pos=20,Orient=V,Title=채권(장외) 투자주체별 거래 통계 (4556) 채권전체,DtFmt=1,TmFmt=1,unit=true")</f>
        <v>채권(장외) 투자주체별 거래 통계 (4556) 채권전체</v>
      </c>
      <c r="BQ6" s="4"/>
      <c r="CC6" s="3" t="str">
        <f ca="1">_xll.IMDH("IR",$D$7,CC7:CP7,$CD$3,$CF$3,$CH$3,"Per="&amp;$CJ$3&amp;",sort="&amp;$CL$3&amp;",real=true,Bizday="&amp;$CN$3&amp;",Quote="&amp;$CP$3&amp;",Pos=20,Orient=V,Title=채권(장외) 투자주체별 거래 통계 (4556) 채권전체,DtFmt=1,TmFmt=1,unit=true")</f>
        <v>채권(장외) 투자주체별 거래 통계 (4556) 채권전체</v>
      </c>
      <c r="CF6" s="4"/>
      <c r="CR6" s="3" t="s">
        <v>69</v>
      </c>
      <c r="CS6" s="3" t="s">
        <v>70</v>
      </c>
      <c r="CT6" s="3" t="s">
        <v>71</v>
      </c>
      <c r="CU6" s="3" t="s">
        <v>72</v>
      </c>
      <c r="CV6" s="3" t="s">
        <v>73</v>
      </c>
      <c r="CW6" s="3" t="s">
        <v>74</v>
      </c>
      <c r="CX6" s="3" t="s">
        <v>75</v>
      </c>
      <c r="CY6" s="3" t="s">
        <v>76</v>
      </c>
      <c r="DA6" s="3" t="s">
        <v>77</v>
      </c>
      <c r="DB6" s="3" t="s">
        <v>78</v>
      </c>
      <c r="DC6" s="3" t="s">
        <v>79</v>
      </c>
      <c r="DD6" s="3" t="s">
        <v>80</v>
      </c>
    </row>
    <row r="7" spans="2:108">
      <c r="B7" s="22">
        <v>2</v>
      </c>
      <c r="C7" s="24" t="str">
        <f>VLOOKUP($B$7,B8:D14,2,0)</f>
        <v>국채</v>
      </c>
      <c r="D7" s="25" t="str">
        <f>VLOOKUP($B$7,B8:D14,3,0)</f>
        <v>BNDINV0001</v>
      </c>
      <c r="E7" s="20">
        <v>0</v>
      </c>
      <c r="F7" s="6"/>
      <c r="G7" s="7" t="s">
        <v>43</v>
      </c>
      <c r="H7" s="8" t="s">
        <v>7</v>
      </c>
      <c r="I7" s="8" t="s">
        <v>27</v>
      </c>
      <c r="J7" s="8" t="s">
        <v>28</v>
      </c>
      <c r="K7" s="8" t="s">
        <v>29</v>
      </c>
      <c r="L7" s="8" t="s">
        <v>30</v>
      </c>
      <c r="M7" s="8" t="s">
        <v>31</v>
      </c>
      <c r="N7" s="8" t="s">
        <v>32</v>
      </c>
      <c r="O7" s="8" t="s">
        <v>33</v>
      </c>
      <c r="P7" s="8" t="s">
        <v>34</v>
      </c>
      <c r="Q7" s="8" t="s">
        <v>35</v>
      </c>
      <c r="R7" s="8" t="s">
        <v>36</v>
      </c>
      <c r="S7" s="8" t="s">
        <v>37</v>
      </c>
      <c r="T7" s="8" t="s">
        <v>38</v>
      </c>
      <c r="BN7" s="9" t="s">
        <v>81</v>
      </c>
      <c r="BO7" s="10" t="str">
        <f>H6</f>
        <v>전체 순매수거래량</v>
      </c>
      <c r="BP7" s="10" t="str">
        <f t="shared" ref="BP7:BX7" si="1">I6</f>
        <v>증권사 순매수거래량</v>
      </c>
      <c r="BQ7" s="10" t="str">
        <f t="shared" si="1"/>
        <v>은행 순매수거래량</v>
      </c>
      <c r="BR7" s="10" t="str">
        <f t="shared" si="1"/>
        <v>보험 순매수거래량</v>
      </c>
      <c r="BS7" s="10" t="str">
        <f t="shared" si="1"/>
        <v>투신 순매수거래량</v>
      </c>
      <c r="BT7" s="10" t="str">
        <f t="shared" si="1"/>
        <v>종금 순매수거래량</v>
      </c>
      <c r="BU7" s="10" t="str">
        <f t="shared" si="1"/>
        <v>기금 순매수거래량</v>
      </c>
      <c r="BV7" s="10" t="str">
        <f t="shared" si="1"/>
        <v>외국인 순매수거래량</v>
      </c>
      <c r="BW7" s="10" t="str">
        <f t="shared" si="1"/>
        <v>외인기타 순매수거래량</v>
      </c>
      <c r="BX7" s="10" t="str">
        <f t="shared" si="1"/>
        <v>기타법인 순매수거래량</v>
      </c>
      <c r="BY7" s="10" t="str">
        <f>R6</f>
        <v>개인 순매수거래량</v>
      </c>
      <c r="BZ7" s="10" t="str">
        <f t="shared" ref="BZ7:CA7" si="2">S6</f>
        <v>정부 순매수거래량</v>
      </c>
      <c r="CA7" s="10" t="str">
        <f t="shared" si="2"/>
        <v>사모펀드 순매수거래량</v>
      </c>
      <c r="CC7" s="9" t="s">
        <v>81</v>
      </c>
      <c r="CD7" s="10" t="s">
        <v>82</v>
      </c>
      <c r="CE7" s="10" t="s">
        <v>57</v>
      </c>
      <c r="CF7" s="10" t="s">
        <v>58</v>
      </c>
      <c r="CG7" s="10" t="s">
        <v>59</v>
      </c>
      <c r="CH7" s="10" t="s">
        <v>60</v>
      </c>
      <c r="CI7" s="10" t="s">
        <v>61</v>
      </c>
      <c r="CJ7" s="10" t="s">
        <v>62</v>
      </c>
      <c r="CK7" s="10" t="s">
        <v>63</v>
      </c>
      <c r="CL7" s="10" t="s">
        <v>64</v>
      </c>
      <c r="CM7" s="10" t="s">
        <v>65</v>
      </c>
      <c r="CN7" s="10" t="s">
        <v>66</v>
      </c>
      <c r="CO7" s="10" t="s">
        <v>67</v>
      </c>
      <c r="CP7" s="10" t="s">
        <v>68</v>
      </c>
      <c r="CQ7" s="11" t="s">
        <v>81</v>
      </c>
      <c r="CR7" s="10" t="s">
        <v>82</v>
      </c>
      <c r="CS7" s="10" t="s">
        <v>57</v>
      </c>
      <c r="CT7" s="10" t="s">
        <v>58</v>
      </c>
      <c r="CU7" s="10" t="s">
        <v>59</v>
      </c>
      <c r="CV7" s="10" t="s">
        <v>60</v>
      </c>
      <c r="CW7" s="10" t="s">
        <v>61</v>
      </c>
      <c r="CX7" s="10" t="s">
        <v>62</v>
      </c>
      <c r="CY7" s="10" t="s">
        <v>63</v>
      </c>
      <c r="CZ7" s="10" t="s">
        <v>64</v>
      </c>
      <c r="DA7" s="10" t="s">
        <v>65</v>
      </c>
      <c r="DB7" s="10" t="s">
        <v>66</v>
      </c>
      <c r="DC7" s="10" t="s">
        <v>67</v>
      </c>
      <c r="DD7" s="10" t="s">
        <v>68</v>
      </c>
    </row>
    <row r="8" spans="2:108">
      <c r="B8" s="34">
        <v>1</v>
      </c>
      <c r="C8" s="35" t="s">
        <v>7</v>
      </c>
      <c r="D8" s="36" t="s">
        <v>0</v>
      </c>
      <c r="E8" s="30">
        <f>E7+1</f>
        <v>1</v>
      </c>
      <c r="F8" s="12"/>
      <c r="G8" s="32">
        <f t="shared" ref="G8:G28" si="3">IF(INDEX(BN8:BN10000,1+$E$7,1)="","",INDEX(BN8:BN10000,1+$E$7,1))</f>
        <v>42416</v>
      </c>
      <c r="H8" s="33">
        <f t="shared" ref="H8:H28" si="4">INDEX(BO8:BO10000,1+$E$7,1)</f>
        <v>327741667</v>
      </c>
      <c r="I8" s="33">
        <f t="shared" ref="I8:I28" si="5">INDEX(BP8:BP10000,1+$E$7,1)</f>
        <v>0</v>
      </c>
      <c r="J8" s="13">
        <f t="shared" ref="J8:J28" si="6">INDEX(BQ8:BQ10000,1+$E$7,1)</f>
        <v>-772574130</v>
      </c>
      <c r="K8" s="33">
        <f t="shared" ref="K8:K28" si="7">INDEX(BR8:BR10000,1+$E$7,1)</f>
        <v>-65331237</v>
      </c>
      <c r="L8" s="33">
        <f t="shared" ref="L8:L28" si="8">INDEX(BS8:BS10000,1+$E$7,1)</f>
        <v>1776606900</v>
      </c>
      <c r="M8" s="33">
        <f t="shared" ref="M8:M28" si="9">INDEX(BT8:BT10000,1+$E$7,1)</f>
        <v>-7436544</v>
      </c>
      <c r="N8" s="33">
        <f t="shared" ref="N8:N28" si="10">INDEX(BU8:BU10000,1+$E$7,1)</f>
        <v>-350700000</v>
      </c>
      <c r="O8" s="33">
        <f t="shared" ref="O8:O28" si="11">INDEX(BV8:BV10000,1+$E$7,1)</f>
        <v>-290633980</v>
      </c>
      <c r="P8" s="33">
        <f t="shared" ref="P8:P28" si="12">INDEX(BW8:BW10000,1+$E$7,1)</f>
        <v>0</v>
      </c>
      <c r="Q8" s="33">
        <f t="shared" ref="Q8:Q28" si="13">INDEX(BX8:BX10000,1+$E$7,1)</f>
        <v>56044814</v>
      </c>
      <c r="R8" s="33">
        <f t="shared" ref="R8:R28" si="14">INDEX(BY8:BY10000,1+$E$7,1)</f>
        <v>565844</v>
      </c>
      <c r="S8" s="33">
        <f t="shared" ref="S8:S28" si="15">INDEX(BZ8:BZ10000,1+$E$7,1)</f>
        <v>-24800000</v>
      </c>
      <c r="T8" s="33">
        <f t="shared" ref="T8:T28" si="16">INDEX(CA8:CA10000,1+$E$7,1)</f>
        <v>6000000</v>
      </c>
      <c r="BN8" s="4">
        <v>42416</v>
      </c>
      <c r="BO8" s="14">
        <v>327741667</v>
      </c>
      <c r="BP8" s="3">
        <v>0</v>
      </c>
      <c r="BQ8" s="10">
        <v>-772574130</v>
      </c>
      <c r="BR8" s="3">
        <v>-65331237</v>
      </c>
      <c r="BS8" s="3">
        <v>1776606900</v>
      </c>
      <c r="BT8" s="3">
        <v>-7436544</v>
      </c>
      <c r="BU8" s="3">
        <v>-350700000</v>
      </c>
      <c r="BV8" s="3">
        <v>-290633980</v>
      </c>
      <c r="BW8" s="3">
        <v>0</v>
      </c>
      <c r="BX8" s="3">
        <v>56044814</v>
      </c>
      <c r="BY8" s="3">
        <v>565844</v>
      </c>
      <c r="BZ8" s="3">
        <v>-24800000</v>
      </c>
      <c r="CA8" s="3">
        <v>6000000</v>
      </c>
      <c r="CC8" s="4">
        <v>42416</v>
      </c>
      <c r="CD8" s="14">
        <v>327741667</v>
      </c>
      <c r="CE8" s="3">
        <v>0</v>
      </c>
      <c r="CF8" s="10">
        <v>-772574130</v>
      </c>
      <c r="CG8" s="3">
        <v>-65331237</v>
      </c>
      <c r="CH8" s="3">
        <v>1776606900</v>
      </c>
      <c r="CI8" s="3">
        <v>-7436544</v>
      </c>
      <c r="CJ8" s="3">
        <v>-350700000</v>
      </c>
      <c r="CK8" s="3">
        <v>-290633980</v>
      </c>
      <c r="CL8" s="3">
        <v>0</v>
      </c>
      <c r="CM8" s="3">
        <v>56044814</v>
      </c>
      <c r="CN8" s="3">
        <v>565844</v>
      </c>
      <c r="CO8" s="3">
        <v>-24800000</v>
      </c>
      <c r="CP8" s="3">
        <v>6000000</v>
      </c>
      <c r="CQ8" s="4">
        <f>CC8</f>
        <v>42416</v>
      </c>
      <c r="CR8" s="15">
        <f>IF(SUM($CD8:CD$31)=0,"",SUM($CD8:CD$31))</f>
        <v>26692733025</v>
      </c>
      <c r="CS8" s="15" t="str">
        <f>IF(SUM($CE8:CE$31)=0,"",SUM($CE8:CE$31))</f>
        <v/>
      </c>
      <c r="CT8" s="15">
        <f>IF(SUM($CF8:CF$31)=0,"",SUM($CF8:CF$31))</f>
        <v>-361276125</v>
      </c>
      <c r="CU8" s="15">
        <f>IF(SUM($CG8:CG$31)=0,"",SUM($CG8:CG$31))</f>
        <v>3721560163</v>
      </c>
      <c r="CV8" s="15">
        <f>IF(SUM($CH8:CH$31)=0,"",SUM($CH8:CH$31))</f>
        <v>21804382650</v>
      </c>
      <c r="CW8" s="15">
        <f>IF(SUM($CI8:CI$31)=0,"",SUM($CI8:CI$31))</f>
        <v>300258440</v>
      </c>
      <c r="CX8" s="15">
        <f>IF(SUM($CJ8:CJ$31)=0,"",SUM($CJ8:CJ$31))</f>
        <v>4001952383</v>
      </c>
      <c r="CY8" s="15">
        <f>IF(SUM($CK8:CK$31)=0,"",SUM($CK8:CK$31))</f>
        <v>-3703577404</v>
      </c>
      <c r="CZ8" s="15" t="str">
        <f>IF(SUM($CL8:CL$31)=0,"",SUM($CL8:CL$31))</f>
        <v/>
      </c>
      <c r="DA8" s="15">
        <f>IF(SUM($CM8:CM$31)=0,"",SUM($CM8:CM$31))</f>
        <v>310879258</v>
      </c>
      <c r="DB8" s="15">
        <f>IF(SUM($CN8:CN$31)=0,"",SUM($CN8:CN$31))</f>
        <v>64585832</v>
      </c>
      <c r="DC8" s="15">
        <f>IF(SUM($CO8:CO$31)=0,"",SUM($CO8:CO$31))</f>
        <v>547877828</v>
      </c>
      <c r="DD8" s="15">
        <f>IF(SUM($CP8:CP$31)=0,"",SUM($CP8:CP$31))</f>
        <v>6090000</v>
      </c>
    </row>
    <row r="9" spans="2:108">
      <c r="B9" s="34">
        <v>2</v>
      </c>
      <c r="C9" s="35" t="s">
        <v>44</v>
      </c>
      <c r="D9" s="36" t="s">
        <v>1</v>
      </c>
      <c r="E9" s="30">
        <f t="shared" ref="E9:E28" si="17">E8+1</f>
        <v>2</v>
      </c>
      <c r="F9" s="12"/>
      <c r="G9" s="32">
        <f t="shared" si="3"/>
        <v>42415</v>
      </c>
      <c r="H9" s="33">
        <f t="shared" si="4"/>
        <v>2286076037</v>
      </c>
      <c r="I9" s="33">
        <f t="shared" si="5"/>
        <v>0</v>
      </c>
      <c r="J9" s="33">
        <f t="shared" si="6"/>
        <v>222462650</v>
      </c>
      <c r="K9" s="33">
        <f t="shared" si="7"/>
        <v>482031043</v>
      </c>
      <c r="L9" s="33">
        <f t="shared" si="8"/>
        <v>847781506</v>
      </c>
      <c r="M9" s="33">
        <f t="shared" si="9"/>
        <v>32185030</v>
      </c>
      <c r="N9" s="33">
        <f t="shared" si="10"/>
        <v>716650000</v>
      </c>
      <c r="O9" s="33">
        <f t="shared" si="11"/>
        <v>4107800</v>
      </c>
      <c r="P9" s="33">
        <f t="shared" si="12"/>
        <v>0</v>
      </c>
      <c r="Q9" s="33">
        <f t="shared" si="13"/>
        <v>-6486573</v>
      </c>
      <c r="R9" s="33">
        <f t="shared" si="14"/>
        <v>-2555419</v>
      </c>
      <c r="S9" s="33">
        <f t="shared" si="15"/>
        <v>-3100000</v>
      </c>
      <c r="T9" s="33">
        <f t="shared" si="16"/>
        <v>-7000000</v>
      </c>
      <c r="BN9" s="4">
        <v>42415</v>
      </c>
      <c r="BO9" s="14">
        <v>2286076037</v>
      </c>
      <c r="BP9" s="3">
        <v>0</v>
      </c>
      <c r="BQ9" s="10">
        <v>222462650</v>
      </c>
      <c r="BR9" s="3">
        <v>482031043</v>
      </c>
      <c r="BS9" s="3">
        <v>847781506</v>
      </c>
      <c r="BT9" s="3">
        <v>32185030</v>
      </c>
      <c r="BU9" s="3">
        <v>716650000</v>
      </c>
      <c r="BV9" s="3">
        <v>4107800</v>
      </c>
      <c r="BW9" s="3">
        <v>0</v>
      </c>
      <c r="BX9" s="3">
        <v>-6486573</v>
      </c>
      <c r="BY9" s="3">
        <v>-2555419</v>
      </c>
      <c r="BZ9" s="3">
        <v>-3100000</v>
      </c>
      <c r="CA9" s="3">
        <v>-7000000</v>
      </c>
      <c r="CC9" s="4">
        <v>42415</v>
      </c>
      <c r="CD9" s="14">
        <v>2286076037</v>
      </c>
      <c r="CE9" s="3">
        <v>0</v>
      </c>
      <c r="CF9" s="10">
        <v>222462650</v>
      </c>
      <c r="CG9" s="3">
        <v>482031043</v>
      </c>
      <c r="CH9" s="3">
        <v>847781506</v>
      </c>
      <c r="CI9" s="3">
        <v>32185030</v>
      </c>
      <c r="CJ9" s="3">
        <v>716650000</v>
      </c>
      <c r="CK9" s="3">
        <v>4107800</v>
      </c>
      <c r="CL9" s="3">
        <v>0</v>
      </c>
      <c r="CM9" s="3">
        <v>-6486573</v>
      </c>
      <c r="CN9" s="3">
        <v>-2555419</v>
      </c>
      <c r="CO9" s="3">
        <v>-3100000</v>
      </c>
      <c r="CP9" s="3">
        <v>-7000000</v>
      </c>
      <c r="CQ9" s="4">
        <f t="shared" ref="CQ9:CQ30" si="18">IF(CC9="","",CC9)</f>
        <v>42415</v>
      </c>
      <c r="CR9" s="15">
        <f>IF(SUM($CD9:CD$31)=0,"",SUM($CD9:CD$31))</f>
        <v>26364991358</v>
      </c>
      <c r="CS9" s="15" t="str">
        <f>IF(SUM($CE9:CE$31)=0,"",SUM($CE9:CE$31))</f>
        <v/>
      </c>
      <c r="CT9" s="15">
        <f>IF(SUM($CF9:CF$31)=0,"",SUM($CF9:CF$31))</f>
        <v>411298005</v>
      </c>
      <c r="CU9" s="15">
        <f>IF(SUM($CG9:CG$31)=0,"",SUM($CG9:CG$31))</f>
        <v>3786891400</v>
      </c>
      <c r="CV9" s="15">
        <f>IF(SUM($CH9:CH$31)=0,"",SUM($CH9:CH$31))</f>
        <v>20027775750</v>
      </c>
      <c r="CW9" s="15">
        <f>IF(SUM($CI9:CI$31)=0,"",SUM($CI9:CI$31))</f>
        <v>307694984</v>
      </c>
      <c r="CX9" s="15">
        <f>IF(SUM($CJ9:CJ$31)=0,"",SUM($CJ9:CJ$31))</f>
        <v>4352652383</v>
      </c>
      <c r="CY9" s="15">
        <f>IF(SUM($CK9:CK$31)=0,"",SUM($CK9:CK$31))</f>
        <v>-3412943424</v>
      </c>
      <c r="CZ9" s="15" t="str">
        <f>IF(SUM($CL9:CL$31)=0,"",SUM($CL9:CL$31))</f>
        <v/>
      </c>
      <c r="DA9" s="15">
        <f>IF(SUM($CM9:CM$31)=0,"",SUM($CM9:CM$31))</f>
        <v>254834444</v>
      </c>
      <c r="DB9" s="15">
        <f>IF(SUM($CN9:CN$31)=0,"",SUM($CN9:CN$31))</f>
        <v>64019988</v>
      </c>
      <c r="DC9" s="15">
        <f>IF(SUM($CO9:CO$31)=0,"",SUM($CO9:CO$31))</f>
        <v>572677828</v>
      </c>
      <c r="DD9" s="15">
        <f>IF(SUM($CP9:CP$31)=0,"",SUM($CP9:CP$31))</f>
        <v>90000</v>
      </c>
    </row>
    <row r="10" spans="2:108">
      <c r="B10" s="34">
        <v>3</v>
      </c>
      <c r="C10" s="35" t="s">
        <v>8</v>
      </c>
      <c r="D10" s="36" t="s">
        <v>2</v>
      </c>
      <c r="E10" s="30">
        <f t="shared" si="17"/>
        <v>3</v>
      </c>
      <c r="F10" s="12"/>
      <c r="G10" s="32">
        <f t="shared" si="3"/>
        <v>42412</v>
      </c>
      <c r="H10" s="33">
        <f t="shared" si="4"/>
        <v>1377670764</v>
      </c>
      <c r="I10" s="33">
        <f t="shared" si="5"/>
        <v>0</v>
      </c>
      <c r="J10" s="33">
        <f t="shared" si="6"/>
        <v>-764071745</v>
      </c>
      <c r="K10" s="33">
        <f t="shared" si="7"/>
        <v>99582000</v>
      </c>
      <c r="L10" s="33">
        <f t="shared" si="8"/>
        <v>1555486220</v>
      </c>
      <c r="M10" s="33">
        <f t="shared" si="9"/>
        <v>36032773</v>
      </c>
      <c r="N10" s="33">
        <f t="shared" si="10"/>
        <v>832570000</v>
      </c>
      <c r="O10" s="33">
        <f t="shared" si="11"/>
        <v>-421911644</v>
      </c>
      <c r="P10" s="33">
        <f t="shared" si="12"/>
        <v>0</v>
      </c>
      <c r="Q10" s="33">
        <f t="shared" si="13"/>
        <v>-43356049</v>
      </c>
      <c r="R10" s="33">
        <f t="shared" si="14"/>
        <v>4239209</v>
      </c>
      <c r="S10" s="33">
        <f t="shared" si="15"/>
        <v>37100000</v>
      </c>
      <c r="T10" s="33">
        <f t="shared" si="16"/>
        <v>42000000</v>
      </c>
      <c r="BN10" s="4">
        <v>42412</v>
      </c>
      <c r="BO10" s="14">
        <v>1377670764</v>
      </c>
      <c r="BP10" s="3">
        <v>0</v>
      </c>
      <c r="BQ10" s="10">
        <v>-764071745</v>
      </c>
      <c r="BR10" s="3">
        <v>99582000</v>
      </c>
      <c r="BS10" s="3">
        <v>1555486220</v>
      </c>
      <c r="BT10" s="3">
        <v>36032773</v>
      </c>
      <c r="BU10" s="3">
        <v>832570000</v>
      </c>
      <c r="BV10" s="3">
        <v>-421911644</v>
      </c>
      <c r="BW10" s="3">
        <v>0</v>
      </c>
      <c r="BX10" s="3">
        <v>-43356049</v>
      </c>
      <c r="BY10" s="3">
        <v>4239209</v>
      </c>
      <c r="BZ10" s="3">
        <v>37100000</v>
      </c>
      <c r="CA10" s="3">
        <v>42000000</v>
      </c>
      <c r="CC10" s="4">
        <v>42412</v>
      </c>
      <c r="CD10" s="14">
        <v>1377670764</v>
      </c>
      <c r="CE10" s="3">
        <v>0</v>
      </c>
      <c r="CF10" s="10">
        <v>-764071745</v>
      </c>
      <c r="CG10" s="3">
        <v>99582000</v>
      </c>
      <c r="CH10" s="3">
        <v>1555486220</v>
      </c>
      <c r="CI10" s="3">
        <v>36032773</v>
      </c>
      <c r="CJ10" s="3">
        <v>832570000</v>
      </c>
      <c r="CK10" s="3">
        <v>-421911644</v>
      </c>
      <c r="CL10" s="3">
        <v>0</v>
      </c>
      <c r="CM10" s="3">
        <v>-43356049</v>
      </c>
      <c r="CN10" s="3">
        <v>4239209</v>
      </c>
      <c r="CO10" s="3">
        <v>37100000</v>
      </c>
      <c r="CP10" s="3">
        <v>42000000</v>
      </c>
      <c r="CQ10" s="4">
        <f t="shared" si="18"/>
        <v>42412</v>
      </c>
      <c r="CR10" s="15">
        <f>IF(SUM($CD10:CD$31)=0,"",SUM($CD10:CD$31))</f>
        <v>24078915321</v>
      </c>
      <c r="CS10" s="15" t="str">
        <f>IF(SUM($CE10:CE$31)=0,"",SUM($CE10:CE$31))</f>
        <v/>
      </c>
      <c r="CT10" s="15">
        <f>IF(SUM($CF10:CF$31)=0,"",SUM($CF10:CF$31))</f>
        <v>188835355</v>
      </c>
      <c r="CU10" s="15">
        <f>IF(SUM($CG10:CG$31)=0,"",SUM($CG10:CG$31))</f>
        <v>3304860357</v>
      </c>
      <c r="CV10" s="15">
        <f>IF(SUM($CH10:CH$31)=0,"",SUM($CH10:CH$31))</f>
        <v>19179994244</v>
      </c>
      <c r="CW10" s="15">
        <f>IF(SUM($CI10:CI$31)=0,"",SUM($CI10:CI$31))</f>
        <v>275509954</v>
      </c>
      <c r="CX10" s="15">
        <f>IF(SUM($CJ10:CJ$31)=0,"",SUM($CJ10:CJ$31))</f>
        <v>3636002383</v>
      </c>
      <c r="CY10" s="15">
        <f>IF(SUM($CK10:CK$31)=0,"",SUM($CK10:CK$31))</f>
        <v>-3417051224</v>
      </c>
      <c r="CZ10" s="15" t="str">
        <f>IF(SUM($CL10:CL$31)=0,"",SUM($CL10:CL$31))</f>
        <v/>
      </c>
      <c r="DA10" s="15">
        <f>IF(SUM($CM10:CM$31)=0,"",SUM($CM10:CM$31))</f>
        <v>261321017</v>
      </c>
      <c r="DB10" s="15">
        <f>IF(SUM($CN10:CN$31)=0,"",SUM($CN10:CN$31))</f>
        <v>66575407</v>
      </c>
      <c r="DC10" s="15">
        <f>IF(SUM($CO10:CO$31)=0,"",SUM($CO10:CO$31))</f>
        <v>575777828</v>
      </c>
      <c r="DD10" s="15">
        <f>IF(SUM($CP10:CP$31)=0,"",SUM($CP10:CP$31))</f>
        <v>7090000</v>
      </c>
    </row>
    <row r="11" spans="2:108">
      <c r="B11" s="34">
        <v>4</v>
      </c>
      <c r="C11" s="35" t="s">
        <v>9</v>
      </c>
      <c r="D11" s="36" t="s">
        <v>3</v>
      </c>
      <c r="E11" s="30">
        <f t="shared" si="17"/>
        <v>4</v>
      </c>
      <c r="F11" s="12"/>
      <c r="G11" s="32">
        <f t="shared" si="3"/>
        <v>42411</v>
      </c>
      <c r="H11" s="33">
        <f t="shared" si="4"/>
        <v>-490824378</v>
      </c>
      <c r="I11" s="33">
        <f t="shared" si="5"/>
        <v>0</v>
      </c>
      <c r="J11" s="33">
        <f t="shared" si="6"/>
        <v>-1017210270</v>
      </c>
      <c r="K11" s="33">
        <f t="shared" si="7"/>
        <v>-4123610</v>
      </c>
      <c r="L11" s="33">
        <f t="shared" si="8"/>
        <v>1472856680</v>
      </c>
      <c r="M11" s="33">
        <f t="shared" si="9"/>
        <v>-27157739</v>
      </c>
      <c r="N11" s="33">
        <f t="shared" si="10"/>
        <v>-249095000</v>
      </c>
      <c r="O11" s="33">
        <f t="shared" si="11"/>
        <v>-779693300</v>
      </c>
      <c r="P11" s="33">
        <f t="shared" si="12"/>
        <v>0</v>
      </c>
      <c r="Q11" s="33">
        <f t="shared" si="13"/>
        <v>12730122</v>
      </c>
      <c r="R11" s="33">
        <f t="shared" si="14"/>
        <v>2099908</v>
      </c>
      <c r="S11" s="33">
        <f t="shared" si="15"/>
        <v>83968831</v>
      </c>
      <c r="T11" s="33">
        <f t="shared" si="16"/>
        <v>14800000</v>
      </c>
      <c r="BN11" s="4">
        <v>42411</v>
      </c>
      <c r="BO11" s="14">
        <v>-490824378</v>
      </c>
      <c r="BP11" s="3">
        <v>0</v>
      </c>
      <c r="BQ11" s="10">
        <v>-1017210270</v>
      </c>
      <c r="BR11" s="3">
        <v>-4123610</v>
      </c>
      <c r="BS11" s="3">
        <v>1472856680</v>
      </c>
      <c r="BT11" s="3">
        <v>-27157739</v>
      </c>
      <c r="BU11" s="3">
        <v>-249095000</v>
      </c>
      <c r="BV11" s="3">
        <v>-779693300</v>
      </c>
      <c r="BW11" s="3">
        <v>0</v>
      </c>
      <c r="BX11" s="3">
        <v>12730122</v>
      </c>
      <c r="BY11" s="3">
        <v>2099908</v>
      </c>
      <c r="BZ11" s="3">
        <v>83968831</v>
      </c>
      <c r="CA11" s="3">
        <v>14800000</v>
      </c>
      <c r="CC11" s="4">
        <v>42411</v>
      </c>
      <c r="CD11" s="14">
        <v>-490824378</v>
      </c>
      <c r="CE11" s="3">
        <v>0</v>
      </c>
      <c r="CF11" s="10">
        <v>-1017210270</v>
      </c>
      <c r="CG11" s="3">
        <v>-4123610</v>
      </c>
      <c r="CH11" s="3">
        <v>1472856680</v>
      </c>
      <c r="CI11" s="3">
        <v>-27157739</v>
      </c>
      <c r="CJ11" s="3">
        <v>-249095000</v>
      </c>
      <c r="CK11" s="3">
        <v>-779693300</v>
      </c>
      <c r="CL11" s="3">
        <v>0</v>
      </c>
      <c r="CM11" s="3">
        <v>12730122</v>
      </c>
      <c r="CN11" s="3">
        <v>2099908</v>
      </c>
      <c r="CO11" s="3">
        <v>83968831</v>
      </c>
      <c r="CP11" s="3">
        <v>14800000</v>
      </c>
      <c r="CQ11" s="4">
        <f t="shared" si="18"/>
        <v>42411</v>
      </c>
      <c r="CR11" s="15">
        <f>IF(SUM($CD11:CD$31)=0,"",SUM($CD11:CD$31))</f>
        <v>22701244557</v>
      </c>
      <c r="CS11" s="15" t="str">
        <f>IF(SUM($CE11:CE$31)=0,"",SUM($CE11:CE$31))</f>
        <v/>
      </c>
      <c r="CT11" s="15">
        <f>IF(SUM($CF11:CF$31)=0,"",SUM($CF11:CF$31))</f>
        <v>952907100</v>
      </c>
      <c r="CU11" s="15">
        <f>IF(SUM($CG11:CG$31)=0,"",SUM($CG11:CG$31))</f>
        <v>3205278357</v>
      </c>
      <c r="CV11" s="15">
        <f>IF(SUM($CH11:CH$31)=0,"",SUM($CH11:CH$31))</f>
        <v>17624508024</v>
      </c>
      <c r="CW11" s="15">
        <f>IF(SUM($CI11:CI$31)=0,"",SUM($CI11:CI$31))</f>
        <v>239477181</v>
      </c>
      <c r="CX11" s="15">
        <f>IF(SUM($CJ11:CJ$31)=0,"",SUM($CJ11:CJ$31))</f>
        <v>2803432383</v>
      </c>
      <c r="CY11" s="15">
        <f>IF(SUM($CK11:CK$31)=0,"",SUM($CK11:CK$31))</f>
        <v>-2995139580</v>
      </c>
      <c r="CZ11" s="15" t="str">
        <f>IF(SUM($CL11:CL$31)=0,"",SUM($CL11:CL$31))</f>
        <v/>
      </c>
      <c r="DA11" s="15">
        <f>IF(SUM($CM11:CM$31)=0,"",SUM($CM11:CM$31))</f>
        <v>304677066</v>
      </c>
      <c r="DB11" s="15">
        <f>IF(SUM($CN11:CN$31)=0,"",SUM($CN11:CN$31))</f>
        <v>62336198</v>
      </c>
      <c r="DC11" s="15">
        <f>IF(SUM($CO11:CO$31)=0,"",SUM($CO11:CO$31))</f>
        <v>538677828</v>
      </c>
      <c r="DD11" s="15">
        <f>IF(SUM($CP11:CP$31)=0,"",SUM($CP11:CP$31))</f>
        <v>-34910000</v>
      </c>
    </row>
    <row r="12" spans="2:108">
      <c r="B12" s="34">
        <v>5</v>
      </c>
      <c r="C12" s="35" t="s">
        <v>10</v>
      </c>
      <c r="D12" s="36" t="s">
        <v>4</v>
      </c>
      <c r="E12" s="30">
        <f t="shared" si="17"/>
        <v>5</v>
      </c>
      <c r="F12" s="12"/>
      <c r="G12" s="32">
        <f t="shared" si="3"/>
        <v>42405</v>
      </c>
      <c r="H12" s="33">
        <f t="shared" si="4"/>
        <v>-467588117</v>
      </c>
      <c r="I12" s="33">
        <f t="shared" si="5"/>
        <v>0</v>
      </c>
      <c r="J12" s="33">
        <f t="shared" si="6"/>
        <v>-363642925</v>
      </c>
      <c r="K12" s="33">
        <f t="shared" si="7"/>
        <v>354033000</v>
      </c>
      <c r="L12" s="33">
        <f t="shared" si="8"/>
        <v>652968290</v>
      </c>
      <c r="M12" s="33">
        <f t="shared" si="9"/>
        <v>51487320</v>
      </c>
      <c r="N12" s="33">
        <f t="shared" si="10"/>
        <v>435590000</v>
      </c>
      <c r="O12" s="33">
        <f t="shared" si="11"/>
        <v>-1529045580</v>
      </c>
      <c r="P12" s="33">
        <f t="shared" si="12"/>
        <v>0</v>
      </c>
      <c r="Q12" s="33">
        <f t="shared" si="13"/>
        <v>-4204246</v>
      </c>
      <c r="R12" s="33">
        <f t="shared" si="14"/>
        <v>2226024</v>
      </c>
      <c r="S12" s="33">
        <f t="shared" si="15"/>
        <v>-77000000</v>
      </c>
      <c r="T12" s="33">
        <f t="shared" si="16"/>
        <v>10000000</v>
      </c>
      <c r="BN12" s="4">
        <v>42405</v>
      </c>
      <c r="BO12" s="14">
        <v>-467588117</v>
      </c>
      <c r="BP12" s="3">
        <v>0</v>
      </c>
      <c r="BQ12" s="10">
        <v>-363642925</v>
      </c>
      <c r="BR12" s="3">
        <v>354033000</v>
      </c>
      <c r="BS12" s="3">
        <v>652968290</v>
      </c>
      <c r="BT12" s="3">
        <v>51487320</v>
      </c>
      <c r="BU12" s="3">
        <v>435590000</v>
      </c>
      <c r="BV12" s="3">
        <v>-1529045580</v>
      </c>
      <c r="BW12" s="3">
        <v>0</v>
      </c>
      <c r="BX12" s="3">
        <v>-4204246</v>
      </c>
      <c r="BY12" s="3">
        <v>2226024</v>
      </c>
      <c r="BZ12" s="3">
        <v>-77000000</v>
      </c>
      <c r="CA12" s="3">
        <v>10000000</v>
      </c>
      <c r="CC12" s="4">
        <v>42405</v>
      </c>
      <c r="CD12" s="14">
        <v>-467588117</v>
      </c>
      <c r="CE12" s="3">
        <v>0</v>
      </c>
      <c r="CF12" s="10">
        <v>-363642925</v>
      </c>
      <c r="CG12" s="3">
        <v>354033000</v>
      </c>
      <c r="CH12" s="3">
        <v>652968290</v>
      </c>
      <c r="CI12" s="3">
        <v>51487320</v>
      </c>
      <c r="CJ12" s="3">
        <v>435590000</v>
      </c>
      <c r="CK12" s="3">
        <v>-1529045580</v>
      </c>
      <c r="CL12" s="3">
        <v>0</v>
      </c>
      <c r="CM12" s="3">
        <v>-4204246</v>
      </c>
      <c r="CN12" s="3">
        <v>2226024</v>
      </c>
      <c r="CO12" s="3">
        <v>-77000000</v>
      </c>
      <c r="CP12" s="3">
        <v>10000000</v>
      </c>
      <c r="CQ12" s="4">
        <f t="shared" si="18"/>
        <v>42405</v>
      </c>
      <c r="CR12" s="15">
        <f>IF(SUM($CD12:CD$31)=0,"",SUM($CD12:CD$31))</f>
        <v>23192068935</v>
      </c>
      <c r="CS12" s="15" t="str">
        <f>IF(SUM($CE12:CE$31)=0,"",SUM($CE12:CE$31))</f>
        <v/>
      </c>
      <c r="CT12" s="15">
        <f>IF(SUM($CF12:CF$31)=0,"",SUM($CF12:CF$31))</f>
        <v>1970117370</v>
      </c>
      <c r="CU12" s="15">
        <f>IF(SUM($CG12:CG$31)=0,"",SUM($CG12:CG$31))</f>
        <v>3209401967</v>
      </c>
      <c r="CV12" s="15">
        <f>IF(SUM($CH12:CH$31)=0,"",SUM($CH12:CH$31))</f>
        <v>16151651344</v>
      </c>
      <c r="CW12" s="15">
        <f>IF(SUM($CI12:CI$31)=0,"",SUM($CI12:CI$31))</f>
        <v>266634920</v>
      </c>
      <c r="CX12" s="15">
        <f>IF(SUM($CJ12:CJ$31)=0,"",SUM($CJ12:CJ$31))</f>
        <v>3052527383</v>
      </c>
      <c r="CY12" s="15">
        <f>IF(SUM($CK12:CK$31)=0,"",SUM($CK12:CK$31))</f>
        <v>-2215446280</v>
      </c>
      <c r="CZ12" s="15" t="str">
        <f>IF(SUM($CL12:CL$31)=0,"",SUM($CL12:CL$31))</f>
        <v/>
      </c>
      <c r="DA12" s="15">
        <f>IF(SUM($CM12:CM$31)=0,"",SUM($CM12:CM$31))</f>
        <v>291946944</v>
      </c>
      <c r="DB12" s="15">
        <f>IF(SUM($CN12:CN$31)=0,"",SUM($CN12:CN$31))</f>
        <v>60236290</v>
      </c>
      <c r="DC12" s="15">
        <f>IF(SUM($CO12:CO$31)=0,"",SUM($CO12:CO$31))</f>
        <v>454708997</v>
      </c>
      <c r="DD12" s="15">
        <f>IF(SUM($CP12:CP$31)=0,"",SUM($CP12:CP$31))</f>
        <v>-49710000</v>
      </c>
    </row>
    <row r="13" spans="2:108">
      <c r="B13" s="34">
        <v>6</v>
      </c>
      <c r="C13" s="35" t="s">
        <v>11</v>
      </c>
      <c r="D13" s="36" t="s">
        <v>5</v>
      </c>
      <c r="E13" s="30">
        <f t="shared" si="17"/>
        <v>6</v>
      </c>
      <c r="F13" s="12"/>
      <c r="G13" s="32">
        <f t="shared" si="3"/>
        <v>42404</v>
      </c>
      <c r="H13" s="33">
        <f t="shared" si="4"/>
        <v>2205547156</v>
      </c>
      <c r="I13" s="33">
        <f t="shared" si="5"/>
        <v>0</v>
      </c>
      <c r="J13" s="33">
        <f t="shared" si="6"/>
        <v>245070885</v>
      </c>
      <c r="K13" s="33">
        <f t="shared" si="7"/>
        <v>679070000</v>
      </c>
      <c r="L13" s="33">
        <f t="shared" si="8"/>
        <v>539591020</v>
      </c>
      <c r="M13" s="33">
        <f t="shared" si="9"/>
        <v>90939720</v>
      </c>
      <c r="N13" s="33">
        <f t="shared" si="10"/>
        <v>617550000</v>
      </c>
      <c r="O13" s="33">
        <f t="shared" si="11"/>
        <v>-66642920</v>
      </c>
      <c r="P13" s="33">
        <f t="shared" si="12"/>
        <v>0</v>
      </c>
      <c r="Q13" s="33">
        <f t="shared" si="13"/>
        <v>68116778</v>
      </c>
      <c r="R13" s="33">
        <f t="shared" si="14"/>
        <v>4851673</v>
      </c>
      <c r="S13" s="33">
        <f t="shared" si="15"/>
        <v>17000000</v>
      </c>
      <c r="T13" s="33">
        <f t="shared" si="16"/>
        <v>10000000</v>
      </c>
      <c r="BN13" s="4">
        <v>42404</v>
      </c>
      <c r="BO13" s="14">
        <v>2205547156</v>
      </c>
      <c r="BP13" s="3">
        <v>0</v>
      </c>
      <c r="BQ13" s="10">
        <v>245070885</v>
      </c>
      <c r="BR13" s="3">
        <v>679070000</v>
      </c>
      <c r="BS13" s="3">
        <v>539591020</v>
      </c>
      <c r="BT13" s="3">
        <v>90939720</v>
      </c>
      <c r="BU13" s="3">
        <v>617550000</v>
      </c>
      <c r="BV13" s="3">
        <v>-66642920</v>
      </c>
      <c r="BW13" s="3">
        <v>0</v>
      </c>
      <c r="BX13" s="3">
        <v>68116778</v>
      </c>
      <c r="BY13" s="3">
        <v>4851673</v>
      </c>
      <c r="BZ13" s="3">
        <v>17000000</v>
      </c>
      <c r="CA13" s="3">
        <v>10000000</v>
      </c>
      <c r="CC13" s="4">
        <v>42404</v>
      </c>
      <c r="CD13" s="14">
        <v>2205547156</v>
      </c>
      <c r="CE13" s="3">
        <v>0</v>
      </c>
      <c r="CF13" s="10">
        <v>245070885</v>
      </c>
      <c r="CG13" s="3">
        <v>679070000</v>
      </c>
      <c r="CH13" s="3">
        <v>539591020</v>
      </c>
      <c r="CI13" s="3">
        <v>90939720</v>
      </c>
      <c r="CJ13" s="3">
        <v>617550000</v>
      </c>
      <c r="CK13" s="3">
        <v>-66642920</v>
      </c>
      <c r="CL13" s="3">
        <v>0</v>
      </c>
      <c r="CM13" s="3">
        <v>68116778</v>
      </c>
      <c r="CN13" s="3">
        <v>4851673</v>
      </c>
      <c r="CO13" s="3">
        <v>17000000</v>
      </c>
      <c r="CP13" s="3">
        <v>10000000</v>
      </c>
      <c r="CQ13" s="4">
        <f t="shared" si="18"/>
        <v>42404</v>
      </c>
      <c r="CR13" s="15">
        <f>IF(SUM($CD13:CD$31)=0,"",SUM($CD13:CD$31))</f>
        <v>23659657052</v>
      </c>
      <c r="CS13" s="15" t="str">
        <f>IF(SUM($CE13:CE$31)=0,"",SUM($CE13:CE$31))</f>
        <v/>
      </c>
      <c r="CT13" s="15">
        <f>IF(SUM($CF13:CF$31)=0,"",SUM($CF13:CF$31))</f>
        <v>2333760295</v>
      </c>
      <c r="CU13" s="15">
        <f>IF(SUM($CG13:CG$31)=0,"",SUM($CG13:CG$31))</f>
        <v>2855368967</v>
      </c>
      <c r="CV13" s="15">
        <f>IF(SUM($CH13:CH$31)=0,"",SUM($CH13:CH$31))</f>
        <v>15498683054</v>
      </c>
      <c r="CW13" s="15">
        <f>IF(SUM($CI13:CI$31)=0,"",SUM($CI13:CI$31))</f>
        <v>215147600</v>
      </c>
      <c r="CX13" s="15">
        <f>IF(SUM($CJ13:CJ$31)=0,"",SUM($CJ13:CJ$31))</f>
        <v>2616937383</v>
      </c>
      <c r="CY13" s="15">
        <f>IF(SUM($CK13:CK$31)=0,"",SUM($CK13:CK$31))</f>
        <v>-686400700</v>
      </c>
      <c r="CZ13" s="15" t="str">
        <f>IF(SUM($CL13:CL$31)=0,"",SUM($CL13:CL$31))</f>
        <v/>
      </c>
      <c r="DA13" s="15">
        <f>IF(SUM($CM13:CM$31)=0,"",SUM($CM13:CM$31))</f>
        <v>296151190</v>
      </c>
      <c r="DB13" s="15">
        <f>IF(SUM($CN13:CN$31)=0,"",SUM($CN13:CN$31))</f>
        <v>58010266</v>
      </c>
      <c r="DC13" s="15">
        <f>IF(SUM($CO13:CO$31)=0,"",SUM($CO13:CO$31))</f>
        <v>531708997</v>
      </c>
      <c r="DD13" s="15">
        <f>IF(SUM($CP13:CP$31)=0,"",SUM($CP13:CP$31))</f>
        <v>-59710000</v>
      </c>
    </row>
    <row r="14" spans="2:108" ht="14.25" thickBot="1">
      <c r="B14" s="37">
        <v>7</v>
      </c>
      <c r="C14" s="38" t="s">
        <v>12</v>
      </c>
      <c r="D14" s="39" t="s">
        <v>6</v>
      </c>
      <c r="E14" s="30">
        <f t="shared" si="17"/>
        <v>7</v>
      </c>
      <c r="F14" s="12"/>
      <c r="G14" s="32">
        <f t="shared" si="3"/>
        <v>42403</v>
      </c>
      <c r="H14" s="33">
        <f t="shared" si="4"/>
        <v>1361681872</v>
      </c>
      <c r="I14" s="33">
        <f t="shared" si="5"/>
        <v>0</v>
      </c>
      <c r="J14" s="33">
        <f t="shared" si="6"/>
        <v>-2571095</v>
      </c>
      <c r="K14" s="33">
        <f t="shared" si="7"/>
        <v>55831000</v>
      </c>
      <c r="L14" s="33">
        <f t="shared" si="8"/>
        <v>1217983204</v>
      </c>
      <c r="M14" s="33">
        <f t="shared" si="9"/>
        <v>-15130000</v>
      </c>
      <c r="N14" s="33">
        <f t="shared" si="10"/>
        <v>69200000</v>
      </c>
      <c r="O14" s="33">
        <f t="shared" si="11"/>
        <v>45582160</v>
      </c>
      <c r="P14" s="33">
        <f t="shared" si="12"/>
        <v>0</v>
      </c>
      <c r="Q14" s="33">
        <f t="shared" si="13"/>
        <v>-17973805</v>
      </c>
      <c r="R14" s="33">
        <f t="shared" si="14"/>
        <v>7560408</v>
      </c>
      <c r="S14" s="33">
        <f t="shared" si="15"/>
        <v>54700000</v>
      </c>
      <c r="T14" s="33">
        <f t="shared" si="16"/>
        <v>-53500000</v>
      </c>
      <c r="BN14" s="4">
        <v>42403</v>
      </c>
      <c r="BO14" s="14">
        <v>1361681872</v>
      </c>
      <c r="BP14" s="3">
        <v>0</v>
      </c>
      <c r="BQ14" s="10">
        <v>-2571095</v>
      </c>
      <c r="BR14" s="3">
        <v>55831000</v>
      </c>
      <c r="BS14" s="3">
        <v>1217983204</v>
      </c>
      <c r="BT14" s="3">
        <v>-15130000</v>
      </c>
      <c r="BU14" s="3">
        <v>69200000</v>
      </c>
      <c r="BV14" s="3">
        <v>45582160</v>
      </c>
      <c r="BW14" s="3">
        <v>0</v>
      </c>
      <c r="BX14" s="3">
        <v>-17973805</v>
      </c>
      <c r="BY14" s="3">
        <v>7560408</v>
      </c>
      <c r="BZ14" s="3">
        <v>54700000</v>
      </c>
      <c r="CA14" s="3">
        <v>-53500000</v>
      </c>
      <c r="CC14" s="4">
        <v>42403</v>
      </c>
      <c r="CD14" s="14">
        <v>1361681872</v>
      </c>
      <c r="CE14" s="3">
        <v>0</v>
      </c>
      <c r="CF14" s="10">
        <v>-2571095</v>
      </c>
      <c r="CG14" s="3">
        <v>55831000</v>
      </c>
      <c r="CH14" s="3">
        <v>1217983204</v>
      </c>
      <c r="CI14" s="3">
        <v>-15130000</v>
      </c>
      <c r="CJ14" s="3">
        <v>69200000</v>
      </c>
      <c r="CK14" s="3">
        <v>45582160</v>
      </c>
      <c r="CL14" s="3">
        <v>0</v>
      </c>
      <c r="CM14" s="3">
        <v>-17973805</v>
      </c>
      <c r="CN14" s="3">
        <v>7560408</v>
      </c>
      <c r="CO14" s="3">
        <v>54700000</v>
      </c>
      <c r="CP14" s="3">
        <v>-53500000</v>
      </c>
      <c r="CQ14" s="4">
        <f t="shared" si="18"/>
        <v>42403</v>
      </c>
      <c r="CR14" s="15">
        <f>IF(SUM($CD14:CD$31)=0,"",SUM($CD14:CD$31))</f>
        <v>21454109896</v>
      </c>
      <c r="CS14" s="15" t="str">
        <f>IF(SUM($CE14:CE$31)=0,"",SUM($CE14:CE$31))</f>
        <v/>
      </c>
      <c r="CT14" s="15">
        <f>IF(SUM($CF14:CF$31)=0,"",SUM($CF14:CF$31))</f>
        <v>2088689410</v>
      </c>
      <c r="CU14" s="15">
        <f>IF(SUM($CG14:CG$31)=0,"",SUM($CG14:CG$31))</f>
        <v>2176298967</v>
      </c>
      <c r="CV14" s="15">
        <f>IF(SUM($CH14:CH$31)=0,"",SUM($CH14:CH$31))</f>
        <v>14959092034</v>
      </c>
      <c r="CW14" s="15">
        <f>IF(SUM($CI14:CI$31)=0,"",SUM($CI14:CI$31))</f>
        <v>124207880</v>
      </c>
      <c r="CX14" s="15">
        <f>IF(SUM($CJ14:CJ$31)=0,"",SUM($CJ14:CJ$31))</f>
        <v>1999387383</v>
      </c>
      <c r="CY14" s="15">
        <f>IF(SUM($CK14:CK$31)=0,"",SUM($CK14:CK$31))</f>
        <v>-619757780</v>
      </c>
      <c r="CZ14" s="15" t="str">
        <f>IF(SUM($CL14:CL$31)=0,"",SUM($CL14:CL$31))</f>
        <v/>
      </c>
      <c r="DA14" s="15">
        <f>IF(SUM($CM14:CM$31)=0,"",SUM($CM14:CM$31))</f>
        <v>228034412</v>
      </c>
      <c r="DB14" s="15">
        <f>IF(SUM($CN14:CN$31)=0,"",SUM($CN14:CN$31))</f>
        <v>53158593</v>
      </c>
      <c r="DC14" s="15">
        <f>IF(SUM($CO14:CO$31)=0,"",SUM($CO14:CO$31))</f>
        <v>514708997</v>
      </c>
      <c r="DD14" s="15">
        <f>IF(SUM($CP14:CP$31)=0,"",SUM($CP14:CP$31))</f>
        <v>-69710000</v>
      </c>
    </row>
    <row r="15" spans="2:108">
      <c r="B15" s="23">
        <v>3</v>
      </c>
      <c r="C15" s="26" t="str">
        <f>VLOOKUP($B$15,B16:C19,2,0)</f>
        <v>순매수</v>
      </c>
      <c r="D15" s="27" t="s">
        <v>7</v>
      </c>
      <c r="E15" s="30">
        <f t="shared" si="17"/>
        <v>8</v>
      </c>
      <c r="F15" s="12"/>
      <c r="G15" s="32">
        <f t="shared" si="3"/>
        <v>42402</v>
      </c>
      <c r="H15" s="33">
        <f t="shared" si="4"/>
        <v>1546899632</v>
      </c>
      <c r="I15" s="33">
        <f t="shared" si="5"/>
        <v>0</v>
      </c>
      <c r="J15" s="33">
        <f t="shared" si="6"/>
        <v>156146175</v>
      </c>
      <c r="K15" s="33">
        <f t="shared" si="7"/>
        <v>623465780</v>
      </c>
      <c r="L15" s="33">
        <f t="shared" si="8"/>
        <v>1113414960</v>
      </c>
      <c r="M15" s="33">
        <f t="shared" si="9"/>
        <v>-55454840</v>
      </c>
      <c r="N15" s="33">
        <f t="shared" si="10"/>
        <v>66610000</v>
      </c>
      <c r="O15" s="33">
        <f t="shared" si="11"/>
        <v>-408174200</v>
      </c>
      <c r="P15" s="33">
        <f t="shared" si="12"/>
        <v>0</v>
      </c>
      <c r="Q15" s="33">
        <f t="shared" si="13"/>
        <v>33847491</v>
      </c>
      <c r="R15" s="33">
        <f t="shared" si="14"/>
        <v>1744266</v>
      </c>
      <c r="S15" s="33">
        <f t="shared" si="15"/>
        <v>-15100000</v>
      </c>
      <c r="T15" s="33">
        <f t="shared" si="16"/>
        <v>30400000</v>
      </c>
      <c r="BN15" s="4">
        <v>42402</v>
      </c>
      <c r="BO15" s="14">
        <v>1546899632</v>
      </c>
      <c r="BP15" s="3">
        <v>0</v>
      </c>
      <c r="BQ15" s="10">
        <v>156146175</v>
      </c>
      <c r="BR15" s="3">
        <v>623465780</v>
      </c>
      <c r="BS15" s="3">
        <v>1113414960</v>
      </c>
      <c r="BT15" s="3">
        <v>-55454840</v>
      </c>
      <c r="BU15" s="3">
        <v>66610000</v>
      </c>
      <c r="BV15" s="3">
        <v>-408174200</v>
      </c>
      <c r="BW15" s="3">
        <v>0</v>
      </c>
      <c r="BX15" s="3">
        <v>33847491</v>
      </c>
      <c r="BY15" s="3">
        <v>1744266</v>
      </c>
      <c r="BZ15" s="3">
        <v>-15100000</v>
      </c>
      <c r="CA15" s="3">
        <v>30400000</v>
      </c>
      <c r="CC15" s="4">
        <v>42402</v>
      </c>
      <c r="CD15" s="14">
        <v>1546899632</v>
      </c>
      <c r="CE15" s="3">
        <v>0</v>
      </c>
      <c r="CF15" s="10">
        <v>156146175</v>
      </c>
      <c r="CG15" s="3">
        <v>623465780</v>
      </c>
      <c r="CH15" s="3">
        <v>1113414960</v>
      </c>
      <c r="CI15" s="3">
        <v>-55454840</v>
      </c>
      <c r="CJ15" s="3">
        <v>66610000</v>
      </c>
      <c r="CK15" s="3">
        <v>-408174200</v>
      </c>
      <c r="CL15" s="3">
        <v>0</v>
      </c>
      <c r="CM15" s="3">
        <v>33847491</v>
      </c>
      <c r="CN15" s="3">
        <v>1744266</v>
      </c>
      <c r="CO15" s="3">
        <v>-15100000</v>
      </c>
      <c r="CP15" s="3">
        <v>30400000</v>
      </c>
      <c r="CQ15" s="4">
        <f t="shared" si="18"/>
        <v>42402</v>
      </c>
      <c r="CR15" s="15">
        <f>IF(SUM($CD15:CD$31)=0,"",SUM($CD15:CD$31))</f>
        <v>20092428024</v>
      </c>
      <c r="CS15" s="15" t="str">
        <f>IF(SUM($CE15:CE$31)=0,"",SUM($CE15:CE$31))</f>
        <v/>
      </c>
      <c r="CT15" s="15">
        <f>IF(SUM($CF15:CF$31)=0,"",SUM($CF15:CF$31))</f>
        <v>2091260505</v>
      </c>
      <c r="CU15" s="15">
        <f>IF(SUM($CG15:CG$31)=0,"",SUM($CG15:CG$31))</f>
        <v>2120467967</v>
      </c>
      <c r="CV15" s="15">
        <f>IF(SUM($CH15:CH$31)=0,"",SUM($CH15:CH$31))</f>
        <v>13741108830</v>
      </c>
      <c r="CW15" s="15">
        <f>IF(SUM($CI15:CI$31)=0,"",SUM($CI15:CI$31))</f>
        <v>139337880</v>
      </c>
      <c r="CX15" s="15">
        <f>IF(SUM($CJ15:CJ$31)=0,"",SUM($CJ15:CJ$31))</f>
        <v>1930187383</v>
      </c>
      <c r="CY15" s="15">
        <f>IF(SUM($CK15:CK$31)=0,"",SUM($CK15:CK$31))</f>
        <v>-665339940</v>
      </c>
      <c r="CZ15" s="15" t="str">
        <f>IF(SUM($CL15:CL$31)=0,"",SUM($CL15:CL$31))</f>
        <v/>
      </c>
      <c r="DA15" s="15">
        <f>IF(SUM($CM15:CM$31)=0,"",SUM($CM15:CM$31))</f>
        <v>246008217</v>
      </c>
      <c r="DB15" s="15">
        <f>IF(SUM($CN15:CN$31)=0,"",SUM($CN15:CN$31))</f>
        <v>45598185</v>
      </c>
      <c r="DC15" s="15">
        <f>IF(SUM($CO15:CO$31)=0,"",SUM($CO15:CO$31))</f>
        <v>460008997</v>
      </c>
      <c r="DD15" s="15">
        <f>IF(SUM($CP15:CP$31)=0,"",SUM($CP15:CP$31))</f>
        <v>-16210000</v>
      </c>
    </row>
    <row r="16" spans="2:108">
      <c r="B16" s="34">
        <v>1</v>
      </c>
      <c r="C16" s="40" t="s">
        <v>39</v>
      </c>
      <c r="D16" s="28" t="s">
        <v>13</v>
      </c>
      <c r="E16" s="30">
        <f t="shared" si="17"/>
        <v>9</v>
      </c>
      <c r="F16" s="12"/>
      <c r="G16" s="32">
        <f t="shared" si="3"/>
        <v>42401</v>
      </c>
      <c r="H16" s="33">
        <f t="shared" si="4"/>
        <v>387032527</v>
      </c>
      <c r="I16" s="33">
        <f t="shared" si="5"/>
        <v>0</v>
      </c>
      <c r="J16" s="33">
        <f t="shared" si="6"/>
        <v>-652883140</v>
      </c>
      <c r="K16" s="33">
        <f t="shared" si="7"/>
        <v>-111104000</v>
      </c>
      <c r="L16" s="33">
        <f t="shared" si="8"/>
        <v>1554623600</v>
      </c>
      <c r="M16" s="33">
        <f t="shared" si="9"/>
        <v>-25700250</v>
      </c>
      <c r="N16" s="33">
        <f t="shared" si="10"/>
        <v>-136605487</v>
      </c>
      <c r="O16" s="33">
        <f t="shared" si="11"/>
        <v>-157716410</v>
      </c>
      <c r="P16" s="33">
        <f t="shared" si="12"/>
        <v>0</v>
      </c>
      <c r="Q16" s="33">
        <f t="shared" si="13"/>
        <v>-32884139</v>
      </c>
      <c r="R16" s="33">
        <f t="shared" si="14"/>
        <v>-1021699</v>
      </c>
      <c r="S16" s="33">
        <f t="shared" si="15"/>
        <v>-28675948</v>
      </c>
      <c r="T16" s="33">
        <f t="shared" si="16"/>
        <v>-21000000</v>
      </c>
      <c r="BN16" s="4">
        <v>42401</v>
      </c>
      <c r="BO16" s="14">
        <v>387032527</v>
      </c>
      <c r="BP16" s="3">
        <v>0</v>
      </c>
      <c r="BQ16" s="10">
        <v>-652883140</v>
      </c>
      <c r="BR16" s="3">
        <v>-111104000</v>
      </c>
      <c r="BS16" s="3">
        <v>1554623600</v>
      </c>
      <c r="BT16" s="3">
        <v>-25700250</v>
      </c>
      <c r="BU16" s="3">
        <v>-136605487</v>
      </c>
      <c r="BV16" s="3">
        <v>-157716410</v>
      </c>
      <c r="BW16" s="3">
        <v>0</v>
      </c>
      <c r="BX16" s="3">
        <v>-32884139</v>
      </c>
      <c r="BY16" s="3">
        <v>-1021699</v>
      </c>
      <c r="BZ16" s="3">
        <v>-28675948</v>
      </c>
      <c r="CA16" s="3">
        <v>-21000000</v>
      </c>
      <c r="CC16" s="4">
        <v>42401</v>
      </c>
      <c r="CD16" s="14">
        <v>387032527</v>
      </c>
      <c r="CE16" s="3">
        <v>0</v>
      </c>
      <c r="CF16" s="10">
        <v>-652883140</v>
      </c>
      <c r="CG16" s="3">
        <v>-111104000</v>
      </c>
      <c r="CH16" s="3">
        <v>1554623600</v>
      </c>
      <c r="CI16" s="3">
        <v>-25700250</v>
      </c>
      <c r="CJ16" s="3">
        <v>-136605487</v>
      </c>
      <c r="CK16" s="3">
        <v>-157716410</v>
      </c>
      <c r="CL16" s="3">
        <v>0</v>
      </c>
      <c r="CM16" s="3">
        <v>-32884139</v>
      </c>
      <c r="CN16" s="3">
        <v>-1021699</v>
      </c>
      <c r="CO16" s="3">
        <v>-28675948</v>
      </c>
      <c r="CP16" s="3">
        <v>-21000000</v>
      </c>
      <c r="CQ16" s="4">
        <f t="shared" si="18"/>
        <v>42401</v>
      </c>
      <c r="CR16" s="15">
        <f>IF(SUM($CD16:CD$31)=0,"",SUM($CD16:CD$31))</f>
        <v>18545528392</v>
      </c>
      <c r="CS16" s="15" t="str">
        <f>IF(SUM($CE16:CE$31)=0,"",SUM($CE16:CE$31))</f>
        <v/>
      </c>
      <c r="CT16" s="15">
        <f>IF(SUM($CF16:CF$31)=0,"",SUM($CF16:CF$31))</f>
        <v>1935114330</v>
      </c>
      <c r="CU16" s="15">
        <f>IF(SUM($CG16:CG$31)=0,"",SUM($CG16:CG$31))</f>
        <v>1497002187</v>
      </c>
      <c r="CV16" s="15">
        <f>IF(SUM($CH16:CH$31)=0,"",SUM($CH16:CH$31))</f>
        <v>12627693870</v>
      </c>
      <c r="CW16" s="15">
        <f>IF(SUM($CI16:CI$31)=0,"",SUM($CI16:CI$31))</f>
        <v>194792720</v>
      </c>
      <c r="CX16" s="15">
        <f>IF(SUM($CJ16:CJ$31)=0,"",SUM($CJ16:CJ$31))</f>
        <v>1863577383</v>
      </c>
      <c r="CY16" s="15">
        <f>IF(SUM($CK16:CK$31)=0,"",SUM($CK16:CK$31))</f>
        <v>-257165740</v>
      </c>
      <c r="CZ16" s="15" t="str">
        <f>IF(SUM($CL16:CL$31)=0,"",SUM($CL16:CL$31))</f>
        <v/>
      </c>
      <c r="DA16" s="15">
        <f>IF(SUM($CM16:CM$31)=0,"",SUM($CM16:CM$31))</f>
        <v>212160726</v>
      </c>
      <c r="DB16" s="15">
        <f>IF(SUM($CN16:CN$31)=0,"",SUM($CN16:CN$31))</f>
        <v>43853919</v>
      </c>
      <c r="DC16" s="15">
        <f>IF(SUM($CO16:CO$31)=0,"",SUM($CO16:CO$31))</f>
        <v>475108997</v>
      </c>
      <c r="DD16" s="15">
        <f>IF(SUM($CP16:CP$31)=0,"",SUM($CP16:CP$31))</f>
        <v>-46610000</v>
      </c>
    </row>
    <row r="17" spans="2:108">
      <c r="B17" s="34">
        <v>2</v>
      </c>
      <c r="C17" s="40" t="s">
        <v>40</v>
      </c>
      <c r="D17" s="28" t="s">
        <v>14</v>
      </c>
      <c r="E17" s="30">
        <f t="shared" si="17"/>
        <v>10</v>
      </c>
      <c r="F17" s="12"/>
      <c r="G17" s="32">
        <f t="shared" si="3"/>
        <v>42398</v>
      </c>
      <c r="H17" s="33">
        <f t="shared" si="4"/>
        <v>1773898718</v>
      </c>
      <c r="I17" s="33">
        <f t="shared" si="5"/>
        <v>0</v>
      </c>
      <c r="J17" s="33">
        <f t="shared" si="6"/>
        <v>302088365</v>
      </c>
      <c r="K17" s="33">
        <f t="shared" si="7"/>
        <v>20837226</v>
      </c>
      <c r="L17" s="33">
        <f t="shared" si="8"/>
        <v>1374872000</v>
      </c>
      <c r="M17" s="33">
        <f t="shared" si="9"/>
        <v>43200000</v>
      </c>
      <c r="N17" s="33">
        <f t="shared" si="10"/>
        <v>-148926400</v>
      </c>
      <c r="O17" s="33">
        <f t="shared" si="11"/>
        <v>91607400</v>
      </c>
      <c r="P17" s="33">
        <f t="shared" si="12"/>
        <v>0</v>
      </c>
      <c r="Q17" s="33">
        <f t="shared" si="13"/>
        <v>-20199841</v>
      </c>
      <c r="R17" s="33">
        <f t="shared" si="14"/>
        <v>2319968</v>
      </c>
      <c r="S17" s="33">
        <f t="shared" si="15"/>
        <v>73100000</v>
      </c>
      <c r="T17" s="33">
        <f t="shared" si="16"/>
        <v>35000000</v>
      </c>
      <c r="BN17" s="4">
        <v>42398</v>
      </c>
      <c r="BO17" s="14">
        <v>1773898718</v>
      </c>
      <c r="BP17" s="3">
        <v>0</v>
      </c>
      <c r="BQ17" s="10">
        <v>302088365</v>
      </c>
      <c r="BR17" s="3">
        <v>20837226</v>
      </c>
      <c r="BS17" s="3">
        <v>1374872000</v>
      </c>
      <c r="BT17" s="3">
        <v>43200000</v>
      </c>
      <c r="BU17" s="3">
        <v>-148926400</v>
      </c>
      <c r="BV17" s="3">
        <v>91607400</v>
      </c>
      <c r="BW17" s="3">
        <v>0</v>
      </c>
      <c r="BX17" s="3">
        <v>-20199841</v>
      </c>
      <c r="BY17" s="3">
        <v>2319968</v>
      </c>
      <c r="BZ17" s="3">
        <v>73100000</v>
      </c>
      <c r="CA17" s="3">
        <v>35000000</v>
      </c>
      <c r="CC17" s="4">
        <v>42398</v>
      </c>
      <c r="CD17" s="14">
        <v>1773898718</v>
      </c>
      <c r="CE17" s="3">
        <v>0</v>
      </c>
      <c r="CF17" s="10">
        <v>302088365</v>
      </c>
      <c r="CG17" s="3">
        <v>20837226</v>
      </c>
      <c r="CH17" s="3">
        <v>1374872000</v>
      </c>
      <c r="CI17" s="3">
        <v>43200000</v>
      </c>
      <c r="CJ17" s="3">
        <v>-148926400</v>
      </c>
      <c r="CK17" s="3">
        <v>91607400</v>
      </c>
      <c r="CL17" s="3">
        <v>0</v>
      </c>
      <c r="CM17" s="3">
        <v>-20199841</v>
      </c>
      <c r="CN17" s="3">
        <v>2319968</v>
      </c>
      <c r="CO17" s="3">
        <v>73100000</v>
      </c>
      <c r="CP17" s="3">
        <v>35000000</v>
      </c>
      <c r="CQ17" s="4">
        <f t="shared" si="18"/>
        <v>42398</v>
      </c>
      <c r="CR17" s="15">
        <f>IF(SUM($CD17:CD$31)=0,"",SUM($CD17:CD$31))</f>
        <v>18158495865</v>
      </c>
      <c r="CS17" s="15" t="str">
        <f>IF(SUM($CE17:CE$31)=0,"",SUM($CE17:CE$31))</f>
        <v/>
      </c>
      <c r="CT17" s="15">
        <f>IF(SUM($CF17:CF$31)=0,"",SUM($CF17:CF$31))</f>
        <v>2587997470</v>
      </c>
      <c r="CU17" s="15">
        <f>IF(SUM($CG17:CG$31)=0,"",SUM($CG17:CG$31))</f>
        <v>1608106187</v>
      </c>
      <c r="CV17" s="15">
        <f>IF(SUM($CH17:CH$31)=0,"",SUM($CH17:CH$31))</f>
        <v>11073070270</v>
      </c>
      <c r="CW17" s="15">
        <f>IF(SUM($CI17:CI$31)=0,"",SUM($CI17:CI$31))</f>
        <v>220492970</v>
      </c>
      <c r="CX17" s="15">
        <f>IF(SUM($CJ17:CJ$31)=0,"",SUM($CJ17:CJ$31))</f>
        <v>2000182870</v>
      </c>
      <c r="CY17" s="15">
        <f>IF(SUM($CK17:CK$31)=0,"",SUM($CK17:CK$31))</f>
        <v>-99449330</v>
      </c>
      <c r="CZ17" s="15" t="str">
        <f>IF(SUM($CL17:CL$31)=0,"",SUM($CL17:CL$31))</f>
        <v/>
      </c>
      <c r="DA17" s="15">
        <f>IF(SUM($CM17:CM$31)=0,"",SUM($CM17:CM$31))</f>
        <v>245044865</v>
      </c>
      <c r="DB17" s="15">
        <f>IF(SUM($CN17:CN$31)=0,"",SUM($CN17:CN$31))</f>
        <v>44875618</v>
      </c>
      <c r="DC17" s="15">
        <f>IF(SUM($CO17:CO$31)=0,"",SUM($CO17:CO$31))</f>
        <v>503784945</v>
      </c>
      <c r="DD17" s="15">
        <f>IF(SUM($CP17:CP$31)=0,"",SUM($CP17:CP$31))</f>
        <v>-25610000</v>
      </c>
    </row>
    <row r="18" spans="2:108">
      <c r="B18" s="34">
        <v>3</v>
      </c>
      <c r="C18" s="40" t="s">
        <v>41</v>
      </c>
      <c r="D18" s="28" t="s">
        <v>15</v>
      </c>
      <c r="E18" s="30">
        <f t="shared" si="17"/>
        <v>11</v>
      </c>
      <c r="F18" s="12"/>
      <c r="G18" s="32">
        <f t="shared" si="3"/>
        <v>42397</v>
      </c>
      <c r="H18" s="33">
        <f t="shared" si="4"/>
        <v>2238541580</v>
      </c>
      <c r="I18" s="33">
        <f t="shared" si="5"/>
        <v>0</v>
      </c>
      <c r="J18" s="33">
        <f t="shared" si="6"/>
        <v>1252638895</v>
      </c>
      <c r="K18" s="33">
        <f t="shared" si="7"/>
        <v>211400000</v>
      </c>
      <c r="L18" s="33">
        <f t="shared" si="8"/>
        <v>324821000</v>
      </c>
      <c r="M18" s="33">
        <f t="shared" si="9"/>
        <v>51600000</v>
      </c>
      <c r="N18" s="33">
        <f t="shared" si="10"/>
        <v>308900000</v>
      </c>
      <c r="O18" s="33">
        <f t="shared" si="11"/>
        <v>23600000</v>
      </c>
      <c r="P18" s="33">
        <f t="shared" si="12"/>
        <v>0</v>
      </c>
      <c r="Q18" s="33">
        <f t="shared" si="13"/>
        <v>24814646</v>
      </c>
      <c r="R18" s="33">
        <f t="shared" si="14"/>
        <v>3787252</v>
      </c>
      <c r="S18" s="33">
        <f t="shared" si="15"/>
        <v>36979787</v>
      </c>
      <c r="T18" s="33">
        <f t="shared" si="16"/>
        <v>0</v>
      </c>
      <c r="BN18" s="4">
        <v>42397</v>
      </c>
      <c r="BO18" s="14">
        <v>2238541580</v>
      </c>
      <c r="BP18" s="3">
        <v>0</v>
      </c>
      <c r="BQ18" s="10">
        <v>1252638895</v>
      </c>
      <c r="BR18" s="3">
        <v>211400000</v>
      </c>
      <c r="BS18" s="3">
        <v>324821000</v>
      </c>
      <c r="BT18" s="3">
        <v>51600000</v>
      </c>
      <c r="BU18" s="3">
        <v>308900000</v>
      </c>
      <c r="BV18" s="3">
        <v>23600000</v>
      </c>
      <c r="BW18" s="3">
        <v>0</v>
      </c>
      <c r="BX18" s="3">
        <v>24814646</v>
      </c>
      <c r="BY18" s="3">
        <v>3787252</v>
      </c>
      <c r="BZ18" s="3">
        <v>36979787</v>
      </c>
      <c r="CA18" s="3">
        <v>0</v>
      </c>
      <c r="CC18" s="4">
        <v>42397</v>
      </c>
      <c r="CD18" s="14">
        <v>2238541580</v>
      </c>
      <c r="CE18" s="3">
        <v>0</v>
      </c>
      <c r="CF18" s="10">
        <v>1252638895</v>
      </c>
      <c r="CG18" s="3">
        <v>211400000</v>
      </c>
      <c r="CH18" s="3">
        <v>324821000</v>
      </c>
      <c r="CI18" s="3">
        <v>51600000</v>
      </c>
      <c r="CJ18" s="3">
        <v>308900000</v>
      </c>
      <c r="CK18" s="3">
        <v>23600000</v>
      </c>
      <c r="CL18" s="3">
        <v>0</v>
      </c>
      <c r="CM18" s="3">
        <v>24814646</v>
      </c>
      <c r="CN18" s="3">
        <v>3787252</v>
      </c>
      <c r="CO18" s="3">
        <v>36979787</v>
      </c>
      <c r="CP18" s="3">
        <v>0</v>
      </c>
      <c r="CQ18" s="4">
        <f t="shared" si="18"/>
        <v>42397</v>
      </c>
      <c r="CR18" s="15">
        <f>IF(SUM($CD18:CD$31)=0,"",SUM($CD18:CD$31))</f>
        <v>16384597147</v>
      </c>
      <c r="CS18" s="15" t="str">
        <f>IF(SUM($CE18:CE$31)=0,"",SUM($CE18:CE$31))</f>
        <v/>
      </c>
      <c r="CT18" s="15">
        <f>IF(SUM($CF18:CF$31)=0,"",SUM($CF18:CF$31))</f>
        <v>2285909105</v>
      </c>
      <c r="CU18" s="15">
        <f>IF(SUM($CG18:CG$31)=0,"",SUM($CG18:CG$31))</f>
        <v>1587268961</v>
      </c>
      <c r="CV18" s="15">
        <f>IF(SUM($CH18:CH$31)=0,"",SUM($CH18:CH$31))</f>
        <v>9698198270</v>
      </c>
      <c r="CW18" s="15">
        <f>IF(SUM($CI18:CI$31)=0,"",SUM($CI18:CI$31))</f>
        <v>177292970</v>
      </c>
      <c r="CX18" s="15">
        <f>IF(SUM($CJ18:CJ$31)=0,"",SUM($CJ18:CJ$31))</f>
        <v>2149109270</v>
      </c>
      <c r="CY18" s="15">
        <f>IF(SUM($CK18:CK$31)=0,"",SUM($CK18:CK$31))</f>
        <v>-191056730</v>
      </c>
      <c r="CZ18" s="15" t="str">
        <f>IF(SUM($CL18:CL$31)=0,"",SUM($CL18:CL$31))</f>
        <v/>
      </c>
      <c r="DA18" s="15">
        <f>IF(SUM($CM18:CM$31)=0,"",SUM($CM18:CM$31))</f>
        <v>265244706</v>
      </c>
      <c r="DB18" s="15">
        <f>IF(SUM($CN18:CN$31)=0,"",SUM($CN18:CN$31))</f>
        <v>42555650</v>
      </c>
      <c r="DC18" s="15">
        <f>IF(SUM($CO18:CO$31)=0,"",SUM($CO18:CO$31))</f>
        <v>430684945</v>
      </c>
      <c r="DD18" s="15">
        <f>IF(SUM($CP18:CP$31)=0,"",SUM($CP18:CP$31))</f>
        <v>-60610000</v>
      </c>
    </row>
    <row r="19" spans="2:108" ht="14.25" thickBot="1">
      <c r="B19" s="37">
        <v>4</v>
      </c>
      <c r="C19" s="41" t="s">
        <v>42</v>
      </c>
      <c r="D19" s="28" t="s">
        <v>16</v>
      </c>
      <c r="E19" s="30">
        <f t="shared" si="17"/>
        <v>12</v>
      </c>
      <c r="F19" s="12"/>
      <c r="G19" s="32">
        <f t="shared" si="3"/>
        <v>42396</v>
      </c>
      <c r="H19" s="33">
        <f t="shared" si="4"/>
        <v>2331363954</v>
      </c>
      <c r="I19" s="33">
        <f t="shared" si="5"/>
        <v>0</v>
      </c>
      <c r="J19" s="33">
        <f t="shared" si="6"/>
        <v>296068115</v>
      </c>
      <c r="K19" s="33">
        <f t="shared" si="7"/>
        <v>99572720</v>
      </c>
      <c r="L19" s="33">
        <f t="shared" si="8"/>
        <v>1364927280</v>
      </c>
      <c r="M19" s="33">
        <f t="shared" si="9"/>
        <v>3380000</v>
      </c>
      <c r="N19" s="33">
        <f t="shared" si="10"/>
        <v>525800000</v>
      </c>
      <c r="O19" s="33">
        <f t="shared" si="11"/>
        <v>2013700</v>
      </c>
      <c r="P19" s="33">
        <f t="shared" si="12"/>
        <v>0</v>
      </c>
      <c r="Q19" s="33">
        <f t="shared" si="13"/>
        <v>51295614</v>
      </c>
      <c r="R19" s="33">
        <f t="shared" si="14"/>
        <v>5116525</v>
      </c>
      <c r="S19" s="33">
        <f t="shared" si="15"/>
        <v>-31800000</v>
      </c>
      <c r="T19" s="33">
        <f t="shared" si="16"/>
        <v>14990000</v>
      </c>
      <c r="BN19" s="4">
        <v>42396</v>
      </c>
      <c r="BO19" s="14">
        <v>2331363954</v>
      </c>
      <c r="BP19" s="3">
        <v>0</v>
      </c>
      <c r="BQ19" s="10">
        <v>296068115</v>
      </c>
      <c r="BR19" s="3">
        <v>99572720</v>
      </c>
      <c r="BS19" s="3">
        <v>1364927280</v>
      </c>
      <c r="BT19" s="3">
        <v>3380000</v>
      </c>
      <c r="BU19" s="3">
        <v>525800000</v>
      </c>
      <c r="BV19" s="3">
        <v>2013700</v>
      </c>
      <c r="BW19" s="3">
        <v>0</v>
      </c>
      <c r="BX19" s="3">
        <v>51295614</v>
      </c>
      <c r="BY19" s="3">
        <v>5116525</v>
      </c>
      <c r="BZ19" s="3">
        <v>-31800000</v>
      </c>
      <c r="CA19" s="3">
        <v>14990000</v>
      </c>
      <c r="CC19" s="4">
        <v>42396</v>
      </c>
      <c r="CD19" s="14">
        <v>2331363954</v>
      </c>
      <c r="CE19" s="3">
        <v>0</v>
      </c>
      <c r="CF19" s="10">
        <v>296068115</v>
      </c>
      <c r="CG19" s="3">
        <v>99572720</v>
      </c>
      <c r="CH19" s="3">
        <v>1364927280</v>
      </c>
      <c r="CI19" s="3">
        <v>3380000</v>
      </c>
      <c r="CJ19" s="3">
        <v>525800000</v>
      </c>
      <c r="CK19" s="3">
        <v>2013700</v>
      </c>
      <c r="CL19" s="3">
        <v>0</v>
      </c>
      <c r="CM19" s="3">
        <v>51295614</v>
      </c>
      <c r="CN19" s="3">
        <v>5116525</v>
      </c>
      <c r="CO19" s="3">
        <v>-31800000</v>
      </c>
      <c r="CP19" s="3">
        <v>14990000</v>
      </c>
      <c r="CQ19" s="4">
        <f t="shared" si="18"/>
        <v>42396</v>
      </c>
      <c r="CR19" s="15">
        <f>IF(SUM($CD19:CD$31)=0,"",SUM($CD19:CD$31))</f>
        <v>14146055567</v>
      </c>
      <c r="CS19" s="15" t="str">
        <f>IF(SUM($CE19:CE$31)=0,"",SUM($CE19:CE$31))</f>
        <v/>
      </c>
      <c r="CT19" s="15">
        <f>IF(SUM($CF19:CF$31)=0,"",SUM($CF19:CF$31))</f>
        <v>1033270210</v>
      </c>
      <c r="CU19" s="15">
        <f>IF(SUM($CG19:CG$31)=0,"",SUM($CG19:CG$31))</f>
        <v>1375868961</v>
      </c>
      <c r="CV19" s="15">
        <f>IF(SUM($CH19:CH$31)=0,"",SUM($CH19:CH$31))</f>
        <v>9373377270</v>
      </c>
      <c r="CW19" s="15">
        <f>IF(SUM($CI19:CI$31)=0,"",SUM($CI19:CI$31))</f>
        <v>125692970</v>
      </c>
      <c r="CX19" s="15">
        <f>IF(SUM($CJ19:CJ$31)=0,"",SUM($CJ19:CJ$31))</f>
        <v>1840209270</v>
      </c>
      <c r="CY19" s="15">
        <f>IF(SUM($CK19:CK$31)=0,"",SUM($CK19:CK$31))</f>
        <v>-214656730</v>
      </c>
      <c r="CZ19" s="15" t="str">
        <f>IF(SUM($CL19:CL$31)=0,"",SUM($CL19:CL$31))</f>
        <v/>
      </c>
      <c r="DA19" s="15">
        <f>IF(SUM($CM19:CM$31)=0,"",SUM($CM19:CM$31))</f>
        <v>240430060</v>
      </c>
      <c r="DB19" s="15">
        <f>IF(SUM($CN19:CN$31)=0,"",SUM($CN19:CN$31))</f>
        <v>38768398</v>
      </c>
      <c r="DC19" s="15">
        <f>IF(SUM($CO19:CO$31)=0,"",SUM($CO19:CO$31))</f>
        <v>393705158</v>
      </c>
      <c r="DD19" s="15">
        <f>IF(SUM($CP19:CP$31)=0,"",SUM($CP19:CP$31))</f>
        <v>-60610000</v>
      </c>
    </row>
    <row r="20" spans="2:108">
      <c r="B20" s="23">
        <v>1</v>
      </c>
      <c r="C20" s="26" t="str">
        <f>VLOOKUP($B$20,B21:C22,2,0)</f>
        <v>거래량</v>
      </c>
      <c r="D20" s="28" t="s">
        <v>17</v>
      </c>
      <c r="E20" s="30">
        <f t="shared" si="17"/>
        <v>13</v>
      </c>
      <c r="F20" s="12"/>
      <c r="G20" s="32">
        <f t="shared" si="3"/>
        <v>42395</v>
      </c>
      <c r="H20" s="33">
        <f t="shared" si="4"/>
        <v>1618683704</v>
      </c>
      <c r="I20" s="33">
        <f t="shared" si="5"/>
        <v>0</v>
      </c>
      <c r="J20" s="33">
        <f t="shared" si="6"/>
        <v>278465270</v>
      </c>
      <c r="K20" s="33">
        <f t="shared" si="7"/>
        <v>218250770</v>
      </c>
      <c r="L20" s="33">
        <f t="shared" si="8"/>
        <v>1183175000</v>
      </c>
      <c r="M20" s="33">
        <f t="shared" si="9"/>
        <v>-16150000</v>
      </c>
      <c r="N20" s="33">
        <f t="shared" si="10"/>
        <v>-93400000</v>
      </c>
      <c r="O20" s="33">
        <f t="shared" si="11"/>
        <v>-79422640</v>
      </c>
      <c r="P20" s="33">
        <f t="shared" si="12"/>
        <v>0</v>
      </c>
      <c r="Q20" s="33">
        <f t="shared" si="13"/>
        <v>55195152</v>
      </c>
      <c r="R20" s="33">
        <f t="shared" si="14"/>
        <v>2070152</v>
      </c>
      <c r="S20" s="33">
        <f t="shared" si="15"/>
        <v>87500000</v>
      </c>
      <c r="T20" s="33">
        <f t="shared" si="16"/>
        <v>-17000000</v>
      </c>
      <c r="BN20" s="4">
        <v>42395</v>
      </c>
      <c r="BO20" s="14">
        <v>1618683704</v>
      </c>
      <c r="BP20" s="3">
        <v>0</v>
      </c>
      <c r="BQ20" s="10">
        <v>278465270</v>
      </c>
      <c r="BR20" s="3">
        <v>218250770</v>
      </c>
      <c r="BS20" s="3">
        <v>1183175000</v>
      </c>
      <c r="BT20" s="3">
        <v>-16150000</v>
      </c>
      <c r="BU20" s="3">
        <v>-93400000</v>
      </c>
      <c r="BV20" s="3">
        <v>-79422640</v>
      </c>
      <c r="BW20" s="3">
        <v>0</v>
      </c>
      <c r="BX20" s="3">
        <v>55195152</v>
      </c>
      <c r="BY20" s="3">
        <v>2070152</v>
      </c>
      <c r="BZ20" s="3">
        <v>87500000</v>
      </c>
      <c r="CA20" s="3">
        <v>-17000000</v>
      </c>
      <c r="CC20" s="4">
        <v>42395</v>
      </c>
      <c r="CD20" s="14">
        <v>1618683704</v>
      </c>
      <c r="CE20" s="3">
        <v>0</v>
      </c>
      <c r="CF20" s="10">
        <v>278465270</v>
      </c>
      <c r="CG20" s="3">
        <v>218250770</v>
      </c>
      <c r="CH20" s="3">
        <v>1183175000</v>
      </c>
      <c r="CI20" s="3">
        <v>-16150000</v>
      </c>
      <c r="CJ20" s="3">
        <v>-93400000</v>
      </c>
      <c r="CK20" s="3">
        <v>-79422640</v>
      </c>
      <c r="CL20" s="3">
        <v>0</v>
      </c>
      <c r="CM20" s="3">
        <v>55195152</v>
      </c>
      <c r="CN20" s="3">
        <v>2070152</v>
      </c>
      <c r="CO20" s="3">
        <v>87500000</v>
      </c>
      <c r="CP20" s="3">
        <v>-17000000</v>
      </c>
      <c r="CQ20" s="4">
        <f t="shared" si="18"/>
        <v>42395</v>
      </c>
      <c r="CR20" s="15">
        <f>IF(SUM($CD20:CD$31)=0,"",SUM($CD20:CD$31))</f>
        <v>11814691613</v>
      </c>
      <c r="CS20" s="15" t="str">
        <f>IF(SUM($CE20:CE$31)=0,"",SUM($CE20:CE$31))</f>
        <v/>
      </c>
      <c r="CT20" s="15">
        <f>IF(SUM($CF20:CF$31)=0,"",SUM($CF20:CF$31))</f>
        <v>737202095</v>
      </c>
      <c r="CU20" s="15">
        <f>IF(SUM($CG20:CG$31)=0,"",SUM($CG20:CG$31))</f>
        <v>1276296241</v>
      </c>
      <c r="CV20" s="15">
        <f>IF(SUM($CH20:CH$31)=0,"",SUM($CH20:CH$31))</f>
        <v>8008449990</v>
      </c>
      <c r="CW20" s="15">
        <f>IF(SUM($CI20:CI$31)=0,"",SUM($CI20:CI$31))</f>
        <v>122312970</v>
      </c>
      <c r="CX20" s="15">
        <f>IF(SUM($CJ20:CJ$31)=0,"",SUM($CJ20:CJ$31))</f>
        <v>1314409270</v>
      </c>
      <c r="CY20" s="15">
        <f>IF(SUM($CK20:CK$31)=0,"",SUM($CK20:CK$31))</f>
        <v>-216670430</v>
      </c>
      <c r="CZ20" s="15" t="str">
        <f>IF(SUM($CL20:CL$31)=0,"",SUM($CL20:CL$31))</f>
        <v/>
      </c>
      <c r="DA20" s="15">
        <f>IF(SUM($CM20:CM$31)=0,"",SUM($CM20:CM$31))</f>
        <v>189134446</v>
      </c>
      <c r="DB20" s="15">
        <f>IF(SUM($CN20:CN$31)=0,"",SUM($CN20:CN$31))</f>
        <v>33651873</v>
      </c>
      <c r="DC20" s="15">
        <f>IF(SUM($CO20:CO$31)=0,"",SUM($CO20:CO$31))</f>
        <v>425505158</v>
      </c>
      <c r="DD20" s="15">
        <f>IF(SUM($CP20:CP$31)=0,"",SUM($CP20:CP$31))</f>
        <v>-75600000</v>
      </c>
    </row>
    <row r="21" spans="2:108">
      <c r="B21" s="34">
        <v>1</v>
      </c>
      <c r="C21" s="40" t="s">
        <v>25</v>
      </c>
      <c r="D21" s="28" t="s">
        <v>18</v>
      </c>
      <c r="E21" s="30">
        <f t="shared" si="17"/>
        <v>14</v>
      </c>
      <c r="F21" s="12"/>
      <c r="G21" s="32">
        <f t="shared" si="3"/>
        <v>42394</v>
      </c>
      <c r="H21" s="33">
        <f t="shared" si="4"/>
        <v>1862283998</v>
      </c>
      <c r="I21" s="33">
        <f t="shared" si="5"/>
        <v>0</v>
      </c>
      <c r="J21" s="33">
        <f t="shared" si="6"/>
        <v>379104800</v>
      </c>
      <c r="K21" s="33">
        <f t="shared" si="7"/>
        <v>-161653996</v>
      </c>
      <c r="L21" s="33">
        <f t="shared" si="8"/>
        <v>1500675000</v>
      </c>
      <c r="M21" s="33">
        <f t="shared" si="9"/>
        <v>62000000</v>
      </c>
      <c r="N21" s="33">
        <f t="shared" si="10"/>
        <v>13900000</v>
      </c>
      <c r="O21" s="33">
        <f t="shared" si="11"/>
        <v>30783610</v>
      </c>
      <c r="P21" s="33">
        <f t="shared" si="12"/>
        <v>0</v>
      </c>
      <c r="Q21" s="33">
        <f t="shared" si="13"/>
        <v>-3540195</v>
      </c>
      <c r="R21" s="33">
        <f t="shared" si="14"/>
        <v>3136363</v>
      </c>
      <c r="S21" s="33">
        <f t="shared" si="15"/>
        <v>27878416</v>
      </c>
      <c r="T21" s="33">
        <f t="shared" si="16"/>
        <v>10000000</v>
      </c>
      <c r="BN21" s="4">
        <v>42394</v>
      </c>
      <c r="BO21" s="14">
        <v>1862283998</v>
      </c>
      <c r="BP21" s="3">
        <v>0</v>
      </c>
      <c r="BQ21" s="10">
        <v>379104800</v>
      </c>
      <c r="BR21" s="3">
        <v>-161653996</v>
      </c>
      <c r="BS21" s="3">
        <v>1500675000</v>
      </c>
      <c r="BT21" s="3">
        <v>62000000</v>
      </c>
      <c r="BU21" s="3">
        <v>13900000</v>
      </c>
      <c r="BV21" s="3">
        <v>30783610</v>
      </c>
      <c r="BW21" s="3">
        <v>0</v>
      </c>
      <c r="BX21" s="3">
        <v>-3540195</v>
      </c>
      <c r="BY21" s="3">
        <v>3136363</v>
      </c>
      <c r="BZ21" s="3">
        <v>27878416</v>
      </c>
      <c r="CA21" s="3">
        <v>10000000</v>
      </c>
      <c r="CC21" s="4">
        <v>42394</v>
      </c>
      <c r="CD21" s="14">
        <v>1862283998</v>
      </c>
      <c r="CE21" s="3">
        <v>0</v>
      </c>
      <c r="CF21" s="10">
        <v>379104800</v>
      </c>
      <c r="CG21" s="3">
        <v>-161653996</v>
      </c>
      <c r="CH21" s="3">
        <v>1500675000</v>
      </c>
      <c r="CI21" s="3">
        <v>62000000</v>
      </c>
      <c r="CJ21" s="3">
        <v>13900000</v>
      </c>
      <c r="CK21" s="3">
        <v>30783610</v>
      </c>
      <c r="CL21" s="3">
        <v>0</v>
      </c>
      <c r="CM21" s="3">
        <v>-3540195</v>
      </c>
      <c r="CN21" s="3">
        <v>3136363</v>
      </c>
      <c r="CO21" s="3">
        <v>27878416</v>
      </c>
      <c r="CP21" s="3">
        <v>10000000</v>
      </c>
      <c r="CQ21" s="4">
        <f t="shared" si="18"/>
        <v>42394</v>
      </c>
      <c r="CR21" s="15">
        <f>IF(SUM($CD21:CD$31)=0,"",SUM($CD21:CD$31))</f>
        <v>10196007909</v>
      </c>
      <c r="CS21" s="15" t="str">
        <f>IF(SUM($CE21:CE$31)=0,"",SUM($CE21:CE$31))</f>
        <v/>
      </c>
      <c r="CT21" s="15">
        <f>IF(SUM($CF21:CF$31)=0,"",SUM($CF21:CF$31))</f>
        <v>458736825</v>
      </c>
      <c r="CU21" s="15">
        <f>IF(SUM($CG21:CG$31)=0,"",SUM($CG21:CG$31))</f>
        <v>1058045471</v>
      </c>
      <c r="CV21" s="15">
        <f>IF(SUM($CH21:CH$31)=0,"",SUM($CH21:CH$31))</f>
        <v>6825274990</v>
      </c>
      <c r="CW21" s="15">
        <f>IF(SUM($CI21:CI$31)=0,"",SUM($CI21:CI$31))</f>
        <v>138462970</v>
      </c>
      <c r="CX21" s="15">
        <f>IF(SUM($CJ21:CJ$31)=0,"",SUM($CJ21:CJ$31))</f>
        <v>1407809270</v>
      </c>
      <c r="CY21" s="15">
        <f>IF(SUM($CK21:CK$31)=0,"",SUM($CK21:CK$31))</f>
        <v>-137247790</v>
      </c>
      <c r="CZ21" s="15" t="str">
        <f>IF(SUM($CL21:CL$31)=0,"",SUM($CL21:CL$31))</f>
        <v/>
      </c>
      <c r="DA21" s="15">
        <f>IF(SUM($CM21:CM$31)=0,"",SUM($CM21:CM$31))</f>
        <v>133939294</v>
      </c>
      <c r="DB21" s="15">
        <f>IF(SUM($CN21:CN$31)=0,"",SUM($CN21:CN$31))</f>
        <v>31581721</v>
      </c>
      <c r="DC21" s="15">
        <f>IF(SUM($CO21:CO$31)=0,"",SUM($CO21:CO$31))</f>
        <v>338005158</v>
      </c>
      <c r="DD21" s="15">
        <f>IF(SUM($CP21:CP$31)=0,"",SUM($CP21:CP$31))</f>
        <v>-58600000</v>
      </c>
    </row>
    <row r="22" spans="2:108" ht="14.25" thickBot="1">
      <c r="B22" s="37">
        <v>2</v>
      </c>
      <c r="C22" s="41" t="s">
        <v>26</v>
      </c>
      <c r="D22" s="28" t="s">
        <v>19</v>
      </c>
      <c r="E22" s="30">
        <f t="shared" si="17"/>
        <v>15</v>
      </c>
      <c r="F22" s="12"/>
      <c r="G22" s="32">
        <f t="shared" si="3"/>
        <v>42391</v>
      </c>
      <c r="H22" s="33">
        <f t="shared" si="4"/>
        <v>2391355862</v>
      </c>
      <c r="I22" s="33">
        <f t="shared" si="5"/>
        <v>0</v>
      </c>
      <c r="J22" s="33">
        <f t="shared" si="6"/>
        <v>584028505</v>
      </c>
      <c r="K22" s="33">
        <f t="shared" si="7"/>
        <v>628455587</v>
      </c>
      <c r="L22" s="33">
        <f t="shared" si="8"/>
        <v>242220000</v>
      </c>
      <c r="M22" s="33">
        <f t="shared" si="9"/>
        <v>21600000</v>
      </c>
      <c r="N22" s="33">
        <f t="shared" si="10"/>
        <v>784300000</v>
      </c>
      <c r="O22" s="33">
        <f t="shared" si="11"/>
        <v>-23502310</v>
      </c>
      <c r="P22" s="33">
        <f t="shared" si="12"/>
        <v>0</v>
      </c>
      <c r="Q22" s="33">
        <f t="shared" si="13"/>
        <v>6416567</v>
      </c>
      <c r="R22" s="33">
        <f t="shared" si="14"/>
        <v>10337513</v>
      </c>
      <c r="S22" s="33">
        <f t="shared" si="15"/>
        <v>150500000</v>
      </c>
      <c r="T22" s="33">
        <f t="shared" si="16"/>
        <v>-13000000</v>
      </c>
      <c r="BN22" s="4">
        <v>42391</v>
      </c>
      <c r="BO22" s="14">
        <v>2391355862</v>
      </c>
      <c r="BP22" s="3">
        <v>0</v>
      </c>
      <c r="BQ22" s="10">
        <v>584028505</v>
      </c>
      <c r="BR22" s="3">
        <v>628455587</v>
      </c>
      <c r="BS22" s="3">
        <v>242220000</v>
      </c>
      <c r="BT22" s="3">
        <v>21600000</v>
      </c>
      <c r="BU22" s="3">
        <v>784300000</v>
      </c>
      <c r="BV22" s="3">
        <v>-23502310</v>
      </c>
      <c r="BW22" s="3">
        <v>0</v>
      </c>
      <c r="BX22" s="3">
        <v>6416567</v>
      </c>
      <c r="BY22" s="3">
        <v>10337513</v>
      </c>
      <c r="BZ22" s="3">
        <v>150500000</v>
      </c>
      <c r="CA22" s="3">
        <v>-13000000</v>
      </c>
      <c r="CC22" s="4">
        <v>42391</v>
      </c>
      <c r="CD22" s="14">
        <v>2391355862</v>
      </c>
      <c r="CE22" s="3">
        <v>0</v>
      </c>
      <c r="CF22" s="10">
        <v>584028505</v>
      </c>
      <c r="CG22" s="3">
        <v>628455587</v>
      </c>
      <c r="CH22" s="3">
        <v>242220000</v>
      </c>
      <c r="CI22" s="3">
        <v>21600000</v>
      </c>
      <c r="CJ22" s="3">
        <v>784300000</v>
      </c>
      <c r="CK22" s="3">
        <v>-23502310</v>
      </c>
      <c r="CL22" s="3">
        <v>0</v>
      </c>
      <c r="CM22" s="3">
        <v>6416567</v>
      </c>
      <c r="CN22" s="3">
        <v>10337513</v>
      </c>
      <c r="CO22" s="3">
        <v>150500000</v>
      </c>
      <c r="CP22" s="3">
        <v>-13000000</v>
      </c>
      <c r="CQ22" s="4">
        <f t="shared" si="18"/>
        <v>42391</v>
      </c>
      <c r="CR22" s="15">
        <f>IF(SUM($CD22:CD$31)=0,"",SUM($CD22:CD$31))</f>
        <v>8333723911</v>
      </c>
      <c r="CS22" s="15" t="str">
        <f>IF(SUM($CE22:CE$31)=0,"",SUM($CE22:CE$31))</f>
        <v/>
      </c>
      <c r="CT22" s="15">
        <f>IF(SUM($CF22:CF$31)=0,"",SUM($CF22:CF$31))</f>
        <v>79632025</v>
      </c>
      <c r="CU22" s="15">
        <f>IF(SUM($CG22:CG$31)=0,"",SUM($CG22:CG$31))</f>
        <v>1219699467</v>
      </c>
      <c r="CV22" s="15">
        <f>IF(SUM($CH22:CH$31)=0,"",SUM($CH22:CH$31))</f>
        <v>5324599990</v>
      </c>
      <c r="CW22" s="15">
        <f>IF(SUM($CI22:CI$31)=0,"",SUM($CI22:CI$31))</f>
        <v>76462970</v>
      </c>
      <c r="CX22" s="15">
        <f>IF(SUM($CJ22:CJ$31)=0,"",SUM($CJ22:CJ$31))</f>
        <v>1393909270</v>
      </c>
      <c r="CY22" s="15">
        <f>IF(SUM($CK22:CK$31)=0,"",SUM($CK22:CK$31))</f>
        <v>-168031400</v>
      </c>
      <c r="CZ22" s="15" t="str">
        <f>IF(SUM($CL22:CL$31)=0,"",SUM($CL22:CL$31))</f>
        <v/>
      </c>
      <c r="DA22" s="15">
        <f>IF(SUM($CM22:CM$31)=0,"",SUM($CM22:CM$31))</f>
        <v>137479489</v>
      </c>
      <c r="DB22" s="15">
        <f>IF(SUM($CN22:CN$31)=0,"",SUM($CN22:CN$31))</f>
        <v>28445358</v>
      </c>
      <c r="DC22" s="15">
        <f>IF(SUM($CO22:CO$31)=0,"",SUM($CO22:CO$31))</f>
        <v>310126742</v>
      </c>
      <c r="DD22" s="15">
        <f>IF(SUM($CP22:CP$31)=0,"",SUM($CP22:CP$31))</f>
        <v>-68600000</v>
      </c>
    </row>
    <row r="23" spans="2:108">
      <c r="B23" s="42"/>
      <c r="C23" s="42"/>
      <c r="D23" s="28" t="s">
        <v>20</v>
      </c>
      <c r="E23" s="30">
        <f t="shared" si="17"/>
        <v>16</v>
      </c>
      <c r="F23" s="12"/>
      <c r="G23" s="32">
        <f t="shared" si="3"/>
        <v>42390</v>
      </c>
      <c r="H23" s="33">
        <f t="shared" si="4"/>
        <v>956776357</v>
      </c>
      <c r="I23" s="33">
        <f t="shared" si="5"/>
        <v>0</v>
      </c>
      <c r="J23" s="33">
        <f t="shared" si="6"/>
        <v>265818745</v>
      </c>
      <c r="K23" s="33">
        <f t="shared" si="7"/>
        <v>82150000</v>
      </c>
      <c r="L23" s="33">
        <f t="shared" si="8"/>
        <v>431472720</v>
      </c>
      <c r="M23" s="33">
        <f t="shared" si="9"/>
        <v>-4318376</v>
      </c>
      <c r="N23" s="33">
        <f t="shared" si="10"/>
        <v>76100000</v>
      </c>
      <c r="O23" s="33">
        <f t="shared" si="11"/>
        <v>-50554690</v>
      </c>
      <c r="P23" s="33">
        <f t="shared" si="12"/>
        <v>0</v>
      </c>
      <c r="Q23" s="33">
        <f t="shared" si="13"/>
        <v>148143149</v>
      </c>
      <c r="R23" s="33">
        <f t="shared" si="14"/>
        <v>4564809</v>
      </c>
      <c r="S23" s="33">
        <f t="shared" si="15"/>
        <v>73000000</v>
      </c>
      <c r="T23" s="33">
        <f t="shared" si="16"/>
        <v>-69600000</v>
      </c>
      <c r="BN23" s="4">
        <v>42390</v>
      </c>
      <c r="BO23" s="14">
        <v>956776357</v>
      </c>
      <c r="BP23" s="3">
        <v>0</v>
      </c>
      <c r="BQ23" s="10">
        <v>265818745</v>
      </c>
      <c r="BR23" s="3">
        <v>82150000</v>
      </c>
      <c r="BS23" s="3">
        <v>431472720</v>
      </c>
      <c r="BT23" s="3">
        <v>-4318376</v>
      </c>
      <c r="BU23" s="3">
        <v>76100000</v>
      </c>
      <c r="BV23" s="3">
        <v>-50554690</v>
      </c>
      <c r="BW23" s="3">
        <v>0</v>
      </c>
      <c r="BX23" s="3">
        <v>148143149</v>
      </c>
      <c r="BY23" s="3">
        <v>4564809</v>
      </c>
      <c r="BZ23" s="3">
        <v>73000000</v>
      </c>
      <c r="CA23" s="3">
        <v>-69600000</v>
      </c>
      <c r="CC23" s="4">
        <v>42390</v>
      </c>
      <c r="CD23" s="14">
        <v>956776357</v>
      </c>
      <c r="CE23" s="3">
        <v>0</v>
      </c>
      <c r="CF23" s="10">
        <v>265818745</v>
      </c>
      <c r="CG23" s="3">
        <v>82150000</v>
      </c>
      <c r="CH23" s="3">
        <v>431472720</v>
      </c>
      <c r="CI23" s="3">
        <v>-4318376</v>
      </c>
      <c r="CJ23" s="3">
        <v>76100000</v>
      </c>
      <c r="CK23" s="3">
        <v>-50554690</v>
      </c>
      <c r="CL23" s="3">
        <v>0</v>
      </c>
      <c r="CM23" s="3">
        <v>148143149</v>
      </c>
      <c r="CN23" s="3">
        <v>4564809</v>
      </c>
      <c r="CO23" s="3">
        <v>73000000</v>
      </c>
      <c r="CP23" s="3">
        <v>-69600000</v>
      </c>
      <c r="CQ23" s="4">
        <f t="shared" si="18"/>
        <v>42390</v>
      </c>
      <c r="CR23" s="15">
        <f>IF(SUM($CD23:CD$31)=0,"",SUM($CD23:CD$31))</f>
        <v>5942368049</v>
      </c>
      <c r="CS23" s="15" t="str">
        <f>IF(SUM($CE23:CE$31)=0,"",SUM($CE23:CE$31))</f>
        <v/>
      </c>
      <c r="CT23" s="15">
        <f>IF(SUM($CF23:CF$31)=0,"",SUM($CF23:CF$31))</f>
        <v>-504396480</v>
      </c>
      <c r="CU23" s="15">
        <f>IF(SUM($CG23:CG$31)=0,"",SUM($CG23:CG$31))</f>
        <v>591243880</v>
      </c>
      <c r="CV23" s="15">
        <f>IF(SUM($CH23:CH$31)=0,"",SUM($CH23:CH$31))</f>
        <v>5082379990</v>
      </c>
      <c r="CW23" s="15">
        <f>IF(SUM($CI23:CI$31)=0,"",SUM($CI23:CI$31))</f>
        <v>54862970</v>
      </c>
      <c r="CX23" s="15">
        <f>IF(SUM($CJ23:CJ$31)=0,"",SUM($CJ23:CJ$31))</f>
        <v>609609270</v>
      </c>
      <c r="CY23" s="15">
        <f>IF(SUM($CK23:CK$31)=0,"",SUM($CK23:CK$31))</f>
        <v>-144529090</v>
      </c>
      <c r="CZ23" s="15" t="str">
        <f>IF(SUM($CL23:CL$31)=0,"",SUM($CL23:CL$31))</f>
        <v/>
      </c>
      <c r="DA23" s="15">
        <f>IF(SUM($CM23:CM$31)=0,"",SUM($CM23:CM$31))</f>
        <v>131062922</v>
      </c>
      <c r="DB23" s="15">
        <f>IF(SUM($CN23:CN$31)=0,"",SUM($CN23:CN$31))</f>
        <v>18107845</v>
      </c>
      <c r="DC23" s="15">
        <f>IF(SUM($CO23:CO$31)=0,"",SUM($CO23:CO$31))</f>
        <v>159626742</v>
      </c>
      <c r="DD23" s="15">
        <f>IF(SUM($CP23:CP$31)=0,"",SUM($CP23:CP$31))</f>
        <v>-55600000</v>
      </c>
    </row>
    <row r="24" spans="2:108">
      <c r="B24" s="42"/>
      <c r="C24" s="42"/>
      <c r="D24" s="28" t="s">
        <v>21</v>
      </c>
      <c r="E24" s="30">
        <f t="shared" si="17"/>
        <v>17</v>
      </c>
      <c r="F24" s="12"/>
      <c r="G24" s="32">
        <f t="shared" si="3"/>
        <v>42389</v>
      </c>
      <c r="H24" s="33">
        <f t="shared" si="4"/>
        <v>1518831883</v>
      </c>
      <c r="I24" s="33">
        <f t="shared" si="5"/>
        <v>0</v>
      </c>
      <c r="J24" s="33">
        <f t="shared" si="6"/>
        <v>-142566740</v>
      </c>
      <c r="K24" s="33">
        <f t="shared" si="7"/>
        <v>-178041000</v>
      </c>
      <c r="L24" s="33">
        <f t="shared" si="8"/>
        <v>2224261000</v>
      </c>
      <c r="M24" s="33">
        <f t="shared" si="9"/>
        <v>-56018654</v>
      </c>
      <c r="N24" s="33">
        <f t="shared" si="10"/>
        <v>-307800000</v>
      </c>
      <c r="O24" s="33">
        <f t="shared" si="11"/>
        <v>-10544800</v>
      </c>
      <c r="P24" s="33">
        <f t="shared" si="12"/>
        <v>0</v>
      </c>
      <c r="Q24" s="33">
        <f t="shared" si="13"/>
        <v>-77214497</v>
      </c>
      <c r="R24" s="33">
        <f t="shared" si="14"/>
        <v>1558338</v>
      </c>
      <c r="S24" s="33">
        <f t="shared" si="15"/>
        <v>69198236</v>
      </c>
      <c r="T24" s="33">
        <f t="shared" si="16"/>
        <v>-4000000</v>
      </c>
      <c r="BN24" s="4">
        <v>42389</v>
      </c>
      <c r="BO24" s="14">
        <v>1518831883</v>
      </c>
      <c r="BP24" s="3">
        <v>0</v>
      </c>
      <c r="BQ24" s="10">
        <v>-142566740</v>
      </c>
      <c r="BR24" s="3">
        <v>-178041000</v>
      </c>
      <c r="BS24" s="3">
        <v>2224261000</v>
      </c>
      <c r="BT24" s="3">
        <v>-56018654</v>
      </c>
      <c r="BU24" s="3">
        <v>-307800000</v>
      </c>
      <c r="BV24" s="3">
        <v>-10544800</v>
      </c>
      <c r="BW24" s="3">
        <v>0</v>
      </c>
      <c r="BX24" s="3">
        <v>-77214497</v>
      </c>
      <c r="BY24" s="3">
        <v>1558338</v>
      </c>
      <c r="BZ24" s="3">
        <v>69198236</v>
      </c>
      <c r="CA24" s="3">
        <v>-4000000</v>
      </c>
      <c r="CC24" s="4">
        <v>42389</v>
      </c>
      <c r="CD24" s="14">
        <v>1518831883</v>
      </c>
      <c r="CE24" s="3">
        <v>0</v>
      </c>
      <c r="CF24" s="10">
        <v>-142566740</v>
      </c>
      <c r="CG24" s="3">
        <v>-178041000</v>
      </c>
      <c r="CH24" s="3">
        <v>2224261000</v>
      </c>
      <c r="CI24" s="3">
        <v>-56018654</v>
      </c>
      <c r="CJ24" s="3">
        <v>-307800000</v>
      </c>
      <c r="CK24" s="3">
        <v>-10544800</v>
      </c>
      <c r="CL24" s="3">
        <v>0</v>
      </c>
      <c r="CM24" s="3">
        <v>-77214497</v>
      </c>
      <c r="CN24" s="3">
        <v>1558338</v>
      </c>
      <c r="CO24" s="3">
        <v>69198236</v>
      </c>
      <c r="CP24" s="3">
        <v>-4000000</v>
      </c>
      <c r="CQ24" s="4">
        <f t="shared" si="18"/>
        <v>42389</v>
      </c>
      <c r="CR24" s="15">
        <f>IF(SUM($CD24:CD$31)=0,"",SUM($CD24:CD$31))</f>
        <v>4985591692</v>
      </c>
      <c r="CS24" s="15" t="str">
        <f>IF(SUM($CE24:CE$31)=0,"",SUM($CE24:CE$31))</f>
        <v/>
      </c>
      <c r="CT24" s="15">
        <f>IF(SUM($CF24:CF$31)=0,"",SUM($CF24:CF$31))</f>
        <v>-770215225</v>
      </c>
      <c r="CU24" s="15">
        <f>IF(SUM($CG24:CG$31)=0,"",SUM($CG24:CG$31))</f>
        <v>509093880</v>
      </c>
      <c r="CV24" s="15">
        <f>IF(SUM($CH24:CH$31)=0,"",SUM($CH24:CH$31))</f>
        <v>4650907270</v>
      </c>
      <c r="CW24" s="15">
        <f>IF(SUM($CI24:CI$31)=0,"",SUM($CI24:CI$31))</f>
        <v>59181346</v>
      </c>
      <c r="CX24" s="15">
        <f>IF(SUM($CJ24:CJ$31)=0,"",SUM($CJ24:CJ$31))</f>
        <v>533509270</v>
      </c>
      <c r="CY24" s="15">
        <f>IF(SUM($CK24:CK$31)=0,"",SUM($CK24:CK$31))</f>
        <v>-93974400</v>
      </c>
      <c r="CZ24" s="15" t="str">
        <f>IF(SUM($CL24:CL$31)=0,"",SUM($CL24:CL$31))</f>
        <v/>
      </c>
      <c r="DA24" s="15">
        <f>IF(SUM($CM24:CM$31)=0,"",SUM($CM24:CM$31))</f>
        <v>-17080227</v>
      </c>
      <c r="DB24" s="15">
        <f>IF(SUM($CN24:CN$31)=0,"",SUM($CN24:CN$31))</f>
        <v>13543036</v>
      </c>
      <c r="DC24" s="15">
        <f>IF(SUM($CO24:CO$31)=0,"",SUM($CO24:CO$31))</f>
        <v>86626742</v>
      </c>
      <c r="DD24" s="15">
        <f>IF(SUM($CP24:CP$31)=0,"",SUM($CP24:CP$31))</f>
        <v>14000000</v>
      </c>
    </row>
    <row r="25" spans="2:108">
      <c r="B25" s="42"/>
      <c r="C25" s="42"/>
      <c r="D25" s="28" t="s">
        <v>22</v>
      </c>
      <c r="E25" s="30">
        <f t="shared" si="17"/>
        <v>18</v>
      </c>
      <c r="F25" s="12"/>
      <c r="G25" s="32">
        <f t="shared" si="3"/>
        <v>42388</v>
      </c>
      <c r="H25" s="33">
        <f t="shared" si="4"/>
        <v>1442492938</v>
      </c>
      <c r="I25" s="33">
        <f t="shared" si="5"/>
        <v>0</v>
      </c>
      <c r="J25" s="33">
        <f t="shared" si="6"/>
        <v>-311429075</v>
      </c>
      <c r="K25" s="33">
        <f t="shared" si="7"/>
        <v>265142000</v>
      </c>
      <c r="L25" s="33">
        <f t="shared" si="8"/>
        <v>1207013890</v>
      </c>
      <c r="M25" s="33">
        <f t="shared" si="9"/>
        <v>-91800000</v>
      </c>
      <c r="N25" s="33">
        <f t="shared" si="10"/>
        <v>301300000</v>
      </c>
      <c r="O25" s="33">
        <f t="shared" si="11"/>
        <v>-55175250</v>
      </c>
      <c r="P25" s="33">
        <f t="shared" si="12"/>
        <v>0</v>
      </c>
      <c r="Q25" s="33">
        <f t="shared" si="13"/>
        <v>75078539</v>
      </c>
      <c r="R25" s="33">
        <f t="shared" si="14"/>
        <v>7382158</v>
      </c>
      <c r="S25" s="33">
        <f t="shared" si="15"/>
        <v>24980676</v>
      </c>
      <c r="T25" s="33">
        <f t="shared" si="16"/>
        <v>20000000</v>
      </c>
      <c r="BN25" s="4">
        <v>42388</v>
      </c>
      <c r="BO25" s="14">
        <v>1442492938</v>
      </c>
      <c r="BP25" s="3">
        <v>0</v>
      </c>
      <c r="BQ25" s="10">
        <v>-311429075</v>
      </c>
      <c r="BR25" s="3">
        <v>265142000</v>
      </c>
      <c r="BS25" s="3">
        <v>1207013890</v>
      </c>
      <c r="BT25" s="3">
        <v>-91800000</v>
      </c>
      <c r="BU25" s="3">
        <v>301300000</v>
      </c>
      <c r="BV25" s="3">
        <v>-55175250</v>
      </c>
      <c r="BW25" s="3">
        <v>0</v>
      </c>
      <c r="BX25" s="3">
        <v>75078539</v>
      </c>
      <c r="BY25" s="3">
        <v>7382158</v>
      </c>
      <c r="BZ25" s="3">
        <v>24980676</v>
      </c>
      <c r="CA25" s="3">
        <v>20000000</v>
      </c>
      <c r="CC25" s="4">
        <v>42388</v>
      </c>
      <c r="CD25" s="14">
        <v>1442492938</v>
      </c>
      <c r="CE25" s="3">
        <v>0</v>
      </c>
      <c r="CF25" s="10">
        <v>-311429075</v>
      </c>
      <c r="CG25" s="3">
        <v>265142000</v>
      </c>
      <c r="CH25" s="3">
        <v>1207013890</v>
      </c>
      <c r="CI25" s="3">
        <v>-91800000</v>
      </c>
      <c r="CJ25" s="3">
        <v>301300000</v>
      </c>
      <c r="CK25" s="3">
        <v>-55175250</v>
      </c>
      <c r="CL25" s="3">
        <v>0</v>
      </c>
      <c r="CM25" s="3">
        <v>75078539</v>
      </c>
      <c r="CN25" s="3">
        <v>7382158</v>
      </c>
      <c r="CO25" s="3">
        <v>24980676</v>
      </c>
      <c r="CP25" s="3">
        <v>20000000</v>
      </c>
      <c r="CQ25" s="4">
        <f t="shared" si="18"/>
        <v>42388</v>
      </c>
      <c r="CR25" s="15">
        <f>IF(SUM($CD25:CD$31)=0,"",SUM($CD25:CD$31))</f>
        <v>3466759809</v>
      </c>
      <c r="CS25" s="15" t="str">
        <f>IF(SUM($CE25:CE$31)=0,"",SUM($CE25:CE$31))</f>
        <v/>
      </c>
      <c r="CT25" s="15">
        <f>IF(SUM($CF25:CF$31)=0,"",SUM($CF25:CF$31))</f>
        <v>-627648485</v>
      </c>
      <c r="CU25" s="15">
        <f>IF(SUM($CG25:CG$31)=0,"",SUM($CG25:CG$31))</f>
        <v>687134880</v>
      </c>
      <c r="CV25" s="15">
        <f>IF(SUM($CH25:CH$31)=0,"",SUM($CH25:CH$31))</f>
        <v>2426646270</v>
      </c>
      <c r="CW25" s="15">
        <f>IF(SUM($CI25:CI$31)=0,"",SUM($CI25:CI$31))</f>
        <v>115200000</v>
      </c>
      <c r="CX25" s="15">
        <f>IF(SUM($CJ25:CJ$31)=0,"",SUM($CJ25:CJ$31))</f>
        <v>841309270</v>
      </c>
      <c r="CY25" s="15">
        <f>IF(SUM($CK25:CK$31)=0,"",SUM($CK25:CK$31))</f>
        <v>-83429600</v>
      </c>
      <c r="CZ25" s="15" t="str">
        <f>IF(SUM($CL25:CL$31)=0,"",SUM($CL25:CL$31))</f>
        <v/>
      </c>
      <c r="DA25" s="15">
        <f>IF(SUM($CM25:CM$31)=0,"",SUM($CM25:CM$31))</f>
        <v>60134270</v>
      </c>
      <c r="DB25" s="15">
        <f>IF(SUM($CN25:CN$31)=0,"",SUM($CN25:CN$31))</f>
        <v>11984698</v>
      </c>
      <c r="DC25" s="15">
        <f>IF(SUM($CO25:CO$31)=0,"",SUM($CO25:CO$31))</f>
        <v>17428506</v>
      </c>
      <c r="DD25" s="15">
        <f>IF(SUM($CP25:CP$31)=0,"",SUM($CP25:CP$31))</f>
        <v>18000000</v>
      </c>
    </row>
    <row r="26" spans="2:108">
      <c r="B26" s="42"/>
      <c r="C26" s="42"/>
      <c r="D26" s="28" t="s">
        <v>23</v>
      </c>
      <c r="E26" s="30">
        <f t="shared" si="17"/>
        <v>19</v>
      </c>
      <c r="F26" s="12"/>
      <c r="G26" s="32">
        <f t="shared" si="3"/>
        <v>42387</v>
      </c>
      <c r="H26" s="33">
        <f t="shared" si="4"/>
        <v>2024266871</v>
      </c>
      <c r="I26" s="33">
        <f t="shared" si="5"/>
        <v>0</v>
      </c>
      <c r="J26" s="33">
        <f t="shared" si="6"/>
        <v>-316219410</v>
      </c>
      <c r="K26" s="33">
        <f t="shared" si="7"/>
        <v>421992880</v>
      </c>
      <c r="L26" s="33">
        <f t="shared" si="8"/>
        <v>1219632380</v>
      </c>
      <c r="M26" s="33">
        <f t="shared" si="9"/>
        <v>207000000</v>
      </c>
      <c r="N26" s="33">
        <f t="shared" si="10"/>
        <v>540009270</v>
      </c>
      <c r="O26" s="33">
        <f t="shared" si="11"/>
        <v>-28254350</v>
      </c>
      <c r="P26" s="33">
        <f t="shared" si="12"/>
        <v>0</v>
      </c>
      <c r="Q26" s="33">
        <f t="shared" si="13"/>
        <v>-14944269</v>
      </c>
      <c r="R26" s="33">
        <f t="shared" si="14"/>
        <v>4602540</v>
      </c>
      <c r="S26" s="33">
        <f t="shared" si="15"/>
        <v>-7552170</v>
      </c>
      <c r="T26" s="33">
        <f t="shared" si="16"/>
        <v>-2000000</v>
      </c>
      <c r="BN26" s="4">
        <v>42387</v>
      </c>
      <c r="BO26" s="14">
        <v>2024266871</v>
      </c>
      <c r="BP26" s="3">
        <v>0</v>
      </c>
      <c r="BQ26" s="10">
        <v>-316219410</v>
      </c>
      <c r="BR26" s="3">
        <v>421992880</v>
      </c>
      <c r="BS26" s="3">
        <v>1219632380</v>
      </c>
      <c r="BT26" s="3">
        <v>207000000</v>
      </c>
      <c r="BU26" s="3">
        <v>540009270</v>
      </c>
      <c r="BV26" s="3">
        <v>-28254350</v>
      </c>
      <c r="BW26" s="3">
        <v>0</v>
      </c>
      <c r="BX26" s="3">
        <v>-14944269</v>
      </c>
      <c r="BY26" s="3">
        <v>4602540</v>
      </c>
      <c r="BZ26" s="3">
        <v>-7552170</v>
      </c>
      <c r="CA26" s="3">
        <v>-2000000</v>
      </c>
      <c r="CC26" s="4">
        <v>42387</v>
      </c>
      <c r="CD26" s="14">
        <v>2024266871</v>
      </c>
      <c r="CE26" s="3">
        <v>0</v>
      </c>
      <c r="CF26" s="10">
        <v>-316219410</v>
      </c>
      <c r="CG26" s="3">
        <v>421992880</v>
      </c>
      <c r="CH26" s="3">
        <v>1219632380</v>
      </c>
      <c r="CI26" s="3">
        <v>207000000</v>
      </c>
      <c r="CJ26" s="3">
        <v>540009270</v>
      </c>
      <c r="CK26" s="3">
        <v>-28254350</v>
      </c>
      <c r="CL26" s="3">
        <v>0</v>
      </c>
      <c r="CM26" s="3">
        <v>-14944269</v>
      </c>
      <c r="CN26" s="3">
        <v>4602540</v>
      </c>
      <c r="CO26" s="3">
        <v>-7552170</v>
      </c>
      <c r="CP26" s="3">
        <v>-2000000</v>
      </c>
      <c r="CQ26" s="4">
        <f t="shared" si="18"/>
        <v>42387</v>
      </c>
      <c r="CR26" s="15">
        <f>IF(SUM($CD26:CD$31)=0,"",SUM($CD26:CD$31))</f>
        <v>2024266871</v>
      </c>
      <c r="CS26" s="15" t="str">
        <f>IF(SUM($CE26:CE$31)=0,"",SUM($CE26:CE$31))</f>
        <v/>
      </c>
      <c r="CT26" s="15">
        <f>IF(SUM($CF26:CF$31)=0,"",SUM($CF26:CF$31))</f>
        <v>-316219410</v>
      </c>
      <c r="CU26" s="15">
        <f>IF(SUM($CG26:CG$31)=0,"",SUM($CG26:CG$31))</f>
        <v>421992880</v>
      </c>
      <c r="CV26" s="15">
        <f>IF(SUM($CH26:CH$31)=0,"",SUM($CH26:CH$31))</f>
        <v>1219632380</v>
      </c>
      <c r="CW26" s="15">
        <f>IF(SUM($CI26:CI$31)=0,"",SUM($CI26:CI$31))</f>
        <v>207000000</v>
      </c>
      <c r="CX26" s="15">
        <f>IF(SUM($CJ26:CJ$31)=0,"",SUM($CJ26:CJ$31))</f>
        <v>540009270</v>
      </c>
      <c r="CY26" s="15">
        <f>IF(SUM($CK26:CK$31)=0,"",SUM($CK26:CK$31))</f>
        <v>-28254350</v>
      </c>
      <c r="CZ26" s="15" t="str">
        <f>IF(SUM($CL26:CL$31)=0,"",SUM($CL26:CL$31))</f>
        <v/>
      </c>
      <c r="DA26" s="15">
        <f>IF(SUM($CM26:CM$31)=0,"",SUM($CM26:CM$31))</f>
        <v>-14944269</v>
      </c>
      <c r="DB26" s="15">
        <f>IF(SUM($CN26:CN$31)=0,"",SUM($CN26:CN$31))</f>
        <v>4602540</v>
      </c>
      <c r="DC26" s="15">
        <f>IF(SUM($CO26:CO$31)=0,"",SUM($CO26:CO$31))</f>
        <v>-7552170</v>
      </c>
      <c r="DD26" s="15">
        <f>IF(SUM($CP26:CP$31)=0,"",SUM($CP26:CP$31))</f>
        <v>-2000000</v>
      </c>
    </row>
    <row r="27" spans="2:108" ht="14.25" thickBot="1">
      <c r="B27" s="42"/>
      <c r="C27" s="42"/>
      <c r="D27" s="29" t="s">
        <v>24</v>
      </c>
      <c r="E27" s="30">
        <f t="shared" si="17"/>
        <v>20</v>
      </c>
      <c r="F27" s="12"/>
      <c r="G27" s="32">
        <f t="shared" si="3"/>
        <v>42384</v>
      </c>
      <c r="H27" s="33">
        <f t="shared" si="4"/>
        <v>829539857</v>
      </c>
      <c r="I27" s="33">
        <f t="shared" si="5"/>
        <v>0</v>
      </c>
      <c r="J27" s="33">
        <f t="shared" si="6"/>
        <v>477439600</v>
      </c>
      <c r="K27" s="33">
        <f t="shared" si="7"/>
        <v>-58549000</v>
      </c>
      <c r="L27" s="33">
        <f t="shared" si="8"/>
        <v>503230000</v>
      </c>
      <c r="M27" s="33">
        <f t="shared" si="9"/>
        <v>-33540020</v>
      </c>
      <c r="N27" s="33">
        <f t="shared" si="10"/>
        <v>62120000</v>
      </c>
      <c r="O27" s="33">
        <f t="shared" si="11"/>
        <v>-118146440</v>
      </c>
      <c r="P27" s="33">
        <f t="shared" si="12"/>
        <v>0</v>
      </c>
      <c r="Q27" s="33">
        <f t="shared" si="13"/>
        <v>5843922</v>
      </c>
      <c r="R27" s="33">
        <f t="shared" si="14"/>
        <v>6989183</v>
      </c>
      <c r="S27" s="33">
        <f t="shared" si="15"/>
        <v>-5847388</v>
      </c>
      <c r="T27" s="33">
        <f t="shared" si="16"/>
        <v>-10000000</v>
      </c>
      <c r="BN27" s="4">
        <v>42384</v>
      </c>
      <c r="BO27" s="14">
        <v>829539857</v>
      </c>
      <c r="BP27" s="3">
        <v>0</v>
      </c>
      <c r="BQ27" s="10">
        <v>477439600</v>
      </c>
      <c r="BR27" s="3">
        <v>-58549000</v>
      </c>
      <c r="BS27" s="3">
        <v>503230000</v>
      </c>
      <c r="BT27" s="3">
        <v>-33540020</v>
      </c>
      <c r="BU27" s="3">
        <v>62120000</v>
      </c>
      <c r="BV27" s="3">
        <v>-118146440</v>
      </c>
      <c r="BW27" s="3">
        <v>0</v>
      </c>
      <c r="BX27" s="3">
        <v>5843922</v>
      </c>
      <c r="BY27" s="3">
        <v>6989183</v>
      </c>
      <c r="BZ27" s="3">
        <v>-5847388</v>
      </c>
      <c r="CA27" s="3">
        <v>-10000000</v>
      </c>
      <c r="CC27" s="4"/>
      <c r="CD27" s="14"/>
      <c r="CF27" s="10"/>
      <c r="CQ27" s="4" t="str">
        <f t="shared" si="18"/>
        <v/>
      </c>
      <c r="CR27" s="10" t="str">
        <f>IF(SUM($CD27:CD$31)=0,"",SUM($CD27:CD$31))</f>
        <v/>
      </c>
      <c r="CS27" s="10" t="str">
        <f>IF(SUM($CE27:CE$31)=0,"",SUM($CE27:CE$31))</f>
        <v/>
      </c>
      <c r="CT27" s="10" t="str">
        <f>IF(SUM($CF27:CF$31)=0,"",SUM($CF27:CF$31))</f>
        <v/>
      </c>
      <c r="CU27" s="10" t="str">
        <f>IF(SUM($CG27:CG$31)=0,"",SUM($CG27:CG$31))</f>
        <v/>
      </c>
      <c r="CV27" s="10" t="str">
        <f>IF(SUM($CH27:CH$31)=0,"",SUM($CH27:CH$31))</f>
        <v/>
      </c>
      <c r="CW27" s="10" t="str">
        <f>IF(SUM($CI27:CI$31)=0,"",SUM($CI27:CI$31))</f>
        <v/>
      </c>
      <c r="CX27" s="10" t="str">
        <f>IF(SUM($CJ27:CJ$31)=0,"",SUM($CJ27:CJ$31))</f>
        <v/>
      </c>
      <c r="CY27" s="10" t="str">
        <f>IF(SUM($CK27:CK$31)=0,"",SUM($CK27:CK$31))</f>
        <v/>
      </c>
      <c r="CZ27" s="10" t="str">
        <f>IF(SUM($CL27:CL$31)=0,"",SUM($CL27:CL$31))</f>
        <v/>
      </c>
      <c r="DA27" s="10" t="str">
        <f>IF(SUM($CM27:CM$31)=0,"",SUM($CM27:CM$31))</f>
        <v/>
      </c>
      <c r="DB27" s="10" t="str">
        <f>IF(SUM($CN27:CN$31)=0,"",SUM($CN27:CN$31))</f>
        <v/>
      </c>
      <c r="DC27" s="10" t="str">
        <f>IF(SUM($CO27:CO$31)=0,"",SUM($CO27:CO$31))</f>
        <v/>
      </c>
      <c r="DD27" s="10" t="str">
        <f>IF(SUM($CP27:CP$31)=0,"",SUM($CP27:CP$31))</f>
        <v/>
      </c>
    </row>
    <row r="28" spans="2:108" ht="14.25" thickBot="1">
      <c r="B28" s="42"/>
      <c r="C28" s="42"/>
      <c r="D28" s="42"/>
      <c r="E28" s="31">
        <f t="shared" si="17"/>
        <v>21</v>
      </c>
      <c r="F28" s="16"/>
      <c r="G28" s="32">
        <f t="shared" si="3"/>
        <v>42383</v>
      </c>
      <c r="H28" s="33">
        <f t="shared" si="4"/>
        <v>1320823246</v>
      </c>
      <c r="I28" s="33">
        <f t="shared" si="5"/>
        <v>0</v>
      </c>
      <c r="J28" s="33">
        <f t="shared" si="6"/>
        <v>-3688415</v>
      </c>
      <c r="K28" s="33">
        <f t="shared" si="7"/>
        <v>152640000</v>
      </c>
      <c r="L28" s="33">
        <f t="shared" si="8"/>
        <v>461261000</v>
      </c>
      <c r="M28" s="33">
        <f t="shared" si="9"/>
        <v>-28429866</v>
      </c>
      <c r="N28" s="33">
        <f t="shared" si="10"/>
        <v>131000000</v>
      </c>
      <c r="O28" s="33">
        <f t="shared" si="11"/>
        <v>359930200</v>
      </c>
      <c r="P28" s="33">
        <f t="shared" si="12"/>
        <v>0</v>
      </c>
      <c r="Q28" s="33">
        <f t="shared" si="13"/>
        <v>-14644880</v>
      </c>
      <c r="R28" s="33">
        <f t="shared" si="14"/>
        <v>3755207</v>
      </c>
      <c r="S28" s="33">
        <f t="shared" si="15"/>
        <v>257000000</v>
      </c>
      <c r="T28" s="33">
        <f t="shared" si="16"/>
        <v>2000000</v>
      </c>
      <c r="BN28" s="4">
        <v>42383</v>
      </c>
      <c r="BO28" s="14">
        <v>1320823246</v>
      </c>
      <c r="BP28" s="3">
        <v>0</v>
      </c>
      <c r="BQ28" s="10">
        <v>-3688415</v>
      </c>
      <c r="BR28" s="3">
        <v>152640000</v>
      </c>
      <c r="BS28" s="3">
        <v>461261000</v>
      </c>
      <c r="BT28" s="3">
        <v>-28429866</v>
      </c>
      <c r="BU28" s="3">
        <v>131000000</v>
      </c>
      <c r="BV28" s="3">
        <v>359930200</v>
      </c>
      <c r="BW28" s="3">
        <v>0</v>
      </c>
      <c r="BX28" s="3">
        <v>-14644880</v>
      </c>
      <c r="BY28" s="3">
        <v>3755207</v>
      </c>
      <c r="BZ28" s="3">
        <v>257000000</v>
      </c>
      <c r="CA28" s="3">
        <v>2000000</v>
      </c>
      <c r="CC28" s="4"/>
      <c r="CD28" s="14"/>
      <c r="CF28" s="10"/>
      <c r="CQ28" s="4" t="str">
        <f t="shared" si="18"/>
        <v/>
      </c>
      <c r="CR28" s="10" t="str">
        <f>IF(SUM($CD28:CD$31)=0,"",SUM($CD28:CD$31))</f>
        <v/>
      </c>
      <c r="CS28" s="10" t="str">
        <f>IF(SUM($CE28:CE$31)=0,"",SUM($CE28:CE$31))</f>
        <v/>
      </c>
      <c r="CT28" s="10" t="str">
        <f>IF(SUM($CF28:CF$31)=0,"",SUM($CF28:CF$31))</f>
        <v/>
      </c>
      <c r="CU28" s="10" t="str">
        <f>IF(SUM($CG28:CG$31)=0,"",SUM($CG28:CG$31))</f>
        <v/>
      </c>
      <c r="CV28" s="10" t="str">
        <f>IF(SUM($CH28:CH$31)=0,"",SUM($CH28:CH$31))</f>
        <v/>
      </c>
      <c r="CW28" s="10" t="str">
        <f>IF(SUM($CI28:CI$31)=0,"",SUM($CI28:CI$31))</f>
        <v/>
      </c>
      <c r="CX28" s="10" t="str">
        <f>IF(SUM($CJ28:CJ$31)=0,"",SUM($CJ28:CJ$31))</f>
        <v/>
      </c>
      <c r="CY28" s="10" t="str">
        <f>IF(SUM($CK28:CK$31)=0,"",SUM($CK28:CK$31))</f>
        <v/>
      </c>
      <c r="CZ28" s="10" t="str">
        <f>IF(SUM($CL28:CL$31)=0,"",SUM($CL28:CL$31))</f>
        <v/>
      </c>
      <c r="DA28" s="10" t="str">
        <f>IF(SUM($CM28:CM$31)=0,"",SUM($CM28:CM$31))</f>
        <v/>
      </c>
      <c r="DB28" s="10" t="str">
        <f>IF(SUM($CN28:CN$31)=0,"",SUM($CN28:CN$31))</f>
        <v/>
      </c>
      <c r="DC28" s="10" t="str">
        <f>IF(SUM($CO28:CO$31)=0,"",SUM($CO28:CO$31))</f>
        <v/>
      </c>
      <c r="DD28" s="10" t="str">
        <f>IF(SUM($CP28:CP$31)=0,"",SUM($CP28:CP$31))</f>
        <v/>
      </c>
    </row>
    <row r="29" spans="2:108">
      <c r="BN29" s="4">
        <v>42382</v>
      </c>
      <c r="BO29" s="14">
        <v>989213086</v>
      </c>
      <c r="BP29" s="3">
        <v>0</v>
      </c>
      <c r="BQ29" s="10">
        <v>-182826030</v>
      </c>
      <c r="BR29" s="3">
        <v>273046000</v>
      </c>
      <c r="BS29" s="3">
        <v>949500000</v>
      </c>
      <c r="BT29" s="3">
        <v>-10440056</v>
      </c>
      <c r="BU29" s="3">
        <v>123050000</v>
      </c>
      <c r="BV29" s="3">
        <v>-55849570</v>
      </c>
      <c r="BW29" s="3">
        <v>0</v>
      </c>
      <c r="BX29" s="3">
        <v>-147023574</v>
      </c>
      <c r="BY29" s="3">
        <v>-5843684</v>
      </c>
      <c r="BZ29" s="3">
        <v>45600000</v>
      </c>
      <c r="CA29" s="3">
        <v>0</v>
      </c>
      <c r="CC29" s="4"/>
      <c r="CD29" s="14"/>
      <c r="CF29" s="10"/>
      <c r="CQ29" s="4" t="str">
        <f t="shared" si="18"/>
        <v/>
      </c>
      <c r="CR29" s="17" t="str">
        <f>IF(SUM($CD29:CD$31)=0,"",SUM($CD29:CD$31))</f>
        <v/>
      </c>
      <c r="CS29" s="17" t="str">
        <f>IF(SUM($CE29:CE$31)=0,"",SUM($CE29:CE$31))</f>
        <v/>
      </c>
      <c r="CT29" s="17" t="str">
        <f>IF(SUM($CF29:CF$31)=0,"",SUM($CF29:CF$31))</f>
        <v/>
      </c>
      <c r="CU29" s="17" t="str">
        <f>IF(SUM($CG29:CG$31)=0,"",SUM($CG29:CG$31))</f>
        <v/>
      </c>
      <c r="CV29" s="17" t="str">
        <f>IF(SUM($CH29:CH$31)=0,"",SUM($CH29:CH$31))</f>
        <v/>
      </c>
      <c r="CW29" s="17" t="str">
        <f>IF(SUM($CI29:CI$31)=0,"",SUM($CI29:CI$31))</f>
        <v/>
      </c>
      <c r="CX29" s="17" t="str">
        <f>IF(SUM($CJ29:CJ$31)=0,"",SUM($CJ29:CJ$31))</f>
        <v/>
      </c>
      <c r="CY29" s="17" t="str">
        <f>IF(SUM($CK29:CK$31)=0,"",SUM($CK29:CK$31))</f>
        <v/>
      </c>
      <c r="CZ29" s="17" t="str">
        <f>IF(SUM($CL29:CL$31)=0,"",SUM($CL29:CL$31))</f>
        <v/>
      </c>
      <c r="DA29" s="17" t="str">
        <f>IF(SUM($CM29:CM$31)=0,"",SUM($CM29:CM$31))</f>
        <v/>
      </c>
      <c r="DB29" s="17" t="str">
        <f>IF(SUM($CN29:CN$31)=0,"",SUM($CN29:CN$31))</f>
        <v/>
      </c>
      <c r="DC29" s="17" t="str">
        <f>IF(SUM($CO29:CO$31)=0,"",SUM($CO29:CO$31))</f>
        <v/>
      </c>
      <c r="DD29" s="17" t="str">
        <f>IF(SUM($CP29:CP$31)=0,"",SUM($CP29:CP$31))</f>
        <v/>
      </c>
    </row>
    <row r="30" spans="2:108">
      <c r="B30" s="18"/>
      <c r="BN30" s="4">
        <v>42381</v>
      </c>
      <c r="BO30" s="14">
        <v>1555686148</v>
      </c>
      <c r="BP30" s="3">
        <v>0</v>
      </c>
      <c r="BQ30" s="10">
        <v>391307225</v>
      </c>
      <c r="BR30" s="3">
        <v>411551000</v>
      </c>
      <c r="BS30" s="3">
        <v>725269000</v>
      </c>
      <c r="BT30" s="3">
        <v>44500000</v>
      </c>
      <c r="BU30" s="3">
        <v>-45550000</v>
      </c>
      <c r="BV30" s="3">
        <v>77323030</v>
      </c>
      <c r="BW30" s="3">
        <v>0</v>
      </c>
      <c r="BX30" s="3">
        <v>-92454182</v>
      </c>
      <c r="BY30" s="3">
        <v>4840075</v>
      </c>
      <c r="BZ30" s="3">
        <v>18900000</v>
      </c>
      <c r="CA30" s="3">
        <v>20000000</v>
      </c>
      <c r="CC30" s="4"/>
      <c r="CD30" s="14"/>
      <c r="CF30" s="10"/>
      <c r="CQ30" s="4" t="str">
        <f t="shared" si="18"/>
        <v/>
      </c>
      <c r="CR30" s="17" t="str">
        <f>IF(SUM($CD30:CD$31)=0,"",SUM($CD30:CD$31))</f>
        <v/>
      </c>
      <c r="CS30" s="17" t="str">
        <f>IF(SUM($CE30:CE$31)=0,"",SUM($CE30:CE$31))</f>
        <v/>
      </c>
      <c r="CT30" s="17" t="str">
        <f>IF(SUM($CF30:CF$31)=0,"",SUM($CF30:CF$31))</f>
        <v/>
      </c>
      <c r="CU30" s="17" t="str">
        <f>IF(SUM($CG30:CG$31)=0,"",SUM($CG30:CG$31))</f>
        <v/>
      </c>
      <c r="CV30" s="17" t="str">
        <f>IF(SUM($CH30:CH$31)=0,"",SUM($CH30:CH$31))</f>
        <v/>
      </c>
      <c r="CW30" s="17" t="str">
        <f>IF(SUM($CI30:CI$31)=0,"",SUM($CI30:CI$31))</f>
        <v/>
      </c>
      <c r="CX30" s="17" t="str">
        <f>IF(SUM($CJ30:CJ$31)=0,"",SUM($CJ30:CJ$31))</f>
        <v/>
      </c>
      <c r="CY30" s="17" t="str">
        <f>IF(SUM($CK30:CK$31)=0,"",SUM($CK30:CK$31))</f>
        <v/>
      </c>
      <c r="CZ30" s="17" t="str">
        <f>IF(SUM($CL30:CL$31)=0,"",SUM($CL30:CL$31))</f>
        <v/>
      </c>
      <c r="DA30" s="17" t="str">
        <f>IF(SUM($CM30:CM$31)=0,"",SUM($CM30:CM$31))</f>
        <v/>
      </c>
      <c r="DB30" s="17" t="str">
        <f>IF(SUM($CN30:CN$31)=0,"",SUM($CN30:CN$31))</f>
        <v/>
      </c>
      <c r="DC30" s="17" t="str">
        <f>IF(SUM($CO30:CO$31)=0,"",SUM($CO30:CO$31))</f>
        <v/>
      </c>
      <c r="DD30" s="17" t="str">
        <f>IF(SUM($CP30:CP$31)=0,"",SUM($CP30:CP$31))</f>
        <v/>
      </c>
    </row>
    <row r="31" spans="2:108">
      <c r="B31" s="18"/>
      <c r="BN31" s="4">
        <v>42380</v>
      </c>
      <c r="BO31" s="14">
        <v>752827742</v>
      </c>
      <c r="BP31" s="3">
        <v>0</v>
      </c>
      <c r="BQ31" s="10">
        <v>-730583715</v>
      </c>
      <c r="BR31" s="3">
        <v>114776000</v>
      </c>
      <c r="BS31" s="3">
        <v>996847000</v>
      </c>
      <c r="BT31" s="3">
        <v>27500000</v>
      </c>
      <c r="BU31" s="3">
        <v>-141836000</v>
      </c>
      <c r="BV31" s="3">
        <v>699785080</v>
      </c>
      <c r="BW31" s="3">
        <v>0</v>
      </c>
      <c r="BX31" s="3">
        <v>-229191761</v>
      </c>
      <c r="BY31" s="3">
        <v>5431138</v>
      </c>
      <c r="BZ31" s="3">
        <v>-19900000</v>
      </c>
      <c r="CA31" s="3">
        <v>30000000</v>
      </c>
      <c r="CC31" s="4"/>
      <c r="CD31" s="14"/>
      <c r="CF31" s="10"/>
      <c r="CQ31" s="4" t="str">
        <f>IF(CC31="","",CC31)</f>
        <v/>
      </c>
      <c r="CR31" s="17" t="str">
        <f>IF(SUM($CD31:CD$31)=0,"",SUM($CD31:CD$31))</f>
        <v/>
      </c>
      <c r="CS31" s="17" t="str">
        <f>IF(SUM($CE31:CE$31)=0,"",SUM($CE31:CE$31))</f>
        <v/>
      </c>
      <c r="CT31" s="17" t="str">
        <f>IF(SUM($CF31:CF$31)=0,"",SUM($CF31:CF$31))</f>
        <v/>
      </c>
      <c r="CU31" s="17" t="str">
        <f>IF(SUM($CG31:CG$31)=0,"",SUM($CG31:CG$31))</f>
        <v/>
      </c>
      <c r="CV31" s="17" t="str">
        <f>IF(SUM($CH31:CH$31)=0,"",SUM($CH31:CH$31))</f>
        <v/>
      </c>
      <c r="CW31" s="17" t="str">
        <f>IF(SUM($CI31:CI$31)=0,"",SUM($CI31:CI$31))</f>
        <v/>
      </c>
      <c r="CX31" s="17" t="str">
        <f>IF(SUM($CJ31:CJ$31)=0,"",SUM($CJ31:CJ$31))</f>
        <v/>
      </c>
      <c r="CY31" s="17" t="str">
        <f>IF(SUM($CK31:CK$31)=0,"",SUM($CK31:CK$31))</f>
        <v/>
      </c>
      <c r="CZ31" s="17" t="str">
        <f>IF(SUM($CL31:CL$31)=0,"",SUM($CL31:CL$31))</f>
        <v/>
      </c>
      <c r="DA31" s="17" t="str">
        <f>IF(SUM($CM31:CM$31)=0,"",SUM($CM31:CM$31))</f>
        <v/>
      </c>
      <c r="DB31" s="17" t="str">
        <f>IF(SUM($CN31:CN$31)=0,"",SUM($CN31:CN$31))</f>
        <v/>
      </c>
      <c r="DC31" s="17" t="str">
        <f>IF(SUM($CO31:CO$31)=0,"",SUM($CO31:CO$31))</f>
        <v/>
      </c>
      <c r="DD31" s="17" t="str">
        <f>IF(SUM($CP31:CP$31)=0,"",SUM($CP31:CP$31))</f>
        <v/>
      </c>
    </row>
    <row r="32" spans="2:108">
      <c r="B32" s="18"/>
      <c r="BN32" s="4">
        <v>42377</v>
      </c>
      <c r="BO32" s="14">
        <v>2025871858</v>
      </c>
      <c r="BP32" s="3">
        <v>0</v>
      </c>
      <c r="BQ32" s="10">
        <v>-187603000</v>
      </c>
      <c r="BR32" s="3">
        <v>751440000</v>
      </c>
      <c r="BS32" s="3">
        <v>746930000</v>
      </c>
      <c r="BT32" s="3">
        <v>49522700</v>
      </c>
      <c r="BU32" s="3">
        <v>674100000</v>
      </c>
      <c r="BV32" s="3">
        <v>-45368160</v>
      </c>
      <c r="BW32" s="3">
        <v>0</v>
      </c>
      <c r="BX32" s="3">
        <v>-66459278</v>
      </c>
      <c r="BY32" s="3">
        <v>4309596</v>
      </c>
      <c r="BZ32" s="3">
        <v>42000000</v>
      </c>
      <c r="CA32" s="3">
        <v>57000000</v>
      </c>
      <c r="CC32" s="4"/>
      <c r="CD32" s="14"/>
      <c r="CF32" s="10"/>
    </row>
    <row r="33" spans="2:84">
      <c r="B33" s="18"/>
      <c r="BN33" s="4">
        <v>42376</v>
      </c>
      <c r="BO33" s="14">
        <v>601616833</v>
      </c>
      <c r="BP33" s="3">
        <v>0</v>
      </c>
      <c r="BQ33" s="10">
        <v>-1043922724</v>
      </c>
      <c r="BR33" s="3">
        <v>295994160</v>
      </c>
      <c r="BS33" s="3">
        <v>1037449020</v>
      </c>
      <c r="BT33" s="3">
        <v>40300000</v>
      </c>
      <c r="BU33" s="3">
        <v>241697300</v>
      </c>
      <c r="BV33" s="3">
        <v>-2773800</v>
      </c>
      <c r="BW33" s="3">
        <v>0</v>
      </c>
      <c r="BX33" s="3">
        <v>-21251033</v>
      </c>
      <c r="BY33" s="3">
        <v>323910</v>
      </c>
      <c r="BZ33" s="3">
        <v>57800000</v>
      </c>
      <c r="CA33" s="3">
        <v>-4000000</v>
      </c>
      <c r="CC33" s="4"/>
      <c r="CD33" s="14"/>
      <c r="CF33" s="10"/>
    </row>
    <row r="34" spans="2:84">
      <c r="B34" s="18"/>
      <c r="BN34" s="4">
        <v>42375</v>
      </c>
      <c r="BO34" s="14">
        <v>1228927144</v>
      </c>
      <c r="BP34" s="3">
        <v>0</v>
      </c>
      <c r="BQ34" s="10">
        <v>343700110</v>
      </c>
      <c r="BR34" s="3">
        <v>-306430000</v>
      </c>
      <c r="BS34" s="3">
        <v>1227618000</v>
      </c>
      <c r="BT34" s="3">
        <v>49862500</v>
      </c>
      <c r="BU34" s="3">
        <v>-100000</v>
      </c>
      <c r="BV34" s="3">
        <v>97694480</v>
      </c>
      <c r="BW34" s="3">
        <v>0</v>
      </c>
      <c r="BX34" s="3">
        <v>-215960870</v>
      </c>
      <c r="BY34" s="3">
        <v>10985924</v>
      </c>
      <c r="BZ34" s="3">
        <v>28557000</v>
      </c>
      <c r="CA34" s="3">
        <v>-7000000</v>
      </c>
      <c r="CC34" s="4"/>
      <c r="CD34" s="14"/>
      <c r="CF34" s="10"/>
    </row>
    <row r="35" spans="2:84">
      <c r="B35" s="18"/>
      <c r="I35" s="19"/>
      <c r="BN35" s="4">
        <v>42374</v>
      </c>
      <c r="BO35" s="14">
        <v>160831453</v>
      </c>
      <c r="BP35" s="3">
        <v>0</v>
      </c>
      <c r="BQ35" s="10">
        <v>-482420130</v>
      </c>
      <c r="BR35" s="3">
        <v>251150000</v>
      </c>
      <c r="BS35" s="3">
        <v>888075000</v>
      </c>
      <c r="BT35" s="3">
        <v>-9999999</v>
      </c>
      <c r="BU35" s="3">
        <v>-6000000</v>
      </c>
      <c r="BV35" s="3">
        <v>-503056200</v>
      </c>
      <c r="BW35" s="3">
        <v>0</v>
      </c>
      <c r="BX35" s="3">
        <v>-2299848</v>
      </c>
      <c r="BY35" s="3">
        <v>7492735</v>
      </c>
      <c r="BZ35" s="3">
        <v>37889895</v>
      </c>
      <c r="CA35" s="3">
        <v>-20000000</v>
      </c>
      <c r="CC35" s="4"/>
      <c r="CD35" s="14"/>
      <c r="CF35" s="10"/>
    </row>
    <row r="36" spans="2:84">
      <c r="B36" s="18"/>
      <c r="I36" s="19"/>
      <c r="BN36" s="4">
        <v>42373</v>
      </c>
      <c r="BO36" s="14">
        <v>77954994</v>
      </c>
      <c r="BP36" s="3">
        <v>0</v>
      </c>
      <c r="BQ36" s="10">
        <v>-806676090</v>
      </c>
      <c r="BR36" s="3">
        <v>-226350000</v>
      </c>
      <c r="BS36" s="3">
        <v>1421950000</v>
      </c>
      <c r="BT36" s="3">
        <v>-111730045</v>
      </c>
      <c r="BU36" s="3">
        <v>-286100000</v>
      </c>
      <c r="BV36" s="3">
        <v>113858000</v>
      </c>
      <c r="BW36" s="3">
        <v>0</v>
      </c>
      <c r="BX36" s="3">
        <v>-46486427</v>
      </c>
      <c r="BY36" s="3">
        <v>50841253</v>
      </c>
      <c r="BZ36" s="3">
        <v>-1351697</v>
      </c>
      <c r="CA36" s="3">
        <v>-30000000</v>
      </c>
      <c r="CC36" s="4"/>
      <c r="CD36" s="14"/>
      <c r="CF36" s="10"/>
    </row>
    <row r="37" spans="2:84">
      <c r="B37" s="18"/>
      <c r="BN37" s="4">
        <v>42369</v>
      </c>
      <c r="BO37" s="14">
        <v>-24183606</v>
      </c>
      <c r="BP37" s="3">
        <v>0</v>
      </c>
      <c r="BQ37" s="10">
        <v>-17848145</v>
      </c>
      <c r="BR37" s="3">
        <v>0</v>
      </c>
      <c r="BS37" s="3">
        <v>-9000000</v>
      </c>
      <c r="BT37" s="3">
        <v>-27270</v>
      </c>
      <c r="BU37" s="3">
        <v>0</v>
      </c>
      <c r="BV37" s="3">
        <v>0</v>
      </c>
      <c r="BW37" s="3">
        <v>0</v>
      </c>
      <c r="BX37" s="3">
        <v>-4966380</v>
      </c>
      <c r="BY37" s="3">
        <v>7658189</v>
      </c>
      <c r="BZ37" s="3">
        <v>0</v>
      </c>
      <c r="CA37" s="3">
        <v>0</v>
      </c>
      <c r="CC37" s="4"/>
      <c r="CD37" s="14"/>
      <c r="CF37" s="10"/>
    </row>
    <row r="38" spans="2:84">
      <c r="B38" s="18"/>
      <c r="BN38" s="4">
        <v>42368</v>
      </c>
      <c r="BO38" s="14">
        <v>904097526</v>
      </c>
      <c r="BP38" s="3">
        <v>0</v>
      </c>
      <c r="BQ38" s="10">
        <v>14088885</v>
      </c>
      <c r="BR38" s="3">
        <v>-60584000</v>
      </c>
      <c r="BS38" s="3">
        <v>593197400</v>
      </c>
      <c r="BT38" s="3">
        <v>63810516</v>
      </c>
      <c r="BU38" s="3">
        <v>128900000</v>
      </c>
      <c r="BV38" s="3">
        <v>58783630</v>
      </c>
      <c r="BW38" s="3">
        <v>0</v>
      </c>
      <c r="BX38" s="3">
        <v>99972990</v>
      </c>
      <c r="BY38" s="3">
        <v>5428105</v>
      </c>
      <c r="BZ38" s="3">
        <v>500000</v>
      </c>
      <c r="CA38" s="3">
        <v>0</v>
      </c>
      <c r="CC38" s="4"/>
      <c r="CD38" s="14"/>
      <c r="CF38" s="10"/>
    </row>
    <row r="39" spans="2:84">
      <c r="B39" s="18"/>
      <c r="BN39" s="4">
        <v>42367</v>
      </c>
      <c r="BO39" s="14">
        <v>810714859</v>
      </c>
      <c r="BP39" s="3">
        <v>0</v>
      </c>
      <c r="BQ39" s="10">
        <v>-348946525</v>
      </c>
      <c r="BR39" s="3">
        <v>51100000</v>
      </c>
      <c r="BS39" s="3">
        <v>908652100</v>
      </c>
      <c r="BT39" s="3">
        <v>13013520</v>
      </c>
      <c r="BU39" s="3">
        <v>236150000</v>
      </c>
      <c r="BV39" s="3">
        <v>-3931800</v>
      </c>
      <c r="BW39" s="3">
        <v>0</v>
      </c>
      <c r="BX39" s="3">
        <v>-16623101</v>
      </c>
      <c r="BY39" s="3">
        <v>4300665</v>
      </c>
      <c r="BZ39" s="3">
        <v>-21000000</v>
      </c>
      <c r="CA39" s="3">
        <v>-12000000</v>
      </c>
      <c r="CC39" s="4"/>
      <c r="CD39" s="14"/>
      <c r="CF39" s="10"/>
    </row>
    <row r="40" spans="2:84">
      <c r="B40" s="18"/>
      <c r="BN40" s="4">
        <v>42366</v>
      </c>
      <c r="BO40" s="14">
        <v>1720971592</v>
      </c>
      <c r="BP40" s="3">
        <v>0</v>
      </c>
      <c r="BQ40" s="10">
        <v>594033735</v>
      </c>
      <c r="BR40" s="3">
        <v>371224000</v>
      </c>
      <c r="BS40" s="3">
        <v>722842993</v>
      </c>
      <c r="BT40" s="3">
        <v>21030045</v>
      </c>
      <c r="BU40" s="3">
        <v>-41200000</v>
      </c>
      <c r="BV40" s="3">
        <v>7600000</v>
      </c>
      <c r="BW40" s="3">
        <v>0</v>
      </c>
      <c r="BX40" s="3">
        <v>28986789</v>
      </c>
      <c r="BY40" s="3">
        <v>-2545970</v>
      </c>
      <c r="BZ40" s="3">
        <v>19000000</v>
      </c>
      <c r="CA40" s="3">
        <v>0</v>
      </c>
      <c r="CC40" s="4"/>
      <c r="CD40" s="14"/>
      <c r="CF40" s="10"/>
    </row>
    <row r="41" spans="2:84">
      <c r="B41" s="18"/>
      <c r="BN41" s="4">
        <v>42362</v>
      </c>
      <c r="BO41" s="14">
        <v>593875583</v>
      </c>
      <c r="BP41" s="3">
        <v>0</v>
      </c>
      <c r="BQ41" s="10">
        <v>-275167415</v>
      </c>
      <c r="BR41" s="3">
        <v>196610000</v>
      </c>
      <c r="BS41" s="3">
        <v>340521000</v>
      </c>
      <c r="BT41" s="3">
        <v>58600000</v>
      </c>
      <c r="BU41" s="3">
        <v>171000000</v>
      </c>
      <c r="BV41" s="3">
        <v>9200000</v>
      </c>
      <c r="BW41" s="3">
        <v>0</v>
      </c>
      <c r="BX41" s="3">
        <v>3579975</v>
      </c>
      <c r="BY41" s="3">
        <v>612023</v>
      </c>
      <c r="BZ41" s="3">
        <v>66000000</v>
      </c>
      <c r="CA41" s="3">
        <v>22920000</v>
      </c>
      <c r="CC41" s="4"/>
      <c r="CD41" s="14"/>
      <c r="CF41" s="10"/>
    </row>
    <row r="42" spans="2:84">
      <c r="B42" s="18"/>
      <c r="BN42" s="4">
        <v>42361</v>
      </c>
      <c r="BO42" s="14">
        <v>494963337</v>
      </c>
      <c r="BP42" s="3">
        <v>0</v>
      </c>
      <c r="BQ42" s="10">
        <v>-104865695</v>
      </c>
      <c r="BR42" s="3">
        <v>335200000</v>
      </c>
      <c r="BS42" s="3">
        <v>242513007</v>
      </c>
      <c r="BT42" s="3">
        <v>-35696521</v>
      </c>
      <c r="BU42" s="3">
        <v>-4572873</v>
      </c>
      <c r="BV42" s="3">
        <v>48805100</v>
      </c>
      <c r="BW42" s="3">
        <v>0</v>
      </c>
      <c r="BX42" s="3">
        <v>12150122</v>
      </c>
      <c r="BY42" s="3">
        <v>-6099803</v>
      </c>
      <c r="BZ42" s="3">
        <v>12530000</v>
      </c>
      <c r="CA42" s="3">
        <v>-5000000</v>
      </c>
      <c r="CC42" s="4"/>
      <c r="CD42" s="14"/>
      <c r="CF42" s="10"/>
    </row>
    <row r="43" spans="2:84">
      <c r="BN43" s="4">
        <v>42360</v>
      </c>
      <c r="BO43" s="14">
        <v>1136026658</v>
      </c>
      <c r="BP43" s="3">
        <v>0</v>
      </c>
      <c r="BQ43" s="10">
        <v>53701250</v>
      </c>
      <c r="BR43" s="3">
        <v>319570000</v>
      </c>
      <c r="BS43" s="3">
        <v>269677080</v>
      </c>
      <c r="BT43" s="3">
        <v>17490000</v>
      </c>
      <c r="BU43" s="3">
        <v>492397697</v>
      </c>
      <c r="BV43" s="3">
        <v>-5319500</v>
      </c>
      <c r="BW43" s="3">
        <v>0</v>
      </c>
      <c r="BX43" s="3">
        <v>-33996208</v>
      </c>
      <c r="BY43" s="3">
        <v>528357</v>
      </c>
      <c r="BZ43" s="3">
        <v>-8222018</v>
      </c>
      <c r="CA43" s="3">
        <v>30200000</v>
      </c>
      <c r="CC43" s="4"/>
      <c r="CD43" s="14"/>
      <c r="CF43" s="10"/>
    </row>
    <row r="44" spans="2:84">
      <c r="BN44" s="4">
        <v>42359</v>
      </c>
      <c r="BO44" s="14">
        <v>1001121301</v>
      </c>
      <c r="BP44" s="3">
        <v>0</v>
      </c>
      <c r="BQ44" s="10">
        <v>349023980</v>
      </c>
      <c r="BR44" s="3">
        <v>15828000</v>
      </c>
      <c r="BS44" s="3">
        <v>505228700</v>
      </c>
      <c r="BT44" s="3">
        <v>61271250</v>
      </c>
      <c r="BU44" s="3">
        <v>-19550000</v>
      </c>
      <c r="BV44" s="3">
        <v>242001000</v>
      </c>
      <c r="BW44" s="3">
        <v>0</v>
      </c>
      <c r="BX44" s="3">
        <v>-112707328</v>
      </c>
      <c r="BY44" s="3">
        <v>1003681</v>
      </c>
      <c r="BZ44" s="3">
        <v>-40977982</v>
      </c>
      <c r="CA44" s="3">
        <v>0</v>
      </c>
      <c r="CC44" s="4"/>
      <c r="CD44" s="14"/>
      <c r="CF44" s="10"/>
    </row>
    <row r="45" spans="2:84">
      <c r="BN45" s="4">
        <v>42356</v>
      </c>
      <c r="BO45" s="14">
        <v>247971954</v>
      </c>
      <c r="BP45" s="3">
        <v>0</v>
      </c>
      <c r="BQ45" s="10">
        <v>-329429510</v>
      </c>
      <c r="BR45" s="3">
        <v>-115750000</v>
      </c>
      <c r="BS45" s="3">
        <v>150432032</v>
      </c>
      <c r="BT45" s="3">
        <v>-6500000</v>
      </c>
      <c r="BU45" s="3">
        <v>403113800</v>
      </c>
      <c r="BV45" s="3">
        <v>37627840</v>
      </c>
      <c r="BW45" s="3">
        <v>0</v>
      </c>
      <c r="BX45" s="3">
        <v>82590064</v>
      </c>
      <c r="BY45" s="3">
        <v>1987728</v>
      </c>
      <c r="BZ45" s="3">
        <v>36900000</v>
      </c>
      <c r="CA45" s="3">
        <v>-13000000</v>
      </c>
      <c r="CC45" s="4"/>
      <c r="CD45" s="14"/>
      <c r="CF45" s="10"/>
    </row>
    <row r="46" spans="2:84">
      <c r="BN46" s="4">
        <v>42355</v>
      </c>
      <c r="BO46" s="14">
        <v>188424878</v>
      </c>
      <c r="BP46" s="3">
        <v>0</v>
      </c>
      <c r="BQ46" s="10">
        <v>425233690</v>
      </c>
      <c r="BR46" s="3">
        <v>-334000000</v>
      </c>
      <c r="BS46" s="3">
        <v>385734000</v>
      </c>
      <c r="BT46" s="3">
        <v>136162917</v>
      </c>
      <c r="BU46" s="3">
        <v>-451100000</v>
      </c>
      <c r="BV46" s="3">
        <v>-187348160</v>
      </c>
      <c r="BW46" s="3">
        <v>0</v>
      </c>
      <c r="BX46" s="3">
        <v>116086724</v>
      </c>
      <c r="BY46" s="3">
        <v>1155707</v>
      </c>
      <c r="BZ46" s="3">
        <v>100000000</v>
      </c>
      <c r="CA46" s="3">
        <v>-3500000</v>
      </c>
      <c r="CC46" s="4"/>
      <c r="CD46" s="14"/>
      <c r="CF46" s="10"/>
    </row>
    <row r="47" spans="2:84">
      <c r="BN47" s="4">
        <v>42354</v>
      </c>
      <c r="BO47" s="14">
        <v>1443185076</v>
      </c>
      <c r="BP47" s="3">
        <v>0</v>
      </c>
      <c r="BQ47" s="10">
        <v>575196680</v>
      </c>
      <c r="BR47" s="3">
        <v>515552000</v>
      </c>
      <c r="BS47" s="3">
        <v>83662000</v>
      </c>
      <c r="BT47" s="3">
        <v>-5209880</v>
      </c>
      <c r="BU47" s="3">
        <v>289600000</v>
      </c>
      <c r="BV47" s="3">
        <v>-54855810</v>
      </c>
      <c r="BW47" s="3">
        <v>0</v>
      </c>
      <c r="BX47" s="3">
        <v>-7960812</v>
      </c>
      <c r="BY47" s="3">
        <v>-1799102</v>
      </c>
      <c r="BZ47" s="3">
        <v>52000000</v>
      </c>
      <c r="CA47" s="3">
        <v>-3000000</v>
      </c>
      <c r="CC47" s="4"/>
      <c r="CD47" s="14"/>
      <c r="CF47" s="10"/>
    </row>
    <row r="48" spans="2:84">
      <c r="BN48" s="4">
        <v>42353</v>
      </c>
      <c r="BO48" s="14">
        <v>2100113252</v>
      </c>
      <c r="BP48" s="3">
        <v>0</v>
      </c>
      <c r="BQ48" s="10">
        <v>660087375</v>
      </c>
      <c r="BR48" s="3">
        <v>50035000</v>
      </c>
      <c r="BS48" s="3">
        <v>650080000</v>
      </c>
      <c r="BT48" s="3">
        <v>78000000</v>
      </c>
      <c r="BU48" s="3">
        <v>591020000</v>
      </c>
      <c r="BV48" s="3">
        <v>53406650</v>
      </c>
      <c r="BW48" s="3">
        <v>0</v>
      </c>
      <c r="BX48" s="3">
        <v>-33662563</v>
      </c>
      <c r="BY48" s="3">
        <v>7397163</v>
      </c>
      <c r="BZ48" s="3">
        <v>41749627</v>
      </c>
      <c r="CA48" s="3">
        <v>2000000</v>
      </c>
      <c r="CC48" s="4"/>
      <c r="CD48" s="14"/>
      <c r="CF48" s="10"/>
    </row>
    <row r="49" spans="66:84">
      <c r="BN49" s="4">
        <v>42352</v>
      </c>
      <c r="BO49" s="14">
        <v>1984112735</v>
      </c>
      <c r="BP49" s="3">
        <v>0</v>
      </c>
      <c r="BQ49" s="10">
        <v>354405730</v>
      </c>
      <c r="BR49" s="3">
        <v>346120000</v>
      </c>
      <c r="BS49" s="3">
        <v>399980000</v>
      </c>
      <c r="BT49" s="3">
        <v>101500000</v>
      </c>
      <c r="BU49" s="3">
        <v>434800000</v>
      </c>
      <c r="BV49" s="3">
        <v>422038960</v>
      </c>
      <c r="BW49" s="3">
        <v>0</v>
      </c>
      <c r="BX49" s="3">
        <v>78717468</v>
      </c>
      <c r="BY49" s="3">
        <v>5277021</v>
      </c>
      <c r="BZ49" s="3">
        <v>-146776444</v>
      </c>
      <c r="CA49" s="3">
        <v>-11950000</v>
      </c>
      <c r="CC49" s="4"/>
      <c r="CD49" s="14"/>
      <c r="CF49" s="10"/>
    </row>
    <row r="50" spans="66:84">
      <c r="BN50" s="4">
        <v>42349</v>
      </c>
      <c r="BO50" s="14">
        <v>1718118294</v>
      </c>
      <c r="BP50" s="3">
        <v>0</v>
      </c>
      <c r="BQ50" s="10">
        <v>398030975</v>
      </c>
      <c r="BR50" s="3">
        <v>202830000</v>
      </c>
      <c r="BS50" s="3">
        <v>86940000</v>
      </c>
      <c r="BT50" s="3">
        <v>83400000</v>
      </c>
      <c r="BU50" s="3">
        <v>388600000</v>
      </c>
      <c r="BV50" s="3">
        <v>352450800</v>
      </c>
      <c r="BW50" s="3">
        <v>0</v>
      </c>
      <c r="BX50" s="3">
        <v>56019737</v>
      </c>
      <c r="BY50" s="3">
        <v>746782</v>
      </c>
      <c r="BZ50" s="3">
        <v>134400000</v>
      </c>
      <c r="CA50" s="3">
        <v>14700000</v>
      </c>
      <c r="CC50" s="4"/>
      <c r="CD50" s="14"/>
      <c r="CF50" s="10"/>
    </row>
    <row r="51" spans="66:84">
      <c r="BN51" s="4">
        <v>42348</v>
      </c>
      <c r="BO51" s="14">
        <v>1127829372</v>
      </c>
      <c r="BP51" s="3">
        <v>0</v>
      </c>
      <c r="BQ51" s="10">
        <v>420949725</v>
      </c>
      <c r="BR51" s="3">
        <v>218131000</v>
      </c>
      <c r="BS51" s="3">
        <v>211530500</v>
      </c>
      <c r="BT51" s="3">
        <v>168700000</v>
      </c>
      <c r="BU51" s="3">
        <v>-107230000</v>
      </c>
      <c r="BV51" s="3">
        <v>-118284960</v>
      </c>
      <c r="BW51" s="3">
        <v>0</v>
      </c>
      <c r="BX51" s="3">
        <v>72121039</v>
      </c>
      <c r="BY51" s="3">
        <v>512068</v>
      </c>
      <c r="BZ51" s="3">
        <v>273400000</v>
      </c>
      <c r="CA51" s="3">
        <v>-12000000</v>
      </c>
      <c r="CC51" s="4"/>
      <c r="CD51" s="14"/>
      <c r="CF51" s="10"/>
    </row>
    <row r="52" spans="66:84">
      <c r="BN52" s="4">
        <v>42347</v>
      </c>
      <c r="BO52" s="14">
        <v>-198249333</v>
      </c>
      <c r="BP52" s="3">
        <v>0</v>
      </c>
      <c r="BQ52" s="10">
        <v>185948477</v>
      </c>
      <c r="BR52" s="3">
        <v>-349200000</v>
      </c>
      <c r="BS52" s="3">
        <v>274661300</v>
      </c>
      <c r="BT52" s="3">
        <v>59500000</v>
      </c>
      <c r="BU52" s="3">
        <v>-335400000</v>
      </c>
      <c r="BV52" s="3">
        <v>76696540</v>
      </c>
      <c r="BW52" s="3">
        <v>0</v>
      </c>
      <c r="BX52" s="3">
        <v>-104842667</v>
      </c>
      <c r="BY52" s="3">
        <v>3387017</v>
      </c>
      <c r="BZ52" s="3">
        <v>2500000</v>
      </c>
      <c r="CA52" s="3">
        <v>-11500000</v>
      </c>
      <c r="CC52" s="4"/>
      <c r="CD52" s="14"/>
      <c r="CF52" s="10"/>
    </row>
    <row r="53" spans="66:84">
      <c r="BN53" s="4">
        <v>42346</v>
      </c>
      <c r="BO53" s="14">
        <v>17342095</v>
      </c>
      <c r="BP53" s="3">
        <v>0</v>
      </c>
      <c r="BQ53" s="10">
        <v>-498744685</v>
      </c>
      <c r="BR53" s="3">
        <v>41101000</v>
      </c>
      <c r="BS53" s="3">
        <v>158615610</v>
      </c>
      <c r="BT53" s="3">
        <v>16618150</v>
      </c>
      <c r="BU53" s="3">
        <v>-761000</v>
      </c>
      <c r="BV53" s="3">
        <v>251562370</v>
      </c>
      <c r="BW53" s="3">
        <v>0</v>
      </c>
      <c r="BX53" s="3">
        <v>5214130</v>
      </c>
      <c r="BY53" s="3">
        <v>3736520</v>
      </c>
      <c r="BZ53" s="3">
        <v>20000000</v>
      </c>
      <c r="CA53" s="3">
        <v>20000000</v>
      </c>
      <c r="CC53" s="4"/>
      <c r="CD53" s="14"/>
      <c r="CF53" s="10"/>
    </row>
    <row r="54" spans="66:84">
      <c r="BN54" s="4">
        <v>42345</v>
      </c>
      <c r="BO54" s="14">
        <v>2233703228</v>
      </c>
      <c r="BP54" s="3">
        <v>0</v>
      </c>
      <c r="BQ54" s="10">
        <v>424608005</v>
      </c>
      <c r="BR54" s="3">
        <v>619628020</v>
      </c>
      <c r="BS54" s="3">
        <v>829194756</v>
      </c>
      <c r="BT54" s="3">
        <v>46774050</v>
      </c>
      <c r="BU54" s="3">
        <v>236200000</v>
      </c>
      <c r="BV54" s="3">
        <v>71113060</v>
      </c>
      <c r="BW54" s="3">
        <v>0</v>
      </c>
      <c r="BX54" s="3">
        <v>-35520511</v>
      </c>
      <c r="BY54" s="3">
        <v>3705848</v>
      </c>
      <c r="BZ54" s="3">
        <v>-32000000</v>
      </c>
      <c r="CA54" s="3">
        <v>70000000</v>
      </c>
      <c r="CC54" s="4"/>
      <c r="CD54" s="14"/>
      <c r="CF54" s="10"/>
    </row>
    <row r="55" spans="66:84">
      <c r="BN55" s="4">
        <v>42342</v>
      </c>
      <c r="BO55" s="14">
        <v>2242855625</v>
      </c>
      <c r="BP55" s="3">
        <v>0</v>
      </c>
      <c r="BQ55" s="10">
        <v>653326105</v>
      </c>
      <c r="BR55" s="3">
        <v>388700000</v>
      </c>
      <c r="BS55" s="3">
        <v>836850000</v>
      </c>
      <c r="BT55" s="3">
        <v>22000000</v>
      </c>
      <c r="BU55" s="3">
        <v>179700000</v>
      </c>
      <c r="BV55" s="3">
        <v>-103095120</v>
      </c>
      <c r="BW55" s="3">
        <v>0</v>
      </c>
      <c r="BX55" s="3">
        <v>46114695</v>
      </c>
      <c r="BY55" s="3">
        <v>7012945</v>
      </c>
      <c r="BZ55" s="3">
        <v>141847000</v>
      </c>
      <c r="CA55" s="3">
        <v>70400000</v>
      </c>
      <c r="CC55" s="4"/>
      <c r="CD55" s="14"/>
      <c r="CF55" s="10"/>
    </row>
    <row r="56" spans="66:84">
      <c r="BN56" s="4">
        <v>42341</v>
      </c>
      <c r="BO56" s="14">
        <v>1820880585</v>
      </c>
      <c r="BP56" s="3">
        <v>0</v>
      </c>
      <c r="BQ56" s="10">
        <v>888530945</v>
      </c>
      <c r="BR56" s="3">
        <v>153350000</v>
      </c>
      <c r="BS56" s="3">
        <v>414428141</v>
      </c>
      <c r="BT56" s="3">
        <v>-15000000</v>
      </c>
      <c r="BU56" s="3">
        <v>187500000</v>
      </c>
      <c r="BV56" s="3">
        <v>170512410</v>
      </c>
      <c r="BW56" s="3">
        <v>0</v>
      </c>
      <c r="BX56" s="3">
        <v>38570687</v>
      </c>
      <c r="BY56" s="3">
        <v>6888402</v>
      </c>
      <c r="BZ56" s="3">
        <v>-3900000</v>
      </c>
      <c r="CA56" s="3">
        <v>-20000000</v>
      </c>
      <c r="CC56" s="4"/>
      <c r="CD56" s="14"/>
      <c r="CF56" s="10"/>
    </row>
    <row r="57" spans="66:84">
      <c r="BN57" s="4">
        <v>42340</v>
      </c>
      <c r="BO57" s="14">
        <v>2197617692</v>
      </c>
      <c r="BP57" s="3">
        <v>0</v>
      </c>
      <c r="BQ57" s="10">
        <v>284892945</v>
      </c>
      <c r="BR57" s="3">
        <v>143252000</v>
      </c>
      <c r="BS57" s="3">
        <v>1691846592</v>
      </c>
      <c r="BT57" s="3">
        <v>-27400000</v>
      </c>
      <c r="BU57" s="3">
        <v>122300000</v>
      </c>
      <c r="BV57" s="3">
        <v>-23141000</v>
      </c>
      <c r="BW57" s="3">
        <v>0</v>
      </c>
      <c r="BX57" s="3">
        <v>18921830</v>
      </c>
      <c r="BY57" s="3">
        <v>945325</v>
      </c>
      <c r="BZ57" s="3">
        <v>-28000000</v>
      </c>
      <c r="CA57" s="3">
        <v>14000000</v>
      </c>
      <c r="CC57" s="4"/>
      <c r="CD57" s="14"/>
      <c r="CF57" s="10"/>
    </row>
    <row r="58" spans="66:84">
      <c r="BN58" s="4">
        <v>42339</v>
      </c>
      <c r="BO58" s="14">
        <v>1873456091</v>
      </c>
      <c r="BP58" s="3">
        <v>0</v>
      </c>
      <c r="BQ58" s="10">
        <v>377593852</v>
      </c>
      <c r="BR58" s="3">
        <v>367580000</v>
      </c>
      <c r="BS58" s="3">
        <v>972653344</v>
      </c>
      <c r="BT58" s="3">
        <v>-20061890</v>
      </c>
      <c r="BU58" s="3">
        <v>-155000000</v>
      </c>
      <c r="BV58" s="3">
        <v>422834150</v>
      </c>
      <c r="BW58" s="3">
        <v>0</v>
      </c>
      <c r="BX58" s="3">
        <v>-9719747</v>
      </c>
      <c r="BY58" s="3">
        <v>3676382</v>
      </c>
      <c r="BZ58" s="3">
        <v>-102100000</v>
      </c>
      <c r="CA58" s="3">
        <v>16000000</v>
      </c>
      <c r="CC58" s="4"/>
      <c r="CD58" s="14"/>
      <c r="CF58" s="10"/>
    </row>
    <row r="59" spans="66:84">
      <c r="BN59" s="4">
        <v>42338</v>
      </c>
      <c r="BO59" s="14">
        <v>1627212938</v>
      </c>
      <c r="BP59" s="3">
        <v>0</v>
      </c>
      <c r="BQ59" s="10">
        <v>-718698385</v>
      </c>
      <c r="BR59" s="3">
        <v>336500000</v>
      </c>
      <c r="BS59" s="3">
        <v>1066368000</v>
      </c>
      <c r="BT59" s="3">
        <v>207555384</v>
      </c>
      <c r="BU59" s="3">
        <v>597400000</v>
      </c>
      <c r="BV59" s="3">
        <v>77778920</v>
      </c>
      <c r="BW59" s="3">
        <v>0</v>
      </c>
      <c r="BX59" s="3">
        <v>49419965</v>
      </c>
      <c r="BY59" s="3">
        <v>15190648</v>
      </c>
      <c r="BZ59" s="3">
        <v>-1301594</v>
      </c>
      <c r="CA59" s="3">
        <v>-3000000</v>
      </c>
      <c r="CC59" s="4"/>
      <c r="CD59" s="14"/>
      <c r="CF59" s="10"/>
    </row>
    <row r="60" spans="66:84">
      <c r="BN60" s="4">
        <v>42335</v>
      </c>
      <c r="BO60" s="14">
        <v>1061346916</v>
      </c>
      <c r="BP60" s="3">
        <v>0</v>
      </c>
      <c r="BQ60" s="10">
        <v>-878953180</v>
      </c>
      <c r="BR60" s="3">
        <v>324118000</v>
      </c>
      <c r="BS60" s="3">
        <v>1128501360</v>
      </c>
      <c r="BT60" s="3">
        <v>117500000</v>
      </c>
      <c r="BU60" s="3">
        <v>299000000</v>
      </c>
      <c r="BV60" s="3">
        <v>-65191150</v>
      </c>
      <c r="BW60" s="3">
        <v>0</v>
      </c>
      <c r="BX60" s="3">
        <v>40369167</v>
      </c>
      <c r="BY60" s="3">
        <v>12602719</v>
      </c>
      <c r="BZ60" s="3">
        <v>52400000</v>
      </c>
      <c r="CA60" s="3">
        <v>31000000</v>
      </c>
      <c r="CC60" s="4"/>
      <c r="CD60" s="14"/>
      <c r="CF60" s="10"/>
    </row>
    <row r="61" spans="66:84">
      <c r="BN61" s="4">
        <v>42334</v>
      </c>
      <c r="BO61" s="14">
        <v>2696936872</v>
      </c>
      <c r="BP61" s="3">
        <v>0</v>
      </c>
      <c r="BQ61" s="10">
        <v>340278365</v>
      </c>
      <c r="BR61" s="3">
        <v>530001000</v>
      </c>
      <c r="BS61" s="3">
        <v>870226985</v>
      </c>
      <c r="BT61" s="3">
        <v>126800000</v>
      </c>
      <c r="BU61" s="3">
        <v>677700000</v>
      </c>
      <c r="BV61" s="3">
        <v>-66823000</v>
      </c>
      <c r="BW61" s="3">
        <v>0</v>
      </c>
      <c r="BX61" s="3">
        <v>160314060</v>
      </c>
      <c r="BY61" s="3">
        <v>8439462</v>
      </c>
      <c r="BZ61" s="3">
        <v>50000000</v>
      </c>
      <c r="CA61" s="3">
        <v>0</v>
      </c>
      <c r="CC61" s="4"/>
      <c r="CD61" s="14"/>
      <c r="CF61" s="10"/>
    </row>
    <row r="62" spans="66:84">
      <c r="BN62" s="4">
        <v>42333</v>
      </c>
      <c r="BO62" s="14">
        <v>378337647</v>
      </c>
      <c r="BP62" s="3">
        <v>0</v>
      </c>
      <c r="BQ62" s="10">
        <v>-119988490</v>
      </c>
      <c r="BR62" s="3">
        <v>190231030</v>
      </c>
      <c r="BS62" s="3">
        <v>-53403000</v>
      </c>
      <c r="BT62" s="3">
        <v>111300000</v>
      </c>
      <c r="BU62" s="3">
        <v>137500000</v>
      </c>
      <c r="BV62" s="3">
        <v>9329130</v>
      </c>
      <c r="BW62" s="3">
        <v>0</v>
      </c>
      <c r="BX62" s="3">
        <v>32429409</v>
      </c>
      <c r="BY62" s="3">
        <v>-7060432</v>
      </c>
      <c r="BZ62" s="3">
        <v>75000000</v>
      </c>
      <c r="CA62" s="3">
        <v>3000000</v>
      </c>
      <c r="CC62" s="4"/>
      <c r="CD62" s="14"/>
      <c r="CF62" s="10"/>
    </row>
    <row r="63" spans="66:84">
      <c r="BN63" s="4">
        <v>42332</v>
      </c>
      <c r="BO63" s="14">
        <v>2304035700</v>
      </c>
      <c r="BP63" s="3">
        <v>0</v>
      </c>
      <c r="BQ63" s="10">
        <v>825000155</v>
      </c>
      <c r="BR63" s="3">
        <v>219475000</v>
      </c>
      <c r="BS63" s="3">
        <v>749677000</v>
      </c>
      <c r="BT63" s="3">
        <v>-2016053</v>
      </c>
      <c r="BU63" s="3">
        <v>270325000</v>
      </c>
      <c r="BV63" s="3">
        <v>-25310440</v>
      </c>
      <c r="BW63" s="3">
        <v>0</v>
      </c>
      <c r="BX63" s="3">
        <v>-3522825</v>
      </c>
      <c r="BY63" s="3">
        <v>407863</v>
      </c>
      <c r="BZ63" s="3">
        <v>252000000</v>
      </c>
      <c r="CA63" s="3">
        <v>18000000</v>
      </c>
      <c r="CC63" s="4"/>
      <c r="CD63" s="14"/>
      <c r="CF63" s="10"/>
    </row>
    <row r="64" spans="66:84">
      <c r="BN64" s="4">
        <v>42331</v>
      </c>
      <c r="BO64" s="14">
        <v>479474471</v>
      </c>
      <c r="BP64" s="3">
        <v>0</v>
      </c>
      <c r="BQ64" s="10">
        <v>-886830523</v>
      </c>
      <c r="BR64" s="3">
        <v>293980000</v>
      </c>
      <c r="BS64" s="3">
        <v>540255109</v>
      </c>
      <c r="BT64" s="3">
        <v>6744242</v>
      </c>
      <c r="BU64" s="3">
        <v>326680000</v>
      </c>
      <c r="BV64" s="3">
        <v>154317051</v>
      </c>
      <c r="BW64" s="3">
        <v>0</v>
      </c>
      <c r="BX64" s="3">
        <v>22410596</v>
      </c>
      <c r="BY64" s="3">
        <v>3720606</v>
      </c>
      <c r="BZ64" s="3">
        <v>20197390</v>
      </c>
      <c r="CA64" s="3">
        <v>-2000000</v>
      </c>
      <c r="CC64" s="4"/>
      <c r="CD64" s="14"/>
      <c r="CF64" s="10"/>
    </row>
    <row r="65" spans="66:84">
      <c r="BN65" s="4">
        <v>42328</v>
      </c>
      <c r="BO65" s="14">
        <v>1576006769</v>
      </c>
      <c r="BP65" s="3">
        <v>0</v>
      </c>
      <c r="BQ65" s="10">
        <v>88565460</v>
      </c>
      <c r="BR65" s="3">
        <v>465650000</v>
      </c>
      <c r="BS65" s="3">
        <v>554560000</v>
      </c>
      <c r="BT65" s="3">
        <v>99668765</v>
      </c>
      <c r="BU65" s="3">
        <v>114200000</v>
      </c>
      <c r="BV65" s="3">
        <v>79761300</v>
      </c>
      <c r="BW65" s="3">
        <v>0</v>
      </c>
      <c r="BX65" s="3">
        <v>33288100</v>
      </c>
      <c r="BY65" s="3">
        <v>1313144</v>
      </c>
      <c r="BZ65" s="3">
        <v>125000000</v>
      </c>
      <c r="CA65" s="3">
        <v>14000000</v>
      </c>
      <c r="CC65" s="4"/>
      <c r="CD65" s="14"/>
      <c r="CF65" s="10"/>
    </row>
    <row r="66" spans="66:84">
      <c r="BN66" s="4">
        <v>42327</v>
      </c>
      <c r="BO66" s="14">
        <v>551520205</v>
      </c>
      <c r="BP66" s="3">
        <v>0</v>
      </c>
      <c r="BQ66" s="10">
        <v>-714011480</v>
      </c>
      <c r="BR66" s="3">
        <v>249400000</v>
      </c>
      <c r="BS66" s="3">
        <v>887405000</v>
      </c>
      <c r="BT66" s="3">
        <v>120142182</v>
      </c>
      <c r="BU66" s="3">
        <v>-116000000</v>
      </c>
      <c r="BV66" s="3">
        <v>120212440</v>
      </c>
      <c r="BW66" s="3">
        <v>0</v>
      </c>
      <c r="BX66" s="3">
        <v>-50449503</v>
      </c>
      <c r="BY66" s="3">
        <v>1642316</v>
      </c>
      <c r="BZ66" s="3">
        <v>36179250</v>
      </c>
      <c r="CA66" s="3">
        <v>17000000</v>
      </c>
      <c r="CC66" s="4"/>
      <c r="CD66" s="14"/>
      <c r="CF66" s="10"/>
    </row>
    <row r="67" spans="66:84">
      <c r="BN67" s="4">
        <v>42326</v>
      </c>
      <c r="BO67" s="14">
        <v>286288573</v>
      </c>
      <c r="BP67" s="3">
        <v>0</v>
      </c>
      <c r="BQ67" s="10">
        <v>144198805</v>
      </c>
      <c r="BR67" s="3">
        <v>62000000</v>
      </c>
      <c r="BS67" s="3">
        <v>-22976000</v>
      </c>
      <c r="BT67" s="3">
        <v>-34735446</v>
      </c>
      <c r="BU67" s="3">
        <v>-58300000</v>
      </c>
      <c r="BV67" s="3">
        <v>95496310</v>
      </c>
      <c r="BW67" s="3">
        <v>0</v>
      </c>
      <c r="BX67" s="3">
        <v>256305</v>
      </c>
      <c r="BY67" s="3">
        <v>6933919</v>
      </c>
      <c r="BZ67" s="3">
        <v>84414680</v>
      </c>
      <c r="CA67" s="3">
        <v>9000000</v>
      </c>
      <c r="CC67" s="4"/>
      <c r="CD67" s="14"/>
      <c r="CF67" s="10"/>
    </row>
    <row r="68" spans="66:84">
      <c r="BN68" s="4">
        <v>42325</v>
      </c>
      <c r="BO68" s="14">
        <v>2119331730</v>
      </c>
      <c r="BP68" s="3">
        <v>0</v>
      </c>
      <c r="BQ68" s="10">
        <v>831409720</v>
      </c>
      <c r="BR68" s="3">
        <v>310504000</v>
      </c>
      <c r="BS68" s="3">
        <v>651002000</v>
      </c>
      <c r="BT68" s="3">
        <v>43667291</v>
      </c>
      <c r="BU68" s="3">
        <v>-1586000</v>
      </c>
      <c r="BV68" s="3">
        <v>17661450</v>
      </c>
      <c r="BW68" s="3">
        <v>0</v>
      </c>
      <c r="BX68" s="3">
        <v>-2356080</v>
      </c>
      <c r="BY68" s="3">
        <v>6829349</v>
      </c>
      <c r="BZ68" s="3">
        <v>241200000</v>
      </c>
      <c r="CA68" s="3">
        <v>21000000</v>
      </c>
      <c r="CC68" s="4"/>
      <c r="CD68" s="14"/>
      <c r="CF68" s="10"/>
    </row>
    <row r="69" spans="66:84">
      <c r="BN69" s="4">
        <v>42324</v>
      </c>
      <c r="BO69" s="14">
        <v>1668258566</v>
      </c>
      <c r="BP69" s="3">
        <v>0</v>
      </c>
      <c r="BQ69" s="10">
        <v>222033860</v>
      </c>
      <c r="BR69" s="3">
        <v>771530000</v>
      </c>
      <c r="BS69" s="3">
        <v>1075195000</v>
      </c>
      <c r="BT69" s="3">
        <v>-39347000</v>
      </c>
      <c r="BU69" s="3">
        <v>-442570000</v>
      </c>
      <c r="BV69" s="3">
        <v>59775000</v>
      </c>
      <c r="BW69" s="3">
        <v>0</v>
      </c>
      <c r="BX69" s="3">
        <v>1906334</v>
      </c>
      <c r="BY69" s="3">
        <v>3535372</v>
      </c>
      <c r="BZ69" s="3">
        <v>-3800000</v>
      </c>
      <c r="CA69" s="3">
        <v>20000000</v>
      </c>
      <c r="CC69" s="4"/>
      <c r="CD69" s="14"/>
      <c r="CF69" s="10"/>
    </row>
    <row r="70" spans="66:84">
      <c r="BN70" s="4">
        <v>42321</v>
      </c>
      <c r="BO70" s="14">
        <v>1353412821</v>
      </c>
      <c r="BP70" s="3">
        <v>0</v>
      </c>
      <c r="BQ70" s="10">
        <v>-173544340</v>
      </c>
      <c r="BR70" s="3">
        <v>508450000</v>
      </c>
      <c r="BS70" s="3">
        <v>413100000</v>
      </c>
      <c r="BT70" s="3">
        <v>200000000</v>
      </c>
      <c r="BU70" s="3">
        <v>224000000</v>
      </c>
      <c r="BV70" s="3">
        <v>126196420</v>
      </c>
      <c r="BW70" s="3">
        <v>0</v>
      </c>
      <c r="BX70" s="3">
        <v>-2522638</v>
      </c>
      <c r="BY70" s="3">
        <v>13233379</v>
      </c>
      <c r="BZ70" s="3">
        <v>49500000</v>
      </c>
      <c r="CA70" s="3">
        <v>-5000000</v>
      </c>
      <c r="CC70" s="4"/>
      <c r="CD70" s="14"/>
      <c r="CF70" s="10"/>
    </row>
    <row r="71" spans="66:84">
      <c r="BN71" s="4">
        <v>42320</v>
      </c>
      <c r="BO71" s="14">
        <v>1922739460</v>
      </c>
      <c r="BP71" s="3">
        <v>0</v>
      </c>
      <c r="BQ71" s="10">
        <v>-272286595</v>
      </c>
      <c r="BR71" s="3">
        <v>100610000</v>
      </c>
      <c r="BS71" s="3">
        <v>1103750000</v>
      </c>
      <c r="BT71" s="3">
        <v>77090000</v>
      </c>
      <c r="BU71" s="3">
        <v>227947431</v>
      </c>
      <c r="BV71" s="3">
        <v>644986970</v>
      </c>
      <c r="BW71" s="3">
        <v>0</v>
      </c>
      <c r="BX71" s="3">
        <v>-4796534</v>
      </c>
      <c r="BY71" s="3">
        <v>7838188</v>
      </c>
      <c r="BZ71" s="3">
        <v>6600000</v>
      </c>
      <c r="CA71" s="3">
        <v>31000000</v>
      </c>
      <c r="CC71" s="4"/>
      <c r="CD71" s="14"/>
      <c r="CF71" s="10"/>
    </row>
    <row r="72" spans="66:84">
      <c r="BN72" s="4">
        <v>42319</v>
      </c>
      <c r="BO72" s="14">
        <v>1593794041</v>
      </c>
      <c r="BP72" s="3">
        <v>0</v>
      </c>
      <c r="BQ72" s="10">
        <v>329007065</v>
      </c>
      <c r="BR72" s="3">
        <v>505500000</v>
      </c>
      <c r="BS72" s="3">
        <v>441762535</v>
      </c>
      <c r="BT72" s="3">
        <v>37425000</v>
      </c>
      <c r="BU72" s="3">
        <v>51200000</v>
      </c>
      <c r="BV72" s="3">
        <v>106735570</v>
      </c>
      <c r="BW72" s="3">
        <v>0</v>
      </c>
      <c r="BX72" s="3">
        <v>77199771</v>
      </c>
      <c r="BY72" s="3">
        <v>5984100</v>
      </c>
      <c r="BZ72" s="3">
        <v>35170000</v>
      </c>
      <c r="CA72" s="3">
        <v>3810000</v>
      </c>
      <c r="CC72" s="4"/>
      <c r="CD72" s="14"/>
      <c r="CF72" s="10"/>
    </row>
    <row r="73" spans="66:84">
      <c r="BN73" s="4">
        <v>42318</v>
      </c>
      <c r="BO73" s="14">
        <v>684230461</v>
      </c>
      <c r="BP73" s="3">
        <v>0</v>
      </c>
      <c r="BQ73" s="10">
        <v>-57792950</v>
      </c>
      <c r="BR73" s="3">
        <v>475460000</v>
      </c>
      <c r="BS73" s="3">
        <v>-46100000</v>
      </c>
      <c r="BT73" s="3">
        <v>-5948160</v>
      </c>
      <c r="BU73" s="3">
        <v>9540000</v>
      </c>
      <c r="BV73" s="3">
        <v>292317400</v>
      </c>
      <c r="BW73" s="3">
        <v>0</v>
      </c>
      <c r="BX73" s="3">
        <v>8173867</v>
      </c>
      <c r="BY73" s="3">
        <v>-919696</v>
      </c>
      <c r="BZ73" s="3">
        <v>-12500000</v>
      </c>
      <c r="CA73" s="3">
        <v>22000000</v>
      </c>
      <c r="CC73" s="4"/>
      <c r="CD73" s="14"/>
      <c r="CF73" s="10"/>
    </row>
    <row r="74" spans="66:84">
      <c r="BN74" s="4">
        <v>42317</v>
      </c>
      <c r="BO74" s="14">
        <v>2252405364</v>
      </c>
      <c r="BP74" s="3">
        <v>0</v>
      </c>
      <c r="BQ74" s="10">
        <v>594520350</v>
      </c>
      <c r="BR74" s="3">
        <v>595238150</v>
      </c>
      <c r="BS74" s="3">
        <v>527922366</v>
      </c>
      <c r="BT74" s="3">
        <v>-16255064</v>
      </c>
      <c r="BU74" s="3">
        <v>119700000</v>
      </c>
      <c r="BV74" s="3">
        <v>372413500</v>
      </c>
      <c r="BW74" s="3">
        <v>0</v>
      </c>
      <c r="BX74" s="3">
        <v>30095301</v>
      </c>
      <c r="BY74" s="3">
        <v>4922107</v>
      </c>
      <c r="BZ74" s="3">
        <v>36298654</v>
      </c>
      <c r="CA74" s="3">
        <v>-12450000</v>
      </c>
      <c r="CC74" s="4"/>
      <c r="CD74" s="14"/>
      <c r="CF74" s="10"/>
    </row>
    <row r="75" spans="66:84">
      <c r="BN75" s="4">
        <v>42314</v>
      </c>
      <c r="BO75" s="14">
        <v>2833248146</v>
      </c>
      <c r="BP75" s="3">
        <v>0</v>
      </c>
      <c r="BQ75" s="10">
        <v>974899670</v>
      </c>
      <c r="BR75" s="3">
        <v>668800000</v>
      </c>
      <c r="BS75" s="3">
        <v>537280000</v>
      </c>
      <c r="BT75" s="3">
        <v>133500000</v>
      </c>
      <c r="BU75" s="3">
        <v>280000000</v>
      </c>
      <c r="BV75" s="3">
        <v>-20262300</v>
      </c>
      <c r="BW75" s="3">
        <v>0</v>
      </c>
      <c r="BX75" s="3">
        <v>112648957</v>
      </c>
      <c r="BY75" s="3">
        <v>113459219</v>
      </c>
      <c r="BZ75" s="3">
        <v>31922600</v>
      </c>
      <c r="CA75" s="3">
        <v>1000000</v>
      </c>
      <c r="CC75" s="4"/>
      <c r="CD75" s="14"/>
      <c r="CF75" s="10"/>
    </row>
    <row r="76" spans="66:84">
      <c r="BN76" s="4">
        <v>42313</v>
      </c>
      <c r="BO76" s="14">
        <v>1324480023</v>
      </c>
      <c r="BP76" s="3">
        <v>0</v>
      </c>
      <c r="BQ76" s="10">
        <v>59636599</v>
      </c>
      <c r="BR76" s="3">
        <v>326010000</v>
      </c>
      <c r="BS76" s="3">
        <v>650189506</v>
      </c>
      <c r="BT76" s="3">
        <v>17600000</v>
      </c>
      <c r="BU76" s="3">
        <v>111500000</v>
      </c>
      <c r="BV76" s="3">
        <v>11234800</v>
      </c>
      <c r="BW76" s="3">
        <v>0</v>
      </c>
      <c r="BX76" s="3">
        <v>49820172</v>
      </c>
      <c r="BY76" s="3">
        <v>-4011054</v>
      </c>
      <c r="BZ76" s="3">
        <v>127500000</v>
      </c>
      <c r="CA76" s="3">
        <v>-25000000</v>
      </c>
      <c r="CC76" s="4"/>
      <c r="CD76" s="14"/>
      <c r="CF76" s="10"/>
    </row>
    <row r="77" spans="66:84">
      <c r="BN77" s="4">
        <v>42312</v>
      </c>
      <c r="BO77" s="14">
        <v>2663386581</v>
      </c>
      <c r="BP77" s="3">
        <v>0</v>
      </c>
      <c r="BQ77" s="10">
        <v>724177615</v>
      </c>
      <c r="BR77" s="3">
        <v>306659000</v>
      </c>
      <c r="BS77" s="3">
        <v>479620000</v>
      </c>
      <c r="BT77" s="3">
        <v>55943183</v>
      </c>
      <c r="BU77" s="3">
        <v>826750000</v>
      </c>
      <c r="BV77" s="3">
        <v>84182510</v>
      </c>
      <c r="BW77" s="3">
        <v>0</v>
      </c>
      <c r="BX77" s="3">
        <v>80175953</v>
      </c>
      <c r="BY77" s="3">
        <v>5428320</v>
      </c>
      <c r="BZ77" s="3">
        <v>84800000</v>
      </c>
      <c r="CA77" s="3">
        <v>15650000</v>
      </c>
      <c r="CC77" s="4"/>
      <c r="CD77" s="14"/>
      <c r="CF77" s="10"/>
    </row>
    <row r="78" spans="66:84">
      <c r="BN78" s="4">
        <v>42311</v>
      </c>
      <c r="BO78" s="14">
        <v>2488599201</v>
      </c>
      <c r="BP78" s="3">
        <v>0</v>
      </c>
      <c r="BQ78" s="10">
        <v>616915910</v>
      </c>
      <c r="BR78" s="3">
        <v>739391000</v>
      </c>
      <c r="BS78" s="3">
        <v>512785000</v>
      </c>
      <c r="BT78" s="3">
        <v>64764554</v>
      </c>
      <c r="BU78" s="3">
        <v>407100000</v>
      </c>
      <c r="BV78" s="3">
        <v>29799840</v>
      </c>
      <c r="BW78" s="3">
        <v>0</v>
      </c>
      <c r="BX78" s="3">
        <v>11475380</v>
      </c>
      <c r="BY78" s="3">
        <v>2967517</v>
      </c>
      <c r="BZ78" s="3">
        <v>132400000</v>
      </c>
      <c r="CA78" s="3">
        <v>-29000000</v>
      </c>
      <c r="CC78" s="4"/>
      <c r="CD78" s="14"/>
      <c r="CF78" s="10"/>
    </row>
    <row r="79" spans="66:84">
      <c r="BN79" s="4">
        <v>42310</v>
      </c>
      <c r="BO79" s="14">
        <v>1593886952</v>
      </c>
      <c r="BP79" s="3">
        <v>0</v>
      </c>
      <c r="BQ79" s="10">
        <v>141683945</v>
      </c>
      <c r="BR79" s="3">
        <v>182990000</v>
      </c>
      <c r="BS79" s="3">
        <v>1137040970</v>
      </c>
      <c r="BT79" s="3">
        <v>3129940</v>
      </c>
      <c r="BU79" s="3">
        <v>-4000000</v>
      </c>
      <c r="BV79" s="3">
        <v>101188080</v>
      </c>
      <c r="BW79" s="3">
        <v>0</v>
      </c>
      <c r="BX79" s="3">
        <v>37952889</v>
      </c>
      <c r="BY79" s="3">
        <v>5401128</v>
      </c>
      <c r="BZ79" s="3">
        <v>-11500000</v>
      </c>
      <c r="CA79" s="3">
        <v>0</v>
      </c>
      <c r="CC79" s="4"/>
      <c r="CD79" s="14"/>
      <c r="CF79" s="10"/>
    </row>
    <row r="80" spans="66:84">
      <c r="BN80" s="4">
        <v>42307</v>
      </c>
      <c r="BO80" s="14">
        <v>3143245106</v>
      </c>
      <c r="BP80" s="3">
        <v>0</v>
      </c>
      <c r="BQ80" s="10">
        <v>169437611</v>
      </c>
      <c r="BR80" s="3">
        <v>369343000</v>
      </c>
      <c r="BS80" s="3">
        <v>1125542000</v>
      </c>
      <c r="BT80" s="3">
        <v>310390000</v>
      </c>
      <c r="BU80" s="3">
        <v>621055500</v>
      </c>
      <c r="BV80" s="3">
        <v>391445220</v>
      </c>
      <c r="BW80" s="3">
        <v>0</v>
      </c>
      <c r="BX80" s="3">
        <v>93068264</v>
      </c>
      <c r="BY80" s="3">
        <v>8561704</v>
      </c>
      <c r="BZ80" s="3">
        <v>30401807</v>
      </c>
      <c r="CA80" s="3">
        <v>24000000</v>
      </c>
      <c r="CC80" s="4"/>
      <c r="CD80" s="14"/>
      <c r="CF80" s="10"/>
    </row>
    <row r="81" spans="66:84">
      <c r="BN81" s="4">
        <v>42306</v>
      </c>
      <c r="BO81" s="14">
        <v>2250978982</v>
      </c>
      <c r="BP81" s="3">
        <v>0</v>
      </c>
      <c r="BQ81" s="10">
        <v>26379825</v>
      </c>
      <c r="BR81" s="3">
        <v>531105000</v>
      </c>
      <c r="BS81" s="3">
        <v>619514350</v>
      </c>
      <c r="BT81" s="3">
        <v>105625527</v>
      </c>
      <c r="BU81" s="3">
        <v>493700000</v>
      </c>
      <c r="BV81" s="3">
        <v>-144074610</v>
      </c>
      <c r="BW81" s="3">
        <v>0</v>
      </c>
      <c r="BX81" s="3">
        <v>524595355</v>
      </c>
      <c r="BY81" s="3">
        <v>11270876</v>
      </c>
      <c r="BZ81" s="3">
        <v>70862659</v>
      </c>
      <c r="CA81" s="3">
        <v>12000000</v>
      </c>
      <c r="CC81" s="4"/>
      <c r="CD81" s="14"/>
      <c r="CF81" s="10"/>
    </row>
    <row r="82" spans="66:84">
      <c r="BN82" s="4">
        <v>42305</v>
      </c>
      <c r="BO82" s="14">
        <v>281012392</v>
      </c>
      <c r="BP82" s="3">
        <v>0</v>
      </c>
      <c r="BQ82" s="10">
        <v>-17842065</v>
      </c>
      <c r="BR82" s="3">
        <v>-44350000</v>
      </c>
      <c r="BS82" s="3">
        <v>656167937</v>
      </c>
      <c r="BT82" s="3">
        <v>58830000</v>
      </c>
      <c r="BU82" s="3">
        <v>-250100000</v>
      </c>
      <c r="BV82" s="3">
        <v>-268688000</v>
      </c>
      <c r="BW82" s="3">
        <v>0</v>
      </c>
      <c r="BX82" s="3">
        <v>37814741</v>
      </c>
      <c r="BY82" s="3">
        <v>13018060</v>
      </c>
      <c r="BZ82" s="3">
        <v>105161719</v>
      </c>
      <c r="CA82" s="3">
        <v>-9000000</v>
      </c>
      <c r="CC82" s="4"/>
      <c r="CD82" s="14"/>
      <c r="CF82" s="10"/>
    </row>
    <row r="83" spans="66:84">
      <c r="BN83" s="4">
        <v>42304</v>
      </c>
      <c r="BO83" s="14">
        <v>1812271032</v>
      </c>
      <c r="BP83" s="3">
        <v>0</v>
      </c>
      <c r="BQ83" s="10">
        <v>115785630</v>
      </c>
      <c r="BR83" s="3">
        <v>-23100000</v>
      </c>
      <c r="BS83" s="3">
        <v>1072228052</v>
      </c>
      <c r="BT83" s="3">
        <v>39000000</v>
      </c>
      <c r="BU83" s="3">
        <v>171300000</v>
      </c>
      <c r="BV83" s="3">
        <v>210194400</v>
      </c>
      <c r="BW83" s="3">
        <v>0</v>
      </c>
      <c r="BX83" s="3">
        <v>-13593764</v>
      </c>
      <c r="BY83" s="3">
        <v>6404714</v>
      </c>
      <c r="BZ83" s="3">
        <v>204052000</v>
      </c>
      <c r="CA83" s="3">
        <v>30000000</v>
      </c>
      <c r="CC83" s="4"/>
      <c r="CD83" s="14"/>
      <c r="CF83" s="10"/>
    </row>
    <row r="84" spans="66:84">
      <c r="BN84" s="4">
        <v>42303</v>
      </c>
      <c r="BO84" s="14">
        <v>1957823933</v>
      </c>
      <c r="BP84" s="3">
        <v>0</v>
      </c>
      <c r="BQ84" s="10">
        <v>90047978</v>
      </c>
      <c r="BR84" s="3">
        <v>706894250</v>
      </c>
      <c r="BS84" s="3">
        <v>841370340</v>
      </c>
      <c r="BT84" s="3">
        <v>79871104</v>
      </c>
      <c r="BU84" s="3">
        <v>-1950000</v>
      </c>
      <c r="BV84" s="3">
        <v>248511168</v>
      </c>
      <c r="BW84" s="3">
        <v>0</v>
      </c>
      <c r="BX84" s="3">
        <v>-20735746</v>
      </c>
      <c r="BY84" s="3">
        <v>5814839</v>
      </c>
      <c r="BZ84" s="3">
        <v>18000000</v>
      </c>
      <c r="CA84" s="3">
        <v>-10000000</v>
      </c>
      <c r="CC84" s="4"/>
      <c r="CD84" s="14"/>
      <c r="CF84" s="10"/>
    </row>
    <row r="85" spans="66:84">
      <c r="BN85" s="4">
        <v>42300</v>
      </c>
      <c r="BO85" s="14">
        <v>1638273199</v>
      </c>
      <c r="BP85" s="3">
        <v>0</v>
      </c>
      <c r="BQ85" s="10">
        <v>620163105</v>
      </c>
      <c r="BR85" s="3">
        <v>405336000</v>
      </c>
      <c r="BS85" s="3">
        <v>163714000</v>
      </c>
      <c r="BT85" s="3">
        <v>154550731</v>
      </c>
      <c r="BU85" s="3">
        <v>25300000</v>
      </c>
      <c r="BV85" s="3">
        <v>92976010</v>
      </c>
      <c r="BW85" s="3">
        <v>0</v>
      </c>
      <c r="BX85" s="3">
        <v>102329786</v>
      </c>
      <c r="BY85" s="3">
        <v>7464672</v>
      </c>
      <c r="BZ85" s="3">
        <v>71438895</v>
      </c>
      <c r="CA85" s="3">
        <v>-5000000</v>
      </c>
      <c r="CC85" s="4"/>
      <c r="CD85" s="14"/>
      <c r="CF85" s="10"/>
    </row>
    <row r="86" spans="66:84">
      <c r="BN86" s="4">
        <v>42299</v>
      </c>
      <c r="BO86" s="14">
        <v>529955120</v>
      </c>
      <c r="BP86" s="3">
        <v>0</v>
      </c>
      <c r="BQ86" s="10">
        <v>111319060</v>
      </c>
      <c r="BR86" s="3">
        <v>309600000</v>
      </c>
      <c r="BS86" s="3">
        <v>-33171639</v>
      </c>
      <c r="BT86" s="3">
        <v>-37440000</v>
      </c>
      <c r="BU86" s="3">
        <v>-69500000</v>
      </c>
      <c r="BV86" s="3">
        <v>158703240</v>
      </c>
      <c r="BW86" s="3">
        <v>0</v>
      </c>
      <c r="BX86" s="3">
        <v>81054438</v>
      </c>
      <c r="BY86" s="3">
        <v>5747262</v>
      </c>
      <c r="BZ86" s="3">
        <v>3642759</v>
      </c>
      <c r="CA86" s="3">
        <v>0</v>
      </c>
      <c r="CC86" s="4"/>
      <c r="CD86" s="14"/>
      <c r="CF86" s="10"/>
    </row>
    <row r="87" spans="66:84">
      <c r="BN87" s="4">
        <v>42298</v>
      </c>
      <c r="BO87" s="14">
        <v>1462707739</v>
      </c>
      <c r="BP87" s="3">
        <v>0</v>
      </c>
      <c r="BQ87" s="10">
        <v>323597909</v>
      </c>
      <c r="BR87" s="3">
        <v>483681000</v>
      </c>
      <c r="BS87" s="3">
        <v>162500000</v>
      </c>
      <c r="BT87" s="3">
        <v>113507029</v>
      </c>
      <c r="BU87" s="3">
        <v>209300000</v>
      </c>
      <c r="BV87" s="3">
        <v>38812170</v>
      </c>
      <c r="BW87" s="3">
        <v>0</v>
      </c>
      <c r="BX87" s="3">
        <v>89586124</v>
      </c>
      <c r="BY87" s="3">
        <v>4550877</v>
      </c>
      <c r="BZ87" s="3">
        <v>13172630</v>
      </c>
      <c r="CA87" s="3">
        <v>24000000</v>
      </c>
      <c r="CC87" s="4"/>
      <c r="CD87" s="14"/>
      <c r="CF87" s="10"/>
    </row>
    <row r="88" spans="66:84">
      <c r="BN88" s="4">
        <v>42297</v>
      </c>
      <c r="BO88" s="14">
        <v>2719590190</v>
      </c>
      <c r="BP88" s="3">
        <v>0</v>
      </c>
      <c r="BQ88" s="10">
        <v>601791220</v>
      </c>
      <c r="BR88" s="3">
        <v>500120000</v>
      </c>
      <c r="BS88" s="3">
        <v>378984000</v>
      </c>
      <c r="BT88" s="3">
        <v>93685000</v>
      </c>
      <c r="BU88" s="3">
        <v>595680000</v>
      </c>
      <c r="BV88" s="3">
        <v>351158890</v>
      </c>
      <c r="BW88" s="3">
        <v>0</v>
      </c>
      <c r="BX88" s="3">
        <v>59343651</v>
      </c>
      <c r="BY88" s="3">
        <v>7227429</v>
      </c>
      <c r="BZ88" s="3">
        <v>143600000</v>
      </c>
      <c r="CA88" s="3">
        <v>-12000000</v>
      </c>
      <c r="CC88" s="4"/>
      <c r="CD88" s="14"/>
      <c r="CF88" s="10"/>
    </row>
    <row r="89" spans="66:84">
      <c r="BN89" s="4">
        <v>42296</v>
      </c>
      <c r="BO89" s="14">
        <v>2497471503</v>
      </c>
      <c r="BP89" s="3">
        <v>0</v>
      </c>
      <c r="BQ89" s="10">
        <v>108373022</v>
      </c>
      <c r="BR89" s="3">
        <v>1130870000</v>
      </c>
      <c r="BS89" s="3">
        <v>345986048</v>
      </c>
      <c r="BT89" s="3">
        <v>204150000</v>
      </c>
      <c r="BU89" s="3">
        <v>243800000</v>
      </c>
      <c r="BV89" s="3">
        <v>371024700</v>
      </c>
      <c r="BW89" s="3">
        <v>0</v>
      </c>
      <c r="BX89" s="3">
        <v>69269039</v>
      </c>
      <c r="BY89" s="3">
        <v>3198694</v>
      </c>
      <c r="BZ89" s="3">
        <v>9800000</v>
      </c>
      <c r="CA89" s="3">
        <v>11000000</v>
      </c>
      <c r="CC89" s="4"/>
      <c r="CD89" s="14"/>
      <c r="CF89" s="10"/>
    </row>
    <row r="90" spans="66:84">
      <c r="BN90" s="4">
        <v>42293</v>
      </c>
      <c r="BO90" s="14">
        <v>1015544780</v>
      </c>
      <c r="BP90" s="3">
        <v>0</v>
      </c>
      <c r="BQ90" s="10">
        <v>170686245</v>
      </c>
      <c r="BR90" s="3">
        <v>207320000</v>
      </c>
      <c r="BS90" s="3">
        <v>491750000</v>
      </c>
      <c r="BT90" s="3">
        <v>44243022</v>
      </c>
      <c r="BU90" s="3">
        <v>-40280000</v>
      </c>
      <c r="BV90" s="3">
        <v>111994000</v>
      </c>
      <c r="BW90" s="3">
        <v>0</v>
      </c>
      <c r="BX90" s="3">
        <v>32904646</v>
      </c>
      <c r="BY90" s="3">
        <v>4966867</v>
      </c>
      <c r="BZ90" s="3">
        <v>14960000</v>
      </c>
      <c r="CA90" s="3">
        <v>-23000000</v>
      </c>
      <c r="CC90" s="4"/>
      <c r="CD90" s="14"/>
      <c r="CF90" s="10"/>
    </row>
    <row r="91" spans="66:84">
      <c r="BN91" s="4">
        <v>42292</v>
      </c>
      <c r="BO91" s="14">
        <v>787498310</v>
      </c>
      <c r="BP91" s="3">
        <v>0</v>
      </c>
      <c r="BQ91" s="10">
        <v>-420103808</v>
      </c>
      <c r="BR91" s="3">
        <v>19550000</v>
      </c>
      <c r="BS91" s="3">
        <v>910700000</v>
      </c>
      <c r="BT91" s="3">
        <v>95758274</v>
      </c>
      <c r="BU91" s="3">
        <v>-289350000</v>
      </c>
      <c r="BV91" s="3">
        <v>414381000</v>
      </c>
      <c r="BW91" s="3">
        <v>0</v>
      </c>
      <c r="BX91" s="3">
        <v>34704284</v>
      </c>
      <c r="BY91" s="3">
        <v>-4141440</v>
      </c>
      <c r="BZ91" s="3">
        <v>-14000000</v>
      </c>
      <c r="CA91" s="3">
        <v>40000000</v>
      </c>
      <c r="CC91" s="4"/>
      <c r="CD91" s="14"/>
      <c r="CF91" s="10"/>
    </row>
    <row r="92" spans="66:84">
      <c r="BN92" s="4">
        <v>42291</v>
      </c>
      <c r="BO92" s="14">
        <v>1744962459</v>
      </c>
      <c r="BP92" s="3">
        <v>0</v>
      </c>
      <c r="BQ92" s="10">
        <v>636026715</v>
      </c>
      <c r="BR92" s="3">
        <v>381959190</v>
      </c>
      <c r="BS92" s="3">
        <v>234727440</v>
      </c>
      <c r="BT92" s="3">
        <v>65300000</v>
      </c>
      <c r="BU92" s="3">
        <v>298057000</v>
      </c>
      <c r="BV92" s="3">
        <v>446950</v>
      </c>
      <c r="BW92" s="3">
        <v>0</v>
      </c>
      <c r="BX92" s="3">
        <v>65983313</v>
      </c>
      <c r="BY92" s="3">
        <v>14461851</v>
      </c>
      <c r="BZ92" s="3">
        <v>31000000</v>
      </c>
      <c r="CA92" s="3">
        <v>17000000</v>
      </c>
      <c r="CC92" s="4"/>
      <c r="CD92" s="14"/>
      <c r="CF92" s="10"/>
    </row>
    <row r="93" spans="66:84">
      <c r="BN93" s="4">
        <v>42290</v>
      </c>
      <c r="BO93" s="14">
        <v>1262894238</v>
      </c>
      <c r="BP93" s="3">
        <v>0</v>
      </c>
      <c r="BQ93" s="10">
        <v>-348293260</v>
      </c>
      <c r="BR93" s="3">
        <v>546200000</v>
      </c>
      <c r="BS93" s="3">
        <v>728592000</v>
      </c>
      <c r="BT93" s="3">
        <v>21600000</v>
      </c>
      <c r="BU93" s="3">
        <v>205200000</v>
      </c>
      <c r="BV93" s="3">
        <v>56376520</v>
      </c>
      <c r="BW93" s="3">
        <v>0</v>
      </c>
      <c r="BX93" s="3">
        <v>54709750</v>
      </c>
      <c r="BY93" s="3">
        <v>1701023</v>
      </c>
      <c r="BZ93" s="3">
        <v>4108205</v>
      </c>
      <c r="CA93" s="3">
        <v>-7300000</v>
      </c>
      <c r="CC93" s="4"/>
      <c r="CD93" s="14"/>
      <c r="CF93" s="10"/>
    </row>
    <row r="94" spans="66:84">
      <c r="BN94" s="4">
        <v>42289</v>
      </c>
      <c r="BO94" s="14">
        <v>2954902648</v>
      </c>
      <c r="BP94" s="3">
        <v>0</v>
      </c>
      <c r="BQ94" s="10">
        <v>-304719930</v>
      </c>
      <c r="BR94" s="3">
        <v>629400000</v>
      </c>
      <c r="BS94" s="3">
        <v>531642420</v>
      </c>
      <c r="BT94" s="3">
        <v>90900000</v>
      </c>
      <c r="BU94" s="3">
        <v>871500000</v>
      </c>
      <c r="BV94" s="3">
        <v>1101270900</v>
      </c>
      <c r="BW94" s="3">
        <v>0</v>
      </c>
      <c r="BX94" s="3">
        <v>-8841942</v>
      </c>
      <c r="BY94" s="3">
        <v>-9748800</v>
      </c>
      <c r="BZ94" s="3">
        <v>48500000</v>
      </c>
      <c r="CA94" s="3">
        <v>5000000</v>
      </c>
      <c r="CC94" s="4"/>
      <c r="CD94" s="14"/>
      <c r="CF94" s="10"/>
    </row>
    <row r="95" spans="66:84">
      <c r="BN95" s="4">
        <v>42285</v>
      </c>
      <c r="BO95" s="14">
        <v>1316606539</v>
      </c>
      <c r="BP95" s="3">
        <v>0</v>
      </c>
      <c r="BQ95" s="10">
        <v>-233510960</v>
      </c>
      <c r="BR95" s="3">
        <v>304710000</v>
      </c>
      <c r="BS95" s="3">
        <v>701870000</v>
      </c>
      <c r="BT95" s="3">
        <v>32874335</v>
      </c>
      <c r="BU95" s="3">
        <v>351000000</v>
      </c>
      <c r="BV95" s="3">
        <v>39514750</v>
      </c>
      <c r="BW95" s="3">
        <v>0</v>
      </c>
      <c r="BX95" s="3">
        <v>82787614</v>
      </c>
      <c r="BY95" s="3">
        <v>6360800</v>
      </c>
      <c r="BZ95" s="3">
        <v>23000000</v>
      </c>
      <c r="CA95" s="3">
        <v>8000000</v>
      </c>
      <c r="CC95" s="4"/>
      <c r="CD95" s="14"/>
      <c r="CF95" s="10"/>
    </row>
    <row r="96" spans="66:84">
      <c r="BN96" s="4">
        <v>42284</v>
      </c>
      <c r="BO96" s="14">
        <v>1680263823</v>
      </c>
      <c r="BP96" s="3">
        <v>0</v>
      </c>
      <c r="BQ96" s="10">
        <v>557997305</v>
      </c>
      <c r="BR96" s="3">
        <v>161633320</v>
      </c>
      <c r="BS96" s="3">
        <v>310400000</v>
      </c>
      <c r="BT96" s="3">
        <v>101077666</v>
      </c>
      <c r="BU96" s="3">
        <v>453000000</v>
      </c>
      <c r="BV96" s="3">
        <v>19875930</v>
      </c>
      <c r="BW96" s="3">
        <v>0</v>
      </c>
      <c r="BX96" s="3">
        <v>27808077</v>
      </c>
      <c r="BY96" s="3">
        <v>1471525</v>
      </c>
      <c r="BZ96" s="3">
        <v>51000000</v>
      </c>
      <c r="CA96" s="3">
        <v>-4000000</v>
      </c>
      <c r="CC96" s="4"/>
      <c r="CD96" s="14"/>
      <c r="CF96" s="10"/>
    </row>
    <row r="97" spans="66:84">
      <c r="BN97" s="4">
        <v>42283</v>
      </c>
      <c r="BO97" s="14">
        <v>987483734</v>
      </c>
      <c r="BP97" s="3">
        <v>0</v>
      </c>
      <c r="BQ97" s="10">
        <v>21196355</v>
      </c>
      <c r="BR97" s="3">
        <v>391100000</v>
      </c>
      <c r="BS97" s="3">
        <v>444170000</v>
      </c>
      <c r="BT97" s="3">
        <v>51544249</v>
      </c>
      <c r="BU97" s="3">
        <v>12900000</v>
      </c>
      <c r="BV97" s="3">
        <v>56036000</v>
      </c>
      <c r="BW97" s="3">
        <v>0</v>
      </c>
      <c r="BX97" s="3">
        <v>24184495</v>
      </c>
      <c r="BY97" s="3">
        <v>6352635</v>
      </c>
      <c r="BZ97" s="3">
        <v>-30000000</v>
      </c>
      <c r="CA97" s="3">
        <v>10000000</v>
      </c>
      <c r="CC97" s="4"/>
      <c r="CD97" s="14"/>
      <c r="CF97" s="10"/>
    </row>
    <row r="98" spans="66:84">
      <c r="BN98" s="4">
        <v>42282</v>
      </c>
      <c r="BO98" s="14">
        <v>1021595850</v>
      </c>
      <c r="BP98" s="3">
        <v>0</v>
      </c>
      <c r="BQ98" s="10">
        <v>-302447685</v>
      </c>
      <c r="BR98" s="3">
        <v>84200000</v>
      </c>
      <c r="BS98" s="3">
        <v>1024850000</v>
      </c>
      <c r="BT98" s="3">
        <v>25700000</v>
      </c>
      <c r="BU98" s="3">
        <v>20000000</v>
      </c>
      <c r="BV98" s="3">
        <v>234063520</v>
      </c>
      <c r="BW98" s="3">
        <v>0</v>
      </c>
      <c r="BX98" s="3">
        <v>-58989870</v>
      </c>
      <c r="BY98" s="3">
        <v>5919885</v>
      </c>
      <c r="BZ98" s="3">
        <v>-23000000</v>
      </c>
      <c r="CA98" s="3">
        <v>11300000</v>
      </c>
      <c r="CC98" s="4"/>
      <c r="CD98" s="14"/>
      <c r="CF98" s="10"/>
    </row>
    <row r="99" spans="66:84">
      <c r="BN99" s="4">
        <v>42279</v>
      </c>
      <c r="BO99" s="14">
        <v>448293687</v>
      </c>
      <c r="BP99" s="3">
        <v>0</v>
      </c>
      <c r="BQ99" s="10">
        <v>-642327100</v>
      </c>
      <c r="BR99" s="3">
        <v>45631000</v>
      </c>
      <c r="BS99" s="3">
        <v>1377905370</v>
      </c>
      <c r="BT99" s="3">
        <v>-15300000</v>
      </c>
      <c r="BU99" s="3">
        <v>-273000000</v>
      </c>
      <c r="BV99" s="3">
        <v>24938580</v>
      </c>
      <c r="BW99" s="3">
        <v>0</v>
      </c>
      <c r="BX99" s="3">
        <v>-53815287</v>
      </c>
      <c r="BY99" s="3">
        <v>7961124</v>
      </c>
      <c r="BZ99" s="3">
        <v>-30000000</v>
      </c>
      <c r="CA99" s="3">
        <v>6300000</v>
      </c>
      <c r="CC99" s="4"/>
      <c r="CD99" s="14"/>
      <c r="CF99" s="10"/>
    </row>
    <row r="100" spans="66:84">
      <c r="BN100" s="4">
        <v>42278</v>
      </c>
      <c r="BO100" s="14">
        <v>784666582</v>
      </c>
      <c r="BP100" s="3">
        <v>0</v>
      </c>
      <c r="BQ100" s="10">
        <v>259963010</v>
      </c>
      <c r="BR100" s="3">
        <v>-14999000</v>
      </c>
      <c r="BS100" s="3">
        <v>556370000</v>
      </c>
      <c r="BT100" s="3">
        <v>-94203820</v>
      </c>
      <c r="BU100" s="3">
        <v>443000000</v>
      </c>
      <c r="BV100" s="3">
        <v>-312737170</v>
      </c>
      <c r="BW100" s="3">
        <v>0</v>
      </c>
      <c r="BX100" s="3">
        <v>-48734323</v>
      </c>
      <c r="BY100" s="3">
        <v>5207885</v>
      </c>
      <c r="BZ100" s="3">
        <v>-2200000</v>
      </c>
      <c r="CA100" s="3">
        <v>-7000000</v>
      </c>
      <c r="CC100" s="4"/>
      <c r="CD100" s="14"/>
      <c r="CF100" s="10"/>
    </row>
    <row r="101" spans="66:84">
      <c r="BN101" s="4">
        <v>42277</v>
      </c>
      <c r="BO101" s="14">
        <v>1306217602</v>
      </c>
      <c r="BP101" s="3">
        <v>0</v>
      </c>
      <c r="BQ101" s="10">
        <v>-131465700</v>
      </c>
      <c r="BR101" s="3">
        <v>-164657000</v>
      </c>
      <c r="BS101" s="3">
        <v>898104600</v>
      </c>
      <c r="BT101" s="3">
        <v>-65200000</v>
      </c>
      <c r="BU101" s="3">
        <v>316000000</v>
      </c>
      <c r="BV101" s="3">
        <v>393988980</v>
      </c>
      <c r="BW101" s="3">
        <v>0</v>
      </c>
      <c r="BX101" s="3">
        <v>14201456</v>
      </c>
      <c r="BY101" s="3">
        <v>15557520</v>
      </c>
      <c r="BZ101" s="3">
        <v>31687746</v>
      </c>
      <c r="CA101" s="3">
        <v>-2000000</v>
      </c>
      <c r="CC101" s="4"/>
      <c r="CD101" s="14"/>
      <c r="CF101" s="10"/>
    </row>
    <row r="102" spans="66:84">
      <c r="BN102" s="4">
        <v>42272</v>
      </c>
      <c r="BO102" s="14">
        <v>1279781871</v>
      </c>
      <c r="BP102" s="3">
        <v>0</v>
      </c>
      <c r="BQ102" s="10">
        <v>130506652</v>
      </c>
      <c r="BR102" s="3">
        <v>301406000</v>
      </c>
      <c r="BS102" s="3">
        <v>392815000</v>
      </c>
      <c r="BT102" s="3">
        <v>102800000</v>
      </c>
      <c r="BU102" s="3">
        <v>137100000</v>
      </c>
      <c r="BV102" s="3">
        <v>127969170</v>
      </c>
      <c r="BW102" s="3">
        <v>0</v>
      </c>
      <c r="BX102" s="3">
        <v>97401827</v>
      </c>
      <c r="BY102" s="3">
        <v>-4663274</v>
      </c>
      <c r="BZ102" s="3">
        <v>4446496</v>
      </c>
      <c r="CA102" s="3">
        <v>-10000000</v>
      </c>
      <c r="CC102" s="4"/>
      <c r="CD102" s="14"/>
      <c r="CF102" s="10"/>
    </row>
    <row r="103" spans="66:84">
      <c r="BN103" s="4">
        <v>42271</v>
      </c>
      <c r="BO103" s="14">
        <v>2581750519</v>
      </c>
      <c r="BP103" s="3">
        <v>0</v>
      </c>
      <c r="BQ103" s="10">
        <v>642983685</v>
      </c>
      <c r="BR103" s="3">
        <v>579916000</v>
      </c>
      <c r="BS103" s="3">
        <v>587640090</v>
      </c>
      <c r="BT103" s="3">
        <v>380417155</v>
      </c>
      <c r="BU103" s="3">
        <v>155000000</v>
      </c>
      <c r="BV103" s="3">
        <v>-63520130</v>
      </c>
      <c r="BW103" s="3">
        <v>0</v>
      </c>
      <c r="BX103" s="3">
        <v>185627508</v>
      </c>
      <c r="BY103" s="3">
        <v>-4263254</v>
      </c>
      <c r="BZ103" s="3">
        <v>40449465</v>
      </c>
      <c r="CA103" s="3">
        <v>77500000</v>
      </c>
      <c r="CC103" s="4"/>
      <c r="CD103" s="14"/>
      <c r="CF103" s="10"/>
    </row>
    <row r="104" spans="66:84">
      <c r="BN104" s="4">
        <v>42270</v>
      </c>
      <c r="BO104" s="14">
        <v>1987231996</v>
      </c>
      <c r="BP104" s="3">
        <v>0</v>
      </c>
      <c r="BQ104" s="10">
        <v>273163219</v>
      </c>
      <c r="BR104" s="3">
        <v>335068000</v>
      </c>
      <c r="BS104" s="3">
        <v>450812940</v>
      </c>
      <c r="BT104" s="3">
        <v>263200000</v>
      </c>
      <c r="BU104" s="3">
        <v>349188110</v>
      </c>
      <c r="BV104" s="3">
        <v>160610000</v>
      </c>
      <c r="BW104" s="3">
        <v>0</v>
      </c>
      <c r="BX104" s="3">
        <v>89197726</v>
      </c>
      <c r="BY104" s="3">
        <v>-8903602</v>
      </c>
      <c r="BZ104" s="3">
        <v>53895603</v>
      </c>
      <c r="CA104" s="3">
        <v>21000000</v>
      </c>
      <c r="CC104" s="4"/>
      <c r="CD104" s="14"/>
      <c r="CF104" s="10"/>
    </row>
    <row r="105" spans="66:84">
      <c r="BN105" s="4">
        <v>42269</v>
      </c>
      <c r="BO105" s="14">
        <v>1727027831</v>
      </c>
      <c r="BP105" s="3">
        <v>0</v>
      </c>
      <c r="BQ105" s="10">
        <v>202772870</v>
      </c>
      <c r="BR105" s="3">
        <v>399267000</v>
      </c>
      <c r="BS105" s="3">
        <v>580407150</v>
      </c>
      <c r="BT105" s="3">
        <v>83952677</v>
      </c>
      <c r="BU105" s="3">
        <v>121400000</v>
      </c>
      <c r="BV105" s="3">
        <v>-23977000</v>
      </c>
      <c r="BW105" s="3">
        <v>0</v>
      </c>
      <c r="BX105" s="3">
        <v>372914656</v>
      </c>
      <c r="BY105" s="3">
        <v>8095831</v>
      </c>
      <c r="BZ105" s="3">
        <v>-17805353</v>
      </c>
      <c r="CA105" s="3">
        <v>0</v>
      </c>
      <c r="CC105" s="4"/>
      <c r="CD105" s="14"/>
      <c r="CF105" s="10"/>
    </row>
    <row r="106" spans="66:84">
      <c r="BN106" s="4">
        <v>42268</v>
      </c>
      <c r="BO106" s="14">
        <v>2320300347</v>
      </c>
      <c r="BP106" s="3">
        <v>0</v>
      </c>
      <c r="BQ106" s="10">
        <v>548958239</v>
      </c>
      <c r="BR106" s="3">
        <v>615810574</v>
      </c>
      <c r="BS106" s="3">
        <v>702081500</v>
      </c>
      <c r="BT106" s="3">
        <v>71000000</v>
      </c>
      <c r="BU106" s="3">
        <v>186400000</v>
      </c>
      <c r="BV106" s="3">
        <v>122892000</v>
      </c>
      <c r="BW106" s="3">
        <v>0</v>
      </c>
      <c r="BX106" s="3">
        <v>-5180117</v>
      </c>
      <c r="BY106" s="3">
        <v>10863543</v>
      </c>
      <c r="BZ106" s="3">
        <v>32474608</v>
      </c>
      <c r="CA106" s="3">
        <v>35000000</v>
      </c>
      <c r="CC106" s="4"/>
      <c r="CD106" s="14"/>
      <c r="CF106" s="10"/>
    </row>
    <row r="107" spans="66:84">
      <c r="BN107" s="4">
        <v>42265</v>
      </c>
      <c r="BO107" s="14">
        <v>984097749</v>
      </c>
      <c r="BP107" s="3">
        <v>0</v>
      </c>
      <c r="BQ107" s="10">
        <v>744698130</v>
      </c>
      <c r="BR107" s="3">
        <v>238039130</v>
      </c>
      <c r="BS107" s="3">
        <v>-321951310</v>
      </c>
      <c r="BT107" s="3">
        <v>-14341500</v>
      </c>
      <c r="BU107" s="3">
        <v>-102000000</v>
      </c>
      <c r="BV107" s="3">
        <v>196544930</v>
      </c>
      <c r="BW107" s="3">
        <v>0</v>
      </c>
      <c r="BX107" s="3">
        <v>127672453</v>
      </c>
      <c r="BY107" s="3">
        <v>16835916</v>
      </c>
      <c r="BZ107" s="3">
        <v>90600000</v>
      </c>
      <c r="CA107" s="3">
        <v>8000000</v>
      </c>
      <c r="CC107" s="4"/>
      <c r="CD107" s="14"/>
      <c r="CF107" s="10"/>
    </row>
    <row r="108" spans="66:84">
      <c r="BN108" s="4">
        <v>42264</v>
      </c>
      <c r="BO108" s="14">
        <v>2114234519</v>
      </c>
      <c r="BP108" s="3">
        <v>0</v>
      </c>
      <c r="BQ108" s="10">
        <v>604921485</v>
      </c>
      <c r="BR108" s="3">
        <v>372570000</v>
      </c>
      <c r="BS108" s="3">
        <v>798132443</v>
      </c>
      <c r="BT108" s="3">
        <v>139414080</v>
      </c>
      <c r="BU108" s="3">
        <v>-18094000</v>
      </c>
      <c r="BV108" s="3">
        <v>123383760</v>
      </c>
      <c r="BW108" s="3">
        <v>0</v>
      </c>
      <c r="BX108" s="3">
        <v>27295660</v>
      </c>
      <c r="BY108" s="3">
        <v>5311091</v>
      </c>
      <c r="BZ108" s="3">
        <v>57300000</v>
      </c>
      <c r="CA108" s="3">
        <v>4000000</v>
      </c>
      <c r="CC108" s="4"/>
      <c r="CD108" s="14"/>
      <c r="CF108" s="10"/>
    </row>
    <row r="109" spans="66:84">
      <c r="BN109" s="4">
        <v>42263</v>
      </c>
      <c r="BO109" s="14">
        <v>2432819531</v>
      </c>
      <c r="BP109" s="3">
        <v>0</v>
      </c>
      <c r="BQ109" s="10">
        <v>1132117110</v>
      </c>
      <c r="BR109" s="3">
        <v>498690000</v>
      </c>
      <c r="BS109" s="3">
        <v>266540000</v>
      </c>
      <c r="BT109" s="3">
        <v>49575000</v>
      </c>
      <c r="BU109" s="3">
        <v>389900000</v>
      </c>
      <c r="BV109" s="3">
        <v>-92574140</v>
      </c>
      <c r="BW109" s="3">
        <v>0</v>
      </c>
      <c r="BX109" s="3">
        <v>72607082</v>
      </c>
      <c r="BY109" s="3">
        <v>10964479</v>
      </c>
      <c r="BZ109" s="3">
        <v>65000000</v>
      </c>
      <c r="CA109" s="3">
        <v>40000000</v>
      </c>
      <c r="CC109" s="4"/>
      <c r="CD109" s="14"/>
      <c r="CF109" s="10"/>
    </row>
    <row r="110" spans="66:84">
      <c r="BN110" s="4">
        <v>42262</v>
      </c>
      <c r="BO110" s="14">
        <v>1636479275</v>
      </c>
      <c r="BP110" s="3">
        <v>0</v>
      </c>
      <c r="BQ110" s="10">
        <v>557710575</v>
      </c>
      <c r="BR110" s="3">
        <v>315770000</v>
      </c>
      <c r="BS110" s="3">
        <v>-84960000</v>
      </c>
      <c r="BT110" s="3">
        <v>19400000</v>
      </c>
      <c r="BU110" s="3">
        <v>282900000</v>
      </c>
      <c r="BV110" s="3">
        <v>289451700</v>
      </c>
      <c r="BW110" s="3">
        <v>0</v>
      </c>
      <c r="BX110" s="3">
        <v>145231491</v>
      </c>
      <c r="BY110" s="3">
        <v>10237904</v>
      </c>
      <c r="BZ110" s="3">
        <v>102737605</v>
      </c>
      <c r="CA110" s="3">
        <v>-2000000</v>
      </c>
      <c r="CC110" s="4"/>
      <c r="CD110" s="14"/>
      <c r="CF110" s="10"/>
    </row>
    <row r="111" spans="66:84">
      <c r="BN111" s="4">
        <v>42261</v>
      </c>
      <c r="BO111" s="14">
        <v>2437886070</v>
      </c>
      <c r="BP111" s="3">
        <v>0</v>
      </c>
      <c r="BQ111" s="10">
        <v>60130110</v>
      </c>
      <c r="BR111" s="3">
        <v>618684000</v>
      </c>
      <c r="BS111" s="3">
        <v>152660000</v>
      </c>
      <c r="BT111" s="3">
        <v>-18400000</v>
      </c>
      <c r="BU111" s="3">
        <v>759758592</v>
      </c>
      <c r="BV111" s="3">
        <v>816486900</v>
      </c>
      <c r="BW111" s="3">
        <v>0</v>
      </c>
      <c r="BX111" s="3">
        <v>19225153</v>
      </c>
      <c r="BY111" s="3">
        <v>45941315</v>
      </c>
      <c r="BZ111" s="3">
        <v>-48600000</v>
      </c>
      <c r="CA111" s="3">
        <v>32000000</v>
      </c>
      <c r="CC111" s="4"/>
      <c r="CD111" s="14"/>
      <c r="CF111" s="10"/>
    </row>
    <row r="112" spans="66:84">
      <c r="BN112" s="4">
        <v>42258</v>
      </c>
      <c r="BO112" s="14">
        <v>1500718765</v>
      </c>
      <c r="BP112" s="3">
        <v>0</v>
      </c>
      <c r="BQ112" s="10">
        <v>316763605</v>
      </c>
      <c r="BR112" s="3">
        <v>458556000</v>
      </c>
      <c r="BS112" s="3">
        <v>392754520</v>
      </c>
      <c r="BT112" s="3">
        <v>-25900000</v>
      </c>
      <c r="BU112" s="3">
        <v>346300000</v>
      </c>
      <c r="BV112" s="3">
        <v>-38931200</v>
      </c>
      <c r="BW112" s="3">
        <v>0</v>
      </c>
      <c r="BX112" s="3">
        <v>47212173</v>
      </c>
      <c r="BY112" s="3">
        <v>3263667</v>
      </c>
      <c r="BZ112" s="3">
        <v>10200000</v>
      </c>
      <c r="CA112" s="3">
        <v>-9500000</v>
      </c>
      <c r="CC112" s="4"/>
      <c r="CD112" s="14"/>
      <c r="CF112" s="10"/>
    </row>
    <row r="113" spans="66:84">
      <c r="BN113" s="4">
        <v>42257</v>
      </c>
      <c r="BO113" s="14">
        <v>910246434</v>
      </c>
      <c r="BP113" s="3">
        <v>0</v>
      </c>
      <c r="BQ113" s="10">
        <v>33693695</v>
      </c>
      <c r="BR113" s="3">
        <v>415435000</v>
      </c>
      <c r="BS113" s="3">
        <v>736981884</v>
      </c>
      <c r="BT113" s="3">
        <v>66579055</v>
      </c>
      <c r="BU113" s="3">
        <v>-493500000</v>
      </c>
      <c r="BV113" s="3">
        <v>-11200000</v>
      </c>
      <c r="BW113" s="3">
        <v>0</v>
      </c>
      <c r="BX113" s="3">
        <v>34960980</v>
      </c>
      <c r="BY113" s="3">
        <v>11645820</v>
      </c>
      <c r="BZ113" s="3">
        <v>80350000</v>
      </c>
      <c r="CA113" s="3">
        <v>35300000</v>
      </c>
      <c r="CC113" s="4"/>
      <c r="CD113" s="14"/>
      <c r="CF113" s="10"/>
    </row>
    <row r="114" spans="66:84">
      <c r="BN114" s="4">
        <v>42256</v>
      </c>
      <c r="BO114" s="14">
        <v>2395884469</v>
      </c>
      <c r="BP114" s="3">
        <v>0</v>
      </c>
      <c r="BQ114" s="10">
        <v>659134165</v>
      </c>
      <c r="BR114" s="3">
        <v>375980000</v>
      </c>
      <c r="BS114" s="3">
        <v>946420000</v>
      </c>
      <c r="BT114" s="3">
        <v>-111800000</v>
      </c>
      <c r="BU114" s="3">
        <v>268400000</v>
      </c>
      <c r="BV114" s="3">
        <v>72695610</v>
      </c>
      <c r="BW114" s="3">
        <v>0</v>
      </c>
      <c r="BX114" s="3">
        <v>102459444</v>
      </c>
      <c r="BY114" s="3">
        <v>2153250</v>
      </c>
      <c r="BZ114" s="3">
        <v>59450000</v>
      </c>
      <c r="CA114" s="3">
        <v>20992000</v>
      </c>
      <c r="CC114" s="4"/>
      <c r="CD114" s="14"/>
      <c r="CF114" s="10"/>
    </row>
    <row r="115" spans="66:84">
      <c r="BN115" s="4">
        <v>42255</v>
      </c>
      <c r="BO115" s="14">
        <v>1317828018</v>
      </c>
      <c r="BP115" s="3">
        <v>0</v>
      </c>
      <c r="BQ115" s="10">
        <v>734265208</v>
      </c>
      <c r="BR115" s="3">
        <v>130037000</v>
      </c>
      <c r="BS115" s="3">
        <v>75553000</v>
      </c>
      <c r="BT115" s="3">
        <v>-5288860</v>
      </c>
      <c r="BU115" s="3">
        <v>148800000</v>
      </c>
      <c r="BV115" s="3">
        <v>213390300</v>
      </c>
      <c r="BW115" s="3">
        <v>0</v>
      </c>
      <c r="BX115" s="3">
        <v>46221366</v>
      </c>
      <c r="BY115" s="3">
        <v>650004</v>
      </c>
      <c r="BZ115" s="3">
        <v>-25800000</v>
      </c>
      <c r="CA115" s="3">
        <v>0</v>
      </c>
      <c r="CC115" s="4"/>
      <c r="CD115" s="14"/>
      <c r="CF115" s="10"/>
    </row>
    <row r="116" spans="66:84">
      <c r="BN116" s="4">
        <v>42254</v>
      </c>
      <c r="BO116" s="14">
        <v>1153705924</v>
      </c>
      <c r="BP116" s="3">
        <v>0</v>
      </c>
      <c r="BQ116" s="10">
        <v>-30044215</v>
      </c>
      <c r="BR116" s="3">
        <v>237466470</v>
      </c>
      <c r="BS116" s="3">
        <v>948110000</v>
      </c>
      <c r="BT116" s="3">
        <v>29900000</v>
      </c>
      <c r="BU116" s="3">
        <v>88700000</v>
      </c>
      <c r="BV116" s="3">
        <v>-56235470</v>
      </c>
      <c r="BW116" s="3">
        <v>0</v>
      </c>
      <c r="BX116" s="3">
        <v>-22216623</v>
      </c>
      <c r="BY116" s="3">
        <v>10825762</v>
      </c>
      <c r="BZ116" s="3">
        <v>-42800000</v>
      </c>
      <c r="CA116" s="3">
        <v>-10000000</v>
      </c>
      <c r="CC116" s="4"/>
      <c r="CD116" s="14"/>
      <c r="CF116" s="10"/>
    </row>
    <row r="117" spans="66:84">
      <c r="BN117" s="4">
        <v>42251</v>
      </c>
      <c r="BO117" s="14">
        <v>2408275408</v>
      </c>
      <c r="BP117" s="3">
        <v>0</v>
      </c>
      <c r="BQ117" s="10">
        <v>797388115</v>
      </c>
      <c r="BR117" s="3">
        <v>654994146</v>
      </c>
      <c r="BS117" s="3">
        <v>875737000</v>
      </c>
      <c r="BT117" s="3">
        <v>-80300000</v>
      </c>
      <c r="BU117" s="3">
        <v>122400000</v>
      </c>
      <c r="BV117" s="3">
        <v>-48136290</v>
      </c>
      <c r="BW117" s="3">
        <v>0</v>
      </c>
      <c r="BX117" s="3">
        <v>51250501</v>
      </c>
      <c r="BY117" s="3">
        <v>12241936</v>
      </c>
      <c r="BZ117" s="3">
        <v>6700000</v>
      </c>
      <c r="CA117" s="3">
        <v>16000000</v>
      </c>
      <c r="CC117" s="4"/>
      <c r="CD117" s="14"/>
      <c r="CF117" s="10"/>
    </row>
    <row r="118" spans="66:84">
      <c r="BN118" s="4">
        <v>42250</v>
      </c>
      <c r="BO118" s="14">
        <v>580272436</v>
      </c>
      <c r="BP118" s="3">
        <v>0</v>
      </c>
      <c r="BQ118" s="10">
        <v>-265843980</v>
      </c>
      <c r="BR118" s="3">
        <v>203554000</v>
      </c>
      <c r="BS118" s="3">
        <v>746416000</v>
      </c>
      <c r="BT118" s="3">
        <v>-33797000</v>
      </c>
      <c r="BU118" s="3">
        <v>14000000</v>
      </c>
      <c r="BV118" s="3">
        <v>9972490</v>
      </c>
      <c r="BW118" s="3">
        <v>0</v>
      </c>
      <c r="BX118" s="3">
        <v>-104977998</v>
      </c>
      <c r="BY118" s="3">
        <v>15648924</v>
      </c>
      <c r="BZ118" s="3">
        <v>-1000000</v>
      </c>
      <c r="CA118" s="3">
        <v>-3700000</v>
      </c>
      <c r="CC118" s="4"/>
      <c r="CD118" s="14"/>
      <c r="CF118" s="10"/>
    </row>
    <row r="119" spans="66:84">
      <c r="BN119" s="4">
        <v>42249</v>
      </c>
      <c r="BO119" s="14">
        <v>1975800780</v>
      </c>
      <c r="BP119" s="3">
        <v>0</v>
      </c>
      <c r="BQ119" s="10">
        <v>1162715060</v>
      </c>
      <c r="BR119" s="3">
        <v>151210000</v>
      </c>
      <c r="BS119" s="3">
        <v>1104546520</v>
      </c>
      <c r="BT119" s="3">
        <v>-50429237</v>
      </c>
      <c r="BU119" s="3">
        <v>-315600000</v>
      </c>
      <c r="BV119" s="3">
        <v>-75055920</v>
      </c>
      <c r="BW119" s="3">
        <v>0</v>
      </c>
      <c r="BX119" s="3">
        <v>-83288630</v>
      </c>
      <c r="BY119" s="3">
        <v>16402987</v>
      </c>
      <c r="BZ119" s="3">
        <v>61000000</v>
      </c>
      <c r="CA119" s="3">
        <v>4300000</v>
      </c>
      <c r="CC119" s="4"/>
      <c r="CD119" s="14"/>
      <c r="CF119" s="10"/>
    </row>
    <row r="120" spans="66:84">
      <c r="BN120" s="4">
        <v>42248</v>
      </c>
      <c r="BO120" s="14">
        <v>805223668</v>
      </c>
      <c r="BP120" s="3">
        <v>0</v>
      </c>
      <c r="BQ120" s="10">
        <v>-392470765</v>
      </c>
      <c r="BR120" s="3">
        <v>608810000</v>
      </c>
      <c r="BS120" s="3">
        <v>431973000</v>
      </c>
      <c r="BT120" s="3">
        <v>-20900000</v>
      </c>
      <c r="BU120" s="3">
        <v>31750000</v>
      </c>
      <c r="BV120" s="3">
        <v>46655720</v>
      </c>
      <c r="BW120" s="3">
        <v>0</v>
      </c>
      <c r="BX120" s="3">
        <v>61074391</v>
      </c>
      <c r="BY120" s="3">
        <v>24131322</v>
      </c>
      <c r="BZ120" s="3">
        <v>12700000</v>
      </c>
      <c r="CA120" s="3">
        <v>1500000</v>
      </c>
      <c r="CC120" s="4"/>
      <c r="CD120" s="14"/>
      <c r="CF120" s="10"/>
    </row>
    <row r="121" spans="66:84">
      <c r="BN121" s="4">
        <v>42247</v>
      </c>
      <c r="BO121" s="14">
        <v>1350238667</v>
      </c>
      <c r="BP121" s="3">
        <v>0</v>
      </c>
      <c r="BQ121" s="10">
        <v>500405205</v>
      </c>
      <c r="BR121" s="3">
        <v>101825000</v>
      </c>
      <c r="BS121" s="3">
        <v>307123500</v>
      </c>
      <c r="BT121" s="3">
        <v>22064000</v>
      </c>
      <c r="BU121" s="3">
        <v>258700000</v>
      </c>
      <c r="BV121" s="3">
        <v>-2129130</v>
      </c>
      <c r="BW121" s="3">
        <v>0</v>
      </c>
      <c r="BX121" s="3">
        <v>128059069</v>
      </c>
      <c r="BY121" s="3">
        <v>68900832</v>
      </c>
      <c r="BZ121" s="3">
        <v>-31709809</v>
      </c>
      <c r="CA121" s="3">
        <v>-3000000</v>
      </c>
      <c r="CC121" s="4"/>
      <c r="CD121" s="14"/>
      <c r="CF121" s="10"/>
    </row>
    <row r="122" spans="66:84">
      <c r="BN122" s="4">
        <v>42244</v>
      </c>
      <c r="BO122" s="14">
        <v>1678729352</v>
      </c>
      <c r="BP122" s="3">
        <v>0</v>
      </c>
      <c r="BQ122" s="10">
        <v>-68086680</v>
      </c>
      <c r="BR122" s="3">
        <v>701788000</v>
      </c>
      <c r="BS122" s="3">
        <v>669652500</v>
      </c>
      <c r="BT122" s="3">
        <v>3463557</v>
      </c>
      <c r="BU122" s="3">
        <v>19800000</v>
      </c>
      <c r="BV122" s="3">
        <v>106748260</v>
      </c>
      <c r="BW122" s="3">
        <v>0</v>
      </c>
      <c r="BX122" s="3">
        <v>91957827</v>
      </c>
      <c r="BY122" s="3">
        <v>2823378</v>
      </c>
      <c r="BZ122" s="3">
        <v>170582510</v>
      </c>
      <c r="CA122" s="3">
        <v>-20000000</v>
      </c>
      <c r="CC122" s="4"/>
      <c r="CD122" s="14"/>
      <c r="CF122" s="10"/>
    </row>
    <row r="123" spans="66:84">
      <c r="BN123" s="4">
        <v>42243</v>
      </c>
      <c r="BO123" s="14">
        <v>371177653</v>
      </c>
      <c r="BP123" s="3">
        <v>0</v>
      </c>
      <c r="BQ123" s="10">
        <v>-240924670</v>
      </c>
      <c r="BR123" s="3">
        <v>331800000</v>
      </c>
      <c r="BS123" s="3">
        <v>708116030</v>
      </c>
      <c r="BT123" s="3">
        <v>-74297950</v>
      </c>
      <c r="BU123" s="3">
        <v>-218400000</v>
      </c>
      <c r="BV123" s="3">
        <v>-164271500</v>
      </c>
      <c r="BW123" s="3">
        <v>0</v>
      </c>
      <c r="BX123" s="3">
        <v>10752240</v>
      </c>
      <c r="BY123" s="3">
        <v>303503</v>
      </c>
      <c r="BZ123" s="3">
        <v>-1900000</v>
      </c>
      <c r="CA123" s="3">
        <v>20000000</v>
      </c>
      <c r="CC123" s="4"/>
      <c r="CD123" s="14"/>
      <c r="CF123" s="10"/>
    </row>
    <row r="124" spans="66:84">
      <c r="BN124" s="4">
        <v>42242</v>
      </c>
      <c r="BO124" s="14">
        <v>1551703491</v>
      </c>
      <c r="BP124" s="3">
        <v>0</v>
      </c>
      <c r="BQ124" s="10">
        <v>243697755</v>
      </c>
      <c r="BR124" s="3">
        <v>379150000</v>
      </c>
      <c r="BS124" s="3">
        <v>860639000</v>
      </c>
      <c r="BT124" s="3">
        <v>-6000000</v>
      </c>
      <c r="BU124" s="3">
        <v>37600000</v>
      </c>
      <c r="BV124" s="3">
        <v>-158718140</v>
      </c>
      <c r="BW124" s="3">
        <v>0</v>
      </c>
      <c r="BX124" s="3">
        <v>80064697</v>
      </c>
      <c r="BY124" s="3">
        <v>2770179</v>
      </c>
      <c r="BZ124" s="3">
        <v>110500000</v>
      </c>
      <c r="CA124" s="3">
        <v>2000000</v>
      </c>
      <c r="CC124" s="4"/>
      <c r="CD124" s="14"/>
      <c r="CF124" s="10"/>
    </row>
    <row r="125" spans="66:84">
      <c r="BN125" s="4">
        <v>42241</v>
      </c>
      <c r="BO125" s="14">
        <v>1250391820</v>
      </c>
      <c r="BP125" s="3">
        <v>0</v>
      </c>
      <c r="BQ125" s="10">
        <v>-166759725</v>
      </c>
      <c r="BR125" s="3">
        <v>414660000</v>
      </c>
      <c r="BS125" s="3">
        <v>523132950</v>
      </c>
      <c r="BT125" s="3">
        <v>-61565429</v>
      </c>
      <c r="BU125" s="3">
        <v>447500000</v>
      </c>
      <c r="BV125" s="3">
        <v>60068750</v>
      </c>
      <c r="BW125" s="3">
        <v>0</v>
      </c>
      <c r="BX125" s="3">
        <v>28089984</v>
      </c>
      <c r="BY125" s="3">
        <v>3873248</v>
      </c>
      <c r="BZ125" s="3">
        <v>11292042</v>
      </c>
      <c r="CA125" s="3">
        <v>-9900000</v>
      </c>
      <c r="CC125" s="4"/>
      <c r="CD125" s="14"/>
      <c r="CF125" s="10"/>
    </row>
    <row r="126" spans="66:84">
      <c r="BN126" s="4">
        <v>42240</v>
      </c>
      <c r="BO126" s="14">
        <v>1652360517</v>
      </c>
      <c r="BP126" s="3">
        <v>0</v>
      </c>
      <c r="BQ126" s="10">
        <v>-221558015</v>
      </c>
      <c r="BR126" s="3">
        <v>916047000</v>
      </c>
      <c r="BS126" s="3">
        <v>1057723000</v>
      </c>
      <c r="BT126" s="3">
        <v>-3800000</v>
      </c>
      <c r="BU126" s="3">
        <v>-106600000</v>
      </c>
      <c r="BV126" s="3">
        <v>-13815630</v>
      </c>
      <c r="BW126" s="3">
        <v>0</v>
      </c>
      <c r="BX126" s="3">
        <v>19025798</v>
      </c>
      <c r="BY126" s="3">
        <v>1338364</v>
      </c>
      <c r="BZ126" s="3">
        <v>-1000000</v>
      </c>
      <c r="CA126" s="3">
        <v>5000000</v>
      </c>
      <c r="CC126" s="4"/>
      <c r="CD126" s="14"/>
      <c r="CF126" s="10"/>
    </row>
    <row r="127" spans="66:84">
      <c r="BN127" s="4">
        <v>42237</v>
      </c>
      <c r="BO127" s="14">
        <v>1579539780</v>
      </c>
      <c r="BP127" s="3">
        <v>0</v>
      </c>
      <c r="BQ127" s="10">
        <v>769088770</v>
      </c>
      <c r="BR127" s="3">
        <v>118300000</v>
      </c>
      <c r="BS127" s="3">
        <v>594400000</v>
      </c>
      <c r="BT127" s="3">
        <v>19200000</v>
      </c>
      <c r="BU127" s="3">
        <v>18500000</v>
      </c>
      <c r="BV127" s="3">
        <v>57137170</v>
      </c>
      <c r="BW127" s="3">
        <v>0</v>
      </c>
      <c r="BX127" s="3">
        <v>-39984283</v>
      </c>
      <c r="BY127" s="3">
        <v>-601877</v>
      </c>
      <c r="BZ127" s="3">
        <v>38500000</v>
      </c>
      <c r="CA127" s="3">
        <v>5000000</v>
      </c>
      <c r="CC127" s="4"/>
      <c r="CD127" s="14"/>
      <c r="CF127" s="10"/>
    </row>
    <row r="128" spans="66:84">
      <c r="BN128" s="4">
        <v>42236</v>
      </c>
      <c r="BO128" s="14">
        <v>324088661</v>
      </c>
      <c r="BP128" s="3">
        <v>0</v>
      </c>
      <c r="BQ128" s="10">
        <v>-415738425</v>
      </c>
      <c r="BR128" s="3">
        <v>131777000</v>
      </c>
      <c r="BS128" s="3">
        <v>326826970</v>
      </c>
      <c r="BT128" s="3">
        <v>-43576545</v>
      </c>
      <c r="BU128" s="3">
        <v>-2300000</v>
      </c>
      <c r="BV128" s="3">
        <v>250168720</v>
      </c>
      <c r="BW128" s="3">
        <v>0</v>
      </c>
      <c r="BX128" s="3">
        <v>37140726</v>
      </c>
      <c r="BY128" s="3">
        <v>3790215</v>
      </c>
      <c r="BZ128" s="3">
        <v>26000000</v>
      </c>
      <c r="CA128" s="3">
        <v>10000000</v>
      </c>
      <c r="CC128" s="4"/>
      <c r="CD128" s="14"/>
      <c r="CF128" s="10"/>
    </row>
    <row r="129" spans="66:84">
      <c r="BN129" s="4">
        <v>42235</v>
      </c>
      <c r="BO129" s="14">
        <v>2091965654</v>
      </c>
      <c r="BP129" s="3">
        <v>0</v>
      </c>
      <c r="BQ129" s="10">
        <v>448097340</v>
      </c>
      <c r="BR129" s="3">
        <v>340570000</v>
      </c>
      <c r="BS129" s="3">
        <v>1134930000</v>
      </c>
      <c r="BT129" s="3">
        <v>22600000</v>
      </c>
      <c r="BU129" s="3">
        <v>556680000</v>
      </c>
      <c r="BV129" s="3">
        <v>-244993650</v>
      </c>
      <c r="BW129" s="3">
        <v>0</v>
      </c>
      <c r="BX129" s="3">
        <v>-149006076</v>
      </c>
      <c r="BY129" s="3">
        <v>8288040</v>
      </c>
      <c r="BZ129" s="3">
        <v>-3200000</v>
      </c>
      <c r="CA129" s="3">
        <v>-22000000</v>
      </c>
      <c r="CC129" s="4"/>
      <c r="CD129" s="14"/>
      <c r="CF129" s="10"/>
    </row>
    <row r="130" spans="66:84">
      <c r="BN130" s="4">
        <v>42234</v>
      </c>
      <c r="BO130" s="14">
        <v>364665045</v>
      </c>
      <c r="BP130" s="3">
        <v>0</v>
      </c>
      <c r="BQ130" s="10">
        <v>-313388025</v>
      </c>
      <c r="BR130" s="3">
        <v>4433000</v>
      </c>
      <c r="BS130" s="3">
        <v>603668160</v>
      </c>
      <c r="BT130" s="3">
        <v>-11822000</v>
      </c>
      <c r="BU130" s="3">
        <v>145300000</v>
      </c>
      <c r="BV130" s="3">
        <v>-74573170</v>
      </c>
      <c r="BW130" s="3">
        <v>0</v>
      </c>
      <c r="BX130" s="3">
        <v>33531726</v>
      </c>
      <c r="BY130" s="3">
        <v>1515354</v>
      </c>
      <c r="BZ130" s="3">
        <v>-22000000</v>
      </c>
      <c r="CA130" s="3">
        <v>-2000000</v>
      </c>
      <c r="CC130" s="4"/>
      <c r="CD130" s="14"/>
      <c r="CF130" s="10"/>
    </row>
    <row r="131" spans="66:84">
      <c r="BN131" s="4">
        <v>42233</v>
      </c>
      <c r="BO131" s="14">
        <v>2218693530</v>
      </c>
      <c r="BP131" s="3">
        <v>0</v>
      </c>
      <c r="BQ131" s="10">
        <v>-33252380</v>
      </c>
      <c r="BR131" s="3">
        <v>428684000</v>
      </c>
      <c r="BS131" s="3">
        <v>1492519160</v>
      </c>
      <c r="BT131" s="3">
        <v>6500000</v>
      </c>
      <c r="BU131" s="3">
        <v>56500000</v>
      </c>
      <c r="BV131" s="3">
        <v>230962900</v>
      </c>
      <c r="BW131" s="3">
        <v>0</v>
      </c>
      <c r="BX131" s="3">
        <v>25943018</v>
      </c>
      <c r="BY131" s="3">
        <v>7636832</v>
      </c>
      <c r="BZ131" s="3">
        <v>12200000</v>
      </c>
      <c r="CA131" s="3">
        <v>-9000000</v>
      </c>
      <c r="CC131" s="4"/>
      <c r="CD131" s="14"/>
      <c r="CF131" s="10"/>
    </row>
    <row r="132" spans="66:84">
      <c r="BN132" s="4">
        <v>42229</v>
      </c>
      <c r="BO132" s="14">
        <v>2082786237</v>
      </c>
      <c r="BP132" s="3">
        <v>0</v>
      </c>
      <c r="BQ132" s="10">
        <v>606238825</v>
      </c>
      <c r="BR132" s="3">
        <v>410750000</v>
      </c>
      <c r="BS132" s="3">
        <v>852050000</v>
      </c>
      <c r="BT132" s="3">
        <v>-700000</v>
      </c>
      <c r="BU132" s="3">
        <v>286700000</v>
      </c>
      <c r="BV132" s="3">
        <v>-121675000</v>
      </c>
      <c r="BW132" s="3">
        <v>0</v>
      </c>
      <c r="BX132" s="3">
        <v>-9477957</v>
      </c>
      <c r="BY132" s="3">
        <v>1108252</v>
      </c>
      <c r="BZ132" s="3">
        <v>26792117</v>
      </c>
      <c r="CA132" s="3">
        <v>31000000</v>
      </c>
      <c r="CC132" s="4"/>
      <c r="CD132" s="14"/>
      <c r="CF132" s="10"/>
    </row>
    <row r="133" spans="66:84">
      <c r="BN133" s="4">
        <v>42228</v>
      </c>
      <c r="BO133" s="14">
        <v>1825079544</v>
      </c>
      <c r="BP133" s="3">
        <v>0</v>
      </c>
      <c r="BQ133" s="10">
        <v>261282130</v>
      </c>
      <c r="BR133" s="3">
        <v>231900000</v>
      </c>
      <c r="BS133" s="3">
        <v>1455504558</v>
      </c>
      <c r="BT133" s="3">
        <v>2400000</v>
      </c>
      <c r="BU133" s="3">
        <v>-200200000</v>
      </c>
      <c r="BV133" s="3">
        <v>44665900</v>
      </c>
      <c r="BW133" s="3">
        <v>0</v>
      </c>
      <c r="BX133" s="3">
        <v>-8646298</v>
      </c>
      <c r="BY133" s="3">
        <v>1573254</v>
      </c>
      <c r="BZ133" s="3">
        <v>26600000</v>
      </c>
      <c r="CA133" s="3">
        <v>10000000</v>
      </c>
      <c r="CC133" s="4"/>
      <c r="CD133" s="14"/>
      <c r="CF133" s="10"/>
    </row>
    <row r="134" spans="66:84">
      <c r="BN134" s="4">
        <v>42227</v>
      </c>
      <c r="BO134" s="14">
        <v>233396739</v>
      </c>
      <c r="BP134" s="3">
        <v>0</v>
      </c>
      <c r="BQ134" s="10">
        <v>-321568895</v>
      </c>
      <c r="BR134" s="3">
        <v>125070000</v>
      </c>
      <c r="BS134" s="3">
        <v>448957900</v>
      </c>
      <c r="BT134" s="3">
        <v>-14200270</v>
      </c>
      <c r="BU134" s="3">
        <v>35743100</v>
      </c>
      <c r="BV134" s="3">
        <v>64221970</v>
      </c>
      <c r="BW134" s="3">
        <v>0</v>
      </c>
      <c r="BX134" s="3">
        <v>-125440753</v>
      </c>
      <c r="BY134" s="3">
        <v>10813687</v>
      </c>
      <c r="BZ134" s="3">
        <v>6400000</v>
      </c>
      <c r="CA134" s="3">
        <v>3400000</v>
      </c>
      <c r="CC134" s="4"/>
      <c r="CD134" s="14"/>
      <c r="CF134" s="10"/>
    </row>
    <row r="135" spans="66:84">
      <c r="BN135" s="4">
        <v>42226</v>
      </c>
      <c r="BO135" s="14">
        <v>580224840</v>
      </c>
      <c r="BP135" s="3">
        <v>0</v>
      </c>
      <c r="BQ135" s="10">
        <v>-1102551228</v>
      </c>
      <c r="BR135" s="3">
        <v>-59900000</v>
      </c>
      <c r="BS135" s="3">
        <v>513131028</v>
      </c>
      <c r="BT135" s="3">
        <v>-71853855</v>
      </c>
      <c r="BU135" s="3">
        <v>-135400000</v>
      </c>
      <c r="BV135" s="3">
        <v>1473935000</v>
      </c>
      <c r="BW135" s="3">
        <v>0</v>
      </c>
      <c r="BX135" s="3">
        <v>5913936</v>
      </c>
      <c r="BY135" s="3">
        <v>-422603</v>
      </c>
      <c r="BZ135" s="3">
        <v>-57627438</v>
      </c>
      <c r="CA135" s="3">
        <v>15000000</v>
      </c>
      <c r="CC135" s="4"/>
      <c r="CD135" s="14"/>
      <c r="CF135" s="10"/>
    </row>
    <row r="136" spans="66:84">
      <c r="BN136" s="4">
        <v>42223</v>
      </c>
      <c r="BO136" s="14">
        <v>1962520237</v>
      </c>
      <c r="BP136" s="3">
        <v>0</v>
      </c>
      <c r="BQ136" s="10">
        <v>591092860</v>
      </c>
      <c r="BR136" s="3">
        <v>463621300</v>
      </c>
      <c r="BS136" s="3">
        <v>398974000</v>
      </c>
      <c r="BT136" s="3">
        <v>10400000</v>
      </c>
      <c r="BU136" s="3">
        <v>403200000</v>
      </c>
      <c r="BV136" s="3">
        <v>-28856410</v>
      </c>
      <c r="BW136" s="3">
        <v>0</v>
      </c>
      <c r="BX136" s="3">
        <v>110046807</v>
      </c>
      <c r="BY136" s="3">
        <v>3541680</v>
      </c>
      <c r="BZ136" s="3">
        <v>-9500000</v>
      </c>
      <c r="CA136" s="3">
        <v>20000000</v>
      </c>
      <c r="CC136" s="4"/>
      <c r="CD136" s="14"/>
      <c r="CF136" s="10"/>
    </row>
    <row r="137" spans="66:84">
      <c r="BN137" s="4">
        <v>42222</v>
      </c>
      <c r="BO137" s="14">
        <v>1636774343</v>
      </c>
      <c r="BP137" s="3">
        <v>0</v>
      </c>
      <c r="BQ137" s="10">
        <v>-96147105</v>
      </c>
      <c r="BR137" s="3">
        <v>238071000</v>
      </c>
      <c r="BS137" s="3">
        <v>1223677100</v>
      </c>
      <c r="BT137" s="3">
        <v>47497000</v>
      </c>
      <c r="BU137" s="3">
        <v>170150000</v>
      </c>
      <c r="BV137" s="3">
        <v>-37486900</v>
      </c>
      <c r="BW137" s="3">
        <v>0</v>
      </c>
      <c r="BX137" s="3">
        <v>72510625</v>
      </c>
      <c r="BY137" s="3">
        <v>8902623</v>
      </c>
      <c r="BZ137" s="3">
        <v>-3400000</v>
      </c>
      <c r="CA137" s="3">
        <v>13000000</v>
      </c>
      <c r="CC137" s="4"/>
      <c r="CD137" s="14"/>
      <c r="CF137" s="10"/>
    </row>
    <row r="138" spans="66:84">
      <c r="BN138" s="4">
        <v>42221</v>
      </c>
      <c r="BO138" s="14">
        <v>2517200052</v>
      </c>
      <c r="BP138" s="3">
        <v>0</v>
      </c>
      <c r="BQ138" s="10">
        <v>-23358788</v>
      </c>
      <c r="BR138" s="3">
        <v>556989000</v>
      </c>
      <c r="BS138" s="3">
        <v>1347426970</v>
      </c>
      <c r="BT138" s="3">
        <v>-9900000</v>
      </c>
      <c r="BU138" s="3">
        <v>702000000</v>
      </c>
      <c r="BV138" s="3">
        <v>38248360</v>
      </c>
      <c r="BW138" s="3">
        <v>0</v>
      </c>
      <c r="BX138" s="3">
        <v>-57780637</v>
      </c>
      <c r="BY138" s="3">
        <v>3125147</v>
      </c>
      <c r="BZ138" s="3">
        <v>-27000000</v>
      </c>
      <c r="CA138" s="3">
        <v>-12550000</v>
      </c>
      <c r="CC138" s="4"/>
      <c r="CD138" s="14"/>
      <c r="CF138" s="10"/>
    </row>
    <row r="139" spans="66:84">
      <c r="BN139" s="4">
        <v>42220</v>
      </c>
      <c r="BO139" s="14">
        <v>1327448648</v>
      </c>
      <c r="BP139" s="3">
        <v>0</v>
      </c>
      <c r="BQ139" s="10">
        <v>255554340</v>
      </c>
      <c r="BR139" s="3">
        <v>317000000</v>
      </c>
      <c r="BS139" s="3">
        <v>668110000</v>
      </c>
      <c r="BT139" s="3">
        <v>5046023</v>
      </c>
      <c r="BU139" s="3">
        <v>10400000</v>
      </c>
      <c r="BV139" s="3">
        <v>-13579870</v>
      </c>
      <c r="BW139" s="3">
        <v>0</v>
      </c>
      <c r="BX139" s="3">
        <v>83207404</v>
      </c>
      <c r="BY139" s="3">
        <v>3910751</v>
      </c>
      <c r="BZ139" s="3">
        <v>-200000</v>
      </c>
      <c r="CA139" s="3">
        <v>-2000000</v>
      </c>
      <c r="CC139" s="4"/>
      <c r="CD139" s="14"/>
      <c r="CF139" s="10"/>
    </row>
    <row r="140" spans="66:84">
      <c r="BN140" s="4">
        <v>42219</v>
      </c>
      <c r="BO140" s="14">
        <v>1516999485</v>
      </c>
      <c r="BP140" s="3">
        <v>0</v>
      </c>
      <c r="BQ140" s="10">
        <v>-77239395</v>
      </c>
      <c r="BR140" s="3">
        <v>81125000</v>
      </c>
      <c r="BS140" s="3">
        <v>977159000</v>
      </c>
      <c r="BT140" s="3">
        <v>28000000</v>
      </c>
      <c r="BU140" s="3">
        <v>217800000</v>
      </c>
      <c r="BV140" s="3">
        <v>175260500</v>
      </c>
      <c r="BW140" s="3">
        <v>0</v>
      </c>
      <c r="BX140" s="3">
        <v>109171091</v>
      </c>
      <c r="BY140" s="3">
        <v>-14676711</v>
      </c>
      <c r="BZ140" s="3">
        <v>20000000</v>
      </c>
      <c r="CA140" s="3">
        <v>400000</v>
      </c>
      <c r="CC140" s="4"/>
      <c r="CD140" s="14"/>
      <c r="CF140" s="10"/>
    </row>
    <row r="141" spans="66:84">
      <c r="BN141" s="4">
        <v>42216</v>
      </c>
      <c r="BO141" s="14">
        <v>1754628759</v>
      </c>
      <c r="BP141" s="3">
        <v>0</v>
      </c>
      <c r="BQ141" s="10">
        <v>54496885</v>
      </c>
      <c r="BR141" s="3">
        <v>224000000</v>
      </c>
      <c r="BS141" s="3">
        <v>574130000</v>
      </c>
      <c r="BT141" s="3">
        <v>30500000</v>
      </c>
      <c r="BU141" s="3">
        <v>517270000</v>
      </c>
      <c r="BV141" s="3">
        <v>85596570</v>
      </c>
      <c r="BW141" s="3">
        <v>0</v>
      </c>
      <c r="BX141" s="3">
        <v>128792787</v>
      </c>
      <c r="BY141" s="3">
        <v>8842517</v>
      </c>
      <c r="BZ141" s="3">
        <v>131000000</v>
      </c>
      <c r="CA141" s="3">
        <v>0</v>
      </c>
      <c r="CC141" s="4"/>
      <c r="CD141" s="14"/>
      <c r="CF141" s="10"/>
    </row>
    <row r="142" spans="66:84">
      <c r="BN142" s="4">
        <v>42215</v>
      </c>
      <c r="BO142" s="14">
        <v>1802850251</v>
      </c>
      <c r="BP142" s="3">
        <v>0</v>
      </c>
      <c r="BQ142" s="10">
        <v>-651864700</v>
      </c>
      <c r="BR142" s="3">
        <v>724192800</v>
      </c>
      <c r="BS142" s="3">
        <v>1147150000</v>
      </c>
      <c r="BT142" s="3">
        <v>-38764703</v>
      </c>
      <c r="BU142" s="3">
        <v>488000000</v>
      </c>
      <c r="BV142" s="3">
        <v>-78386000</v>
      </c>
      <c r="BW142" s="3">
        <v>0</v>
      </c>
      <c r="BX142" s="3">
        <v>114503664</v>
      </c>
      <c r="BY142" s="3">
        <v>10750854</v>
      </c>
      <c r="BZ142" s="3">
        <v>67268336</v>
      </c>
      <c r="CA142" s="3">
        <v>20000000</v>
      </c>
      <c r="CC142" s="4"/>
      <c r="CD142" s="14"/>
      <c r="CF142" s="10"/>
    </row>
    <row r="143" spans="66:84">
      <c r="BN143" s="4">
        <v>42214</v>
      </c>
      <c r="BO143" s="14">
        <v>854749868</v>
      </c>
      <c r="BP143" s="3">
        <v>0</v>
      </c>
      <c r="BQ143" s="10">
        <v>-260018865</v>
      </c>
      <c r="BR143" s="3">
        <v>31310300</v>
      </c>
      <c r="BS143" s="3">
        <v>1065250200</v>
      </c>
      <c r="BT143" s="3">
        <v>445765</v>
      </c>
      <c r="BU143" s="3">
        <v>33610000</v>
      </c>
      <c r="BV143" s="3">
        <v>-77910910</v>
      </c>
      <c r="BW143" s="3">
        <v>0</v>
      </c>
      <c r="BX143" s="3">
        <v>67812245</v>
      </c>
      <c r="BY143" s="3">
        <v>6551133</v>
      </c>
      <c r="BZ143" s="3">
        <v>-33300000</v>
      </c>
      <c r="CA143" s="3">
        <v>21000000</v>
      </c>
      <c r="CC143" s="4"/>
      <c r="CD143" s="14"/>
      <c r="CF143" s="10"/>
    </row>
    <row r="144" spans="66:84">
      <c r="BN144" s="4">
        <v>42213</v>
      </c>
      <c r="BO144" s="14">
        <v>2075886049</v>
      </c>
      <c r="BP144" s="3">
        <v>0</v>
      </c>
      <c r="BQ144" s="10">
        <v>362473415</v>
      </c>
      <c r="BR144" s="3">
        <v>728320000</v>
      </c>
      <c r="BS144" s="3">
        <v>641277300</v>
      </c>
      <c r="BT144" s="3">
        <v>56900000</v>
      </c>
      <c r="BU144" s="3">
        <v>399900000</v>
      </c>
      <c r="BV144" s="3">
        <v>-136525500</v>
      </c>
      <c r="BW144" s="3">
        <v>0</v>
      </c>
      <c r="BX144" s="3">
        <v>20585930</v>
      </c>
      <c r="BY144" s="3">
        <v>1154904</v>
      </c>
      <c r="BZ144" s="3">
        <v>4400000</v>
      </c>
      <c r="CA144" s="3">
        <v>-2600000</v>
      </c>
      <c r="CC144" s="4"/>
      <c r="CD144" s="14"/>
      <c r="CF144" s="10"/>
    </row>
    <row r="145" spans="66:84">
      <c r="BN145" s="4">
        <v>42212</v>
      </c>
      <c r="BO145" s="14">
        <v>2149419660</v>
      </c>
      <c r="BP145" s="3">
        <v>0</v>
      </c>
      <c r="BQ145" s="10">
        <v>-52418730</v>
      </c>
      <c r="BR145" s="3">
        <v>431121000</v>
      </c>
      <c r="BS145" s="3">
        <v>1486074701</v>
      </c>
      <c r="BT145" s="3">
        <v>-1028000</v>
      </c>
      <c r="BU145" s="3">
        <v>36700000</v>
      </c>
      <c r="BV145" s="3">
        <v>162709600</v>
      </c>
      <c r="BW145" s="3">
        <v>0</v>
      </c>
      <c r="BX145" s="3">
        <v>27968591</v>
      </c>
      <c r="BY145" s="3">
        <v>1692498</v>
      </c>
      <c r="BZ145" s="3">
        <v>65000000</v>
      </c>
      <c r="CA145" s="3">
        <v>-8400000</v>
      </c>
      <c r="CC145" s="4"/>
      <c r="CD145" s="14"/>
      <c r="CF145" s="10"/>
    </row>
    <row r="146" spans="66:84">
      <c r="BN146" s="4">
        <v>42209</v>
      </c>
      <c r="BO146" s="14">
        <v>5407009683</v>
      </c>
      <c r="BP146" s="3">
        <v>0</v>
      </c>
      <c r="BQ146" s="10">
        <v>4177423175</v>
      </c>
      <c r="BR146" s="3">
        <v>404442660</v>
      </c>
      <c r="BS146" s="3">
        <v>964952000</v>
      </c>
      <c r="BT146" s="3">
        <v>2869710</v>
      </c>
      <c r="BU146" s="3">
        <v>-185203000</v>
      </c>
      <c r="BV146" s="3">
        <v>-105940050</v>
      </c>
      <c r="BW146" s="3">
        <v>0</v>
      </c>
      <c r="BX146" s="3">
        <v>18380286</v>
      </c>
      <c r="BY146" s="3">
        <v>12084902</v>
      </c>
      <c r="BZ146" s="3">
        <v>128000000</v>
      </c>
      <c r="CA146" s="3">
        <v>-10000000</v>
      </c>
      <c r="CC146" s="4"/>
      <c r="CD146" s="14"/>
      <c r="CF146" s="10"/>
    </row>
    <row r="147" spans="66:84">
      <c r="BN147" s="4">
        <v>42208</v>
      </c>
      <c r="BO147" s="14">
        <v>227640688</v>
      </c>
      <c r="BP147" s="3">
        <v>0</v>
      </c>
      <c r="BQ147" s="10">
        <v>-263113810</v>
      </c>
      <c r="BR147" s="3">
        <v>43700000</v>
      </c>
      <c r="BS147" s="3">
        <v>508060000</v>
      </c>
      <c r="BT147" s="3">
        <v>39363819</v>
      </c>
      <c r="BU147" s="3">
        <v>-305000000</v>
      </c>
      <c r="BV147" s="3">
        <v>-33625400</v>
      </c>
      <c r="BW147" s="3">
        <v>0</v>
      </c>
      <c r="BX147" s="3">
        <v>144262953</v>
      </c>
      <c r="BY147" s="3">
        <v>29190572</v>
      </c>
      <c r="BZ147" s="3">
        <v>27802554</v>
      </c>
      <c r="CA147" s="3">
        <v>37000000</v>
      </c>
      <c r="CC147" s="4"/>
      <c r="CD147" s="14"/>
      <c r="CF147" s="10"/>
    </row>
    <row r="148" spans="66:84">
      <c r="BN148" s="4">
        <v>42207</v>
      </c>
      <c r="BO148" s="14">
        <v>2308426710</v>
      </c>
      <c r="BP148" s="3">
        <v>0</v>
      </c>
      <c r="BQ148" s="10">
        <v>-118746455</v>
      </c>
      <c r="BR148" s="3">
        <v>590267000</v>
      </c>
      <c r="BS148" s="3">
        <v>1015126000</v>
      </c>
      <c r="BT148" s="3">
        <v>215905826</v>
      </c>
      <c r="BU148" s="3">
        <v>265900000</v>
      </c>
      <c r="BV148" s="3">
        <v>340878000</v>
      </c>
      <c r="BW148" s="3">
        <v>0</v>
      </c>
      <c r="BX148" s="3">
        <v>-76622253</v>
      </c>
      <c r="BY148" s="3">
        <v>32229985</v>
      </c>
      <c r="BZ148" s="3">
        <v>48788607</v>
      </c>
      <c r="CA148" s="3">
        <v>-5300000</v>
      </c>
      <c r="CC148" s="4"/>
      <c r="CD148" s="14"/>
      <c r="CF148" s="10"/>
    </row>
    <row r="149" spans="66:84">
      <c r="BN149" s="4">
        <v>42206</v>
      </c>
      <c r="BO149" s="14">
        <v>938249852</v>
      </c>
      <c r="BP149" s="3">
        <v>0</v>
      </c>
      <c r="BQ149" s="10">
        <v>-119146945</v>
      </c>
      <c r="BR149" s="3">
        <v>95282000</v>
      </c>
      <c r="BS149" s="3">
        <v>1173948000</v>
      </c>
      <c r="BT149" s="3">
        <v>-87260000</v>
      </c>
      <c r="BU149" s="3">
        <v>-198050000</v>
      </c>
      <c r="BV149" s="3">
        <v>-50068570</v>
      </c>
      <c r="BW149" s="3">
        <v>0</v>
      </c>
      <c r="BX149" s="3">
        <v>133590514</v>
      </c>
      <c r="BY149" s="3">
        <v>16554853</v>
      </c>
      <c r="BZ149" s="3">
        <v>-26600000</v>
      </c>
      <c r="CA149" s="3">
        <v>0</v>
      </c>
      <c r="CC149" s="4"/>
      <c r="CD149" s="14"/>
      <c r="CF149" s="10"/>
    </row>
    <row r="150" spans="66:84">
      <c r="BN150" s="4">
        <v>42205</v>
      </c>
      <c r="BO150" s="14">
        <v>1097365362</v>
      </c>
      <c r="BP150" s="3">
        <v>0</v>
      </c>
      <c r="BQ150" s="10">
        <v>132653670</v>
      </c>
      <c r="BR150" s="3">
        <v>300450000</v>
      </c>
      <c r="BS150" s="3">
        <v>746049000</v>
      </c>
      <c r="BT150" s="3">
        <v>47000000</v>
      </c>
      <c r="BU150" s="3">
        <v>76950000</v>
      </c>
      <c r="BV150" s="3">
        <v>-149746450</v>
      </c>
      <c r="BW150" s="3">
        <v>0</v>
      </c>
      <c r="BX150" s="3">
        <v>-62036718</v>
      </c>
      <c r="BY150" s="3">
        <v>6466014</v>
      </c>
      <c r="BZ150" s="3">
        <v>-24420154</v>
      </c>
      <c r="CA150" s="3">
        <v>24000000</v>
      </c>
      <c r="CC150" s="4"/>
      <c r="CD150" s="14"/>
      <c r="CF150" s="10"/>
    </row>
    <row r="151" spans="66:84">
      <c r="BN151" s="4">
        <v>42202</v>
      </c>
      <c r="BO151" s="14">
        <v>1055476820</v>
      </c>
      <c r="BP151" s="3">
        <v>0</v>
      </c>
      <c r="BQ151" s="10">
        <v>26799502</v>
      </c>
      <c r="BR151" s="3">
        <v>243723395</v>
      </c>
      <c r="BS151" s="3">
        <v>815505051</v>
      </c>
      <c r="BT151" s="3">
        <v>-10587906</v>
      </c>
      <c r="BU151" s="3">
        <v>301300000</v>
      </c>
      <c r="BV151" s="3">
        <v>-251332700</v>
      </c>
      <c r="BW151" s="3">
        <v>0</v>
      </c>
      <c r="BX151" s="3">
        <v>-92314612</v>
      </c>
      <c r="BY151" s="3">
        <v>2881736</v>
      </c>
      <c r="BZ151" s="3">
        <v>21252354</v>
      </c>
      <c r="CA151" s="3">
        <v>-1750000</v>
      </c>
      <c r="CC151" s="4"/>
      <c r="CD151" s="14"/>
      <c r="CF151" s="10"/>
    </row>
    <row r="152" spans="66:84">
      <c r="BN152" s="4">
        <v>42201</v>
      </c>
      <c r="BO152" s="14">
        <v>1368548520</v>
      </c>
      <c r="BP152" s="3">
        <v>0</v>
      </c>
      <c r="BQ152" s="10">
        <v>439657515</v>
      </c>
      <c r="BR152" s="3">
        <v>167200000</v>
      </c>
      <c r="BS152" s="3">
        <v>838354000</v>
      </c>
      <c r="BT152" s="3">
        <v>97625594</v>
      </c>
      <c r="BU152" s="3">
        <v>103600000</v>
      </c>
      <c r="BV152" s="3">
        <v>-406209770</v>
      </c>
      <c r="BW152" s="3">
        <v>0</v>
      </c>
      <c r="BX152" s="3">
        <v>-50403382</v>
      </c>
      <c r="BY152" s="3">
        <v>-2275437</v>
      </c>
      <c r="BZ152" s="3">
        <v>186000000</v>
      </c>
      <c r="CA152" s="3">
        <v>-5000000</v>
      </c>
      <c r="CC152" s="4"/>
      <c r="CD152" s="14"/>
      <c r="CF152" s="10"/>
    </row>
    <row r="153" spans="66:84">
      <c r="BN153" s="4">
        <v>42200</v>
      </c>
      <c r="BO153" s="14">
        <v>2001806947</v>
      </c>
      <c r="BP153" s="3">
        <v>0</v>
      </c>
      <c r="BQ153" s="10">
        <v>1204234390</v>
      </c>
      <c r="BR153" s="3">
        <v>172171740</v>
      </c>
      <c r="BS153" s="3">
        <v>420766715</v>
      </c>
      <c r="BT153" s="3">
        <v>40400000</v>
      </c>
      <c r="BU153" s="3">
        <v>83600000</v>
      </c>
      <c r="BV153" s="3">
        <v>-252160000</v>
      </c>
      <c r="BW153" s="3">
        <v>0</v>
      </c>
      <c r="BX153" s="3">
        <v>329650588</v>
      </c>
      <c r="BY153" s="3">
        <v>868514</v>
      </c>
      <c r="BZ153" s="3">
        <v>23275000</v>
      </c>
      <c r="CA153" s="3">
        <v>-21000000</v>
      </c>
      <c r="CC153" s="4"/>
      <c r="CD153" s="14"/>
      <c r="CF153" s="10"/>
    </row>
    <row r="154" spans="66:84">
      <c r="BN154" s="4">
        <v>42199</v>
      </c>
      <c r="BO154" s="14">
        <v>1158034126</v>
      </c>
      <c r="BP154" s="3">
        <v>0</v>
      </c>
      <c r="BQ154" s="10">
        <v>54500095</v>
      </c>
      <c r="BR154" s="3">
        <v>87550000</v>
      </c>
      <c r="BS154" s="3">
        <v>1098400000</v>
      </c>
      <c r="BT154" s="3">
        <v>7119000</v>
      </c>
      <c r="BU154" s="3">
        <v>156050000</v>
      </c>
      <c r="BV154" s="3">
        <v>-186337610</v>
      </c>
      <c r="BW154" s="3">
        <v>0</v>
      </c>
      <c r="BX154" s="3">
        <v>-50781727</v>
      </c>
      <c r="BY154" s="3">
        <v>5834368</v>
      </c>
      <c r="BZ154" s="3">
        <v>-15200000</v>
      </c>
      <c r="CA154" s="3">
        <v>900000</v>
      </c>
      <c r="CC154" s="4"/>
      <c r="CD154" s="14"/>
      <c r="CF154" s="10"/>
    </row>
    <row r="155" spans="66:84">
      <c r="BN155" s="4">
        <v>42198</v>
      </c>
      <c r="BO155" s="14">
        <v>2069480556</v>
      </c>
      <c r="BP155" s="3">
        <v>0</v>
      </c>
      <c r="BQ155" s="10">
        <v>-663999940</v>
      </c>
      <c r="BR155" s="3">
        <v>222150000</v>
      </c>
      <c r="BS155" s="3">
        <v>1065130000</v>
      </c>
      <c r="BT155" s="3">
        <v>23100000</v>
      </c>
      <c r="BU155" s="3">
        <v>238300000</v>
      </c>
      <c r="BV155" s="3">
        <v>1055009490</v>
      </c>
      <c r="BW155" s="3">
        <v>0</v>
      </c>
      <c r="BX155" s="3">
        <v>154134423</v>
      </c>
      <c r="BY155" s="3">
        <v>11556583</v>
      </c>
      <c r="BZ155" s="3">
        <v>-56900000</v>
      </c>
      <c r="CA155" s="3">
        <v>21000000</v>
      </c>
      <c r="CC155" s="4"/>
      <c r="CD155" s="14"/>
      <c r="CF155" s="10"/>
    </row>
    <row r="156" spans="66:84">
      <c r="BN156" s="4">
        <v>42195</v>
      </c>
      <c r="BO156" s="14">
        <v>1225477771</v>
      </c>
      <c r="BP156" s="3">
        <v>0</v>
      </c>
      <c r="BQ156" s="10">
        <v>223654693</v>
      </c>
      <c r="BR156" s="3">
        <v>334814000</v>
      </c>
      <c r="BS156" s="3">
        <v>738053000</v>
      </c>
      <c r="BT156" s="3">
        <v>4680000</v>
      </c>
      <c r="BU156" s="3">
        <v>138000000</v>
      </c>
      <c r="BV156" s="3">
        <v>-313766250</v>
      </c>
      <c r="BW156" s="3">
        <v>0</v>
      </c>
      <c r="BX156" s="3">
        <v>93682476</v>
      </c>
      <c r="BY156" s="3">
        <v>-1129672</v>
      </c>
      <c r="BZ156" s="3">
        <v>10389524</v>
      </c>
      <c r="CA156" s="3">
        <v>-2900000</v>
      </c>
      <c r="CC156" s="4"/>
      <c r="CD156" s="14"/>
      <c r="CF156" s="10"/>
    </row>
    <row r="157" spans="66:84">
      <c r="BN157" s="4">
        <v>42194</v>
      </c>
      <c r="BO157" s="14">
        <v>1438521872</v>
      </c>
      <c r="BP157" s="3">
        <v>0</v>
      </c>
      <c r="BQ157" s="10">
        <v>273257170</v>
      </c>
      <c r="BR157" s="3">
        <v>52050000</v>
      </c>
      <c r="BS157" s="3">
        <v>786060000</v>
      </c>
      <c r="BT157" s="3">
        <v>63340000</v>
      </c>
      <c r="BU157" s="3">
        <v>264550000</v>
      </c>
      <c r="BV157" s="3">
        <v>-17698630</v>
      </c>
      <c r="BW157" s="3">
        <v>0</v>
      </c>
      <c r="BX157" s="3">
        <v>-40442660</v>
      </c>
      <c r="BY157" s="3">
        <v>11635992</v>
      </c>
      <c r="BZ157" s="3">
        <v>-19800000</v>
      </c>
      <c r="CA157" s="3">
        <v>65570000</v>
      </c>
      <c r="CC157" s="4"/>
      <c r="CD157" s="14"/>
      <c r="CF157" s="10"/>
    </row>
    <row r="158" spans="66:84">
      <c r="BN158" s="4">
        <v>42193</v>
      </c>
      <c r="BO158" s="14">
        <v>-734612317</v>
      </c>
      <c r="BP158" s="3">
        <v>0</v>
      </c>
      <c r="BQ158" s="10">
        <v>-642033295</v>
      </c>
      <c r="BR158" s="3">
        <v>-156969000</v>
      </c>
      <c r="BS158" s="3">
        <v>509164000</v>
      </c>
      <c r="BT158" s="3">
        <v>-30597925</v>
      </c>
      <c r="BU158" s="3">
        <v>-38750000</v>
      </c>
      <c r="BV158" s="3">
        <v>-589154440</v>
      </c>
      <c r="BW158" s="3">
        <v>0</v>
      </c>
      <c r="BX158" s="3">
        <v>79341376</v>
      </c>
      <c r="BY158" s="3">
        <v>2994855</v>
      </c>
      <c r="BZ158" s="3">
        <v>71892112</v>
      </c>
      <c r="CA158" s="3">
        <v>59500000</v>
      </c>
      <c r="CC158" s="4"/>
      <c r="CD158" s="14"/>
      <c r="CF158" s="10"/>
    </row>
    <row r="159" spans="66:84">
      <c r="BN159" s="4">
        <v>42192</v>
      </c>
      <c r="BO159" s="14">
        <v>4115536436</v>
      </c>
      <c r="BP159" s="3">
        <v>0</v>
      </c>
      <c r="BQ159" s="10">
        <v>2396867200</v>
      </c>
      <c r="BR159" s="3">
        <v>694936950</v>
      </c>
      <c r="BS159" s="3">
        <v>597400000</v>
      </c>
      <c r="BT159" s="3">
        <v>122525277</v>
      </c>
      <c r="BU159" s="3">
        <v>250000000</v>
      </c>
      <c r="BV159" s="3">
        <v>43750300</v>
      </c>
      <c r="BW159" s="3">
        <v>0</v>
      </c>
      <c r="BX159" s="3">
        <v>10631464</v>
      </c>
      <c r="BY159" s="3">
        <v>5230295</v>
      </c>
      <c r="BZ159" s="3">
        <v>194950</v>
      </c>
      <c r="CA159" s="3">
        <v>-6000000</v>
      </c>
      <c r="CC159" s="4"/>
      <c r="CD159" s="14"/>
      <c r="CF159" s="10"/>
    </row>
    <row r="160" spans="66:84">
      <c r="BN160" s="4">
        <v>42191</v>
      </c>
      <c r="BO160" s="14">
        <v>1428318588</v>
      </c>
      <c r="BP160" s="3">
        <v>0</v>
      </c>
      <c r="BQ160" s="10">
        <v>408986620</v>
      </c>
      <c r="BR160" s="3">
        <v>198711000</v>
      </c>
      <c r="BS160" s="3">
        <v>1381627100</v>
      </c>
      <c r="BT160" s="3">
        <v>22916845</v>
      </c>
      <c r="BU160" s="3">
        <v>-450500000</v>
      </c>
      <c r="BV160" s="3">
        <v>-145913140</v>
      </c>
      <c r="BW160" s="3">
        <v>0</v>
      </c>
      <c r="BX160" s="3">
        <v>71240953</v>
      </c>
      <c r="BY160" s="3">
        <v>3059210</v>
      </c>
      <c r="BZ160" s="3">
        <v>-47800000</v>
      </c>
      <c r="CA160" s="3">
        <v>-14010000</v>
      </c>
      <c r="CC160" s="4"/>
      <c r="CD160" s="14"/>
      <c r="CF160" s="10"/>
    </row>
    <row r="161" spans="66:84">
      <c r="BN161" s="4">
        <v>42188</v>
      </c>
      <c r="BO161" s="14">
        <v>1551938460</v>
      </c>
      <c r="BP161" s="3">
        <v>0</v>
      </c>
      <c r="BQ161" s="10">
        <v>287953060</v>
      </c>
      <c r="BR161" s="3">
        <v>27700000</v>
      </c>
      <c r="BS161" s="3">
        <v>1118300000</v>
      </c>
      <c r="BT161" s="3">
        <v>19828118</v>
      </c>
      <c r="BU161" s="3">
        <v>-49000000</v>
      </c>
      <c r="BV161" s="3">
        <v>19698230</v>
      </c>
      <c r="BW161" s="3">
        <v>0</v>
      </c>
      <c r="BX161" s="3">
        <v>118629042</v>
      </c>
      <c r="BY161" s="3">
        <v>4930010</v>
      </c>
      <c r="BZ161" s="3">
        <v>-6100000</v>
      </c>
      <c r="CA161" s="3">
        <v>10000000</v>
      </c>
      <c r="CC161" s="4"/>
      <c r="CD161" s="14"/>
      <c r="CF161" s="10"/>
    </row>
    <row r="162" spans="66:84">
      <c r="BN162" s="4">
        <v>42187</v>
      </c>
      <c r="BO162" s="14">
        <v>2998743498</v>
      </c>
      <c r="BP162" s="3">
        <v>0</v>
      </c>
      <c r="BQ162" s="10">
        <v>1058641586</v>
      </c>
      <c r="BR162" s="3">
        <v>281695606</v>
      </c>
      <c r="BS162" s="3">
        <v>1166465606</v>
      </c>
      <c r="BT162" s="3">
        <v>-59971084</v>
      </c>
      <c r="BU162" s="3">
        <v>368765000</v>
      </c>
      <c r="BV162" s="3">
        <v>127401510</v>
      </c>
      <c r="BW162" s="3">
        <v>0</v>
      </c>
      <c r="BX162" s="3">
        <v>-8804019</v>
      </c>
      <c r="BY162" s="3">
        <v>14349293</v>
      </c>
      <c r="BZ162" s="3">
        <v>43200000</v>
      </c>
      <c r="CA162" s="3">
        <v>7000000</v>
      </c>
      <c r="CC162" s="4"/>
      <c r="CD162" s="14"/>
      <c r="CF162" s="10"/>
    </row>
    <row r="163" spans="66:84">
      <c r="BN163" s="4">
        <v>42186</v>
      </c>
      <c r="BO163" s="14">
        <v>1459231578</v>
      </c>
      <c r="BP163" s="3">
        <v>0</v>
      </c>
      <c r="BQ163" s="10">
        <v>572664680</v>
      </c>
      <c r="BR163" s="3">
        <v>29610116</v>
      </c>
      <c r="BS163" s="3">
        <v>452428953</v>
      </c>
      <c r="BT163" s="3">
        <v>-88979470</v>
      </c>
      <c r="BU163" s="3">
        <v>163573000</v>
      </c>
      <c r="BV163" s="3">
        <v>166446430</v>
      </c>
      <c r="BW163" s="3">
        <v>0</v>
      </c>
      <c r="BX163" s="3">
        <v>101183190</v>
      </c>
      <c r="BY163" s="3">
        <v>20274679</v>
      </c>
      <c r="BZ163" s="3">
        <v>70000000</v>
      </c>
      <c r="CA163" s="3">
        <v>-27970000</v>
      </c>
      <c r="CC163" s="4"/>
      <c r="CD163" s="14"/>
      <c r="CF163" s="10"/>
    </row>
    <row r="164" spans="66:84">
      <c r="BN164" s="4">
        <v>42185</v>
      </c>
      <c r="BO164" s="14">
        <v>5974076986</v>
      </c>
      <c r="BP164" s="3">
        <v>0</v>
      </c>
      <c r="BQ164" s="10">
        <v>2709722085</v>
      </c>
      <c r="BR164" s="3">
        <v>855173000</v>
      </c>
      <c r="BS164" s="3">
        <v>1493044896</v>
      </c>
      <c r="BT164" s="3">
        <v>43074723</v>
      </c>
      <c r="BU164" s="3">
        <v>540200000</v>
      </c>
      <c r="BV164" s="3">
        <v>205014240</v>
      </c>
      <c r="BW164" s="3">
        <v>0</v>
      </c>
      <c r="BX164" s="3">
        <v>-7631481</v>
      </c>
      <c r="BY164" s="3">
        <v>21459523</v>
      </c>
      <c r="BZ164" s="3">
        <v>104400000</v>
      </c>
      <c r="CA164" s="3">
        <v>9620000</v>
      </c>
      <c r="CC164" s="4"/>
      <c r="CD164" s="14"/>
      <c r="CF164" s="10"/>
    </row>
    <row r="165" spans="66:84">
      <c r="BN165" s="4">
        <v>42184</v>
      </c>
      <c r="BO165" s="14">
        <v>864313740</v>
      </c>
      <c r="BP165" s="3">
        <v>0</v>
      </c>
      <c r="BQ165" s="10">
        <v>-509076200</v>
      </c>
      <c r="BR165" s="3">
        <v>308310000</v>
      </c>
      <c r="BS165" s="3">
        <v>1208730000</v>
      </c>
      <c r="BT165" s="3">
        <v>97967109</v>
      </c>
      <c r="BU165" s="3">
        <v>-146780000</v>
      </c>
      <c r="BV165" s="3">
        <v>-280487200</v>
      </c>
      <c r="BW165" s="3">
        <v>0</v>
      </c>
      <c r="BX165" s="3">
        <v>148838420</v>
      </c>
      <c r="BY165" s="3">
        <v>-888389</v>
      </c>
      <c r="BZ165" s="3">
        <v>34900000</v>
      </c>
      <c r="CA165" s="3">
        <v>2800000</v>
      </c>
      <c r="CC165" s="4"/>
      <c r="CD165" s="14"/>
      <c r="CF165" s="10"/>
    </row>
    <row r="166" spans="66:84">
      <c r="BN166" s="4">
        <v>42181</v>
      </c>
      <c r="BO166" s="14">
        <v>1115149068</v>
      </c>
      <c r="BP166" s="3">
        <v>0</v>
      </c>
      <c r="BQ166" s="10">
        <v>-1115289545</v>
      </c>
      <c r="BR166" s="3">
        <v>462194000</v>
      </c>
      <c r="BS166" s="3">
        <v>951230391</v>
      </c>
      <c r="BT166" s="3">
        <v>183502108</v>
      </c>
      <c r="BU166" s="3">
        <v>110481250</v>
      </c>
      <c r="BV166" s="3">
        <v>329849880</v>
      </c>
      <c r="BW166" s="3">
        <v>0</v>
      </c>
      <c r="BX166" s="3">
        <v>206729154</v>
      </c>
      <c r="BY166" s="3">
        <v>19801830</v>
      </c>
      <c r="BZ166" s="3">
        <v>-3500000</v>
      </c>
      <c r="CA166" s="3">
        <v>-29850000</v>
      </c>
      <c r="CC166" s="4"/>
      <c r="CD166" s="14"/>
      <c r="CF166" s="10"/>
    </row>
    <row r="167" spans="66:84">
      <c r="BN167" s="4">
        <v>42180</v>
      </c>
      <c r="BO167" s="14">
        <v>1587510354</v>
      </c>
      <c r="BP167" s="3">
        <v>0</v>
      </c>
      <c r="BQ167" s="10">
        <v>-172976655</v>
      </c>
      <c r="BR167" s="3">
        <v>150047000</v>
      </c>
      <c r="BS167" s="3">
        <v>1078390000</v>
      </c>
      <c r="BT167" s="3">
        <v>269161084</v>
      </c>
      <c r="BU167" s="3">
        <v>-116820000</v>
      </c>
      <c r="BV167" s="3">
        <v>1660130</v>
      </c>
      <c r="BW167" s="3">
        <v>0</v>
      </c>
      <c r="BX167" s="3">
        <v>367275336</v>
      </c>
      <c r="BY167" s="3">
        <v>16273459</v>
      </c>
      <c r="BZ167" s="3">
        <v>26900000</v>
      </c>
      <c r="CA167" s="3">
        <v>-32400000</v>
      </c>
      <c r="CC167" s="4"/>
      <c r="CD167" s="14"/>
      <c r="CF167" s="10"/>
    </row>
    <row r="168" spans="66:84">
      <c r="BN168" s="4">
        <v>42179</v>
      </c>
      <c r="BO168" s="14">
        <v>1421222614</v>
      </c>
      <c r="BP168" s="3">
        <v>0</v>
      </c>
      <c r="BQ168" s="10">
        <v>336354045</v>
      </c>
      <c r="BR168" s="3">
        <v>206585000</v>
      </c>
      <c r="BS168" s="3">
        <v>574761100</v>
      </c>
      <c r="BT168" s="3">
        <v>178885421</v>
      </c>
      <c r="BU168" s="3">
        <v>48000000</v>
      </c>
      <c r="BV168" s="3">
        <v>-118889150</v>
      </c>
      <c r="BW168" s="3">
        <v>0</v>
      </c>
      <c r="BX168" s="3">
        <v>136848752</v>
      </c>
      <c r="BY168" s="3">
        <v>17477446</v>
      </c>
      <c r="BZ168" s="3">
        <v>61200000</v>
      </c>
      <c r="CA168" s="3">
        <v>-20000000</v>
      </c>
      <c r="CC168" s="4"/>
      <c r="CD168" s="14"/>
      <c r="CF168" s="10"/>
    </row>
    <row r="169" spans="66:84">
      <c r="BN169" s="4">
        <v>42178</v>
      </c>
      <c r="BO169" s="14">
        <v>5865844689</v>
      </c>
      <c r="BP169" s="3">
        <v>0</v>
      </c>
      <c r="BQ169" s="10">
        <v>3454082556</v>
      </c>
      <c r="BR169" s="3">
        <v>918500000</v>
      </c>
      <c r="BS169" s="3">
        <v>650349000</v>
      </c>
      <c r="BT169" s="3">
        <v>70653000</v>
      </c>
      <c r="BU169" s="3">
        <v>370179000</v>
      </c>
      <c r="BV169" s="3">
        <v>66818870</v>
      </c>
      <c r="BW169" s="3">
        <v>0</v>
      </c>
      <c r="BX169" s="3">
        <v>165684834</v>
      </c>
      <c r="BY169" s="3">
        <v>21281679</v>
      </c>
      <c r="BZ169" s="3">
        <v>148295750</v>
      </c>
      <c r="CA169" s="3">
        <v>0</v>
      </c>
      <c r="CC169" s="4"/>
      <c r="CD169" s="14"/>
      <c r="CF169" s="10"/>
    </row>
    <row r="170" spans="66:84">
      <c r="BN170" s="4">
        <v>42177</v>
      </c>
      <c r="BO170" s="14">
        <v>1993172408</v>
      </c>
      <c r="BP170" s="3">
        <v>0</v>
      </c>
      <c r="BQ170" s="10">
        <v>697758700</v>
      </c>
      <c r="BR170" s="3">
        <v>169800000</v>
      </c>
      <c r="BS170" s="3">
        <v>674450000</v>
      </c>
      <c r="BT170" s="3">
        <v>38310000</v>
      </c>
      <c r="BU170" s="3">
        <v>171200000</v>
      </c>
      <c r="BV170" s="3">
        <v>140076240</v>
      </c>
      <c r="BW170" s="3">
        <v>0</v>
      </c>
      <c r="BX170" s="3">
        <v>38674126</v>
      </c>
      <c r="BY170" s="3">
        <v>8103342</v>
      </c>
      <c r="BZ170" s="3">
        <v>84300000</v>
      </c>
      <c r="CA170" s="3">
        <v>-29500000</v>
      </c>
      <c r="CC170" s="4"/>
      <c r="CD170" s="14"/>
      <c r="CF170" s="10"/>
    </row>
    <row r="171" spans="66:84">
      <c r="BN171" s="4">
        <v>42174</v>
      </c>
      <c r="BO171" s="14">
        <v>573612138</v>
      </c>
      <c r="BP171" s="3">
        <v>0</v>
      </c>
      <c r="BQ171" s="10">
        <v>211852430</v>
      </c>
      <c r="BR171" s="3">
        <v>-141623000</v>
      </c>
      <c r="BS171" s="3">
        <v>149827000</v>
      </c>
      <c r="BT171" s="3">
        <v>205631043</v>
      </c>
      <c r="BU171" s="3">
        <v>-86520000</v>
      </c>
      <c r="BV171" s="3">
        <v>123098200</v>
      </c>
      <c r="BW171" s="3">
        <v>0</v>
      </c>
      <c r="BX171" s="3">
        <v>153121626</v>
      </c>
      <c r="BY171" s="3">
        <v>-18823331</v>
      </c>
      <c r="BZ171" s="3">
        <v>-17391830</v>
      </c>
      <c r="CA171" s="3">
        <v>-5560000</v>
      </c>
      <c r="CC171" s="4"/>
      <c r="CD171" s="14"/>
      <c r="CF171" s="10"/>
    </row>
    <row r="172" spans="66:84">
      <c r="BN172" s="4">
        <v>42173</v>
      </c>
      <c r="BO172" s="14">
        <v>898836061</v>
      </c>
      <c r="BP172" s="3">
        <v>0</v>
      </c>
      <c r="BQ172" s="10">
        <v>-32518313</v>
      </c>
      <c r="BR172" s="3">
        <v>123265000</v>
      </c>
      <c r="BS172" s="3">
        <v>918170393</v>
      </c>
      <c r="BT172" s="3">
        <v>129629000</v>
      </c>
      <c r="BU172" s="3">
        <v>-257500000</v>
      </c>
      <c r="BV172" s="3">
        <v>-52940000</v>
      </c>
      <c r="BW172" s="3">
        <v>0</v>
      </c>
      <c r="BX172" s="3">
        <v>77506498</v>
      </c>
      <c r="BY172" s="3">
        <v>23483</v>
      </c>
      <c r="BZ172" s="3">
        <v>10200000</v>
      </c>
      <c r="CA172" s="3">
        <v>-17000000</v>
      </c>
      <c r="CC172" s="4"/>
      <c r="CD172" s="14"/>
      <c r="CF172" s="10"/>
    </row>
    <row r="173" spans="66:84">
      <c r="BN173" s="4">
        <v>42172</v>
      </c>
      <c r="BO173" s="14">
        <v>2143527668</v>
      </c>
      <c r="BP173" s="3">
        <v>0</v>
      </c>
      <c r="BQ173" s="10">
        <v>861514985</v>
      </c>
      <c r="BR173" s="3">
        <v>60751000</v>
      </c>
      <c r="BS173" s="3">
        <v>507798900</v>
      </c>
      <c r="BT173" s="3">
        <v>93600000</v>
      </c>
      <c r="BU173" s="3">
        <v>515700000</v>
      </c>
      <c r="BV173" s="3">
        <v>46594440</v>
      </c>
      <c r="BW173" s="3">
        <v>0</v>
      </c>
      <c r="BX173" s="3">
        <v>42468037</v>
      </c>
      <c r="BY173" s="3">
        <v>-1199694</v>
      </c>
      <c r="BZ173" s="3">
        <v>-23100000</v>
      </c>
      <c r="CA173" s="3">
        <v>39400000</v>
      </c>
      <c r="CC173" s="4"/>
      <c r="CD173" s="14"/>
      <c r="CF173" s="10"/>
    </row>
    <row r="174" spans="66:84">
      <c r="BN174" s="4">
        <v>42171</v>
      </c>
      <c r="BO174" s="14">
        <v>5653027595</v>
      </c>
      <c r="BP174" s="3">
        <v>0</v>
      </c>
      <c r="BQ174" s="10">
        <v>3144878534</v>
      </c>
      <c r="BR174" s="3">
        <v>647795162</v>
      </c>
      <c r="BS174" s="3">
        <v>1287779000</v>
      </c>
      <c r="BT174" s="3">
        <v>210163440</v>
      </c>
      <c r="BU174" s="3">
        <v>300000000</v>
      </c>
      <c r="BV174" s="3">
        <v>17622300</v>
      </c>
      <c r="BW174" s="3">
        <v>0</v>
      </c>
      <c r="BX174" s="3">
        <v>-4780026</v>
      </c>
      <c r="BY174" s="3">
        <v>-2780815</v>
      </c>
      <c r="BZ174" s="3">
        <v>41000000</v>
      </c>
      <c r="CA174" s="3">
        <v>11350000</v>
      </c>
      <c r="CC174" s="4"/>
      <c r="CD174" s="14"/>
      <c r="CF174" s="10"/>
    </row>
    <row r="175" spans="66:84">
      <c r="BN175" s="4">
        <v>42170</v>
      </c>
      <c r="BO175" s="14">
        <v>1700763791</v>
      </c>
      <c r="BP175" s="3">
        <v>0</v>
      </c>
      <c r="BQ175" s="10">
        <v>-838100795</v>
      </c>
      <c r="BR175" s="3">
        <v>37618091</v>
      </c>
      <c r="BS175" s="3">
        <v>998586402</v>
      </c>
      <c r="BT175" s="3">
        <v>19200000</v>
      </c>
      <c r="BU175" s="3">
        <v>300950000</v>
      </c>
      <c r="BV175" s="3">
        <v>1179742050</v>
      </c>
      <c r="BW175" s="3">
        <v>0</v>
      </c>
      <c r="BX175" s="3">
        <v>11953272</v>
      </c>
      <c r="BY175" s="3">
        <v>-2235229</v>
      </c>
      <c r="BZ175" s="3">
        <v>-14600000</v>
      </c>
      <c r="CA175" s="3">
        <v>7650000</v>
      </c>
      <c r="CC175" s="4"/>
      <c r="CD175" s="14"/>
      <c r="CF175" s="10"/>
    </row>
    <row r="176" spans="66:84">
      <c r="BN176" s="4">
        <v>42167</v>
      </c>
      <c r="BO176" s="14">
        <v>266131808</v>
      </c>
      <c r="BP176" s="3">
        <v>0</v>
      </c>
      <c r="BQ176" s="10">
        <v>-861195640</v>
      </c>
      <c r="BR176" s="3">
        <v>-156300000</v>
      </c>
      <c r="BS176" s="3">
        <v>1731496800</v>
      </c>
      <c r="BT176" s="3">
        <v>191750420</v>
      </c>
      <c r="BU176" s="3">
        <v>-721500000</v>
      </c>
      <c r="BV176" s="3">
        <v>-122967360</v>
      </c>
      <c r="BW176" s="3">
        <v>0</v>
      </c>
      <c r="BX176" s="3">
        <v>99371571</v>
      </c>
      <c r="BY176" s="3">
        <v>1876017</v>
      </c>
      <c r="BZ176" s="3">
        <v>55800000</v>
      </c>
      <c r="CA176" s="3">
        <v>47800000</v>
      </c>
      <c r="CC176" s="4"/>
      <c r="CD176" s="14"/>
      <c r="CF176" s="10"/>
    </row>
    <row r="177" spans="66:84">
      <c r="BN177" s="4">
        <v>42166</v>
      </c>
      <c r="BO177" s="14">
        <v>2867172802</v>
      </c>
      <c r="BP177" s="3">
        <v>0</v>
      </c>
      <c r="BQ177" s="10">
        <v>-75295494</v>
      </c>
      <c r="BR177" s="3">
        <v>608350000</v>
      </c>
      <c r="BS177" s="3">
        <v>1832900000</v>
      </c>
      <c r="BT177" s="3">
        <v>77000000</v>
      </c>
      <c r="BU177" s="3">
        <v>213700000</v>
      </c>
      <c r="BV177" s="3">
        <v>-68967330</v>
      </c>
      <c r="BW177" s="3">
        <v>0</v>
      </c>
      <c r="BX177" s="3">
        <v>176827120</v>
      </c>
      <c r="BY177" s="3">
        <v>1664609</v>
      </c>
      <c r="BZ177" s="3">
        <v>39993897</v>
      </c>
      <c r="CA177" s="3">
        <v>61000000</v>
      </c>
      <c r="CC177" s="4"/>
      <c r="CD177" s="14"/>
      <c r="CF177" s="10"/>
    </row>
    <row r="178" spans="66:84">
      <c r="BN178" s="4">
        <v>42165</v>
      </c>
      <c r="BO178" s="14">
        <v>3000574385</v>
      </c>
      <c r="BP178" s="3">
        <v>0</v>
      </c>
      <c r="BQ178" s="10">
        <v>367351175</v>
      </c>
      <c r="BR178" s="3">
        <v>134243490</v>
      </c>
      <c r="BS178" s="3">
        <v>1478822310</v>
      </c>
      <c r="BT178" s="3">
        <v>-36000000</v>
      </c>
      <c r="BU178" s="3">
        <v>136100000</v>
      </c>
      <c r="BV178" s="3">
        <v>755912790</v>
      </c>
      <c r="BW178" s="3">
        <v>0</v>
      </c>
      <c r="BX178" s="3">
        <v>15529956</v>
      </c>
      <c r="BY178" s="3">
        <v>-9020246</v>
      </c>
      <c r="BZ178" s="3">
        <v>64484910</v>
      </c>
      <c r="CA178" s="3">
        <v>93150000</v>
      </c>
      <c r="CC178" s="4"/>
      <c r="CD178" s="14"/>
      <c r="CF178" s="10"/>
    </row>
    <row r="179" spans="66:84">
      <c r="BN179" s="4">
        <v>42164</v>
      </c>
      <c r="BO179" s="14">
        <v>6007962597</v>
      </c>
      <c r="BP179" s="3">
        <v>0</v>
      </c>
      <c r="BQ179" s="10">
        <v>3403516390</v>
      </c>
      <c r="BR179" s="3">
        <v>399700000</v>
      </c>
      <c r="BS179" s="3">
        <v>443451500</v>
      </c>
      <c r="BT179" s="3">
        <v>-60300000</v>
      </c>
      <c r="BU179" s="3">
        <v>395700000</v>
      </c>
      <c r="BV179" s="3">
        <v>1172017500</v>
      </c>
      <c r="BW179" s="3">
        <v>0</v>
      </c>
      <c r="BX179" s="3">
        <v>107342541</v>
      </c>
      <c r="BY179" s="3">
        <v>31222666</v>
      </c>
      <c r="BZ179" s="3">
        <v>120312000</v>
      </c>
      <c r="CA179" s="3">
        <v>-5000000</v>
      </c>
      <c r="CC179" s="4"/>
      <c r="CD179" s="14"/>
      <c r="CF179" s="10"/>
    </row>
    <row r="180" spans="66:84">
      <c r="BN180" s="4">
        <v>42163</v>
      </c>
      <c r="BO180" s="14">
        <v>1902913905</v>
      </c>
      <c r="BP180" s="3">
        <v>0</v>
      </c>
      <c r="BQ180" s="10">
        <v>-1575429820</v>
      </c>
      <c r="BR180" s="3">
        <v>99825750</v>
      </c>
      <c r="BS180" s="3">
        <v>179280000</v>
      </c>
      <c r="BT180" s="3">
        <v>-15249075</v>
      </c>
      <c r="BU180" s="3">
        <v>579300000</v>
      </c>
      <c r="BV180" s="3">
        <v>2598451120</v>
      </c>
      <c r="BW180" s="3">
        <v>0</v>
      </c>
      <c r="BX180" s="3">
        <v>47655244</v>
      </c>
      <c r="BY180" s="3">
        <v>12582690</v>
      </c>
      <c r="BZ180" s="3">
        <v>-34502004</v>
      </c>
      <c r="CA180" s="3">
        <v>11000000</v>
      </c>
      <c r="CC180" s="4"/>
      <c r="CD180" s="14"/>
      <c r="CF180" s="10"/>
    </row>
    <row r="181" spans="66:84">
      <c r="BN181" s="4">
        <v>42160</v>
      </c>
      <c r="BO181" s="14">
        <v>106091686</v>
      </c>
      <c r="BP181" s="3">
        <v>0</v>
      </c>
      <c r="BQ181" s="10">
        <v>-409218955</v>
      </c>
      <c r="BR181" s="3">
        <v>23919000</v>
      </c>
      <c r="BS181" s="3">
        <v>526399700</v>
      </c>
      <c r="BT181" s="3">
        <v>-39500000</v>
      </c>
      <c r="BU181" s="3">
        <v>-116500000</v>
      </c>
      <c r="BV181" s="3">
        <v>9855520</v>
      </c>
      <c r="BW181" s="3">
        <v>0</v>
      </c>
      <c r="BX181" s="3">
        <v>44629829</v>
      </c>
      <c r="BY181" s="3">
        <v>20709916</v>
      </c>
      <c r="BZ181" s="3">
        <v>60496676</v>
      </c>
      <c r="CA181" s="3">
        <v>-14700000</v>
      </c>
      <c r="CC181" s="4"/>
      <c r="CD181" s="14"/>
      <c r="CF181" s="10"/>
    </row>
    <row r="182" spans="66:84">
      <c r="BN182" s="4">
        <v>42159</v>
      </c>
      <c r="BO182" s="14">
        <v>1637047019</v>
      </c>
      <c r="BP182" s="3">
        <v>0</v>
      </c>
      <c r="BQ182" s="10">
        <v>49591840</v>
      </c>
      <c r="BR182" s="3">
        <v>434230000</v>
      </c>
      <c r="BS182" s="3">
        <v>795450000</v>
      </c>
      <c r="BT182" s="3">
        <v>12886180</v>
      </c>
      <c r="BU182" s="3">
        <v>210693058</v>
      </c>
      <c r="BV182" s="3">
        <v>63821970</v>
      </c>
      <c r="BW182" s="3">
        <v>0</v>
      </c>
      <c r="BX182" s="3">
        <v>26580911</v>
      </c>
      <c r="BY182" s="3">
        <v>7567870</v>
      </c>
      <c r="BZ182" s="3">
        <v>16025190</v>
      </c>
      <c r="CA182" s="3">
        <v>20200000</v>
      </c>
      <c r="CC182" s="4"/>
      <c r="CD182" s="14"/>
      <c r="CF182" s="10"/>
    </row>
    <row r="183" spans="66:84">
      <c r="BN183" s="4">
        <v>42158</v>
      </c>
      <c r="BO183" s="14">
        <v>4098233258</v>
      </c>
      <c r="BP183" s="3">
        <v>0</v>
      </c>
      <c r="BQ183" s="10">
        <v>1052496830</v>
      </c>
      <c r="BR183" s="3">
        <v>676793500</v>
      </c>
      <c r="BS183" s="3">
        <v>1182680000</v>
      </c>
      <c r="BT183" s="3">
        <v>102566740</v>
      </c>
      <c r="BU183" s="3">
        <v>701900000</v>
      </c>
      <c r="BV183" s="3">
        <v>159076700</v>
      </c>
      <c r="BW183" s="3">
        <v>0</v>
      </c>
      <c r="BX183" s="3">
        <v>174927417</v>
      </c>
      <c r="BY183" s="3">
        <v>46593743</v>
      </c>
      <c r="BZ183" s="3">
        <v>-22301672</v>
      </c>
      <c r="CA183" s="3">
        <v>23500000</v>
      </c>
      <c r="CC183" s="4"/>
      <c r="CD183" s="14"/>
      <c r="CF183" s="10"/>
    </row>
    <row r="184" spans="66:84">
      <c r="BN184" s="4">
        <v>42157</v>
      </c>
      <c r="BO184" s="14">
        <v>5471981295</v>
      </c>
      <c r="BP184" s="3">
        <v>0</v>
      </c>
      <c r="BQ184" s="10">
        <v>2596552955</v>
      </c>
      <c r="BR184" s="3">
        <v>559400000</v>
      </c>
      <c r="BS184" s="3">
        <v>1898880195</v>
      </c>
      <c r="BT184" s="3">
        <v>97199795</v>
      </c>
      <c r="BU184" s="3">
        <v>-94400000</v>
      </c>
      <c r="BV184" s="3">
        <v>196834490</v>
      </c>
      <c r="BW184" s="3">
        <v>0</v>
      </c>
      <c r="BX184" s="3">
        <v>26765046</v>
      </c>
      <c r="BY184" s="3">
        <v>2795814</v>
      </c>
      <c r="BZ184" s="3">
        <v>108623000</v>
      </c>
      <c r="CA184" s="3">
        <v>79330000</v>
      </c>
      <c r="CC184" s="4"/>
      <c r="CD184" s="14"/>
      <c r="CF184" s="10"/>
    </row>
    <row r="185" spans="66:84">
      <c r="BN185" s="4">
        <v>42156</v>
      </c>
      <c r="BO185" s="14">
        <v>1362024952</v>
      </c>
      <c r="BP185" s="3">
        <v>0</v>
      </c>
      <c r="BQ185" s="10">
        <v>97020570</v>
      </c>
      <c r="BR185" s="3">
        <v>55020000</v>
      </c>
      <c r="BS185" s="3">
        <v>832180000</v>
      </c>
      <c r="BT185" s="3">
        <v>37300000</v>
      </c>
      <c r="BU185" s="3">
        <v>117500000</v>
      </c>
      <c r="BV185" s="3">
        <v>243402520</v>
      </c>
      <c r="BW185" s="3">
        <v>0</v>
      </c>
      <c r="BX185" s="3">
        <v>-43508506</v>
      </c>
      <c r="BY185" s="3">
        <v>7349712</v>
      </c>
      <c r="BZ185" s="3">
        <v>15760656</v>
      </c>
      <c r="CA185" s="3">
        <v>0</v>
      </c>
      <c r="CC185" s="4"/>
      <c r="CD185" s="14"/>
      <c r="CF185" s="10"/>
    </row>
    <row r="186" spans="66:84">
      <c r="BN186" s="4">
        <v>42153</v>
      </c>
      <c r="BO186" s="14">
        <v>1154252864</v>
      </c>
      <c r="BP186" s="3">
        <v>0</v>
      </c>
      <c r="BQ186" s="10">
        <v>-531269545</v>
      </c>
      <c r="BR186" s="3">
        <v>244300000</v>
      </c>
      <c r="BS186" s="3">
        <v>1400697970</v>
      </c>
      <c r="BT186" s="3">
        <v>79548125</v>
      </c>
      <c r="BU186" s="3">
        <v>-173989270</v>
      </c>
      <c r="BV186" s="3">
        <v>-115015950</v>
      </c>
      <c r="BW186" s="3">
        <v>0</v>
      </c>
      <c r="BX186" s="3">
        <v>49442407</v>
      </c>
      <c r="BY186" s="3">
        <v>80490617</v>
      </c>
      <c r="BZ186" s="3">
        <v>76048510</v>
      </c>
      <c r="CA186" s="3">
        <v>44000000</v>
      </c>
      <c r="CC186" s="4"/>
      <c r="CD186" s="14"/>
      <c r="CF186" s="10"/>
    </row>
    <row r="187" spans="66:84">
      <c r="BN187" s="4">
        <v>42152</v>
      </c>
      <c r="BO187" s="14">
        <v>1964803846</v>
      </c>
      <c r="BP187" s="3">
        <v>0</v>
      </c>
      <c r="BQ187" s="10">
        <v>-211326605</v>
      </c>
      <c r="BR187" s="3">
        <v>329590000</v>
      </c>
      <c r="BS187" s="3">
        <v>1083654000</v>
      </c>
      <c r="BT187" s="3">
        <v>225020000</v>
      </c>
      <c r="BU187" s="3">
        <v>100500000</v>
      </c>
      <c r="BV187" s="3">
        <v>101719840</v>
      </c>
      <c r="BW187" s="3">
        <v>0</v>
      </c>
      <c r="BX187" s="3">
        <v>281475864</v>
      </c>
      <c r="BY187" s="3">
        <v>-7929253</v>
      </c>
      <c r="BZ187" s="3">
        <v>27400000</v>
      </c>
      <c r="CA187" s="3">
        <v>34700000</v>
      </c>
      <c r="CC187" s="4"/>
      <c r="CD187" s="14"/>
      <c r="CF187" s="10"/>
    </row>
    <row r="188" spans="66:84">
      <c r="BN188" s="4">
        <v>42151</v>
      </c>
      <c r="BO188" s="14">
        <v>723281655</v>
      </c>
      <c r="BP188" s="3">
        <v>0</v>
      </c>
      <c r="BQ188" s="10">
        <v>-452912040</v>
      </c>
      <c r="BR188" s="3">
        <v>-27821000</v>
      </c>
      <c r="BS188" s="3">
        <v>1265222000</v>
      </c>
      <c r="BT188" s="3">
        <v>-15905301</v>
      </c>
      <c r="BU188" s="3">
        <v>-32400000</v>
      </c>
      <c r="BV188" s="3">
        <v>-45420580</v>
      </c>
      <c r="BW188" s="3">
        <v>0</v>
      </c>
      <c r="BX188" s="3">
        <v>43180085</v>
      </c>
      <c r="BY188" s="3">
        <v>-905135</v>
      </c>
      <c r="BZ188" s="3">
        <v>-52756374</v>
      </c>
      <c r="CA188" s="3">
        <v>43000000</v>
      </c>
      <c r="CC188" s="4"/>
      <c r="CD188" s="14"/>
      <c r="CF188" s="10"/>
    </row>
    <row r="189" spans="66:84">
      <c r="BN189" s="4">
        <v>42150</v>
      </c>
      <c r="BO189" s="14">
        <v>5603154581</v>
      </c>
      <c r="BP189" s="3">
        <v>0</v>
      </c>
      <c r="BQ189" s="10">
        <v>2725623962</v>
      </c>
      <c r="BR189" s="3">
        <v>1009100000</v>
      </c>
      <c r="BS189" s="3">
        <v>803800000</v>
      </c>
      <c r="BT189" s="3">
        <v>70000000</v>
      </c>
      <c r="BU189" s="3">
        <v>220000000</v>
      </c>
      <c r="BV189" s="3">
        <v>795633800</v>
      </c>
      <c r="BW189" s="3">
        <v>0</v>
      </c>
      <c r="BX189" s="3">
        <v>-46065401</v>
      </c>
      <c r="BY189" s="3">
        <v>4562220</v>
      </c>
      <c r="BZ189" s="3">
        <v>20000000</v>
      </c>
      <c r="CA189" s="3">
        <v>500000</v>
      </c>
      <c r="CC189" s="4"/>
      <c r="CD189" s="14"/>
      <c r="CF189" s="10"/>
    </row>
    <row r="190" spans="66:84">
      <c r="BN190" s="4">
        <v>42146</v>
      </c>
      <c r="BO190" s="14">
        <v>148744832</v>
      </c>
      <c r="BP190" s="3">
        <v>0</v>
      </c>
      <c r="BQ190" s="10">
        <v>-292523735</v>
      </c>
      <c r="BR190" s="3">
        <v>215510000</v>
      </c>
      <c r="BS190" s="3">
        <v>29752000</v>
      </c>
      <c r="BT190" s="3">
        <v>131000000</v>
      </c>
      <c r="BU190" s="3">
        <v>-47000000</v>
      </c>
      <c r="BV190" s="3">
        <v>27953000</v>
      </c>
      <c r="BW190" s="3">
        <v>0</v>
      </c>
      <c r="BX190" s="3">
        <v>6293152</v>
      </c>
      <c r="BY190" s="3">
        <v>12568355</v>
      </c>
      <c r="BZ190" s="3">
        <v>36692060</v>
      </c>
      <c r="CA190" s="3">
        <v>28500000</v>
      </c>
      <c r="CC190" s="4"/>
      <c r="CD190" s="14"/>
      <c r="CF190" s="10"/>
    </row>
    <row r="191" spans="66:84">
      <c r="BN191" s="4">
        <v>42145</v>
      </c>
      <c r="BO191" s="14">
        <v>1435778292</v>
      </c>
      <c r="BP191" s="3">
        <v>0</v>
      </c>
      <c r="BQ191" s="10">
        <v>-83544340</v>
      </c>
      <c r="BR191" s="3">
        <v>392866000</v>
      </c>
      <c r="BS191" s="3">
        <v>673613000</v>
      </c>
      <c r="BT191" s="3">
        <v>62255450</v>
      </c>
      <c r="BU191" s="3">
        <v>-173900000</v>
      </c>
      <c r="BV191" s="3">
        <v>331732130</v>
      </c>
      <c r="BW191" s="3">
        <v>0</v>
      </c>
      <c r="BX191" s="3">
        <v>17774197</v>
      </c>
      <c r="BY191" s="3">
        <v>7593855</v>
      </c>
      <c r="BZ191" s="3">
        <v>190388000</v>
      </c>
      <c r="CA191" s="3">
        <v>17000000</v>
      </c>
      <c r="CC191" s="4"/>
      <c r="CD191" s="14"/>
      <c r="CF191" s="10"/>
    </row>
    <row r="192" spans="66:84">
      <c r="BN192" s="4">
        <v>42144</v>
      </c>
      <c r="BO192" s="14">
        <v>1135591220</v>
      </c>
      <c r="BP192" s="3">
        <v>0</v>
      </c>
      <c r="BQ192" s="10">
        <v>-142660815</v>
      </c>
      <c r="BR192" s="3">
        <v>68650000</v>
      </c>
      <c r="BS192" s="3">
        <v>666011000</v>
      </c>
      <c r="BT192" s="3">
        <v>144504460</v>
      </c>
      <c r="BU192" s="3">
        <v>-303000000</v>
      </c>
      <c r="BV192" s="3">
        <v>563932650</v>
      </c>
      <c r="BW192" s="3">
        <v>0</v>
      </c>
      <c r="BX192" s="3">
        <v>86149264</v>
      </c>
      <c r="BY192" s="3">
        <v>2572695</v>
      </c>
      <c r="BZ192" s="3">
        <v>60631966</v>
      </c>
      <c r="CA192" s="3">
        <v>-11200000</v>
      </c>
      <c r="CC192" s="4"/>
      <c r="CD192" s="14"/>
      <c r="CF192" s="10"/>
    </row>
    <row r="193" spans="66:84">
      <c r="BN193" s="4">
        <v>42143</v>
      </c>
      <c r="BO193" s="14">
        <v>1419749169</v>
      </c>
      <c r="BP193" s="3">
        <v>0</v>
      </c>
      <c r="BQ193" s="10">
        <v>264213950</v>
      </c>
      <c r="BR193" s="3">
        <v>186600000</v>
      </c>
      <c r="BS193" s="3">
        <v>499220000</v>
      </c>
      <c r="BT193" s="3">
        <v>60529660</v>
      </c>
      <c r="BU193" s="3">
        <v>187000000</v>
      </c>
      <c r="BV193" s="3">
        <v>147113000</v>
      </c>
      <c r="BW193" s="3">
        <v>0</v>
      </c>
      <c r="BX193" s="3">
        <v>80814157</v>
      </c>
      <c r="BY193" s="3">
        <v>2155842</v>
      </c>
      <c r="BZ193" s="3">
        <v>-7897440</v>
      </c>
      <c r="CA193" s="3">
        <v>0</v>
      </c>
      <c r="CC193" s="4"/>
      <c r="CD193" s="14"/>
      <c r="CF193" s="10"/>
    </row>
    <row r="194" spans="66:84">
      <c r="BN194" s="4">
        <v>42142</v>
      </c>
      <c r="BO194" s="14">
        <v>1788107574</v>
      </c>
      <c r="BP194" s="3">
        <v>0</v>
      </c>
      <c r="BQ194" s="10">
        <v>27756980</v>
      </c>
      <c r="BR194" s="3">
        <v>229700000</v>
      </c>
      <c r="BS194" s="3">
        <v>1171172000</v>
      </c>
      <c r="BT194" s="3">
        <v>153694406</v>
      </c>
      <c r="BU194" s="3">
        <v>-112689000</v>
      </c>
      <c r="BV194" s="3">
        <v>293451090</v>
      </c>
      <c r="BW194" s="3">
        <v>0</v>
      </c>
      <c r="BX194" s="3">
        <v>48848672</v>
      </c>
      <c r="BY194" s="3">
        <v>3273426</v>
      </c>
      <c r="BZ194" s="3">
        <v>-17100000</v>
      </c>
      <c r="CA194" s="3">
        <v>-10000000</v>
      </c>
      <c r="CC194" s="4"/>
      <c r="CD194" s="14"/>
      <c r="CF194" s="10"/>
    </row>
    <row r="195" spans="66:84">
      <c r="BN195" s="4">
        <v>42139</v>
      </c>
      <c r="BO195" s="14">
        <v>1297945781</v>
      </c>
      <c r="BP195" s="3">
        <v>0</v>
      </c>
      <c r="BQ195" s="10">
        <v>93375600</v>
      </c>
      <c r="BR195" s="3">
        <v>167330000</v>
      </c>
      <c r="BS195" s="3">
        <v>383827998</v>
      </c>
      <c r="BT195" s="3">
        <v>55000000</v>
      </c>
      <c r="BU195" s="3">
        <v>366900000</v>
      </c>
      <c r="BV195" s="3">
        <v>179088980</v>
      </c>
      <c r="BW195" s="3">
        <v>0</v>
      </c>
      <c r="BX195" s="3">
        <v>11506088</v>
      </c>
      <c r="BY195" s="3">
        <v>3375115</v>
      </c>
      <c r="BZ195" s="3">
        <v>21542000</v>
      </c>
      <c r="CA195" s="3">
        <v>16000000</v>
      </c>
      <c r="CC195" s="4"/>
      <c r="CD195" s="14"/>
      <c r="CF195" s="10"/>
    </row>
    <row r="196" spans="66:84">
      <c r="BN196" s="4">
        <v>42138</v>
      </c>
      <c r="BO196" s="14">
        <v>1897384925</v>
      </c>
      <c r="BP196" s="3">
        <v>0</v>
      </c>
      <c r="BQ196" s="10">
        <v>329909409</v>
      </c>
      <c r="BR196" s="3">
        <v>153941590</v>
      </c>
      <c r="BS196" s="3">
        <v>638040000</v>
      </c>
      <c r="BT196" s="3">
        <v>377000000</v>
      </c>
      <c r="BU196" s="3">
        <v>135200000</v>
      </c>
      <c r="BV196" s="3">
        <v>127483190</v>
      </c>
      <c r="BW196" s="3">
        <v>0</v>
      </c>
      <c r="BX196" s="3">
        <v>81250742</v>
      </c>
      <c r="BY196" s="3">
        <v>13159994</v>
      </c>
      <c r="BZ196" s="3">
        <v>11000000</v>
      </c>
      <c r="CA196" s="3">
        <v>30400000</v>
      </c>
      <c r="CC196" s="4"/>
      <c r="CD196" s="14"/>
      <c r="CF196" s="10"/>
    </row>
    <row r="197" spans="66:84">
      <c r="BN197" s="4">
        <v>42137</v>
      </c>
      <c r="BO197" s="14">
        <v>1365905054</v>
      </c>
      <c r="BP197" s="3">
        <v>0</v>
      </c>
      <c r="BQ197" s="10">
        <v>88255320</v>
      </c>
      <c r="BR197" s="3">
        <v>79998000</v>
      </c>
      <c r="BS197" s="3">
        <v>1008909679</v>
      </c>
      <c r="BT197" s="3">
        <v>78600000</v>
      </c>
      <c r="BU197" s="3">
        <v>-101203630</v>
      </c>
      <c r="BV197" s="3">
        <v>174555000</v>
      </c>
      <c r="BW197" s="3">
        <v>0</v>
      </c>
      <c r="BX197" s="3">
        <v>10227551</v>
      </c>
      <c r="BY197" s="3">
        <v>-2102266</v>
      </c>
      <c r="BZ197" s="3">
        <v>18665400</v>
      </c>
      <c r="CA197" s="3">
        <v>10000000</v>
      </c>
      <c r="CC197" s="4"/>
      <c r="CD197" s="14"/>
      <c r="CF197" s="10"/>
    </row>
    <row r="198" spans="66:84">
      <c r="BN198" s="4">
        <v>42136</v>
      </c>
      <c r="BO198" s="14">
        <v>6145691774</v>
      </c>
      <c r="BP198" s="3">
        <v>0</v>
      </c>
      <c r="BQ198" s="10">
        <v>3288144865</v>
      </c>
      <c r="BR198" s="3">
        <v>966840880</v>
      </c>
      <c r="BS198" s="3">
        <v>526530000</v>
      </c>
      <c r="BT198" s="3">
        <v>136500000</v>
      </c>
      <c r="BU198" s="3">
        <v>742960000</v>
      </c>
      <c r="BV198" s="3">
        <v>231459020</v>
      </c>
      <c r="BW198" s="3">
        <v>0</v>
      </c>
      <c r="BX198" s="3">
        <v>177757689</v>
      </c>
      <c r="BY198" s="3">
        <v>5061408</v>
      </c>
      <c r="BZ198" s="3">
        <v>42437912</v>
      </c>
      <c r="CA198" s="3">
        <v>28000000</v>
      </c>
      <c r="CC198" s="4"/>
      <c r="CD198" s="14"/>
      <c r="CF198" s="10"/>
    </row>
    <row r="199" spans="66:84">
      <c r="BN199" s="4">
        <v>42135</v>
      </c>
      <c r="BO199" s="14">
        <v>1640901575</v>
      </c>
      <c r="BP199" s="3">
        <v>0</v>
      </c>
      <c r="BQ199" s="10">
        <v>-528606685</v>
      </c>
      <c r="BR199" s="3">
        <v>310150000</v>
      </c>
      <c r="BS199" s="3">
        <v>705290000</v>
      </c>
      <c r="BT199" s="3">
        <v>62000000</v>
      </c>
      <c r="BU199" s="3">
        <v>209300000</v>
      </c>
      <c r="BV199" s="3">
        <v>905976210</v>
      </c>
      <c r="BW199" s="3">
        <v>0</v>
      </c>
      <c r="BX199" s="3">
        <v>-125912394</v>
      </c>
      <c r="BY199" s="3">
        <v>-495556</v>
      </c>
      <c r="BZ199" s="3">
        <v>76200000</v>
      </c>
      <c r="CA199" s="3">
        <v>27000000</v>
      </c>
      <c r="CC199" s="4"/>
      <c r="CD199" s="14"/>
      <c r="CF199" s="10"/>
    </row>
    <row r="200" spans="66:84">
      <c r="BN200" s="4">
        <v>42132</v>
      </c>
      <c r="BO200" s="14">
        <v>1367900655</v>
      </c>
      <c r="BP200" s="3">
        <v>0</v>
      </c>
      <c r="BQ200" s="10">
        <v>-134489805</v>
      </c>
      <c r="BR200" s="3">
        <v>123508000</v>
      </c>
      <c r="BS200" s="3">
        <v>1685680700</v>
      </c>
      <c r="BT200" s="3">
        <v>28572618</v>
      </c>
      <c r="BU200" s="3">
        <v>-671500000</v>
      </c>
      <c r="BV200" s="3">
        <v>165803590</v>
      </c>
      <c r="BW200" s="3">
        <v>0</v>
      </c>
      <c r="BX200" s="3">
        <v>125813450</v>
      </c>
      <c r="BY200" s="3">
        <v>4427252</v>
      </c>
      <c r="BZ200" s="3">
        <v>50584850</v>
      </c>
      <c r="CA200" s="3">
        <v>-10500000</v>
      </c>
      <c r="CC200" s="4"/>
      <c r="CD200" s="14"/>
      <c r="CF200" s="10"/>
    </row>
    <row r="201" spans="66:84">
      <c r="BN201" s="4">
        <v>42131</v>
      </c>
      <c r="BO201" s="14">
        <v>2475258224</v>
      </c>
      <c r="BP201" s="3">
        <v>0</v>
      </c>
      <c r="BQ201" s="10">
        <v>874542110</v>
      </c>
      <c r="BR201" s="3">
        <v>282473060</v>
      </c>
      <c r="BS201" s="3">
        <v>863435099</v>
      </c>
      <c r="BT201" s="3">
        <v>81520000</v>
      </c>
      <c r="BU201" s="3">
        <v>-187777987</v>
      </c>
      <c r="BV201" s="3">
        <v>344081120</v>
      </c>
      <c r="BW201" s="3">
        <v>0</v>
      </c>
      <c r="BX201" s="3">
        <v>130639186</v>
      </c>
      <c r="BY201" s="3">
        <v>-1154364</v>
      </c>
      <c r="BZ201" s="3">
        <v>55000000</v>
      </c>
      <c r="CA201" s="3">
        <v>32500000</v>
      </c>
      <c r="CC201" s="4"/>
      <c r="CD201" s="14"/>
      <c r="CF201" s="10"/>
    </row>
    <row r="202" spans="66:84">
      <c r="BN202" s="4">
        <v>42130</v>
      </c>
      <c r="BO202" s="14">
        <v>1981386022</v>
      </c>
      <c r="BP202" s="3">
        <v>0</v>
      </c>
      <c r="BQ202" s="10">
        <v>817155915</v>
      </c>
      <c r="BR202" s="3">
        <v>652000000</v>
      </c>
      <c r="BS202" s="3">
        <v>211510000</v>
      </c>
      <c r="BT202" s="3">
        <v>73406000</v>
      </c>
      <c r="BU202" s="3">
        <v>259380000</v>
      </c>
      <c r="BV202" s="3">
        <v>-100381500</v>
      </c>
      <c r="BW202" s="3">
        <v>0</v>
      </c>
      <c r="BX202" s="3">
        <v>70231236</v>
      </c>
      <c r="BY202" s="3">
        <v>1584371</v>
      </c>
      <c r="BZ202" s="3">
        <v>-15200000</v>
      </c>
      <c r="CA202" s="3">
        <v>11700000</v>
      </c>
      <c r="CC202" s="4"/>
      <c r="CD202" s="14"/>
      <c r="CF202" s="10"/>
    </row>
    <row r="203" spans="66:84">
      <c r="BN203" s="4">
        <v>42128</v>
      </c>
      <c r="BO203" s="14">
        <v>907120177</v>
      </c>
      <c r="BP203" s="3">
        <v>0</v>
      </c>
      <c r="BQ203" s="10">
        <v>288895980</v>
      </c>
      <c r="BR203" s="3">
        <v>179500000</v>
      </c>
      <c r="BS203" s="3">
        <v>49900000</v>
      </c>
      <c r="BT203" s="3">
        <v>-30705767</v>
      </c>
      <c r="BU203" s="3">
        <v>38000000</v>
      </c>
      <c r="BV203" s="3">
        <v>305227680</v>
      </c>
      <c r="BW203" s="3">
        <v>0</v>
      </c>
      <c r="BX203" s="3">
        <v>1265885</v>
      </c>
      <c r="BY203" s="3">
        <v>5536399</v>
      </c>
      <c r="BZ203" s="3">
        <v>65500000</v>
      </c>
      <c r="CA203" s="3">
        <v>4000000</v>
      </c>
      <c r="CC203" s="4"/>
      <c r="CD203" s="14"/>
      <c r="CF203" s="10"/>
    </row>
    <row r="204" spans="66:84">
      <c r="BN204" s="4">
        <v>42124</v>
      </c>
      <c r="BO204" s="14">
        <v>1713785229</v>
      </c>
      <c r="BP204" s="3">
        <v>0</v>
      </c>
      <c r="BQ204" s="10">
        <v>184606710</v>
      </c>
      <c r="BR204" s="3">
        <v>257050000</v>
      </c>
      <c r="BS204" s="3">
        <v>393052000</v>
      </c>
      <c r="BT204" s="3">
        <v>158500000</v>
      </c>
      <c r="BU204" s="3">
        <v>535500000</v>
      </c>
      <c r="BV204" s="3">
        <v>94517770</v>
      </c>
      <c r="BW204" s="3">
        <v>0</v>
      </c>
      <c r="BX204" s="3">
        <v>13676693</v>
      </c>
      <c r="BY204" s="3">
        <v>5382056</v>
      </c>
      <c r="BZ204" s="3">
        <v>81500000</v>
      </c>
      <c r="CA204" s="3">
        <v>-10000000</v>
      </c>
      <c r="CC204" s="4"/>
      <c r="CD204" s="14"/>
      <c r="CF204" s="10"/>
    </row>
    <row r="205" spans="66:84">
      <c r="BN205" s="4">
        <v>42123</v>
      </c>
      <c r="BO205" s="14">
        <v>2627624536</v>
      </c>
      <c r="BP205" s="3">
        <v>0</v>
      </c>
      <c r="BQ205" s="10">
        <v>74831650</v>
      </c>
      <c r="BR205" s="3">
        <v>807991000</v>
      </c>
      <c r="BS205" s="3">
        <v>783219206</v>
      </c>
      <c r="BT205" s="3">
        <v>52960549</v>
      </c>
      <c r="BU205" s="3">
        <v>407446000</v>
      </c>
      <c r="BV205" s="3">
        <v>54720000</v>
      </c>
      <c r="BW205" s="3">
        <v>0</v>
      </c>
      <c r="BX205" s="3">
        <v>205768009</v>
      </c>
      <c r="BY205" s="3">
        <v>1388122</v>
      </c>
      <c r="BZ205" s="3">
        <v>238300000</v>
      </c>
      <c r="CA205" s="3">
        <v>1000000</v>
      </c>
      <c r="CC205" s="4"/>
      <c r="CD205" s="14"/>
      <c r="CF205" s="10"/>
    </row>
    <row r="206" spans="66:84">
      <c r="BN206" s="4">
        <v>42122</v>
      </c>
      <c r="BO206" s="14">
        <v>2009643247</v>
      </c>
      <c r="BP206" s="3">
        <v>0</v>
      </c>
      <c r="BQ206" s="10">
        <v>-189608160</v>
      </c>
      <c r="BR206" s="3">
        <v>508190000</v>
      </c>
      <c r="BS206" s="3">
        <v>798972104</v>
      </c>
      <c r="BT206" s="3">
        <v>179411427</v>
      </c>
      <c r="BU206" s="3">
        <v>504000000</v>
      </c>
      <c r="BV206" s="3">
        <v>41026840</v>
      </c>
      <c r="BW206" s="3">
        <v>0</v>
      </c>
      <c r="BX206" s="3">
        <v>151922134</v>
      </c>
      <c r="BY206" s="3">
        <v>5478902</v>
      </c>
      <c r="BZ206" s="3">
        <v>10000000</v>
      </c>
      <c r="CA206" s="3">
        <v>250000</v>
      </c>
      <c r="CC206" s="4"/>
      <c r="CD206" s="14"/>
      <c r="CF206" s="10"/>
    </row>
    <row r="207" spans="66:84">
      <c r="BN207" s="4">
        <v>42121</v>
      </c>
      <c r="BO207" s="14">
        <v>1390385951</v>
      </c>
      <c r="BP207" s="3">
        <v>0</v>
      </c>
      <c r="BQ207" s="10">
        <v>-96759862</v>
      </c>
      <c r="BR207" s="3">
        <v>513050000</v>
      </c>
      <c r="BS207" s="3">
        <v>899465000</v>
      </c>
      <c r="BT207" s="3">
        <v>21660078</v>
      </c>
      <c r="BU207" s="3">
        <v>96900000</v>
      </c>
      <c r="BV207" s="3">
        <v>-76772000</v>
      </c>
      <c r="BW207" s="3">
        <v>0</v>
      </c>
      <c r="BX207" s="3">
        <v>20447907</v>
      </c>
      <c r="BY207" s="3">
        <v>3494828</v>
      </c>
      <c r="BZ207" s="3">
        <v>-3100000</v>
      </c>
      <c r="CA207" s="3">
        <v>12000000</v>
      </c>
      <c r="CC207" s="4"/>
      <c r="CD207" s="14"/>
      <c r="CF207" s="10"/>
    </row>
    <row r="208" spans="66:84">
      <c r="BN208" s="4">
        <v>42118</v>
      </c>
      <c r="BO208" s="14">
        <v>2081593782</v>
      </c>
      <c r="BP208" s="3">
        <v>0</v>
      </c>
      <c r="BQ208" s="10">
        <v>572091015</v>
      </c>
      <c r="BR208" s="3">
        <v>469030000</v>
      </c>
      <c r="BS208" s="3">
        <v>379620000</v>
      </c>
      <c r="BT208" s="3">
        <v>180099900</v>
      </c>
      <c r="BU208" s="3">
        <v>276528800</v>
      </c>
      <c r="BV208" s="3">
        <v>84812030</v>
      </c>
      <c r="BW208" s="3">
        <v>0</v>
      </c>
      <c r="BX208" s="3">
        <v>95282141</v>
      </c>
      <c r="BY208" s="3">
        <v>8129896</v>
      </c>
      <c r="BZ208" s="3">
        <v>53000000</v>
      </c>
      <c r="CA208" s="3">
        <v>-37000000</v>
      </c>
      <c r="CC208" s="4"/>
      <c r="CD208" s="14"/>
      <c r="CF208" s="10"/>
    </row>
    <row r="209" spans="66:84">
      <c r="BN209" s="4">
        <v>42117</v>
      </c>
      <c r="BO209" s="14">
        <v>3682527179</v>
      </c>
      <c r="BP209" s="3">
        <v>0</v>
      </c>
      <c r="BQ209" s="10">
        <v>1211451685</v>
      </c>
      <c r="BR209" s="3">
        <v>546200000</v>
      </c>
      <c r="BS209" s="3">
        <v>818240200</v>
      </c>
      <c r="BT209" s="3">
        <v>117880000</v>
      </c>
      <c r="BU209" s="3">
        <v>410400000</v>
      </c>
      <c r="BV209" s="3">
        <v>29267170</v>
      </c>
      <c r="BW209" s="3">
        <v>0</v>
      </c>
      <c r="BX209" s="3">
        <v>430145589</v>
      </c>
      <c r="BY209" s="3">
        <v>-2557465</v>
      </c>
      <c r="BZ209" s="3">
        <v>158500000</v>
      </c>
      <c r="CA209" s="3">
        <v>-37000000</v>
      </c>
      <c r="CC209" s="4"/>
      <c r="CD209" s="14"/>
      <c r="CF209" s="10"/>
    </row>
    <row r="210" spans="66:84">
      <c r="BN210" s="4">
        <v>42116</v>
      </c>
      <c r="BO210" s="14">
        <v>2025208460</v>
      </c>
      <c r="BP210" s="3">
        <v>0</v>
      </c>
      <c r="BQ210" s="10">
        <v>-241791939</v>
      </c>
      <c r="BR210" s="3">
        <v>151150000</v>
      </c>
      <c r="BS210" s="3">
        <v>1860291000</v>
      </c>
      <c r="BT210" s="3">
        <v>40360000</v>
      </c>
      <c r="BU210" s="3">
        <v>8000000</v>
      </c>
      <c r="BV210" s="3">
        <v>124998154</v>
      </c>
      <c r="BW210" s="3">
        <v>0</v>
      </c>
      <c r="BX210" s="3">
        <v>113817869</v>
      </c>
      <c r="BY210" s="3">
        <v>16183376</v>
      </c>
      <c r="BZ210" s="3">
        <v>-33000000</v>
      </c>
      <c r="CA210" s="3">
        <v>-14800000</v>
      </c>
      <c r="CC210" s="4"/>
      <c r="CD210" s="14"/>
      <c r="CF210" s="10"/>
    </row>
    <row r="211" spans="66:84">
      <c r="BN211" s="4">
        <v>42115</v>
      </c>
      <c r="BO211" s="14">
        <v>1501778012</v>
      </c>
      <c r="BP211" s="3">
        <v>0</v>
      </c>
      <c r="BQ211" s="10">
        <v>432135582</v>
      </c>
      <c r="BR211" s="3">
        <v>194300000</v>
      </c>
      <c r="BS211" s="3">
        <v>351652900</v>
      </c>
      <c r="BT211" s="3">
        <v>70850000</v>
      </c>
      <c r="BU211" s="3">
        <v>136020000</v>
      </c>
      <c r="BV211" s="3">
        <v>45515000</v>
      </c>
      <c r="BW211" s="3">
        <v>0</v>
      </c>
      <c r="BX211" s="3">
        <v>163715644</v>
      </c>
      <c r="BY211" s="3">
        <v>8588886</v>
      </c>
      <c r="BZ211" s="3">
        <v>96000000</v>
      </c>
      <c r="CA211" s="3">
        <v>3000000</v>
      </c>
      <c r="CC211" s="4"/>
      <c r="CD211" s="14"/>
      <c r="CF211" s="10"/>
    </row>
    <row r="212" spans="66:84">
      <c r="BN212" s="4">
        <v>42114</v>
      </c>
      <c r="BO212" s="14">
        <v>2026309523</v>
      </c>
      <c r="BP212" s="3">
        <v>0</v>
      </c>
      <c r="BQ212" s="10">
        <v>133385605</v>
      </c>
      <c r="BR212" s="3">
        <v>610700000</v>
      </c>
      <c r="BS212" s="3">
        <v>669160000</v>
      </c>
      <c r="BT212" s="3">
        <v>-8840540</v>
      </c>
      <c r="BU212" s="3">
        <v>386600000</v>
      </c>
      <c r="BV212" s="3">
        <v>356428760</v>
      </c>
      <c r="BW212" s="3">
        <v>0</v>
      </c>
      <c r="BX212" s="3">
        <v>-76922964</v>
      </c>
      <c r="BY212" s="3">
        <v>-201338</v>
      </c>
      <c r="BZ212" s="3">
        <v>-55000000</v>
      </c>
      <c r="CA212" s="3">
        <v>11000000</v>
      </c>
      <c r="CC212" s="4"/>
      <c r="CD212" s="14"/>
      <c r="CF212" s="10"/>
    </row>
    <row r="213" spans="66:84">
      <c r="BN213" s="4">
        <v>42111</v>
      </c>
      <c r="BO213" s="14">
        <v>898942840</v>
      </c>
      <c r="BP213" s="3">
        <v>0</v>
      </c>
      <c r="BQ213" s="10">
        <v>65103845</v>
      </c>
      <c r="BR213" s="3">
        <v>220751650</v>
      </c>
      <c r="BS213" s="3">
        <v>606352821</v>
      </c>
      <c r="BT213" s="3">
        <v>72000000</v>
      </c>
      <c r="BU213" s="3">
        <v>-183000000</v>
      </c>
      <c r="BV213" s="3">
        <v>80900000</v>
      </c>
      <c r="BW213" s="3">
        <v>0</v>
      </c>
      <c r="BX213" s="3">
        <v>52869103</v>
      </c>
      <c r="BY213" s="3">
        <v>8868979</v>
      </c>
      <c r="BZ213" s="3">
        <v>-13203558</v>
      </c>
      <c r="CA213" s="3">
        <v>-11700000</v>
      </c>
      <c r="CC213" s="4"/>
      <c r="CD213" s="14"/>
      <c r="CF213" s="10"/>
    </row>
    <row r="214" spans="66:84">
      <c r="BN214" s="4">
        <v>42110</v>
      </c>
      <c r="BO214" s="14">
        <v>2716764491</v>
      </c>
      <c r="BP214" s="3">
        <v>0</v>
      </c>
      <c r="BQ214" s="10">
        <v>443963740</v>
      </c>
      <c r="BR214" s="3">
        <v>575470000</v>
      </c>
      <c r="BS214" s="3">
        <v>1002014100</v>
      </c>
      <c r="BT214" s="3">
        <v>87000000</v>
      </c>
      <c r="BU214" s="3">
        <v>356280000</v>
      </c>
      <c r="BV214" s="3">
        <v>91239170</v>
      </c>
      <c r="BW214" s="3">
        <v>0</v>
      </c>
      <c r="BX214" s="3">
        <v>105278709</v>
      </c>
      <c r="BY214" s="3">
        <v>969372</v>
      </c>
      <c r="BZ214" s="3">
        <v>20549400</v>
      </c>
      <c r="CA214" s="3">
        <v>34000000</v>
      </c>
      <c r="CC214" s="4"/>
      <c r="CD214" s="14"/>
      <c r="CF214" s="10"/>
    </row>
    <row r="215" spans="66:84">
      <c r="BN215" s="4">
        <v>42109</v>
      </c>
      <c r="BO215" s="14">
        <v>1390364846</v>
      </c>
      <c r="BP215" s="3">
        <v>0</v>
      </c>
      <c r="BQ215" s="10">
        <v>444276883</v>
      </c>
      <c r="BR215" s="3">
        <v>142575000</v>
      </c>
      <c r="BS215" s="3">
        <v>774220000</v>
      </c>
      <c r="BT215" s="3">
        <v>45380640</v>
      </c>
      <c r="BU215" s="3">
        <v>121725000</v>
      </c>
      <c r="BV215" s="3">
        <v>-256515450</v>
      </c>
      <c r="BW215" s="3">
        <v>0</v>
      </c>
      <c r="BX215" s="3">
        <v>74792325</v>
      </c>
      <c r="BY215" s="3">
        <v>16135499</v>
      </c>
      <c r="BZ215" s="3">
        <v>-1225051</v>
      </c>
      <c r="CA215" s="3">
        <v>29000000</v>
      </c>
      <c r="CC215" s="4"/>
      <c r="CD215" s="14"/>
      <c r="CF215" s="10"/>
    </row>
    <row r="216" spans="66:84">
      <c r="BN216" s="4">
        <v>42108</v>
      </c>
      <c r="BO216" s="14">
        <v>2608742611</v>
      </c>
      <c r="BP216" s="3">
        <v>0</v>
      </c>
      <c r="BQ216" s="10">
        <v>504274180</v>
      </c>
      <c r="BR216" s="3">
        <v>394900000</v>
      </c>
      <c r="BS216" s="3">
        <v>846050000</v>
      </c>
      <c r="BT216" s="3">
        <v>52740000</v>
      </c>
      <c r="BU216" s="3">
        <v>444200000</v>
      </c>
      <c r="BV216" s="3">
        <v>254780940</v>
      </c>
      <c r="BW216" s="3">
        <v>0</v>
      </c>
      <c r="BX216" s="3">
        <v>149792145</v>
      </c>
      <c r="BY216" s="3">
        <v>12105346</v>
      </c>
      <c r="BZ216" s="3">
        <v>-5000000</v>
      </c>
      <c r="CA216" s="3">
        <v>-45100000</v>
      </c>
      <c r="CC216" s="4"/>
      <c r="CD216" s="14"/>
      <c r="CF216" s="10"/>
    </row>
    <row r="217" spans="66:84">
      <c r="BN217" s="4">
        <v>42107</v>
      </c>
      <c r="BO217" s="14">
        <v>2051185159</v>
      </c>
      <c r="BP217" s="3">
        <v>0</v>
      </c>
      <c r="BQ217" s="10">
        <v>648630915</v>
      </c>
      <c r="BR217" s="3">
        <v>318850000</v>
      </c>
      <c r="BS217" s="3">
        <v>672734000</v>
      </c>
      <c r="BT217" s="3">
        <v>172820000</v>
      </c>
      <c r="BU217" s="3">
        <v>335500000</v>
      </c>
      <c r="BV217" s="3">
        <v>-183230000</v>
      </c>
      <c r="BW217" s="3">
        <v>0</v>
      </c>
      <c r="BX217" s="3">
        <v>105384992</v>
      </c>
      <c r="BY217" s="3">
        <v>6087752</v>
      </c>
      <c r="BZ217" s="3">
        <v>-1592500</v>
      </c>
      <c r="CA217" s="3">
        <v>-24000000</v>
      </c>
      <c r="CC217" s="4"/>
      <c r="CD217" s="14"/>
      <c r="CF217" s="10"/>
    </row>
    <row r="218" spans="66:84">
      <c r="BN218" s="4">
        <v>42104</v>
      </c>
      <c r="BO218" s="14">
        <v>1047478357</v>
      </c>
      <c r="BP218" s="3">
        <v>0</v>
      </c>
      <c r="BQ218" s="10">
        <v>206247439</v>
      </c>
      <c r="BR218" s="3">
        <v>100680000</v>
      </c>
      <c r="BS218" s="3">
        <v>622597936</v>
      </c>
      <c r="BT218" s="3">
        <v>128263367</v>
      </c>
      <c r="BU218" s="3">
        <v>66000000</v>
      </c>
      <c r="BV218" s="3">
        <v>-43425850</v>
      </c>
      <c r="BW218" s="3">
        <v>0</v>
      </c>
      <c r="BX218" s="3">
        <v>-71003056</v>
      </c>
      <c r="BY218" s="3">
        <v>3818521</v>
      </c>
      <c r="BZ218" s="3">
        <v>44300000</v>
      </c>
      <c r="CA218" s="3">
        <v>-10000000</v>
      </c>
      <c r="CC218" s="4"/>
      <c r="CD218" s="14"/>
      <c r="CF218" s="10"/>
    </row>
    <row r="219" spans="66:84">
      <c r="BN219" s="4">
        <v>42103</v>
      </c>
      <c r="BO219" s="14">
        <v>988202560</v>
      </c>
      <c r="BP219" s="3">
        <v>0</v>
      </c>
      <c r="BQ219" s="10">
        <v>-315613315</v>
      </c>
      <c r="BR219" s="3">
        <v>-43900000</v>
      </c>
      <c r="BS219" s="3">
        <v>1112660500</v>
      </c>
      <c r="BT219" s="3">
        <v>9300000</v>
      </c>
      <c r="BU219" s="3">
        <v>107400000</v>
      </c>
      <c r="BV219" s="3">
        <v>-25707450</v>
      </c>
      <c r="BW219" s="3">
        <v>0</v>
      </c>
      <c r="BX219" s="3">
        <v>103970111</v>
      </c>
      <c r="BY219" s="3">
        <v>5942714</v>
      </c>
      <c r="BZ219" s="3">
        <v>40100000</v>
      </c>
      <c r="CA219" s="3">
        <v>-5950000</v>
      </c>
      <c r="CC219" s="4"/>
      <c r="CD219" s="14"/>
      <c r="CF219" s="10"/>
    </row>
    <row r="220" spans="66:84">
      <c r="BN220" s="4">
        <v>42102</v>
      </c>
      <c r="BO220" s="14">
        <v>2564487185</v>
      </c>
      <c r="BP220" s="3">
        <v>0</v>
      </c>
      <c r="BQ220" s="10">
        <v>692813015</v>
      </c>
      <c r="BR220" s="3">
        <v>120915000</v>
      </c>
      <c r="BS220" s="3">
        <v>1311653788</v>
      </c>
      <c r="BT220" s="3">
        <v>-12874078</v>
      </c>
      <c r="BU220" s="3">
        <v>187900000</v>
      </c>
      <c r="BV220" s="3">
        <v>150694950</v>
      </c>
      <c r="BW220" s="3">
        <v>0</v>
      </c>
      <c r="BX220" s="3">
        <v>118848374</v>
      </c>
      <c r="BY220" s="3">
        <v>-3571684</v>
      </c>
      <c r="BZ220" s="3">
        <v>-30942180</v>
      </c>
      <c r="CA220" s="3">
        <v>29050000</v>
      </c>
      <c r="CC220" s="4"/>
      <c r="CD220" s="14"/>
      <c r="CF220" s="10"/>
    </row>
    <row r="221" spans="66:84">
      <c r="BN221" s="4">
        <v>42101</v>
      </c>
      <c r="BO221" s="14">
        <v>3115127616</v>
      </c>
      <c r="BP221" s="3">
        <v>0</v>
      </c>
      <c r="BQ221" s="10">
        <v>176585105</v>
      </c>
      <c r="BR221" s="3">
        <v>343072830</v>
      </c>
      <c r="BS221" s="3">
        <v>703275650</v>
      </c>
      <c r="BT221" s="3">
        <v>69500000</v>
      </c>
      <c r="BU221" s="3">
        <v>350000000</v>
      </c>
      <c r="BV221" s="3">
        <v>1419036470</v>
      </c>
      <c r="BW221" s="3">
        <v>0</v>
      </c>
      <c r="BX221" s="3">
        <v>28095037</v>
      </c>
      <c r="BY221" s="3">
        <v>5706913</v>
      </c>
      <c r="BZ221" s="3">
        <v>-2144389</v>
      </c>
      <c r="CA221" s="3">
        <v>22000000</v>
      </c>
      <c r="CC221" s="4"/>
      <c r="CD221" s="14"/>
      <c r="CF221" s="10"/>
    </row>
    <row r="222" spans="66:84">
      <c r="BN222" s="4">
        <v>42100</v>
      </c>
      <c r="BO222" s="14">
        <v>1891265231</v>
      </c>
      <c r="BP222" s="3">
        <v>0</v>
      </c>
      <c r="BQ222" s="10">
        <v>-853067395</v>
      </c>
      <c r="BR222" s="3">
        <v>138400000</v>
      </c>
      <c r="BS222" s="3">
        <v>987170000</v>
      </c>
      <c r="BT222" s="3">
        <v>22900000</v>
      </c>
      <c r="BU222" s="3">
        <v>-57400000</v>
      </c>
      <c r="BV222" s="3">
        <v>1395600000</v>
      </c>
      <c r="BW222" s="3">
        <v>0</v>
      </c>
      <c r="BX222" s="3">
        <v>211015817</v>
      </c>
      <c r="BY222" s="3">
        <v>5415039</v>
      </c>
      <c r="BZ222" s="3">
        <v>35231770</v>
      </c>
      <c r="CA222" s="3">
        <v>6000000</v>
      </c>
      <c r="CC222" s="4"/>
      <c r="CD222" s="14"/>
      <c r="CF222" s="10"/>
    </row>
    <row r="223" spans="66:84">
      <c r="BN223" s="4">
        <v>42097</v>
      </c>
      <c r="BO223" s="14">
        <v>1161760147</v>
      </c>
      <c r="BP223" s="3">
        <v>0</v>
      </c>
      <c r="BQ223" s="10">
        <v>-233034000</v>
      </c>
      <c r="BR223" s="3">
        <v>279570000</v>
      </c>
      <c r="BS223" s="3">
        <v>924892000</v>
      </c>
      <c r="BT223" s="3">
        <v>41200000</v>
      </c>
      <c r="BU223" s="3">
        <v>47075000</v>
      </c>
      <c r="BV223" s="3">
        <v>-39598000</v>
      </c>
      <c r="BW223" s="3">
        <v>0</v>
      </c>
      <c r="BX223" s="3">
        <v>118959977</v>
      </c>
      <c r="BY223" s="3">
        <v>195170</v>
      </c>
      <c r="BZ223" s="3">
        <v>-36000000</v>
      </c>
      <c r="CA223" s="3">
        <v>58500000</v>
      </c>
      <c r="CC223" s="4"/>
      <c r="CD223" s="14"/>
      <c r="CF223" s="10"/>
    </row>
    <row r="224" spans="66:84">
      <c r="BN224" s="4">
        <v>42096</v>
      </c>
      <c r="BO224" s="14">
        <v>3431992959</v>
      </c>
      <c r="BP224" s="3">
        <v>0</v>
      </c>
      <c r="BQ224" s="10">
        <v>968772830</v>
      </c>
      <c r="BR224" s="3">
        <v>320935000</v>
      </c>
      <c r="BS224" s="3">
        <v>2015795000</v>
      </c>
      <c r="BT224" s="3">
        <v>134828777</v>
      </c>
      <c r="BU224" s="3">
        <v>-263450000</v>
      </c>
      <c r="BV224" s="3">
        <v>174667580</v>
      </c>
      <c r="BW224" s="3">
        <v>0</v>
      </c>
      <c r="BX224" s="3">
        <v>7197418</v>
      </c>
      <c r="BY224" s="3">
        <v>596354</v>
      </c>
      <c r="BZ224" s="3">
        <v>7300000</v>
      </c>
      <c r="CA224" s="3">
        <v>65350000</v>
      </c>
      <c r="CC224" s="4"/>
      <c r="CD224" s="14"/>
      <c r="CF224" s="10"/>
    </row>
    <row r="225" spans="66:84">
      <c r="BN225" s="4">
        <v>42095</v>
      </c>
      <c r="BO225" s="14">
        <v>963462431</v>
      </c>
      <c r="BP225" s="3">
        <v>0</v>
      </c>
      <c r="BQ225" s="10">
        <v>133599929</v>
      </c>
      <c r="BR225" s="3">
        <v>252612621</v>
      </c>
      <c r="BS225" s="3">
        <v>603355278</v>
      </c>
      <c r="BT225" s="3">
        <v>24259058</v>
      </c>
      <c r="BU225" s="3">
        <v>-20269278</v>
      </c>
      <c r="BV225" s="3">
        <v>-6798000</v>
      </c>
      <c r="BW225" s="3">
        <v>0</v>
      </c>
      <c r="BX225" s="3">
        <v>-40526926</v>
      </c>
      <c r="BY225" s="3">
        <v>3529749</v>
      </c>
      <c r="BZ225" s="3">
        <v>5700000</v>
      </c>
      <c r="CA225" s="3">
        <v>8000000</v>
      </c>
      <c r="CC225" s="4"/>
      <c r="CD225" s="14"/>
      <c r="CF225" s="10"/>
    </row>
    <row r="226" spans="66:84">
      <c r="BN226" s="4">
        <v>42094</v>
      </c>
      <c r="BO226" s="14">
        <v>1318454321</v>
      </c>
      <c r="BP226" s="3">
        <v>0</v>
      </c>
      <c r="BQ226" s="10">
        <v>-214595670</v>
      </c>
      <c r="BR226" s="3">
        <v>469950000</v>
      </c>
      <c r="BS226" s="3">
        <v>160050000</v>
      </c>
      <c r="BT226" s="3">
        <v>33122749</v>
      </c>
      <c r="BU226" s="3">
        <v>501145000</v>
      </c>
      <c r="BV226" s="3">
        <v>302157040</v>
      </c>
      <c r="BW226" s="3">
        <v>0</v>
      </c>
      <c r="BX226" s="3">
        <v>34698983</v>
      </c>
      <c r="BY226" s="3">
        <v>1252240</v>
      </c>
      <c r="BZ226" s="3">
        <v>37203979</v>
      </c>
      <c r="CA226" s="3">
        <v>-6530000</v>
      </c>
      <c r="CC226" s="4"/>
      <c r="CD226" s="14"/>
      <c r="CF226" s="10"/>
    </row>
    <row r="227" spans="66:84">
      <c r="BN227" s="4">
        <v>42093</v>
      </c>
      <c r="BO227" s="14">
        <v>1370083007</v>
      </c>
      <c r="BP227" s="3">
        <v>0</v>
      </c>
      <c r="BQ227" s="10">
        <v>-428795410</v>
      </c>
      <c r="BR227" s="3">
        <v>537912000</v>
      </c>
      <c r="BS227" s="3">
        <v>772915200</v>
      </c>
      <c r="BT227" s="3">
        <v>13100000</v>
      </c>
      <c r="BU227" s="3">
        <v>271000000</v>
      </c>
      <c r="BV227" s="3">
        <v>-5217300</v>
      </c>
      <c r="BW227" s="3">
        <v>0</v>
      </c>
      <c r="BX227" s="3">
        <v>68746295</v>
      </c>
      <c r="BY227" s="3">
        <v>15922222</v>
      </c>
      <c r="BZ227" s="3">
        <v>160000000</v>
      </c>
      <c r="CA227" s="3">
        <v>-35500000</v>
      </c>
      <c r="CC227" s="4"/>
      <c r="CD227" s="14"/>
      <c r="CF227" s="10"/>
    </row>
    <row r="228" spans="66:84">
      <c r="BN228" s="4">
        <v>42090</v>
      </c>
      <c r="BO228" s="14">
        <v>1513195570</v>
      </c>
      <c r="BP228" s="3">
        <v>0</v>
      </c>
      <c r="BQ228" s="10">
        <v>-231407595</v>
      </c>
      <c r="BR228" s="3">
        <v>422932000</v>
      </c>
      <c r="BS228" s="3">
        <v>501174000</v>
      </c>
      <c r="BT228" s="3">
        <v>78782000</v>
      </c>
      <c r="BU228" s="3">
        <v>475640100</v>
      </c>
      <c r="BV228" s="3">
        <v>107768000</v>
      </c>
      <c r="BW228" s="3">
        <v>0</v>
      </c>
      <c r="BX228" s="3">
        <v>71010020</v>
      </c>
      <c r="BY228" s="3">
        <v>1597045</v>
      </c>
      <c r="BZ228" s="3">
        <v>75200000</v>
      </c>
      <c r="CA228" s="3">
        <v>10500000</v>
      </c>
      <c r="CC228" s="4"/>
      <c r="CD228" s="14"/>
      <c r="CF228" s="10"/>
    </row>
    <row r="229" spans="66:84">
      <c r="BN229" s="4">
        <v>42089</v>
      </c>
      <c r="BO229" s="14">
        <v>2422761057</v>
      </c>
      <c r="BP229" s="3">
        <v>0</v>
      </c>
      <c r="BQ229" s="10">
        <v>-346876465</v>
      </c>
      <c r="BR229" s="3">
        <v>501600000</v>
      </c>
      <c r="BS229" s="3">
        <v>963765000</v>
      </c>
      <c r="BT229" s="3">
        <v>10640742</v>
      </c>
      <c r="BU229" s="3">
        <v>797160000</v>
      </c>
      <c r="BV229" s="3">
        <v>90525700</v>
      </c>
      <c r="BW229" s="3">
        <v>0</v>
      </c>
      <c r="BX229" s="3">
        <v>283516778</v>
      </c>
      <c r="BY229" s="3">
        <v>5829302</v>
      </c>
      <c r="BZ229" s="3">
        <v>134600000</v>
      </c>
      <c r="CA229" s="3">
        <v>-18000000</v>
      </c>
      <c r="CC229" s="4"/>
      <c r="CD229" s="14"/>
      <c r="CF229" s="10"/>
    </row>
    <row r="230" spans="66:84">
      <c r="BN230" s="4">
        <v>42088</v>
      </c>
      <c r="BO230" s="14">
        <v>1529845749</v>
      </c>
      <c r="BP230" s="3">
        <v>0</v>
      </c>
      <c r="BQ230" s="10">
        <v>182198885</v>
      </c>
      <c r="BR230" s="3">
        <v>277150000</v>
      </c>
      <c r="BS230" s="3">
        <v>706793200</v>
      </c>
      <c r="BT230" s="3">
        <v>50186000</v>
      </c>
      <c r="BU230" s="3">
        <v>44000000</v>
      </c>
      <c r="BV230" s="3">
        <v>239225615</v>
      </c>
      <c r="BW230" s="3">
        <v>0</v>
      </c>
      <c r="BX230" s="3">
        <v>14045319</v>
      </c>
      <c r="BY230" s="3">
        <v>6934708</v>
      </c>
      <c r="BZ230" s="3">
        <v>17812022</v>
      </c>
      <c r="CA230" s="3">
        <v>-8500000</v>
      </c>
      <c r="CC230" s="4"/>
      <c r="CD230" s="14"/>
      <c r="CF230" s="10"/>
    </row>
    <row r="231" spans="66:84">
      <c r="BN231" s="4">
        <v>42087</v>
      </c>
      <c r="BO231" s="14">
        <v>1004807588</v>
      </c>
      <c r="BP231" s="3">
        <v>0</v>
      </c>
      <c r="BQ231" s="10">
        <v>-50843270</v>
      </c>
      <c r="BR231" s="3">
        <v>264350000</v>
      </c>
      <c r="BS231" s="3">
        <v>558852753</v>
      </c>
      <c r="BT231" s="3">
        <v>98900000</v>
      </c>
      <c r="BU231" s="3">
        <v>227500000</v>
      </c>
      <c r="BV231" s="3">
        <v>-121105800</v>
      </c>
      <c r="BW231" s="3">
        <v>0</v>
      </c>
      <c r="BX231" s="3">
        <v>-18535742</v>
      </c>
      <c r="BY231" s="3">
        <v>3273812</v>
      </c>
      <c r="BZ231" s="3">
        <v>32695835</v>
      </c>
      <c r="CA231" s="3">
        <v>9720000</v>
      </c>
      <c r="CC231" s="4"/>
      <c r="CD231" s="14"/>
      <c r="CF231" s="10"/>
    </row>
    <row r="232" spans="66:84">
      <c r="BN232" s="4">
        <v>42086</v>
      </c>
      <c r="BO232" s="14">
        <v>1731550214</v>
      </c>
      <c r="BP232" s="3">
        <v>0</v>
      </c>
      <c r="BQ232" s="10">
        <v>238941405</v>
      </c>
      <c r="BR232" s="3">
        <v>462925000</v>
      </c>
      <c r="BS232" s="3">
        <v>484171176</v>
      </c>
      <c r="BT232" s="3">
        <v>149258089</v>
      </c>
      <c r="BU232" s="3">
        <v>310413607</v>
      </c>
      <c r="BV232" s="3">
        <v>127397410</v>
      </c>
      <c r="BW232" s="3">
        <v>0</v>
      </c>
      <c r="BX232" s="3">
        <v>-42074047</v>
      </c>
      <c r="BY232" s="3">
        <v>3282574</v>
      </c>
      <c r="BZ232" s="3">
        <v>6535000</v>
      </c>
      <c r="CA232" s="3">
        <v>-9300000</v>
      </c>
      <c r="CC232" s="4"/>
      <c r="CD232" s="14"/>
      <c r="CF232" s="10"/>
    </row>
    <row r="233" spans="66:84">
      <c r="BN233" s="4">
        <v>42083</v>
      </c>
      <c r="BO233" s="14">
        <v>550500478</v>
      </c>
      <c r="BP233" s="3">
        <v>0</v>
      </c>
      <c r="BQ233" s="10">
        <v>-267074825</v>
      </c>
      <c r="BR233" s="3">
        <v>255248382</v>
      </c>
      <c r="BS233" s="3">
        <v>385245154</v>
      </c>
      <c r="BT233" s="3">
        <v>142000</v>
      </c>
      <c r="BU233" s="3">
        <v>-53500000</v>
      </c>
      <c r="BV233" s="3">
        <v>145905984</v>
      </c>
      <c r="BW233" s="3">
        <v>0</v>
      </c>
      <c r="BX233" s="3">
        <v>30089061</v>
      </c>
      <c r="BY233" s="3">
        <v>13250324</v>
      </c>
      <c r="BZ233" s="3">
        <v>-14805602</v>
      </c>
      <c r="CA233" s="3">
        <v>56000000</v>
      </c>
      <c r="CC233" s="4"/>
      <c r="CD233" s="14"/>
      <c r="CF233" s="10"/>
    </row>
    <row r="234" spans="66:84">
      <c r="BN234" s="4">
        <v>42082</v>
      </c>
      <c r="BO234" s="14">
        <v>1510140012</v>
      </c>
      <c r="BP234" s="3">
        <v>0</v>
      </c>
      <c r="BQ234" s="10">
        <v>310101123</v>
      </c>
      <c r="BR234" s="3">
        <v>71176000</v>
      </c>
      <c r="BS234" s="3">
        <v>856553668</v>
      </c>
      <c r="BT234" s="3">
        <v>114036368</v>
      </c>
      <c r="BU234" s="3">
        <v>-58500000</v>
      </c>
      <c r="BV234" s="3">
        <v>38201830</v>
      </c>
      <c r="BW234" s="3">
        <v>0</v>
      </c>
      <c r="BX234" s="3">
        <v>-22047078</v>
      </c>
      <c r="BY234" s="3">
        <v>19133271</v>
      </c>
      <c r="BZ234" s="3">
        <v>179934830</v>
      </c>
      <c r="CA234" s="3">
        <v>1550000</v>
      </c>
      <c r="CC234" s="4"/>
      <c r="CD234" s="14"/>
      <c r="CF234" s="10"/>
    </row>
    <row r="235" spans="66:84">
      <c r="BN235" s="4">
        <v>42081</v>
      </c>
      <c r="BO235" s="14">
        <v>2083269948</v>
      </c>
      <c r="BP235" s="3">
        <v>0</v>
      </c>
      <c r="BQ235" s="10">
        <v>517346747</v>
      </c>
      <c r="BR235" s="3">
        <v>158490000</v>
      </c>
      <c r="BS235" s="3">
        <v>1146050000</v>
      </c>
      <c r="BT235" s="3">
        <v>40890000</v>
      </c>
      <c r="BU235" s="3">
        <v>-1850875</v>
      </c>
      <c r="BV235" s="3">
        <v>11697290</v>
      </c>
      <c r="BW235" s="3">
        <v>0</v>
      </c>
      <c r="BX235" s="3">
        <v>41708977</v>
      </c>
      <c r="BY235" s="3">
        <v>7657809</v>
      </c>
      <c r="BZ235" s="3">
        <v>113180000</v>
      </c>
      <c r="CA235" s="3">
        <v>48100000</v>
      </c>
      <c r="CC235" s="4"/>
      <c r="CD235" s="14"/>
      <c r="CF235" s="10"/>
    </row>
    <row r="236" spans="66:84">
      <c r="BN236" s="4">
        <v>42080</v>
      </c>
      <c r="BO236" s="14">
        <v>2878548382</v>
      </c>
      <c r="BP236" s="3">
        <v>0</v>
      </c>
      <c r="BQ236" s="10">
        <v>919317800</v>
      </c>
      <c r="BR236" s="3">
        <v>282190000</v>
      </c>
      <c r="BS236" s="3">
        <v>837850000</v>
      </c>
      <c r="BT236" s="3">
        <v>23390000</v>
      </c>
      <c r="BU236" s="3">
        <v>61500000</v>
      </c>
      <c r="BV236" s="3">
        <v>355515000</v>
      </c>
      <c r="BW236" s="3">
        <v>0</v>
      </c>
      <c r="BX236" s="3">
        <v>132927575</v>
      </c>
      <c r="BY236" s="3">
        <v>6002717</v>
      </c>
      <c r="BZ236" s="3">
        <v>198855290</v>
      </c>
      <c r="CA236" s="3">
        <v>61000000</v>
      </c>
      <c r="CC236" s="4"/>
      <c r="CD236" s="14"/>
      <c r="CF236" s="10"/>
    </row>
    <row r="237" spans="66:84">
      <c r="BN237" s="4">
        <v>42079</v>
      </c>
      <c r="BO237" s="14">
        <v>2421752483</v>
      </c>
      <c r="BP237" s="3">
        <v>0</v>
      </c>
      <c r="BQ237" s="10">
        <v>-104946501</v>
      </c>
      <c r="BR237" s="3">
        <v>165900000</v>
      </c>
      <c r="BS237" s="3">
        <v>2147943001</v>
      </c>
      <c r="BT237" s="3">
        <v>41722987</v>
      </c>
      <c r="BU237" s="3">
        <v>91300000</v>
      </c>
      <c r="BV237" s="3">
        <v>-69573590</v>
      </c>
      <c r="BW237" s="3">
        <v>0</v>
      </c>
      <c r="BX237" s="3">
        <v>64471685</v>
      </c>
      <c r="BY237" s="3">
        <v>1226195</v>
      </c>
      <c r="BZ237" s="3">
        <v>76708706</v>
      </c>
      <c r="CA237" s="3">
        <v>7000000</v>
      </c>
      <c r="CC237" s="4"/>
      <c r="CD237" s="14"/>
      <c r="CF237" s="10"/>
    </row>
    <row r="238" spans="66:84">
      <c r="BN238" s="4">
        <v>42076</v>
      </c>
      <c r="BO238" s="14">
        <v>1548671927</v>
      </c>
      <c r="BP238" s="3">
        <v>0</v>
      </c>
      <c r="BQ238" s="10">
        <v>-575458740</v>
      </c>
      <c r="BR238" s="3">
        <v>517079000</v>
      </c>
      <c r="BS238" s="3">
        <v>890160000</v>
      </c>
      <c r="BT238" s="3">
        <v>105995064</v>
      </c>
      <c r="BU238" s="3">
        <v>157025326</v>
      </c>
      <c r="BV238" s="3">
        <v>71257350</v>
      </c>
      <c r="BW238" s="3">
        <v>0</v>
      </c>
      <c r="BX238" s="3">
        <v>319464664</v>
      </c>
      <c r="BY238" s="3">
        <v>15648800</v>
      </c>
      <c r="BZ238" s="3">
        <v>57500463</v>
      </c>
      <c r="CA238" s="3">
        <v>-10000000</v>
      </c>
      <c r="CC238" s="4"/>
      <c r="CD238" s="14"/>
      <c r="CF238" s="10"/>
    </row>
    <row r="239" spans="66:84">
      <c r="BN239" s="4">
        <v>42075</v>
      </c>
      <c r="BO239" s="14">
        <v>2326098872</v>
      </c>
      <c r="BP239" s="3">
        <v>0</v>
      </c>
      <c r="BQ239" s="10">
        <v>375947860</v>
      </c>
      <c r="BR239" s="3">
        <v>255760000</v>
      </c>
      <c r="BS239" s="3">
        <v>1232480000</v>
      </c>
      <c r="BT239" s="3">
        <v>97944320</v>
      </c>
      <c r="BU239" s="3">
        <v>82200000</v>
      </c>
      <c r="BV239" s="3">
        <v>166816500</v>
      </c>
      <c r="BW239" s="3">
        <v>0</v>
      </c>
      <c r="BX239" s="3">
        <v>96145363</v>
      </c>
      <c r="BY239" s="3">
        <v>5697829</v>
      </c>
      <c r="BZ239" s="3">
        <v>40307000</v>
      </c>
      <c r="CA239" s="3">
        <v>-27200000</v>
      </c>
      <c r="CC239" s="4"/>
      <c r="CD239" s="14"/>
      <c r="CF239" s="10"/>
    </row>
    <row r="240" spans="66:84">
      <c r="BN240" s="4">
        <v>42074</v>
      </c>
      <c r="BO240" s="14">
        <v>355361382</v>
      </c>
      <c r="BP240" s="3">
        <v>0</v>
      </c>
      <c r="BQ240" s="10">
        <v>-753116903</v>
      </c>
      <c r="BR240" s="3">
        <v>-125171000</v>
      </c>
      <c r="BS240" s="3">
        <v>1400574000</v>
      </c>
      <c r="BT240" s="3">
        <v>-14223031</v>
      </c>
      <c r="BU240" s="3">
        <v>-376500000</v>
      </c>
      <c r="BV240" s="3">
        <v>137549720</v>
      </c>
      <c r="BW240" s="3">
        <v>0</v>
      </c>
      <c r="BX240" s="3">
        <v>4902864</v>
      </c>
      <c r="BY240" s="3">
        <v>3161391</v>
      </c>
      <c r="BZ240" s="3">
        <v>84384341</v>
      </c>
      <c r="CA240" s="3">
        <v>-6200000</v>
      </c>
      <c r="CC240" s="4"/>
      <c r="CD240" s="14"/>
      <c r="CF240" s="10"/>
    </row>
    <row r="241" spans="66:84">
      <c r="BN241" s="4">
        <v>42073</v>
      </c>
      <c r="BO241" s="14">
        <v>1189595535</v>
      </c>
      <c r="BP241" s="3">
        <v>0</v>
      </c>
      <c r="BQ241" s="10">
        <v>-222729495</v>
      </c>
      <c r="BR241" s="3">
        <v>119200000</v>
      </c>
      <c r="BS241" s="3">
        <v>657070000</v>
      </c>
      <c r="BT241" s="3">
        <v>31420068</v>
      </c>
      <c r="BU241" s="3">
        <v>44000000</v>
      </c>
      <c r="BV241" s="3">
        <v>307555700</v>
      </c>
      <c r="BW241" s="3">
        <v>0</v>
      </c>
      <c r="BX241" s="3">
        <v>111044032</v>
      </c>
      <c r="BY241" s="3">
        <v>68400053</v>
      </c>
      <c r="BZ241" s="3">
        <v>63635177</v>
      </c>
      <c r="CA241" s="3">
        <v>10000000</v>
      </c>
      <c r="CC241" s="4"/>
      <c r="CD241" s="14"/>
      <c r="CF241" s="10"/>
    </row>
    <row r="242" spans="66:84">
      <c r="BN242" s="4">
        <v>42072</v>
      </c>
      <c r="BO242" s="14">
        <v>1953142663</v>
      </c>
      <c r="BP242" s="3">
        <v>0</v>
      </c>
      <c r="BQ242" s="10">
        <v>-460303160</v>
      </c>
      <c r="BR242" s="3">
        <v>460705726</v>
      </c>
      <c r="BS242" s="3">
        <v>1045778905</v>
      </c>
      <c r="BT242" s="3">
        <v>109077793</v>
      </c>
      <c r="BU242" s="3">
        <v>302190000</v>
      </c>
      <c r="BV242" s="3">
        <v>593063000</v>
      </c>
      <c r="BW242" s="3">
        <v>0</v>
      </c>
      <c r="BX242" s="3">
        <v>-131178133</v>
      </c>
      <c r="BY242" s="3">
        <v>4207353</v>
      </c>
      <c r="BZ242" s="3">
        <v>69601179</v>
      </c>
      <c r="CA242" s="3">
        <v>-40000000</v>
      </c>
      <c r="CC242" s="4"/>
      <c r="CD242" s="14"/>
      <c r="CF242" s="10"/>
    </row>
    <row r="243" spans="66:84">
      <c r="BN243" s="4">
        <v>42069</v>
      </c>
      <c r="BO243" s="14">
        <v>402432999</v>
      </c>
      <c r="BP243" s="3">
        <v>0</v>
      </c>
      <c r="BQ243" s="10">
        <v>-729204415</v>
      </c>
      <c r="BR243" s="3">
        <v>83968901</v>
      </c>
      <c r="BS243" s="3">
        <v>777940000</v>
      </c>
      <c r="BT243" s="3">
        <v>61472720</v>
      </c>
      <c r="BU243" s="3">
        <v>-86500000</v>
      </c>
      <c r="BV243" s="3">
        <v>173830050</v>
      </c>
      <c r="BW243" s="3">
        <v>0</v>
      </c>
      <c r="BX243" s="3">
        <v>14781000</v>
      </c>
      <c r="BY243" s="3">
        <v>2932866</v>
      </c>
      <c r="BZ243" s="3">
        <v>86711877</v>
      </c>
      <c r="CA243" s="3">
        <v>16500000</v>
      </c>
      <c r="CC243" s="4"/>
      <c r="CD243" s="14"/>
      <c r="CF243" s="10"/>
    </row>
    <row r="244" spans="66:84">
      <c r="BN244" s="4">
        <v>42068</v>
      </c>
      <c r="BO244" s="14">
        <v>3137566271</v>
      </c>
      <c r="BP244" s="3">
        <v>0</v>
      </c>
      <c r="BQ244" s="10">
        <v>438188490</v>
      </c>
      <c r="BR244" s="3">
        <v>288638250</v>
      </c>
      <c r="BS244" s="3">
        <v>1723188000</v>
      </c>
      <c r="BT244" s="3">
        <v>104500000</v>
      </c>
      <c r="BU244" s="3">
        <v>270100000</v>
      </c>
      <c r="BV244" s="3">
        <v>47361040</v>
      </c>
      <c r="BW244" s="3">
        <v>0</v>
      </c>
      <c r="BX244" s="3">
        <v>24041230</v>
      </c>
      <c r="BY244" s="3">
        <v>3248761</v>
      </c>
      <c r="BZ244" s="3">
        <v>269500500</v>
      </c>
      <c r="CA244" s="3">
        <v>-31200000</v>
      </c>
      <c r="CC244" s="4"/>
      <c r="CD244" s="14"/>
      <c r="CF244" s="10"/>
    </row>
    <row r="245" spans="66:84">
      <c r="BN245" s="4">
        <v>42067</v>
      </c>
      <c r="BO245" s="14">
        <v>2877632690</v>
      </c>
      <c r="BP245" s="3">
        <v>0</v>
      </c>
      <c r="BQ245" s="10">
        <v>792426840</v>
      </c>
      <c r="BR245" s="3">
        <v>422640000</v>
      </c>
      <c r="BS245" s="3">
        <v>1026338000</v>
      </c>
      <c r="BT245" s="3">
        <v>16300000</v>
      </c>
      <c r="BU245" s="3">
        <v>355310000</v>
      </c>
      <c r="BV245" s="3">
        <v>34137460</v>
      </c>
      <c r="BW245" s="3">
        <v>0</v>
      </c>
      <c r="BX245" s="3">
        <v>98402218</v>
      </c>
      <c r="BY245" s="3">
        <v>6478172</v>
      </c>
      <c r="BZ245" s="3">
        <v>124600000</v>
      </c>
      <c r="CA245" s="3">
        <v>1000000</v>
      </c>
      <c r="CC245" s="4"/>
      <c r="CD245" s="14"/>
      <c r="CF245" s="10"/>
    </row>
    <row r="246" spans="66:84">
      <c r="BN246" s="4">
        <v>42066</v>
      </c>
      <c r="BO246" s="14">
        <v>1128507346</v>
      </c>
      <c r="BP246" s="3">
        <v>0</v>
      </c>
      <c r="BQ246" s="10">
        <v>-266875960</v>
      </c>
      <c r="BR246" s="3">
        <v>517342000</v>
      </c>
      <c r="BS246" s="3">
        <v>425832240</v>
      </c>
      <c r="BT246" s="3">
        <v>-672000</v>
      </c>
      <c r="BU246" s="3">
        <v>243500000</v>
      </c>
      <c r="BV246" s="3">
        <v>-106566960</v>
      </c>
      <c r="BW246" s="3">
        <v>0</v>
      </c>
      <c r="BX246" s="3">
        <v>221318886</v>
      </c>
      <c r="BY246" s="3">
        <v>3996860</v>
      </c>
      <c r="BZ246" s="3">
        <v>50832280</v>
      </c>
      <c r="CA246" s="3">
        <v>39800000</v>
      </c>
      <c r="CC246" s="4"/>
      <c r="CD246" s="14"/>
      <c r="CF246" s="10"/>
    </row>
    <row r="247" spans="66:84">
      <c r="BN247" s="4">
        <v>42065</v>
      </c>
      <c r="BO247" s="14">
        <v>767240059</v>
      </c>
      <c r="BP247" s="3">
        <v>0</v>
      </c>
      <c r="BQ247" s="10">
        <v>-464171352</v>
      </c>
      <c r="BR247" s="3">
        <v>-76150000</v>
      </c>
      <c r="BS247" s="3">
        <v>859037909</v>
      </c>
      <c r="BT247" s="3">
        <v>-4400000</v>
      </c>
      <c r="BU247" s="3">
        <v>-9038255</v>
      </c>
      <c r="BV247" s="3">
        <v>366738000</v>
      </c>
      <c r="BW247" s="3">
        <v>0</v>
      </c>
      <c r="BX247" s="3">
        <v>38495849</v>
      </c>
      <c r="BY247" s="3">
        <v>3255003</v>
      </c>
      <c r="BZ247" s="3">
        <v>11372905</v>
      </c>
      <c r="CA247" s="3">
        <v>42100000</v>
      </c>
      <c r="CC247" s="4"/>
      <c r="CD247" s="14"/>
      <c r="CF247" s="10"/>
    </row>
    <row r="248" spans="66:84">
      <c r="BN248" s="4">
        <v>42062</v>
      </c>
      <c r="BO248" s="14">
        <v>1402950673</v>
      </c>
      <c r="BP248" s="3">
        <v>0</v>
      </c>
      <c r="BQ248" s="10">
        <v>-379480110</v>
      </c>
      <c r="BR248" s="3">
        <v>433104651</v>
      </c>
      <c r="BS248" s="3">
        <v>764460000</v>
      </c>
      <c r="BT248" s="3">
        <v>-8700000</v>
      </c>
      <c r="BU248" s="3">
        <v>177926583</v>
      </c>
      <c r="BV248" s="3">
        <v>308352580</v>
      </c>
      <c r="BW248" s="3">
        <v>0</v>
      </c>
      <c r="BX248" s="3">
        <v>-33004592</v>
      </c>
      <c r="BY248" s="3">
        <v>2144543</v>
      </c>
      <c r="BZ248" s="3">
        <v>153247018</v>
      </c>
      <c r="CA248" s="3">
        <v>-15100000</v>
      </c>
      <c r="CC248" s="4"/>
      <c r="CD248" s="14"/>
      <c r="CF248" s="10"/>
    </row>
    <row r="249" spans="66:84">
      <c r="BN249" s="4">
        <v>42061</v>
      </c>
      <c r="BO249" s="14">
        <v>1760075717</v>
      </c>
      <c r="BP249" s="3">
        <v>0</v>
      </c>
      <c r="BQ249" s="10">
        <v>27725465</v>
      </c>
      <c r="BR249" s="3">
        <v>159633000</v>
      </c>
      <c r="BS249" s="3">
        <v>1352567000</v>
      </c>
      <c r="BT249" s="3">
        <v>94393223</v>
      </c>
      <c r="BU249" s="3">
        <v>18300000</v>
      </c>
      <c r="BV249" s="3">
        <v>-53772470</v>
      </c>
      <c r="BW249" s="3">
        <v>0</v>
      </c>
      <c r="BX249" s="3">
        <v>57013190</v>
      </c>
      <c r="BY249" s="3">
        <v>5733309</v>
      </c>
      <c r="BZ249" s="3">
        <v>96583000</v>
      </c>
      <c r="CA249" s="3">
        <v>1900000</v>
      </c>
      <c r="CC249" s="4"/>
      <c r="CD249" s="14"/>
      <c r="CF249" s="10"/>
    </row>
    <row r="250" spans="66:84">
      <c r="BN250" s="4">
        <v>42060</v>
      </c>
      <c r="BO250" s="14">
        <v>1435645980</v>
      </c>
      <c r="BP250" s="3">
        <v>0</v>
      </c>
      <c r="BQ250" s="10">
        <v>-471115534</v>
      </c>
      <c r="BR250" s="3">
        <v>192910000</v>
      </c>
      <c r="BS250" s="3">
        <v>1354511393</v>
      </c>
      <c r="BT250" s="3">
        <v>-17345000</v>
      </c>
      <c r="BU250" s="3">
        <v>74900000</v>
      </c>
      <c r="BV250" s="3">
        <v>50262560</v>
      </c>
      <c r="BW250" s="3">
        <v>0</v>
      </c>
      <c r="BX250" s="3">
        <v>158188577</v>
      </c>
      <c r="BY250" s="3">
        <v>5633418</v>
      </c>
      <c r="BZ250" s="3">
        <v>51912717</v>
      </c>
      <c r="CA250" s="3">
        <v>35787849</v>
      </c>
      <c r="CC250" s="4"/>
      <c r="CD250" s="14"/>
      <c r="CF250" s="10"/>
    </row>
    <row r="251" spans="66:84">
      <c r="BN251" s="4">
        <v>42059</v>
      </c>
      <c r="BO251" s="14">
        <v>2206714954</v>
      </c>
      <c r="BP251" s="3">
        <v>0</v>
      </c>
      <c r="BQ251" s="10">
        <v>68318320</v>
      </c>
      <c r="BR251" s="3">
        <v>122700000</v>
      </c>
      <c r="BS251" s="3">
        <v>1524855000</v>
      </c>
      <c r="BT251" s="3">
        <v>15519673</v>
      </c>
      <c r="BU251" s="3">
        <v>188199990</v>
      </c>
      <c r="BV251" s="3">
        <v>129790000</v>
      </c>
      <c r="BW251" s="3">
        <v>0</v>
      </c>
      <c r="BX251" s="3">
        <v>141034055</v>
      </c>
      <c r="BY251" s="3">
        <v>9797916</v>
      </c>
      <c r="BZ251" s="3">
        <v>1500000</v>
      </c>
      <c r="CA251" s="3">
        <v>5000000</v>
      </c>
      <c r="CC251" s="4"/>
      <c r="CD251" s="14"/>
      <c r="CF251" s="10"/>
    </row>
    <row r="252" spans="66:84">
      <c r="BN252" s="4">
        <v>42058</v>
      </c>
      <c r="BO252" s="14">
        <v>1636080725</v>
      </c>
      <c r="BP252" s="3">
        <v>0</v>
      </c>
      <c r="BQ252" s="10">
        <v>171322425</v>
      </c>
      <c r="BR252" s="3">
        <v>490600000</v>
      </c>
      <c r="BS252" s="3">
        <v>717881600</v>
      </c>
      <c r="BT252" s="3">
        <v>-19800000</v>
      </c>
      <c r="BU252" s="3">
        <v>258000000</v>
      </c>
      <c r="BV252" s="3">
        <v>118994950</v>
      </c>
      <c r="BW252" s="3">
        <v>0</v>
      </c>
      <c r="BX252" s="3">
        <v>-136226657</v>
      </c>
      <c r="BY252" s="3">
        <v>11697594</v>
      </c>
      <c r="BZ252" s="3">
        <v>13794413</v>
      </c>
      <c r="CA252" s="3">
        <v>9816400</v>
      </c>
      <c r="CC252" s="4"/>
      <c r="CD252" s="14"/>
      <c r="CF252" s="10"/>
    </row>
    <row r="253" spans="66:84">
      <c r="BN253" s="4">
        <v>42052</v>
      </c>
      <c r="BO253" s="14">
        <v>1083844962</v>
      </c>
      <c r="BP253" s="3">
        <v>0</v>
      </c>
      <c r="BQ253" s="10">
        <v>111143020</v>
      </c>
      <c r="BR253" s="3">
        <v>5878000</v>
      </c>
      <c r="BS253" s="3">
        <v>812160000</v>
      </c>
      <c r="BT253" s="3">
        <v>3600000</v>
      </c>
      <c r="BU253" s="3">
        <v>-64290000</v>
      </c>
      <c r="BV253" s="3">
        <v>72883920</v>
      </c>
      <c r="BW253" s="3">
        <v>0</v>
      </c>
      <c r="BX253" s="3">
        <v>97968973</v>
      </c>
      <c r="BY253" s="3">
        <v>8954424</v>
      </c>
      <c r="BZ253" s="3">
        <v>36756625</v>
      </c>
      <c r="CA253" s="3">
        <v>-1210000</v>
      </c>
      <c r="CC253" s="4"/>
      <c r="CD253" s="14"/>
      <c r="CF253" s="10"/>
    </row>
    <row r="254" spans="66:84">
      <c r="BN254" s="4"/>
      <c r="BO254" s="14"/>
      <c r="BQ254" s="10"/>
      <c r="CC254" s="4"/>
      <c r="CD254" s="14"/>
      <c r="CF254" s="10"/>
    </row>
    <row r="255" spans="66:84">
      <c r="BN255" s="4"/>
      <c r="BO255" s="14"/>
      <c r="BQ255" s="10"/>
      <c r="CC255" s="4"/>
      <c r="CD255" s="14"/>
      <c r="CF255" s="10"/>
    </row>
    <row r="256" spans="66:84">
      <c r="BN256" s="4"/>
      <c r="BO256" s="14"/>
      <c r="BQ256" s="10"/>
      <c r="CC256" s="4"/>
      <c r="CD256" s="14"/>
      <c r="CF256" s="10"/>
    </row>
    <row r="257" spans="66:84">
      <c r="BN257" s="4"/>
      <c r="BO257" s="4"/>
      <c r="BQ257" s="4"/>
      <c r="CC257" s="4"/>
      <c r="CD257" s="4"/>
      <c r="CF257" s="4"/>
    </row>
    <row r="258" spans="66:84">
      <c r="BN258" s="4"/>
      <c r="BO258" s="4"/>
      <c r="BQ258" s="4"/>
      <c r="CC258" s="4"/>
      <c r="CD258" s="4"/>
      <c r="CF258" s="4"/>
    </row>
    <row r="259" spans="66:84">
      <c r="BN259" s="4"/>
      <c r="BO259" s="4"/>
      <c r="BQ259" s="4"/>
      <c r="CC259" s="4"/>
      <c r="CD259" s="4"/>
      <c r="CF259" s="4"/>
    </row>
    <row r="260" spans="66:84">
      <c r="BN260" s="4"/>
      <c r="BO260" s="4"/>
      <c r="BQ260" s="4"/>
      <c r="CC260" s="4"/>
      <c r="CD260" s="4"/>
      <c r="CF260" s="4"/>
    </row>
    <row r="261" spans="66:84">
      <c r="BN261" s="4"/>
      <c r="BO261" s="4"/>
      <c r="BQ261" s="4"/>
      <c r="CC261" s="4"/>
      <c r="CD261" s="4"/>
      <c r="CF261" s="4"/>
    </row>
    <row r="262" spans="66:84">
      <c r="BN262" s="4"/>
      <c r="BO262" s="4"/>
      <c r="BQ262" s="4"/>
      <c r="CC262" s="4"/>
      <c r="CD262" s="4"/>
      <c r="CF262" s="4"/>
    </row>
    <row r="263" spans="66:84">
      <c r="BN263" s="4"/>
      <c r="BO263" s="4"/>
      <c r="BQ263" s="4"/>
      <c r="CC263" s="4"/>
      <c r="CD263" s="4"/>
      <c r="CF263" s="4"/>
    </row>
    <row r="264" spans="66:84">
      <c r="BN264" s="4"/>
      <c r="BO264" s="4"/>
      <c r="BQ264" s="4"/>
      <c r="CC264" s="4"/>
      <c r="CD264" s="4"/>
      <c r="CF264" s="4"/>
    </row>
    <row r="265" spans="66:84">
      <c r="BN265" s="4"/>
      <c r="BO265" s="4"/>
      <c r="BQ265" s="4"/>
      <c r="CC265" s="4"/>
      <c r="CD265" s="4"/>
      <c r="CF265" s="4"/>
    </row>
    <row r="266" spans="66:84">
      <c r="BN266" s="4"/>
      <c r="BO266" s="4"/>
      <c r="BQ266" s="4"/>
      <c r="CC266" s="4"/>
      <c r="CD266" s="4"/>
      <c r="CF266" s="4"/>
    </row>
    <row r="267" spans="66:84">
      <c r="BN267" s="4"/>
      <c r="BO267" s="4"/>
      <c r="BQ267" s="4"/>
      <c r="CC267" s="4"/>
      <c r="CD267" s="4"/>
      <c r="CF267" s="4"/>
    </row>
    <row r="268" spans="66:84">
      <c r="BN268" s="4"/>
      <c r="BO268" s="4"/>
      <c r="BQ268" s="4"/>
      <c r="CC268" s="4"/>
      <c r="CD268" s="4"/>
      <c r="CF268" s="4"/>
    </row>
    <row r="269" spans="66:84">
      <c r="BN269" s="4"/>
      <c r="BO269" s="4"/>
      <c r="BQ269" s="4"/>
      <c r="CC269" s="4"/>
      <c r="CD269" s="4"/>
      <c r="CF269" s="4"/>
    </row>
    <row r="270" spans="66:84">
      <c r="BN270" s="4"/>
      <c r="BO270" s="4"/>
      <c r="BQ270" s="4"/>
      <c r="CC270" s="4"/>
      <c r="CD270" s="4"/>
      <c r="CF270" s="4"/>
    </row>
    <row r="271" spans="66:84">
      <c r="BN271" s="4"/>
      <c r="BO271" s="4"/>
      <c r="BQ271" s="4"/>
      <c r="CC271" s="4"/>
      <c r="CD271" s="4"/>
      <c r="CF271" s="4"/>
    </row>
    <row r="272" spans="66:84">
      <c r="BN272" s="4"/>
      <c r="BO272" s="4"/>
      <c r="BQ272" s="4"/>
      <c r="CC272" s="4"/>
      <c r="CD272" s="4"/>
      <c r="CF272" s="4"/>
    </row>
    <row r="273" spans="66:84">
      <c r="BN273" s="4"/>
      <c r="BO273" s="4"/>
      <c r="BQ273" s="4"/>
      <c r="CC273" s="4"/>
      <c r="CD273" s="4"/>
      <c r="CF273" s="4"/>
    </row>
    <row r="274" spans="66:84">
      <c r="BN274" s="4"/>
      <c r="BO274" s="4"/>
      <c r="BQ274" s="4"/>
      <c r="CC274" s="4"/>
      <c r="CD274" s="4"/>
      <c r="CF274" s="4"/>
    </row>
    <row r="275" spans="66:84">
      <c r="BN275" s="4"/>
      <c r="BO275" s="4"/>
      <c r="BQ275" s="4"/>
      <c r="CC275" s="4"/>
      <c r="CD275" s="4"/>
      <c r="CF275" s="4"/>
    </row>
    <row r="276" spans="66:84">
      <c r="BN276" s="4"/>
      <c r="BO276" s="4"/>
      <c r="BQ276" s="4"/>
      <c r="CC276" s="4"/>
      <c r="CD276" s="4"/>
      <c r="CF276" s="4"/>
    </row>
    <row r="277" spans="66:84">
      <c r="BN277" s="4"/>
      <c r="BO277" s="4"/>
      <c r="BQ277" s="4"/>
      <c r="CC277" s="4"/>
      <c r="CD277" s="4"/>
      <c r="CF277" s="4"/>
    </row>
    <row r="278" spans="66:84">
      <c r="BN278" s="4"/>
      <c r="BO278" s="4"/>
      <c r="BQ278" s="4"/>
      <c r="CC278" s="4"/>
      <c r="CD278" s="4"/>
      <c r="CF278" s="4"/>
    </row>
    <row r="279" spans="66:84">
      <c r="BN279" s="4"/>
      <c r="BO279" s="4"/>
      <c r="BQ279" s="4"/>
      <c r="CC279" s="4"/>
      <c r="CD279" s="4"/>
      <c r="CF279" s="4"/>
    </row>
    <row r="280" spans="66:84">
      <c r="BN280" s="4"/>
      <c r="BO280" s="4"/>
      <c r="BQ280" s="4"/>
      <c r="CC280" s="4"/>
      <c r="CD280" s="4"/>
      <c r="CF280" s="4"/>
    </row>
    <row r="281" spans="66:84">
      <c r="BN281" s="4"/>
      <c r="BO281" s="4"/>
      <c r="BQ281" s="4"/>
      <c r="CC281" s="4"/>
      <c r="CD281" s="4"/>
      <c r="CF281" s="4"/>
    </row>
    <row r="282" spans="66:84">
      <c r="BN282" s="4"/>
      <c r="BO282" s="4"/>
      <c r="BQ282" s="4"/>
      <c r="CC282" s="4"/>
      <c r="CD282" s="4"/>
      <c r="CF282" s="4"/>
    </row>
    <row r="283" spans="66:84">
      <c r="BN283" s="4"/>
      <c r="BO283" s="4"/>
      <c r="BQ283" s="4"/>
      <c r="CC283" s="4"/>
      <c r="CD283" s="4"/>
      <c r="CF283" s="4"/>
    </row>
    <row r="284" spans="66:84">
      <c r="BN284" s="4"/>
      <c r="BO284" s="4"/>
      <c r="BQ284" s="4"/>
      <c r="CC284" s="4"/>
      <c r="CD284" s="4"/>
      <c r="CF284" s="4"/>
    </row>
    <row r="285" spans="66:84">
      <c r="BN285" s="4"/>
      <c r="BO285" s="4"/>
      <c r="BQ285" s="4"/>
      <c r="CC285" s="4"/>
      <c r="CD285" s="4"/>
      <c r="CF285" s="4"/>
    </row>
    <row r="286" spans="66:84">
      <c r="BN286" s="4"/>
      <c r="BO286" s="4"/>
      <c r="BQ286" s="4"/>
      <c r="CC286" s="4"/>
      <c r="CD286" s="4"/>
      <c r="CF286" s="4"/>
    </row>
    <row r="287" spans="66:84">
      <c r="BN287" s="4"/>
      <c r="BO287" s="4"/>
      <c r="BQ287" s="4"/>
      <c r="CC287" s="4"/>
      <c r="CD287" s="4"/>
      <c r="CF287" s="4"/>
    </row>
    <row r="288" spans="66:84">
      <c r="BN288" s="4"/>
      <c r="BO288" s="4"/>
      <c r="BQ288" s="4"/>
      <c r="CC288" s="4"/>
      <c r="CD288" s="4"/>
      <c r="CF288" s="4"/>
    </row>
    <row r="289" spans="66:84">
      <c r="BN289" s="4"/>
      <c r="BO289" s="4"/>
      <c r="BQ289" s="4"/>
      <c r="CC289" s="4"/>
      <c r="CD289" s="4"/>
      <c r="CF289" s="4"/>
    </row>
    <row r="290" spans="66:84">
      <c r="BN290" s="4"/>
      <c r="BO290" s="4"/>
      <c r="BQ290" s="4"/>
      <c r="CC290" s="4"/>
      <c r="CD290" s="4"/>
      <c r="CF290" s="4"/>
    </row>
    <row r="291" spans="66:84">
      <c r="BN291" s="4"/>
      <c r="BO291" s="4"/>
      <c r="BQ291" s="4"/>
      <c r="CC291" s="4"/>
      <c r="CD291" s="4"/>
      <c r="CF291" s="4"/>
    </row>
    <row r="292" spans="66:84">
      <c r="BN292" s="4"/>
      <c r="BO292" s="4"/>
      <c r="BQ292" s="4"/>
      <c r="CC292" s="4"/>
      <c r="CD292" s="4"/>
      <c r="CF292" s="4"/>
    </row>
    <row r="293" spans="66:84">
      <c r="BN293" s="4"/>
      <c r="BO293" s="4"/>
      <c r="BQ293" s="4"/>
      <c r="CC293" s="4"/>
      <c r="CD293" s="4"/>
      <c r="CF293" s="4"/>
    </row>
    <row r="294" spans="66:84">
      <c r="BN294" s="4"/>
      <c r="BO294" s="4"/>
      <c r="BQ294" s="4"/>
      <c r="CC294" s="4"/>
      <c r="CD294" s="4"/>
      <c r="CF294" s="4"/>
    </row>
    <row r="295" spans="66:84">
      <c r="BN295" s="4"/>
      <c r="BO295" s="4"/>
      <c r="BQ295" s="4"/>
      <c r="CC295" s="4"/>
      <c r="CD295" s="4"/>
      <c r="CF295" s="4"/>
    </row>
    <row r="296" spans="66:84">
      <c r="BN296" s="4"/>
      <c r="BO296" s="4"/>
      <c r="BQ296" s="4"/>
      <c r="CC296" s="4"/>
      <c r="CD296" s="4"/>
      <c r="CF296" s="4"/>
    </row>
    <row r="297" spans="66:84">
      <c r="BN297" s="4"/>
      <c r="BO297" s="4"/>
      <c r="BQ297" s="4"/>
      <c r="CC297" s="4"/>
      <c r="CD297" s="4"/>
      <c r="CF297" s="4"/>
    </row>
    <row r="298" spans="66:84">
      <c r="BN298" s="4"/>
      <c r="BO298" s="4"/>
      <c r="BQ298" s="4"/>
      <c r="CC298" s="4"/>
      <c r="CD298" s="4"/>
      <c r="CF298" s="4"/>
    </row>
    <row r="299" spans="66:84">
      <c r="BN299" s="4"/>
      <c r="BO299" s="4"/>
      <c r="BQ299" s="4"/>
      <c r="CC299" s="4"/>
      <c r="CD299" s="4"/>
      <c r="CF299" s="4"/>
    </row>
    <row r="300" spans="66:84">
      <c r="BN300" s="4"/>
      <c r="BO300" s="4"/>
      <c r="BQ300" s="4"/>
      <c r="CC300" s="4"/>
      <c r="CD300" s="4"/>
      <c r="CF300" s="4"/>
    </row>
    <row r="301" spans="66:84">
      <c r="BN301" s="4"/>
      <c r="BO301" s="4"/>
      <c r="BQ301" s="4"/>
      <c r="CC301" s="4"/>
      <c r="CD301" s="4"/>
      <c r="CF301" s="4"/>
    </row>
    <row r="302" spans="66:84">
      <c r="BN302" s="4"/>
      <c r="BO302" s="4"/>
      <c r="BQ302" s="4"/>
      <c r="CC302" s="4"/>
      <c r="CD302" s="4"/>
      <c r="CF302" s="4"/>
    </row>
    <row r="303" spans="66:84">
      <c r="BN303" s="4"/>
      <c r="BO303" s="4"/>
      <c r="BQ303" s="4"/>
      <c r="CC303" s="4"/>
      <c r="CD303" s="4"/>
      <c r="CF303" s="4"/>
    </row>
    <row r="304" spans="66:84">
      <c r="BN304" s="4"/>
      <c r="BO304" s="4"/>
      <c r="BQ304" s="4"/>
      <c r="CC304" s="4"/>
      <c r="CD304" s="4"/>
      <c r="CF304" s="4"/>
    </row>
    <row r="305" spans="66:84">
      <c r="BN305" s="4"/>
      <c r="BO305" s="4"/>
      <c r="BQ305" s="4"/>
      <c r="CC305" s="4"/>
      <c r="CD305" s="4"/>
      <c r="CF305" s="4"/>
    </row>
    <row r="306" spans="66:84">
      <c r="BN306" s="4"/>
      <c r="BO306" s="4"/>
      <c r="BQ306" s="4"/>
      <c r="CC306" s="4"/>
      <c r="CD306" s="4"/>
      <c r="CF306" s="4"/>
    </row>
    <row r="307" spans="66:84">
      <c r="BN307" s="4"/>
      <c r="BO307" s="4"/>
      <c r="BQ307" s="4"/>
      <c r="CC307" s="4"/>
      <c r="CD307" s="4"/>
      <c r="CF307" s="4"/>
    </row>
    <row r="308" spans="66:84">
      <c r="BN308" s="4"/>
      <c r="BO308" s="4"/>
      <c r="BQ308" s="4"/>
      <c r="CC308" s="4"/>
      <c r="CD308" s="4"/>
      <c r="CF308" s="4"/>
    </row>
    <row r="309" spans="66:84">
      <c r="BN309" s="4"/>
      <c r="BO309" s="4"/>
      <c r="BQ309" s="4"/>
      <c r="CC309" s="4"/>
      <c r="CD309" s="4"/>
      <c r="CF309" s="4"/>
    </row>
    <row r="310" spans="66:84">
      <c r="BN310" s="4"/>
      <c r="BO310" s="4"/>
      <c r="BQ310" s="4"/>
      <c r="CC310" s="4"/>
      <c r="CD310" s="4"/>
      <c r="CF310" s="4"/>
    </row>
    <row r="311" spans="66:84">
      <c r="BN311" s="4"/>
      <c r="BO311" s="4"/>
      <c r="BQ311" s="4"/>
      <c r="CC311" s="4"/>
      <c r="CD311" s="4"/>
      <c r="CF311" s="4"/>
    </row>
    <row r="312" spans="66:84">
      <c r="BN312" s="4"/>
      <c r="BO312" s="4"/>
      <c r="BQ312" s="4"/>
      <c r="CC312" s="4"/>
      <c r="CD312" s="4"/>
      <c r="CF312" s="4"/>
    </row>
    <row r="313" spans="66:84">
      <c r="BN313" s="4"/>
      <c r="BO313" s="4"/>
      <c r="BQ313" s="4"/>
      <c r="CC313" s="4"/>
      <c r="CD313" s="4"/>
      <c r="CF313" s="4"/>
    </row>
    <row r="314" spans="66:84">
      <c r="BN314" s="4"/>
      <c r="BO314" s="4"/>
      <c r="BQ314" s="4"/>
      <c r="CC314" s="4"/>
      <c r="CD314" s="4"/>
      <c r="CF314" s="4"/>
    </row>
    <row r="315" spans="66:84">
      <c r="BN315" s="4"/>
      <c r="BO315" s="4"/>
      <c r="BQ315" s="4"/>
      <c r="CC315" s="4"/>
      <c r="CD315" s="4"/>
      <c r="CF315" s="4"/>
    </row>
    <row r="316" spans="66:84">
      <c r="BN316" s="4"/>
      <c r="BO316" s="4"/>
      <c r="BQ316" s="4"/>
      <c r="CC316" s="4"/>
      <c r="CD316" s="4"/>
      <c r="CF316" s="4"/>
    </row>
    <row r="317" spans="66:84">
      <c r="BN317" s="4"/>
      <c r="BO317" s="4"/>
      <c r="BQ317" s="4"/>
      <c r="CC317" s="4"/>
      <c r="CD317" s="4"/>
      <c r="CF317" s="4"/>
    </row>
    <row r="318" spans="66:84">
      <c r="BN318" s="4"/>
      <c r="BO318" s="4"/>
      <c r="BQ318" s="4"/>
      <c r="CC318" s="4"/>
      <c r="CD318" s="4"/>
      <c r="CF318" s="4"/>
    </row>
    <row r="319" spans="66:84">
      <c r="BN319" s="4"/>
      <c r="BO319" s="4"/>
      <c r="BQ319" s="4"/>
      <c r="CC319" s="4"/>
      <c r="CD319" s="4"/>
      <c r="CF319" s="4"/>
    </row>
    <row r="320" spans="66:84">
      <c r="BN320" s="4"/>
      <c r="BO320" s="4"/>
      <c r="BQ320" s="4"/>
      <c r="CC320" s="4"/>
      <c r="CD320" s="4"/>
      <c r="CF320" s="4"/>
    </row>
    <row r="321" spans="66:84">
      <c r="BN321" s="4"/>
      <c r="BO321" s="4"/>
      <c r="BQ321" s="4"/>
      <c r="CC321" s="4"/>
      <c r="CD321" s="4"/>
      <c r="CF321" s="4"/>
    </row>
    <row r="322" spans="66:84">
      <c r="BN322" s="4"/>
      <c r="BO322" s="4"/>
      <c r="BQ322" s="4"/>
      <c r="CC322" s="4"/>
      <c r="CD322" s="4"/>
      <c r="CF322" s="4"/>
    </row>
    <row r="323" spans="66:84">
      <c r="BN323" s="4"/>
      <c r="BO323" s="4"/>
      <c r="BQ323" s="4"/>
      <c r="CC323" s="4"/>
      <c r="CD323" s="4"/>
      <c r="CF323" s="4"/>
    </row>
    <row r="324" spans="66:84">
      <c r="BN324" s="4"/>
      <c r="BO324" s="4"/>
      <c r="BQ324" s="4"/>
      <c r="CC324" s="4"/>
      <c r="CD324" s="4"/>
      <c r="CF324" s="4"/>
    </row>
    <row r="325" spans="66:84">
      <c r="BN325" s="4"/>
      <c r="BO325" s="4"/>
      <c r="BQ325" s="4"/>
      <c r="CC325" s="4"/>
      <c r="CD325" s="4"/>
      <c r="CF325" s="4"/>
    </row>
    <row r="326" spans="66:84">
      <c r="BN326" s="4"/>
      <c r="BO326" s="4"/>
      <c r="BQ326" s="4"/>
      <c r="CC326" s="4"/>
      <c r="CD326" s="4"/>
      <c r="CF326" s="4"/>
    </row>
    <row r="327" spans="66:84">
      <c r="BN327" s="4"/>
      <c r="BO327" s="4"/>
      <c r="BQ327" s="4"/>
      <c r="CC327" s="4"/>
      <c r="CD327" s="4"/>
      <c r="CF327" s="4"/>
    </row>
    <row r="328" spans="66:84">
      <c r="BN328" s="4"/>
      <c r="BO328" s="4"/>
      <c r="BQ328" s="4"/>
      <c r="CC328" s="4"/>
      <c r="CD328" s="4"/>
      <c r="CF328" s="4"/>
    </row>
    <row r="329" spans="66:84">
      <c r="BN329" s="4"/>
      <c r="BO329" s="4"/>
      <c r="BQ329" s="4"/>
      <c r="CC329" s="4"/>
      <c r="CD329" s="4"/>
      <c r="CF329" s="4"/>
    </row>
    <row r="330" spans="66:84">
      <c r="BN330" s="4"/>
      <c r="BO330" s="4"/>
      <c r="BQ330" s="4"/>
      <c r="CC330" s="4"/>
      <c r="CD330" s="4"/>
      <c r="CF330" s="4"/>
    </row>
    <row r="331" spans="66:84">
      <c r="BN331" s="4"/>
      <c r="BO331" s="4"/>
      <c r="BQ331" s="4"/>
      <c r="CC331" s="4"/>
      <c r="CD331" s="4"/>
      <c r="CF331" s="4"/>
    </row>
    <row r="332" spans="66:84">
      <c r="BN332" s="4"/>
      <c r="BO332" s="4"/>
      <c r="BQ332" s="4"/>
      <c r="CC332" s="4"/>
      <c r="CD332" s="4"/>
      <c r="CF332" s="4"/>
    </row>
    <row r="333" spans="66:84">
      <c r="BN333" s="4"/>
      <c r="BO333" s="4"/>
      <c r="BQ333" s="4"/>
      <c r="CC333" s="4"/>
      <c r="CD333" s="4"/>
      <c r="CF333" s="4"/>
    </row>
    <row r="334" spans="66:84">
      <c r="BN334" s="4"/>
      <c r="BO334" s="4"/>
      <c r="BQ334" s="4"/>
      <c r="CC334" s="4"/>
      <c r="CD334" s="4"/>
      <c r="CF334" s="4"/>
    </row>
    <row r="335" spans="66:84">
      <c r="BN335" s="4"/>
      <c r="BO335" s="4"/>
      <c r="BQ335" s="4"/>
      <c r="CC335" s="4"/>
      <c r="CD335" s="4"/>
      <c r="CF335" s="4"/>
    </row>
    <row r="336" spans="66:84">
      <c r="BN336" s="4"/>
      <c r="BO336" s="4"/>
      <c r="BQ336" s="4"/>
      <c r="CC336" s="4"/>
      <c r="CD336" s="4"/>
      <c r="CF336" s="4"/>
    </row>
    <row r="337" spans="66:84">
      <c r="BN337" s="4"/>
      <c r="BO337" s="4"/>
      <c r="BQ337" s="4"/>
      <c r="CC337" s="4"/>
      <c r="CD337" s="4"/>
      <c r="CF337" s="4"/>
    </row>
    <row r="338" spans="66:84">
      <c r="BN338" s="4"/>
      <c r="BO338" s="4"/>
      <c r="BQ338" s="4"/>
      <c r="CC338" s="4"/>
      <c r="CD338" s="4"/>
      <c r="CF338" s="4"/>
    </row>
    <row r="339" spans="66:84">
      <c r="BN339" s="4"/>
      <c r="BO339" s="4"/>
      <c r="BQ339" s="4"/>
      <c r="CC339" s="4"/>
      <c r="CD339" s="4"/>
      <c r="CF339" s="4"/>
    </row>
    <row r="340" spans="66:84">
      <c r="BN340" s="4"/>
      <c r="BO340" s="4"/>
      <c r="BQ340" s="4"/>
      <c r="CC340" s="4"/>
      <c r="CD340" s="4"/>
      <c r="CF340" s="4"/>
    </row>
    <row r="341" spans="66:84">
      <c r="BN341" s="4"/>
      <c r="BO341" s="4"/>
      <c r="BQ341" s="4"/>
      <c r="CC341" s="4"/>
      <c r="CD341" s="4"/>
      <c r="CF341" s="4"/>
    </row>
    <row r="342" spans="66:84">
      <c r="BN342" s="4"/>
      <c r="BO342" s="4"/>
      <c r="BQ342" s="4"/>
      <c r="CC342" s="4"/>
      <c r="CD342" s="4"/>
      <c r="CF342" s="4"/>
    </row>
    <row r="343" spans="66:84">
      <c r="BN343" s="4"/>
      <c r="BO343" s="4"/>
      <c r="BQ343" s="4"/>
      <c r="CC343" s="4"/>
      <c r="CD343" s="4"/>
      <c r="CF343" s="4"/>
    </row>
    <row r="344" spans="66:84">
      <c r="BN344" s="4"/>
      <c r="BO344" s="4"/>
      <c r="BQ344" s="4"/>
      <c r="CC344" s="4"/>
      <c r="CD344" s="4"/>
      <c r="CF344" s="4"/>
    </row>
    <row r="345" spans="66:84">
      <c r="BN345" s="4"/>
      <c r="BO345" s="4"/>
      <c r="BQ345" s="4"/>
      <c r="CC345" s="4"/>
      <c r="CD345" s="4"/>
      <c r="CF345" s="4"/>
    </row>
    <row r="346" spans="66:84">
      <c r="BN346" s="4"/>
      <c r="BO346" s="4"/>
      <c r="BQ346" s="4"/>
      <c r="CC346" s="4"/>
      <c r="CD346" s="4"/>
      <c r="CF346" s="4"/>
    </row>
    <row r="347" spans="66:84">
      <c r="BN347" s="4"/>
      <c r="BO347" s="4"/>
      <c r="BQ347" s="4"/>
      <c r="CC347" s="4"/>
      <c r="CD347" s="4"/>
      <c r="CF347" s="4"/>
    </row>
    <row r="348" spans="66:84">
      <c r="BN348" s="4"/>
      <c r="BO348" s="4"/>
      <c r="BQ348" s="4"/>
      <c r="CC348" s="4"/>
      <c r="CD348" s="4"/>
      <c r="CF348" s="4"/>
    </row>
    <row r="349" spans="66:84">
      <c r="BN349" s="4"/>
      <c r="BO349" s="4"/>
      <c r="BQ349" s="4"/>
      <c r="CC349" s="4"/>
      <c r="CD349" s="4"/>
      <c r="CF349" s="4"/>
    </row>
    <row r="350" spans="66:84">
      <c r="BN350" s="4"/>
      <c r="BO350" s="4"/>
      <c r="BQ350" s="4"/>
      <c r="CC350" s="4"/>
      <c r="CD350" s="4"/>
      <c r="CF350" s="4"/>
    </row>
    <row r="351" spans="66:84">
      <c r="BN351" s="4"/>
      <c r="BO351" s="4"/>
      <c r="BQ351" s="4"/>
      <c r="CC351" s="4"/>
      <c r="CD351" s="4"/>
      <c r="CF351" s="4"/>
    </row>
    <row r="352" spans="66:84">
      <c r="BN352" s="4"/>
      <c r="BO352" s="4"/>
      <c r="BQ352" s="4"/>
      <c r="CC352" s="4"/>
      <c r="CD352" s="4"/>
      <c r="CF352" s="4"/>
    </row>
    <row r="353" spans="66:84">
      <c r="BN353" s="4"/>
      <c r="BO353" s="4"/>
      <c r="BQ353" s="4"/>
      <c r="CC353" s="4"/>
      <c r="CD353" s="4"/>
      <c r="CF353" s="4"/>
    </row>
    <row r="354" spans="66:84">
      <c r="BN354" s="4"/>
      <c r="BO354" s="4"/>
      <c r="BQ354" s="4"/>
      <c r="CC354" s="4"/>
      <c r="CD354" s="4"/>
      <c r="CF354" s="4"/>
    </row>
    <row r="355" spans="66:84">
      <c r="BN355" s="4"/>
      <c r="BO355" s="4"/>
      <c r="BQ355" s="4"/>
      <c r="CC355" s="4"/>
      <c r="CD355" s="4"/>
      <c r="CF355" s="4"/>
    </row>
    <row r="356" spans="66:84">
      <c r="BN356" s="4"/>
      <c r="BO356" s="4"/>
      <c r="BQ356" s="4"/>
      <c r="CC356" s="4"/>
      <c r="CD356" s="4"/>
      <c r="CF356" s="4"/>
    </row>
    <row r="357" spans="66:84">
      <c r="BN357" s="4"/>
      <c r="BO357" s="4"/>
      <c r="BQ357" s="4"/>
      <c r="CC357" s="4"/>
      <c r="CD357" s="4"/>
      <c r="CF357" s="4"/>
    </row>
    <row r="358" spans="66:84">
      <c r="BN358" s="4"/>
      <c r="BO358" s="4"/>
      <c r="BQ358" s="4"/>
      <c r="CC358" s="4"/>
      <c r="CD358" s="4"/>
      <c r="CF358" s="4"/>
    </row>
    <row r="359" spans="66:84">
      <c r="BN359" s="4"/>
      <c r="BO359" s="4"/>
      <c r="BQ359" s="4"/>
      <c r="CC359" s="4"/>
      <c r="CD359" s="4"/>
      <c r="CF359" s="4"/>
    </row>
    <row r="360" spans="66:84">
      <c r="BN360" s="4"/>
      <c r="BO360" s="4"/>
      <c r="BQ360" s="4"/>
      <c r="CC360" s="4"/>
      <c r="CD360" s="4"/>
      <c r="CF360" s="4"/>
    </row>
    <row r="361" spans="66:84">
      <c r="BN361" s="4"/>
      <c r="BO361" s="4"/>
      <c r="BQ361" s="4"/>
      <c r="CC361" s="4"/>
      <c r="CD361" s="4"/>
      <c r="CF361" s="4"/>
    </row>
    <row r="362" spans="66:84">
      <c r="BN362" s="4"/>
      <c r="BO362" s="4"/>
      <c r="BQ362" s="4"/>
      <c r="CC362" s="4"/>
      <c r="CD362" s="4"/>
      <c r="CF362" s="4"/>
    </row>
    <row r="363" spans="66:84">
      <c r="BN363" s="4"/>
      <c r="BO363" s="4"/>
      <c r="BQ363" s="4"/>
      <c r="CC363" s="4"/>
      <c r="CD363" s="4"/>
      <c r="CF363" s="4"/>
    </row>
    <row r="364" spans="66:84">
      <c r="BN364" s="4"/>
      <c r="BO364" s="4"/>
      <c r="BQ364" s="4"/>
      <c r="CC364" s="4"/>
      <c r="CD364" s="4"/>
      <c r="CF364" s="4"/>
    </row>
    <row r="365" spans="66:84">
      <c r="BN365" s="4"/>
      <c r="BO365" s="4"/>
      <c r="BQ365" s="4"/>
      <c r="CC365" s="4"/>
      <c r="CD365" s="4"/>
      <c r="CF365" s="4"/>
    </row>
    <row r="366" spans="66:84">
      <c r="BN366" s="4"/>
      <c r="BO366" s="4"/>
      <c r="BQ366" s="4"/>
      <c r="CC366" s="4"/>
      <c r="CD366" s="4"/>
      <c r="CF366" s="4"/>
    </row>
    <row r="367" spans="66:84">
      <c r="BN367" s="4"/>
      <c r="BO367" s="4"/>
      <c r="BQ367" s="4"/>
      <c r="CC367" s="4"/>
      <c r="CD367" s="4"/>
      <c r="CF367" s="4"/>
    </row>
    <row r="368" spans="66:84">
      <c r="BN368" s="4"/>
      <c r="BO368" s="4"/>
      <c r="BQ368" s="4"/>
      <c r="CC368" s="4"/>
      <c r="CD368" s="4"/>
      <c r="CF368" s="4"/>
    </row>
    <row r="369" spans="66:84">
      <c r="BN369" s="4"/>
      <c r="BO369" s="4"/>
      <c r="BQ369" s="4"/>
      <c r="CC369" s="4"/>
      <c r="CD369" s="4"/>
      <c r="CF369" s="4"/>
    </row>
    <row r="370" spans="66:84">
      <c r="BN370" s="4"/>
      <c r="BO370" s="4"/>
      <c r="BQ370" s="4"/>
      <c r="CC370" s="4"/>
      <c r="CD370" s="4"/>
      <c r="CF370" s="4"/>
    </row>
    <row r="371" spans="66:84">
      <c r="BN371" s="4"/>
      <c r="BO371" s="4"/>
      <c r="BQ371" s="4"/>
      <c r="CC371" s="4"/>
      <c r="CD371" s="4"/>
      <c r="CF371" s="4"/>
    </row>
    <row r="372" spans="66:84">
      <c r="BN372" s="4"/>
      <c r="BO372" s="4"/>
      <c r="BQ372" s="4"/>
      <c r="CC372" s="4"/>
      <c r="CD372" s="4"/>
      <c r="CF372" s="4"/>
    </row>
    <row r="373" spans="66:84">
      <c r="BN373" s="4"/>
      <c r="BO373" s="4"/>
      <c r="BQ373" s="4"/>
      <c r="CC373" s="4"/>
      <c r="CD373" s="4"/>
      <c r="CF373" s="4"/>
    </row>
    <row r="374" spans="66:84">
      <c r="BN374" s="4"/>
      <c r="BO374" s="4"/>
      <c r="BQ374" s="4"/>
      <c r="CC374" s="4"/>
      <c r="CD374" s="4"/>
      <c r="CF374" s="4"/>
    </row>
    <row r="375" spans="66:84">
      <c r="BN375" s="4"/>
      <c r="BO375" s="4"/>
      <c r="BQ375" s="4"/>
      <c r="CC375" s="4"/>
      <c r="CD375" s="4"/>
      <c r="CF375" s="4"/>
    </row>
    <row r="376" spans="66:84">
      <c r="BN376" s="4"/>
      <c r="BO376" s="4"/>
      <c r="BQ376" s="4"/>
      <c r="CC376" s="4"/>
      <c r="CD376" s="4"/>
      <c r="CF376" s="4"/>
    </row>
    <row r="377" spans="66:84">
      <c r="BN377" s="4"/>
      <c r="BO377" s="4"/>
      <c r="BQ377" s="4"/>
      <c r="CC377" s="4"/>
      <c r="CD377" s="4"/>
      <c r="CF377" s="4"/>
    </row>
    <row r="378" spans="66:84">
      <c r="BN378" s="4"/>
      <c r="BO378" s="4"/>
      <c r="BQ378" s="4"/>
      <c r="CC378" s="4"/>
      <c r="CD378" s="4"/>
      <c r="CF378" s="4"/>
    </row>
    <row r="379" spans="66:84">
      <c r="BN379" s="4"/>
      <c r="BO379" s="4"/>
      <c r="BQ379" s="4"/>
      <c r="CC379" s="4"/>
      <c r="CD379" s="4"/>
      <c r="CF379" s="4"/>
    </row>
    <row r="380" spans="66:84">
      <c r="BN380" s="4"/>
      <c r="BO380" s="4"/>
      <c r="BQ380" s="4"/>
      <c r="CC380" s="4"/>
      <c r="CD380" s="4"/>
      <c r="CF380" s="4"/>
    </row>
    <row r="381" spans="66:84">
      <c r="BN381" s="4"/>
      <c r="BO381" s="4"/>
      <c r="BQ381" s="4"/>
      <c r="CC381" s="4"/>
      <c r="CD381" s="4"/>
      <c r="CF381" s="4"/>
    </row>
    <row r="382" spans="66:84">
      <c r="BN382" s="4"/>
      <c r="BO382" s="4"/>
      <c r="BQ382" s="4"/>
      <c r="CC382" s="4"/>
      <c r="CD382" s="4"/>
      <c r="CF382" s="4"/>
    </row>
    <row r="383" spans="66:84">
      <c r="BN383" s="4"/>
      <c r="BO383" s="4"/>
      <c r="BQ383" s="4"/>
      <c r="CC383" s="4"/>
      <c r="CD383" s="4"/>
      <c r="CF383" s="4"/>
    </row>
    <row r="384" spans="66:84">
      <c r="BN384" s="4"/>
      <c r="BO384" s="4"/>
      <c r="BQ384" s="4"/>
      <c r="CC384" s="4"/>
      <c r="CD384" s="4"/>
      <c r="CF384" s="4"/>
    </row>
    <row r="385" spans="66:84">
      <c r="BN385" s="4"/>
      <c r="BO385" s="4"/>
      <c r="BQ385" s="4"/>
      <c r="CC385" s="4"/>
      <c r="CD385" s="4"/>
      <c r="CF385" s="4"/>
    </row>
    <row r="386" spans="66:84">
      <c r="BN386" s="4"/>
      <c r="BO386" s="4"/>
      <c r="BQ386" s="4"/>
      <c r="CC386" s="4"/>
      <c r="CD386" s="4"/>
      <c r="CF386" s="4"/>
    </row>
    <row r="387" spans="66:84">
      <c r="BN387" s="4"/>
      <c r="BO387" s="4"/>
      <c r="BQ387" s="4"/>
      <c r="CC387" s="4"/>
      <c r="CD387" s="4"/>
      <c r="CF387" s="4"/>
    </row>
    <row r="388" spans="66:84">
      <c r="BN388" s="4"/>
      <c r="BO388" s="4"/>
      <c r="BQ388" s="4"/>
      <c r="CC388" s="4"/>
      <c r="CD388" s="4"/>
      <c r="CF388" s="4"/>
    </row>
    <row r="389" spans="66:84">
      <c r="BN389" s="4"/>
      <c r="BO389" s="4"/>
      <c r="BQ389" s="4"/>
      <c r="CC389" s="4"/>
      <c r="CD389" s="4"/>
      <c r="CF389" s="4"/>
    </row>
    <row r="390" spans="66:84">
      <c r="BN390" s="4"/>
      <c r="BO390" s="4"/>
      <c r="BQ390" s="4"/>
      <c r="CC390" s="4"/>
      <c r="CD390" s="4"/>
      <c r="CF390" s="4"/>
    </row>
    <row r="391" spans="66:84">
      <c r="BN391" s="4"/>
      <c r="BO391" s="4"/>
      <c r="BQ391" s="4"/>
      <c r="CC391" s="4"/>
      <c r="CD391" s="4"/>
      <c r="CF391" s="4"/>
    </row>
    <row r="392" spans="66:84">
      <c r="BN392" s="4"/>
      <c r="BO392" s="4"/>
      <c r="BQ392" s="4"/>
      <c r="CC392" s="4"/>
      <c r="CD392" s="4"/>
      <c r="CF392" s="4"/>
    </row>
    <row r="393" spans="66:84">
      <c r="BN393" s="4"/>
      <c r="BO393" s="4"/>
      <c r="BQ393" s="4"/>
      <c r="CC393" s="4"/>
      <c r="CD393" s="4"/>
      <c r="CF393" s="4"/>
    </row>
    <row r="394" spans="66:84">
      <c r="BN394" s="4"/>
      <c r="BO394" s="4"/>
      <c r="BQ394" s="4"/>
      <c r="CC394" s="4"/>
      <c r="CD394" s="4"/>
      <c r="CF394" s="4"/>
    </row>
    <row r="395" spans="66:84">
      <c r="BN395" s="4"/>
      <c r="BO395" s="4"/>
      <c r="BQ395" s="4"/>
      <c r="CC395" s="4"/>
      <c r="CD395" s="4"/>
      <c r="CF395" s="4"/>
    </row>
    <row r="396" spans="66:84">
      <c r="BN396" s="4"/>
      <c r="BO396" s="4"/>
      <c r="BQ396" s="4"/>
      <c r="CC396" s="4"/>
      <c r="CD396" s="4"/>
      <c r="CF396" s="4"/>
    </row>
    <row r="397" spans="66:84">
      <c r="BN397" s="4"/>
      <c r="BO397" s="4"/>
      <c r="BQ397" s="4"/>
      <c r="CC397" s="4"/>
      <c r="CD397" s="4"/>
      <c r="CF397" s="4"/>
    </row>
    <row r="398" spans="66:84">
      <c r="BN398" s="4"/>
      <c r="BO398" s="4"/>
      <c r="BQ398" s="4"/>
      <c r="CC398" s="4"/>
      <c r="CD398" s="4"/>
      <c r="CF398" s="4"/>
    </row>
    <row r="399" spans="66:84">
      <c r="BN399" s="4"/>
      <c r="BO399" s="4"/>
      <c r="BQ399" s="4"/>
      <c r="CC399" s="4"/>
      <c r="CD399" s="4"/>
      <c r="CF399" s="4"/>
    </row>
    <row r="400" spans="66:84">
      <c r="BN400" s="4"/>
      <c r="BO400" s="4"/>
      <c r="BQ400" s="4"/>
      <c r="CC400" s="4"/>
      <c r="CD400" s="4"/>
      <c r="CF400" s="4"/>
    </row>
    <row r="401" spans="66:84">
      <c r="BN401" s="4"/>
      <c r="BO401" s="4"/>
      <c r="BQ401" s="4"/>
      <c r="CC401" s="4"/>
      <c r="CD401" s="4"/>
      <c r="CF401" s="4"/>
    </row>
    <row r="402" spans="66:84">
      <c r="BN402" s="4"/>
      <c r="BO402" s="4"/>
      <c r="BQ402" s="4"/>
      <c r="CC402" s="4"/>
      <c r="CD402" s="4"/>
      <c r="CF402" s="4"/>
    </row>
    <row r="403" spans="66:84">
      <c r="BN403" s="4"/>
      <c r="BO403" s="4"/>
      <c r="BQ403" s="4"/>
      <c r="CC403" s="4"/>
      <c r="CD403" s="4"/>
      <c r="CF403" s="4"/>
    </row>
    <row r="404" spans="66:84">
      <c r="BN404" s="4"/>
      <c r="BO404" s="4"/>
      <c r="BQ404" s="4"/>
      <c r="CC404" s="4"/>
      <c r="CD404" s="4"/>
      <c r="CF404" s="4"/>
    </row>
    <row r="405" spans="66:84">
      <c r="BN405" s="4"/>
      <c r="BO405" s="4"/>
      <c r="BQ405" s="4"/>
      <c r="CC405" s="4"/>
      <c r="CD405" s="4"/>
      <c r="CF405" s="4"/>
    </row>
    <row r="406" spans="66:84">
      <c r="BN406" s="4"/>
      <c r="BO406" s="4"/>
      <c r="BQ406" s="4"/>
      <c r="CC406" s="4"/>
      <c r="CD406" s="4"/>
      <c r="CF406" s="4"/>
    </row>
    <row r="407" spans="66:84">
      <c r="BN407" s="4"/>
      <c r="BO407" s="4"/>
      <c r="BQ407" s="4"/>
      <c r="CC407" s="4"/>
      <c r="CD407" s="4"/>
      <c r="CF407" s="4"/>
    </row>
    <row r="408" spans="66:84">
      <c r="BN408" s="4"/>
      <c r="BO408" s="4"/>
      <c r="BQ408" s="4"/>
      <c r="CC408" s="4"/>
      <c r="CD408" s="4"/>
      <c r="CF408" s="4"/>
    </row>
    <row r="409" spans="66:84">
      <c r="BN409" s="4"/>
      <c r="BO409" s="4"/>
      <c r="BQ409" s="4"/>
      <c r="CC409" s="4"/>
      <c r="CD409" s="4"/>
      <c r="CF409" s="4"/>
    </row>
    <row r="410" spans="66:84">
      <c r="BN410" s="4"/>
      <c r="BO410" s="4"/>
      <c r="BQ410" s="4"/>
      <c r="CC410" s="4"/>
      <c r="CD410" s="4"/>
      <c r="CF410" s="4"/>
    </row>
    <row r="411" spans="66:84">
      <c r="BN411" s="4"/>
      <c r="BO411" s="4"/>
      <c r="BQ411" s="4"/>
      <c r="CC411" s="4"/>
      <c r="CD411" s="4"/>
      <c r="CF411" s="4"/>
    </row>
    <row r="412" spans="66:84">
      <c r="BN412" s="4"/>
      <c r="BO412" s="4"/>
      <c r="BQ412" s="4"/>
      <c r="CC412" s="4"/>
      <c r="CD412" s="4"/>
      <c r="CF412" s="4"/>
    </row>
    <row r="413" spans="66:84">
      <c r="BN413" s="4"/>
      <c r="BO413" s="4"/>
      <c r="BQ413" s="4"/>
      <c r="CC413" s="4"/>
      <c r="CD413" s="4"/>
      <c r="CF413" s="4"/>
    </row>
    <row r="414" spans="66:84">
      <c r="BN414" s="4"/>
      <c r="BO414" s="4"/>
      <c r="BQ414" s="4"/>
      <c r="CC414" s="4"/>
      <c r="CD414" s="4"/>
      <c r="CF414" s="4"/>
    </row>
    <row r="415" spans="66:84">
      <c r="BN415" s="4"/>
      <c r="BO415" s="4"/>
      <c r="BQ415" s="4"/>
      <c r="CC415" s="4"/>
      <c r="CD415" s="4"/>
      <c r="CF415" s="4"/>
    </row>
    <row r="416" spans="66:84">
      <c r="BN416" s="4"/>
      <c r="BO416" s="4"/>
      <c r="BQ416" s="4"/>
      <c r="CC416" s="4"/>
      <c r="CD416" s="4"/>
      <c r="CF416" s="4"/>
    </row>
    <row r="417" spans="66:84">
      <c r="BN417" s="4"/>
      <c r="BO417" s="4"/>
      <c r="BQ417" s="4"/>
      <c r="CC417" s="4"/>
      <c r="CD417" s="4"/>
      <c r="CF417" s="4"/>
    </row>
    <row r="418" spans="66:84">
      <c r="BN418" s="4"/>
      <c r="BO418" s="4"/>
      <c r="BQ418" s="4"/>
      <c r="CC418" s="4"/>
      <c r="CD418" s="4"/>
      <c r="CF418" s="4"/>
    </row>
    <row r="419" spans="66:84">
      <c r="BN419" s="4"/>
      <c r="BO419" s="4"/>
      <c r="BQ419" s="4"/>
      <c r="CC419" s="4"/>
      <c r="CD419" s="4"/>
      <c r="CF419" s="4"/>
    </row>
    <row r="420" spans="66:84">
      <c r="BN420" s="4"/>
      <c r="BO420" s="4"/>
      <c r="BQ420" s="4"/>
      <c r="CC420" s="4"/>
      <c r="CD420" s="4"/>
      <c r="CF420" s="4"/>
    </row>
    <row r="421" spans="66:84">
      <c r="BN421" s="4"/>
      <c r="BO421" s="4"/>
      <c r="BQ421" s="4"/>
      <c r="CC421" s="4"/>
      <c r="CD421" s="4"/>
      <c r="CF421" s="4"/>
    </row>
    <row r="422" spans="66:84">
      <c r="BN422" s="4"/>
      <c r="BO422" s="4"/>
      <c r="BQ422" s="4"/>
      <c r="CC422" s="4"/>
      <c r="CD422" s="4"/>
      <c r="CF422" s="4"/>
    </row>
    <row r="423" spans="66:84">
      <c r="BN423" s="4"/>
      <c r="BO423" s="4"/>
      <c r="BQ423" s="4"/>
      <c r="CC423" s="4"/>
      <c r="CD423" s="4"/>
      <c r="CF423" s="4"/>
    </row>
    <row r="424" spans="66:84">
      <c r="BN424" s="4"/>
      <c r="BO424" s="4"/>
      <c r="BQ424" s="4"/>
      <c r="CC424" s="4"/>
      <c r="CD424" s="4"/>
      <c r="CF424" s="4"/>
    </row>
    <row r="425" spans="66:84">
      <c r="BN425" s="4"/>
      <c r="BO425" s="4"/>
      <c r="BQ425" s="4"/>
      <c r="CC425" s="4"/>
      <c r="CD425" s="4"/>
      <c r="CF425" s="4"/>
    </row>
    <row r="426" spans="66:84">
      <c r="BN426" s="4"/>
      <c r="BO426" s="4"/>
      <c r="BQ426" s="4"/>
      <c r="CC426" s="4"/>
      <c r="CD426" s="4"/>
      <c r="CF426" s="4"/>
    </row>
    <row r="427" spans="66:84">
      <c r="BN427" s="4"/>
      <c r="BO427" s="4"/>
      <c r="BQ427" s="4"/>
      <c r="CC427" s="4"/>
      <c r="CD427" s="4"/>
      <c r="CF427" s="4"/>
    </row>
    <row r="428" spans="66:84">
      <c r="BN428" s="4"/>
      <c r="BO428" s="4"/>
      <c r="BQ428" s="4"/>
      <c r="CC428" s="4"/>
      <c r="CD428" s="4"/>
      <c r="CF428" s="4"/>
    </row>
    <row r="429" spans="66:84">
      <c r="BN429" s="4"/>
      <c r="BO429" s="4"/>
      <c r="BQ429" s="4"/>
      <c r="CC429" s="4"/>
      <c r="CD429" s="4"/>
      <c r="CF429" s="4"/>
    </row>
    <row r="430" spans="66:84">
      <c r="BN430" s="4"/>
      <c r="BO430" s="4"/>
      <c r="BQ430" s="4"/>
      <c r="CC430" s="4"/>
      <c r="CD430" s="4"/>
      <c r="CF430" s="4"/>
    </row>
    <row r="431" spans="66:84">
      <c r="BN431" s="4"/>
      <c r="BO431" s="4"/>
      <c r="BQ431" s="4"/>
      <c r="CC431" s="4"/>
      <c r="CD431" s="4"/>
      <c r="CF431" s="4"/>
    </row>
    <row r="432" spans="66:84">
      <c r="BN432" s="4"/>
      <c r="BO432" s="4"/>
      <c r="BQ432" s="4"/>
      <c r="CC432" s="4"/>
      <c r="CD432" s="4"/>
      <c r="CF432" s="4"/>
    </row>
    <row r="433" spans="66:84">
      <c r="BN433" s="4"/>
      <c r="BO433" s="4"/>
      <c r="BQ433" s="4"/>
      <c r="CC433" s="4"/>
      <c r="CD433" s="4"/>
      <c r="CF433" s="4"/>
    </row>
    <row r="434" spans="66:84">
      <c r="BN434" s="4"/>
      <c r="BO434" s="4"/>
      <c r="BQ434" s="4"/>
      <c r="CC434" s="4"/>
      <c r="CD434" s="4"/>
      <c r="CF434" s="4"/>
    </row>
    <row r="435" spans="66:84">
      <c r="BN435" s="4"/>
      <c r="BO435" s="4"/>
      <c r="BQ435" s="4"/>
      <c r="CC435" s="4"/>
      <c r="CD435" s="4"/>
      <c r="CF435" s="4"/>
    </row>
    <row r="436" spans="66:84">
      <c r="BN436" s="4"/>
      <c r="BO436" s="4"/>
      <c r="BQ436" s="4"/>
      <c r="CC436" s="4"/>
      <c r="CD436" s="4"/>
      <c r="CF436" s="4"/>
    </row>
    <row r="437" spans="66:84">
      <c r="BN437" s="4"/>
      <c r="BO437" s="4"/>
      <c r="BQ437" s="4"/>
      <c r="CC437" s="4"/>
      <c r="CD437" s="4"/>
      <c r="CF437" s="4"/>
    </row>
    <row r="438" spans="66:84">
      <c r="BN438" s="4"/>
      <c r="BO438" s="4"/>
      <c r="BQ438" s="4"/>
      <c r="CC438" s="4"/>
      <c r="CD438" s="4"/>
      <c r="CF438" s="4"/>
    </row>
    <row r="439" spans="66:84">
      <c r="BN439" s="4"/>
      <c r="BO439" s="4"/>
      <c r="BQ439" s="4"/>
      <c r="CC439" s="4"/>
      <c r="CD439" s="4"/>
      <c r="CF439" s="4"/>
    </row>
    <row r="440" spans="66:84">
      <c r="BN440" s="4"/>
      <c r="BO440" s="4"/>
      <c r="BQ440" s="4"/>
      <c r="CC440" s="4"/>
      <c r="CD440" s="4"/>
      <c r="CF440" s="4"/>
    </row>
    <row r="441" spans="66:84">
      <c r="BN441" s="4"/>
      <c r="BO441" s="4"/>
      <c r="BQ441" s="4"/>
      <c r="CC441" s="4"/>
      <c r="CD441" s="4"/>
      <c r="CF441" s="4"/>
    </row>
    <row r="442" spans="66:84">
      <c r="BN442" s="4"/>
      <c r="BO442" s="4"/>
      <c r="BQ442" s="4"/>
      <c r="CC442" s="4"/>
      <c r="CD442" s="4"/>
      <c r="CF442" s="4"/>
    </row>
    <row r="443" spans="66:84">
      <c r="BN443" s="4"/>
      <c r="BO443" s="4"/>
      <c r="BQ443" s="4"/>
      <c r="CC443" s="4"/>
      <c r="CD443" s="4"/>
      <c r="CF443" s="4"/>
    </row>
    <row r="444" spans="66:84">
      <c r="BN444" s="4"/>
      <c r="BO444" s="4"/>
      <c r="BQ444" s="4"/>
      <c r="CC444" s="4"/>
      <c r="CD444" s="4"/>
      <c r="CF444" s="4"/>
    </row>
    <row r="445" spans="66:84">
      <c r="BN445" s="4"/>
      <c r="BO445" s="4"/>
      <c r="BQ445" s="4"/>
      <c r="CC445" s="4"/>
      <c r="CD445" s="4"/>
      <c r="CF445" s="4"/>
    </row>
    <row r="446" spans="66:84">
      <c r="BN446" s="4"/>
      <c r="BO446" s="4"/>
      <c r="BQ446" s="4"/>
      <c r="CC446" s="4"/>
      <c r="CD446" s="4"/>
      <c r="CF446" s="4"/>
    </row>
    <row r="447" spans="66:84">
      <c r="BN447" s="4"/>
      <c r="BO447" s="4"/>
      <c r="BQ447" s="4"/>
      <c r="CC447" s="4"/>
      <c r="CD447" s="4"/>
      <c r="CF447" s="4"/>
    </row>
    <row r="448" spans="66:84">
      <c r="BN448" s="4"/>
      <c r="BO448" s="4"/>
      <c r="BQ448" s="4"/>
      <c r="CC448" s="4"/>
      <c r="CD448" s="4"/>
      <c r="CF448" s="4"/>
    </row>
    <row r="449" spans="66:84">
      <c r="BN449" s="4"/>
      <c r="BO449" s="4"/>
      <c r="BQ449" s="4"/>
      <c r="CC449" s="4"/>
      <c r="CD449" s="4"/>
      <c r="CF449" s="4"/>
    </row>
    <row r="450" spans="66:84">
      <c r="BN450" s="4"/>
      <c r="BO450" s="4"/>
      <c r="BQ450" s="4"/>
      <c r="CC450" s="4"/>
      <c r="CD450" s="4"/>
      <c r="CF450" s="4"/>
    </row>
    <row r="451" spans="66:84">
      <c r="BN451" s="4"/>
      <c r="BO451" s="4"/>
      <c r="BQ451" s="4"/>
      <c r="CC451" s="4"/>
      <c r="CD451" s="4"/>
      <c r="CF451" s="4"/>
    </row>
    <row r="452" spans="66:84">
      <c r="BN452" s="4"/>
      <c r="BO452" s="4"/>
      <c r="BQ452" s="4"/>
      <c r="CC452" s="4"/>
      <c r="CD452" s="4"/>
      <c r="CF452" s="4"/>
    </row>
    <row r="453" spans="66:84">
      <c r="BN453" s="4"/>
      <c r="BO453" s="4"/>
      <c r="BQ453" s="4"/>
      <c r="CC453" s="4"/>
      <c r="CD453" s="4"/>
      <c r="CF453" s="4"/>
    </row>
    <row r="454" spans="66:84">
      <c r="BN454" s="4"/>
      <c r="BO454" s="4"/>
      <c r="BQ454" s="4"/>
      <c r="CC454" s="4"/>
      <c r="CD454" s="4"/>
      <c r="CF454" s="4"/>
    </row>
    <row r="455" spans="66:84">
      <c r="BN455" s="4"/>
      <c r="BO455" s="4"/>
      <c r="BQ455" s="4"/>
      <c r="CC455" s="4"/>
      <c r="CD455" s="4"/>
      <c r="CF455" s="4"/>
    </row>
    <row r="456" spans="66:84">
      <c r="BN456" s="4"/>
      <c r="BO456" s="4"/>
      <c r="BQ456" s="4"/>
      <c r="CC456" s="4"/>
      <c r="CD456" s="4"/>
      <c r="CF456" s="4"/>
    </row>
    <row r="457" spans="66:84">
      <c r="BN457" s="4"/>
      <c r="BO457" s="4"/>
      <c r="BQ457" s="4"/>
      <c r="CC457" s="4"/>
      <c r="CD457" s="4"/>
      <c r="CF457" s="4"/>
    </row>
    <row r="458" spans="66:84">
      <c r="BN458" s="4"/>
      <c r="BO458" s="4"/>
      <c r="BQ458" s="4"/>
      <c r="CC458" s="4"/>
      <c r="CD458" s="4"/>
      <c r="CF458" s="4"/>
    </row>
    <row r="459" spans="66:84">
      <c r="BN459" s="4"/>
      <c r="BO459" s="4"/>
      <c r="BQ459" s="4"/>
      <c r="CC459" s="4"/>
      <c r="CD459" s="4"/>
      <c r="CF459" s="4"/>
    </row>
    <row r="460" spans="66:84">
      <c r="BN460" s="4"/>
      <c r="BO460" s="4"/>
      <c r="BQ460" s="4"/>
      <c r="CC460" s="4"/>
      <c r="CD460" s="4"/>
      <c r="CF460" s="4"/>
    </row>
    <row r="461" spans="66:84">
      <c r="BN461" s="4"/>
      <c r="BO461" s="4"/>
      <c r="BQ461" s="4"/>
      <c r="CC461" s="4"/>
      <c r="CD461" s="4"/>
      <c r="CF461" s="4"/>
    </row>
    <row r="462" spans="66:84">
      <c r="BN462" s="4"/>
      <c r="BO462" s="4"/>
      <c r="BQ462" s="4"/>
      <c r="CC462" s="4"/>
      <c r="CD462" s="4"/>
      <c r="CF462" s="4"/>
    </row>
    <row r="463" spans="66:84">
      <c r="BN463" s="4"/>
      <c r="BO463" s="4"/>
      <c r="BQ463" s="4"/>
      <c r="CC463" s="4"/>
      <c r="CD463" s="4"/>
      <c r="CF463" s="4"/>
    </row>
    <row r="464" spans="66:84">
      <c r="BN464" s="4"/>
      <c r="BO464" s="4"/>
      <c r="BQ464" s="4"/>
      <c r="CC464" s="4"/>
      <c r="CD464" s="4"/>
      <c r="CF464" s="4"/>
    </row>
    <row r="465" spans="66:84">
      <c r="BN465" s="4"/>
      <c r="BO465" s="4"/>
      <c r="BQ465" s="4"/>
      <c r="CC465" s="4"/>
      <c r="CD465" s="4"/>
      <c r="CF465" s="4"/>
    </row>
    <row r="466" spans="66:84">
      <c r="BN466" s="4"/>
      <c r="BO466" s="4"/>
      <c r="BQ466" s="4"/>
      <c r="CC466" s="4"/>
      <c r="CD466" s="4"/>
      <c r="CF466" s="4"/>
    </row>
    <row r="467" spans="66:84">
      <c r="BN467" s="4"/>
      <c r="BO467" s="4"/>
      <c r="BQ467" s="4"/>
      <c r="CC467" s="4"/>
      <c r="CD467" s="4"/>
      <c r="CF467" s="4"/>
    </row>
    <row r="468" spans="66:84">
      <c r="BN468" s="4"/>
      <c r="BO468" s="4"/>
      <c r="BQ468" s="4"/>
      <c r="CC468" s="4"/>
      <c r="CD468" s="4"/>
      <c r="CF468" s="4"/>
    </row>
    <row r="469" spans="66:84">
      <c r="BN469" s="4"/>
      <c r="BO469" s="4"/>
      <c r="BQ469" s="4"/>
      <c r="CC469" s="4"/>
      <c r="CD469" s="4"/>
      <c r="CF469" s="4"/>
    </row>
    <row r="470" spans="66:84">
      <c r="BN470" s="4"/>
      <c r="BO470" s="4"/>
      <c r="BQ470" s="4"/>
      <c r="CC470" s="4"/>
      <c r="CD470" s="4"/>
      <c r="CF470" s="4"/>
    </row>
    <row r="471" spans="66:84">
      <c r="BN471" s="4"/>
      <c r="BO471" s="4"/>
      <c r="BQ471" s="4"/>
      <c r="CC471" s="4"/>
      <c r="CD471" s="4"/>
      <c r="CF471" s="4"/>
    </row>
    <row r="472" spans="66:84">
      <c r="BN472" s="4"/>
      <c r="BO472" s="4"/>
      <c r="BQ472" s="4"/>
      <c r="CC472" s="4"/>
      <c r="CD472" s="4"/>
      <c r="CF472" s="4"/>
    </row>
    <row r="473" spans="66:84">
      <c r="BN473" s="4"/>
      <c r="BO473" s="4"/>
      <c r="BQ473" s="4"/>
      <c r="CC473" s="4"/>
      <c r="CD473" s="4"/>
      <c r="CF473" s="4"/>
    </row>
    <row r="474" spans="66:84">
      <c r="BN474" s="4"/>
      <c r="BO474" s="4"/>
      <c r="BQ474" s="4"/>
      <c r="CC474" s="4"/>
      <c r="CD474" s="4"/>
      <c r="CF474" s="4"/>
    </row>
    <row r="475" spans="66:84">
      <c r="BN475" s="4"/>
      <c r="BO475" s="4"/>
      <c r="BQ475" s="4"/>
      <c r="CC475" s="4"/>
      <c r="CD475" s="4"/>
      <c r="CF475" s="4"/>
    </row>
    <row r="476" spans="66:84">
      <c r="BN476" s="4"/>
      <c r="BO476" s="4"/>
      <c r="BQ476" s="4"/>
      <c r="CC476" s="4"/>
      <c r="CD476" s="4"/>
      <c r="CF476" s="4"/>
    </row>
    <row r="477" spans="66:84">
      <c r="BN477" s="4"/>
      <c r="BO477" s="4"/>
      <c r="BQ477" s="4"/>
      <c r="CC477" s="4"/>
      <c r="CD477" s="4"/>
      <c r="CF477" s="4"/>
    </row>
    <row r="478" spans="66:84">
      <c r="BN478" s="4"/>
      <c r="BO478" s="4"/>
      <c r="BQ478" s="4"/>
      <c r="CC478" s="4"/>
      <c r="CD478" s="4"/>
      <c r="CF478" s="4"/>
    </row>
    <row r="479" spans="66:84">
      <c r="BN479" s="4"/>
      <c r="BO479" s="4"/>
      <c r="BQ479" s="4"/>
      <c r="CC479" s="4"/>
      <c r="CD479" s="4"/>
      <c r="CF479" s="4"/>
    </row>
    <row r="480" spans="66:84">
      <c r="BN480" s="4"/>
      <c r="BO480" s="4"/>
      <c r="BQ480" s="4"/>
      <c r="CC480" s="4"/>
      <c r="CD480" s="4"/>
      <c r="CF480" s="4"/>
    </row>
    <row r="481" spans="66:84">
      <c r="BN481" s="4"/>
      <c r="BO481" s="4"/>
      <c r="BQ481" s="4"/>
      <c r="CC481" s="4"/>
      <c r="CD481" s="4"/>
      <c r="CF481" s="4"/>
    </row>
    <row r="482" spans="66:84">
      <c r="BN482" s="4"/>
      <c r="BO482" s="4"/>
      <c r="BQ482" s="4"/>
      <c r="CC482" s="4"/>
      <c r="CD482" s="4"/>
      <c r="CF482" s="4"/>
    </row>
    <row r="483" spans="66:84">
      <c r="BN483" s="4"/>
      <c r="BO483" s="4"/>
      <c r="BQ483" s="4"/>
      <c r="CC483" s="4"/>
      <c r="CD483" s="4"/>
      <c r="CF483" s="4"/>
    </row>
    <row r="484" spans="66:84">
      <c r="BN484" s="4"/>
      <c r="BO484" s="4"/>
      <c r="BQ484" s="4"/>
      <c r="CC484" s="4"/>
      <c r="CD484" s="4"/>
      <c r="CF484" s="4"/>
    </row>
    <row r="485" spans="66:84">
      <c r="BN485" s="4"/>
      <c r="BO485" s="4"/>
      <c r="BQ485" s="4"/>
      <c r="CC485" s="4"/>
      <c r="CD485" s="4"/>
      <c r="CF485" s="4"/>
    </row>
    <row r="486" spans="66:84">
      <c r="BN486" s="4"/>
      <c r="BO486" s="4"/>
      <c r="BQ486" s="4"/>
      <c r="CC486" s="4"/>
      <c r="CD486" s="4"/>
      <c r="CF486" s="4"/>
    </row>
    <row r="487" spans="66:84">
      <c r="BN487" s="4"/>
      <c r="BO487" s="4"/>
      <c r="BQ487" s="4"/>
      <c r="CC487" s="4"/>
      <c r="CD487" s="4"/>
      <c r="CF487" s="4"/>
    </row>
    <row r="488" spans="66:84">
      <c r="BN488" s="4"/>
      <c r="BO488" s="4"/>
      <c r="BQ488" s="4"/>
      <c r="CC488" s="4"/>
      <c r="CD488" s="4"/>
      <c r="CF488" s="4"/>
    </row>
    <row r="489" spans="66:84">
      <c r="BN489" s="4"/>
      <c r="BO489" s="4"/>
      <c r="BQ489" s="4"/>
      <c r="CC489" s="4"/>
      <c r="CD489" s="4"/>
      <c r="CF489" s="4"/>
    </row>
    <row r="490" spans="66:84">
      <c r="BN490" s="4"/>
      <c r="BO490" s="4"/>
      <c r="BQ490" s="4"/>
      <c r="CC490" s="4"/>
      <c r="CD490" s="4"/>
      <c r="CF490" s="4"/>
    </row>
    <row r="491" spans="66:84">
      <c r="BN491" s="4"/>
      <c r="BO491" s="4"/>
      <c r="BQ491" s="4"/>
      <c r="CC491" s="4"/>
      <c r="CD491" s="4"/>
      <c r="CF491" s="4"/>
    </row>
    <row r="492" spans="66:84">
      <c r="BN492" s="4"/>
      <c r="BO492" s="4"/>
      <c r="BQ492" s="4"/>
      <c r="CC492" s="4"/>
      <c r="CD492" s="4"/>
      <c r="CF492" s="4"/>
    </row>
    <row r="493" spans="66:84">
      <c r="BN493" s="4"/>
      <c r="BO493" s="4"/>
      <c r="BQ493" s="4"/>
      <c r="CC493" s="4"/>
      <c r="CD493" s="4"/>
      <c r="CF493" s="4"/>
    </row>
    <row r="494" spans="66:84">
      <c r="BN494" s="4"/>
      <c r="BO494" s="4"/>
      <c r="BQ494" s="4"/>
      <c r="CC494" s="4"/>
      <c r="CD494" s="4"/>
      <c r="CF494" s="4"/>
    </row>
    <row r="495" spans="66:84">
      <c r="BN495" s="4"/>
      <c r="BO495" s="4"/>
      <c r="BQ495" s="4"/>
      <c r="CC495" s="4"/>
      <c r="CD495" s="4"/>
      <c r="CF495" s="4"/>
    </row>
    <row r="496" spans="66:84">
      <c r="BN496" s="4"/>
      <c r="BO496" s="4"/>
      <c r="BQ496" s="4"/>
      <c r="CC496" s="4"/>
      <c r="CD496" s="4"/>
      <c r="CF496" s="4"/>
    </row>
    <row r="497" spans="66:84">
      <c r="BN497" s="4"/>
      <c r="BO497" s="4"/>
      <c r="BQ497" s="4"/>
      <c r="CC497" s="4"/>
      <c r="CD497" s="4"/>
      <c r="CF497" s="4"/>
    </row>
    <row r="498" spans="66:84">
      <c r="BN498" s="4"/>
      <c r="BO498" s="4"/>
      <c r="BQ498" s="4"/>
      <c r="CC498" s="4"/>
      <c r="CD498" s="4"/>
      <c r="CF498" s="4"/>
    </row>
    <row r="499" spans="66:84">
      <c r="BN499" s="4"/>
      <c r="BO499" s="4"/>
      <c r="BQ499" s="4"/>
      <c r="CC499" s="4"/>
      <c r="CD499" s="4"/>
      <c r="CF499" s="4"/>
    </row>
    <row r="500" spans="66:84">
      <c r="BN500" s="4"/>
      <c r="BO500" s="4"/>
      <c r="BQ500" s="4"/>
      <c r="CC500" s="4"/>
      <c r="CD500" s="4"/>
      <c r="CF500" s="4"/>
    </row>
    <row r="501" spans="66:84">
      <c r="BN501" s="4"/>
      <c r="BO501" s="4"/>
      <c r="BQ501" s="4"/>
      <c r="CC501" s="4"/>
      <c r="CD501" s="4"/>
      <c r="CF501" s="4"/>
    </row>
    <row r="502" spans="66:84">
      <c r="BN502" s="4"/>
      <c r="BO502" s="4"/>
      <c r="BQ502" s="4"/>
      <c r="CC502" s="4"/>
      <c r="CD502" s="4"/>
      <c r="CF502" s="4"/>
    </row>
    <row r="503" spans="66:84">
      <c r="BN503" s="4"/>
      <c r="BO503" s="4"/>
      <c r="BQ503" s="4"/>
      <c r="CC503" s="4"/>
      <c r="CD503" s="4"/>
      <c r="CF503" s="4"/>
    </row>
    <row r="504" spans="66:84">
      <c r="BN504" s="4"/>
      <c r="BO504" s="4"/>
      <c r="BQ504" s="4"/>
      <c r="CC504" s="4"/>
      <c r="CD504" s="4"/>
      <c r="CF504" s="4"/>
    </row>
    <row r="505" spans="66:84">
      <c r="BN505" s="4"/>
      <c r="BO505" s="4"/>
      <c r="BQ505" s="4"/>
      <c r="CC505" s="4"/>
      <c r="CD505" s="4"/>
      <c r="CF505" s="4"/>
    </row>
    <row r="506" spans="66:84">
      <c r="BN506" s="4"/>
      <c r="BO506" s="4"/>
      <c r="BQ506" s="4"/>
      <c r="CC506" s="4"/>
      <c r="CD506" s="4"/>
      <c r="CF506" s="4"/>
    </row>
    <row r="507" spans="66:84">
      <c r="BN507" s="4"/>
      <c r="BO507" s="4"/>
      <c r="BQ507" s="4"/>
      <c r="CC507" s="4"/>
      <c r="CD507" s="4"/>
      <c r="CF507" s="4"/>
    </row>
    <row r="508" spans="66:84">
      <c r="BN508" s="4"/>
      <c r="BO508" s="4"/>
      <c r="BQ508" s="4"/>
      <c r="CC508" s="4"/>
      <c r="CD508" s="4"/>
      <c r="CF508" s="4"/>
    </row>
    <row r="509" spans="66:84">
      <c r="BN509" s="4"/>
      <c r="BO509" s="4"/>
      <c r="BQ509" s="4"/>
      <c r="CC509" s="4"/>
      <c r="CD509" s="4"/>
      <c r="CF509" s="4"/>
    </row>
    <row r="510" spans="66:84">
      <c r="BN510" s="4"/>
      <c r="BO510" s="4"/>
      <c r="BQ510" s="4"/>
      <c r="CC510" s="4"/>
      <c r="CD510" s="4"/>
      <c r="CF510" s="4"/>
    </row>
    <row r="511" spans="66:84">
      <c r="BN511" s="4"/>
      <c r="BO511" s="4"/>
      <c r="BQ511" s="4"/>
      <c r="CC511" s="4"/>
      <c r="CD511" s="4"/>
      <c r="CF511" s="4"/>
    </row>
    <row r="512" spans="66:84">
      <c r="BN512" s="4"/>
      <c r="BO512" s="4"/>
      <c r="BQ512" s="4"/>
      <c r="CC512" s="4"/>
      <c r="CD512" s="4"/>
      <c r="CF512" s="4"/>
    </row>
    <row r="513" spans="66:84">
      <c r="BN513" s="4"/>
      <c r="BO513" s="4"/>
      <c r="BQ513" s="4"/>
      <c r="CC513" s="4"/>
      <c r="CD513" s="4"/>
      <c r="CF513" s="4"/>
    </row>
    <row r="514" spans="66:84">
      <c r="BN514" s="4"/>
      <c r="BO514" s="4"/>
      <c r="BQ514" s="4"/>
      <c r="CC514" s="4"/>
      <c r="CD514" s="4"/>
      <c r="CF514" s="4"/>
    </row>
    <row r="515" spans="66:84">
      <c r="BN515" s="4"/>
      <c r="BO515" s="4"/>
      <c r="BQ515" s="4"/>
      <c r="CC515" s="4"/>
      <c r="CD515" s="4"/>
      <c r="CF515" s="4"/>
    </row>
    <row r="516" spans="66:84">
      <c r="BN516" s="4"/>
      <c r="BO516" s="4"/>
      <c r="BQ516" s="4"/>
      <c r="CC516" s="4"/>
      <c r="CD516" s="4"/>
      <c r="CF516" s="4"/>
    </row>
    <row r="517" spans="66:84">
      <c r="BN517" s="4"/>
      <c r="BO517" s="4"/>
      <c r="BQ517" s="4"/>
      <c r="CC517" s="4"/>
      <c r="CD517" s="4"/>
      <c r="CF517" s="4"/>
    </row>
    <row r="518" spans="66:84">
      <c r="BN518" s="4"/>
      <c r="BO518" s="4"/>
      <c r="BQ518" s="4"/>
      <c r="CC518" s="4"/>
      <c r="CD518" s="4"/>
      <c r="CF518" s="4"/>
    </row>
    <row r="519" spans="66:84">
      <c r="BN519" s="4"/>
      <c r="BO519" s="4"/>
      <c r="BQ519" s="4"/>
      <c r="CC519" s="4"/>
      <c r="CD519" s="4"/>
      <c r="CF519" s="4"/>
    </row>
    <row r="520" spans="66:84">
      <c r="BN520" s="4"/>
      <c r="BO520" s="4"/>
      <c r="BQ520" s="4"/>
      <c r="CC520" s="4"/>
      <c r="CD520" s="4"/>
      <c r="CF520" s="4"/>
    </row>
    <row r="521" spans="66:84">
      <c r="BN521" s="4"/>
      <c r="BO521" s="4"/>
      <c r="BQ521" s="4"/>
      <c r="CC521" s="4"/>
      <c r="CD521" s="4"/>
      <c r="CF521" s="4"/>
    </row>
    <row r="522" spans="66:84">
      <c r="BN522" s="4"/>
      <c r="BO522" s="4"/>
      <c r="BQ522" s="4"/>
      <c r="CC522" s="4"/>
      <c r="CD522" s="4"/>
      <c r="CF522" s="4"/>
    </row>
    <row r="523" spans="66:84">
      <c r="BN523" s="4"/>
      <c r="BO523" s="4"/>
      <c r="BQ523" s="4"/>
      <c r="CC523" s="4"/>
      <c r="CD523" s="4"/>
      <c r="CF523" s="4"/>
    </row>
    <row r="524" spans="66:84">
      <c r="BN524" s="4"/>
      <c r="BO524" s="4"/>
      <c r="BQ524" s="4"/>
      <c r="CC524" s="4"/>
      <c r="CD524" s="4"/>
      <c r="CF524" s="4"/>
    </row>
    <row r="525" spans="66:84">
      <c r="BN525" s="4"/>
      <c r="BO525" s="4"/>
      <c r="BQ525" s="4"/>
      <c r="CC525" s="4"/>
      <c r="CD525" s="4"/>
      <c r="CF525" s="4"/>
    </row>
    <row r="526" spans="66:84">
      <c r="BN526" s="4"/>
      <c r="BO526" s="4"/>
      <c r="BQ526" s="4"/>
      <c r="CC526" s="4"/>
      <c r="CD526" s="4"/>
      <c r="CF526" s="4"/>
    </row>
    <row r="527" spans="66:84">
      <c r="BN527" s="4"/>
      <c r="BO527" s="4"/>
      <c r="BQ527" s="4"/>
      <c r="CC527" s="4"/>
      <c r="CD527" s="4"/>
      <c r="CF527" s="4"/>
    </row>
    <row r="528" spans="66:84">
      <c r="BN528" s="4"/>
      <c r="BO528" s="4"/>
      <c r="BQ528" s="4"/>
      <c r="CC528" s="4"/>
      <c r="CD528" s="4"/>
      <c r="CF528" s="4"/>
    </row>
    <row r="529" spans="66:84">
      <c r="BN529" s="4"/>
      <c r="BO529" s="4"/>
      <c r="BQ529" s="4"/>
      <c r="CC529" s="4"/>
      <c r="CD529" s="4"/>
      <c r="CF529" s="4"/>
    </row>
    <row r="530" spans="66:84">
      <c r="BN530" s="4"/>
      <c r="BO530" s="4"/>
      <c r="BQ530" s="4"/>
      <c r="CC530" s="4"/>
      <c r="CD530" s="4"/>
      <c r="CF530" s="4"/>
    </row>
    <row r="531" spans="66:84">
      <c r="BN531" s="4"/>
      <c r="BO531" s="4"/>
      <c r="BQ531" s="4"/>
      <c r="CC531" s="4"/>
      <c r="CD531" s="4"/>
      <c r="CF531" s="4"/>
    </row>
    <row r="532" spans="66:84">
      <c r="BN532" s="4"/>
      <c r="BO532" s="4"/>
      <c r="BQ532" s="4"/>
      <c r="CC532" s="4"/>
      <c r="CD532" s="4"/>
      <c r="CF532" s="4"/>
    </row>
    <row r="533" spans="66:84">
      <c r="BN533" s="4"/>
      <c r="BO533" s="4"/>
      <c r="BQ533" s="4"/>
      <c r="CC533" s="4"/>
      <c r="CD533" s="4"/>
      <c r="CF533" s="4"/>
    </row>
    <row r="534" spans="66:84">
      <c r="BN534" s="4"/>
      <c r="BO534" s="4"/>
      <c r="BQ534" s="4"/>
      <c r="CC534" s="4"/>
      <c r="CD534" s="4"/>
      <c r="CF534" s="4"/>
    </row>
    <row r="535" spans="66:84">
      <c r="BN535" s="4"/>
      <c r="BO535" s="4"/>
      <c r="BQ535" s="4"/>
      <c r="CC535" s="4"/>
      <c r="CD535" s="4"/>
      <c r="CF535" s="4"/>
    </row>
    <row r="536" spans="66:84">
      <c r="BN536" s="4"/>
      <c r="BO536" s="4"/>
      <c r="BQ536" s="4"/>
      <c r="CC536" s="4"/>
      <c r="CD536" s="4"/>
      <c r="CF536" s="4"/>
    </row>
    <row r="537" spans="66:84">
      <c r="BN537" s="4"/>
      <c r="BO537" s="4"/>
      <c r="BQ537" s="4"/>
      <c r="CC537" s="4"/>
      <c r="CD537" s="4"/>
      <c r="CF537" s="4"/>
    </row>
    <row r="538" spans="66:84">
      <c r="BN538" s="4"/>
      <c r="BO538" s="4"/>
      <c r="BQ538" s="4"/>
      <c r="CC538" s="4"/>
      <c r="CD538" s="4"/>
      <c r="CF538" s="4"/>
    </row>
    <row r="539" spans="66:84">
      <c r="BN539" s="4"/>
      <c r="BO539" s="4"/>
      <c r="BQ539" s="4"/>
      <c r="CC539" s="4"/>
      <c r="CD539" s="4"/>
      <c r="CF539" s="4"/>
    </row>
    <row r="540" spans="66:84">
      <c r="BN540" s="4"/>
      <c r="BO540" s="4"/>
      <c r="BQ540" s="4"/>
      <c r="CC540" s="4"/>
      <c r="CD540" s="4"/>
      <c r="CF540" s="4"/>
    </row>
    <row r="541" spans="66:84">
      <c r="BN541" s="4"/>
      <c r="BO541" s="4"/>
      <c r="BQ541" s="4"/>
      <c r="CC541" s="4"/>
      <c r="CD541" s="4"/>
      <c r="CF541" s="4"/>
    </row>
    <row r="542" spans="66:84">
      <c r="BN542" s="4"/>
      <c r="BO542" s="4"/>
      <c r="BQ542" s="4"/>
      <c r="CC542" s="4"/>
      <c r="CD542" s="4"/>
      <c r="CF542" s="4"/>
    </row>
    <row r="543" spans="66:84">
      <c r="BN543" s="4"/>
      <c r="BO543" s="4"/>
      <c r="BQ543" s="4"/>
      <c r="CC543" s="4"/>
      <c r="CD543" s="4"/>
      <c r="CF543" s="4"/>
    </row>
    <row r="544" spans="66:84">
      <c r="BN544" s="4"/>
      <c r="BO544" s="4"/>
      <c r="BQ544" s="4"/>
      <c r="CC544" s="4"/>
      <c r="CD544" s="4"/>
      <c r="CF544" s="4"/>
    </row>
    <row r="545" spans="66:84">
      <c r="BN545" s="4"/>
      <c r="BO545" s="4"/>
      <c r="BQ545" s="4"/>
      <c r="CC545" s="4"/>
      <c r="CD545" s="4"/>
      <c r="CF545" s="4"/>
    </row>
    <row r="546" spans="66:84">
      <c r="BN546" s="4"/>
      <c r="BO546" s="4"/>
      <c r="BQ546" s="4"/>
      <c r="CC546" s="4"/>
      <c r="CD546" s="4"/>
      <c r="CF546" s="4"/>
    </row>
    <row r="547" spans="66:84">
      <c r="BN547" s="4"/>
      <c r="BO547" s="4"/>
      <c r="BQ547" s="4"/>
      <c r="CC547" s="4"/>
      <c r="CD547" s="4"/>
      <c r="CF547" s="4"/>
    </row>
    <row r="548" spans="66:84">
      <c r="BN548" s="4"/>
      <c r="BO548" s="4"/>
      <c r="BQ548" s="4"/>
      <c r="CC548" s="4"/>
      <c r="CD548" s="4"/>
      <c r="CF548" s="4"/>
    </row>
    <row r="549" spans="66:84">
      <c r="BN549" s="4"/>
      <c r="BO549" s="4"/>
      <c r="BQ549" s="4"/>
      <c r="CC549" s="4"/>
      <c r="CD549" s="4"/>
      <c r="CF549" s="4"/>
    </row>
    <row r="550" spans="66:84">
      <c r="BN550" s="4"/>
      <c r="BO550" s="4"/>
      <c r="BQ550" s="4"/>
      <c r="CC550" s="4"/>
      <c r="CD550" s="4"/>
      <c r="CF550" s="4"/>
    </row>
    <row r="551" spans="66:84">
      <c r="BN551" s="4"/>
      <c r="BO551" s="4"/>
      <c r="BQ551" s="4"/>
      <c r="CC551" s="4"/>
      <c r="CD551" s="4"/>
      <c r="CF551" s="4"/>
    </row>
    <row r="552" spans="66:84">
      <c r="BN552" s="4"/>
      <c r="BO552" s="4"/>
      <c r="BQ552" s="4"/>
      <c r="CC552" s="4"/>
      <c r="CD552" s="4"/>
      <c r="CF552" s="4"/>
    </row>
    <row r="553" spans="66:84">
      <c r="BN553" s="4"/>
      <c r="BO553" s="4"/>
      <c r="BQ553" s="4"/>
      <c r="CC553" s="4"/>
      <c r="CD553" s="4"/>
      <c r="CF553" s="4"/>
    </row>
    <row r="554" spans="66:84">
      <c r="BN554" s="4"/>
      <c r="BO554" s="4"/>
      <c r="BQ554" s="4"/>
      <c r="CC554" s="4"/>
      <c r="CD554" s="4"/>
      <c r="CF554" s="4"/>
    </row>
    <row r="555" spans="66:84">
      <c r="BN555" s="4"/>
      <c r="BO555" s="4"/>
      <c r="BQ555" s="4"/>
      <c r="CC555" s="4"/>
      <c r="CD555" s="4"/>
      <c r="CF555" s="4"/>
    </row>
    <row r="556" spans="66:84">
      <c r="BN556" s="4"/>
      <c r="BO556" s="4"/>
      <c r="BQ556" s="4"/>
      <c r="CC556" s="4"/>
      <c r="CD556" s="4"/>
      <c r="CF556" s="4"/>
    </row>
    <row r="557" spans="66:84">
      <c r="BN557" s="4"/>
      <c r="BO557" s="4"/>
      <c r="BQ557" s="4"/>
      <c r="CC557" s="4"/>
      <c r="CD557" s="4"/>
      <c r="CF557" s="4"/>
    </row>
    <row r="558" spans="66:84">
      <c r="BN558" s="4"/>
      <c r="BO558" s="4"/>
      <c r="BQ558" s="4"/>
      <c r="CC558" s="4"/>
      <c r="CD558" s="4"/>
      <c r="CF558" s="4"/>
    </row>
    <row r="559" spans="66:84">
      <c r="BN559" s="4"/>
      <c r="BO559" s="4"/>
      <c r="BQ559" s="4"/>
      <c r="CC559" s="4"/>
      <c r="CD559" s="4"/>
      <c r="CF559" s="4"/>
    </row>
    <row r="560" spans="66:84">
      <c r="BN560" s="4"/>
      <c r="BO560" s="4"/>
      <c r="BQ560" s="4"/>
      <c r="CC560" s="4"/>
      <c r="CD560" s="4"/>
      <c r="CF560" s="4"/>
    </row>
    <row r="561" spans="66:84">
      <c r="BN561" s="4"/>
      <c r="BO561" s="4"/>
      <c r="BQ561" s="4"/>
      <c r="CC561" s="4"/>
      <c r="CD561" s="4"/>
      <c r="CF561" s="4"/>
    </row>
    <row r="562" spans="66:84">
      <c r="BN562" s="4"/>
      <c r="BO562" s="4"/>
      <c r="BQ562" s="4"/>
      <c r="CC562" s="4"/>
      <c r="CD562" s="4"/>
      <c r="CF562" s="4"/>
    </row>
    <row r="563" spans="66:84">
      <c r="BN563" s="4"/>
      <c r="BO563" s="4"/>
      <c r="BQ563" s="4"/>
      <c r="CC563" s="4"/>
      <c r="CD563" s="4"/>
      <c r="CF563" s="4"/>
    </row>
    <row r="564" spans="66:84">
      <c r="BN564" s="4"/>
      <c r="BO564" s="4"/>
      <c r="BQ564" s="4"/>
      <c r="CC564" s="4"/>
      <c r="CD564" s="4"/>
      <c r="CF564" s="4"/>
    </row>
    <row r="565" spans="66:84">
      <c r="BN565" s="4"/>
      <c r="BO565" s="4"/>
      <c r="BQ565" s="4"/>
      <c r="CC565" s="4"/>
      <c r="CD565" s="4"/>
      <c r="CF565" s="4"/>
    </row>
    <row r="566" spans="66:84">
      <c r="BN566" s="4"/>
      <c r="BO566" s="4"/>
      <c r="BQ566" s="4"/>
      <c r="CC566" s="4"/>
      <c r="CD566" s="4"/>
      <c r="CF566" s="4"/>
    </row>
    <row r="567" spans="66:84">
      <c r="BN567" s="4"/>
      <c r="BO567" s="4"/>
      <c r="BQ567" s="4"/>
      <c r="CC567" s="4"/>
      <c r="CD567" s="4"/>
      <c r="CF567" s="4"/>
    </row>
    <row r="568" spans="66:84">
      <c r="BN568" s="4"/>
      <c r="BO568" s="4"/>
      <c r="BQ568" s="4"/>
      <c r="CC568" s="4"/>
      <c r="CD568" s="4"/>
      <c r="CF568" s="4"/>
    </row>
    <row r="569" spans="66:84">
      <c r="BN569" s="4"/>
      <c r="BO569" s="4"/>
      <c r="BQ569" s="4"/>
      <c r="CC569" s="4"/>
      <c r="CD569" s="4"/>
      <c r="CF569" s="4"/>
    </row>
    <row r="570" spans="66:84">
      <c r="BN570" s="4"/>
      <c r="BO570" s="4"/>
      <c r="BQ570" s="4"/>
      <c r="CC570" s="4"/>
      <c r="CD570" s="4"/>
      <c r="CF570" s="4"/>
    </row>
    <row r="571" spans="66:84">
      <c r="BN571" s="4"/>
      <c r="BO571" s="4"/>
      <c r="BQ571" s="4"/>
      <c r="CC571" s="4"/>
      <c r="CD571" s="4"/>
      <c r="CF571" s="4"/>
    </row>
    <row r="572" spans="66:84">
      <c r="BN572" s="4"/>
      <c r="BO572" s="4"/>
      <c r="BQ572" s="4"/>
      <c r="CC572" s="4"/>
      <c r="CD572" s="4"/>
      <c r="CF572" s="4"/>
    </row>
    <row r="573" spans="66:84">
      <c r="BN573" s="4"/>
      <c r="BO573" s="4"/>
      <c r="BQ573" s="4"/>
      <c r="CC573" s="4"/>
      <c r="CD573" s="4"/>
      <c r="CF573" s="4"/>
    </row>
    <row r="574" spans="66:84">
      <c r="BN574" s="4"/>
      <c r="BO574" s="4"/>
      <c r="BQ574" s="4"/>
      <c r="CC574" s="4"/>
      <c r="CD574" s="4"/>
      <c r="CF574" s="4"/>
    </row>
    <row r="575" spans="66:84">
      <c r="BN575" s="4"/>
      <c r="BO575" s="4"/>
      <c r="BQ575" s="4"/>
      <c r="CC575" s="4"/>
      <c r="CD575" s="4"/>
      <c r="CF575" s="4"/>
    </row>
    <row r="576" spans="66:84">
      <c r="BN576" s="4"/>
      <c r="BO576" s="4"/>
      <c r="BQ576" s="4"/>
      <c r="CC576" s="4"/>
      <c r="CD576" s="4"/>
      <c r="CF576" s="4"/>
    </row>
    <row r="577" spans="66:84">
      <c r="BN577" s="4"/>
      <c r="BO577" s="4"/>
      <c r="BQ577" s="4"/>
      <c r="CC577" s="4"/>
      <c r="CD577" s="4"/>
      <c r="CF577" s="4"/>
    </row>
    <row r="578" spans="66:84">
      <c r="BN578" s="4"/>
      <c r="BO578" s="4"/>
      <c r="BQ578" s="4"/>
      <c r="CC578" s="4"/>
      <c r="CD578" s="4"/>
      <c r="CF578" s="4"/>
    </row>
    <row r="579" spans="66:84">
      <c r="BN579" s="4"/>
      <c r="BO579" s="4"/>
      <c r="BQ579" s="4"/>
      <c r="CC579" s="4"/>
      <c r="CD579" s="4"/>
      <c r="CF579" s="4"/>
    </row>
    <row r="580" spans="66:84">
      <c r="BN580" s="4"/>
      <c r="BO580" s="4"/>
      <c r="BQ580" s="4"/>
      <c r="CC580" s="4"/>
      <c r="CD580" s="4"/>
      <c r="CF580" s="4"/>
    </row>
    <row r="581" spans="66:84">
      <c r="BN581" s="4"/>
      <c r="BO581" s="4"/>
      <c r="BQ581" s="4"/>
      <c r="CC581" s="4"/>
      <c r="CD581" s="4"/>
      <c r="CF581" s="4"/>
    </row>
    <row r="582" spans="66:84">
      <c r="BN582" s="4"/>
      <c r="BO582" s="4"/>
      <c r="BQ582" s="4"/>
      <c r="CC582" s="4"/>
      <c r="CD582" s="4"/>
      <c r="CF582" s="4"/>
    </row>
    <row r="583" spans="66:84">
      <c r="BN583" s="4"/>
      <c r="BO583" s="4"/>
      <c r="BQ583" s="4"/>
      <c r="CC583" s="4"/>
      <c r="CD583" s="4"/>
      <c r="CF583" s="4"/>
    </row>
    <row r="584" spans="66:84">
      <c r="BN584" s="4"/>
      <c r="BO584" s="4"/>
      <c r="BQ584" s="4"/>
      <c r="CC584" s="4"/>
      <c r="CD584" s="4"/>
      <c r="CF584" s="4"/>
    </row>
    <row r="585" spans="66:84">
      <c r="BN585" s="4"/>
      <c r="BO585" s="4"/>
      <c r="BQ585" s="4"/>
      <c r="CC585" s="4"/>
      <c r="CD585" s="4"/>
      <c r="CF585" s="4"/>
    </row>
    <row r="586" spans="66:84">
      <c r="BN586" s="4"/>
      <c r="BO586" s="4"/>
      <c r="BQ586" s="4"/>
      <c r="CC586" s="4"/>
      <c r="CD586" s="4"/>
      <c r="CF586" s="4"/>
    </row>
    <row r="587" spans="66:84">
      <c r="BN587" s="4"/>
      <c r="BO587" s="4"/>
      <c r="BQ587" s="4"/>
      <c r="CC587" s="4"/>
      <c r="CD587" s="4"/>
      <c r="CF587" s="4"/>
    </row>
    <row r="588" spans="66:84">
      <c r="BN588" s="4"/>
      <c r="BO588" s="4"/>
      <c r="BQ588" s="4"/>
      <c r="CC588" s="4"/>
      <c r="CD588" s="4"/>
      <c r="CF588" s="4"/>
    </row>
    <row r="589" spans="66:84">
      <c r="BN589" s="4"/>
      <c r="BO589" s="4"/>
      <c r="BQ589" s="4"/>
      <c r="CC589" s="4"/>
      <c r="CD589" s="4"/>
      <c r="CF589" s="4"/>
    </row>
    <row r="590" spans="66:84">
      <c r="BN590" s="4"/>
      <c r="BO590" s="4"/>
      <c r="BQ590" s="4"/>
      <c r="CC590" s="4"/>
      <c r="CD590" s="4"/>
      <c r="CF590" s="4"/>
    </row>
    <row r="591" spans="66:84">
      <c r="BN591" s="4"/>
      <c r="BO591" s="4"/>
      <c r="BQ591" s="4"/>
      <c r="CC591" s="4"/>
      <c r="CD591" s="4"/>
      <c r="CF591" s="4"/>
    </row>
    <row r="592" spans="66:84">
      <c r="BN592" s="4"/>
      <c r="BO592" s="4"/>
      <c r="BQ592" s="4"/>
      <c r="CC592" s="4"/>
      <c r="CD592" s="4"/>
      <c r="CF592" s="4"/>
    </row>
    <row r="593" spans="66:84">
      <c r="BN593" s="4"/>
      <c r="BO593" s="4"/>
      <c r="BQ593" s="4"/>
      <c r="CC593" s="4"/>
      <c r="CD593" s="4"/>
      <c r="CF593" s="4"/>
    </row>
    <row r="594" spans="66:84">
      <c r="BN594" s="4"/>
      <c r="BO594" s="4"/>
      <c r="BQ594" s="4"/>
      <c r="CC594" s="4"/>
      <c r="CD594" s="4"/>
      <c r="CF594" s="4"/>
    </row>
    <row r="595" spans="66:84">
      <c r="BN595" s="4"/>
      <c r="BO595" s="4"/>
      <c r="BQ595" s="4"/>
      <c r="CC595" s="4"/>
      <c r="CD595" s="4"/>
      <c r="CF595" s="4"/>
    </row>
    <row r="596" spans="66:84">
      <c r="BN596" s="4"/>
      <c r="BO596" s="4"/>
      <c r="BQ596" s="4"/>
      <c r="CC596" s="4"/>
      <c r="CD596" s="4"/>
      <c r="CF596" s="4"/>
    </row>
    <row r="597" spans="66:84">
      <c r="BN597" s="4"/>
      <c r="BO597" s="4"/>
      <c r="BQ597" s="4"/>
      <c r="CC597" s="4"/>
      <c r="CD597" s="4"/>
      <c r="CF597" s="4"/>
    </row>
    <row r="598" spans="66:84">
      <c r="BN598" s="4"/>
      <c r="BO598" s="4"/>
      <c r="BQ598" s="4"/>
      <c r="CC598" s="4"/>
      <c r="CD598" s="4"/>
      <c r="CF598" s="4"/>
    </row>
    <row r="599" spans="66:84">
      <c r="BN599" s="4"/>
      <c r="BO599" s="4"/>
      <c r="BQ599" s="4"/>
      <c r="CC599" s="4"/>
      <c r="CD599" s="4"/>
      <c r="CF599" s="4"/>
    </row>
    <row r="600" spans="66:84">
      <c r="BN600" s="4"/>
      <c r="BO600" s="4"/>
      <c r="BQ600" s="4"/>
      <c r="CC600" s="4"/>
      <c r="CD600" s="4"/>
      <c r="CF600" s="4"/>
    </row>
    <row r="601" spans="66:84">
      <c r="BN601" s="4"/>
      <c r="BO601" s="4"/>
      <c r="BQ601" s="4"/>
      <c r="CC601" s="4"/>
      <c r="CD601" s="4"/>
      <c r="CF601" s="4"/>
    </row>
    <row r="602" spans="66:84">
      <c r="BN602" s="4"/>
      <c r="BO602" s="4"/>
      <c r="BQ602" s="4"/>
      <c r="CC602" s="4"/>
      <c r="CD602" s="4"/>
      <c r="CF602" s="4"/>
    </row>
    <row r="603" spans="66:84">
      <c r="BN603" s="4"/>
      <c r="BO603" s="4"/>
      <c r="BQ603" s="4"/>
      <c r="CC603" s="4"/>
      <c r="CD603" s="4"/>
      <c r="CF603" s="4"/>
    </row>
    <row r="604" spans="66:84">
      <c r="BN604" s="4"/>
      <c r="BO604" s="4"/>
      <c r="BQ604" s="4"/>
      <c r="CC604" s="4"/>
      <c r="CD604" s="4"/>
      <c r="CF604" s="4"/>
    </row>
    <row r="605" spans="66:84">
      <c r="BN605" s="4"/>
      <c r="BO605" s="4"/>
      <c r="BQ605" s="4"/>
      <c r="CC605" s="4"/>
      <c r="CD605" s="4"/>
      <c r="CF605" s="4"/>
    </row>
    <row r="606" spans="66:84">
      <c r="BN606" s="4"/>
      <c r="BO606" s="4"/>
      <c r="BQ606" s="4"/>
      <c r="CC606" s="4"/>
      <c r="CD606" s="4"/>
      <c r="CF606" s="4"/>
    </row>
    <row r="607" spans="66:84">
      <c r="BN607" s="4"/>
      <c r="BO607" s="4"/>
      <c r="BQ607" s="4"/>
      <c r="CC607" s="4"/>
      <c r="CD607" s="4"/>
      <c r="CF607" s="4"/>
    </row>
    <row r="608" spans="66:84">
      <c r="BN608" s="4"/>
      <c r="BO608" s="4"/>
      <c r="BQ608" s="4"/>
      <c r="CC608" s="4"/>
      <c r="CD608" s="4"/>
      <c r="CF608" s="4"/>
    </row>
    <row r="609" spans="66:84">
      <c r="BN609" s="4"/>
      <c r="BO609" s="4"/>
      <c r="BQ609" s="4"/>
      <c r="CC609" s="4"/>
      <c r="CD609" s="4"/>
      <c r="CF609" s="4"/>
    </row>
    <row r="610" spans="66:84">
      <c r="BN610" s="4"/>
      <c r="BO610" s="4"/>
      <c r="BQ610" s="4"/>
      <c r="CC610" s="4"/>
      <c r="CD610" s="4"/>
      <c r="CF610" s="4"/>
    </row>
    <row r="611" spans="66:84">
      <c r="BN611" s="4"/>
      <c r="BO611" s="4"/>
      <c r="BQ611" s="4"/>
      <c r="CC611" s="4"/>
      <c r="CD611" s="4"/>
      <c r="CF611" s="4"/>
    </row>
    <row r="612" spans="66:84">
      <c r="BN612" s="4"/>
      <c r="BO612" s="4"/>
      <c r="BQ612" s="4"/>
      <c r="CC612" s="4"/>
      <c r="CD612" s="4"/>
      <c r="CF612" s="4"/>
    </row>
    <row r="613" spans="66:84">
      <c r="BN613" s="4"/>
      <c r="BO613" s="4"/>
      <c r="BQ613" s="4"/>
      <c r="CC613" s="4"/>
      <c r="CD613" s="4"/>
      <c r="CF613" s="4"/>
    </row>
    <row r="614" spans="66:84">
      <c r="BN614" s="4"/>
      <c r="BO614" s="4"/>
      <c r="BQ614" s="4"/>
      <c r="CC614" s="4"/>
      <c r="CD614" s="4"/>
      <c r="CF614" s="4"/>
    </row>
    <row r="615" spans="66:84">
      <c r="BN615" s="4"/>
      <c r="BO615" s="4"/>
      <c r="BQ615" s="4"/>
      <c r="CC615" s="4"/>
      <c r="CD615" s="4"/>
      <c r="CF615" s="4"/>
    </row>
    <row r="616" spans="66:84">
      <c r="BN616" s="4"/>
      <c r="BO616" s="4"/>
      <c r="BQ616" s="4"/>
      <c r="CC616" s="4"/>
      <c r="CD616" s="4"/>
      <c r="CF616" s="4"/>
    </row>
    <row r="617" spans="66:84">
      <c r="BN617" s="4"/>
      <c r="BO617" s="4"/>
      <c r="BQ617" s="4"/>
      <c r="CC617" s="4"/>
      <c r="CD617" s="4"/>
      <c r="CF617" s="4"/>
    </row>
    <row r="618" spans="66:84">
      <c r="BN618" s="4"/>
      <c r="BO618" s="4"/>
      <c r="BQ618" s="4"/>
      <c r="CC618" s="4"/>
      <c r="CD618" s="4"/>
      <c r="CF618" s="4"/>
    </row>
    <row r="619" spans="66:84">
      <c r="BN619" s="4"/>
      <c r="BO619" s="4"/>
      <c r="BQ619" s="4"/>
      <c r="CC619" s="4"/>
      <c r="CD619" s="4"/>
      <c r="CF619" s="4"/>
    </row>
    <row r="620" spans="66:84">
      <c r="BN620" s="4"/>
      <c r="BO620" s="4"/>
      <c r="BQ620" s="4"/>
      <c r="CC620" s="4"/>
      <c r="CD620" s="4"/>
      <c r="CF620" s="4"/>
    </row>
    <row r="621" spans="66:84">
      <c r="BN621" s="4"/>
      <c r="BO621" s="4"/>
      <c r="BQ621" s="4"/>
      <c r="CC621" s="4"/>
      <c r="CD621" s="4"/>
      <c r="CF621" s="4"/>
    </row>
    <row r="622" spans="66:84">
      <c r="BN622" s="4"/>
      <c r="BO622" s="4"/>
      <c r="BQ622" s="4"/>
      <c r="CC622" s="4"/>
      <c r="CD622" s="4"/>
      <c r="CF622" s="4"/>
    </row>
    <row r="623" spans="66:84">
      <c r="BN623" s="4"/>
      <c r="BO623" s="4"/>
      <c r="BQ623" s="4"/>
      <c r="CC623" s="4"/>
      <c r="CD623" s="4"/>
      <c r="CF623" s="4"/>
    </row>
    <row r="624" spans="66:84">
      <c r="BN624" s="4"/>
      <c r="BO624" s="4"/>
      <c r="BQ624" s="4"/>
      <c r="CC624" s="4"/>
      <c r="CD624" s="4"/>
      <c r="CF624" s="4"/>
    </row>
    <row r="625" spans="66:84">
      <c r="BN625" s="4"/>
      <c r="BO625" s="4"/>
      <c r="BQ625" s="4"/>
      <c r="CC625" s="4"/>
      <c r="CD625" s="4"/>
      <c r="CF625" s="4"/>
    </row>
    <row r="626" spans="66:84">
      <c r="BN626" s="4"/>
      <c r="BO626" s="4"/>
      <c r="BQ626" s="4"/>
      <c r="CC626" s="4"/>
      <c r="CD626" s="4"/>
      <c r="CF626" s="4"/>
    </row>
    <row r="627" spans="66:84">
      <c r="BN627" s="4"/>
      <c r="BO627" s="4"/>
      <c r="BQ627" s="4"/>
      <c r="CC627" s="4"/>
      <c r="CD627" s="4"/>
      <c r="CF627" s="4"/>
    </row>
    <row r="628" spans="66:84">
      <c r="BN628" s="4"/>
      <c r="BO628" s="4"/>
      <c r="BQ628" s="4"/>
      <c r="CC628" s="4"/>
      <c r="CD628" s="4"/>
      <c r="CF628" s="4"/>
    </row>
    <row r="629" spans="66:84">
      <c r="BN629" s="4"/>
      <c r="BO629" s="4"/>
      <c r="BQ629" s="4"/>
      <c r="CC629" s="4"/>
      <c r="CD629" s="4"/>
      <c r="CF629" s="4"/>
    </row>
    <row r="630" spans="66:84">
      <c r="BN630" s="4"/>
      <c r="BO630" s="4"/>
      <c r="BQ630" s="4"/>
      <c r="CC630" s="4"/>
      <c r="CD630" s="4"/>
      <c r="CF630" s="4"/>
    </row>
    <row r="631" spans="66:84">
      <c r="BN631" s="4"/>
      <c r="BO631" s="4"/>
      <c r="BQ631" s="4"/>
      <c r="CC631" s="4"/>
      <c r="CD631" s="4"/>
      <c r="CF631" s="4"/>
    </row>
    <row r="632" spans="66:84">
      <c r="BN632" s="4"/>
      <c r="BO632" s="4"/>
      <c r="BQ632" s="4"/>
      <c r="CC632" s="4"/>
      <c r="CD632" s="4"/>
      <c r="CF632" s="4"/>
    </row>
    <row r="633" spans="66:84">
      <c r="BN633" s="4"/>
      <c r="BO633" s="4"/>
      <c r="BQ633" s="4"/>
      <c r="CC633" s="4"/>
      <c r="CD633" s="4"/>
      <c r="CF633" s="4"/>
    </row>
    <row r="634" spans="66:84">
      <c r="BN634" s="4"/>
      <c r="BO634" s="4"/>
      <c r="BQ634" s="4"/>
      <c r="CC634" s="4"/>
      <c r="CD634" s="4"/>
      <c r="CF634" s="4"/>
    </row>
    <row r="635" spans="66:84">
      <c r="BN635" s="4"/>
      <c r="BO635" s="4"/>
      <c r="BQ635" s="4"/>
      <c r="CC635" s="4"/>
      <c r="CD635" s="4"/>
      <c r="CF635" s="4"/>
    </row>
    <row r="636" spans="66:84">
      <c r="BN636" s="4"/>
      <c r="BO636" s="4"/>
      <c r="BQ636" s="4"/>
      <c r="CC636" s="4"/>
      <c r="CD636" s="4"/>
      <c r="CF636" s="4"/>
    </row>
    <row r="637" spans="66:84">
      <c r="BN637" s="4"/>
      <c r="BO637" s="4"/>
      <c r="BQ637" s="4"/>
      <c r="CC637" s="4"/>
      <c r="CD637" s="4"/>
      <c r="CF637" s="4"/>
    </row>
    <row r="638" spans="66:84">
      <c r="BN638" s="4"/>
      <c r="BO638" s="4"/>
      <c r="BQ638" s="4"/>
      <c r="CC638" s="4"/>
      <c r="CD638" s="4"/>
      <c r="CF638" s="4"/>
    </row>
    <row r="639" spans="66:84">
      <c r="BN639" s="4"/>
      <c r="BO639" s="4"/>
      <c r="BQ639" s="4"/>
      <c r="CC639" s="4"/>
      <c r="CD639" s="4"/>
      <c r="CF639" s="4"/>
    </row>
    <row r="640" spans="66:84">
      <c r="BN640" s="4"/>
      <c r="BO640" s="4"/>
      <c r="BQ640" s="4"/>
      <c r="CC640" s="4"/>
      <c r="CD640" s="4"/>
      <c r="CF640" s="4"/>
    </row>
    <row r="641" spans="66:84">
      <c r="BN641" s="4"/>
      <c r="BO641" s="4"/>
      <c r="BQ641" s="4"/>
      <c r="CC641" s="4"/>
      <c r="CD641" s="4"/>
      <c r="CF641" s="4"/>
    </row>
    <row r="642" spans="66:84">
      <c r="BN642" s="4"/>
      <c r="BO642" s="4"/>
      <c r="BQ642" s="4"/>
      <c r="CC642" s="4"/>
      <c r="CD642" s="4"/>
      <c r="CF642" s="4"/>
    </row>
    <row r="643" spans="66:84">
      <c r="BN643" s="4"/>
      <c r="BO643" s="4"/>
      <c r="BQ643" s="4"/>
      <c r="CC643" s="4"/>
      <c r="CD643" s="4"/>
      <c r="CF643" s="4"/>
    </row>
    <row r="644" spans="66:84">
      <c r="BN644" s="4"/>
      <c r="BO644" s="4"/>
      <c r="BQ644" s="4"/>
      <c r="CC644" s="4"/>
      <c r="CD644" s="4"/>
      <c r="CF644" s="4"/>
    </row>
    <row r="645" spans="66:84">
      <c r="BN645" s="4"/>
      <c r="BO645" s="4"/>
      <c r="BQ645" s="4"/>
      <c r="CC645" s="4"/>
      <c r="CD645" s="4"/>
      <c r="CF645" s="4"/>
    </row>
    <row r="646" spans="66:84">
      <c r="BN646" s="4"/>
      <c r="BO646" s="4"/>
      <c r="BQ646" s="4"/>
      <c r="CC646" s="4"/>
      <c r="CD646" s="4"/>
      <c r="CF646" s="4"/>
    </row>
    <row r="647" spans="66:84">
      <c r="BN647" s="4"/>
      <c r="BO647" s="4"/>
      <c r="BQ647" s="4"/>
      <c r="CC647" s="4"/>
      <c r="CD647" s="4"/>
      <c r="CF647" s="4"/>
    </row>
    <row r="648" spans="66:84">
      <c r="BN648" s="4"/>
      <c r="BO648" s="4"/>
      <c r="BQ648" s="4"/>
      <c r="CC648" s="4"/>
      <c r="CD648" s="4"/>
      <c r="CF648" s="4"/>
    </row>
    <row r="649" spans="66:84">
      <c r="BN649" s="4"/>
      <c r="BO649" s="4"/>
      <c r="BQ649" s="4"/>
      <c r="CC649" s="4"/>
      <c r="CD649" s="4"/>
      <c r="CF649" s="4"/>
    </row>
    <row r="650" spans="66:84">
      <c r="BN650" s="4"/>
      <c r="BO650" s="4"/>
      <c r="BQ650" s="4"/>
      <c r="CC650" s="4"/>
      <c r="CD650" s="4"/>
      <c r="CF650" s="4"/>
    </row>
    <row r="651" spans="66:84">
      <c r="BN651" s="4"/>
      <c r="BO651" s="4"/>
      <c r="BQ651" s="4"/>
      <c r="CC651" s="4"/>
      <c r="CD651" s="4"/>
      <c r="CF651" s="4"/>
    </row>
    <row r="652" spans="66:84">
      <c r="BN652" s="4"/>
      <c r="BO652" s="4"/>
      <c r="BQ652" s="4"/>
      <c r="CC652" s="4"/>
      <c r="CD652" s="4"/>
      <c r="CF652" s="4"/>
    </row>
    <row r="653" spans="66:84">
      <c r="BN653" s="4"/>
      <c r="BO653" s="4"/>
      <c r="BQ653" s="4"/>
      <c r="CC653" s="4"/>
      <c r="CD653" s="4"/>
      <c r="CF653" s="4"/>
    </row>
    <row r="654" spans="66:84">
      <c r="BN654" s="4"/>
      <c r="BO654" s="4"/>
      <c r="BQ654" s="4"/>
      <c r="CC654" s="4"/>
      <c r="CD654" s="4"/>
      <c r="CF654" s="4"/>
    </row>
    <row r="655" spans="66:84">
      <c r="BN655" s="4"/>
      <c r="BO655" s="4"/>
      <c r="BQ655" s="4"/>
      <c r="CC655" s="4"/>
      <c r="CD655" s="4"/>
      <c r="CF655" s="4"/>
    </row>
    <row r="656" spans="66:84">
      <c r="BN656" s="4"/>
      <c r="BO656" s="4"/>
      <c r="BQ656" s="4"/>
      <c r="CC656" s="4"/>
      <c r="CD656" s="4"/>
      <c r="CF656" s="4"/>
    </row>
    <row r="657" spans="66:84">
      <c r="BN657" s="4"/>
      <c r="BO657" s="4"/>
      <c r="BQ657" s="4"/>
      <c r="CC657" s="4"/>
      <c r="CD657" s="4"/>
      <c r="CF657" s="4"/>
    </row>
    <row r="658" spans="66:84">
      <c r="BN658" s="4"/>
      <c r="BO658" s="4"/>
      <c r="BQ658" s="4"/>
      <c r="CC658" s="4"/>
      <c r="CD658" s="4"/>
      <c r="CF658" s="4"/>
    </row>
    <row r="659" spans="66:84">
      <c r="BN659" s="4"/>
      <c r="BO659" s="4"/>
      <c r="BQ659" s="4"/>
      <c r="CC659" s="4"/>
      <c r="CD659" s="4"/>
      <c r="CF659" s="4"/>
    </row>
    <row r="660" spans="66:84">
      <c r="BN660" s="4"/>
      <c r="BO660" s="4"/>
      <c r="BQ660" s="4"/>
      <c r="CC660" s="4"/>
      <c r="CD660" s="4"/>
      <c r="CF660" s="4"/>
    </row>
    <row r="661" spans="66:84">
      <c r="BN661" s="4"/>
      <c r="BO661" s="4"/>
      <c r="BQ661" s="4"/>
      <c r="CC661" s="4"/>
      <c r="CD661" s="4"/>
      <c r="CF661" s="4"/>
    </row>
    <row r="662" spans="66:84">
      <c r="BN662" s="4"/>
      <c r="BO662" s="4"/>
      <c r="BQ662" s="4"/>
      <c r="CC662" s="4"/>
      <c r="CD662" s="4"/>
      <c r="CF662" s="4"/>
    </row>
    <row r="663" spans="66:84">
      <c r="BN663" s="4"/>
      <c r="BO663" s="4"/>
      <c r="BQ663" s="4"/>
      <c r="CC663" s="4"/>
      <c r="CD663" s="4"/>
      <c r="CF663" s="4"/>
    </row>
    <row r="664" spans="66:84">
      <c r="BN664" s="4"/>
      <c r="BO664" s="4"/>
      <c r="BQ664" s="4"/>
      <c r="CC664" s="4"/>
      <c r="CD664" s="4"/>
      <c r="CF664" s="4"/>
    </row>
    <row r="665" spans="66:84">
      <c r="BN665" s="4"/>
      <c r="BO665" s="4"/>
      <c r="BQ665" s="4"/>
      <c r="CC665" s="4"/>
      <c r="CD665" s="4"/>
      <c r="CF665" s="4"/>
    </row>
    <row r="666" spans="66:84">
      <c r="BN666" s="4"/>
      <c r="BO666" s="4"/>
      <c r="BQ666" s="4"/>
      <c r="CC666" s="4"/>
      <c r="CD666" s="4"/>
      <c r="CF666" s="4"/>
    </row>
    <row r="667" spans="66:84">
      <c r="BN667" s="4"/>
      <c r="BO667" s="4"/>
      <c r="BQ667" s="4"/>
      <c r="CC667" s="4"/>
      <c r="CD667" s="4"/>
      <c r="CF667" s="4"/>
    </row>
    <row r="668" spans="66:84">
      <c r="BN668" s="4"/>
      <c r="BO668" s="4"/>
      <c r="BQ668" s="4"/>
      <c r="CC668" s="4"/>
      <c r="CD668" s="4"/>
      <c r="CF668" s="4"/>
    </row>
    <row r="669" spans="66:84">
      <c r="BN669" s="4"/>
      <c r="BO669" s="4"/>
      <c r="BQ669" s="4"/>
      <c r="CC669" s="4"/>
      <c r="CD669" s="4"/>
      <c r="CF669" s="4"/>
    </row>
    <row r="670" spans="66:84">
      <c r="BN670" s="4"/>
      <c r="BO670" s="4"/>
      <c r="BQ670" s="4"/>
      <c r="CC670" s="4"/>
      <c r="CD670" s="4"/>
      <c r="CF670" s="4"/>
    </row>
    <row r="671" spans="66:84">
      <c r="BN671" s="4"/>
      <c r="BO671" s="4"/>
      <c r="BQ671" s="4"/>
      <c r="CC671" s="4"/>
      <c r="CD671" s="4"/>
      <c r="CF671" s="4"/>
    </row>
    <row r="672" spans="66:84">
      <c r="BN672" s="4"/>
      <c r="BO672" s="4"/>
      <c r="BQ672" s="4"/>
      <c r="CC672" s="4"/>
      <c r="CD672" s="4"/>
      <c r="CF672" s="4"/>
    </row>
    <row r="673" spans="66:84">
      <c r="BN673" s="4"/>
      <c r="BO673" s="4"/>
      <c r="BQ673" s="4"/>
      <c r="CC673" s="4"/>
      <c r="CD673" s="4"/>
      <c r="CF673" s="4"/>
    </row>
    <row r="674" spans="66:84">
      <c r="BN674" s="4"/>
      <c r="BO674" s="4"/>
      <c r="BQ674" s="4"/>
      <c r="CC674" s="4"/>
      <c r="CD674" s="4"/>
      <c r="CF674" s="4"/>
    </row>
    <row r="675" spans="66:84">
      <c r="BN675" s="4"/>
      <c r="BO675" s="4"/>
      <c r="BQ675" s="4"/>
      <c r="CC675" s="4"/>
      <c r="CD675" s="4"/>
      <c r="CF675" s="4"/>
    </row>
    <row r="676" spans="66:84">
      <c r="BN676" s="4"/>
      <c r="BO676" s="4"/>
      <c r="BQ676" s="4"/>
      <c r="CC676" s="4"/>
      <c r="CD676" s="4"/>
      <c r="CF676" s="4"/>
    </row>
    <row r="677" spans="66:84">
      <c r="BN677" s="4"/>
      <c r="BO677" s="4"/>
      <c r="BQ677" s="4"/>
      <c r="CC677" s="4"/>
      <c r="CD677" s="4"/>
      <c r="CF677" s="4"/>
    </row>
    <row r="678" spans="66:84">
      <c r="BN678" s="4"/>
      <c r="BO678" s="4"/>
      <c r="BQ678" s="4"/>
      <c r="CC678" s="4"/>
      <c r="CD678" s="4"/>
      <c r="CF678" s="4"/>
    </row>
    <row r="679" spans="66:84">
      <c r="BN679" s="4"/>
      <c r="BO679" s="4"/>
      <c r="BQ679" s="4"/>
      <c r="CC679" s="4"/>
      <c r="CD679" s="4"/>
      <c r="CF679" s="4"/>
    </row>
    <row r="680" spans="66:84">
      <c r="BN680" s="4"/>
      <c r="BO680" s="4"/>
      <c r="BQ680" s="4"/>
      <c r="CC680" s="4"/>
      <c r="CD680" s="4"/>
      <c r="CF680" s="4"/>
    </row>
    <row r="681" spans="66:84">
      <c r="BN681" s="4"/>
      <c r="BO681" s="4"/>
      <c r="BQ681" s="4"/>
      <c r="CC681" s="4"/>
      <c r="CD681" s="4"/>
      <c r="CF681" s="4"/>
    </row>
    <row r="682" spans="66:84">
      <c r="BN682" s="4"/>
      <c r="BO682" s="4"/>
      <c r="BQ682" s="4"/>
      <c r="CC682" s="4"/>
      <c r="CD682" s="4"/>
      <c r="CF682" s="4"/>
    </row>
    <row r="683" spans="66:84">
      <c r="BN683" s="4"/>
      <c r="BO683" s="4"/>
      <c r="BQ683" s="4"/>
      <c r="CC683" s="4"/>
      <c r="CD683" s="4"/>
      <c r="CF683" s="4"/>
    </row>
    <row r="684" spans="66:84">
      <c r="BN684" s="4"/>
      <c r="BO684" s="4"/>
      <c r="BQ684" s="4"/>
      <c r="CC684" s="4"/>
      <c r="CD684" s="4"/>
      <c r="CF684" s="4"/>
    </row>
    <row r="685" spans="66:84">
      <c r="BN685" s="4"/>
      <c r="BO685" s="4"/>
      <c r="BQ685" s="4"/>
      <c r="CC685" s="4"/>
      <c r="CD685" s="4"/>
      <c r="CF685" s="4"/>
    </row>
    <row r="686" spans="66:84">
      <c r="BN686" s="4"/>
      <c r="BO686" s="4"/>
      <c r="BQ686" s="4"/>
      <c r="CC686" s="4"/>
      <c r="CD686" s="4"/>
      <c r="CF686" s="4"/>
    </row>
    <row r="687" spans="66:84">
      <c r="BN687" s="4"/>
      <c r="BO687" s="4"/>
      <c r="BQ687" s="4"/>
      <c r="CC687" s="4"/>
      <c r="CD687" s="4"/>
      <c r="CF687" s="4"/>
    </row>
    <row r="688" spans="66:84">
      <c r="BN688" s="4"/>
      <c r="BO688" s="4"/>
      <c r="BQ688" s="4"/>
      <c r="CC688" s="4"/>
      <c r="CD688" s="4"/>
      <c r="CF688" s="4"/>
    </row>
    <row r="689" spans="66:84">
      <c r="BN689" s="4"/>
      <c r="BO689" s="4"/>
      <c r="BQ689" s="4"/>
      <c r="CC689" s="4"/>
      <c r="CD689" s="4"/>
      <c r="CF689" s="4"/>
    </row>
    <row r="690" spans="66:84">
      <c r="BN690" s="4"/>
      <c r="BO690" s="4"/>
      <c r="BQ690" s="4"/>
      <c r="CC690" s="4"/>
      <c r="CD690" s="4"/>
      <c r="CF690" s="4"/>
    </row>
    <row r="691" spans="66:84">
      <c r="BN691" s="4"/>
      <c r="BO691" s="4"/>
      <c r="BQ691" s="4"/>
      <c r="CC691" s="4"/>
      <c r="CD691" s="4"/>
      <c r="CF691" s="4"/>
    </row>
    <row r="692" spans="66:84">
      <c r="BN692" s="4"/>
      <c r="BO692" s="4"/>
      <c r="BQ692" s="4"/>
      <c r="CC692" s="4"/>
      <c r="CD692" s="4"/>
      <c r="CF692" s="4"/>
    </row>
    <row r="693" spans="66:84">
      <c r="BN693" s="4"/>
      <c r="BO693" s="4"/>
      <c r="BQ693" s="4"/>
      <c r="CC693" s="4"/>
      <c r="CD693" s="4"/>
      <c r="CF693" s="4"/>
    </row>
    <row r="694" spans="66:84">
      <c r="BN694" s="4"/>
      <c r="BO694" s="4"/>
      <c r="BQ694" s="4"/>
      <c r="CC694" s="4"/>
      <c r="CD694" s="4"/>
      <c r="CF694" s="4"/>
    </row>
    <row r="695" spans="66:84">
      <c r="BN695" s="4"/>
      <c r="BO695" s="4"/>
      <c r="BQ695" s="4"/>
      <c r="CC695" s="4"/>
      <c r="CD695" s="4"/>
      <c r="CF695" s="4"/>
    </row>
    <row r="696" spans="66:84">
      <c r="BN696" s="4"/>
      <c r="BO696" s="4"/>
      <c r="BQ696" s="4"/>
      <c r="CC696" s="4"/>
      <c r="CD696" s="4"/>
      <c r="CF696" s="4"/>
    </row>
    <row r="697" spans="66:84">
      <c r="BN697" s="4"/>
      <c r="BO697" s="4"/>
      <c r="BQ697" s="4"/>
      <c r="CC697" s="4"/>
      <c r="CD697" s="4"/>
      <c r="CF697" s="4"/>
    </row>
    <row r="698" spans="66:84">
      <c r="BN698" s="4"/>
      <c r="BO698" s="4"/>
      <c r="BQ698" s="4"/>
      <c r="CC698" s="4"/>
      <c r="CD698" s="4"/>
      <c r="CF698" s="4"/>
    </row>
    <row r="699" spans="66:84">
      <c r="BN699" s="4"/>
      <c r="BO699" s="4"/>
      <c r="BQ699" s="4"/>
      <c r="CC699" s="4"/>
      <c r="CD699" s="4"/>
      <c r="CF699" s="4"/>
    </row>
    <row r="700" spans="66:84">
      <c r="BN700" s="4"/>
      <c r="BO700" s="4"/>
      <c r="BQ700" s="4"/>
      <c r="CC700" s="4"/>
      <c r="CD700" s="4"/>
      <c r="CF700" s="4"/>
    </row>
    <row r="701" spans="66:84">
      <c r="BN701" s="4"/>
      <c r="BO701" s="4"/>
      <c r="BQ701" s="4"/>
      <c r="CC701" s="4"/>
      <c r="CD701" s="4"/>
      <c r="CF701" s="4"/>
    </row>
    <row r="702" spans="66:84">
      <c r="BN702" s="4"/>
      <c r="BO702" s="4"/>
      <c r="BQ702" s="4"/>
      <c r="CC702" s="4"/>
      <c r="CD702" s="4"/>
      <c r="CF702" s="4"/>
    </row>
    <row r="703" spans="66:84">
      <c r="BN703" s="4"/>
      <c r="BO703" s="4"/>
      <c r="BQ703" s="4"/>
      <c r="CC703" s="4"/>
      <c r="CD703" s="4"/>
      <c r="CF703" s="4"/>
    </row>
    <row r="704" spans="66:84">
      <c r="BN704" s="4"/>
      <c r="BO704" s="4"/>
      <c r="BQ704" s="4"/>
      <c r="CC704" s="4"/>
      <c r="CD704" s="4"/>
      <c r="CF704" s="4"/>
    </row>
    <row r="705" spans="66:84">
      <c r="BN705" s="4"/>
      <c r="BO705" s="4"/>
      <c r="BQ705" s="4"/>
      <c r="CC705" s="4"/>
      <c r="CD705" s="4"/>
      <c r="CF705" s="4"/>
    </row>
    <row r="706" spans="66:84">
      <c r="BN706" s="4"/>
      <c r="BO706" s="4"/>
      <c r="BQ706" s="4"/>
      <c r="CC706" s="4"/>
      <c r="CD706" s="4"/>
      <c r="CF706" s="4"/>
    </row>
    <row r="707" spans="66:84">
      <c r="BN707" s="4"/>
      <c r="BO707" s="4"/>
      <c r="BQ707" s="4"/>
      <c r="CC707" s="4"/>
      <c r="CD707" s="4"/>
      <c r="CF707" s="4"/>
    </row>
    <row r="708" spans="66:84">
      <c r="BN708" s="4"/>
      <c r="BO708" s="4"/>
      <c r="BQ708" s="4"/>
      <c r="CC708" s="4"/>
      <c r="CD708" s="4"/>
      <c r="CF708" s="4"/>
    </row>
    <row r="709" spans="66:84">
      <c r="BN709" s="4"/>
      <c r="BO709" s="4"/>
      <c r="BQ709" s="4"/>
      <c r="CC709" s="4"/>
      <c r="CD709" s="4"/>
      <c r="CF709" s="4"/>
    </row>
    <row r="710" spans="66:84">
      <c r="BN710" s="4"/>
      <c r="BO710" s="4"/>
      <c r="BQ710" s="4"/>
      <c r="CC710" s="4"/>
      <c r="CD710" s="4"/>
      <c r="CF710" s="4"/>
    </row>
    <row r="711" spans="66:84">
      <c r="BN711" s="4"/>
      <c r="BO711" s="4"/>
      <c r="BQ711" s="4"/>
      <c r="CC711" s="4"/>
      <c r="CD711" s="4"/>
      <c r="CF711" s="4"/>
    </row>
    <row r="712" spans="66:84">
      <c r="BN712" s="4"/>
      <c r="BO712" s="4"/>
      <c r="BQ712" s="4"/>
      <c r="CC712" s="4"/>
      <c r="CD712" s="4"/>
      <c r="CF712" s="4"/>
    </row>
    <row r="713" spans="66:84">
      <c r="BN713" s="4"/>
      <c r="BO713" s="4"/>
      <c r="BQ713" s="4"/>
      <c r="CC713" s="4"/>
      <c r="CD713" s="4"/>
      <c r="CF713" s="4"/>
    </row>
    <row r="714" spans="66:84">
      <c r="BN714" s="4"/>
      <c r="BO714" s="4"/>
      <c r="BQ714" s="4"/>
      <c r="CC714" s="4"/>
      <c r="CD714" s="4"/>
      <c r="CF714" s="4"/>
    </row>
    <row r="715" spans="66:84">
      <c r="BN715" s="4"/>
      <c r="BO715" s="4"/>
      <c r="BQ715" s="4"/>
      <c r="CC715" s="4"/>
      <c r="CD715" s="4"/>
      <c r="CF715" s="4"/>
    </row>
    <row r="716" spans="66:84">
      <c r="BN716" s="4"/>
      <c r="BO716" s="4"/>
      <c r="BQ716" s="4"/>
      <c r="CC716" s="4"/>
      <c r="CD716" s="4"/>
      <c r="CF716" s="4"/>
    </row>
    <row r="717" spans="66:84">
      <c r="BN717" s="4"/>
      <c r="BO717" s="4"/>
      <c r="BQ717" s="4"/>
      <c r="CC717" s="4"/>
      <c r="CD717" s="4"/>
      <c r="CF717" s="4"/>
    </row>
    <row r="718" spans="66:84">
      <c r="BN718" s="4"/>
      <c r="BO718" s="4"/>
      <c r="BQ718" s="4"/>
      <c r="CC718" s="4"/>
      <c r="CD718" s="4"/>
      <c r="CF718" s="4"/>
    </row>
    <row r="719" spans="66:84">
      <c r="BN719" s="4"/>
      <c r="BO719" s="4"/>
      <c r="BQ719" s="4"/>
      <c r="CC719" s="4"/>
      <c r="CD719" s="4"/>
      <c r="CF719" s="4"/>
    </row>
    <row r="720" spans="66:84">
      <c r="BN720" s="4"/>
      <c r="BO720" s="4"/>
      <c r="BQ720" s="4"/>
      <c r="CC720" s="4"/>
      <c r="CD720" s="4"/>
      <c r="CF720" s="4"/>
    </row>
    <row r="721" spans="66:84">
      <c r="BN721" s="4"/>
      <c r="BO721" s="4"/>
      <c r="BQ721" s="4"/>
      <c r="CC721" s="4"/>
      <c r="CD721" s="4"/>
      <c r="CF721" s="4"/>
    </row>
    <row r="722" spans="66:84">
      <c r="BN722" s="4"/>
      <c r="BO722" s="4"/>
      <c r="BQ722" s="4"/>
      <c r="CC722" s="4"/>
      <c r="CD722" s="4"/>
      <c r="CF722" s="4"/>
    </row>
    <row r="723" spans="66:84">
      <c r="BN723" s="4"/>
      <c r="BO723" s="4"/>
      <c r="BQ723" s="4"/>
      <c r="CC723" s="4"/>
      <c r="CD723" s="4"/>
      <c r="CF723" s="4"/>
    </row>
    <row r="724" spans="66:84">
      <c r="BN724" s="4"/>
      <c r="BO724" s="4"/>
      <c r="BQ724" s="4"/>
      <c r="CC724" s="4"/>
      <c r="CD724" s="4"/>
      <c r="CF724" s="4"/>
    </row>
    <row r="725" spans="66:84">
      <c r="BN725" s="4"/>
      <c r="BO725" s="4"/>
      <c r="BQ725" s="4"/>
      <c r="CC725" s="4"/>
      <c r="CD725" s="4"/>
      <c r="CF725" s="4"/>
    </row>
    <row r="726" spans="66:84">
      <c r="BN726" s="4"/>
      <c r="BO726" s="4"/>
      <c r="BQ726" s="4"/>
      <c r="CC726" s="4"/>
      <c r="CD726" s="4"/>
      <c r="CF726" s="4"/>
    </row>
    <row r="727" spans="66:84">
      <c r="BN727" s="4"/>
      <c r="BO727" s="4"/>
      <c r="BQ727" s="4"/>
      <c r="CC727" s="4"/>
      <c r="CD727" s="4"/>
      <c r="CF727" s="4"/>
    </row>
    <row r="728" spans="66:84">
      <c r="BN728" s="4"/>
      <c r="BO728" s="4"/>
      <c r="BQ728" s="4"/>
      <c r="CC728" s="4"/>
      <c r="CD728" s="4"/>
      <c r="CF728" s="4"/>
    </row>
    <row r="729" spans="66:84">
      <c r="BN729" s="4"/>
      <c r="BO729" s="4"/>
      <c r="BQ729" s="4"/>
      <c r="CC729" s="4"/>
      <c r="CD729" s="4"/>
      <c r="CF729" s="4"/>
    </row>
    <row r="730" spans="66:84">
      <c r="BN730" s="4"/>
      <c r="BO730" s="4"/>
      <c r="BQ730" s="4"/>
      <c r="CC730" s="4"/>
      <c r="CD730" s="4"/>
      <c r="CF730" s="4"/>
    </row>
    <row r="731" spans="66:84">
      <c r="BN731" s="4"/>
      <c r="BO731" s="4"/>
      <c r="BQ731" s="4"/>
      <c r="CC731" s="4"/>
      <c r="CD731" s="4"/>
      <c r="CF731" s="4"/>
    </row>
    <row r="732" spans="66:84">
      <c r="BN732" s="4"/>
      <c r="BO732" s="4"/>
      <c r="BQ732" s="4"/>
      <c r="CC732" s="4"/>
      <c r="CD732" s="4"/>
      <c r="CF732" s="4"/>
    </row>
    <row r="733" spans="66:84">
      <c r="BN733" s="4"/>
      <c r="BO733" s="4"/>
      <c r="BQ733" s="4"/>
      <c r="CC733" s="4"/>
      <c r="CD733" s="4"/>
      <c r="CF733" s="4"/>
    </row>
    <row r="734" spans="66:84">
      <c r="BN734" s="4"/>
      <c r="BO734" s="4"/>
      <c r="BQ734" s="4"/>
      <c r="CC734" s="4"/>
      <c r="CD734" s="4"/>
      <c r="CF734" s="4"/>
    </row>
    <row r="735" spans="66:84">
      <c r="BN735" s="4"/>
      <c r="BO735" s="4"/>
      <c r="BQ735" s="4"/>
      <c r="CC735" s="4"/>
      <c r="CD735" s="4"/>
      <c r="CF735" s="4"/>
    </row>
    <row r="736" spans="66:84">
      <c r="BN736" s="4"/>
      <c r="BO736" s="4"/>
      <c r="BQ736" s="4"/>
      <c r="CC736" s="4"/>
      <c r="CD736" s="4"/>
      <c r="CF736" s="4"/>
    </row>
    <row r="737" spans="66:84">
      <c r="BN737" s="4"/>
      <c r="BO737" s="4"/>
      <c r="BQ737" s="4"/>
      <c r="CC737" s="4"/>
      <c r="CD737" s="4"/>
      <c r="CF737" s="4"/>
    </row>
    <row r="738" spans="66:84">
      <c r="BN738" s="4"/>
      <c r="BO738" s="4"/>
      <c r="BQ738" s="4"/>
      <c r="CC738" s="4"/>
      <c r="CD738" s="4"/>
      <c r="CF738" s="4"/>
    </row>
    <row r="739" spans="66:84">
      <c r="BN739" s="4"/>
      <c r="BO739" s="4"/>
      <c r="BQ739" s="4"/>
      <c r="CC739" s="4"/>
      <c r="CD739" s="4"/>
      <c r="CF739" s="4"/>
    </row>
    <row r="740" spans="66:84">
      <c r="BN740" s="4"/>
      <c r="BO740" s="4"/>
      <c r="BQ740" s="4"/>
      <c r="CC740" s="4"/>
      <c r="CD740" s="4"/>
      <c r="CF740" s="4"/>
    </row>
    <row r="741" spans="66:84">
      <c r="BN741" s="4"/>
      <c r="BO741" s="4"/>
      <c r="BQ741" s="4"/>
      <c r="CC741" s="4"/>
      <c r="CD741" s="4"/>
      <c r="CF741" s="4"/>
    </row>
    <row r="742" spans="66:84">
      <c r="BN742" s="4"/>
      <c r="BO742" s="4"/>
      <c r="BQ742" s="4"/>
      <c r="CC742" s="4"/>
      <c r="CD742" s="4"/>
      <c r="CF742" s="4"/>
    </row>
    <row r="743" spans="66:84">
      <c r="BN743" s="4"/>
      <c r="BO743" s="4"/>
      <c r="BQ743" s="4"/>
      <c r="CC743" s="4"/>
      <c r="CD743" s="4"/>
      <c r="CF743" s="4"/>
    </row>
    <row r="744" spans="66:84">
      <c r="BN744" s="4"/>
      <c r="BO744" s="4"/>
      <c r="BQ744" s="4"/>
      <c r="CC744" s="4"/>
      <c r="CD744" s="4"/>
      <c r="CF744" s="4"/>
    </row>
    <row r="745" spans="66:84">
      <c r="BN745" s="4"/>
      <c r="BO745" s="4"/>
      <c r="BQ745" s="4"/>
      <c r="CC745" s="4"/>
      <c r="CD745" s="4"/>
      <c r="CF745" s="4"/>
    </row>
    <row r="746" spans="66:84">
      <c r="BN746" s="4"/>
      <c r="BO746" s="4"/>
      <c r="BQ746" s="4"/>
      <c r="CC746" s="4"/>
      <c r="CD746" s="4"/>
      <c r="CF746" s="4"/>
    </row>
    <row r="747" spans="66:84">
      <c r="BN747" s="4"/>
      <c r="BO747" s="4"/>
      <c r="BQ747" s="4"/>
      <c r="CC747" s="4"/>
      <c r="CD747" s="4"/>
      <c r="CF747" s="4"/>
    </row>
    <row r="748" spans="66:84">
      <c r="BN748" s="4"/>
      <c r="BO748" s="4"/>
      <c r="BQ748" s="4"/>
      <c r="CC748" s="4"/>
      <c r="CD748" s="4"/>
      <c r="CF748" s="4"/>
    </row>
    <row r="749" spans="66:84">
      <c r="BN749" s="4"/>
      <c r="BO749" s="4"/>
      <c r="BQ749" s="4"/>
      <c r="CC749" s="4"/>
      <c r="CD749" s="4"/>
      <c r="CF749" s="4"/>
    </row>
    <row r="750" spans="66:84">
      <c r="BN750" s="4"/>
      <c r="BO750" s="4"/>
      <c r="BQ750" s="4"/>
      <c r="CC750" s="4"/>
      <c r="CD750" s="4"/>
      <c r="CF750" s="4"/>
    </row>
    <row r="751" spans="66:84">
      <c r="BN751" s="4"/>
      <c r="BO751" s="4"/>
      <c r="BQ751" s="4"/>
      <c r="CC751" s="4"/>
      <c r="CD751" s="4"/>
      <c r="CF751" s="4"/>
    </row>
    <row r="752" spans="66:84">
      <c r="BN752" s="4"/>
      <c r="BO752" s="4"/>
      <c r="BQ752" s="4"/>
      <c r="CC752" s="4"/>
      <c r="CD752" s="4"/>
      <c r="CF752" s="4"/>
    </row>
    <row r="753" spans="66:84">
      <c r="BN753" s="4"/>
      <c r="BO753" s="4"/>
      <c r="BQ753" s="4"/>
      <c r="CC753" s="4"/>
      <c r="CD753" s="4"/>
      <c r="CF753" s="4"/>
    </row>
    <row r="754" spans="66:84">
      <c r="BN754" s="4"/>
      <c r="BO754" s="4"/>
      <c r="BQ754" s="4"/>
      <c r="CC754" s="4"/>
      <c r="CD754" s="4"/>
      <c r="CF754" s="4"/>
    </row>
    <row r="755" spans="66:84">
      <c r="BN755" s="4"/>
      <c r="BO755" s="4"/>
      <c r="BQ755" s="4"/>
      <c r="CC755" s="4"/>
      <c r="CD755" s="4"/>
      <c r="CF755" s="4"/>
    </row>
    <row r="756" spans="66:84">
      <c r="BN756" s="4"/>
      <c r="BO756" s="4"/>
      <c r="BQ756" s="4"/>
      <c r="CC756" s="4"/>
      <c r="CD756" s="4"/>
      <c r="CF756" s="4"/>
    </row>
    <row r="757" spans="66:84">
      <c r="BN757" s="4"/>
      <c r="BO757" s="4"/>
      <c r="BQ757" s="4"/>
      <c r="CC757" s="4"/>
      <c r="CD757" s="4"/>
      <c r="CF757" s="4"/>
    </row>
    <row r="758" spans="66:84">
      <c r="BN758" s="4"/>
      <c r="BO758" s="4"/>
      <c r="BQ758" s="4"/>
      <c r="CC758" s="4"/>
      <c r="CD758" s="4"/>
      <c r="CF758" s="4"/>
    </row>
    <row r="759" spans="66:84">
      <c r="BN759" s="4"/>
      <c r="BO759" s="4"/>
      <c r="BQ759" s="4"/>
      <c r="CC759" s="4"/>
      <c r="CD759" s="4"/>
      <c r="CF759" s="4"/>
    </row>
    <row r="760" spans="66:84">
      <c r="BN760" s="4"/>
      <c r="BO760" s="4"/>
      <c r="BQ760" s="4"/>
      <c r="CC760" s="4"/>
      <c r="CD760" s="4"/>
      <c r="CF760" s="4"/>
    </row>
    <row r="761" spans="66:84">
      <c r="BN761" s="4"/>
      <c r="BO761" s="4"/>
      <c r="BQ761" s="4"/>
      <c r="CC761" s="4"/>
      <c r="CD761" s="4"/>
      <c r="CF761" s="4"/>
    </row>
    <row r="762" spans="66:84">
      <c r="BN762" s="4"/>
      <c r="BO762" s="4"/>
      <c r="BQ762" s="4"/>
      <c r="CC762" s="4"/>
      <c r="CD762" s="4"/>
      <c r="CF762" s="4"/>
    </row>
    <row r="763" spans="66:84">
      <c r="BN763" s="4"/>
      <c r="BO763" s="4"/>
      <c r="BQ763" s="4"/>
      <c r="CC763" s="4"/>
      <c r="CD763" s="4"/>
      <c r="CF763" s="4"/>
    </row>
    <row r="764" spans="66:84">
      <c r="BN764" s="4"/>
      <c r="BO764" s="4"/>
      <c r="BQ764" s="4"/>
      <c r="CC764" s="4"/>
      <c r="CD764" s="4"/>
      <c r="CF764" s="4"/>
    </row>
    <row r="765" spans="66:84">
      <c r="BN765" s="4"/>
      <c r="BO765" s="4"/>
      <c r="BQ765" s="4"/>
      <c r="CC765" s="4"/>
      <c r="CD765" s="4"/>
      <c r="CF765" s="4"/>
    </row>
    <row r="766" spans="66:84">
      <c r="BN766" s="4"/>
      <c r="BO766" s="4"/>
      <c r="BQ766" s="4"/>
      <c r="CC766" s="4"/>
      <c r="CD766" s="4"/>
      <c r="CF766" s="4"/>
    </row>
    <row r="767" spans="66:84">
      <c r="BN767" s="4"/>
      <c r="BO767" s="4"/>
      <c r="BQ767" s="4"/>
      <c r="CC767" s="4"/>
      <c r="CD767" s="4"/>
      <c r="CF767" s="4"/>
    </row>
    <row r="768" spans="66:84">
      <c r="BN768" s="4"/>
      <c r="BO768" s="4"/>
      <c r="BQ768" s="4"/>
      <c r="CC768" s="4"/>
      <c r="CD768" s="4"/>
      <c r="CF768" s="4"/>
    </row>
    <row r="769" spans="66:84">
      <c r="BN769" s="4"/>
      <c r="BO769" s="4"/>
      <c r="BQ769" s="4"/>
      <c r="CC769" s="4"/>
      <c r="CD769" s="4"/>
      <c r="CF769" s="4"/>
    </row>
    <row r="770" spans="66:84">
      <c r="BN770" s="4"/>
      <c r="BO770" s="4"/>
      <c r="BQ770" s="4"/>
      <c r="CC770" s="4"/>
      <c r="CD770" s="4"/>
      <c r="CF770" s="4"/>
    </row>
    <row r="771" spans="66:84">
      <c r="BN771" s="4"/>
      <c r="BO771" s="4"/>
      <c r="BQ771" s="4"/>
      <c r="CC771" s="4"/>
      <c r="CD771" s="4"/>
      <c r="CF771" s="4"/>
    </row>
    <row r="772" spans="66:84">
      <c r="BN772" s="4"/>
      <c r="BO772" s="4"/>
      <c r="BQ772" s="4"/>
      <c r="CC772" s="4"/>
      <c r="CD772" s="4"/>
      <c r="CF772" s="4"/>
    </row>
    <row r="773" spans="66:84">
      <c r="BN773" s="4"/>
      <c r="BO773" s="4"/>
      <c r="BQ773" s="4"/>
      <c r="CC773" s="4"/>
      <c r="CD773" s="4"/>
      <c r="CF773" s="4"/>
    </row>
    <row r="774" spans="66:84">
      <c r="BN774" s="4"/>
      <c r="BO774" s="4"/>
      <c r="BQ774" s="4"/>
      <c r="CC774" s="4"/>
      <c r="CD774" s="4"/>
      <c r="CF774" s="4"/>
    </row>
    <row r="775" spans="66:84">
      <c r="BN775" s="4"/>
      <c r="BO775" s="4"/>
      <c r="BQ775" s="4"/>
      <c r="CC775" s="4"/>
      <c r="CD775" s="4"/>
      <c r="CF775" s="4"/>
    </row>
    <row r="776" spans="66:84">
      <c r="BN776" s="4"/>
      <c r="BO776" s="4"/>
      <c r="BQ776" s="4"/>
      <c r="CC776" s="4"/>
      <c r="CD776" s="4"/>
      <c r="CF776" s="4"/>
    </row>
    <row r="777" spans="66:84">
      <c r="BN777" s="4"/>
      <c r="BO777" s="4"/>
      <c r="BQ777" s="4"/>
      <c r="CC777" s="4"/>
      <c r="CD777" s="4"/>
      <c r="CF777" s="4"/>
    </row>
    <row r="778" spans="66:84">
      <c r="BN778" s="4"/>
      <c r="BO778" s="4"/>
      <c r="BQ778" s="4"/>
      <c r="CC778" s="4"/>
      <c r="CD778" s="4"/>
      <c r="CF778" s="4"/>
    </row>
    <row r="779" spans="66:84">
      <c r="BN779" s="4"/>
      <c r="BO779" s="4"/>
      <c r="BQ779" s="4"/>
      <c r="CC779" s="4"/>
      <c r="CD779" s="4"/>
      <c r="CF779" s="4"/>
    </row>
    <row r="780" spans="66:84">
      <c r="BN780" s="4"/>
      <c r="BO780" s="4"/>
      <c r="BQ780" s="4"/>
      <c r="CC780" s="4"/>
      <c r="CD780" s="4"/>
      <c r="CF780" s="4"/>
    </row>
    <row r="781" spans="66:84">
      <c r="BN781" s="4"/>
      <c r="BO781" s="4"/>
      <c r="BQ781" s="4"/>
      <c r="CC781" s="4"/>
      <c r="CD781" s="4"/>
      <c r="CF781" s="4"/>
    </row>
    <row r="782" spans="66:84">
      <c r="BN782" s="4"/>
      <c r="BO782" s="4"/>
      <c r="BQ782" s="4"/>
      <c r="CC782" s="4"/>
      <c r="CD782" s="4"/>
      <c r="CF782" s="4"/>
    </row>
    <row r="783" spans="66:84">
      <c r="BN783" s="4"/>
      <c r="BO783" s="4"/>
      <c r="BQ783" s="4"/>
      <c r="CC783" s="4"/>
      <c r="CD783" s="4"/>
      <c r="CF783" s="4"/>
    </row>
    <row r="784" spans="66:84">
      <c r="BN784" s="4"/>
      <c r="BO784" s="4"/>
      <c r="BQ784" s="4"/>
      <c r="CC784" s="4"/>
      <c r="CD784" s="4"/>
      <c r="CF784" s="4"/>
    </row>
    <row r="785" spans="66:84">
      <c r="BN785" s="4"/>
      <c r="BO785" s="4"/>
      <c r="BQ785" s="4"/>
      <c r="CC785" s="4"/>
      <c r="CD785" s="4"/>
      <c r="CF785" s="4"/>
    </row>
    <row r="786" spans="66:84">
      <c r="BN786" s="4"/>
      <c r="BO786" s="4"/>
      <c r="BQ786" s="4"/>
      <c r="CC786" s="4"/>
      <c r="CD786" s="4"/>
      <c r="CF786" s="4"/>
    </row>
    <row r="787" spans="66:84">
      <c r="BN787" s="4"/>
      <c r="BO787" s="4"/>
      <c r="BQ787" s="4"/>
      <c r="CC787" s="4"/>
      <c r="CD787" s="4"/>
      <c r="CF787" s="4"/>
    </row>
    <row r="788" spans="66:84">
      <c r="BN788" s="4"/>
      <c r="BO788" s="4"/>
      <c r="BQ788" s="4"/>
      <c r="CC788" s="4"/>
      <c r="CD788" s="4"/>
      <c r="CF788" s="4"/>
    </row>
    <row r="789" spans="66:84">
      <c r="BN789" s="4"/>
      <c r="BO789" s="4"/>
      <c r="BQ789" s="4"/>
      <c r="CC789" s="4"/>
      <c r="CD789" s="4"/>
      <c r="CF789" s="4"/>
    </row>
    <row r="790" spans="66:84">
      <c r="BN790" s="4"/>
      <c r="BO790" s="4"/>
      <c r="BQ790" s="4"/>
      <c r="CC790" s="4"/>
      <c r="CD790" s="4"/>
      <c r="CF790" s="4"/>
    </row>
    <row r="791" spans="66:84">
      <c r="BN791" s="4"/>
      <c r="BO791" s="4"/>
      <c r="BQ791" s="4"/>
      <c r="CC791" s="4"/>
      <c r="CD791" s="4"/>
      <c r="CF791" s="4"/>
    </row>
    <row r="792" spans="66:84">
      <c r="BN792" s="4"/>
      <c r="BO792" s="4"/>
      <c r="BQ792" s="4"/>
      <c r="CC792" s="4"/>
      <c r="CD792" s="4"/>
      <c r="CF792" s="4"/>
    </row>
    <row r="793" spans="66:84">
      <c r="BN793" s="4"/>
      <c r="BO793" s="4"/>
      <c r="BQ793" s="4"/>
      <c r="CC793" s="4"/>
      <c r="CD793" s="4"/>
      <c r="CF793" s="4"/>
    </row>
    <row r="794" spans="66:84">
      <c r="BN794" s="4"/>
      <c r="BO794" s="4"/>
      <c r="BQ794" s="4"/>
      <c r="CC794" s="4"/>
      <c r="CD794" s="4"/>
      <c r="CF794" s="4"/>
    </row>
    <row r="795" spans="66:84">
      <c r="BN795" s="4"/>
      <c r="BO795" s="4"/>
      <c r="BQ795" s="4"/>
      <c r="CC795" s="4"/>
      <c r="CD795" s="4"/>
      <c r="CF795" s="4"/>
    </row>
    <row r="796" spans="66:84">
      <c r="BN796" s="4"/>
      <c r="BO796" s="4"/>
      <c r="BQ796" s="4"/>
      <c r="CC796" s="4"/>
      <c r="CD796" s="4"/>
      <c r="CF796" s="4"/>
    </row>
    <row r="797" spans="66:84">
      <c r="BN797" s="4"/>
      <c r="BO797" s="4"/>
      <c r="BQ797" s="4"/>
      <c r="CC797" s="4"/>
      <c r="CD797" s="4"/>
      <c r="CF797" s="4"/>
    </row>
    <row r="798" spans="66:84">
      <c r="BN798" s="4"/>
      <c r="BO798" s="4"/>
      <c r="BQ798" s="4"/>
      <c r="CC798" s="4"/>
      <c r="CD798" s="4"/>
      <c r="CF798" s="4"/>
    </row>
    <row r="799" spans="66:84">
      <c r="BN799" s="4"/>
      <c r="BO799" s="4"/>
      <c r="BQ799" s="4"/>
      <c r="CC799" s="4"/>
      <c r="CD799" s="4"/>
      <c r="CF799" s="4"/>
    </row>
    <row r="800" spans="66:84">
      <c r="BN800" s="4"/>
      <c r="BO800" s="4"/>
      <c r="BQ800" s="4"/>
      <c r="CC800" s="4"/>
      <c r="CD800" s="4"/>
      <c r="CF800" s="4"/>
    </row>
    <row r="801" spans="66:84">
      <c r="BN801" s="4"/>
      <c r="BO801" s="4"/>
      <c r="BQ801" s="4"/>
      <c r="CC801" s="4"/>
      <c r="CD801" s="4"/>
      <c r="CF801" s="4"/>
    </row>
    <row r="802" spans="66:84">
      <c r="BN802" s="4"/>
      <c r="BO802" s="4"/>
      <c r="BQ802" s="4"/>
      <c r="CC802" s="4"/>
      <c r="CD802" s="4"/>
      <c r="CF802" s="4"/>
    </row>
    <row r="803" spans="66:84">
      <c r="BN803" s="4"/>
      <c r="BO803" s="4"/>
      <c r="BQ803" s="4"/>
      <c r="CC803" s="4"/>
      <c r="CD803" s="4"/>
      <c r="CF803" s="4"/>
    </row>
    <row r="804" spans="66:84">
      <c r="BN804" s="4"/>
      <c r="BO804" s="4"/>
      <c r="BQ804" s="4"/>
      <c r="CC804" s="4"/>
      <c r="CD804" s="4"/>
      <c r="CF804" s="4"/>
    </row>
    <row r="805" spans="66:84">
      <c r="BN805" s="4"/>
      <c r="BO805" s="4"/>
      <c r="BQ805" s="4"/>
      <c r="CC805" s="4"/>
      <c r="CD805" s="4"/>
      <c r="CF805" s="4"/>
    </row>
    <row r="806" spans="66:84">
      <c r="BN806" s="4"/>
      <c r="BO806" s="4"/>
      <c r="BQ806" s="4"/>
      <c r="CC806" s="4"/>
      <c r="CD806" s="4"/>
      <c r="CF806" s="4"/>
    </row>
    <row r="807" spans="66:84">
      <c r="BN807" s="4"/>
      <c r="BO807" s="4"/>
      <c r="BQ807" s="4"/>
      <c r="CC807" s="4"/>
      <c r="CD807" s="4"/>
      <c r="CF807" s="4"/>
    </row>
    <row r="808" spans="66:84">
      <c r="BN808" s="4"/>
      <c r="BO808" s="4"/>
      <c r="BQ808" s="4"/>
      <c r="CC808" s="4"/>
      <c r="CD808" s="4"/>
      <c r="CF808" s="4"/>
    </row>
    <row r="809" spans="66:84">
      <c r="BN809" s="4"/>
      <c r="BO809" s="4"/>
      <c r="BQ809" s="4"/>
      <c r="CC809" s="4"/>
      <c r="CD809" s="4"/>
      <c r="CF809" s="4"/>
    </row>
    <row r="810" spans="66:84">
      <c r="BN810" s="4"/>
      <c r="BO810" s="4"/>
      <c r="BQ810" s="4"/>
      <c r="CC810" s="4"/>
      <c r="CD810" s="4"/>
      <c r="CF810" s="4"/>
    </row>
    <row r="811" spans="66:84">
      <c r="BN811" s="4"/>
      <c r="BO811" s="4"/>
      <c r="BQ811" s="4"/>
      <c r="CC811" s="4"/>
      <c r="CD811" s="4"/>
      <c r="CF811" s="4"/>
    </row>
    <row r="812" spans="66:84">
      <c r="BN812" s="4"/>
      <c r="BO812" s="4"/>
      <c r="BQ812" s="4"/>
      <c r="CC812" s="4"/>
      <c r="CD812" s="4"/>
      <c r="CF812" s="4"/>
    </row>
    <row r="813" spans="66:84">
      <c r="BN813" s="4"/>
      <c r="BO813" s="4"/>
      <c r="BQ813" s="4"/>
      <c r="CC813" s="4"/>
      <c r="CD813" s="4"/>
      <c r="CF813" s="4"/>
    </row>
    <row r="814" spans="66:84">
      <c r="BN814" s="4"/>
      <c r="BO814" s="4"/>
      <c r="BQ814" s="4"/>
      <c r="CC814" s="4"/>
      <c r="CD814" s="4"/>
      <c r="CF814" s="4"/>
    </row>
    <row r="815" spans="66:84">
      <c r="BN815" s="4"/>
      <c r="BO815" s="4"/>
      <c r="BQ815" s="4"/>
      <c r="CC815" s="4"/>
      <c r="CD815" s="4"/>
      <c r="CF815" s="4"/>
    </row>
    <row r="816" spans="66:84">
      <c r="BN816" s="4"/>
      <c r="BO816" s="4"/>
      <c r="BQ816" s="4"/>
      <c r="CC816" s="4"/>
      <c r="CD816" s="4"/>
      <c r="CF816" s="4"/>
    </row>
    <row r="817" spans="66:84">
      <c r="BN817" s="4"/>
      <c r="BO817" s="4"/>
      <c r="BQ817" s="4"/>
      <c r="CC817" s="4"/>
      <c r="CD817" s="4"/>
      <c r="CF817" s="4"/>
    </row>
    <row r="818" spans="66:84">
      <c r="BN818" s="4"/>
      <c r="BO818" s="4"/>
      <c r="BQ818" s="4"/>
      <c r="CC818" s="4"/>
      <c r="CD818" s="4"/>
      <c r="CF818" s="4"/>
    </row>
    <row r="819" spans="66:84">
      <c r="BN819" s="4"/>
      <c r="BO819" s="4"/>
      <c r="BQ819" s="4"/>
      <c r="CC819" s="4"/>
      <c r="CD819" s="4"/>
      <c r="CF819" s="4"/>
    </row>
    <row r="820" spans="66:84">
      <c r="BN820" s="4"/>
      <c r="BO820" s="4"/>
      <c r="BQ820" s="4"/>
      <c r="CC820" s="4"/>
      <c r="CD820" s="4"/>
      <c r="CF820" s="4"/>
    </row>
    <row r="821" spans="66:84">
      <c r="BN821" s="4"/>
      <c r="BO821" s="4"/>
      <c r="BQ821" s="4"/>
      <c r="CC821" s="4"/>
      <c r="CD821" s="4"/>
      <c r="CF821" s="4"/>
    </row>
    <row r="822" spans="66:84">
      <c r="BN822" s="4"/>
      <c r="BO822" s="4"/>
      <c r="BQ822" s="4"/>
      <c r="CC822" s="4"/>
      <c r="CD822" s="4"/>
      <c r="CF822" s="4"/>
    </row>
    <row r="823" spans="66:84">
      <c r="BN823" s="4"/>
      <c r="BO823" s="4"/>
      <c r="BQ823" s="4"/>
      <c r="CC823" s="4"/>
      <c r="CD823" s="4"/>
      <c r="CF823" s="4"/>
    </row>
    <row r="824" spans="66:84">
      <c r="BN824" s="4"/>
      <c r="BO824" s="4"/>
      <c r="BQ824" s="4"/>
      <c r="CC824" s="4"/>
      <c r="CD824" s="4"/>
      <c r="CF824" s="4"/>
    </row>
    <row r="825" spans="66:84">
      <c r="BN825" s="4"/>
      <c r="BO825" s="4"/>
      <c r="BQ825" s="4"/>
      <c r="CC825" s="4"/>
      <c r="CD825" s="4"/>
      <c r="CF825" s="4"/>
    </row>
    <row r="826" spans="66:84">
      <c r="BN826" s="4"/>
      <c r="BO826" s="4"/>
      <c r="BQ826" s="4"/>
      <c r="CC826" s="4"/>
      <c r="CD826" s="4"/>
      <c r="CF826" s="4"/>
    </row>
    <row r="827" spans="66:84">
      <c r="BN827" s="4"/>
      <c r="BO827" s="4"/>
      <c r="BQ827" s="4"/>
      <c r="CC827" s="4"/>
      <c r="CD827" s="4"/>
      <c r="CF827" s="4"/>
    </row>
    <row r="828" spans="66:84">
      <c r="BN828" s="4"/>
      <c r="BO828" s="4"/>
      <c r="BQ828" s="4"/>
      <c r="CC828" s="4"/>
      <c r="CD828" s="4"/>
      <c r="CF828" s="4"/>
    </row>
    <row r="829" spans="66:84">
      <c r="BN829" s="4"/>
      <c r="BO829" s="4"/>
      <c r="BQ829" s="4"/>
      <c r="CC829" s="4"/>
      <c r="CD829" s="4"/>
      <c r="CF829" s="4"/>
    </row>
    <row r="830" spans="66:84">
      <c r="BN830" s="4"/>
      <c r="BO830" s="4"/>
      <c r="BQ830" s="4"/>
      <c r="CC830" s="4"/>
      <c r="CD830" s="4"/>
      <c r="CF830" s="4"/>
    </row>
    <row r="831" spans="66:84">
      <c r="BN831" s="4"/>
      <c r="BO831" s="4"/>
      <c r="BQ831" s="4"/>
      <c r="CC831" s="4"/>
      <c r="CD831" s="4"/>
      <c r="CF831" s="4"/>
    </row>
    <row r="832" spans="66:84">
      <c r="BN832" s="4"/>
      <c r="BO832" s="4"/>
      <c r="BQ832" s="4"/>
      <c r="CC832" s="4"/>
      <c r="CD832" s="4"/>
      <c r="CF832" s="4"/>
    </row>
    <row r="833" spans="66:84">
      <c r="BN833" s="4"/>
      <c r="BO833" s="4"/>
      <c r="BQ833" s="4"/>
      <c r="CC833" s="4"/>
      <c r="CD833" s="4"/>
      <c r="CF833" s="4"/>
    </row>
    <row r="834" spans="66:84">
      <c r="BN834" s="4"/>
      <c r="BO834" s="4"/>
      <c r="BQ834" s="4"/>
      <c r="CC834" s="4"/>
      <c r="CD834" s="4"/>
      <c r="CF834" s="4"/>
    </row>
    <row r="835" spans="66:84">
      <c r="BN835" s="4"/>
      <c r="BO835" s="4"/>
      <c r="BQ835" s="4"/>
      <c r="CC835" s="4"/>
      <c r="CD835" s="4"/>
      <c r="CF835" s="4"/>
    </row>
    <row r="836" spans="66:84">
      <c r="BN836" s="4"/>
      <c r="BO836" s="4"/>
      <c r="BQ836" s="4"/>
      <c r="CC836" s="4"/>
      <c r="CD836" s="4"/>
      <c r="CF836" s="4"/>
    </row>
    <row r="837" spans="66:84">
      <c r="BN837" s="4"/>
      <c r="BO837" s="4"/>
      <c r="BQ837" s="4"/>
      <c r="CC837" s="4"/>
      <c r="CD837" s="4"/>
      <c r="CF837" s="4"/>
    </row>
    <row r="838" spans="66:84">
      <c r="BN838" s="4"/>
      <c r="BO838" s="4"/>
      <c r="BQ838" s="4"/>
      <c r="CC838" s="4"/>
      <c r="CD838" s="4"/>
      <c r="CF838" s="4"/>
    </row>
    <row r="839" spans="66:84">
      <c r="BN839" s="4"/>
      <c r="BO839" s="4"/>
      <c r="BQ839" s="4"/>
      <c r="CC839" s="4"/>
      <c r="CD839" s="4"/>
      <c r="CF839" s="4"/>
    </row>
    <row r="840" spans="66:84">
      <c r="BN840" s="4"/>
      <c r="BO840" s="4"/>
      <c r="BQ840" s="4"/>
      <c r="CC840" s="4"/>
      <c r="CD840" s="4"/>
      <c r="CF840" s="4"/>
    </row>
    <row r="841" spans="66:84">
      <c r="BN841" s="4"/>
      <c r="BO841" s="4"/>
      <c r="BQ841" s="4"/>
      <c r="CC841" s="4"/>
      <c r="CD841" s="4"/>
      <c r="CF841" s="4"/>
    </row>
    <row r="842" spans="66:84">
      <c r="BN842" s="4"/>
      <c r="BO842" s="4"/>
      <c r="BQ842" s="4"/>
      <c r="CC842" s="4"/>
      <c r="CD842" s="4"/>
      <c r="CF842" s="4"/>
    </row>
    <row r="843" spans="66:84">
      <c r="BN843" s="4"/>
      <c r="BO843" s="4"/>
      <c r="BQ843" s="4"/>
      <c r="CC843" s="4"/>
      <c r="CD843" s="4"/>
      <c r="CF843" s="4"/>
    </row>
    <row r="844" spans="66:84">
      <c r="BN844" s="4"/>
      <c r="BO844" s="4"/>
      <c r="BQ844" s="4"/>
      <c r="CC844" s="4"/>
      <c r="CD844" s="4"/>
      <c r="CF844" s="4"/>
    </row>
    <row r="845" spans="66:84">
      <c r="BN845" s="4"/>
      <c r="BO845" s="4"/>
      <c r="BQ845" s="4"/>
      <c r="CC845" s="4"/>
      <c r="CD845" s="4"/>
      <c r="CF845" s="4"/>
    </row>
    <row r="846" spans="66:84">
      <c r="BN846" s="4"/>
      <c r="BO846" s="4"/>
      <c r="BQ846" s="4"/>
      <c r="CC846" s="4"/>
      <c r="CD846" s="4"/>
      <c r="CF846" s="4"/>
    </row>
    <row r="847" spans="66:84">
      <c r="BN847" s="4"/>
      <c r="BO847" s="4"/>
      <c r="BQ847" s="4"/>
      <c r="CC847" s="4"/>
      <c r="CD847" s="4"/>
      <c r="CF847" s="4"/>
    </row>
    <row r="848" spans="66:84">
      <c r="BN848" s="4"/>
      <c r="BO848" s="4"/>
      <c r="BQ848" s="4"/>
      <c r="CC848" s="4"/>
      <c r="CD848" s="4"/>
      <c r="CF848" s="4"/>
    </row>
    <row r="849" spans="66:84">
      <c r="BN849" s="4"/>
      <c r="BO849" s="4"/>
      <c r="BQ849" s="4"/>
      <c r="CC849" s="4"/>
      <c r="CD849" s="4"/>
      <c r="CF849" s="4"/>
    </row>
    <row r="850" spans="66:84">
      <c r="BN850" s="4"/>
      <c r="BO850" s="4"/>
      <c r="BQ850" s="4"/>
      <c r="CC850" s="4"/>
      <c r="CD850" s="4"/>
      <c r="CF850" s="4"/>
    </row>
    <row r="851" spans="66:84">
      <c r="BN851" s="4"/>
      <c r="BO851" s="4"/>
      <c r="BQ851" s="4"/>
      <c r="CC851" s="4"/>
      <c r="CD851" s="4"/>
      <c r="CF851" s="4"/>
    </row>
    <row r="852" spans="66:84">
      <c r="BN852" s="4"/>
      <c r="BO852" s="4"/>
      <c r="BQ852" s="4"/>
      <c r="CC852" s="4"/>
      <c r="CD852" s="4"/>
      <c r="CF852" s="4"/>
    </row>
    <row r="853" spans="66:84">
      <c r="BN853" s="4"/>
      <c r="BO853" s="4"/>
      <c r="BQ853" s="4"/>
      <c r="CC853" s="4"/>
      <c r="CD853" s="4"/>
      <c r="CF853" s="4"/>
    </row>
    <row r="854" spans="66:84">
      <c r="BN854" s="4"/>
      <c r="BO854" s="4"/>
      <c r="BQ854" s="4"/>
      <c r="CC854" s="4"/>
      <c r="CD854" s="4"/>
      <c r="CF854" s="4"/>
    </row>
    <row r="855" spans="66:84">
      <c r="BN855" s="4"/>
      <c r="BO855" s="4"/>
      <c r="BQ855" s="4"/>
      <c r="CC855" s="4"/>
      <c r="CD855" s="4"/>
      <c r="CF855" s="4"/>
    </row>
    <row r="856" spans="66:84">
      <c r="BN856" s="4"/>
      <c r="BO856" s="4"/>
      <c r="BQ856" s="4"/>
      <c r="CC856" s="4"/>
      <c r="CD856" s="4"/>
      <c r="CF856" s="4"/>
    </row>
    <row r="857" spans="66:84">
      <c r="BN857" s="4"/>
      <c r="BO857" s="4"/>
      <c r="BQ857" s="4"/>
      <c r="CC857" s="4"/>
      <c r="CD857" s="4"/>
      <c r="CF857" s="4"/>
    </row>
    <row r="858" spans="66:84">
      <c r="BN858" s="4"/>
      <c r="BO858" s="4"/>
      <c r="BQ858" s="4"/>
      <c r="CC858" s="4"/>
      <c r="CD858" s="4"/>
      <c r="CF858" s="4"/>
    </row>
    <row r="859" spans="66:84">
      <c r="BN859" s="4"/>
      <c r="BO859" s="4"/>
      <c r="BQ859" s="4"/>
      <c r="CC859" s="4"/>
      <c r="CD859" s="4"/>
      <c r="CF859" s="4"/>
    </row>
    <row r="860" spans="66:84">
      <c r="BN860" s="4"/>
      <c r="BO860" s="4"/>
      <c r="BQ860" s="4"/>
      <c r="CC860" s="4"/>
      <c r="CD860" s="4"/>
      <c r="CF860" s="4"/>
    </row>
    <row r="861" spans="66:84">
      <c r="BN861" s="4"/>
      <c r="BO861" s="4"/>
      <c r="BQ861" s="4"/>
      <c r="CC861" s="4"/>
      <c r="CD861" s="4"/>
      <c r="CF861" s="4"/>
    </row>
    <row r="862" spans="66:84">
      <c r="BN862" s="4"/>
      <c r="BO862" s="4"/>
      <c r="BQ862" s="4"/>
      <c r="CC862" s="4"/>
      <c r="CD862" s="4"/>
      <c r="CF862" s="4"/>
    </row>
    <row r="863" spans="66:84">
      <c r="BN863" s="4"/>
      <c r="BO863" s="4"/>
      <c r="BQ863" s="4"/>
      <c r="CC863" s="4"/>
      <c r="CD863" s="4"/>
      <c r="CF863" s="4"/>
    </row>
    <row r="864" spans="66:84">
      <c r="BN864" s="4"/>
      <c r="BO864" s="4"/>
      <c r="BQ864" s="4"/>
      <c r="CC864" s="4"/>
      <c r="CD864" s="4"/>
      <c r="CF864" s="4"/>
    </row>
    <row r="865" spans="66:84">
      <c r="BN865" s="4"/>
      <c r="BO865" s="4"/>
      <c r="BQ865" s="4"/>
      <c r="CC865" s="4"/>
      <c r="CD865" s="4"/>
      <c r="CF865" s="4"/>
    </row>
    <row r="866" spans="66:84">
      <c r="BN866" s="4"/>
      <c r="BO866" s="4"/>
      <c r="BQ866" s="4"/>
      <c r="CC866" s="4"/>
      <c r="CD866" s="4"/>
      <c r="CF866" s="4"/>
    </row>
    <row r="867" spans="66:84">
      <c r="BN867" s="4"/>
      <c r="BO867" s="4"/>
      <c r="BQ867" s="4"/>
      <c r="CC867" s="4"/>
      <c r="CD867" s="4"/>
      <c r="CF867" s="4"/>
    </row>
    <row r="868" spans="66:84">
      <c r="BN868" s="4"/>
      <c r="BO868" s="4"/>
      <c r="BQ868" s="4"/>
      <c r="CC868" s="4"/>
      <c r="CD868" s="4"/>
      <c r="CF868" s="4"/>
    </row>
    <row r="869" spans="66:84">
      <c r="BN869" s="4"/>
      <c r="BO869" s="4"/>
      <c r="BQ869" s="4"/>
      <c r="CC869" s="4"/>
      <c r="CD869" s="4"/>
      <c r="CF869" s="4"/>
    </row>
    <row r="870" spans="66:84">
      <c r="BN870" s="4"/>
      <c r="BO870" s="4"/>
      <c r="BQ870" s="4"/>
      <c r="CC870" s="4"/>
      <c r="CD870" s="4"/>
      <c r="CF870" s="4"/>
    </row>
    <row r="871" spans="66:84">
      <c r="BN871" s="4"/>
      <c r="BO871" s="4"/>
      <c r="BQ871" s="4"/>
      <c r="CC871" s="4"/>
      <c r="CD871" s="4"/>
      <c r="CF871" s="4"/>
    </row>
    <row r="872" spans="66:84">
      <c r="BN872" s="4"/>
      <c r="BO872" s="4"/>
      <c r="BQ872" s="4"/>
      <c r="CC872" s="4"/>
      <c r="CD872" s="4"/>
      <c r="CF872" s="4"/>
    </row>
    <row r="873" spans="66:84">
      <c r="BN873" s="4"/>
      <c r="BO873" s="4"/>
      <c r="BQ873" s="4"/>
      <c r="CC873" s="4"/>
      <c r="CD873" s="4"/>
      <c r="CF873" s="4"/>
    </row>
    <row r="874" spans="66:84">
      <c r="BN874" s="4"/>
      <c r="BO874" s="4"/>
      <c r="BQ874" s="4"/>
      <c r="CC874" s="4"/>
      <c r="CD874" s="4"/>
      <c r="CF874" s="4"/>
    </row>
    <row r="875" spans="66:84">
      <c r="BN875" s="4"/>
      <c r="BO875" s="4"/>
      <c r="BQ875" s="4"/>
      <c r="CC875" s="4"/>
      <c r="CD875" s="4"/>
      <c r="CF875" s="4"/>
    </row>
    <row r="876" spans="66:84">
      <c r="BN876" s="4"/>
      <c r="BO876" s="4"/>
      <c r="BQ876" s="4"/>
      <c r="CC876" s="4"/>
      <c r="CD876" s="4"/>
      <c r="CF876" s="4"/>
    </row>
    <row r="877" spans="66:84">
      <c r="BN877" s="4"/>
      <c r="BO877" s="4"/>
      <c r="BQ877" s="4"/>
      <c r="CC877" s="4"/>
      <c r="CD877" s="4"/>
      <c r="CF877" s="4"/>
    </row>
    <row r="878" spans="66:84">
      <c r="BN878" s="4"/>
      <c r="BO878" s="4"/>
      <c r="BQ878" s="4"/>
      <c r="CC878" s="4"/>
      <c r="CD878" s="4"/>
      <c r="CF878" s="4"/>
    </row>
    <row r="879" spans="66:84">
      <c r="BN879" s="4"/>
      <c r="BO879" s="4"/>
      <c r="BQ879" s="4"/>
      <c r="CC879" s="4"/>
      <c r="CD879" s="4"/>
      <c r="CF879" s="4"/>
    </row>
    <row r="880" spans="66:84">
      <c r="BN880" s="4"/>
      <c r="BO880" s="4"/>
      <c r="BQ880" s="4"/>
      <c r="CC880" s="4"/>
      <c r="CD880" s="4"/>
      <c r="CF880" s="4"/>
    </row>
    <row r="881" spans="66:84">
      <c r="BN881" s="4"/>
      <c r="BO881" s="4"/>
      <c r="BQ881" s="4"/>
      <c r="CC881" s="4"/>
      <c r="CD881" s="4"/>
      <c r="CF881" s="4"/>
    </row>
    <row r="882" spans="66:84">
      <c r="BN882" s="4"/>
      <c r="BO882" s="4"/>
      <c r="BQ882" s="4"/>
      <c r="CC882" s="4"/>
      <c r="CD882" s="4"/>
      <c r="CF882" s="4"/>
    </row>
    <row r="883" spans="66:84">
      <c r="BN883" s="4"/>
      <c r="BO883" s="4"/>
      <c r="BQ883" s="4"/>
      <c r="CC883" s="4"/>
      <c r="CD883" s="4"/>
      <c r="CF883" s="4"/>
    </row>
    <row r="884" spans="66:84">
      <c r="BN884" s="4"/>
      <c r="BO884" s="4"/>
      <c r="BQ884" s="4"/>
      <c r="CC884" s="4"/>
      <c r="CD884" s="4"/>
      <c r="CF884" s="4"/>
    </row>
    <row r="885" spans="66:84">
      <c r="BN885" s="4"/>
      <c r="BO885" s="4"/>
      <c r="BQ885" s="4"/>
      <c r="CC885" s="4"/>
      <c r="CD885" s="4"/>
      <c r="CF885" s="4"/>
    </row>
    <row r="886" spans="66:84">
      <c r="BN886" s="4"/>
      <c r="BO886" s="4"/>
      <c r="BQ886" s="4"/>
      <c r="CC886" s="4"/>
      <c r="CD886" s="4"/>
      <c r="CF886" s="4"/>
    </row>
    <row r="887" spans="66:84">
      <c r="BN887" s="4"/>
      <c r="BO887" s="4"/>
      <c r="BQ887" s="4"/>
      <c r="CC887" s="4"/>
      <c r="CD887" s="4"/>
      <c r="CF887" s="4"/>
    </row>
    <row r="888" spans="66:84">
      <c r="BN888" s="4"/>
      <c r="BO888" s="4"/>
      <c r="BQ888" s="4"/>
      <c r="CC888" s="4"/>
      <c r="CD888" s="4"/>
      <c r="CF888" s="4"/>
    </row>
    <row r="889" spans="66:84">
      <c r="BN889" s="4"/>
      <c r="BO889" s="4"/>
      <c r="BQ889" s="4"/>
      <c r="CC889" s="4"/>
      <c r="CD889" s="4"/>
      <c r="CF889" s="4"/>
    </row>
    <row r="890" spans="66:84">
      <c r="BN890" s="4"/>
      <c r="BO890" s="4"/>
      <c r="BQ890" s="4"/>
      <c r="CC890" s="4"/>
      <c r="CD890" s="4"/>
      <c r="CF890" s="4"/>
    </row>
    <row r="891" spans="66:84">
      <c r="BN891" s="4"/>
      <c r="BO891" s="4"/>
      <c r="BQ891" s="4"/>
      <c r="CC891" s="4"/>
      <c r="CD891" s="4"/>
      <c r="CF891" s="4"/>
    </row>
    <row r="892" spans="66:84">
      <c r="BN892" s="4"/>
      <c r="BO892" s="4"/>
      <c r="BQ892" s="4"/>
      <c r="CC892" s="4"/>
      <c r="CD892" s="4"/>
      <c r="CF892" s="4"/>
    </row>
    <row r="893" spans="66:84">
      <c r="BN893" s="4"/>
      <c r="BO893" s="4"/>
      <c r="BQ893" s="4"/>
      <c r="CC893" s="4"/>
      <c r="CD893" s="4"/>
      <c r="CF893" s="4"/>
    </row>
    <row r="894" spans="66:84">
      <c r="BN894" s="4"/>
      <c r="BO894" s="4"/>
      <c r="BQ894" s="4"/>
      <c r="CC894" s="4"/>
      <c r="CD894" s="4"/>
      <c r="CF894" s="4"/>
    </row>
    <row r="895" spans="66:84">
      <c r="BN895" s="4"/>
      <c r="BO895" s="4"/>
      <c r="BQ895" s="4"/>
      <c r="CC895" s="4"/>
      <c r="CD895" s="4"/>
      <c r="CF895" s="4"/>
    </row>
    <row r="896" spans="66:84">
      <c r="BN896" s="4"/>
      <c r="BO896" s="4"/>
      <c r="BQ896" s="4"/>
      <c r="CC896" s="4"/>
      <c r="CD896" s="4"/>
      <c r="CF896" s="4"/>
    </row>
    <row r="897" spans="66:84">
      <c r="BN897" s="4"/>
      <c r="BO897" s="4"/>
      <c r="BQ897" s="4"/>
      <c r="CC897" s="4"/>
      <c r="CD897" s="4"/>
      <c r="CF897" s="4"/>
    </row>
    <row r="898" spans="66:84">
      <c r="BN898" s="4"/>
      <c r="BO898" s="4"/>
      <c r="BQ898" s="4"/>
      <c r="CC898" s="4"/>
      <c r="CD898" s="4"/>
      <c r="CF898" s="4"/>
    </row>
    <row r="899" spans="66:84">
      <c r="BN899" s="4"/>
      <c r="BO899" s="4"/>
      <c r="BQ899" s="4"/>
      <c r="CC899" s="4"/>
      <c r="CD899" s="4"/>
      <c r="CF899" s="4"/>
    </row>
    <row r="900" spans="66:84">
      <c r="BN900" s="4"/>
      <c r="BO900" s="4"/>
      <c r="BQ900" s="4"/>
      <c r="CC900" s="4"/>
      <c r="CD900" s="4"/>
      <c r="CF900" s="4"/>
    </row>
    <row r="901" spans="66:84">
      <c r="BN901" s="4"/>
      <c r="BO901" s="4"/>
      <c r="BQ901" s="4"/>
      <c r="CC901" s="4"/>
      <c r="CD901" s="4"/>
      <c r="CF901" s="4"/>
    </row>
    <row r="902" spans="66:84">
      <c r="BN902" s="4"/>
      <c r="BO902" s="4"/>
      <c r="BQ902" s="4"/>
      <c r="CC902" s="4"/>
      <c r="CD902" s="4"/>
      <c r="CF902" s="4"/>
    </row>
    <row r="903" spans="66:84">
      <c r="BN903" s="4"/>
      <c r="BO903" s="4"/>
      <c r="BQ903" s="4"/>
      <c r="CC903" s="4"/>
      <c r="CD903" s="4"/>
      <c r="CF903" s="4"/>
    </row>
    <row r="904" spans="66:84">
      <c r="BN904" s="4"/>
      <c r="BO904" s="4"/>
      <c r="BQ904" s="4"/>
      <c r="CC904" s="4"/>
      <c r="CD904" s="4"/>
      <c r="CF904" s="4"/>
    </row>
    <row r="905" spans="66:84">
      <c r="BN905" s="4"/>
      <c r="BO905" s="4"/>
      <c r="BQ905" s="4"/>
      <c r="CC905" s="4"/>
      <c r="CD905" s="4"/>
      <c r="CF905" s="4"/>
    </row>
    <row r="906" spans="66:84">
      <c r="BN906" s="4"/>
      <c r="BO906" s="4"/>
      <c r="BQ906" s="4"/>
      <c r="CC906" s="4"/>
      <c r="CD906" s="4"/>
      <c r="CF906" s="4"/>
    </row>
    <row r="907" spans="66:84">
      <c r="BN907" s="4"/>
      <c r="BO907" s="4"/>
      <c r="BQ907" s="4"/>
      <c r="CC907" s="4"/>
      <c r="CD907" s="4"/>
      <c r="CF907" s="4"/>
    </row>
    <row r="908" spans="66:84">
      <c r="BN908" s="4"/>
      <c r="BO908" s="4"/>
      <c r="BQ908" s="4"/>
      <c r="CC908" s="4"/>
      <c r="CD908" s="4"/>
      <c r="CF908" s="4"/>
    </row>
    <row r="909" spans="66:84">
      <c r="BN909" s="4"/>
      <c r="BO909" s="4"/>
      <c r="BQ909" s="4"/>
      <c r="CC909" s="4"/>
      <c r="CD909" s="4"/>
      <c r="CF909" s="4"/>
    </row>
    <row r="910" spans="66:84">
      <c r="BN910" s="4"/>
      <c r="BO910" s="4"/>
      <c r="BQ910" s="4"/>
      <c r="CC910" s="4"/>
      <c r="CD910" s="4"/>
      <c r="CF910" s="4"/>
    </row>
    <row r="911" spans="66:84">
      <c r="BN911" s="4"/>
      <c r="BO911" s="4"/>
      <c r="BQ911" s="4"/>
      <c r="CC911" s="4"/>
      <c r="CD911" s="4"/>
      <c r="CF911" s="4"/>
    </row>
    <row r="912" spans="66:84">
      <c r="BN912" s="4"/>
      <c r="BO912" s="4"/>
      <c r="BQ912" s="4"/>
      <c r="CC912" s="4"/>
      <c r="CD912" s="4"/>
      <c r="CF912" s="4"/>
    </row>
    <row r="913" spans="66:84">
      <c r="BN913" s="4"/>
      <c r="BO913" s="4"/>
      <c r="BQ913" s="4"/>
      <c r="CC913" s="4"/>
      <c r="CD913" s="4"/>
      <c r="CF913" s="4"/>
    </row>
    <row r="914" spans="66:84">
      <c r="BN914" s="4"/>
      <c r="BO914" s="4"/>
      <c r="BQ914" s="4"/>
      <c r="CC914" s="4"/>
      <c r="CD914" s="4"/>
      <c r="CF914" s="4"/>
    </row>
    <row r="915" spans="66:84">
      <c r="BN915" s="4"/>
      <c r="BO915" s="4"/>
      <c r="BQ915" s="4"/>
      <c r="CC915" s="4"/>
      <c r="CD915" s="4"/>
      <c r="CF915" s="4"/>
    </row>
    <row r="916" spans="66:84">
      <c r="BN916" s="4"/>
      <c r="BO916" s="4"/>
      <c r="BQ916" s="4"/>
      <c r="CC916" s="4"/>
      <c r="CD916" s="4"/>
      <c r="CF916" s="4"/>
    </row>
    <row r="917" spans="66:84">
      <c r="BN917" s="4"/>
      <c r="BO917" s="4"/>
      <c r="BQ917" s="4"/>
      <c r="CC917" s="4"/>
      <c r="CD917" s="4"/>
      <c r="CF917" s="4"/>
    </row>
    <row r="918" spans="66:84">
      <c r="BN918" s="4"/>
      <c r="BO918" s="4"/>
      <c r="BQ918" s="4"/>
      <c r="CC918" s="4"/>
      <c r="CD918" s="4"/>
      <c r="CF918" s="4"/>
    </row>
    <row r="919" spans="66:84">
      <c r="BN919" s="4"/>
      <c r="BO919" s="4"/>
      <c r="BQ919" s="4"/>
      <c r="CC919" s="4"/>
      <c r="CD919" s="4"/>
      <c r="CF919" s="4"/>
    </row>
    <row r="920" spans="66:84">
      <c r="BN920" s="4"/>
      <c r="BO920" s="4"/>
      <c r="BQ920" s="4"/>
      <c r="CC920" s="4"/>
      <c r="CD920" s="4"/>
      <c r="CF920" s="4"/>
    </row>
    <row r="921" spans="66:84">
      <c r="BN921" s="4"/>
      <c r="BO921" s="4"/>
      <c r="BQ921" s="4"/>
      <c r="CC921" s="4"/>
      <c r="CD921" s="4"/>
      <c r="CF921" s="4"/>
    </row>
    <row r="922" spans="66:84">
      <c r="BN922" s="4"/>
      <c r="BO922" s="4"/>
      <c r="BQ922" s="4"/>
      <c r="CC922" s="4"/>
      <c r="CD922" s="4"/>
      <c r="CF922" s="4"/>
    </row>
    <row r="923" spans="66:84">
      <c r="BN923" s="4"/>
      <c r="BO923" s="4"/>
      <c r="BQ923" s="4"/>
      <c r="CC923" s="4"/>
      <c r="CD923" s="4"/>
      <c r="CF923" s="4"/>
    </row>
    <row r="924" spans="66:84">
      <c r="BN924" s="4"/>
      <c r="BO924" s="4"/>
      <c r="BQ924" s="4"/>
      <c r="CC924" s="4"/>
      <c r="CD924" s="4"/>
      <c r="CF924" s="4"/>
    </row>
    <row r="925" spans="66:84">
      <c r="BN925" s="4"/>
      <c r="BO925" s="4"/>
      <c r="BQ925" s="4"/>
      <c r="CC925" s="4"/>
      <c r="CD925" s="4"/>
      <c r="CF925" s="4"/>
    </row>
    <row r="926" spans="66:84">
      <c r="BN926" s="4"/>
      <c r="BO926" s="4"/>
      <c r="BQ926" s="4"/>
      <c r="CC926" s="4"/>
      <c r="CD926" s="4"/>
      <c r="CF926" s="4"/>
    </row>
    <row r="927" spans="66:84">
      <c r="BN927" s="4"/>
      <c r="BO927" s="4"/>
      <c r="BQ927" s="4"/>
      <c r="CC927" s="4"/>
      <c r="CD927" s="4"/>
      <c r="CF927" s="4"/>
    </row>
    <row r="928" spans="66:84">
      <c r="BN928" s="4"/>
      <c r="BO928" s="4"/>
      <c r="BQ928" s="4"/>
      <c r="CC928" s="4"/>
      <c r="CD928" s="4"/>
      <c r="CF928" s="4"/>
    </row>
    <row r="929" spans="66:84">
      <c r="BN929" s="4"/>
      <c r="BO929" s="4"/>
      <c r="BQ929" s="4"/>
      <c r="CC929" s="4"/>
      <c r="CD929" s="4"/>
      <c r="CF929" s="4"/>
    </row>
    <row r="930" spans="66:84">
      <c r="BN930" s="4"/>
      <c r="BO930" s="4"/>
      <c r="BQ930" s="4"/>
      <c r="CC930" s="4"/>
      <c r="CD930" s="4"/>
      <c r="CF930" s="4"/>
    </row>
    <row r="931" spans="66:84">
      <c r="BN931" s="4"/>
      <c r="BO931" s="4"/>
      <c r="BQ931" s="4"/>
      <c r="CC931" s="4"/>
      <c r="CD931" s="4"/>
      <c r="CF931" s="4"/>
    </row>
    <row r="932" spans="66:84">
      <c r="BN932" s="4"/>
      <c r="BO932" s="4"/>
      <c r="BQ932" s="4"/>
      <c r="CC932" s="4"/>
      <c r="CD932" s="4"/>
      <c r="CF932" s="4"/>
    </row>
    <row r="933" spans="66:84">
      <c r="BN933" s="4"/>
      <c r="BO933" s="4"/>
      <c r="BQ933" s="4"/>
      <c r="CC933" s="4"/>
      <c r="CD933" s="4"/>
      <c r="CF933" s="4"/>
    </row>
    <row r="934" spans="66:84">
      <c r="BN934" s="4"/>
      <c r="BO934" s="4"/>
      <c r="BQ934" s="4"/>
      <c r="CC934" s="4"/>
      <c r="CD934" s="4"/>
      <c r="CF934" s="4"/>
    </row>
    <row r="935" spans="66:84">
      <c r="BN935" s="4"/>
      <c r="BO935" s="4"/>
      <c r="BQ935" s="4"/>
      <c r="CC935" s="4"/>
      <c r="CD935" s="4"/>
      <c r="CF935" s="4"/>
    </row>
    <row r="936" spans="66:84">
      <c r="BN936" s="4"/>
      <c r="BO936" s="4"/>
      <c r="BQ936" s="4"/>
      <c r="CC936" s="4"/>
      <c r="CD936" s="4"/>
      <c r="CF936" s="4"/>
    </row>
    <row r="937" spans="66:84">
      <c r="BN937" s="4"/>
      <c r="BO937" s="4"/>
      <c r="BQ937" s="4"/>
      <c r="CC937" s="4"/>
      <c r="CD937" s="4"/>
      <c r="CF937" s="4"/>
    </row>
    <row r="938" spans="66:84">
      <c r="BN938" s="4"/>
      <c r="BO938" s="4"/>
      <c r="BQ938" s="4"/>
      <c r="CC938" s="4"/>
      <c r="CD938" s="4"/>
      <c r="CF938" s="4"/>
    </row>
    <row r="939" spans="66:84">
      <c r="BN939" s="4"/>
      <c r="BO939" s="4"/>
      <c r="BQ939" s="4"/>
      <c r="CC939" s="4"/>
      <c r="CD939" s="4"/>
      <c r="CF939" s="4"/>
    </row>
    <row r="940" spans="66:84">
      <c r="BN940" s="4"/>
      <c r="BO940" s="4"/>
      <c r="BQ940" s="4"/>
      <c r="CC940" s="4"/>
      <c r="CD940" s="4"/>
      <c r="CF940" s="4"/>
    </row>
    <row r="941" spans="66:84">
      <c r="BN941" s="4"/>
      <c r="BO941" s="4"/>
      <c r="BQ941" s="4"/>
      <c r="CC941" s="4"/>
      <c r="CD941" s="4"/>
      <c r="CF941" s="4"/>
    </row>
    <row r="942" spans="66:84">
      <c r="BN942" s="4"/>
      <c r="BO942" s="4"/>
      <c r="BQ942" s="4"/>
      <c r="CC942" s="4"/>
      <c r="CD942" s="4"/>
      <c r="CF942" s="4"/>
    </row>
    <row r="943" spans="66:84">
      <c r="BN943" s="4"/>
      <c r="BO943" s="4"/>
      <c r="BQ943" s="4"/>
      <c r="CC943" s="4"/>
      <c r="CD943" s="4"/>
      <c r="CF943" s="4"/>
    </row>
    <row r="944" spans="66:84">
      <c r="BN944" s="4"/>
      <c r="BO944" s="4"/>
      <c r="BQ944" s="4"/>
      <c r="CC944" s="4"/>
      <c r="CD944" s="4"/>
      <c r="CF944" s="4"/>
    </row>
    <row r="945" spans="66:84">
      <c r="BN945" s="4"/>
      <c r="BO945" s="4"/>
      <c r="BQ945" s="4"/>
      <c r="CC945" s="4"/>
      <c r="CD945" s="4"/>
      <c r="CF945" s="4"/>
    </row>
    <row r="946" spans="66:84">
      <c r="BN946" s="4"/>
      <c r="BO946" s="4"/>
      <c r="BQ946" s="4"/>
      <c r="CC946" s="4"/>
      <c r="CD946" s="4"/>
      <c r="CF946" s="4"/>
    </row>
    <row r="947" spans="66:84">
      <c r="BN947" s="4"/>
      <c r="BO947" s="4"/>
      <c r="BQ947" s="4"/>
      <c r="CC947" s="4"/>
      <c r="CD947" s="4"/>
      <c r="CF947" s="4"/>
    </row>
    <row r="948" spans="66:84">
      <c r="BN948" s="4"/>
      <c r="BO948" s="4"/>
      <c r="BQ948" s="4"/>
      <c r="CC948" s="4"/>
      <c r="CD948" s="4"/>
      <c r="CF948" s="4"/>
    </row>
    <row r="949" spans="66:84">
      <c r="BN949" s="4"/>
      <c r="BO949" s="4"/>
      <c r="BQ949" s="4"/>
      <c r="CC949" s="4"/>
      <c r="CD949" s="4"/>
      <c r="CF949" s="4"/>
    </row>
    <row r="950" spans="66:84">
      <c r="BN950" s="4"/>
      <c r="BO950" s="4"/>
      <c r="BQ950" s="4"/>
      <c r="CC950" s="4"/>
      <c r="CD950" s="4"/>
      <c r="CF950" s="4"/>
    </row>
    <row r="951" spans="66:84">
      <c r="BN951" s="4"/>
      <c r="BO951" s="4"/>
      <c r="BQ951" s="4"/>
      <c r="CC951" s="4"/>
      <c r="CD951" s="4"/>
      <c r="CF951" s="4"/>
    </row>
    <row r="952" spans="66:84">
      <c r="BN952" s="4"/>
      <c r="BO952" s="4"/>
      <c r="BQ952" s="4"/>
      <c r="CC952" s="4"/>
      <c r="CD952" s="4"/>
      <c r="CF952" s="4"/>
    </row>
    <row r="953" spans="66:84">
      <c r="BN953" s="4"/>
      <c r="BO953" s="4"/>
      <c r="BQ953" s="4"/>
      <c r="CC953" s="4"/>
      <c r="CD953" s="4"/>
      <c r="CF953" s="4"/>
    </row>
    <row r="954" spans="66:84">
      <c r="BN954" s="4"/>
      <c r="BO954" s="4"/>
      <c r="BQ954" s="4"/>
      <c r="CC954" s="4"/>
      <c r="CD954" s="4"/>
      <c r="CF954" s="4"/>
    </row>
    <row r="955" spans="66:84">
      <c r="BN955" s="4"/>
      <c r="BO955" s="4"/>
      <c r="BQ955" s="4"/>
      <c r="CC955" s="4"/>
      <c r="CD955" s="4"/>
      <c r="CF955" s="4"/>
    </row>
    <row r="956" spans="66:84">
      <c r="BN956" s="4"/>
      <c r="BO956" s="4"/>
      <c r="BQ956" s="4"/>
      <c r="CC956" s="4"/>
      <c r="CD956" s="4"/>
      <c r="CF956" s="4"/>
    </row>
    <row r="957" spans="66:84">
      <c r="BN957" s="4"/>
      <c r="BO957" s="4"/>
      <c r="BQ957" s="4"/>
      <c r="CC957" s="4"/>
      <c r="CD957" s="4"/>
      <c r="CF957" s="4"/>
    </row>
    <row r="958" spans="66:84">
      <c r="BN958" s="4"/>
      <c r="BO958" s="4"/>
      <c r="BQ958" s="4"/>
      <c r="CC958" s="4"/>
      <c r="CD958" s="4"/>
      <c r="CF958" s="4"/>
    </row>
    <row r="959" spans="66:84">
      <c r="BN959" s="4"/>
      <c r="BO959" s="4"/>
      <c r="BQ959" s="4"/>
      <c r="CC959" s="4"/>
      <c r="CD959" s="4"/>
      <c r="CF959" s="4"/>
    </row>
    <row r="960" spans="66:84">
      <c r="BN960" s="4"/>
      <c r="BO960" s="4"/>
      <c r="BQ960" s="4"/>
      <c r="CC960" s="4"/>
      <c r="CD960" s="4"/>
      <c r="CF960" s="4"/>
    </row>
    <row r="961" spans="66:84">
      <c r="BN961" s="4"/>
      <c r="BO961" s="4"/>
      <c r="BQ961" s="4"/>
      <c r="CC961" s="4"/>
      <c r="CD961" s="4"/>
      <c r="CF961" s="4"/>
    </row>
    <row r="962" spans="66:84">
      <c r="BN962" s="4"/>
      <c r="BO962" s="4"/>
      <c r="BQ962" s="4"/>
      <c r="CC962" s="4"/>
      <c r="CD962" s="4"/>
      <c r="CF962" s="4"/>
    </row>
    <row r="963" spans="66:84">
      <c r="BN963" s="4"/>
      <c r="BO963" s="4"/>
      <c r="BQ963" s="4"/>
      <c r="CC963" s="4"/>
      <c r="CD963" s="4"/>
      <c r="CF963" s="4"/>
    </row>
    <row r="964" spans="66:84">
      <c r="BN964" s="4"/>
      <c r="BO964" s="4"/>
      <c r="BQ964" s="4"/>
      <c r="CC964" s="4"/>
      <c r="CD964" s="4"/>
      <c r="CF964" s="4"/>
    </row>
    <row r="965" spans="66:84">
      <c r="BN965" s="4"/>
      <c r="BO965" s="4"/>
      <c r="BQ965" s="4"/>
      <c r="CC965" s="4"/>
      <c r="CD965" s="4"/>
      <c r="CF965" s="4"/>
    </row>
    <row r="966" spans="66:84">
      <c r="BN966" s="4"/>
      <c r="BO966" s="4"/>
      <c r="BQ966" s="4"/>
      <c r="CC966" s="4"/>
      <c r="CD966" s="4"/>
      <c r="CF966" s="4"/>
    </row>
    <row r="967" spans="66:84">
      <c r="BN967" s="4"/>
      <c r="BO967" s="4"/>
      <c r="BQ967" s="4"/>
      <c r="CC967" s="4"/>
      <c r="CD967" s="4"/>
      <c r="CF967" s="4"/>
    </row>
    <row r="968" spans="66:84">
      <c r="BN968" s="4"/>
      <c r="BO968" s="4"/>
      <c r="BQ968" s="4"/>
      <c r="CC968" s="4"/>
      <c r="CD968" s="4"/>
      <c r="CF968" s="4"/>
    </row>
    <row r="969" spans="66:84">
      <c r="BN969" s="4"/>
      <c r="BO969" s="4"/>
      <c r="BQ969" s="4"/>
      <c r="CC969" s="4"/>
      <c r="CD969" s="4"/>
      <c r="CF969" s="4"/>
    </row>
    <row r="970" spans="66:84">
      <c r="BN970" s="4"/>
      <c r="BO970" s="4"/>
      <c r="BQ970" s="4"/>
      <c r="CC970" s="4"/>
      <c r="CD970" s="4"/>
      <c r="CF970" s="4"/>
    </row>
    <row r="971" spans="66:84">
      <c r="BN971" s="4"/>
      <c r="BO971" s="4"/>
      <c r="BQ971" s="4"/>
      <c r="CC971" s="4"/>
      <c r="CD971" s="4"/>
      <c r="CF971" s="4"/>
    </row>
    <row r="972" spans="66:84">
      <c r="BN972" s="4"/>
      <c r="BO972" s="4"/>
      <c r="BQ972" s="4"/>
      <c r="CC972" s="4"/>
      <c r="CD972" s="4"/>
      <c r="CF972" s="4"/>
    </row>
    <row r="973" spans="66:84">
      <c r="BN973" s="4"/>
      <c r="BO973" s="4"/>
      <c r="BQ973" s="4"/>
      <c r="CC973" s="4"/>
      <c r="CD973" s="4"/>
      <c r="CF973" s="4"/>
    </row>
    <row r="974" spans="66:84">
      <c r="BN974" s="4"/>
      <c r="BO974" s="4"/>
      <c r="BQ974" s="4"/>
      <c r="CC974" s="4"/>
      <c r="CD974" s="4"/>
      <c r="CF974" s="4"/>
    </row>
    <row r="975" spans="66:84">
      <c r="BN975" s="4"/>
      <c r="BO975" s="4"/>
      <c r="BQ975" s="4"/>
      <c r="CC975" s="4"/>
      <c r="CD975" s="4"/>
      <c r="CF975" s="4"/>
    </row>
    <row r="976" spans="66:84">
      <c r="BN976" s="4"/>
      <c r="BO976" s="4"/>
      <c r="BQ976" s="4"/>
      <c r="CC976" s="4"/>
      <c r="CD976" s="4"/>
      <c r="CF976" s="4"/>
    </row>
    <row r="977" spans="66:84">
      <c r="BN977" s="4"/>
      <c r="BO977" s="4"/>
      <c r="BQ977" s="4"/>
      <c r="CC977" s="4"/>
      <c r="CD977" s="4"/>
      <c r="CF977" s="4"/>
    </row>
    <row r="978" spans="66:84">
      <c r="BN978" s="4"/>
      <c r="BO978" s="4"/>
      <c r="BQ978" s="4"/>
      <c r="CC978" s="4"/>
      <c r="CD978" s="4"/>
      <c r="CF978" s="4"/>
    </row>
    <row r="979" spans="66:84">
      <c r="BN979" s="4"/>
      <c r="BO979" s="4"/>
      <c r="BQ979" s="4"/>
      <c r="CC979" s="4"/>
      <c r="CD979" s="4"/>
      <c r="CF979" s="4"/>
    </row>
    <row r="980" spans="66:84">
      <c r="BN980" s="4"/>
      <c r="BO980" s="4"/>
      <c r="BQ980" s="4"/>
      <c r="CC980" s="4"/>
      <c r="CD980" s="4"/>
      <c r="CF980" s="4"/>
    </row>
    <row r="981" spans="66:84">
      <c r="BN981" s="4"/>
      <c r="BO981" s="4"/>
      <c r="BQ981" s="4"/>
      <c r="CC981" s="4"/>
      <c r="CD981" s="4"/>
      <c r="CF981" s="4"/>
    </row>
    <row r="982" spans="66:84">
      <c r="BN982" s="4"/>
      <c r="BO982" s="4"/>
      <c r="BQ982" s="4"/>
      <c r="CC982" s="4"/>
      <c r="CD982" s="4"/>
      <c r="CF982" s="4"/>
    </row>
    <row r="983" spans="66:84">
      <c r="BN983" s="4"/>
      <c r="BO983" s="4"/>
      <c r="BQ983" s="4"/>
      <c r="CC983" s="4"/>
      <c r="CD983" s="4"/>
      <c r="CF983" s="4"/>
    </row>
    <row r="984" spans="66:84">
      <c r="BN984" s="4"/>
      <c r="BO984" s="4"/>
      <c r="BQ984" s="4"/>
      <c r="CC984" s="4"/>
      <c r="CD984" s="4"/>
      <c r="CF984" s="4"/>
    </row>
    <row r="985" spans="66:84">
      <c r="BN985" s="4"/>
      <c r="BO985" s="4"/>
      <c r="BQ985" s="4"/>
      <c r="CC985" s="4"/>
      <c r="CD985" s="4"/>
      <c r="CF985" s="4"/>
    </row>
    <row r="986" spans="66:84">
      <c r="BN986" s="4"/>
      <c r="BO986" s="4"/>
      <c r="BQ986" s="4"/>
      <c r="CC986" s="4"/>
      <c r="CD986" s="4"/>
      <c r="CF986" s="4"/>
    </row>
    <row r="987" spans="66:84">
      <c r="BN987" s="4"/>
      <c r="BO987" s="4"/>
      <c r="BQ987" s="4"/>
      <c r="CC987" s="4"/>
      <c r="CD987" s="4"/>
      <c r="CF987" s="4"/>
    </row>
    <row r="988" spans="66:84">
      <c r="BN988" s="4"/>
      <c r="BO988" s="4"/>
      <c r="BQ988" s="4"/>
      <c r="CC988" s="4"/>
      <c r="CD988" s="4"/>
      <c r="CF988" s="4"/>
    </row>
    <row r="989" spans="66:84">
      <c r="BN989" s="4"/>
      <c r="BO989" s="4"/>
      <c r="BQ989" s="4"/>
      <c r="CC989" s="4"/>
      <c r="CD989" s="4"/>
      <c r="CF989" s="4"/>
    </row>
    <row r="990" spans="66:84">
      <c r="BN990" s="4"/>
      <c r="BO990" s="4"/>
      <c r="BQ990" s="4"/>
      <c r="CC990" s="4"/>
      <c r="CD990" s="4"/>
      <c r="CF990" s="4"/>
    </row>
    <row r="991" spans="66:84">
      <c r="BN991" s="4"/>
      <c r="BO991" s="4"/>
      <c r="BQ991" s="4"/>
      <c r="CC991" s="4"/>
      <c r="CD991" s="4"/>
      <c r="CF991" s="4"/>
    </row>
    <row r="992" spans="66:84">
      <c r="BN992" s="4"/>
      <c r="BO992" s="4"/>
      <c r="BQ992" s="4"/>
      <c r="CC992" s="4"/>
      <c r="CD992" s="4"/>
      <c r="CF992" s="4"/>
    </row>
    <row r="993" spans="66:84">
      <c r="BN993" s="4"/>
      <c r="BO993" s="4"/>
      <c r="BQ993" s="4"/>
      <c r="CC993" s="4"/>
      <c r="CD993" s="4"/>
      <c r="CF993" s="4"/>
    </row>
    <row r="994" spans="66:84">
      <c r="BN994" s="4"/>
      <c r="BO994" s="4"/>
      <c r="BQ994" s="4"/>
      <c r="CC994" s="4"/>
      <c r="CD994" s="4"/>
      <c r="CF994" s="4"/>
    </row>
    <row r="995" spans="66:84">
      <c r="BN995" s="4"/>
      <c r="BO995" s="4"/>
      <c r="BQ995" s="4"/>
      <c r="CC995" s="4"/>
      <c r="CD995" s="4"/>
      <c r="CF995" s="4"/>
    </row>
    <row r="996" spans="66:84">
      <c r="BN996" s="4"/>
      <c r="BO996" s="4"/>
      <c r="BQ996" s="4"/>
      <c r="CC996" s="4"/>
      <c r="CD996" s="4"/>
      <c r="CF996" s="4"/>
    </row>
    <row r="997" spans="66:84">
      <c r="BN997" s="4"/>
      <c r="BO997" s="4"/>
      <c r="BQ997" s="4"/>
      <c r="CC997" s="4"/>
      <c r="CD997" s="4"/>
      <c r="CF997" s="4"/>
    </row>
    <row r="998" spans="66:84">
      <c r="BN998" s="4"/>
      <c r="BO998" s="4"/>
      <c r="BQ998" s="4"/>
      <c r="CC998" s="4"/>
      <c r="CD998" s="4"/>
      <c r="CF998" s="4"/>
    </row>
    <row r="999" spans="66:84">
      <c r="BN999" s="4"/>
      <c r="BO999" s="4"/>
      <c r="BQ999" s="4"/>
      <c r="CC999" s="4"/>
      <c r="CD999" s="4"/>
      <c r="CF999" s="4"/>
    </row>
    <row r="1000" spans="66:84">
      <c r="BN1000" s="4"/>
      <c r="BO1000" s="4"/>
      <c r="BQ1000" s="4"/>
      <c r="CC1000" s="4"/>
      <c r="CD1000" s="4"/>
      <c r="CF1000" s="4"/>
    </row>
    <row r="1001" spans="66:84">
      <c r="BN1001" s="4"/>
      <c r="BO1001" s="4"/>
      <c r="BQ1001" s="4"/>
      <c r="CC1001" s="4"/>
      <c r="CD1001" s="4"/>
      <c r="CF1001" s="4"/>
    </row>
    <row r="1002" spans="66:84">
      <c r="BN1002" s="4"/>
      <c r="BO1002" s="4"/>
      <c r="BQ1002" s="4"/>
      <c r="CC1002" s="4"/>
      <c r="CD1002" s="4"/>
      <c r="CF1002" s="4"/>
    </row>
    <row r="1003" spans="66:84">
      <c r="BN1003" s="4"/>
      <c r="BO1003" s="4"/>
      <c r="BQ1003" s="4"/>
      <c r="CC1003" s="4"/>
      <c r="CD1003" s="4"/>
      <c r="CF1003" s="4"/>
    </row>
    <row r="1004" spans="66:84">
      <c r="BN1004" s="4"/>
      <c r="BO1004" s="4"/>
      <c r="BQ1004" s="4"/>
      <c r="CC1004" s="4"/>
      <c r="CD1004" s="4"/>
      <c r="CF1004" s="4"/>
    </row>
    <row r="1005" spans="66:84">
      <c r="BN1005" s="4"/>
      <c r="BO1005" s="4"/>
      <c r="BQ1005" s="4"/>
      <c r="CC1005" s="4"/>
      <c r="CD1005" s="4"/>
      <c r="CF1005" s="4"/>
    </row>
    <row r="1006" spans="66:84">
      <c r="BN1006" s="4"/>
      <c r="BO1006" s="4"/>
      <c r="BQ1006" s="4"/>
      <c r="CC1006" s="4"/>
      <c r="CD1006" s="4"/>
      <c r="CF1006" s="4"/>
    </row>
    <row r="1007" spans="66:84">
      <c r="BN1007" s="4"/>
      <c r="BO1007" s="4"/>
      <c r="BQ1007" s="4"/>
      <c r="CC1007" s="4"/>
      <c r="CD1007" s="4"/>
      <c r="CF1007" s="4"/>
    </row>
    <row r="1008" spans="66:84">
      <c r="BN1008" s="4"/>
      <c r="BO1008" s="4"/>
      <c r="BQ1008" s="4"/>
      <c r="CC1008" s="4"/>
      <c r="CD1008" s="4"/>
      <c r="CF1008" s="4"/>
    </row>
    <row r="1009" spans="66:84">
      <c r="BN1009" s="4"/>
      <c r="BO1009" s="4"/>
      <c r="BQ1009" s="4"/>
      <c r="CC1009" s="4"/>
      <c r="CD1009" s="4"/>
      <c r="CF1009" s="4"/>
    </row>
    <row r="1010" spans="66:84">
      <c r="BN1010" s="4"/>
      <c r="BO1010" s="4"/>
      <c r="BQ1010" s="4"/>
      <c r="CC1010" s="4"/>
      <c r="CD1010" s="4"/>
      <c r="CF1010" s="4"/>
    </row>
    <row r="1011" spans="66:84">
      <c r="BN1011" s="4"/>
      <c r="BO1011" s="4"/>
      <c r="BQ1011" s="4"/>
      <c r="CC1011" s="4"/>
      <c r="CD1011" s="4"/>
      <c r="CF1011" s="4"/>
    </row>
    <row r="1012" spans="66:84">
      <c r="BN1012" s="4"/>
      <c r="BO1012" s="4"/>
      <c r="BQ1012" s="4"/>
      <c r="CC1012" s="4"/>
      <c r="CD1012" s="4"/>
      <c r="CF1012" s="4"/>
    </row>
    <row r="1013" spans="66:84">
      <c r="BN1013" s="4"/>
      <c r="BO1013" s="4"/>
      <c r="BQ1013" s="4"/>
      <c r="CC1013" s="4"/>
      <c r="CD1013" s="4"/>
      <c r="CF1013" s="4"/>
    </row>
    <row r="1014" spans="66:84">
      <c r="BN1014" s="4"/>
      <c r="BO1014" s="4"/>
      <c r="BQ1014" s="4"/>
      <c r="CC1014" s="4"/>
      <c r="CD1014" s="4"/>
      <c r="CF1014" s="4"/>
    </row>
    <row r="1015" spans="66:84">
      <c r="BN1015" s="4"/>
      <c r="BO1015" s="4"/>
      <c r="BQ1015" s="4"/>
      <c r="CC1015" s="4"/>
      <c r="CD1015" s="4"/>
      <c r="CF1015" s="4"/>
    </row>
    <row r="1016" spans="66:84">
      <c r="BN1016" s="4"/>
      <c r="BO1016" s="4"/>
      <c r="BQ1016" s="4"/>
      <c r="CC1016" s="4"/>
      <c r="CD1016" s="4"/>
      <c r="CF1016" s="4"/>
    </row>
    <row r="1017" spans="66:84">
      <c r="BN1017" s="4"/>
      <c r="BO1017" s="4"/>
      <c r="BQ1017" s="4"/>
      <c r="CC1017" s="4"/>
      <c r="CD1017" s="4"/>
      <c r="CF1017" s="4"/>
    </row>
    <row r="1018" spans="66:84">
      <c r="BN1018" s="4"/>
      <c r="BO1018" s="4"/>
      <c r="BQ1018" s="4"/>
      <c r="CC1018" s="4"/>
      <c r="CD1018" s="4"/>
      <c r="CF1018" s="4"/>
    </row>
    <row r="1019" spans="66:84">
      <c r="BN1019" s="4"/>
      <c r="BO1019" s="4"/>
      <c r="BQ1019" s="4"/>
      <c r="CC1019" s="4"/>
      <c r="CD1019" s="4"/>
      <c r="CF1019" s="4"/>
    </row>
    <row r="1020" spans="66:84">
      <c r="BN1020" s="4"/>
      <c r="BO1020" s="4"/>
      <c r="BQ1020" s="4"/>
      <c r="CC1020" s="4"/>
      <c r="CD1020" s="4"/>
      <c r="CF1020" s="4"/>
    </row>
    <row r="1021" spans="66:84">
      <c r="BN1021" s="4"/>
      <c r="BO1021" s="4"/>
      <c r="BQ1021" s="4"/>
      <c r="CC1021" s="4"/>
      <c r="CD1021" s="4"/>
      <c r="CF1021" s="4"/>
    </row>
    <row r="1022" spans="66:84">
      <c r="BN1022" s="4"/>
      <c r="BO1022" s="4"/>
      <c r="BQ1022" s="4"/>
      <c r="CC1022" s="4"/>
      <c r="CD1022" s="4"/>
      <c r="CF1022" s="4"/>
    </row>
    <row r="1023" spans="66:84">
      <c r="BN1023" s="4"/>
      <c r="BO1023" s="4"/>
      <c r="BQ1023" s="4"/>
      <c r="CC1023" s="4"/>
      <c r="CD1023" s="4"/>
      <c r="CF1023" s="4"/>
    </row>
    <row r="1024" spans="66:84">
      <c r="BN1024" s="4"/>
      <c r="BO1024" s="4"/>
      <c r="BQ1024" s="4"/>
      <c r="CC1024" s="4"/>
      <c r="CD1024" s="4"/>
      <c r="CF1024" s="4"/>
    </row>
    <row r="1025" spans="66:84">
      <c r="BN1025" s="4"/>
      <c r="BO1025" s="4"/>
      <c r="BQ1025" s="4"/>
      <c r="CC1025" s="4"/>
      <c r="CD1025" s="4"/>
      <c r="CF1025" s="4"/>
    </row>
    <row r="1026" spans="66:84">
      <c r="BN1026" s="4"/>
      <c r="BO1026" s="4"/>
      <c r="BQ1026" s="4"/>
      <c r="CC1026" s="4"/>
      <c r="CD1026" s="4"/>
      <c r="CF1026" s="4"/>
    </row>
    <row r="1027" spans="66:84">
      <c r="BN1027" s="4"/>
      <c r="BO1027" s="4"/>
      <c r="BQ1027" s="4"/>
      <c r="CC1027" s="4"/>
      <c r="CD1027" s="4"/>
      <c r="CF1027" s="4"/>
    </row>
    <row r="1028" spans="66:84">
      <c r="BN1028" s="4"/>
      <c r="BO1028" s="4"/>
      <c r="BQ1028" s="4"/>
      <c r="CC1028" s="4"/>
      <c r="CD1028" s="4"/>
      <c r="CF1028" s="4"/>
    </row>
    <row r="1029" spans="66:84">
      <c r="BN1029" s="4"/>
      <c r="BO1029" s="4"/>
      <c r="BQ1029" s="4"/>
      <c r="CC1029" s="4"/>
      <c r="CD1029" s="4"/>
      <c r="CF1029" s="4"/>
    </row>
    <row r="1030" spans="66:84">
      <c r="BN1030" s="4"/>
      <c r="BO1030" s="4"/>
      <c r="BQ1030" s="4"/>
      <c r="CC1030" s="4"/>
      <c r="CD1030" s="4"/>
      <c r="CF1030" s="4"/>
    </row>
    <row r="1031" spans="66:84">
      <c r="BN1031" s="4"/>
      <c r="BO1031" s="4"/>
      <c r="BQ1031" s="4"/>
      <c r="CC1031" s="4"/>
      <c r="CD1031" s="4"/>
      <c r="CF1031" s="4"/>
    </row>
    <row r="1032" spans="66:84">
      <c r="BN1032" s="4"/>
      <c r="BO1032" s="4"/>
      <c r="BQ1032" s="4"/>
      <c r="CC1032" s="4"/>
      <c r="CD1032" s="4"/>
      <c r="CF1032" s="4"/>
    </row>
    <row r="1033" spans="66:84">
      <c r="BN1033" s="4"/>
      <c r="BO1033" s="4"/>
      <c r="BQ1033" s="4"/>
      <c r="CC1033" s="4"/>
      <c r="CD1033" s="4"/>
      <c r="CF1033" s="4"/>
    </row>
    <row r="1034" spans="66:84">
      <c r="BN1034" s="4"/>
      <c r="BO1034" s="4"/>
      <c r="BQ1034" s="4"/>
      <c r="CC1034" s="4"/>
      <c r="CD1034" s="4"/>
      <c r="CF1034" s="4"/>
    </row>
    <row r="1035" spans="66:84">
      <c r="BN1035" s="4"/>
      <c r="BO1035" s="4"/>
      <c r="BQ1035" s="4"/>
      <c r="CC1035" s="4"/>
      <c r="CD1035" s="4"/>
      <c r="CF1035" s="4"/>
    </row>
    <row r="1036" spans="66:84">
      <c r="BN1036" s="4"/>
      <c r="BO1036" s="4"/>
      <c r="BQ1036" s="4"/>
      <c r="CC1036" s="4"/>
      <c r="CD1036" s="4"/>
      <c r="CF1036" s="4"/>
    </row>
    <row r="1037" spans="66:84">
      <c r="BN1037" s="4"/>
      <c r="BO1037" s="4"/>
      <c r="BQ1037" s="4"/>
      <c r="CC1037" s="4"/>
      <c r="CD1037" s="4"/>
      <c r="CF1037" s="4"/>
    </row>
    <row r="1038" spans="66:84">
      <c r="BN1038" s="4"/>
      <c r="BO1038" s="4"/>
      <c r="BQ1038" s="4"/>
      <c r="CC1038" s="4"/>
      <c r="CD1038" s="4"/>
      <c r="CF1038" s="4"/>
    </row>
    <row r="1039" spans="66:84">
      <c r="BN1039" s="4"/>
      <c r="BO1039" s="4"/>
      <c r="BQ1039" s="4"/>
      <c r="CC1039" s="4"/>
      <c r="CD1039" s="4"/>
      <c r="CF1039" s="4"/>
    </row>
    <row r="1040" spans="66:84">
      <c r="BN1040" s="4"/>
      <c r="BO1040" s="4"/>
      <c r="BQ1040" s="4"/>
      <c r="CC1040" s="4"/>
      <c r="CD1040" s="4"/>
      <c r="CF1040" s="4"/>
    </row>
    <row r="1041" spans="66:84">
      <c r="BN1041" s="4"/>
      <c r="BO1041" s="4"/>
      <c r="BQ1041" s="4"/>
      <c r="CC1041" s="4"/>
      <c r="CD1041" s="4"/>
      <c r="CF1041" s="4"/>
    </row>
    <row r="1042" spans="66:84">
      <c r="BN1042" s="4"/>
      <c r="BO1042" s="4"/>
      <c r="BQ1042" s="4"/>
      <c r="CC1042" s="4"/>
      <c r="CD1042" s="4"/>
      <c r="CF1042" s="4"/>
    </row>
    <row r="1043" spans="66:84">
      <c r="BN1043" s="4"/>
      <c r="BO1043" s="4"/>
      <c r="BQ1043" s="4"/>
      <c r="CC1043" s="4"/>
      <c r="CD1043" s="4"/>
      <c r="CF1043" s="4"/>
    </row>
    <row r="1044" spans="66:84">
      <c r="BN1044" s="4"/>
      <c r="BO1044" s="4"/>
      <c r="BQ1044" s="4"/>
      <c r="CC1044" s="4"/>
      <c r="CD1044" s="4"/>
      <c r="CF1044" s="4"/>
    </row>
    <row r="1045" spans="66:84">
      <c r="BN1045" s="4"/>
      <c r="BO1045" s="4"/>
      <c r="BQ1045" s="4"/>
      <c r="CC1045" s="4"/>
      <c r="CD1045" s="4"/>
      <c r="CF1045" s="4"/>
    </row>
    <row r="1046" spans="66:84">
      <c r="BN1046" s="4"/>
      <c r="BO1046" s="4"/>
      <c r="BQ1046" s="4"/>
      <c r="CC1046" s="4"/>
      <c r="CD1046" s="4"/>
      <c r="CF1046" s="4"/>
    </row>
    <row r="1047" spans="66:84">
      <c r="BN1047" s="4"/>
      <c r="BO1047" s="4"/>
      <c r="BQ1047" s="4"/>
      <c r="CC1047" s="4"/>
      <c r="CD1047" s="4"/>
      <c r="CF1047" s="4"/>
    </row>
    <row r="1048" spans="66:84">
      <c r="BN1048" s="4"/>
      <c r="BO1048" s="4"/>
      <c r="BQ1048" s="4"/>
      <c r="CC1048" s="4"/>
      <c r="CD1048" s="4"/>
      <c r="CF1048" s="4"/>
    </row>
    <row r="1049" spans="66:84">
      <c r="BN1049" s="4"/>
      <c r="BO1049" s="4"/>
      <c r="BQ1049" s="4"/>
      <c r="CC1049" s="4"/>
      <c r="CD1049" s="4"/>
      <c r="CF1049" s="4"/>
    </row>
    <row r="1050" spans="66:84">
      <c r="BN1050" s="4"/>
      <c r="BO1050" s="4"/>
      <c r="BQ1050" s="4"/>
      <c r="CC1050" s="4"/>
      <c r="CD1050" s="4"/>
      <c r="CF1050" s="4"/>
    </row>
    <row r="1051" spans="66:84">
      <c r="BN1051" s="4"/>
      <c r="BO1051" s="4"/>
      <c r="BQ1051" s="4"/>
      <c r="CC1051" s="4"/>
      <c r="CD1051" s="4"/>
      <c r="CF1051" s="4"/>
    </row>
    <row r="1052" spans="66:84">
      <c r="BN1052" s="4"/>
      <c r="BO1052" s="4"/>
      <c r="BQ1052" s="4"/>
      <c r="CC1052" s="4"/>
      <c r="CD1052" s="4"/>
      <c r="CF1052" s="4"/>
    </row>
    <row r="1053" spans="66:84">
      <c r="BN1053" s="4"/>
      <c r="BO1053" s="4"/>
      <c r="BQ1053" s="4"/>
      <c r="CC1053" s="4"/>
      <c r="CD1053" s="4"/>
      <c r="CF1053" s="4"/>
    </row>
    <row r="1054" spans="66:84">
      <c r="BN1054" s="4"/>
      <c r="BO1054" s="4"/>
      <c r="BQ1054" s="4"/>
      <c r="CC1054" s="4"/>
      <c r="CD1054" s="4"/>
      <c r="CF1054" s="4"/>
    </row>
    <row r="1055" spans="66:84">
      <c r="BN1055" s="4"/>
      <c r="BO1055" s="4"/>
      <c r="BQ1055" s="4"/>
      <c r="CC1055" s="4"/>
      <c r="CD1055" s="4"/>
      <c r="CF1055" s="4"/>
    </row>
    <row r="1056" spans="66:84">
      <c r="BN1056" s="4"/>
      <c r="BO1056" s="4"/>
      <c r="BQ1056" s="4"/>
      <c r="CC1056" s="4"/>
      <c r="CD1056" s="4"/>
      <c r="CF1056" s="4"/>
    </row>
    <row r="1057" spans="66:84">
      <c r="BN1057" s="4"/>
      <c r="BO1057" s="4"/>
      <c r="BQ1057" s="4"/>
      <c r="CC1057" s="4"/>
      <c r="CD1057" s="4"/>
      <c r="CF1057" s="4"/>
    </row>
    <row r="1058" spans="66:84">
      <c r="BN1058" s="4"/>
      <c r="BO1058" s="4"/>
      <c r="BQ1058" s="4"/>
      <c r="CC1058" s="4"/>
      <c r="CD1058" s="4"/>
      <c r="CF1058" s="4"/>
    </row>
    <row r="1059" spans="66:84">
      <c r="BN1059" s="4"/>
      <c r="BO1059" s="4"/>
      <c r="BQ1059" s="4"/>
      <c r="CC1059" s="4"/>
      <c r="CD1059" s="4"/>
      <c r="CF1059" s="4"/>
    </row>
    <row r="1060" spans="66:84">
      <c r="BN1060" s="4"/>
      <c r="BO1060" s="4"/>
      <c r="BQ1060" s="4"/>
      <c r="CC1060" s="4"/>
      <c r="CD1060" s="4"/>
      <c r="CF1060" s="4"/>
    </row>
    <row r="1061" spans="66:84">
      <c r="BN1061" s="4"/>
      <c r="BO1061" s="4"/>
      <c r="BQ1061" s="4"/>
      <c r="CC1061" s="4"/>
      <c r="CD1061" s="4"/>
      <c r="CF1061" s="4"/>
    </row>
    <row r="1062" spans="66:84">
      <c r="BN1062" s="4"/>
      <c r="BO1062" s="4"/>
      <c r="BQ1062" s="4"/>
      <c r="CC1062" s="4"/>
      <c r="CD1062" s="4"/>
      <c r="CF1062" s="4"/>
    </row>
    <row r="1063" spans="66:84">
      <c r="BN1063" s="4"/>
      <c r="BO1063" s="4"/>
      <c r="BQ1063" s="4"/>
      <c r="CC1063" s="4"/>
      <c r="CD1063" s="4"/>
      <c r="CF1063" s="4"/>
    </row>
    <row r="1064" spans="66:84">
      <c r="BN1064" s="4"/>
      <c r="BO1064" s="4"/>
      <c r="BQ1064" s="4"/>
      <c r="CC1064" s="4"/>
      <c r="CD1064" s="4"/>
      <c r="CF1064" s="4"/>
    </row>
    <row r="1065" spans="66:84">
      <c r="BN1065" s="4"/>
      <c r="BO1065" s="4"/>
      <c r="BQ1065" s="4"/>
      <c r="CC1065" s="4"/>
      <c r="CD1065" s="4"/>
      <c r="CF1065" s="4"/>
    </row>
    <row r="1066" spans="66:84">
      <c r="BN1066" s="4"/>
      <c r="BO1066" s="4"/>
      <c r="BQ1066" s="4"/>
      <c r="CC1066" s="4"/>
      <c r="CD1066" s="4"/>
      <c r="CF1066" s="4"/>
    </row>
    <row r="1067" spans="66:84">
      <c r="BN1067" s="4"/>
      <c r="BO1067" s="4"/>
      <c r="BQ1067" s="4"/>
      <c r="CC1067" s="4"/>
      <c r="CD1067" s="4"/>
      <c r="CF1067" s="4"/>
    </row>
    <row r="1068" spans="66:84">
      <c r="BN1068" s="4"/>
      <c r="BO1068" s="4"/>
      <c r="BQ1068" s="4"/>
      <c r="CC1068" s="4"/>
      <c r="CD1068" s="4"/>
      <c r="CF1068" s="4"/>
    </row>
    <row r="1069" spans="66:84">
      <c r="BN1069" s="4"/>
      <c r="BO1069" s="4"/>
      <c r="BQ1069" s="4"/>
      <c r="CC1069" s="4"/>
      <c r="CD1069" s="4"/>
      <c r="CF1069" s="4"/>
    </row>
    <row r="1070" spans="66:84">
      <c r="BN1070" s="4"/>
      <c r="BO1070" s="4"/>
      <c r="BQ1070" s="4"/>
      <c r="CC1070" s="4"/>
      <c r="CD1070" s="4"/>
      <c r="CF1070" s="4"/>
    </row>
    <row r="1071" spans="66:84">
      <c r="BN1071" s="4"/>
      <c r="BO1071" s="4"/>
      <c r="BQ1071" s="4"/>
      <c r="CC1071" s="4"/>
      <c r="CD1071" s="4"/>
      <c r="CF1071" s="4"/>
    </row>
    <row r="1072" spans="66:84">
      <c r="BN1072" s="4"/>
      <c r="BO1072" s="4"/>
      <c r="BQ1072" s="4"/>
      <c r="CC1072" s="4"/>
      <c r="CD1072" s="4"/>
      <c r="CF1072" s="4"/>
    </row>
    <row r="1073" spans="66:84">
      <c r="BN1073" s="4"/>
      <c r="BO1073" s="4"/>
      <c r="BQ1073" s="4"/>
      <c r="CC1073" s="4"/>
      <c r="CD1073" s="4"/>
      <c r="CF1073" s="4"/>
    </row>
    <row r="1074" spans="66:84">
      <c r="BN1074" s="4"/>
      <c r="BO1074" s="4"/>
      <c r="BQ1074" s="4"/>
      <c r="CC1074" s="4"/>
      <c r="CD1074" s="4"/>
      <c r="CF1074" s="4"/>
    </row>
    <row r="1075" spans="66:84">
      <c r="BN1075" s="4"/>
      <c r="BO1075" s="4"/>
      <c r="BQ1075" s="4"/>
      <c r="CC1075" s="4"/>
      <c r="CD1075" s="4"/>
      <c r="CF1075" s="4"/>
    </row>
    <row r="1076" spans="66:84">
      <c r="BN1076" s="4"/>
      <c r="BO1076" s="4"/>
      <c r="BQ1076" s="4"/>
      <c r="CC1076" s="4"/>
      <c r="CD1076" s="4"/>
      <c r="CF1076" s="4"/>
    </row>
    <row r="1077" spans="66:84">
      <c r="BN1077" s="4"/>
      <c r="BO1077" s="4"/>
      <c r="BQ1077" s="4"/>
      <c r="CC1077" s="4"/>
      <c r="CD1077" s="4"/>
      <c r="CF1077" s="4"/>
    </row>
    <row r="1078" spans="66:84">
      <c r="BN1078" s="4"/>
      <c r="BO1078" s="4"/>
      <c r="BQ1078" s="4"/>
      <c r="CC1078" s="4"/>
      <c r="CD1078" s="4"/>
      <c r="CF1078" s="4"/>
    </row>
    <row r="1079" spans="66:84">
      <c r="BN1079" s="4"/>
      <c r="BO1079" s="4"/>
      <c r="BQ1079" s="4"/>
      <c r="CC1079" s="4"/>
      <c r="CD1079" s="4"/>
      <c r="CF1079" s="4"/>
    </row>
    <row r="1080" spans="66:84">
      <c r="BN1080" s="4"/>
      <c r="BO1080" s="4"/>
      <c r="BQ1080" s="4"/>
      <c r="CC1080" s="4"/>
      <c r="CD1080" s="4"/>
      <c r="CF1080" s="4"/>
    </row>
    <row r="1081" spans="66:84">
      <c r="BN1081" s="4"/>
      <c r="BO1081" s="4"/>
      <c r="BQ1081" s="4"/>
      <c r="CC1081" s="4"/>
      <c r="CD1081" s="4"/>
      <c r="CF1081" s="4"/>
    </row>
    <row r="1082" spans="66:84">
      <c r="BN1082" s="4"/>
      <c r="BO1082" s="4"/>
      <c r="BQ1082" s="4"/>
      <c r="CC1082" s="4"/>
      <c r="CD1082" s="4"/>
      <c r="CF1082" s="4"/>
    </row>
    <row r="1083" spans="66:84">
      <c r="BN1083" s="4"/>
      <c r="BO1083" s="4"/>
      <c r="BQ1083" s="4"/>
      <c r="CC1083" s="4"/>
      <c r="CD1083" s="4"/>
      <c r="CF1083" s="4"/>
    </row>
    <row r="1084" spans="66:84">
      <c r="BN1084" s="4"/>
      <c r="BO1084" s="4"/>
      <c r="BQ1084" s="4"/>
      <c r="CC1084" s="4"/>
      <c r="CD1084" s="4"/>
      <c r="CF1084" s="4"/>
    </row>
    <row r="1085" spans="66:84">
      <c r="BN1085" s="4"/>
      <c r="BO1085" s="4"/>
      <c r="BQ1085" s="4"/>
      <c r="CC1085" s="4"/>
      <c r="CD1085" s="4"/>
      <c r="CF1085" s="4"/>
    </row>
    <row r="1086" spans="66:84">
      <c r="BN1086" s="4"/>
      <c r="BO1086" s="4"/>
      <c r="BQ1086" s="4"/>
      <c r="CC1086" s="4"/>
      <c r="CD1086" s="4"/>
      <c r="CF1086" s="4"/>
    </row>
    <row r="1087" spans="66:84">
      <c r="BN1087" s="4"/>
      <c r="BO1087" s="4"/>
      <c r="BQ1087" s="4"/>
      <c r="CC1087" s="4"/>
      <c r="CD1087" s="4"/>
      <c r="CF1087" s="4"/>
    </row>
    <row r="1088" spans="66:84">
      <c r="BN1088" s="4"/>
      <c r="BO1088" s="4"/>
      <c r="BQ1088" s="4"/>
      <c r="CC1088" s="4"/>
      <c r="CD1088" s="4"/>
      <c r="CF1088" s="4"/>
    </row>
    <row r="1089" spans="66:84">
      <c r="BN1089" s="4"/>
      <c r="BO1089" s="4"/>
      <c r="BQ1089" s="4"/>
      <c r="CC1089" s="4"/>
      <c r="CD1089" s="4"/>
      <c r="CF1089" s="4"/>
    </row>
    <row r="1090" spans="66:84">
      <c r="BN1090" s="4"/>
      <c r="BO1090" s="4"/>
      <c r="BQ1090" s="4"/>
      <c r="CC1090" s="4"/>
      <c r="CD1090" s="4"/>
      <c r="CF1090" s="4"/>
    </row>
    <row r="1091" spans="66:84">
      <c r="BN1091" s="4"/>
      <c r="BO1091" s="4"/>
      <c r="BQ1091" s="4"/>
      <c r="CC1091" s="4"/>
      <c r="CD1091" s="4"/>
      <c r="CF1091" s="4"/>
    </row>
    <row r="1092" spans="66:84">
      <c r="BN1092" s="4"/>
      <c r="BO1092" s="4"/>
      <c r="BQ1092" s="4"/>
      <c r="CC1092" s="4"/>
      <c r="CD1092" s="4"/>
      <c r="CF1092" s="4"/>
    </row>
    <row r="1093" spans="66:84">
      <c r="BN1093" s="4"/>
      <c r="BO1093" s="4"/>
      <c r="BQ1093" s="4"/>
      <c r="CC1093" s="4"/>
      <c r="CD1093" s="4"/>
      <c r="CF1093" s="4"/>
    </row>
    <row r="1094" spans="66:84">
      <c r="BN1094" s="4"/>
      <c r="BO1094" s="4"/>
      <c r="BQ1094" s="4"/>
      <c r="CC1094" s="4"/>
      <c r="CD1094" s="4"/>
      <c r="CF1094" s="4"/>
    </row>
    <row r="1095" spans="66:84">
      <c r="BN1095" s="4"/>
      <c r="BO1095" s="4"/>
      <c r="BQ1095" s="4"/>
      <c r="CC1095" s="4"/>
      <c r="CD1095" s="4"/>
      <c r="CF1095" s="4"/>
    </row>
    <row r="1096" spans="66:84">
      <c r="BN1096" s="4"/>
      <c r="BO1096" s="4"/>
      <c r="BQ1096" s="4"/>
      <c r="CC1096" s="4"/>
      <c r="CD1096" s="4"/>
      <c r="CF1096" s="4"/>
    </row>
    <row r="1097" spans="66:84">
      <c r="BN1097" s="4"/>
      <c r="BO1097" s="4"/>
      <c r="BQ1097" s="4"/>
      <c r="CC1097" s="4"/>
      <c r="CD1097" s="4"/>
      <c r="CF1097" s="4"/>
    </row>
    <row r="1098" spans="66:84">
      <c r="BN1098" s="4"/>
      <c r="BO1098" s="4"/>
      <c r="BQ1098" s="4"/>
      <c r="CC1098" s="4"/>
      <c r="CD1098" s="4"/>
      <c r="CF1098" s="4"/>
    </row>
    <row r="1099" spans="66:84">
      <c r="BN1099" s="4"/>
      <c r="BO1099" s="4"/>
      <c r="BQ1099" s="4"/>
      <c r="CC1099" s="4"/>
      <c r="CD1099" s="4"/>
      <c r="CF1099" s="4"/>
    </row>
    <row r="1100" spans="66:84">
      <c r="BN1100" s="4"/>
      <c r="BO1100" s="4"/>
      <c r="BQ1100" s="4"/>
      <c r="CC1100" s="4"/>
      <c r="CD1100" s="4"/>
      <c r="CF1100" s="4"/>
    </row>
    <row r="1101" spans="66:84">
      <c r="BN1101" s="4"/>
      <c r="BO1101" s="4"/>
      <c r="BQ1101" s="4"/>
      <c r="CC1101" s="4"/>
      <c r="CD1101" s="4"/>
      <c r="CF1101" s="4"/>
    </row>
    <row r="1102" spans="66:84">
      <c r="BN1102" s="4"/>
      <c r="BO1102" s="4"/>
      <c r="BQ1102" s="4"/>
      <c r="CC1102" s="4"/>
      <c r="CD1102" s="4"/>
      <c r="CF1102" s="4"/>
    </row>
    <row r="1103" spans="66:84">
      <c r="BN1103" s="4"/>
      <c r="BO1103" s="4"/>
      <c r="BQ1103" s="4"/>
      <c r="CC1103" s="4"/>
      <c r="CD1103" s="4"/>
      <c r="CF1103" s="4"/>
    </row>
    <row r="1104" spans="66:84">
      <c r="BN1104" s="4"/>
      <c r="BO1104" s="4"/>
      <c r="BQ1104" s="4"/>
      <c r="CC1104" s="4"/>
      <c r="CD1104" s="4"/>
      <c r="CF1104" s="4"/>
    </row>
    <row r="1105" spans="66:84">
      <c r="BN1105" s="4"/>
      <c r="BO1105" s="4"/>
      <c r="BQ1105" s="4"/>
      <c r="CC1105" s="4"/>
      <c r="CD1105" s="4"/>
      <c r="CF1105" s="4"/>
    </row>
    <row r="1106" spans="66:84">
      <c r="BN1106" s="4"/>
      <c r="BO1106" s="4"/>
      <c r="BQ1106" s="4"/>
      <c r="CC1106" s="4"/>
      <c r="CD1106" s="4"/>
      <c r="CF1106" s="4"/>
    </row>
    <row r="1107" spans="66:84">
      <c r="BN1107" s="4"/>
      <c r="BO1107" s="4"/>
      <c r="BQ1107" s="4"/>
      <c r="CC1107" s="4"/>
      <c r="CD1107" s="4"/>
      <c r="CF1107" s="4"/>
    </row>
    <row r="1108" spans="66:84">
      <c r="BN1108" s="4"/>
      <c r="BO1108" s="4"/>
      <c r="BQ1108" s="4"/>
      <c r="CC1108" s="4"/>
      <c r="CD1108" s="4"/>
      <c r="CF1108" s="4"/>
    </row>
    <row r="1109" spans="66:84">
      <c r="BN1109" s="4"/>
      <c r="BO1109" s="4"/>
      <c r="BQ1109" s="4"/>
      <c r="CC1109" s="4"/>
      <c r="CD1109" s="4"/>
      <c r="CF1109" s="4"/>
    </row>
    <row r="1110" spans="66:84">
      <c r="BN1110" s="4"/>
      <c r="BO1110" s="4"/>
      <c r="BQ1110" s="4"/>
      <c r="CC1110" s="4"/>
      <c r="CD1110" s="4"/>
      <c r="CF1110" s="4"/>
    </row>
    <row r="1111" spans="66:84">
      <c r="BN1111" s="4"/>
      <c r="BO1111" s="4"/>
      <c r="BQ1111" s="4"/>
      <c r="CC1111" s="4"/>
      <c r="CD1111" s="4"/>
      <c r="CF1111" s="4"/>
    </row>
    <row r="1112" spans="66:84">
      <c r="BN1112" s="4"/>
      <c r="BO1112" s="4"/>
      <c r="BQ1112" s="4"/>
      <c r="CC1112" s="4"/>
      <c r="CD1112" s="4"/>
      <c r="CF1112" s="4"/>
    </row>
    <row r="1113" spans="66:84">
      <c r="BN1113" s="4"/>
      <c r="BO1113" s="4"/>
      <c r="BQ1113" s="4"/>
      <c r="CC1113" s="4"/>
      <c r="CD1113" s="4"/>
      <c r="CF1113" s="4"/>
    </row>
    <row r="1114" spans="66:84">
      <c r="BN1114" s="4"/>
      <c r="BO1114" s="4"/>
      <c r="BQ1114" s="4"/>
      <c r="CC1114" s="4"/>
      <c r="CD1114" s="4"/>
      <c r="CF1114" s="4"/>
    </row>
    <row r="1115" spans="66:84">
      <c r="BN1115" s="4"/>
      <c r="BO1115" s="4"/>
      <c r="BQ1115" s="4"/>
      <c r="CC1115" s="4"/>
      <c r="CD1115" s="4"/>
      <c r="CF1115" s="4"/>
    </row>
    <row r="1116" spans="66:84">
      <c r="BN1116" s="4"/>
      <c r="BO1116" s="4"/>
      <c r="BQ1116" s="4"/>
      <c r="CC1116" s="4"/>
      <c r="CD1116" s="4"/>
      <c r="CF1116" s="4"/>
    </row>
    <row r="1117" spans="66:84">
      <c r="BN1117" s="4"/>
      <c r="BO1117" s="4"/>
      <c r="BQ1117" s="4"/>
      <c r="CC1117" s="4"/>
      <c r="CD1117" s="4"/>
      <c r="CF1117" s="4"/>
    </row>
    <row r="1118" spans="66:84">
      <c r="BN1118" s="4"/>
      <c r="BO1118" s="4"/>
      <c r="BQ1118" s="4"/>
      <c r="CC1118" s="4"/>
      <c r="CD1118" s="4"/>
      <c r="CF1118" s="4"/>
    </row>
    <row r="1119" spans="66:84">
      <c r="BN1119" s="4"/>
      <c r="BO1119" s="4"/>
      <c r="BQ1119" s="4"/>
      <c r="CC1119" s="4"/>
      <c r="CD1119" s="4"/>
      <c r="CF1119" s="4"/>
    </row>
    <row r="1120" spans="66:84">
      <c r="BN1120" s="4"/>
      <c r="BO1120" s="4"/>
      <c r="BQ1120" s="4"/>
      <c r="CC1120" s="4"/>
      <c r="CD1120" s="4"/>
      <c r="CF1120" s="4"/>
    </row>
    <row r="1121" spans="66:84">
      <c r="BN1121" s="4"/>
      <c r="BO1121" s="4"/>
      <c r="BQ1121" s="4"/>
      <c r="CC1121" s="4"/>
      <c r="CD1121" s="4"/>
      <c r="CF1121" s="4"/>
    </row>
    <row r="1122" spans="66:84">
      <c r="BN1122" s="4"/>
      <c r="BO1122" s="4"/>
      <c r="BQ1122" s="4"/>
      <c r="CC1122" s="4"/>
      <c r="CD1122" s="4"/>
      <c r="CF1122" s="4"/>
    </row>
    <row r="1123" spans="66:84">
      <c r="BN1123" s="4"/>
      <c r="BO1123" s="4"/>
      <c r="BQ1123" s="4"/>
      <c r="CC1123" s="4"/>
      <c r="CD1123" s="4"/>
      <c r="CF1123" s="4"/>
    </row>
    <row r="1124" spans="66:84">
      <c r="BN1124" s="4"/>
      <c r="BO1124" s="4"/>
      <c r="BQ1124" s="4"/>
      <c r="CC1124" s="4"/>
      <c r="CD1124" s="4"/>
      <c r="CF1124" s="4"/>
    </row>
    <row r="1125" spans="66:84">
      <c r="BN1125" s="4"/>
      <c r="BO1125" s="4"/>
      <c r="BQ1125" s="4"/>
      <c r="CC1125" s="4"/>
      <c r="CD1125" s="4"/>
      <c r="CF1125" s="4"/>
    </row>
    <row r="1126" spans="66:84">
      <c r="BN1126" s="4"/>
      <c r="BO1126" s="4"/>
      <c r="BQ1126" s="4"/>
      <c r="CC1126" s="4"/>
      <c r="CD1126" s="4"/>
      <c r="CF1126" s="4"/>
    </row>
    <row r="1127" spans="66:84">
      <c r="BN1127" s="4"/>
      <c r="BO1127" s="4"/>
      <c r="BQ1127" s="4"/>
      <c r="CC1127" s="4"/>
      <c r="CD1127" s="4"/>
      <c r="CF1127" s="4"/>
    </row>
    <row r="1128" spans="66:84">
      <c r="BN1128" s="4"/>
      <c r="BO1128" s="4"/>
      <c r="BQ1128" s="4"/>
      <c r="CC1128" s="4"/>
      <c r="CD1128" s="4"/>
      <c r="CF1128" s="4"/>
    </row>
    <row r="1129" spans="66:84">
      <c r="BN1129" s="4"/>
      <c r="BO1129" s="4"/>
      <c r="BQ1129" s="4"/>
      <c r="CC1129" s="4"/>
      <c r="CD1129" s="4"/>
      <c r="CF1129" s="4"/>
    </row>
    <row r="1130" spans="66:84">
      <c r="BN1130" s="4"/>
      <c r="BO1130" s="4"/>
      <c r="BQ1130" s="4"/>
      <c r="CC1130" s="4"/>
      <c r="CD1130" s="4"/>
      <c r="CF1130" s="4"/>
    </row>
    <row r="1131" spans="66:84">
      <c r="BN1131" s="4"/>
      <c r="BO1131" s="4"/>
      <c r="BQ1131" s="4"/>
      <c r="CC1131" s="4"/>
      <c r="CD1131" s="4"/>
      <c r="CF1131" s="4"/>
    </row>
    <row r="1132" spans="66:84">
      <c r="BN1132" s="4"/>
      <c r="BO1132" s="4"/>
      <c r="BQ1132" s="4"/>
      <c r="CC1132" s="4"/>
      <c r="CD1132" s="4"/>
      <c r="CF1132" s="4"/>
    </row>
    <row r="1133" spans="66:84">
      <c r="BN1133" s="4"/>
      <c r="BO1133" s="4"/>
      <c r="BQ1133" s="4"/>
      <c r="CC1133" s="4"/>
      <c r="CD1133" s="4"/>
      <c r="CF1133" s="4"/>
    </row>
    <row r="1134" spans="66:84">
      <c r="BN1134" s="4"/>
      <c r="BO1134" s="4"/>
      <c r="BQ1134" s="4"/>
      <c r="CC1134" s="4"/>
      <c r="CD1134" s="4"/>
      <c r="CF1134" s="4"/>
    </row>
    <row r="1135" spans="66:84">
      <c r="BN1135" s="4"/>
      <c r="BO1135" s="4"/>
      <c r="BQ1135" s="4"/>
      <c r="CC1135" s="4"/>
      <c r="CD1135" s="4"/>
      <c r="CF1135" s="4"/>
    </row>
    <row r="1136" spans="66:84">
      <c r="BN1136" s="4"/>
      <c r="BO1136" s="4"/>
      <c r="BQ1136" s="4"/>
      <c r="CC1136" s="4"/>
      <c r="CD1136" s="4"/>
      <c r="CF1136" s="4"/>
    </row>
    <row r="1137" spans="66:84">
      <c r="BN1137" s="4"/>
      <c r="BO1137" s="4"/>
      <c r="BQ1137" s="4"/>
      <c r="CC1137" s="4"/>
      <c r="CD1137" s="4"/>
      <c r="CF1137" s="4"/>
    </row>
    <row r="1138" spans="66:84">
      <c r="BN1138" s="4"/>
      <c r="BO1138" s="4"/>
      <c r="BQ1138" s="4"/>
      <c r="CC1138" s="4"/>
      <c r="CD1138" s="4"/>
      <c r="CF1138" s="4"/>
    </row>
    <row r="1139" spans="66:84">
      <c r="BN1139" s="4"/>
      <c r="BO1139" s="4"/>
      <c r="BQ1139" s="4"/>
      <c r="CC1139" s="4"/>
      <c r="CD1139" s="4"/>
      <c r="CF1139" s="4"/>
    </row>
    <row r="1140" spans="66:84">
      <c r="BN1140" s="4"/>
      <c r="BO1140" s="4"/>
      <c r="BQ1140" s="4"/>
      <c r="CC1140" s="4"/>
      <c r="CD1140" s="4"/>
      <c r="CF1140" s="4"/>
    </row>
    <row r="1141" spans="66:84">
      <c r="BN1141" s="4"/>
      <c r="BO1141" s="4"/>
      <c r="BQ1141" s="4"/>
      <c r="CC1141" s="4"/>
      <c r="CD1141" s="4"/>
      <c r="CF1141" s="4"/>
    </row>
    <row r="1142" spans="66:84">
      <c r="BN1142" s="4"/>
      <c r="BO1142" s="4"/>
      <c r="BQ1142" s="4"/>
      <c r="CC1142" s="4"/>
      <c r="CD1142" s="4"/>
      <c r="CF1142" s="4"/>
    </row>
    <row r="1143" spans="66:84">
      <c r="BN1143" s="4"/>
      <c r="BO1143" s="4"/>
      <c r="BQ1143" s="4"/>
      <c r="CC1143" s="4"/>
      <c r="CD1143" s="4"/>
      <c r="CF1143" s="4"/>
    </row>
    <row r="1144" spans="66:84">
      <c r="BN1144" s="4"/>
      <c r="BO1144" s="4"/>
      <c r="BQ1144" s="4"/>
      <c r="CC1144" s="4"/>
      <c r="CD1144" s="4"/>
      <c r="CF1144" s="4"/>
    </row>
    <row r="1145" spans="66:84">
      <c r="BN1145" s="4"/>
      <c r="BO1145" s="4"/>
      <c r="BQ1145" s="4"/>
      <c r="CC1145" s="4"/>
      <c r="CD1145" s="4"/>
      <c r="CF1145" s="4"/>
    </row>
    <row r="1146" spans="66:84">
      <c r="BN1146" s="4"/>
      <c r="BO1146" s="4"/>
      <c r="BQ1146" s="4"/>
      <c r="CC1146" s="4"/>
      <c r="CD1146" s="4"/>
      <c r="CF1146" s="4"/>
    </row>
    <row r="1147" spans="66:84">
      <c r="BN1147" s="4"/>
      <c r="BO1147" s="4"/>
      <c r="BQ1147" s="4"/>
      <c r="CC1147" s="4"/>
      <c r="CD1147" s="4"/>
      <c r="CF1147" s="4"/>
    </row>
    <row r="1148" spans="66:84">
      <c r="BN1148" s="4"/>
      <c r="BO1148" s="4"/>
      <c r="BQ1148" s="4"/>
      <c r="CC1148" s="4"/>
      <c r="CD1148" s="4"/>
      <c r="CF1148" s="4"/>
    </row>
    <row r="1149" spans="66:84">
      <c r="BN1149" s="4"/>
      <c r="BO1149" s="4"/>
      <c r="BQ1149" s="4"/>
      <c r="CC1149" s="4"/>
      <c r="CD1149" s="4"/>
      <c r="CF1149" s="4"/>
    </row>
    <row r="1150" spans="66:84">
      <c r="BN1150" s="4"/>
      <c r="BO1150" s="4"/>
      <c r="BQ1150" s="4"/>
      <c r="CC1150" s="4"/>
      <c r="CD1150" s="4"/>
      <c r="CF1150" s="4"/>
    </row>
    <row r="1151" spans="66:84">
      <c r="BN1151" s="4"/>
      <c r="BO1151" s="4"/>
      <c r="BQ1151" s="4"/>
      <c r="CC1151" s="4"/>
      <c r="CD1151" s="4"/>
      <c r="CF1151" s="4"/>
    </row>
    <row r="1152" spans="66:84">
      <c r="BN1152" s="4"/>
      <c r="BO1152" s="4"/>
      <c r="BQ1152" s="4"/>
      <c r="CC1152" s="4"/>
      <c r="CD1152" s="4"/>
      <c r="CF1152" s="4"/>
    </row>
    <row r="1153" spans="66:84">
      <c r="BN1153" s="4"/>
      <c r="BO1153" s="4"/>
      <c r="BQ1153" s="4"/>
      <c r="CC1153" s="4"/>
      <c r="CD1153" s="4"/>
      <c r="CF1153" s="4"/>
    </row>
    <row r="1154" spans="66:84">
      <c r="BN1154" s="4"/>
      <c r="BO1154" s="4"/>
      <c r="BQ1154" s="4"/>
      <c r="CC1154" s="4"/>
      <c r="CD1154" s="4"/>
      <c r="CF1154" s="4"/>
    </row>
    <row r="1155" spans="66:84">
      <c r="BN1155" s="4"/>
      <c r="BO1155" s="4"/>
      <c r="BQ1155" s="4"/>
      <c r="CC1155" s="4"/>
      <c r="CD1155" s="4"/>
      <c r="CF1155" s="4"/>
    </row>
    <row r="1156" spans="66:84">
      <c r="BN1156" s="4"/>
      <c r="BO1156" s="4"/>
      <c r="BQ1156" s="4"/>
      <c r="CC1156" s="4"/>
      <c r="CD1156" s="4"/>
      <c r="CF1156" s="4"/>
    </row>
    <row r="1157" spans="66:84">
      <c r="BN1157" s="4"/>
      <c r="BO1157" s="4"/>
      <c r="BQ1157" s="4"/>
      <c r="CC1157" s="4"/>
      <c r="CD1157" s="4"/>
      <c r="CF1157" s="4"/>
    </row>
    <row r="1158" spans="66:84">
      <c r="BN1158" s="4"/>
      <c r="BO1158" s="4"/>
      <c r="BQ1158" s="4"/>
      <c r="CC1158" s="4"/>
      <c r="CD1158" s="4"/>
      <c r="CF1158" s="4"/>
    </row>
    <row r="1159" spans="66:84">
      <c r="BN1159" s="4"/>
      <c r="BO1159" s="4"/>
      <c r="BQ1159" s="4"/>
      <c r="CC1159" s="4"/>
      <c r="CD1159" s="4"/>
      <c r="CF1159" s="4"/>
    </row>
    <row r="1160" spans="66:84">
      <c r="BN1160" s="4"/>
      <c r="BO1160" s="4"/>
      <c r="BQ1160" s="4"/>
      <c r="CC1160" s="4"/>
      <c r="CD1160" s="4"/>
      <c r="CF1160" s="4"/>
    </row>
    <row r="1161" spans="66:84">
      <c r="BN1161" s="4"/>
      <c r="BO1161" s="4"/>
      <c r="BQ1161" s="4"/>
      <c r="CC1161" s="4"/>
      <c r="CD1161" s="4"/>
      <c r="CF1161" s="4"/>
    </row>
    <row r="1162" spans="66:84">
      <c r="BN1162" s="4"/>
      <c r="BO1162" s="4"/>
      <c r="BQ1162" s="4"/>
      <c r="CC1162" s="4"/>
      <c r="CD1162" s="4"/>
      <c r="CF1162" s="4"/>
    </row>
    <row r="1163" spans="66:84">
      <c r="BN1163" s="4"/>
      <c r="BO1163" s="4"/>
      <c r="BQ1163" s="4"/>
      <c r="CC1163" s="4"/>
      <c r="CD1163" s="4"/>
      <c r="CF1163" s="4"/>
    </row>
    <row r="1164" spans="66:84">
      <c r="BN1164" s="4"/>
      <c r="BO1164" s="4"/>
      <c r="BQ1164" s="4"/>
      <c r="CC1164" s="4"/>
      <c r="CD1164" s="4"/>
      <c r="CF1164" s="4"/>
    </row>
    <row r="1165" spans="66:84">
      <c r="BN1165" s="4"/>
      <c r="BO1165" s="4"/>
      <c r="BQ1165" s="4"/>
      <c r="CC1165" s="4"/>
      <c r="CD1165" s="4"/>
      <c r="CF1165" s="4"/>
    </row>
    <row r="1166" spans="66:84">
      <c r="BN1166" s="4"/>
      <c r="BO1166" s="4"/>
      <c r="BQ1166" s="4"/>
      <c r="CC1166" s="4"/>
      <c r="CD1166" s="4"/>
      <c r="CF1166" s="4"/>
    </row>
    <row r="1167" spans="66:84">
      <c r="BN1167" s="4"/>
      <c r="BO1167" s="4"/>
      <c r="BQ1167" s="4"/>
      <c r="CC1167" s="4"/>
      <c r="CD1167" s="4"/>
      <c r="CF1167" s="4"/>
    </row>
    <row r="1168" spans="66:84">
      <c r="BN1168" s="4"/>
      <c r="BO1168" s="4"/>
      <c r="BQ1168" s="4"/>
      <c r="CC1168" s="4"/>
      <c r="CD1168" s="4"/>
      <c r="CF1168" s="4"/>
    </row>
    <row r="1169" spans="66:84">
      <c r="BN1169" s="4"/>
      <c r="BO1169" s="4"/>
      <c r="BQ1169" s="4"/>
      <c r="CC1169" s="4"/>
      <c r="CD1169" s="4"/>
      <c r="CF1169" s="4"/>
    </row>
    <row r="1170" spans="66:84">
      <c r="BN1170" s="4"/>
      <c r="BO1170" s="4"/>
      <c r="BQ1170" s="4"/>
      <c r="CC1170" s="4"/>
      <c r="CD1170" s="4"/>
      <c r="CF1170" s="4"/>
    </row>
    <row r="1171" spans="66:84">
      <c r="BN1171" s="4"/>
      <c r="BO1171" s="4"/>
      <c r="BQ1171" s="4"/>
      <c r="CC1171" s="4"/>
      <c r="CD1171" s="4"/>
      <c r="CF1171" s="4"/>
    </row>
    <row r="1172" spans="66:84">
      <c r="BN1172" s="4"/>
      <c r="BO1172" s="4"/>
      <c r="BQ1172" s="4"/>
      <c r="CC1172" s="4"/>
      <c r="CD1172" s="4"/>
      <c r="CF1172" s="4"/>
    </row>
    <row r="1173" spans="66:84">
      <c r="BN1173" s="4"/>
      <c r="BO1173" s="4"/>
      <c r="BQ1173" s="4"/>
      <c r="CC1173" s="4"/>
      <c r="CD1173" s="4"/>
      <c r="CF1173" s="4"/>
    </row>
    <row r="1174" spans="66:84">
      <c r="BN1174" s="4"/>
      <c r="BO1174" s="4"/>
      <c r="BQ1174" s="4"/>
      <c r="CC1174" s="4"/>
      <c r="CD1174" s="4"/>
      <c r="CF1174" s="4"/>
    </row>
    <row r="1175" spans="66:84">
      <c r="BN1175" s="4"/>
      <c r="BO1175" s="4"/>
      <c r="BQ1175" s="4"/>
      <c r="CC1175" s="4"/>
      <c r="CD1175" s="4"/>
      <c r="CF1175" s="4"/>
    </row>
    <row r="1176" spans="66:84">
      <c r="BN1176" s="4"/>
      <c r="BO1176" s="4"/>
      <c r="BQ1176" s="4"/>
      <c r="CC1176" s="4"/>
      <c r="CD1176" s="4"/>
      <c r="CF1176" s="4"/>
    </row>
    <row r="1177" spans="66:84">
      <c r="BN1177" s="4"/>
      <c r="BO1177" s="4"/>
      <c r="BQ1177" s="4"/>
      <c r="CC1177" s="4"/>
      <c r="CD1177" s="4"/>
      <c r="CF1177" s="4"/>
    </row>
    <row r="1178" spans="66:84">
      <c r="BN1178" s="4"/>
      <c r="BO1178" s="4"/>
      <c r="BQ1178" s="4"/>
      <c r="CC1178" s="4"/>
      <c r="CD1178" s="4"/>
      <c r="CF1178" s="4"/>
    </row>
    <row r="1179" spans="66:84">
      <c r="BN1179" s="4"/>
      <c r="BO1179" s="4"/>
      <c r="BQ1179" s="4"/>
      <c r="CC1179" s="4"/>
      <c r="CD1179" s="4"/>
      <c r="CF1179" s="4"/>
    </row>
    <row r="1180" spans="66:84">
      <c r="BN1180" s="4"/>
      <c r="BO1180" s="4"/>
      <c r="BQ1180" s="4"/>
      <c r="CC1180" s="4"/>
      <c r="CD1180" s="4"/>
      <c r="CF1180" s="4"/>
    </row>
    <row r="1181" spans="66:84">
      <c r="BN1181" s="4"/>
      <c r="BO1181" s="4"/>
      <c r="BQ1181" s="4"/>
      <c r="CC1181" s="4"/>
      <c r="CD1181" s="4"/>
      <c r="CF1181" s="4"/>
    </row>
    <row r="1182" spans="66:84">
      <c r="BN1182" s="4"/>
      <c r="BO1182" s="4"/>
      <c r="BQ1182" s="4"/>
      <c r="CC1182" s="4"/>
      <c r="CD1182" s="4"/>
      <c r="CF1182" s="4"/>
    </row>
    <row r="1183" spans="66:84">
      <c r="BN1183" s="4"/>
      <c r="BO1183" s="4"/>
      <c r="BQ1183" s="4"/>
      <c r="CC1183" s="4"/>
      <c r="CD1183" s="4"/>
      <c r="CF1183" s="4"/>
    </row>
    <row r="1184" spans="66:84">
      <c r="BN1184" s="4"/>
      <c r="BO1184" s="4"/>
      <c r="BQ1184" s="4"/>
      <c r="CC1184" s="4"/>
      <c r="CD1184" s="4"/>
      <c r="CF1184" s="4"/>
    </row>
    <row r="1185" spans="66:84">
      <c r="BN1185" s="4"/>
      <c r="BO1185" s="4"/>
      <c r="BQ1185" s="4"/>
      <c r="CC1185" s="4"/>
      <c r="CD1185" s="4"/>
      <c r="CF1185" s="4"/>
    </row>
    <row r="1186" spans="66:84">
      <c r="BN1186" s="4"/>
      <c r="BO1186" s="4"/>
      <c r="BQ1186" s="4"/>
      <c r="CC1186" s="4"/>
      <c r="CD1186" s="4"/>
      <c r="CF1186" s="4"/>
    </row>
    <row r="1187" spans="66:84">
      <c r="BN1187" s="4"/>
      <c r="BO1187" s="4"/>
      <c r="BQ1187" s="4"/>
      <c r="CC1187" s="4"/>
      <c r="CD1187" s="4"/>
      <c r="CF1187" s="4"/>
    </row>
    <row r="1188" spans="66:84">
      <c r="BN1188" s="4"/>
      <c r="BO1188" s="4"/>
      <c r="BQ1188" s="4"/>
      <c r="CC1188" s="4"/>
      <c r="CD1188" s="4"/>
      <c r="CF1188" s="4"/>
    </row>
    <row r="1189" spans="66:84">
      <c r="BN1189" s="4"/>
      <c r="BO1189" s="4"/>
      <c r="BQ1189" s="4"/>
      <c r="CC1189" s="4"/>
      <c r="CD1189" s="4"/>
      <c r="CF1189" s="4"/>
    </row>
    <row r="1190" spans="66:84">
      <c r="BN1190" s="4"/>
      <c r="BO1190" s="4"/>
      <c r="BQ1190" s="4"/>
      <c r="CC1190" s="4"/>
      <c r="CD1190" s="4"/>
      <c r="CF1190" s="4"/>
    </row>
    <row r="1191" spans="66:84">
      <c r="BN1191" s="4"/>
      <c r="BO1191" s="4"/>
      <c r="BQ1191" s="4"/>
      <c r="CC1191" s="4"/>
      <c r="CD1191" s="4"/>
      <c r="CF1191" s="4"/>
    </row>
    <row r="1192" spans="66:84">
      <c r="BN1192" s="4"/>
      <c r="BO1192" s="4"/>
      <c r="BQ1192" s="4"/>
      <c r="CC1192" s="4"/>
      <c r="CD1192" s="4"/>
      <c r="CF1192" s="4"/>
    </row>
    <row r="1193" spans="66:84">
      <c r="BN1193" s="4"/>
      <c r="BO1193" s="4"/>
      <c r="BQ1193" s="4"/>
      <c r="CC1193" s="4"/>
      <c r="CD1193" s="4"/>
      <c r="CF1193" s="4"/>
    </row>
    <row r="1194" spans="66:84">
      <c r="BN1194" s="4"/>
      <c r="BO1194" s="4"/>
      <c r="BQ1194" s="4"/>
      <c r="CC1194" s="4"/>
      <c r="CD1194" s="4"/>
      <c r="CF1194" s="4"/>
    </row>
    <row r="1195" spans="66:84">
      <c r="BN1195" s="4"/>
      <c r="BO1195" s="4"/>
      <c r="BQ1195" s="4"/>
      <c r="CC1195" s="4"/>
      <c r="CD1195" s="4"/>
      <c r="CF1195" s="4"/>
    </row>
    <row r="1196" spans="66:84">
      <c r="BN1196" s="4"/>
      <c r="BO1196" s="4"/>
      <c r="BQ1196" s="4"/>
      <c r="CC1196" s="4"/>
      <c r="CD1196" s="4"/>
      <c r="CF1196" s="4"/>
    </row>
    <row r="1197" spans="66:84">
      <c r="BN1197" s="4"/>
      <c r="BO1197" s="4"/>
      <c r="BQ1197" s="4"/>
      <c r="CC1197" s="4"/>
      <c r="CD1197" s="4"/>
      <c r="CF1197" s="4"/>
    </row>
    <row r="1198" spans="66:84">
      <c r="BN1198" s="4"/>
      <c r="BO1198" s="4"/>
      <c r="BQ1198" s="4"/>
      <c r="CC1198" s="4"/>
      <c r="CD1198" s="4"/>
      <c r="CF1198" s="4"/>
    </row>
    <row r="1199" spans="66:84">
      <c r="BN1199" s="4"/>
      <c r="BO1199" s="4"/>
      <c r="BQ1199" s="4"/>
      <c r="CC1199" s="4"/>
      <c r="CD1199" s="4"/>
      <c r="CF1199" s="4"/>
    </row>
    <row r="1200" spans="66:84">
      <c r="BN1200" s="4"/>
      <c r="BO1200" s="4"/>
      <c r="BQ1200" s="4"/>
      <c r="CC1200" s="4"/>
      <c r="CD1200" s="4"/>
      <c r="CF1200" s="4"/>
    </row>
    <row r="1201" spans="66:84">
      <c r="BN1201" s="4"/>
      <c r="BO1201" s="4"/>
      <c r="BQ1201" s="4"/>
      <c r="CC1201" s="4"/>
      <c r="CD1201" s="4"/>
      <c r="CF1201" s="4"/>
    </row>
    <row r="1202" spans="66:84">
      <c r="BN1202" s="4"/>
      <c r="BO1202" s="4"/>
      <c r="BQ1202" s="4"/>
      <c r="CC1202" s="4"/>
      <c r="CD1202" s="4"/>
      <c r="CF1202" s="4"/>
    </row>
    <row r="1203" spans="66:84">
      <c r="BN1203" s="4"/>
      <c r="BO1203" s="4"/>
      <c r="BQ1203" s="4"/>
      <c r="CC1203" s="4"/>
      <c r="CD1203" s="4"/>
      <c r="CF1203" s="4"/>
    </row>
    <row r="1204" spans="66:84">
      <c r="BN1204" s="4"/>
      <c r="BO1204" s="4"/>
      <c r="BQ1204" s="4"/>
      <c r="CC1204" s="4"/>
      <c r="CD1204" s="4"/>
      <c r="CF1204" s="4"/>
    </row>
    <row r="1205" spans="66:84">
      <c r="BN1205" s="4"/>
      <c r="BO1205" s="4"/>
      <c r="BQ1205" s="4"/>
      <c r="CC1205" s="4"/>
      <c r="CD1205" s="4"/>
      <c r="CF1205" s="4"/>
    </row>
    <row r="1206" spans="66:84">
      <c r="BN1206" s="4"/>
      <c r="BO1206" s="4"/>
      <c r="BQ1206" s="4"/>
      <c r="CC1206" s="4"/>
      <c r="CD1206" s="4"/>
      <c r="CF1206" s="4"/>
    </row>
    <row r="1207" spans="66:84">
      <c r="BN1207" s="4"/>
      <c r="BO1207" s="4"/>
      <c r="BQ1207" s="4"/>
      <c r="CC1207" s="4"/>
      <c r="CD1207" s="4"/>
      <c r="CF1207" s="4"/>
    </row>
    <row r="1208" spans="66:84">
      <c r="BN1208" s="4"/>
      <c r="BO1208" s="4"/>
      <c r="BQ1208" s="4"/>
      <c r="CC1208" s="4"/>
      <c r="CD1208" s="4"/>
      <c r="CF1208" s="4"/>
    </row>
    <row r="1209" spans="66:84">
      <c r="BN1209" s="4"/>
      <c r="BO1209" s="4"/>
      <c r="BQ1209" s="4"/>
      <c r="CC1209" s="4"/>
      <c r="CD1209" s="4"/>
      <c r="CF1209" s="4"/>
    </row>
    <row r="1210" spans="66:84">
      <c r="BN1210" s="4"/>
      <c r="BO1210" s="4"/>
      <c r="BQ1210" s="4"/>
      <c r="CC1210" s="4"/>
      <c r="CD1210" s="4"/>
      <c r="CF1210" s="4"/>
    </row>
    <row r="1211" spans="66:84">
      <c r="BN1211" s="4"/>
      <c r="BO1211" s="4"/>
      <c r="BQ1211" s="4"/>
      <c r="CC1211" s="4"/>
      <c r="CD1211" s="4"/>
      <c r="CF1211" s="4"/>
    </row>
    <row r="1212" spans="66:84">
      <c r="BN1212" s="4"/>
      <c r="BO1212" s="4"/>
      <c r="BQ1212" s="4"/>
      <c r="CC1212" s="4"/>
      <c r="CD1212" s="4"/>
      <c r="CF1212" s="4"/>
    </row>
    <row r="1213" spans="66:84">
      <c r="BN1213" s="4"/>
      <c r="BO1213" s="4"/>
      <c r="BQ1213" s="4"/>
      <c r="CC1213" s="4"/>
      <c r="CD1213" s="4"/>
      <c r="CF1213" s="4"/>
    </row>
    <row r="1214" spans="66:84">
      <c r="BN1214" s="4"/>
      <c r="BO1214" s="4"/>
      <c r="BQ1214" s="4"/>
      <c r="CC1214" s="4"/>
      <c r="CD1214" s="4"/>
      <c r="CF1214" s="4"/>
    </row>
    <row r="1215" spans="66:84">
      <c r="BN1215" s="4"/>
      <c r="BO1215" s="4"/>
      <c r="BQ1215" s="4"/>
      <c r="CC1215" s="4"/>
      <c r="CD1215" s="4"/>
      <c r="CF1215" s="4"/>
    </row>
    <row r="1216" spans="66:84">
      <c r="BN1216" s="4"/>
      <c r="BO1216" s="4"/>
      <c r="BQ1216" s="4"/>
      <c r="CC1216" s="4"/>
      <c r="CD1216" s="4"/>
      <c r="CF1216" s="4"/>
    </row>
    <row r="1217" spans="66:84">
      <c r="BN1217" s="4"/>
      <c r="BO1217" s="4"/>
      <c r="BQ1217" s="4"/>
      <c r="CC1217" s="4"/>
      <c r="CD1217" s="4"/>
      <c r="CF1217" s="4"/>
    </row>
    <row r="1218" spans="66:84">
      <c r="BN1218" s="4"/>
      <c r="BO1218" s="4"/>
      <c r="BQ1218" s="4"/>
      <c r="CC1218" s="4"/>
      <c r="CD1218" s="4"/>
      <c r="CF1218" s="4"/>
    </row>
    <row r="1219" spans="66:84">
      <c r="BN1219" s="4"/>
      <c r="BO1219" s="4"/>
      <c r="BQ1219" s="4"/>
      <c r="CC1219" s="4"/>
      <c r="CD1219" s="4"/>
      <c r="CF1219" s="4"/>
    </row>
    <row r="1220" spans="66:84">
      <c r="BN1220" s="4"/>
      <c r="BO1220" s="4"/>
      <c r="BQ1220" s="4"/>
      <c r="CC1220" s="4"/>
      <c r="CD1220" s="4"/>
      <c r="CF1220" s="4"/>
    </row>
    <row r="1221" spans="66:84">
      <c r="BN1221" s="4"/>
      <c r="BO1221" s="4"/>
      <c r="BQ1221" s="4"/>
      <c r="CC1221" s="4"/>
      <c r="CD1221" s="4"/>
      <c r="CF1221" s="4"/>
    </row>
    <row r="1222" spans="66:84">
      <c r="BN1222" s="4"/>
      <c r="BO1222" s="4"/>
      <c r="BQ1222" s="4"/>
      <c r="CC1222" s="4"/>
      <c r="CD1222" s="4"/>
      <c r="CF1222" s="4"/>
    </row>
    <row r="1223" spans="66:84">
      <c r="BN1223" s="4"/>
      <c r="BO1223" s="4"/>
      <c r="BQ1223" s="4"/>
      <c r="CC1223" s="4"/>
      <c r="CD1223" s="4"/>
      <c r="CF1223" s="4"/>
    </row>
    <row r="1224" spans="66:84">
      <c r="BN1224" s="4"/>
      <c r="BO1224" s="4"/>
      <c r="BQ1224" s="4"/>
      <c r="CC1224" s="4"/>
      <c r="CD1224" s="4"/>
      <c r="CF1224" s="4"/>
    </row>
    <row r="1225" spans="66:84">
      <c r="BN1225" s="4"/>
      <c r="BO1225" s="4"/>
      <c r="BQ1225" s="4"/>
      <c r="CC1225" s="4"/>
      <c r="CD1225" s="4"/>
      <c r="CF1225" s="4"/>
    </row>
    <row r="1226" spans="66:84">
      <c r="BN1226" s="4"/>
      <c r="BO1226" s="4"/>
      <c r="BQ1226" s="4"/>
      <c r="CC1226" s="4"/>
      <c r="CD1226" s="4"/>
      <c r="CF1226" s="4"/>
    </row>
    <row r="1227" spans="66:84">
      <c r="BN1227" s="4"/>
      <c r="BO1227" s="4"/>
      <c r="BQ1227" s="4"/>
      <c r="CC1227" s="4"/>
      <c r="CD1227" s="4"/>
      <c r="CF1227" s="4"/>
    </row>
    <row r="1228" spans="66:84">
      <c r="BN1228" s="4"/>
      <c r="BO1228" s="4"/>
      <c r="BQ1228" s="4"/>
      <c r="CC1228" s="4"/>
      <c r="CD1228" s="4"/>
      <c r="CF1228" s="4"/>
    </row>
    <row r="1229" spans="66:84">
      <c r="BN1229" s="4"/>
      <c r="BO1229" s="4"/>
      <c r="BQ1229" s="4"/>
      <c r="CC1229" s="4"/>
      <c r="CD1229" s="4"/>
      <c r="CF1229" s="4"/>
    </row>
    <row r="1230" spans="66:84">
      <c r="BN1230" s="4"/>
      <c r="BO1230" s="4"/>
      <c r="BQ1230" s="4"/>
      <c r="CC1230" s="4"/>
      <c r="CD1230" s="4"/>
      <c r="CF1230" s="4"/>
    </row>
    <row r="1231" spans="66:84">
      <c r="BN1231" s="4"/>
      <c r="BO1231" s="4"/>
      <c r="BQ1231" s="4"/>
      <c r="CC1231" s="4"/>
      <c r="CD1231" s="4"/>
      <c r="CF1231" s="4"/>
    </row>
    <row r="1232" spans="66:84">
      <c r="BN1232" s="4"/>
      <c r="BO1232" s="4"/>
      <c r="BQ1232" s="4"/>
      <c r="CC1232" s="4"/>
      <c r="CD1232" s="4"/>
      <c r="CF1232" s="4"/>
    </row>
    <row r="1233" spans="66:84">
      <c r="BN1233" s="4"/>
      <c r="BO1233" s="4"/>
      <c r="BQ1233" s="4"/>
      <c r="CC1233" s="4"/>
      <c r="CD1233" s="4"/>
      <c r="CF1233" s="4"/>
    </row>
    <row r="1234" spans="66:84">
      <c r="BN1234" s="4"/>
      <c r="BO1234" s="4"/>
      <c r="BQ1234" s="4"/>
      <c r="CC1234" s="4"/>
      <c r="CD1234" s="4"/>
      <c r="CF1234" s="4"/>
    </row>
    <row r="1235" spans="66:84">
      <c r="BN1235" s="4"/>
      <c r="BO1235" s="4"/>
      <c r="BQ1235" s="4"/>
      <c r="CC1235" s="4"/>
      <c r="CD1235" s="4"/>
      <c r="CF1235" s="4"/>
    </row>
    <row r="1236" spans="66:84">
      <c r="BN1236" s="4"/>
      <c r="BO1236" s="4"/>
      <c r="BQ1236" s="4"/>
      <c r="CC1236" s="4"/>
      <c r="CD1236" s="4"/>
      <c r="CF1236" s="4"/>
    </row>
    <row r="1237" spans="66:84">
      <c r="BN1237" s="4"/>
      <c r="BO1237" s="4"/>
      <c r="BQ1237" s="4"/>
      <c r="CC1237" s="4"/>
      <c r="CD1237" s="4"/>
      <c r="CF1237" s="4"/>
    </row>
    <row r="1238" spans="66:84">
      <c r="BN1238" s="4"/>
      <c r="BO1238" s="4"/>
      <c r="BQ1238" s="4"/>
      <c r="CC1238" s="4"/>
      <c r="CD1238" s="4"/>
      <c r="CF1238" s="4"/>
    </row>
    <row r="1239" spans="66:84">
      <c r="BN1239" s="4"/>
      <c r="BO1239" s="4"/>
      <c r="BQ1239" s="4"/>
      <c r="CC1239" s="4"/>
      <c r="CD1239" s="4"/>
      <c r="CF1239" s="4"/>
    </row>
    <row r="1240" spans="66:84">
      <c r="BN1240" s="4"/>
      <c r="BO1240" s="4"/>
      <c r="BQ1240" s="4"/>
      <c r="CC1240" s="4"/>
      <c r="CD1240" s="4"/>
      <c r="CF1240" s="4"/>
    </row>
    <row r="1241" spans="66:84">
      <c r="BN1241" s="4"/>
      <c r="BO1241" s="4"/>
      <c r="BQ1241" s="4"/>
      <c r="CC1241" s="4"/>
      <c r="CD1241" s="4"/>
      <c r="CF1241" s="4"/>
    </row>
    <row r="1242" spans="66:84">
      <c r="BN1242" s="4"/>
      <c r="BO1242" s="4"/>
      <c r="BQ1242" s="4"/>
      <c r="CC1242" s="4"/>
      <c r="CD1242" s="4"/>
      <c r="CF1242" s="4"/>
    </row>
    <row r="1243" spans="66:84">
      <c r="BN1243" s="4"/>
      <c r="BO1243" s="4"/>
      <c r="BQ1243" s="4"/>
      <c r="CC1243" s="4"/>
      <c r="CD1243" s="4"/>
      <c r="CF1243" s="4"/>
    </row>
    <row r="1244" spans="66:84">
      <c r="BN1244" s="4"/>
      <c r="BO1244" s="4"/>
      <c r="BQ1244" s="4"/>
      <c r="CC1244" s="4"/>
      <c r="CD1244" s="4"/>
      <c r="CF1244" s="4"/>
    </row>
    <row r="1245" spans="66:84">
      <c r="BN1245" s="4"/>
      <c r="BO1245" s="4"/>
      <c r="BQ1245" s="4"/>
      <c r="CC1245" s="4"/>
      <c r="CD1245" s="4"/>
      <c r="CF1245" s="4"/>
    </row>
    <row r="1246" spans="66:84">
      <c r="BN1246" s="4"/>
      <c r="BO1246" s="4"/>
      <c r="BQ1246" s="4"/>
      <c r="CC1246" s="4"/>
      <c r="CD1246" s="4"/>
      <c r="CF1246" s="4"/>
    </row>
    <row r="1247" spans="66:84">
      <c r="BN1247" s="4"/>
      <c r="BO1247" s="4"/>
      <c r="BQ1247" s="4"/>
      <c r="CC1247" s="4"/>
      <c r="CD1247" s="4"/>
      <c r="CF1247" s="4"/>
    </row>
    <row r="1248" spans="66:84">
      <c r="BN1248" s="4"/>
      <c r="BO1248" s="4"/>
      <c r="BQ1248" s="4"/>
      <c r="CC1248" s="4"/>
      <c r="CD1248" s="4"/>
      <c r="CF1248" s="4"/>
    </row>
    <row r="1249" spans="66:84">
      <c r="BN1249" s="4"/>
      <c r="BO1249" s="4"/>
      <c r="BQ1249" s="4"/>
      <c r="CC1249" s="4"/>
      <c r="CD1249" s="4"/>
      <c r="CF1249" s="4"/>
    </row>
    <row r="1250" spans="66:84">
      <c r="BN1250" s="4"/>
      <c r="BO1250" s="4"/>
      <c r="BQ1250" s="4"/>
      <c r="CC1250" s="4"/>
      <c r="CD1250" s="4"/>
      <c r="CF1250" s="4"/>
    </row>
    <row r="1251" spans="66:84">
      <c r="BN1251" s="4"/>
      <c r="BO1251" s="4"/>
      <c r="BQ1251" s="4"/>
      <c r="CC1251" s="4"/>
      <c r="CD1251" s="4"/>
      <c r="CF1251" s="4"/>
    </row>
    <row r="1252" spans="66:84">
      <c r="BN1252" s="4"/>
      <c r="BO1252" s="4"/>
      <c r="BQ1252" s="4"/>
      <c r="CC1252" s="4"/>
      <c r="CD1252" s="4"/>
      <c r="CF1252" s="4"/>
    </row>
    <row r="1253" spans="66:84">
      <c r="BN1253" s="4"/>
      <c r="BO1253" s="4"/>
      <c r="BQ1253" s="4"/>
      <c r="CC1253" s="4"/>
      <c r="CD1253" s="4"/>
      <c r="CF1253" s="4"/>
    </row>
    <row r="1254" spans="66:84">
      <c r="BN1254" s="4"/>
      <c r="BO1254" s="4"/>
      <c r="BQ1254" s="4"/>
      <c r="CC1254" s="4"/>
      <c r="CD1254" s="4"/>
      <c r="CF1254" s="4"/>
    </row>
    <row r="1255" spans="66:84">
      <c r="BN1255" s="4"/>
      <c r="BO1255" s="4"/>
      <c r="BQ1255" s="4"/>
      <c r="CC1255" s="4"/>
      <c r="CD1255" s="4"/>
      <c r="CF1255" s="4"/>
    </row>
    <row r="1256" spans="66:84">
      <c r="BN1256" s="4"/>
      <c r="BO1256" s="4"/>
      <c r="BQ1256" s="4"/>
      <c r="CC1256" s="4"/>
      <c r="CD1256" s="4"/>
      <c r="CF1256" s="4"/>
    </row>
    <row r="1257" spans="66:84">
      <c r="BN1257" s="4"/>
      <c r="BO1257" s="4"/>
      <c r="BQ1257" s="4"/>
      <c r="CC1257" s="4"/>
      <c r="CD1257" s="4"/>
      <c r="CF1257" s="4"/>
    </row>
    <row r="1258" spans="66:84">
      <c r="BN1258" s="4"/>
      <c r="BO1258" s="4"/>
      <c r="BQ1258" s="4"/>
      <c r="CC1258" s="4"/>
      <c r="CD1258" s="4"/>
      <c r="CF1258" s="4"/>
    </row>
    <row r="1259" spans="66:84">
      <c r="BN1259" s="4"/>
      <c r="BO1259" s="4"/>
      <c r="BQ1259" s="4"/>
      <c r="CC1259" s="4"/>
      <c r="CD1259" s="4"/>
      <c r="CF1259" s="4"/>
    </row>
    <row r="1260" spans="66:84">
      <c r="BN1260" s="4"/>
      <c r="BO1260" s="4"/>
      <c r="BQ1260" s="4"/>
      <c r="CC1260" s="4"/>
      <c r="CD1260" s="4"/>
      <c r="CF1260" s="4"/>
    </row>
    <row r="1261" spans="66:84">
      <c r="BN1261" s="4"/>
      <c r="BO1261" s="4"/>
      <c r="BQ1261" s="4"/>
      <c r="CC1261" s="4"/>
      <c r="CD1261" s="4"/>
      <c r="CF1261" s="4"/>
    </row>
    <row r="1262" spans="66:84">
      <c r="BN1262" s="4"/>
      <c r="BO1262" s="4"/>
      <c r="BQ1262" s="4"/>
      <c r="CC1262" s="4"/>
      <c r="CD1262" s="4"/>
      <c r="CF1262" s="4"/>
    </row>
    <row r="1263" spans="66:84">
      <c r="BN1263" s="4"/>
      <c r="BO1263" s="4"/>
      <c r="BQ1263" s="4"/>
      <c r="CC1263" s="4"/>
      <c r="CD1263" s="4"/>
      <c r="CF1263" s="4"/>
    </row>
    <row r="1264" spans="66:84">
      <c r="BN1264" s="4"/>
      <c r="BO1264" s="4"/>
      <c r="BQ1264" s="4"/>
      <c r="CC1264" s="4"/>
      <c r="CD1264" s="4"/>
      <c r="CF1264" s="4"/>
    </row>
    <row r="1265" spans="66:84">
      <c r="BN1265" s="4"/>
      <c r="BO1265" s="4"/>
      <c r="BQ1265" s="4"/>
      <c r="CC1265" s="4"/>
      <c r="CD1265" s="4"/>
      <c r="CF1265" s="4"/>
    </row>
    <row r="1266" spans="66:84">
      <c r="BN1266" s="4"/>
      <c r="BO1266" s="4"/>
      <c r="BQ1266" s="4"/>
      <c r="CC1266" s="4"/>
      <c r="CD1266" s="4"/>
      <c r="CF1266" s="4"/>
    </row>
    <row r="1267" spans="66:84">
      <c r="BN1267" s="4"/>
      <c r="BO1267" s="4"/>
      <c r="BQ1267" s="4"/>
      <c r="CC1267" s="4"/>
      <c r="CD1267" s="4"/>
      <c r="CF1267" s="4"/>
    </row>
    <row r="1268" spans="66:84">
      <c r="BN1268" s="4"/>
      <c r="BO1268" s="4"/>
      <c r="BQ1268" s="4"/>
      <c r="CC1268" s="4"/>
      <c r="CD1268" s="4"/>
      <c r="CF1268" s="4"/>
    </row>
    <row r="1269" spans="66:84">
      <c r="BN1269" s="4"/>
      <c r="BO1269" s="4"/>
      <c r="BQ1269" s="4"/>
      <c r="CC1269" s="4"/>
      <c r="CD1269" s="4"/>
      <c r="CF1269" s="4"/>
    </row>
    <row r="1270" spans="66:84">
      <c r="BN1270" s="4"/>
      <c r="BO1270" s="4"/>
      <c r="BQ1270" s="4"/>
      <c r="CC1270" s="4"/>
      <c r="CD1270" s="4"/>
      <c r="CF1270" s="4"/>
    </row>
    <row r="1271" spans="66:84">
      <c r="BN1271" s="4"/>
      <c r="BO1271" s="4"/>
      <c r="BQ1271" s="4"/>
      <c r="CC1271" s="4"/>
      <c r="CD1271" s="4"/>
      <c r="CF1271" s="4"/>
    </row>
    <row r="1272" spans="66:84">
      <c r="BN1272" s="4"/>
      <c r="BO1272" s="4"/>
      <c r="BQ1272" s="4"/>
      <c r="CC1272" s="4"/>
      <c r="CD1272" s="4"/>
      <c r="CF1272" s="4"/>
    </row>
    <row r="1273" spans="66:84">
      <c r="BN1273" s="4"/>
      <c r="BO1273" s="4"/>
      <c r="BQ1273" s="4"/>
      <c r="CC1273" s="4"/>
      <c r="CD1273" s="4"/>
      <c r="CF1273" s="4"/>
    </row>
    <row r="1274" spans="66:84">
      <c r="BN1274" s="4"/>
      <c r="BO1274" s="4"/>
      <c r="BQ1274" s="4"/>
      <c r="CC1274" s="4"/>
      <c r="CD1274" s="4"/>
      <c r="CF1274" s="4"/>
    </row>
    <row r="1275" spans="66:84">
      <c r="BN1275" s="4"/>
      <c r="BO1275" s="4"/>
      <c r="BQ1275" s="4"/>
      <c r="CC1275" s="4"/>
      <c r="CD1275" s="4"/>
      <c r="CF1275" s="4"/>
    </row>
    <row r="1276" spans="66:84">
      <c r="BN1276" s="4"/>
      <c r="BO1276" s="4"/>
      <c r="BQ1276" s="4"/>
      <c r="CC1276" s="4"/>
      <c r="CD1276" s="4"/>
      <c r="CF1276" s="4"/>
    </row>
    <row r="1277" spans="66:84">
      <c r="BN1277" s="4"/>
      <c r="BO1277" s="4"/>
      <c r="BQ1277" s="4"/>
      <c r="CC1277" s="4"/>
      <c r="CD1277" s="4"/>
      <c r="CF1277" s="4"/>
    </row>
    <row r="1278" spans="66:84">
      <c r="BN1278" s="4"/>
      <c r="BO1278" s="4"/>
      <c r="BQ1278" s="4"/>
      <c r="CC1278" s="4"/>
      <c r="CD1278" s="4"/>
      <c r="CF1278" s="4"/>
    </row>
    <row r="1279" spans="66:84">
      <c r="BN1279" s="4"/>
      <c r="BO1279" s="4"/>
      <c r="BQ1279" s="4"/>
      <c r="CC1279" s="4"/>
      <c r="CD1279" s="4"/>
      <c r="CF1279" s="4"/>
    </row>
    <row r="1280" spans="66:84">
      <c r="BN1280" s="4"/>
      <c r="BO1280" s="4"/>
      <c r="BQ1280" s="4"/>
      <c r="CC1280" s="4"/>
      <c r="CD1280" s="4"/>
      <c r="CF1280" s="4"/>
    </row>
    <row r="1281" spans="66:84">
      <c r="BN1281" s="4"/>
      <c r="BO1281" s="4"/>
      <c r="BQ1281" s="4"/>
      <c r="CC1281" s="4"/>
      <c r="CD1281" s="4"/>
      <c r="CF1281" s="4"/>
    </row>
    <row r="1282" spans="66:84">
      <c r="BN1282" s="4"/>
      <c r="BO1282" s="4"/>
      <c r="BQ1282" s="4"/>
      <c r="CC1282" s="4"/>
      <c r="CD1282" s="4"/>
      <c r="CF1282" s="4"/>
    </row>
    <row r="1283" spans="66:84">
      <c r="BN1283" s="4"/>
      <c r="BO1283" s="4"/>
      <c r="BQ1283" s="4"/>
      <c r="CC1283" s="4"/>
      <c r="CD1283" s="4"/>
      <c r="CF1283" s="4"/>
    </row>
    <row r="1284" spans="66:84">
      <c r="BN1284" s="4"/>
      <c r="BO1284" s="4"/>
      <c r="BQ1284" s="4"/>
      <c r="CC1284" s="4"/>
      <c r="CD1284" s="4"/>
      <c r="CF1284" s="4"/>
    </row>
    <row r="1285" spans="66:84">
      <c r="BN1285" s="4"/>
      <c r="BO1285" s="4"/>
      <c r="BQ1285" s="4"/>
      <c r="CC1285" s="4"/>
      <c r="CD1285" s="4"/>
      <c r="CF1285" s="4"/>
    </row>
    <row r="1286" spans="66:84">
      <c r="BN1286" s="4"/>
      <c r="BO1286" s="4"/>
      <c r="BQ1286" s="4"/>
      <c r="CC1286" s="4"/>
      <c r="CD1286" s="4"/>
      <c r="CF1286" s="4"/>
    </row>
    <row r="1287" spans="66:84">
      <c r="BN1287" s="4"/>
      <c r="BO1287" s="4"/>
      <c r="BQ1287" s="4"/>
      <c r="CC1287" s="4"/>
      <c r="CD1287" s="4"/>
      <c r="CF1287" s="4"/>
    </row>
    <row r="1288" spans="66:84">
      <c r="BN1288" s="4"/>
      <c r="BO1288" s="4"/>
      <c r="BQ1288" s="4"/>
      <c r="CC1288" s="4"/>
      <c r="CD1288" s="4"/>
      <c r="CF1288" s="4"/>
    </row>
    <row r="1289" spans="66:84">
      <c r="BN1289" s="4"/>
      <c r="BO1289" s="4"/>
      <c r="BQ1289" s="4"/>
      <c r="CC1289" s="4"/>
      <c r="CD1289" s="4"/>
      <c r="CF1289" s="4"/>
    </row>
    <row r="1290" spans="66:84">
      <c r="BN1290" s="4"/>
      <c r="BO1290" s="4"/>
      <c r="BQ1290" s="4"/>
      <c r="CC1290" s="4"/>
      <c r="CD1290" s="4"/>
      <c r="CF1290" s="4"/>
    </row>
    <row r="1291" spans="66:84">
      <c r="BN1291" s="4"/>
      <c r="BO1291" s="4"/>
      <c r="BQ1291" s="4"/>
      <c r="CC1291" s="4"/>
      <c r="CD1291" s="4"/>
      <c r="CF1291" s="4"/>
    </row>
    <row r="1292" spans="66:84">
      <c r="BN1292" s="4"/>
      <c r="BO1292" s="4"/>
      <c r="BQ1292" s="4"/>
      <c r="CC1292" s="4"/>
      <c r="CD1292" s="4"/>
      <c r="CF1292" s="4"/>
    </row>
    <row r="1293" spans="66:84">
      <c r="BN1293" s="4"/>
      <c r="BO1293" s="4"/>
      <c r="BQ1293" s="4"/>
      <c r="CC1293" s="4"/>
      <c r="CD1293" s="4"/>
      <c r="CF1293" s="4"/>
    </row>
    <row r="1294" spans="66:84">
      <c r="BN1294" s="4"/>
      <c r="BO1294" s="4"/>
      <c r="BQ1294" s="4"/>
      <c r="CC1294" s="4"/>
      <c r="CD1294" s="4"/>
      <c r="CF1294" s="4"/>
    </row>
    <row r="1295" spans="66:84">
      <c r="BN1295" s="4"/>
      <c r="BO1295" s="4"/>
      <c r="BQ1295" s="4"/>
      <c r="CC1295" s="4"/>
      <c r="CD1295" s="4"/>
      <c r="CF1295" s="4"/>
    </row>
    <row r="1296" spans="66:84">
      <c r="BN1296" s="4"/>
      <c r="BO1296" s="4"/>
      <c r="BQ1296" s="4"/>
      <c r="CC1296" s="4"/>
      <c r="CD1296" s="4"/>
      <c r="CF1296" s="4"/>
    </row>
    <row r="1297" spans="66:84">
      <c r="BN1297" s="4"/>
      <c r="BO1297" s="4"/>
      <c r="BQ1297" s="4"/>
      <c r="CC1297" s="4"/>
      <c r="CD1297" s="4"/>
      <c r="CF1297" s="4"/>
    </row>
    <row r="1298" spans="66:84">
      <c r="BN1298" s="4"/>
      <c r="BO1298" s="4"/>
      <c r="BQ1298" s="4"/>
      <c r="CC1298" s="4"/>
      <c r="CD1298" s="4"/>
      <c r="CF1298" s="4"/>
    </row>
    <row r="1299" spans="66:84">
      <c r="BN1299" s="4"/>
      <c r="BO1299" s="4"/>
      <c r="BQ1299" s="4"/>
      <c r="CC1299" s="4"/>
      <c r="CD1299" s="4"/>
      <c r="CF1299" s="4"/>
    </row>
    <row r="1300" spans="66:84">
      <c r="BN1300" s="4"/>
      <c r="BO1300" s="4"/>
      <c r="BQ1300" s="4"/>
      <c r="CC1300" s="4"/>
      <c r="CD1300" s="4"/>
      <c r="CF1300" s="4"/>
    </row>
    <row r="1301" spans="66:84">
      <c r="BN1301" s="4"/>
      <c r="BO1301" s="4"/>
      <c r="BQ1301" s="4"/>
      <c r="CC1301" s="4"/>
      <c r="CD1301" s="4"/>
      <c r="CF1301" s="4"/>
    </row>
    <row r="1302" spans="66:84">
      <c r="BN1302" s="4"/>
      <c r="BO1302" s="4"/>
      <c r="BQ1302" s="4"/>
      <c r="CC1302" s="4"/>
      <c r="CD1302" s="4"/>
      <c r="CF1302" s="4"/>
    </row>
    <row r="1303" spans="66:84">
      <c r="BN1303" s="4"/>
      <c r="BO1303" s="4"/>
      <c r="BQ1303" s="4"/>
      <c r="CC1303" s="4"/>
      <c r="CD1303" s="4"/>
      <c r="CF1303" s="4"/>
    </row>
    <row r="1304" spans="66:84">
      <c r="BN1304" s="4"/>
      <c r="BO1304" s="4"/>
      <c r="BQ1304" s="4"/>
      <c r="CC1304" s="4"/>
      <c r="CD1304" s="4"/>
      <c r="CF1304" s="4"/>
    </row>
    <row r="1305" spans="66:84">
      <c r="BN1305" s="4"/>
      <c r="BO1305" s="4"/>
      <c r="BQ1305" s="4"/>
      <c r="CC1305" s="4"/>
      <c r="CD1305" s="4"/>
      <c r="CF1305" s="4"/>
    </row>
    <row r="1306" spans="66:84">
      <c r="BN1306" s="4"/>
      <c r="BO1306" s="4"/>
      <c r="BQ1306" s="4"/>
      <c r="CC1306" s="4"/>
      <c r="CD1306" s="4"/>
      <c r="CF1306" s="4"/>
    </row>
    <row r="1307" spans="66:84">
      <c r="BN1307" s="4"/>
      <c r="BO1307" s="4"/>
      <c r="BQ1307" s="4"/>
      <c r="CC1307" s="4"/>
      <c r="CD1307" s="4"/>
      <c r="CF1307" s="4"/>
    </row>
    <row r="1308" spans="66:84">
      <c r="BN1308" s="4"/>
      <c r="BO1308" s="4"/>
      <c r="BQ1308" s="4"/>
      <c r="CC1308" s="4"/>
      <c r="CD1308" s="4"/>
      <c r="CF1308" s="4"/>
    </row>
    <row r="1309" spans="66:84">
      <c r="BN1309" s="4"/>
      <c r="BO1309" s="4"/>
      <c r="BQ1309" s="4"/>
      <c r="CC1309" s="4"/>
      <c r="CD1309" s="4"/>
      <c r="CF1309" s="4"/>
    </row>
    <row r="1310" spans="66:84">
      <c r="BN1310" s="4"/>
      <c r="BO1310" s="4"/>
      <c r="BQ1310" s="4"/>
      <c r="CC1310" s="4"/>
      <c r="CD1310" s="4"/>
      <c r="CF1310" s="4"/>
    </row>
    <row r="1311" spans="66:84">
      <c r="BN1311" s="4"/>
      <c r="BO1311" s="4"/>
      <c r="BQ1311" s="4"/>
      <c r="CC1311" s="4"/>
      <c r="CD1311" s="4"/>
      <c r="CF1311" s="4"/>
    </row>
    <row r="1312" spans="66:84">
      <c r="BN1312" s="4"/>
      <c r="BO1312" s="4"/>
      <c r="BQ1312" s="4"/>
      <c r="CC1312" s="4"/>
      <c r="CD1312" s="4"/>
      <c r="CF1312" s="4"/>
    </row>
    <row r="1313" spans="66:84">
      <c r="BN1313" s="4"/>
      <c r="BO1313" s="4"/>
      <c r="BQ1313" s="4"/>
      <c r="CC1313" s="4"/>
      <c r="CD1313" s="4"/>
      <c r="CF1313" s="4"/>
    </row>
    <row r="1314" spans="66:84">
      <c r="BN1314" s="4"/>
      <c r="BO1314" s="4"/>
      <c r="BQ1314" s="4"/>
      <c r="CC1314" s="4"/>
      <c r="CD1314" s="4"/>
      <c r="CF1314" s="4"/>
    </row>
    <row r="1315" spans="66:84">
      <c r="BN1315" s="4"/>
      <c r="BO1315" s="4"/>
      <c r="BQ1315" s="4"/>
      <c r="CC1315" s="4"/>
      <c r="CD1315" s="4"/>
      <c r="CF1315" s="4"/>
    </row>
    <row r="1316" spans="66:84">
      <c r="BN1316" s="4"/>
      <c r="BO1316" s="4"/>
      <c r="BQ1316" s="4"/>
      <c r="CC1316" s="4"/>
      <c r="CD1316" s="4"/>
      <c r="CF1316" s="4"/>
    </row>
    <row r="1317" spans="66:84">
      <c r="BN1317" s="4"/>
      <c r="BO1317" s="4"/>
      <c r="BQ1317" s="4"/>
      <c r="CC1317" s="4"/>
      <c r="CD1317" s="4"/>
      <c r="CF1317" s="4"/>
    </row>
    <row r="1318" spans="66:84">
      <c r="BN1318" s="4"/>
      <c r="BO1318" s="4"/>
      <c r="BQ1318" s="4"/>
      <c r="CC1318" s="4"/>
      <c r="CD1318" s="4"/>
      <c r="CF1318" s="4"/>
    </row>
    <row r="1319" spans="66:84">
      <c r="BN1319" s="4"/>
      <c r="BO1319" s="4"/>
      <c r="BQ1319" s="4"/>
      <c r="CC1319" s="4"/>
      <c r="CD1319" s="4"/>
      <c r="CF1319" s="4"/>
    </row>
    <row r="1320" spans="66:84">
      <c r="BN1320" s="4"/>
      <c r="BO1320" s="4"/>
      <c r="BQ1320" s="4"/>
      <c r="CC1320" s="4"/>
      <c r="CD1320" s="4"/>
      <c r="CF1320" s="4"/>
    </row>
    <row r="1321" spans="66:84">
      <c r="BN1321" s="4"/>
      <c r="BO1321" s="4"/>
      <c r="BQ1321" s="4"/>
      <c r="CC1321" s="4"/>
      <c r="CD1321" s="4"/>
      <c r="CF1321" s="4"/>
    </row>
    <row r="1322" spans="66:84">
      <c r="BN1322" s="4"/>
      <c r="BO1322" s="4"/>
      <c r="BQ1322" s="4"/>
      <c r="CC1322" s="4"/>
      <c r="CD1322" s="4"/>
      <c r="CF1322" s="4"/>
    </row>
    <row r="1323" spans="66:84">
      <c r="BN1323" s="4"/>
      <c r="BO1323" s="4"/>
      <c r="BQ1323" s="4"/>
      <c r="CC1323" s="4"/>
      <c r="CD1323" s="4"/>
      <c r="CF1323" s="4"/>
    </row>
    <row r="1324" spans="66:84">
      <c r="BN1324" s="4"/>
      <c r="BO1324" s="4"/>
      <c r="BQ1324" s="4"/>
      <c r="CC1324" s="4"/>
      <c r="CD1324" s="4"/>
      <c r="CF1324" s="4"/>
    </row>
    <row r="1325" spans="66:84">
      <c r="BN1325" s="4"/>
      <c r="BO1325" s="4"/>
      <c r="BQ1325" s="4"/>
      <c r="CC1325" s="4"/>
      <c r="CD1325" s="4"/>
      <c r="CF1325" s="4"/>
    </row>
    <row r="1326" spans="66:84">
      <c r="BN1326" s="4"/>
      <c r="BO1326" s="4"/>
      <c r="BQ1326" s="4"/>
      <c r="CC1326" s="4"/>
      <c r="CD1326" s="4"/>
      <c r="CF1326" s="4"/>
    </row>
    <row r="1327" spans="66:84">
      <c r="BN1327" s="4"/>
      <c r="BO1327" s="4"/>
      <c r="BQ1327" s="4"/>
      <c r="CC1327" s="4"/>
      <c r="CD1327" s="4"/>
      <c r="CF1327" s="4"/>
    </row>
    <row r="1328" spans="66:84">
      <c r="BN1328" s="4"/>
      <c r="BO1328" s="4"/>
      <c r="BQ1328" s="4"/>
      <c r="CC1328" s="4"/>
      <c r="CD1328" s="4"/>
      <c r="CF1328" s="4"/>
    </row>
    <row r="1329" spans="66:84">
      <c r="BN1329" s="4"/>
      <c r="BO1329" s="4"/>
      <c r="BQ1329" s="4"/>
      <c r="CC1329" s="4"/>
      <c r="CD1329" s="4"/>
      <c r="CF1329" s="4"/>
    </row>
    <row r="1330" spans="66:84">
      <c r="BN1330" s="4"/>
      <c r="BO1330" s="4"/>
      <c r="BQ1330" s="4"/>
      <c r="CC1330" s="4"/>
      <c r="CD1330" s="4"/>
      <c r="CF1330" s="4"/>
    </row>
    <row r="1331" spans="66:84">
      <c r="BN1331" s="4"/>
      <c r="BO1331" s="4"/>
      <c r="BQ1331" s="4"/>
      <c r="CC1331" s="4"/>
      <c r="CD1331" s="4"/>
      <c r="CF1331" s="4"/>
    </row>
    <row r="1332" spans="66:84">
      <c r="BN1332" s="4"/>
      <c r="BO1332" s="4"/>
      <c r="BQ1332" s="4"/>
      <c r="CC1332" s="4"/>
      <c r="CD1332" s="4"/>
      <c r="CF1332" s="4"/>
    </row>
    <row r="1333" spans="66:84">
      <c r="BN1333" s="4"/>
      <c r="BO1333" s="4"/>
      <c r="BQ1333" s="4"/>
      <c r="CC1333" s="4"/>
      <c r="CD1333" s="4"/>
      <c r="CF1333" s="4"/>
    </row>
    <row r="1334" spans="66:84">
      <c r="BN1334" s="4"/>
      <c r="BO1334" s="4"/>
      <c r="BQ1334" s="4"/>
      <c r="CC1334" s="4"/>
      <c r="CD1334" s="4"/>
      <c r="CF1334" s="4"/>
    </row>
    <row r="1335" spans="66:84">
      <c r="BN1335" s="4"/>
      <c r="BO1335" s="4"/>
      <c r="BQ1335" s="4"/>
      <c r="CC1335" s="4"/>
      <c r="CD1335" s="4"/>
      <c r="CF1335" s="4"/>
    </row>
    <row r="1336" spans="66:84">
      <c r="BN1336" s="4"/>
      <c r="BO1336" s="4"/>
      <c r="BQ1336" s="4"/>
      <c r="CC1336" s="4"/>
      <c r="CD1336" s="4"/>
      <c r="CF1336" s="4"/>
    </row>
    <row r="1337" spans="66:84">
      <c r="BN1337" s="4"/>
      <c r="BO1337" s="4"/>
      <c r="BQ1337" s="4"/>
      <c r="CC1337" s="4"/>
      <c r="CD1337" s="4"/>
      <c r="CF1337" s="4"/>
    </row>
    <row r="1338" spans="66:84">
      <c r="BN1338" s="4"/>
      <c r="BO1338" s="4"/>
      <c r="BQ1338" s="4"/>
      <c r="CC1338" s="4"/>
      <c r="CD1338" s="4"/>
      <c r="CF1338" s="4"/>
    </row>
    <row r="1339" spans="66:84">
      <c r="BN1339" s="4"/>
      <c r="BO1339" s="4"/>
      <c r="BQ1339" s="4"/>
      <c r="CC1339" s="4"/>
      <c r="CD1339" s="4"/>
      <c r="CF1339" s="4"/>
    </row>
    <row r="1340" spans="66:84">
      <c r="BN1340" s="4"/>
      <c r="BO1340" s="4"/>
      <c r="BQ1340" s="4"/>
      <c r="CC1340" s="4"/>
      <c r="CD1340" s="4"/>
      <c r="CF1340" s="4"/>
    </row>
    <row r="1341" spans="66:84">
      <c r="BN1341" s="4"/>
      <c r="BO1341" s="4"/>
      <c r="BQ1341" s="4"/>
      <c r="CC1341" s="4"/>
      <c r="CD1341" s="4"/>
      <c r="CF1341" s="4"/>
    </row>
    <row r="1342" spans="66:84">
      <c r="BN1342" s="4"/>
      <c r="BO1342" s="4"/>
      <c r="BQ1342" s="4"/>
      <c r="CC1342" s="4"/>
      <c r="CD1342" s="4"/>
      <c r="CF1342" s="4"/>
    </row>
    <row r="1343" spans="66:84">
      <c r="BN1343" s="4"/>
      <c r="BO1343" s="4"/>
      <c r="BQ1343" s="4"/>
      <c r="CC1343" s="4"/>
      <c r="CD1343" s="4"/>
      <c r="CF1343" s="4"/>
    </row>
    <row r="1344" spans="66:84">
      <c r="BN1344" s="4"/>
      <c r="BO1344" s="4"/>
      <c r="BQ1344" s="4"/>
      <c r="CC1344" s="4"/>
      <c r="CD1344" s="4"/>
      <c r="CF1344" s="4"/>
    </row>
    <row r="1345" spans="66:84">
      <c r="BN1345" s="4"/>
      <c r="BO1345" s="4"/>
      <c r="BQ1345" s="4"/>
      <c r="CC1345" s="4"/>
      <c r="CD1345" s="4"/>
      <c r="CF1345" s="4"/>
    </row>
    <row r="1346" spans="66:84">
      <c r="BN1346" s="4"/>
      <c r="BO1346" s="4"/>
      <c r="BQ1346" s="4"/>
      <c r="CC1346" s="4"/>
      <c r="CD1346" s="4"/>
      <c r="CF1346" s="4"/>
    </row>
    <row r="1347" spans="66:84">
      <c r="BN1347" s="4"/>
      <c r="BO1347" s="4"/>
      <c r="BQ1347" s="4"/>
      <c r="CC1347" s="4"/>
      <c r="CD1347" s="4"/>
      <c r="CF1347" s="4"/>
    </row>
    <row r="1348" spans="66:84">
      <c r="BN1348" s="4"/>
      <c r="BO1348" s="4"/>
      <c r="BQ1348" s="4"/>
      <c r="CC1348" s="4"/>
      <c r="CD1348" s="4"/>
      <c r="CF1348" s="4"/>
    </row>
    <row r="1349" spans="66:84">
      <c r="BN1349" s="4"/>
      <c r="BO1349" s="4"/>
      <c r="BQ1349" s="4"/>
      <c r="CC1349" s="4"/>
      <c r="CD1349" s="4"/>
      <c r="CF1349" s="4"/>
    </row>
    <row r="1350" spans="66:84">
      <c r="BN1350" s="4"/>
      <c r="BO1350" s="4"/>
      <c r="BQ1350" s="4"/>
      <c r="CC1350" s="4"/>
      <c r="CD1350" s="4"/>
      <c r="CF1350" s="4"/>
    </row>
    <row r="1351" spans="66:84">
      <c r="BN1351" s="4"/>
      <c r="BO1351" s="4"/>
      <c r="BQ1351" s="4"/>
      <c r="CC1351" s="4"/>
      <c r="CD1351" s="4"/>
      <c r="CF1351" s="4"/>
    </row>
    <row r="1352" spans="66:84">
      <c r="BN1352" s="4"/>
      <c r="BO1352" s="4"/>
      <c r="BQ1352" s="4"/>
      <c r="CC1352" s="4"/>
      <c r="CD1352" s="4"/>
      <c r="CF1352" s="4"/>
    </row>
    <row r="1353" spans="66:84">
      <c r="BN1353" s="4"/>
      <c r="BO1353" s="4"/>
      <c r="BQ1353" s="4"/>
      <c r="CC1353" s="4"/>
      <c r="CD1353" s="4"/>
      <c r="CF1353" s="4"/>
    </row>
    <row r="1354" spans="66:84">
      <c r="BN1354" s="4"/>
      <c r="BO1354" s="4"/>
      <c r="BQ1354" s="4"/>
      <c r="CC1354" s="4"/>
      <c r="CD1354" s="4"/>
      <c r="CF1354" s="4"/>
    </row>
    <row r="1355" spans="66:84">
      <c r="BN1355" s="4"/>
      <c r="BO1355" s="4"/>
      <c r="BQ1355" s="4"/>
      <c r="CC1355" s="4"/>
      <c r="CD1355" s="4"/>
      <c r="CF1355" s="4"/>
    </row>
    <row r="1356" spans="66:84">
      <c r="BN1356" s="4"/>
      <c r="BO1356" s="4"/>
      <c r="BQ1356" s="4"/>
      <c r="CC1356" s="4"/>
      <c r="CD1356" s="4"/>
      <c r="CF1356" s="4"/>
    </row>
    <row r="1357" spans="66:84">
      <c r="BN1357" s="4"/>
      <c r="BO1357" s="4"/>
      <c r="BQ1357" s="4"/>
      <c r="CC1357" s="4"/>
      <c r="CD1357" s="4"/>
      <c r="CF1357" s="4"/>
    </row>
    <row r="1358" spans="66:84">
      <c r="BN1358" s="4"/>
      <c r="BO1358" s="4"/>
      <c r="BQ1358" s="4"/>
      <c r="CC1358" s="4"/>
      <c r="CD1358" s="4"/>
      <c r="CF1358" s="4"/>
    </row>
    <row r="1359" spans="66:84">
      <c r="BN1359" s="4"/>
      <c r="BO1359" s="4"/>
      <c r="BQ1359" s="4"/>
      <c r="CC1359" s="4"/>
      <c r="CD1359" s="4"/>
      <c r="CF1359" s="4"/>
    </row>
    <row r="1360" spans="66:84">
      <c r="BN1360" s="4"/>
      <c r="BO1360" s="4"/>
      <c r="BQ1360" s="4"/>
      <c r="CC1360" s="4"/>
      <c r="CD1360" s="4"/>
      <c r="CF1360" s="4"/>
    </row>
    <row r="1361" spans="66:84">
      <c r="BN1361" s="4"/>
      <c r="BO1361" s="4"/>
      <c r="BQ1361" s="4"/>
      <c r="CC1361" s="4"/>
      <c r="CD1361" s="4"/>
      <c r="CF1361" s="4"/>
    </row>
    <row r="1362" spans="66:84">
      <c r="BN1362" s="4"/>
      <c r="BO1362" s="4"/>
      <c r="BQ1362" s="4"/>
      <c r="CC1362" s="4"/>
      <c r="CD1362" s="4"/>
      <c r="CF1362" s="4"/>
    </row>
    <row r="1363" spans="66:84">
      <c r="BN1363" s="4"/>
      <c r="BO1363" s="4"/>
      <c r="BQ1363" s="4"/>
      <c r="CC1363" s="4"/>
      <c r="CD1363" s="4"/>
      <c r="CF1363" s="4"/>
    </row>
    <row r="1364" spans="66:84">
      <c r="BN1364" s="4"/>
      <c r="BO1364" s="4"/>
      <c r="BQ1364" s="4"/>
      <c r="CC1364" s="4"/>
      <c r="CD1364" s="4"/>
      <c r="CF1364" s="4"/>
    </row>
    <row r="1365" spans="66:84">
      <c r="BN1365" s="4"/>
      <c r="BO1365" s="4"/>
      <c r="BQ1365" s="4"/>
      <c r="CC1365" s="4"/>
      <c r="CD1365" s="4"/>
      <c r="CF1365" s="4"/>
    </row>
    <row r="1366" spans="66:84">
      <c r="BN1366" s="4"/>
      <c r="BO1366" s="4"/>
      <c r="BQ1366" s="4"/>
      <c r="CC1366" s="4"/>
      <c r="CD1366" s="4"/>
      <c r="CF1366" s="4"/>
    </row>
    <row r="1367" spans="66:84">
      <c r="BN1367" s="4"/>
      <c r="BO1367" s="4"/>
      <c r="BQ1367" s="4"/>
      <c r="CC1367" s="4"/>
      <c r="CD1367" s="4"/>
      <c r="CF1367" s="4"/>
    </row>
    <row r="1368" spans="66:84">
      <c r="BN1368" s="4"/>
      <c r="BO1368" s="4"/>
      <c r="BQ1368" s="4"/>
      <c r="CC1368" s="4"/>
      <c r="CD1368" s="4"/>
      <c r="CF1368" s="4"/>
    </row>
    <row r="1369" spans="66:84">
      <c r="BN1369" s="4"/>
      <c r="BO1369" s="4"/>
      <c r="BQ1369" s="4"/>
      <c r="CC1369" s="4"/>
      <c r="CD1369" s="4"/>
      <c r="CF1369" s="4"/>
    </row>
    <row r="1370" spans="66:84">
      <c r="BN1370" s="4"/>
      <c r="BO1370" s="4"/>
      <c r="BQ1370" s="4"/>
      <c r="CC1370" s="4"/>
      <c r="CD1370" s="4"/>
      <c r="CF1370" s="4"/>
    </row>
    <row r="1371" spans="66:84">
      <c r="BN1371" s="4"/>
      <c r="BO1371" s="4"/>
      <c r="BQ1371" s="4"/>
      <c r="CC1371" s="4"/>
      <c r="CD1371" s="4"/>
      <c r="CF1371" s="4"/>
    </row>
    <row r="1372" spans="66:84">
      <c r="BN1372" s="4"/>
      <c r="BO1372" s="4"/>
      <c r="BQ1372" s="4"/>
      <c r="CC1372" s="4"/>
      <c r="CD1372" s="4"/>
      <c r="CF1372" s="4"/>
    </row>
    <row r="1373" spans="66:84">
      <c r="BN1373" s="4"/>
      <c r="BO1373" s="4"/>
      <c r="BQ1373" s="4"/>
      <c r="CC1373" s="4"/>
      <c r="CD1373" s="4"/>
      <c r="CF1373" s="4"/>
    </row>
    <row r="1374" spans="66:84">
      <c r="BN1374" s="4"/>
      <c r="BO1374" s="4"/>
      <c r="BQ1374" s="4"/>
      <c r="CC1374" s="4"/>
      <c r="CD1374" s="4"/>
      <c r="CF1374" s="4"/>
    </row>
    <row r="1375" spans="66:84">
      <c r="BN1375" s="4"/>
      <c r="BO1375" s="4"/>
      <c r="BQ1375" s="4"/>
      <c r="CC1375" s="4"/>
      <c r="CD1375" s="4"/>
      <c r="CF1375" s="4"/>
    </row>
    <row r="1376" spans="66:84">
      <c r="BN1376" s="4"/>
      <c r="BO1376" s="4"/>
      <c r="BQ1376" s="4"/>
      <c r="CC1376" s="4"/>
      <c r="CD1376" s="4"/>
      <c r="CF1376" s="4"/>
    </row>
    <row r="1377" spans="66:84">
      <c r="BN1377" s="4"/>
      <c r="BO1377" s="4"/>
      <c r="BQ1377" s="4"/>
      <c r="CC1377" s="4"/>
      <c r="CD1377" s="4"/>
      <c r="CF1377" s="4"/>
    </row>
    <row r="1378" spans="66:84">
      <c r="BN1378" s="4"/>
      <c r="BO1378" s="4"/>
      <c r="BQ1378" s="4"/>
      <c r="CC1378" s="4"/>
      <c r="CD1378" s="4"/>
      <c r="CF1378" s="4"/>
    </row>
    <row r="1379" spans="66:84">
      <c r="BN1379" s="4"/>
      <c r="BO1379" s="4"/>
      <c r="BQ1379" s="4"/>
      <c r="CC1379" s="4"/>
      <c r="CD1379" s="4"/>
      <c r="CF1379" s="4"/>
    </row>
    <row r="1380" spans="66:84">
      <c r="BN1380" s="4"/>
      <c r="BO1380" s="4"/>
      <c r="BQ1380" s="4"/>
      <c r="CC1380" s="4"/>
      <c r="CD1380" s="4"/>
      <c r="CF1380" s="4"/>
    </row>
    <row r="1381" spans="66:84">
      <c r="BN1381" s="4"/>
      <c r="BO1381" s="4"/>
      <c r="BQ1381" s="4"/>
      <c r="CC1381" s="4"/>
      <c r="CD1381" s="4"/>
      <c r="CF1381" s="4"/>
    </row>
    <row r="1382" spans="66:84">
      <c r="BN1382" s="4"/>
      <c r="BO1382" s="4"/>
      <c r="BQ1382" s="4"/>
      <c r="CC1382" s="4"/>
      <c r="CD1382" s="4"/>
      <c r="CF1382" s="4"/>
    </row>
    <row r="1383" spans="66:84">
      <c r="BN1383" s="4"/>
      <c r="BO1383" s="4"/>
      <c r="BQ1383" s="4"/>
      <c r="CC1383" s="4"/>
      <c r="CD1383" s="4"/>
      <c r="CF1383" s="4"/>
    </row>
    <row r="1384" spans="66:84">
      <c r="BN1384" s="4"/>
      <c r="BO1384" s="4"/>
      <c r="BQ1384" s="4"/>
      <c r="CC1384" s="4"/>
      <c r="CD1384" s="4"/>
      <c r="CF1384" s="4"/>
    </row>
    <row r="1385" spans="66:84">
      <c r="BN1385" s="4"/>
      <c r="BO1385" s="4"/>
      <c r="BQ1385" s="4"/>
      <c r="CC1385" s="4"/>
      <c r="CD1385" s="4"/>
      <c r="CF1385" s="4"/>
    </row>
    <row r="1386" spans="66:84">
      <c r="BN1386" s="4"/>
      <c r="BO1386" s="4"/>
      <c r="BQ1386" s="4"/>
      <c r="CC1386" s="4"/>
      <c r="CD1386" s="4"/>
      <c r="CF1386" s="4"/>
    </row>
    <row r="1387" spans="66:84">
      <c r="BN1387" s="4"/>
      <c r="BO1387" s="4"/>
      <c r="BQ1387" s="4"/>
      <c r="CC1387" s="4"/>
      <c r="CD1387" s="4"/>
      <c r="CF1387" s="4"/>
    </row>
    <row r="1388" spans="66:84">
      <c r="BN1388" s="4"/>
      <c r="BO1388" s="4"/>
      <c r="BQ1388" s="4"/>
      <c r="CC1388" s="4"/>
      <c r="CD1388" s="4"/>
      <c r="CF1388" s="4"/>
    </row>
    <row r="1389" spans="66:84">
      <c r="BN1389" s="4"/>
      <c r="BO1389" s="4"/>
      <c r="BQ1389" s="4"/>
      <c r="CC1389" s="4"/>
      <c r="CD1389" s="4"/>
      <c r="CF1389" s="4"/>
    </row>
    <row r="1390" spans="66:84">
      <c r="BN1390" s="4"/>
      <c r="BO1390" s="4"/>
      <c r="BQ1390" s="4"/>
      <c r="CC1390" s="4"/>
      <c r="CD1390" s="4"/>
      <c r="CF1390" s="4"/>
    </row>
    <row r="1391" spans="66:84">
      <c r="BN1391" s="4"/>
      <c r="BO1391" s="4"/>
      <c r="BQ1391" s="4"/>
      <c r="CC1391" s="4"/>
      <c r="CD1391" s="4"/>
      <c r="CF1391" s="4"/>
    </row>
    <row r="1392" spans="66:84">
      <c r="BN1392" s="4"/>
      <c r="BO1392" s="4"/>
      <c r="BQ1392" s="4"/>
      <c r="CC1392" s="4"/>
      <c r="CD1392" s="4"/>
      <c r="CF1392" s="4"/>
    </row>
    <row r="1393" spans="66:84">
      <c r="BN1393" s="4"/>
      <c r="BO1393" s="4"/>
      <c r="BQ1393" s="4"/>
      <c r="CC1393" s="4"/>
      <c r="CD1393" s="4"/>
      <c r="CF1393" s="4"/>
    </row>
    <row r="1394" spans="66:84">
      <c r="BN1394" s="4"/>
      <c r="BO1394" s="4"/>
      <c r="BQ1394" s="4"/>
      <c r="CC1394" s="4"/>
      <c r="CD1394" s="4"/>
      <c r="CF1394" s="4"/>
    </row>
    <row r="1395" spans="66:84">
      <c r="BN1395" s="4"/>
      <c r="BO1395" s="4"/>
      <c r="BQ1395" s="4"/>
      <c r="CC1395" s="4"/>
      <c r="CD1395" s="4"/>
      <c r="CF1395" s="4"/>
    </row>
    <row r="1396" spans="66:84">
      <c r="BN1396" s="4"/>
      <c r="BO1396" s="4"/>
      <c r="BQ1396" s="4"/>
      <c r="CC1396" s="4"/>
      <c r="CD1396" s="4"/>
      <c r="CF1396" s="4"/>
    </row>
    <row r="1397" spans="66:84">
      <c r="BN1397" s="4"/>
      <c r="BO1397" s="4"/>
      <c r="BQ1397" s="4"/>
      <c r="CC1397" s="4"/>
      <c r="CD1397" s="4"/>
      <c r="CF1397" s="4"/>
    </row>
    <row r="1398" spans="66:84">
      <c r="BN1398" s="4"/>
      <c r="BO1398" s="4"/>
      <c r="BQ1398" s="4"/>
      <c r="CC1398" s="4"/>
      <c r="CD1398" s="4"/>
      <c r="CF1398" s="4"/>
    </row>
    <row r="1399" spans="66:84">
      <c r="BN1399" s="4"/>
      <c r="BO1399" s="4"/>
      <c r="BQ1399" s="4"/>
      <c r="CC1399" s="4"/>
      <c r="CD1399" s="4"/>
      <c r="CF1399" s="4"/>
    </row>
    <row r="1400" spans="66:84">
      <c r="BN1400" s="4"/>
      <c r="BO1400" s="4"/>
      <c r="BQ1400" s="4"/>
      <c r="CC1400" s="4"/>
      <c r="CD1400" s="4"/>
      <c r="CF1400" s="4"/>
    </row>
    <row r="1401" spans="66:84">
      <c r="BN1401" s="4"/>
      <c r="BO1401" s="4"/>
      <c r="BQ1401" s="4"/>
      <c r="CC1401" s="4"/>
      <c r="CD1401" s="4"/>
      <c r="CF1401" s="4"/>
    </row>
    <row r="1402" spans="66:84">
      <c r="BN1402" s="4"/>
      <c r="BO1402" s="4"/>
      <c r="BQ1402" s="4"/>
      <c r="CC1402" s="4"/>
      <c r="CD1402" s="4"/>
      <c r="CF1402" s="4"/>
    </row>
    <row r="1403" spans="66:84">
      <c r="BN1403" s="4"/>
      <c r="BO1403" s="4"/>
      <c r="BQ1403" s="4"/>
      <c r="CC1403" s="4"/>
      <c r="CD1403" s="4"/>
      <c r="CF1403" s="4"/>
    </row>
    <row r="1404" spans="66:84">
      <c r="BN1404" s="4"/>
      <c r="BO1404" s="4"/>
      <c r="BQ1404" s="4"/>
      <c r="CC1404" s="4"/>
      <c r="CD1404" s="4"/>
      <c r="CF1404" s="4"/>
    </row>
    <row r="1405" spans="66:84">
      <c r="BN1405" s="4"/>
      <c r="BO1405" s="4"/>
      <c r="BQ1405" s="4"/>
      <c r="CC1405" s="4"/>
      <c r="CD1405" s="4"/>
      <c r="CF1405" s="4"/>
    </row>
    <row r="1406" spans="66:84">
      <c r="BN1406" s="4"/>
      <c r="BO1406" s="4"/>
      <c r="BQ1406" s="4"/>
      <c r="CC1406" s="4"/>
      <c r="CD1406" s="4"/>
      <c r="CF1406" s="4"/>
    </row>
    <row r="1407" spans="66:84">
      <c r="BN1407" s="4"/>
      <c r="BO1407" s="4"/>
      <c r="BQ1407" s="4"/>
      <c r="CC1407" s="4"/>
      <c r="CD1407" s="4"/>
      <c r="CF1407" s="4"/>
    </row>
    <row r="1408" spans="66:84">
      <c r="BN1408" s="4"/>
      <c r="BO1408" s="4"/>
      <c r="BQ1408" s="4"/>
      <c r="CC1408" s="4"/>
      <c r="CD1408" s="4"/>
      <c r="CF1408" s="4"/>
    </row>
    <row r="1409" spans="66:84">
      <c r="BN1409" s="4"/>
      <c r="BO1409" s="4"/>
      <c r="BQ1409" s="4"/>
      <c r="CC1409" s="4"/>
      <c r="CD1409" s="4"/>
      <c r="CF1409" s="4"/>
    </row>
    <row r="1410" spans="66:84">
      <c r="BN1410" s="4"/>
      <c r="BO1410" s="4"/>
      <c r="BQ1410" s="4"/>
      <c r="CC1410" s="4"/>
      <c r="CD1410" s="4"/>
      <c r="CF1410" s="4"/>
    </row>
    <row r="1411" spans="66:84">
      <c r="BN1411" s="4"/>
      <c r="BO1411" s="4"/>
      <c r="BQ1411" s="4"/>
      <c r="CC1411" s="4"/>
      <c r="CD1411" s="4"/>
      <c r="CF1411" s="4"/>
    </row>
    <row r="1412" spans="66:84">
      <c r="BN1412" s="4"/>
      <c r="BO1412" s="4"/>
      <c r="BQ1412" s="4"/>
      <c r="CC1412" s="4"/>
      <c r="CD1412" s="4"/>
      <c r="CF1412" s="4"/>
    </row>
    <row r="1413" spans="66:84">
      <c r="BN1413" s="4"/>
      <c r="BO1413" s="4"/>
      <c r="BQ1413" s="4"/>
      <c r="CC1413" s="4"/>
      <c r="CD1413" s="4"/>
      <c r="CF1413" s="4"/>
    </row>
    <row r="1414" spans="66:84">
      <c r="BN1414" s="4"/>
      <c r="BO1414" s="4"/>
      <c r="BQ1414" s="4"/>
      <c r="CC1414" s="4"/>
      <c r="CD1414" s="4"/>
      <c r="CF1414" s="4"/>
    </row>
    <row r="1415" spans="66:84">
      <c r="BN1415" s="4"/>
      <c r="BO1415" s="4"/>
      <c r="BQ1415" s="4"/>
      <c r="CC1415" s="4"/>
      <c r="CD1415" s="4"/>
      <c r="CF1415" s="4"/>
    </row>
    <row r="1416" spans="66:84">
      <c r="BN1416" s="4"/>
      <c r="BO1416" s="4"/>
      <c r="BQ1416" s="4"/>
      <c r="CC1416" s="4"/>
      <c r="CD1416" s="4"/>
      <c r="CF1416" s="4"/>
    </row>
    <row r="1417" spans="66:84">
      <c r="BN1417" s="4"/>
      <c r="BO1417" s="4"/>
      <c r="BQ1417" s="4"/>
      <c r="CC1417" s="4"/>
      <c r="CD1417" s="4"/>
      <c r="CF1417" s="4"/>
    </row>
    <row r="1418" spans="66:84">
      <c r="BN1418" s="4"/>
      <c r="BO1418" s="4"/>
      <c r="BQ1418" s="4"/>
      <c r="CC1418" s="4"/>
      <c r="CD1418" s="4"/>
      <c r="CF1418" s="4"/>
    </row>
    <row r="1419" spans="66:84">
      <c r="BN1419" s="4"/>
      <c r="BO1419" s="4"/>
      <c r="BQ1419" s="4"/>
      <c r="CC1419" s="4"/>
      <c r="CD1419" s="4"/>
      <c r="CF1419" s="4"/>
    </row>
    <row r="1420" spans="66:84">
      <c r="BN1420" s="4"/>
      <c r="BO1420" s="4"/>
      <c r="BQ1420" s="4"/>
      <c r="CC1420" s="4"/>
      <c r="CD1420" s="4"/>
      <c r="CF1420" s="4"/>
    </row>
    <row r="1421" spans="66:84">
      <c r="BN1421" s="4"/>
      <c r="BO1421" s="4"/>
      <c r="BQ1421" s="4"/>
      <c r="CC1421" s="4"/>
      <c r="CD1421" s="4"/>
      <c r="CF1421" s="4"/>
    </row>
    <row r="1422" spans="66:84">
      <c r="BN1422" s="4"/>
      <c r="BO1422" s="4"/>
      <c r="BQ1422" s="4"/>
      <c r="CC1422" s="4"/>
      <c r="CD1422" s="4"/>
      <c r="CF1422" s="4"/>
    </row>
    <row r="1423" spans="66:84">
      <c r="BN1423" s="4"/>
      <c r="BO1423" s="4"/>
      <c r="BQ1423" s="4"/>
      <c r="CC1423" s="4"/>
      <c r="CD1423" s="4"/>
      <c r="CF1423" s="4"/>
    </row>
    <row r="1424" spans="66:84">
      <c r="BN1424" s="4"/>
      <c r="BO1424" s="4"/>
      <c r="BQ1424" s="4"/>
      <c r="CC1424" s="4"/>
      <c r="CD1424" s="4"/>
      <c r="CF1424" s="4"/>
    </row>
    <row r="1425" spans="66:84">
      <c r="BN1425" s="4"/>
      <c r="BO1425" s="4"/>
      <c r="BQ1425" s="4"/>
      <c r="CC1425" s="4"/>
      <c r="CD1425" s="4"/>
      <c r="CF1425" s="4"/>
    </row>
    <row r="1426" spans="66:84">
      <c r="BN1426" s="4"/>
      <c r="BO1426" s="4"/>
      <c r="BQ1426" s="4"/>
      <c r="CC1426" s="4"/>
      <c r="CD1426" s="4"/>
      <c r="CF1426" s="4"/>
    </row>
    <row r="1427" spans="66:84">
      <c r="BN1427" s="4"/>
      <c r="BO1427" s="4"/>
      <c r="BQ1427" s="4"/>
      <c r="CC1427" s="4"/>
      <c r="CD1427" s="4"/>
      <c r="CF1427" s="4"/>
    </row>
    <row r="1428" spans="66:84">
      <c r="BN1428" s="4"/>
      <c r="BO1428" s="4"/>
      <c r="BQ1428" s="4"/>
      <c r="CC1428" s="4"/>
      <c r="CD1428" s="4"/>
      <c r="CF1428" s="4"/>
    </row>
    <row r="1429" spans="66:84">
      <c r="BN1429" s="4"/>
      <c r="BO1429" s="4"/>
      <c r="BQ1429" s="4"/>
      <c r="CC1429" s="4"/>
      <c r="CD1429" s="4"/>
      <c r="CF1429" s="4"/>
    </row>
    <row r="1430" spans="66:84">
      <c r="BN1430" s="4"/>
      <c r="BO1430" s="4"/>
      <c r="BQ1430" s="4"/>
      <c r="CC1430" s="4"/>
      <c r="CD1430" s="4"/>
      <c r="CF1430" s="4"/>
    </row>
    <row r="1431" spans="66:84">
      <c r="BN1431" s="4"/>
      <c r="BO1431" s="4"/>
      <c r="BQ1431" s="4"/>
      <c r="CC1431" s="4"/>
      <c r="CD1431" s="4"/>
      <c r="CF1431" s="4"/>
    </row>
    <row r="1432" spans="66:84">
      <c r="BN1432" s="4"/>
      <c r="BO1432" s="4"/>
      <c r="BQ1432" s="4"/>
      <c r="CC1432" s="4"/>
      <c r="CD1432" s="4"/>
      <c r="CF1432" s="4"/>
    </row>
    <row r="1433" spans="66:84">
      <c r="BN1433" s="4"/>
      <c r="BO1433" s="4"/>
      <c r="BQ1433" s="4"/>
      <c r="CC1433" s="4"/>
      <c r="CD1433" s="4"/>
      <c r="CF1433" s="4"/>
    </row>
    <row r="1434" spans="66:84">
      <c r="BN1434" s="4"/>
      <c r="BO1434" s="4"/>
      <c r="BQ1434" s="4"/>
      <c r="CC1434" s="4"/>
      <c r="CD1434" s="4"/>
      <c r="CF1434" s="4"/>
    </row>
    <row r="1435" spans="66:84">
      <c r="BN1435" s="4"/>
      <c r="BO1435" s="4"/>
      <c r="BQ1435" s="4"/>
      <c r="CC1435" s="4"/>
      <c r="CD1435" s="4"/>
      <c r="CF1435" s="4"/>
    </row>
    <row r="1436" spans="66:84">
      <c r="BN1436" s="4"/>
      <c r="BO1436" s="4"/>
      <c r="BQ1436" s="4"/>
      <c r="CC1436" s="4"/>
      <c r="CD1436" s="4"/>
      <c r="CF1436" s="4"/>
    </row>
    <row r="1437" spans="66:84">
      <c r="BN1437" s="4"/>
      <c r="BO1437" s="4"/>
      <c r="BQ1437" s="4"/>
      <c r="CC1437" s="4"/>
      <c r="CD1437" s="4"/>
      <c r="CF1437" s="4"/>
    </row>
    <row r="1438" spans="66:84">
      <c r="BN1438" s="4"/>
      <c r="BO1438" s="4"/>
      <c r="BQ1438" s="4"/>
      <c r="CC1438" s="4"/>
      <c r="CD1438" s="4"/>
      <c r="CF1438" s="4"/>
    </row>
    <row r="1439" spans="66:84">
      <c r="BN1439" s="4"/>
      <c r="BO1439" s="4"/>
      <c r="BQ1439" s="4"/>
      <c r="CC1439" s="4"/>
      <c r="CD1439" s="4"/>
      <c r="CF1439" s="4"/>
    </row>
    <row r="1440" spans="66:84">
      <c r="BN1440" s="4"/>
      <c r="BO1440" s="4"/>
      <c r="BQ1440" s="4"/>
      <c r="CC1440" s="4"/>
      <c r="CD1440" s="4"/>
      <c r="CF1440" s="4"/>
    </row>
    <row r="1441" spans="66:84">
      <c r="BN1441" s="4"/>
      <c r="BO1441" s="4"/>
      <c r="BQ1441" s="4"/>
      <c r="CC1441" s="4"/>
      <c r="CD1441" s="4"/>
      <c r="CF1441" s="4"/>
    </row>
    <row r="1442" spans="66:84">
      <c r="BN1442" s="4"/>
      <c r="BO1442" s="4"/>
      <c r="BQ1442" s="4"/>
      <c r="CC1442" s="4"/>
      <c r="CD1442" s="4"/>
      <c r="CF1442" s="4"/>
    </row>
    <row r="1443" spans="66:84">
      <c r="BN1443" s="4"/>
      <c r="BO1443" s="4"/>
      <c r="BQ1443" s="4"/>
      <c r="CC1443" s="4"/>
      <c r="CD1443" s="4"/>
      <c r="CF1443" s="4"/>
    </row>
    <row r="1444" spans="66:84">
      <c r="BN1444" s="4"/>
      <c r="BO1444" s="4"/>
      <c r="BQ1444" s="4"/>
      <c r="CC1444" s="4"/>
      <c r="CD1444" s="4"/>
      <c r="CF1444" s="4"/>
    </row>
    <row r="1445" spans="66:84">
      <c r="BN1445" s="4"/>
      <c r="BO1445" s="4"/>
      <c r="BQ1445" s="4"/>
      <c r="CC1445" s="4"/>
      <c r="CD1445" s="4"/>
      <c r="CF1445" s="4"/>
    </row>
    <row r="1446" spans="66:84">
      <c r="BN1446" s="4"/>
      <c r="BO1446" s="4"/>
      <c r="BQ1446" s="4"/>
      <c r="CC1446" s="4"/>
      <c r="CD1446" s="4"/>
      <c r="CF1446" s="4"/>
    </row>
    <row r="1447" spans="66:84">
      <c r="BN1447" s="4"/>
      <c r="BO1447" s="4"/>
      <c r="BQ1447" s="4"/>
      <c r="CC1447" s="4"/>
      <c r="CD1447" s="4"/>
      <c r="CF1447" s="4"/>
    </row>
    <row r="1448" spans="66:84">
      <c r="BN1448" s="4"/>
      <c r="BO1448" s="4"/>
      <c r="BQ1448" s="4"/>
      <c r="CC1448" s="4"/>
      <c r="CD1448" s="4"/>
      <c r="CF1448" s="4"/>
    </row>
    <row r="1449" spans="66:84">
      <c r="BN1449" s="4"/>
      <c r="BO1449" s="4"/>
      <c r="BQ1449" s="4"/>
      <c r="CC1449" s="4"/>
      <c r="CD1449" s="4"/>
      <c r="CF1449" s="4"/>
    </row>
    <row r="1450" spans="66:84">
      <c r="BN1450" s="4"/>
      <c r="BO1450" s="4"/>
      <c r="BQ1450" s="4"/>
      <c r="CC1450" s="4"/>
      <c r="CD1450" s="4"/>
      <c r="CF1450" s="4"/>
    </row>
    <row r="1451" spans="66:84">
      <c r="BN1451" s="4"/>
      <c r="BO1451" s="4"/>
      <c r="BQ1451" s="4"/>
      <c r="CC1451" s="4"/>
      <c r="CD1451" s="4"/>
      <c r="CF1451" s="4"/>
    </row>
    <row r="1452" spans="66:84">
      <c r="BN1452" s="4"/>
      <c r="BO1452" s="4"/>
      <c r="BQ1452" s="4"/>
      <c r="CC1452" s="4"/>
      <c r="CD1452" s="4"/>
      <c r="CF1452" s="4"/>
    </row>
    <row r="1453" spans="66:84">
      <c r="BN1453" s="4"/>
      <c r="BO1453" s="4"/>
      <c r="BQ1453" s="4"/>
      <c r="CC1453" s="4"/>
      <c r="CD1453" s="4"/>
      <c r="CF1453" s="4"/>
    </row>
    <row r="1454" spans="66:84">
      <c r="BN1454" s="4"/>
      <c r="BO1454" s="4"/>
      <c r="BQ1454" s="4"/>
      <c r="CC1454" s="4"/>
      <c r="CD1454" s="4"/>
      <c r="CF1454" s="4"/>
    </row>
    <row r="1455" spans="66:84">
      <c r="BN1455" s="4"/>
      <c r="BO1455" s="4"/>
      <c r="BQ1455" s="4"/>
      <c r="CC1455" s="4"/>
      <c r="CD1455" s="4"/>
      <c r="CF1455" s="4"/>
    </row>
    <row r="1456" spans="66:84">
      <c r="BN1456" s="4"/>
      <c r="BO1456" s="4"/>
      <c r="BQ1456" s="4"/>
      <c r="CC1456" s="4"/>
      <c r="CD1456" s="4"/>
      <c r="CF1456" s="4"/>
    </row>
    <row r="1457" spans="66:84">
      <c r="BN1457" s="4"/>
      <c r="BO1457" s="4"/>
      <c r="BQ1457" s="4"/>
      <c r="CC1457" s="4"/>
      <c r="CD1457" s="4"/>
      <c r="CF1457" s="4"/>
    </row>
    <row r="1458" spans="66:84">
      <c r="BN1458" s="4"/>
      <c r="BO1458" s="4"/>
      <c r="BQ1458" s="4"/>
      <c r="CC1458" s="4"/>
      <c r="CD1458" s="4"/>
      <c r="CF1458" s="4"/>
    </row>
    <row r="1459" spans="66:84">
      <c r="BN1459" s="4"/>
      <c r="BO1459" s="4"/>
      <c r="BQ1459" s="4"/>
      <c r="CC1459" s="4"/>
      <c r="CD1459" s="4"/>
      <c r="CF1459" s="4"/>
    </row>
    <row r="1460" spans="66:84">
      <c r="BN1460" s="4"/>
      <c r="BO1460" s="4"/>
      <c r="BQ1460" s="4"/>
      <c r="CC1460" s="4"/>
      <c r="CD1460" s="4"/>
      <c r="CF1460" s="4"/>
    </row>
    <row r="1461" spans="66:84">
      <c r="BN1461" s="4"/>
      <c r="BO1461" s="4"/>
      <c r="BQ1461" s="4"/>
      <c r="CC1461" s="4"/>
      <c r="CD1461" s="4"/>
      <c r="CF1461" s="4"/>
    </row>
    <row r="1462" spans="66:84">
      <c r="BN1462" s="4"/>
      <c r="BO1462" s="4"/>
      <c r="BQ1462" s="4"/>
      <c r="CC1462" s="4"/>
      <c r="CD1462" s="4"/>
      <c r="CF1462" s="4"/>
    </row>
    <row r="1463" spans="66:84">
      <c r="BN1463" s="4"/>
      <c r="BO1463" s="4"/>
      <c r="BQ1463" s="4"/>
      <c r="CC1463" s="4"/>
      <c r="CD1463" s="4"/>
      <c r="CF1463" s="4"/>
    </row>
    <row r="1464" spans="66:84">
      <c r="BN1464" s="4"/>
      <c r="BO1464" s="4"/>
      <c r="BQ1464" s="4"/>
      <c r="CC1464" s="4"/>
      <c r="CD1464" s="4"/>
      <c r="CF1464" s="4"/>
    </row>
    <row r="1465" spans="66:84">
      <c r="BN1465" s="4"/>
      <c r="BO1465" s="4"/>
      <c r="BQ1465" s="4"/>
      <c r="CC1465" s="4"/>
      <c r="CD1465" s="4"/>
      <c r="CF1465" s="4"/>
    </row>
    <row r="1466" spans="66:84">
      <c r="BN1466" s="4"/>
      <c r="BO1466" s="4"/>
      <c r="BQ1466" s="4"/>
      <c r="CC1466" s="4"/>
      <c r="CD1466" s="4"/>
      <c r="CF1466" s="4"/>
    </row>
    <row r="1467" spans="66:84">
      <c r="BN1467" s="4"/>
      <c r="BO1467" s="4"/>
      <c r="BQ1467" s="4"/>
      <c r="CC1467" s="4"/>
      <c r="CD1467" s="4"/>
      <c r="CF1467" s="4"/>
    </row>
    <row r="1468" spans="66:84">
      <c r="BN1468" s="4"/>
      <c r="BO1468" s="4"/>
      <c r="BQ1468" s="4"/>
      <c r="CC1468" s="4"/>
      <c r="CD1468" s="4"/>
      <c r="CF1468" s="4"/>
    </row>
    <row r="1469" spans="66:84">
      <c r="BN1469" s="4"/>
      <c r="BO1469" s="4"/>
      <c r="BQ1469" s="4"/>
      <c r="CC1469" s="4"/>
      <c r="CD1469" s="4"/>
      <c r="CF1469" s="4"/>
    </row>
    <row r="1470" spans="66:84">
      <c r="BN1470" s="4"/>
      <c r="BO1470" s="4"/>
      <c r="BQ1470" s="4"/>
      <c r="CC1470" s="4"/>
      <c r="CD1470" s="4"/>
      <c r="CF1470" s="4"/>
    </row>
    <row r="1471" spans="66:84">
      <c r="BN1471" s="4"/>
      <c r="BO1471" s="4"/>
      <c r="BQ1471" s="4"/>
      <c r="CC1471" s="4"/>
      <c r="CD1471" s="4"/>
      <c r="CF1471" s="4"/>
    </row>
    <row r="1472" spans="66:84">
      <c r="BN1472" s="4"/>
      <c r="BO1472" s="4"/>
      <c r="BQ1472" s="4"/>
      <c r="CC1472" s="4"/>
      <c r="CD1472" s="4"/>
      <c r="CF1472" s="4"/>
    </row>
    <row r="1473" spans="66:84">
      <c r="BN1473" s="4"/>
      <c r="BO1473" s="4"/>
      <c r="BQ1473" s="4"/>
      <c r="CC1473" s="4"/>
      <c r="CD1473" s="4"/>
      <c r="CF1473" s="4"/>
    </row>
    <row r="1474" spans="66:84">
      <c r="BN1474" s="4"/>
      <c r="BO1474" s="4"/>
      <c r="BQ1474" s="4"/>
      <c r="CC1474" s="4"/>
      <c r="CD1474" s="4"/>
      <c r="CF1474" s="4"/>
    </row>
    <row r="1475" spans="66:84">
      <c r="BN1475" s="4"/>
      <c r="BO1475" s="4"/>
      <c r="BQ1475" s="4"/>
      <c r="CC1475" s="4"/>
      <c r="CD1475" s="4"/>
      <c r="CF1475" s="4"/>
    </row>
    <row r="1476" spans="66:84">
      <c r="BN1476" s="4"/>
      <c r="BO1476" s="4"/>
      <c r="BQ1476" s="4"/>
      <c r="CC1476" s="4"/>
      <c r="CD1476" s="4"/>
      <c r="CF1476" s="4"/>
    </row>
    <row r="1477" spans="66:84">
      <c r="BN1477" s="4"/>
      <c r="BO1477" s="4"/>
      <c r="BQ1477" s="4"/>
      <c r="CC1477" s="4"/>
      <c r="CD1477" s="4"/>
      <c r="CF1477" s="4"/>
    </row>
    <row r="1478" spans="66:84">
      <c r="BN1478" s="4"/>
      <c r="BO1478" s="4"/>
      <c r="BQ1478" s="4"/>
      <c r="CC1478" s="4"/>
      <c r="CD1478" s="4"/>
      <c r="CF1478" s="4"/>
    </row>
    <row r="1479" spans="66:84">
      <c r="BN1479" s="4"/>
      <c r="BO1479" s="4"/>
      <c r="BQ1479" s="4"/>
      <c r="CC1479" s="4"/>
      <c r="CD1479" s="4"/>
      <c r="CF1479" s="4"/>
    </row>
    <row r="1480" spans="66:84">
      <c r="BN1480" s="4"/>
      <c r="BO1480" s="4"/>
      <c r="BQ1480" s="4"/>
      <c r="CC1480" s="4"/>
      <c r="CD1480" s="4"/>
      <c r="CF1480" s="4"/>
    </row>
    <row r="1481" spans="66:84">
      <c r="BN1481" s="4"/>
      <c r="BO1481" s="4"/>
      <c r="BQ1481" s="4"/>
      <c r="CC1481" s="4"/>
      <c r="CD1481" s="4"/>
      <c r="CF1481" s="4"/>
    </row>
    <row r="1482" spans="66:84">
      <c r="BN1482" s="4"/>
      <c r="BO1482" s="4"/>
      <c r="BQ1482" s="4"/>
      <c r="CC1482" s="4"/>
      <c r="CD1482" s="4"/>
      <c r="CF1482" s="4"/>
    </row>
    <row r="1483" spans="66:84">
      <c r="BN1483" s="4"/>
      <c r="BO1483" s="4"/>
      <c r="BQ1483" s="4"/>
      <c r="CC1483" s="4"/>
      <c r="CD1483" s="4"/>
      <c r="CF1483" s="4"/>
    </row>
    <row r="1484" spans="66:84">
      <c r="BN1484" s="4"/>
      <c r="BO1484" s="4"/>
      <c r="BQ1484" s="4"/>
      <c r="CC1484" s="4"/>
      <c r="CD1484" s="4"/>
      <c r="CF1484" s="4"/>
    </row>
    <row r="1485" spans="66:84">
      <c r="BN1485" s="4"/>
      <c r="BO1485" s="4"/>
      <c r="BQ1485" s="4"/>
      <c r="CC1485" s="4"/>
      <c r="CD1485" s="4"/>
      <c r="CF1485" s="4"/>
    </row>
    <row r="1486" spans="66:84">
      <c r="BN1486" s="4"/>
      <c r="BO1486" s="4"/>
      <c r="BQ1486" s="4"/>
      <c r="CC1486" s="4"/>
      <c r="CD1486" s="4"/>
      <c r="CF1486" s="4"/>
    </row>
    <row r="1487" spans="66:84">
      <c r="BN1487" s="4"/>
      <c r="BO1487" s="4"/>
      <c r="BQ1487" s="4"/>
      <c r="CC1487" s="4"/>
      <c r="CD1487" s="4"/>
      <c r="CF1487" s="4"/>
    </row>
    <row r="1488" spans="66:84">
      <c r="BN1488" s="4"/>
      <c r="BO1488" s="4"/>
      <c r="BQ1488" s="4"/>
      <c r="CC1488" s="4"/>
      <c r="CD1488" s="4"/>
      <c r="CF1488" s="4"/>
    </row>
    <row r="1489" spans="66:84">
      <c r="BN1489" s="4"/>
      <c r="BO1489" s="4"/>
      <c r="BQ1489" s="4"/>
      <c r="CC1489" s="4"/>
      <c r="CD1489" s="4"/>
      <c r="CF1489" s="4"/>
    </row>
    <row r="1490" spans="66:84">
      <c r="BN1490" s="4"/>
      <c r="BO1490" s="4"/>
      <c r="BQ1490" s="4"/>
      <c r="CC1490" s="4"/>
      <c r="CD1490" s="4"/>
      <c r="CF1490" s="4"/>
    </row>
    <row r="1491" spans="66:84">
      <c r="BN1491" s="4"/>
      <c r="BO1491" s="4"/>
      <c r="BQ1491" s="4"/>
      <c r="CC1491" s="4"/>
      <c r="CD1491" s="4"/>
      <c r="CF1491" s="4"/>
    </row>
    <row r="1492" spans="66:84">
      <c r="BN1492" s="4"/>
      <c r="BO1492" s="4"/>
      <c r="BQ1492" s="4"/>
      <c r="CC1492" s="4"/>
      <c r="CD1492" s="4"/>
      <c r="CF1492" s="4"/>
    </row>
    <row r="1493" spans="66:84">
      <c r="BN1493" s="4"/>
      <c r="BO1493" s="4"/>
      <c r="BQ1493" s="4"/>
      <c r="CC1493" s="4"/>
      <c r="CD1493" s="4"/>
      <c r="CF1493" s="4"/>
    </row>
    <row r="1494" spans="66:84">
      <c r="BN1494" s="4"/>
      <c r="BO1494" s="4"/>
      <c r="BQ1494" s="4"/>
      <c r="CC1494" s="4"/>
      <c r="CD1494" s="4"/>
      <c r="CF1494" s="4"/>
    </row>
    <row r="1495" spans="66:84">
      <c r="BN1495" s="4"/>
      <c r="BO1495" s="4"/>
      <c r="BQ1495" s="4"/>
      <c r="CC1495" s="4"/>
      <c r="CD1495" s="4"/>
      <c r="CF1495" s="4"/>
    </row>
    <row r="1496" spans="66:84">
      <c r="BN1496" s="4"/>
      <c r="BO1496" s="4"/>
      <c r="BQ1496" s="4"/>
      <c r="CC1496" s="4"/>
      <c r="CD1496" s="4"/>
      <c r="CF1496" s="4"/>
    </row>
    <row r="1497" spans="66:84">
      <c r="BN1497" s="4"/>
      <c r="BO1497" s="4"/>
      <c r="BQ1497" s="4"/>
      <c r="CC1497" s="4"/>
      <c r="CD1497" s="4"/>
      <c r="CF1497" s="4"/>
    </row>
    <row r="1498" spans="66:84">
      <c r="BN1498" s="4"/>
      <c r="BO1498" s="4"/>
      <c r="BQ1498" s="4"/>
      <c r="CC1498" s="4"/>
      <c r="CD1498" s="4"/>
      <c r="CF1498" s="4"/>
    </row>
    <row r="1499" spans="66:84">
      <c r="BN1499" s="4"/>
      <c r="BO1499" s="4"/>
      <c r="BQ1499" s="4"/>
      <c r="CC1499" s="4"/>
      <c r="CD1499" s="4"/>
      <c r="CF1499" s="4"/>
    </row>
    <row r="1500" spans="66:84">
      <c r="BN1500" s="4"/>
      <c r="BO1500" s="4"/>
      <c r="BQ1500" s="4"/>
      <c r="CC1500" s="4"/>
      <c r="CD1500" s="4"/>
      <c r="CF1500" s="4"/>
    </row>
    <row r="1501" spans="66:84">
      <c r="BN1501" s="4"/>
      <c r="BO1501" s="4"/>
      <c r="BQ1501" s="4"/>
      <c r="CC1501" s="4"/>
      <c r="CD1501" s="4"/>
      <c r="CF1501" s="4"/>
    </row>
    <row r="1502" spans="66:84">
      <c r="BN1502" s="4"/>
      <c r="BO1502" s="4"/>
      <c r="BQ1502" s="4"/>
      <c r="CC1502" s="4"/>
      <c r="CD1502" s="4"/>
      <c r="CF1502" s="4"/>
    </row>
    <row r="1503" spans="66:84">
      <c r="BN1503" s="4"/>
      <c r="BO1503" s="4"/>
      <c r="BQ1503" s="4"/>
      <c r="CC1503" s="4"/>
      <c r="CD1503" s="4"/>
      <c r="CF1503" s="4"/>
    </row>
    <row r="1504" spans="66:84">
      <c r="BN1504" s="4"/>
      <c r="BO1504" s="4"/>
      <c r="BQ1504" s="4"/>
      <c r="CC1504" s="4"/>
      <c r="CD1504" s="4"/>
      <c r="CF1504" s="4"/>
    </row>
    <row r="1505" spans="66:84">
      <c r="BN1505" s="4"/>
      <c r="BO1505" s="4"/>
      <c r="BQ1505" s="4"/>
      <c r="CC1505" s="4"/>
      <c r="CD1505" s="4"/>
      <c r="CF1505" s="4"/>
    </row>
    <row r="1506" spans="66:84">
      <c r="BN1506" s="4"/>
      <c r="BO1506" s="4"/>
      <c r="BQ1506" s="4"/>
      <c r="CC1506" s="4"/>
      <c r="CD1506" s="4"/>
      <c r="CF1506" s="4"/>
    </row>
    <row r="1507" spans="66:84">
      <c r="BN1507" s="4"/>
      <c r="BO1507" s="4"/>
      <c r="BQ1507" s="4"/>
      <c r="CC1507" s="4"/>
      <c r="CD1507" s="4"/>
      <c r="CF1507" s="4"/>
    </row>
    <row r="1508" spans="66:84">
      <c r="BN1508" s="4"/>
      <c r="BO1508" s="4"/>
      <c r="BQ1508" s="4"/>
      <c r="CC1508" s="4"/>
      <c r="CD1508" s="4"/>
      <c r="CF1508" s="4"/>
    </row>
    <row r="1509" spans="66:84">
      <c r="BN1509" s="4"/>
      <c r="BO1509" s="4"/>
      <c r="BQ1509" s="4"/>
      <c r="CC1509" s="4"/>
      <c r="CD1509" s="4"/>
      <c r="CF1509" s="4"/>
    </row>
    <row r="1510" spans="66:84">
      <c r="BN1510" s="4"/>
      <c r="BO1510" s="4"/>
      <c r="BQ1510" s="4"/>
      <c r="CC1510" s="4"/>
      <c r="CD1510" s="4"/>
      <c r="CF1510" s="4"/>
    </row>
    <row r="1511" spans="66:84">
      <c r="BN1511" s="4"/>
      <c r="BO1511" s="4"/>
      <c r="BQ1511" s="4"/>
      <c r="CC1511" s="4"/>
      <c r="CD1511" s="4"/>
      <c r="CF1511" s="4"/>
    </row>
    <row r="1512" spans="66:84">
      <c r="BN1512" s="4"/>
      <c r="BO1512" s="4"/>
      <c r="BQ1512" s="4"/>
      <c r="CC1512" s="4"/>
      <c r="CD1512" s="4"/>
      <c r="CF1512" s="4"/>
    </row>
    <row r="1513" spans="66:84">
      <c r="BN1513" s="4"/>
      <c r="BO1513" s="4"/>
      <c r="BQ1513" s="4"/>
      <c r="CC1513" s="4"/>
      <c r="CD1513" s="4"/>
      <c r="CF1513" s="4"/>
    </row>
    <row r="1514" spans="66:84">
      <c r="BN1514" s="4"/>
      <c r="BO1514" s="4"/>
      <c r="BQ1514" s="4"/>
      <c r="CC1514" s="4"/>
      <c r="CD1514" s="4"/>
      <c r="CF1514" s="4"/>
    </row>
    <row r="1515" spans="66:84">
      <c r="BN1515" s="4"/>
      <c r="BO1515" s="4"/>
      <c r="BQ1515" s="4"/>
      <c r="CC1515" s="4"/>
      <c r="CD1515" s="4"/>
      <c r="CF1515" s="4"/>
    </row>
    <row r="1516" spans="66:84">
      <c r="BN1516" s="4"/>
      <c r="BO1516" s="4"/>
      <c r="BQ1516" s="4"/>
      <c r="CC1516" s="4"/>
      <c r="CD1516" s="4"/>
      <c r="CF1516" s="4"/>
    </row>
    <row r="1517" spans="66:84">
      <c r="BN1517" s="4"/>
      <c r="BO1517" s="4"/>
      <c r="BQ1517" s="4"/>
      <c r="CC1517" s="4"/>
      <c r="CD1517" s="4"/>
      <c r="CF1517" s="4"/>
    </row>
    <row r="1518" spans="66:84">
      <c r="BN1518" s="4"/>
      <c r="BO1518" s="4"/>
      <c r="BQ1518" s="4"/>
      <c r="CC1518" s="4"/>
      <c r="CD1518" s="4"/>
      <c r="CF1518" s="4"/>
    </row>
    <row r="1519" spans="66:84">
      <c r="BN1519" s="4"/>
      <c r="BO1519" s="4"/>
      <c r="BQ1519" s="4"/>
      <c r="CC1519" s="4"/>
      <c r="CD1519" s="4"/>
      <c r="CF1519" s="4"/>
    </row>
    <row r="1520" spans="66:84">
      <c r="BN1520" s="4"/>
      <c r="BO1520" s="4"/>
      <c r="BQ1520" s="4"/>
      <c r="CC1520" s="4"/>
      <c r="CD1520" s="4"/>
      <c r="CF1520" s="4"/>
    </row>
    <row r="1521" spans="66:84">
      <c r="BN1521" s="4"/>
      <c r="BO1521" s="4"/>
      <c r="BQ1521" s="4"/>
      <c r="CC1521" s="4"/>
      <c r="CD1521" s="4"/>
      <c r="CF1521" s="4"/>
    </row>
    <row r="1522" spans="66:84">
      <c r="BN1522" s="4"/>
      <c r="BO1522" s="4"/>
      <c r="BQ1522" s="4"/>
      <c r="CC1522" s="4"/>
      <c r="CD1522" s="4"/>
      <c r="CF1522" s="4"/>
    </row>
    <row r="1523" spans="66:84">
      <c r="BN1523" s="4"/>
      <c r="BO1523" s="4"/>
      <c r="BQ1523" s="4"/>
      <c r="CC1523" s="4"/>
      <c r="CD1523" s="4"/>
      <c r="CF1523" s="4"/>
    </row>
    <row r="1524" spans="66:84">
      <c r="BN1524" s="4"/>
      <c r="BO1524" s="4"/>
      <c r="BQ1524" s="4"/>
      <c r="CC1524" s="4"/>
      <c r="CD1524" s="4"/>
      <c r="CF1524" s="4"/>
    </row>
    <row r="1525" spans="66:84">
      <c r="BN1525" s="4"/>
      <c r="BO1525" s="4"/>
      <c r="BQ1525" s="4"/>
      <c r="CC1525" s="4"/>
      <c r="CD1525" s="4"/>
      <c r="CF1525" s="4"/>
    </row>
    <row r="1526" spans="66:84">
      <c r="BN1526" s="4"/>
      <c r="BO1526" s="4"/>
      <c r="BQ1526" s="4"/>
      <c r="CC1526" s="4"/>
      <c r="CD1526" s="4"/>
      <c r="CF1526" s="4"/>
    </row>
    <row r="1527" spans="66:84">
      <c r="BN1527" s="4"/>
      <c r="BO1527" s="4"/>
      <c r="BQ1527" s="4"/>
      <c r="CC1527" s="4"/>
      <c r="CD1527" s="4"/>
      <c r="CF1527" s="4"/>
    </row>
    <row r="1528" spans="66:84">
      <c r="BN1528" s="4"/>
      <c r="BO1528" s="4"/>
      <c r="BQ1528" s="4"/>
      <c r="CC1528" s="4"/>
      <c r="CD1528" s="4"/>
      <c r="CF1528" s="4"/>
    </row>
    <row r="1529" spans="66:84">
      <c r="BN1529" s="4"/>
      <c r="BO1529" s="4"/>
      <c r="BQ1529" s="4"/>
      <c r="CC1529" s="4"/>
      <c r="CD1529" s="4"/>
      <c r="CF1529" s="4"/>
    </row>
    <row r="1530" spans="66:84">
      <c r="BN1530" s="4"/>
      <c r="BO1530" s="4"/>
      <c r="BQ1530" s="4"/>
      <c r="CC1530" s="4"/>
      <c r="CD1530" s="4"/>
      <c r="CF1530" s="4"/>
    </row>
    <row r="1531" spans="66:84">
      <c r="BN1531" s="4"/>
      <c r="BO1531" s="4"/>
      <c r="BQ1531" s="4"/>
      <c r="CC1531" s="4"/>
      <c r="CD1531" s="4"/>
      <c r="CF1531" s="4"/>
    </row>
    <row r="1532" spans="66:84">
      <c r="BN1532" s="4"/>
      <c r="BO1532" s="4"/>
      <c r="BQ1532" s="4"/>
      <c r="CC1532" s="4"/>
      <c r="CD1532" s="4"/>
      <c r="CF1532" s="4"/>
    </row>
    <row r="1533" spans="66:84">
      <c r="BN1533" s="4"/>
      <c r="BO1533" s="4"/>
      <c r="BQ1533" s="4"/>
      <c r="CC1533" s="4"/>
      <c r="CD1533" s="4"/>
      <c r="CF1533" s="4"/>
    </row>
    <row r="1534" spans="66:84">
      <c r="BN1534" s="4"/>
      <c r="BO1534" s="4"/>
      <c r="BQ1534" s="4"/>
      <c r="CC1534" s="4"/>
      <c r="CD1534" s="4"/>
      <c r="CF1534" s="4"/>
    </row>
    <row r="1535" spans="66:84">
      <c r="BN1535" s="4"/>
      <c r="BO1535" s="4"/>
      <c r="BQ1535" s="4"/>
      <c r="CC1535" s="4"/>
      <c r="CD1535" s="4"/>
      <c r="CF1535" s="4"/>
    </row>
    <row r="1536" spans="66:84">
      <c r="BN1536" s="4"/>
      <c r="BO1536" s="4"/>
      <c r="BQ1536" s="4"/>
      <c r="CC1536" s="4"/>
      <c r="CD1536" s="4"/>
      <c r="CF1536" s="4"/>
    </row>
    <row r="1537" spans="66:84">
      <c r="BN1537" s="4"/>
      <c r="BO1537" s="4"/>
      <c r="BQ1537" s="4"/>
      <c r="CC1537" s="4"/>
      <c r="CD1537" s="4"/>
      <c r="CF1537" s="4"/>
    </row>
    <row r="1538" spans="66:84">
      <c r="BN1538" s="4"/>
      <c r="BO1538" s="4"/>
      <c r="BQ1538" s="4"/>
      <c r="CC1538" s="4"/>
      <c r="CD1538" s="4"/>
      <c r="CF1538" s="4"/>
    </row>
    <row r="1539" spans="66:84">
      <c r="BN1539" s="4"/>
      <c r="BO1539" s="4"/>
      <c r="BQ1539" s="4"/>
      <c r="CC1539" s="4"/>
      <c r="CD1539" s="4"/>
      <c r="CF1539" s="4"/>
    </row>
    <row r="1540" spans="66:84">
      <c r="BN1540" s="4"/>
      <c r="BO1540" s="4"/>
      <c r="BQ1540" s="4"/>
      <c r="CC1540" s="4"/>
      <c r="CD1540" s="4"/>
      <c r="CF1540" s="4"/>
    </row>
    <row r="1541" spans="66:84">
      <c r="BN1541" s="4"/>
      <c r="BO1541" s="4"/>
      <c r="BQ1541" s="4"/>
      <c r="CC1541" s="4"/>
      <c r="CD1541" s="4"/>
      <c r="CF1541" s="4"/>
    </row>
    <row r="1542" spans="66:84">
      <c r="BN1542" s="4"/>
      <c r="BO1542" s="4"/>
      <c r="BQ1542" s="4"/>
      <c r="CC1542" s="4"/>
      <c r="CD1542" s="4"/>
      <c r="CF1542" s="4"/>
    </row>
    <row r="1543" spans="66:84">
      <c r="BN1543" s="4"/>
      <c r="BO1543" s="4"/>
      <c r="BQ1543" s="4"/>
      <c r="CC1543" s="4"/>
      <c r="CD1543" s="4"/>
      <c r="CF1543" s="4"/>
    </row>
    <row r="1544" spans="66:84">
      <c r="BN1544" s="4"/>
      <c r="BO1544" s="4"/>
      <c r="BQ1544" s="4"/>
      <c r="CC1544" s="4"/>
      <c r="CD1544" s="4"/>
      <c r="CF1544" s="4"/>
    </row>
    <row r="1545" spans="66:84">
      <c r="BN1545" s="4"/>
      <c r="BO1545" s="4"/>
      <c r="BQ1545" s="4"/>
      <c r="CC1545" s="4"/>
      <c r="CD1545" s="4"/>
      <c r="CF1545" s="4"/>
    </row>
    <row r="1546" spans="66:84">
      <c r="BN1546" s="4"/>
      <c r="BO1546" s="4"/>
      <c r="BQ1546" s="4"/>
      <c r="CC1546" s="4"/>
      <c r="CD1546" s="4"/>
      <c r="CF1546" s="4"/>
    </row>
    <row r="1547" spans="66:84">
      <c r="BN1547" s="4"/>
      <c r="BO1547" s="4"/>
      <c r="BQ1547" s="4"/>
      <c r="CC1547" s="4"/>
      <c r="CD1547" s="4"/>
      <c r="CF1547" s="4"/>
    </row>
    <row r="1548" spans="66:84">
      <c r="BN1548" s="4"/>
      <c r="BO1548" s="4"/>
      <c r="BQ1548" s="4"/>
      <c r="CC1548" s="4"/>
      <c r="CD1548" s="4"/>
      <c r="CF1548" s="4"/>
    </row>
    <row r="1549" spans="66:84">
      <c r="BN1549" s="4"/>
      <c r="BO1549" s="4"/>
      <c r="BQ1549" s="4"/>
      <c r="CC1549" s="4"/>
      <c r="CD1549" s="4"/>
      <c r="CF1549" s="4"/>
    </row>
    <row r="1550" spans="66:84">
      <c r="BN1550" s="4"/>
      <c r="BO1550" s="4"/>
      <c r="BQ1550" s="4"/>
      <c r="CC1550" s="4"/>
      <c r="CD1550" s="4"/>
      <c r="CF1550" s="4"/>
    </row>
    <row r="1551" spans="66:84">
      <c r="BN1551" s="4"/>
      <c r="BO1551" s="4"/>
      <c r="BQ1551" s="4"/>
      <c r="CC1551" s="4"/>
      <c r="CD1551" s="4"/>
      <c r="CF1551" s="4"/>
    </row>
    <row r="1552" spans="66:84">
      <c r="BN1552" s="4"/>
      <c r="BO1552" s="4"/>
      <c r="BQ1552" s="4"/>
      <c r="CC1552" s="4"/>
      <c r="CD1552" s="4"/>
      <c r="CF1552" s="4"/>
    </row>
    <row r="1553" spans="66:84">
      <c r="BN1553" s="4"/>
      <c r="BO1553" s="4"/>
      <c r="BQ1553" s="4"/>
      <c r="CC1553" s="4"/>
      <c r="CD1553" s="4"/>
      <c r="CF1553" s="4"/>
    </row>
    <row r="1554" spans="66:84">
      <c r="BN1554" s="4"/>
      <c r="BO1554" s="4"/>
      <c r="BQ1554" s="4"/>
      <c r="CC1554" s="4"/>
      <c r="CD1554" s="4"/>
      <c r="CF1554" s="4"/>
    </row>
    <row r="1555" spans="66:84">
      <c r="BN1555" s="4"/>
      <c r="BO1555" s="4"/>
      <c r="BQ1555" s="4"/>
      <c r="CC1555" s="4"/>
      <c r="CD1555" s="4"/>
      <c r="CF1555" s="4"/>
    </row>
    <row r="1556" spans="66:84">
      <c r="BN1556" s="4"/>
      <c r="BO1556" s="4"/>
      <c r="BQ1556" s="4"/>
      <c r="CC1556" s="4"/>
      <c r="CD1556" s="4"/>
      <c r="CF1556" s="4"/>
    </row>
    <row r="1557" spans="66:84">
      <c r="BN1557" s="4"/>
      <c r="BO1557" s="4"/>
      <c r="BQ1557" s="4"/>
      <c r="CC1557" s="4"/>
      <c r="CD1557" s="4"/>
      <c r="CF1557" s="4"/>
    </row>
    <row r="1558" spans="66:84">
      <c r="BN1558" s="4"/>
      <c r="BO1558" s="4"/>
      <c r="BQ1558" s="4"/>
      <c r="CC1558" s="4"/>
      <c r="CD1558" s="4"/>
      <c r="CF1558" s="4"/>
    </row>
    <row r="1559" spans="66:84">
      <c r="BN1559" s="4"/>
      <c r="BO1559" s="4"/>
      <c r="BQ1559" s="4"/>
      <c r="CC1559" s="4"/>
      <c r="CD1559" s="4"/>
      <c r="CF1559" s="4"/>
    </row>
    <row r="1560" spans="66:84">
      <c r="BN1560" s="4"/>
      <c r="BO1560" s="4"/>
      <c r="BQ1560" s="4"/>
      <c r="CC1560" s="4"/>
      <c r="CD1560" s="4"/>
      <c r="CF1560" s="4"/>
    </row>
    <row r="1561" spans="66:84">
      <c r="BN1561" s="4"/>
      <c r="BO1561" s="4"/>
      <c r="BQ1561" s="4"/>
      <c r="CC1561" s="4"/>
      <c r="CD1561" s="4"/>
      <c r="CF1561" s="4"/>
    </row>
    <row r="1562" spans="66:84">
      <c r="BN1562" s="4"/>
      <c r="BO1562" s="4"/>
      <c r="BQ1562" s="4"/>
      <c r="CC1562" s="4"/>
      <c r="CD1562" s="4"/>
      <c r="CF1562" s="4"/>
    </row>
    <row r="1563" spans="66:84">
      <c r="BN1563" s="4"/>
      <c r="BO1563" s="4"/>
      <c r="BQ1563" s="4"/>
      <c r="CC1563" s="4"/>
      <c r="CD1563" s="4"/>
      <c r="CF1563" s="4"/>
    </row>
    <row r="1564" spans="66:84">
      <c r="BN1564" s="4"/>
      <c r="BO1564" s="4"/>
      <c r="BQ1564" s="4"/>
      <c r="CC1564" s="4"/>
      <c r="CD1564" s="4"/>
      <c r="CF1564" s="4"/>
    </row>
    <row r="1565" spans="66:84">
      <c r="BN1565" s="4"/>
      <c r="BO1565" s="4"/>
      <c r="BQ1565" s="4"/>
      <c r="CC1565" s="4"/>
      <c r="CD1565" s="4"/>
      <c r="CF1565" s="4"/>
    </row>
    <row r="1566" spans="66:84">
      <c r="BN1566" s="4"/>
      <c r="BO1566" s="4"/>
      <c r="BQ1566" s="4"/>
      <c r="CC1566" s="4"/>
      <c r="CD1566" s="4"/>
      <c r="CF1566" s="4"/>
    </row>
    <row r="1567" spans="66:84">
      <c r="BN1567" s="4"/>
      <c r="BO1567" s="4"/>
      <c r="BQ1567" s="4"/>
      <c r="CC1567" s="4"/>
      <c r="CD1567" s="4"/>
      <c r="CF1567" s="4"/>
    </row>
    <row r="1568" spans="66:84">
      <c r="BN1568" s="4"/>
      <c r="BO1568" s="4"/>
      <c r="BQ1568" s="4"/>
      <c r="CC1568" s="4"/>
      <c r="CD1568" s="4"/>
      <c r="CF1568" s="4"/>
    </row>
    <row r="1569" spans="66:84">
      <c r="BN1569" s="4"/>
      <c r="BO1569" s="4"/>
      <c r="BQ1569" s="4"/>
      <c r="CC1569" s="4"/>
      <c r="CD1569" s="4"/>
      <c r="CF1569" s="4"/>
    </row>
    <row r="1570" spans="66:84">
      <c r="BN1570" s="4"/>
      <c r="BO1570" s="4"/>
      <c r="BQ1570" s="4"/>
      <c r="CC1570" s="4"/>
      <c r="CD1570" s="4"/>
      <c r="CF1570" s="4"/>
    </row>
    <row r="1571" spans="66:84">
      <c r="BN1571" s="4"/>
      <c r="BO1571" s="4"/>
      <c r="BQ1571" s="4"/>
      <c r="CC1571" s="4"/>
      <c r="CD1571" s="4"/>
      <c r="CF1571" s="4"/>
    </row>
    <row r="1572" spans="66:84">
      <c r="BN1572" s="4"/>
      <c r="BO1572" s="4"/>
      <c r="BQ1572" s="4"/>
      <c r="CC1572" s="4"/>
      <c r="CD1572" s="4"/>
      <c r="CF1572" s="4"/>
    </row>
    <row r="1573" spans="66:84">
      <c r="BN1573" s="4"/>
      <c r="BO1573" s="4"/>
      <c r="BQ1573" s="4"/>
      <c r="CC1573" s="4"/>
      <c r="CD1573" s="4"/>
      <c r="CF1573" s="4"/>
    </row>
    <row r="1574" spans="66:84">
      <c r="BN1574" s="4"/>
      <c r="BO1574" s="4"/>
      <c r="BQ1574" s="4"/>
      <c r="CC1574" s="4"/>
      <c r="CD1574" s="4"/>
      <c r="CF1574" s="4"/>
    </row>
    <row r="1575" spans="66:84">
      <c r="BN1575" s="4"/>
      <c r="BO1575" s="4"/>
      <c r="BQ1575" s="4"/>
      <c r="CC1575" s="4"/>
      <c r="CD1575" s="4"/>
      <c r="CF1575" s="4"/>
    </row>
    <row r="1576" spans="66:84">
      <c r="BN1576" s="4"/>
      <c r="BO1576" s="4"/>
      <c r="BQ1576" s="4"/>
      <c r="CC1576" s="4"/>
      <c r="CD1576" s="4"/>
      <c r="CF1576" s="4"/>
    </row>
    <row r="1577" spans="66:84">
      <c r="BN1577" s="4"/>
      <c r="BO1577" s="4"/>
      <c r="BQ1577" s="4"/>
      <c r="CC1577" s="4"/>
      <c r="CD1577" s="4"/>
      <c r="CF1577" s="4"/>
    </row>
    <row r="1578" spans="66:84">
      <c r="BN1578" s="4"/>
      <c r="BO1578" s="4"/>
      <c r="BQ1578" s="4"/>
      <c r="CC1578" s="4"/>
      <c r="CD1578" s="4"/>
      <c r="CF1578" s="4"/>
    </row>
    <row r="1579" spans="66:84">
      <c r="BN1579" s="4"/>
      <c r="BO1579" s="4"/>
      <c r="BQ1579" s="4"/>
      <c r="CC1579" s="4"/>
      <c r="CD1579" s="4"/>
      <c r="CF1579" s="4"/>
    </row>
    <row r="1580" spans="66:84">
      <c r="BN1580" s="4"/>
      <c r="BO1580" s="4"/>
      <c r="BQ1580" s="4"/>
      <c r="CC1580" s="4"/>
      <c r="CD1580" s="4"/>
      <c r="CF1580" s="4"/>
    </row>
    <row r="1581" spans="66:84">
      <c r="BN1581" s="4"/>
      <c r="BO1581" s="4"/>
      <c r="BQ1581" s="4"/>
      <c r="CC1581" s="4"/>
      <c r="CD1581" s="4"/>
      <c r="CF1581" s="4"/>
    </row>
    <row r="1582" spans="66:84">
      <c r="BN1582" s="4"/>
      <c r="BO1582" s="4"/>
      <c r="BQ1582" s="4"/>
      <c r="CC1582" s="4"/>
      <c r="CD1582" s="4"/>
      <c r="CF1582" s="4"/>
    </row>
    <row r="1583" spans="66:84">
      <c r="BN1583" s="4"/>
      <c r="BO1583" s="4"/>
      <c r="BQ1583" s="4"/>
      <c r="CC1583" s="4"/>
      <c r="CD1583" s="4"/>
      <c r="CF1583" s="4"/>
    </row>
    <row r="1584" spans="66:84">
      <c r="BN1584" s="4"/>
      <c r="BO1584" s="4"/>
      <c r="BQ1584" s="4"/>
      <c r="CC1584" s="4"/>
      <c r="CD1584" s="4"/>
      <c r="CF1584" s="4"/>
    </row>
    <row r="1585" spans="66:84">
      <c r="BN1585" s="4"/>
      <c r="BO1585" s="4"/>
      <c r="BQ1585" s="4"/>
      <c r="CC1585" s="4"/>
      <c r="CD1585" s="4"/>
      <c r="CF1585" s="4"/>
    </row>
    <row r="1586" spans="66:84">
      <c r="BN1586" s="4"/>
      <c r="BO1586" s="4"/>
      <c r="BQ1586" s="4"/>
      <c r="CC1586" s="4"/>
      <c r="CD1586" s="4"/>
      <c r="CF1586" s="4"/>
    </row>
    <row r="1587" spans="66:84">
      <c r="BN1587" s="4"/>
      <c r="BO1587" s="4"/>
      <c r="BQ1587" s="4"/>
      <c r="CC1587" s="4"/>
      <c r="CD1587" s="4"/>
      <c r="CF1587" s="4"/>
    </row>
    <row r="1588" spans="66:84">
      <c r="BN1588" s="4"/>
      <c r="BO1588" s="4"/>
      <c r="BQ1588" s="4"/>
      <c r="CC1588" s="4"/>
      <c r="CD1588" s="4"/>
      <c r="CF1588" s="4"/>
    </row>
    <row r="1589" spans="66:84">
      <c r="BN1589" s="4"/>
      <c r="BO1589" s="4"/>
      <c r="BQ1589" s="4"/>
      <c r="CC1589" s="4"/>
      <c r="CD1589" s="4"/>
      <c r="CF1589" s="4"/>
    </row>
    <row r="1590" spans="66:84">
      <c r="BN1590" s="4"/>
      <c r="BO1590" s="4"/>
      <c r="BQ1590" s="4"/>
      <c r="CC1590" s="4"/>
      <c r="CD1590" s="4"/>
      <c r="CF1590" s="4"/>
    </row>
    <row r="1591" spans="66:84">
      <c r="BN1591" s="4"/>
      <c r="BO1591" s="4"/>
      <c r="BQ1591" s="4"/>
      <c r="CC1591" s="4"/>
      <c r="CD1591" s="4"/>
      <c r="CF1591" s="4"/>
    </row>
    <row r="1592" spans="66:84">
      <c r="BN1592" s="4"/>
      <c r="BO1592" s="4"/>
      <c r="BQ1592" s="4"/>
      <c r="CC1592" s="4"/>
      <c r="CD1592" s="4"/>
      <c r="CF1592" s="4"/>
    </row>
    <row r="1593" spans="66:84">
      <c r="BN1593" s="4"/>
      <c r="BO1593" s="4"/>
      <c r="BQ1593" s="4"/>
      <c r="CC1593" s="4"/>
      <c r="CD1593" s="4"/>
      <c r="CF1593" s="4"/>
    </row>
    <row r="1594" spans="66:84">
      <c r="BN1594" s="4"/>
      <c r="BO1594" s="4"/>
      <c r="BQ1594" s="4"/>
      <c r="CC1594" s="4"/>
      <c r="CD1594" s="4"/>
      <c r="CF1594" s="4"/>
    </row>
    <row r="1595" spans="66:84">
      <c r="BN1595" s="4"/>
      <c r="BO1595" s="4"/>
      <c r="BQ1595" s="4"/>
      <c r="CC1595" s="4"/>
      <c r="CD1595" s="4"/>
      <c r="CF1595" s="4"/>
    </row>
    <row r="1596" spans="66:84">
      <c r="BN1596" s="4"/>
      <c r="BO1596" s="4"/>
      <c r="BQ1596" s="4"/>
      <c r="CC1596" s="4"/>
      <c r="CD1596" s="4"/>
      <c r="CF1596" s="4"/>
    </row>
    <row r="1597" spans="66:84">
      <c r="BN1597" s="4"/>
      <c r="BO1597" s="4"/>
      <c r="BQ1597" s="4"/>
      <c r="CC1597" s="4"/>
      <c r="CD1597" s="4"/>
      <c r="CF1597" s="4"/>
    </row>
    <row r="1598" spans="66:84">
      <c r="BN1598" s="4"/>
      <c r="BO1598" s="4"/>
      <c r="BQ1598" s="4"/>
      <c r="CC1598" s="4"/>
      <c r="CD1598" s="4"/>
      <c r="CF1598" s="4"/>
    </row>
    <row r="1599" spans="66:84">
      <c r="BN1599" s="4"/>
      <c r="BO1599" s="4"/>
      <c r="BQ1599" s="4"/>
      <c r="CC1599" s="4"/>
      <c r="CD1599" s="4"/>
      <c r="CF1599" s="4"/>
    </row>
    <row r="1600" spans="66:84">
      <c r="BN1600" s="4"/>
      <c r="BO1600" s="4"/>
      <c r="BQ1600" s="4"/>
      <c r="CC1600" s="4"/>
      <c r="CD1600" s="4"/>
      <c r="CF1600" s="4"/>
    </row>
    <row r="1601" spans="66:84">
      <c r="BN1601" s="4"/>
      <c r="BO1601" s="4"/>
      <c r="BQ1601" s="4"/>
      <c r="CC1601" s="4"/>
      <c r="CD1601" s="4"/>
      <c r="CF1601" s="4"/>
    </row>
    <row r="1602" spans="66:84">
      <c r="BN1602" s="4"/>
      <c r="BO1602" s="4"/>
      <c r="BQ1602" s="4"/>
      <c r="CC1602" s="4"/>
      <c r="CD1602" s="4"/>
      <c r="CF1602" s="4"/>
    </row>
    <row r="1603" spans="66:84">
      <c r="BN1603" s="4"/>
      <c r="BO1603" s="4"/>
      <c r="BQ1603" s="4"/>
      <c r="CC1603" s="4"/>
      <c r="CD1603" s="4"/>
      <c r="CF1603" s="4"/>
    </row>
    <row r="1604" spans="66:84">
      <c r="BN1604" s="4"/>
      <c r="BO1604" s="4"/>
      <c r="BQ1604" s="4"/>
      <c r="CC1604" s="4"/>
      <c r="CD1604" s="4"/>
      <c r="CF1604" s="4"/>
    </row>
    <row r="1605" spans="66:84">
      <c r="BN1605" s="4"/>
      <c r="BO1605" s="4"/>
      <c r="BQ1605" s="4"/>
      <c r="CC1605" s="4"/>
      <c r="CD1605" s="4"/>
      <c r="CF1605" s="4"/>
    </row>
    <row r="1606" spans="66:84">
      <c r="BN1606" s="4"/>
      <c r="BO1606" s="4"/>
      <c r="BQ1606" s="4"/>
      <c r="CC1606" s="4"/>
      <c r="CD1606" s="4"/>
      <c r="CF1606" s="4"/>
    </row>
    <row r="1607" spans="66:84">
      <c r="BN1607" s="4"/>
      <c r="BO1607" s="4"/>
      <c r="BQ1607" s="4"/>
      <c r="CC1607" s="4"/>
      <c r="CD1607" s="4"/>
      <c r="CF1607" s="4"/>
    </row>
    <row r="1608" spans="66:84">
      <c r="BN1608" s="4"/>
      <c r="BO1608" s="4"/>
      <c r="BQ1608" s="4"/>
      <c r="CC1608" s="4"/>
      <c r="CD1608" s="4"/>
      <c r="CF1608" s="4"/>
    </row>
    <row r="1609" spans="66:84">
      <c r="BN1609" s="4"/>
      <c r="BO1609" s="4"/>
      <c r="BQ1609" s="4"/>
      <c r="CC1609" s="4"/>
      <c r="CD1609" s="4"/>
      <c r="CF1609" s="4"/>
    </row>
    <row r="1610" spans="66:84">
      <c r="BN1610" s="4"/>
      <c r="BO1610" s="4"/>
      <c r="BQ1610" s="4"/>
      <c r="CC1610" s="4"/>
      <c r="CD1610" s="4"/>
      <c r="CF1610" s="4"/>
    </row>
    <row r="1611" spans="66:84">
      <c r="BN1611" s="4"/>
      <c r="BO1611" s="4"/>
      <c r="BQ1611" s="4"/>
      <c r="CC1611" s="4"/>
      <c r="CD1611" s="4"/>
      <c r="CF1611" s="4"/>
    </row>
    <row r="1612" spans="66:84">
      <c r="BN1612" s="4"/>
      <c r="BO1612" s="4"/>
      <c r="BQ1612" s="4"/>
      <c r="CC1612" s="4"/>
      <c r="CD1612" s="4"/>
      <c r="CF1612" s="4"/>
    </row>
    <row r="1613" spans="66:84">
      <c r="BN1613" s="4"/>
      <c r="BO1613" s="4"/>
      <c r="BQ1613" s="4"/>
      <c r="CC1613" s="4"/>
      <c r="CD1613" s="4"/>
      <c r="CF1613" s="4"/>
    </row>
    <row r="1614" spans="66:84">
      <c r="BN1614" s="4"/>
      <c r="BO1614" s="4"/>
      <c r="BQ1614" s="4"/>
      <c r="CC1614" s="4"/>
      <c r="CD1614" s="4"/>
      <c r="CF1614" s="4"/>
    </row>
    <row r="1615" spans="66:84">
      <c r="BN1615" s="4"/>
      <c r="BO1615" s="4"/>
      <c r="BQ1615" s="4"/>
      <c r="CC1615" s="4"/>
      <c r="CD1615" s="4"/>
      <c r="CF1615" s="4"/>
    </row>
    <row r="1616" spans="66:84">
      <c r="BN1616" s="4"/>
      <c r="BO1616" s="4"/>
      <c r="BQ1616" s="4"/>
      <c r="CC1616" s="4"/>
      <c r="CD1616" s="4"/>
      <c r="CF1616" s="4"/>
    </row>
    <row r="1617" spans="66:84">
      <c r="BN1617" s="4"/>
      <c r="BO1617" s="4"/>
      <c r="BQ1617" s="4"/>
      <c r="CC1617" s="4"/>
      <c r="CD1617" s="4"/>
      <c r="CF1617" s="4"/>
    </row>
    <row r="1618" spans="66:84">
      <c r="BN1618" s="4"/>
      <c r="BO1618" s="4"/>
      <c r="BQ1618" s="4"/>
      <c r="CC1618" s="4"/>
      <c r="CD1618" s="4"/>
      <c r="CF1618" s="4"/>
    </row>
    <row r="1619" spans="66:84">
      <c r="BN1619" s="4"/>
      <c r="BO1619" s="4"/>
      <c r="BQ1619" s="4"/>
      <c r="CC1619" s="4"/>
      <c r="CD1619" s="4"/>
      <c r="CF1619" s="4"/>
    </row>
    <row r="1620" spans="66:84">
      <c r="BN1620" s="4"/>
      <c r="BO1620" s="4"/>
      <c r="BQ1620" s="4"/>
      <c r="CC1620" s="4"/>
      <c r="CD1620" s="4"/>
      <c r="CF1620" s="4"/>
    </row>
    <row r="1621" spans="66:84">
      <c r="BN1621" s="4"/>
      <c r="BO1621" s="4"/>
      <c r="BQ1621" s="4"/>
      <c r="CC1621" s="4"/>
      <c r="CD1621" s="4"/>
      <c r="CF1621" s="4"/>
    </row>
    <row r="1622" spans="66:84">
      <c r="BN1622" s="4"/>
      <c r="BO1622" s="4"/>
      <c r="BQ1622" s="4"/>
      <c r="CC1622" s="4"/>
      <c r="CD1622" s="4"/>
      <c r="CF1622" s="4"/>
    </row>
    <row r="1623" spans="66:84">
      <c r="BN1623" s="4"/>
      <c r="BO1623" s="4"/>
      <c r="BQ1623" s="4"/>
      <c r="CC1623" s="4"/>
      <c r="CD1623" s="4"/>
      <c r="CF1623" s="4"/>
    </row>
    <row r="1624" spans="66:84">
      <c r="BN1624" s="4"/>
      <c r="BO1624" s="4"/>
      <c r="BQ1624" s="4"/>
      <c r="CC1624" s="4"/>
      <c r="CD1624" s="4"/>
      <c r="CF1624" s="4"/>
    </row>
    <row r="1625" spans="66:84">
      <c r="BN1625" s="4"/>
      <c r="BO1625" s="4"/>
      <c r="BQ1625" s="4"/>
      <c r="CC1625" s="4"/>
      <c r="CD1625" s="4"/>
      <c r="CF1625" s="4"/>
    </row>
    <row r="1626" spans="66:84">
      <c r="BN1626" s="4"/>
      <c r="BO1626" s="4"/>
      <c r="BQ1626" s="4"/>
      <c r="CC1626" s="4"/>
      <c r="CD1626" s="4"/>
      <c r="CF1626" s="4"/>
    </row>
    <row r="1627" spans="66:84">
      <c r="BN1627" s="4"/>
      <c r="BO1627" s="4"/>
      <c r="BQ1627" s="4"/>
      <c r="CC1627" s="4"/>
      <c r="CD1627" s="4"/>
      <c r="CF1627" s="4"/>
    </row>
    <row r="1628" spans="66:84">
      <c r="BN1628" s="4"/>
      <c r="BO1628" s="4"/>
      <c r="BQ1628" s="4"/>
      <c r="CC1628" s="4"/>
      <c r="CD1628" s="4"/>
      <c r="CF1628" s="4"/>
    </row>
    <row r="1629" spans="66:84">
      <c r="BN1629" s="4"/>
      <c r="BO1629" s="4"/>
      <c r="BQ1629" s="4"/>
      <c r="CC1629" s="4"/>
      <c r="CD1629" s="4"/>
      <c r="CF1629" s="4"/>
    </row>
    <row r="1630" spans="66:84">
      <c r="BN1630" s="4"/>
      <c r="BO1630" s="4"/>
      <c r="BQ1630" s="4"/>
      <c r="CC1630" s="4"/>
      <c r="CD1630" s="4"/>
      <c r="CF1630" s="4"/>
    </row>
    <row r="1631" spans="66:84">
      <c r="BN1631" s="4"/>
      <c r="BO1631" s="4"/>
      <c r="BQ1631" s="4"/>
      <c r="CC1631" s="4"/>
      <c r="CD1631" s="4"/>
      <c r="CF1631" s="4"/>
    </row>
    <row r="1632" spans="66:84">
      <c r="BN1632" s="4"/>
      <c r="BO1632" s="4"/>
      <c r="BQ1632" s="4"/>
      <c r="CC1632" s="4"/>
      <c r="CD1632" s="4"/>
      <c r="CF1632" s="4"/>
    </row>
    <row r="1633" spans="66:84">
      <c r="BN1633" s="4"/>
      <c r="BO1633" s="4"/>
      <c r="BQ1633" s="4"/>
      <c r="CC1633" s="4"/>
      <c r="CD1633" s="4"/>
      <c r="CF1633" s="4"/>
    </row>
    <row r="1634" spans="66:84">
      <c r="BN1634" s="4"/>
      <c r="BO1634" s="4"/>
      <c r="BQ1634" s="4"/>
      <c r="CC1634" s="4"/>
      <c r="CD1634" s="4"/>
      <c r="CF1634" s="4"/>
    </row>
    <row r="1635" spans="66:84">
      <c r="BN1635" s="4"/>
      <c r="BO1635" s="4"/>
      <c r="BQ1635" s="4"/>
      <c r="CC1635" s="4"/>
      <c r="CD1635" s="4"/>
      <c r="CF1635" s="4"/>
    </row>
    <row r="1636" spans="66:84">
      <c r="BN1636" s="4"/>
      <c r="BO1636" s="4"/>
      <c r="BQ1636" s="4"/>
      <c r="CC1636" s="4"/>
      <c r="CD1636" s="4"/>
      <c r="CF1636" s="4"/>
    </row>
    <row r="1637" spans="66:84">
      <c r="BN1637" s="4"/>
      <c r="BO1637" s="4"/>
      <c r="BQ1637" s="4"/>
      <c r="CC1637" s="4"/>
      <c r="CD1637" s="4"/>
      <c r="CF1637" s="4"/>
    </row>
    <row r="1638" spans="66:84">
      <c r="BN1638" s="4"/>
      <c r="BO1638" s="4"/>
      <c r="BQ1638" s="4"/>
      <c r="CC1638" s="4"/>
      <c r="CD1638" s="4"/>
      <c r="CF1638" s="4"/>
    </row>
    <row r="1639" spans="66:84">
      <c r="BN1639" s="4"/>
      <c r="BO1639" s="4"/>
      <c r="BQ1639" s="4"/>
      <c r="CC1639" s="4"/>
      <c r="CD1639" s="4"/>
      <c r="CF1639" s="4"/>
    </row>
    <row r="1640" spans="66:84">
      <c r="BN1640" s="4"/>
      <c r="BO1640" s="4"/>
      <c r="BQ1640" s="4"/>
      <c r="CC1640" s="4"/>
      <c r="CD1640" s="4"/>
      <c r="CF1640" s="4"/>
    </row>
    <row r="1641" spans="66:84">
      <c r="BN1641" s="4"/>
      <c r="BO1641" s="4"/>
      <c r="BQ1641" s="4"/>
      <c r="CC1641" s="4"/>
      <c r="CD1641" s="4"/>
      <c r="CF1641" s="4"/>
    </row>
    <row r="1642" spans="66:84">
      <c r="BN1642" s="4"/>
      <c r="BO1642" s="4"/>
      <c r="BQ1642" s="4"/>
      <c r="CC1642" s="4"/>
      <c r="CD1642" s="4"/>
      <c r="CF1642" s="4"/>
    </row>
    <row r="1643" spans="66:84">
      <c r="BN1643" s="4"/>
      <c r="BO1643" s="4"/>
      <c r="BQ1643" s="4"/>
      <c r="CC1643" s="4"/>
      <c r="CD1643" s="4"/>
      <c r="CF1643" s="4"/>
    </row>
    <row r="1644" spans="66:84">
      <c r="BN1644" s="4"/>
      <c r="BO1644" s="4"/>
      <c r="BQ1644" s="4"/>
      <c r="CC1644" s="4"/>
      <c r="CD1644" s="4"/>
      <c r="CF1644" s="4"/>
    </row>
    <row r="1645" spans="66:84">
      <c r="BN1645" s="4"/>
      <c r="BO1645" s="4"/>
      <c r="BQ1645" s="4"/>
      <c r="CC1645" s="4"/>
      <c r="CD1645" s="4"/>
      <c r="CF1645" s="4"/>
    </row>
    <row r="1646" spans="66:84">
      <c r="BN1646" s="4"/>
      <c r="BO1646" s="4"/>
      <c r="BQ1646" s="4"/>
      <c r="CC1646" s="4"/>
      <c r="CD1646" s="4"/>
      <c r="CF1646" s="4"/>
    </row>
    <row r="1647" spans="66:84">
      <c r="BN1647" s="4"/>
      <c r="BO1647" s="4"/>
      <c r="BQ1647" s="4"/>
      <c r="CC1647" s="4"/>
      <c r="CD1647" s="4"/>
      <c r="CF1647" s="4"/>
    </row>
    <row r="1648" spans="66:84">
      <c r="BN1648" s="4"/>
      <c r="BO1648" s="4"/>
      <c r="BQ1648" s="4"/>
      <c r="CC1648" s="4"/>
      <c r="CD1648" s="4"/>
      <c r="CF1648" s="4"/>
    </row>
    <row r="1649" spans="66:84">
      <c r="BN1649" s="4"/>
      <c r="BO1649" s="4"/>
      <c r="BQ1649" s="4"/>
      <c r="CC1649" s="4"/>
      <c r="CD1649" s="4"/>
      <c r="CF1649" s="4"/>
    </row>
    <row r="1650" spans="66:84">
      <c r="BN1650" s="4"/>
      <c r="BO1650" s="4"/>
      <c r="BQ1650" s="4"/>
      <c r="CC1650" s="4"/>
      <c r="CD1650" s="4"/>
      <c r="CF1650" s="4"/>
    </row>
    <row r="1651" spans="66:84">
      <c r="BN1651" s="4"/>
      <c r="BO1651" s="4"/>
      <c r="BQ1651" s="4"/>
      <c r="CC1651" s="4"/>
      <c r="CD1651" s="4"/>
      <c r="CF1651" s="4"/>
    </row>
    <row r="1652" spans="66:84">
      <c r="BN1652" s="4"/>
      <c r="BO1652" s="4"/>
      <c r="BQ1652" s="4"/>
      <c r="CC1652" s="4"/>
      <c r="CD1652" s="4"/>
      <c r="CF1652" s="4"/>
    </row>
    <row r="1653" spans="66:84">
      <c r="BN1653" s="4"/>
      <c r="BO1653" s="4"/>
      <c r="BQ1653" s="4"/>
      <c r="CC1653" s="4"/>
      <c r="CD1653" s="4"/>
      <c r="CF1653" s="4"/>
    </row>
    <row r="1654" spans="66:84">
      <c r="BN1654" s="4"/>
      <c r="BO1654" s="4"/>
      <c r="BQ1654" s="4"/>
      <c r="CC1654" s="4"/>
      <c r="CD1654" s="4"/>
      <c r="CF1654" s="4"/>
    </row>
    <row r="1655" spans="66:84">
      <c r="BN1655" s="4"/>
      <c r="BO1655" s="4"/>
      <c r="BQ1655" s="4"/>
      <c r="CC1655" s="4"/>
      <c r="CD1655" s="4"/>
      <c r="CF1655" s="4"/>
    </row>
    <row r="1656" spans="66:84">
      <c r="BN1656" s="4"/>
      <c r="BO1656" s="4"/>
      <c r="BQ1656" s="4"/>
      <c r="CC1656" s="4"/>
      <c r="CD1656" s="4"/>
      <c r="CF1656" s="4"/>
    </row>
    <row r="1657" spans="66:84">
      <c r="BN1657" s="4"/>
      <c r="BO1657" s="4"/>
      <c r="BQ1657" s="4"/>
      <c r="CC1657" s="4"/>
      <c r="CD1657" s="4"/>
      <c r="CF1657" s="4"/>
    </row>
    <row r="1658" spans="66:84">
      <c r="BN1658" s="4"/>
      <c r="BO1658" s="4"/>
      <c r="BQ1658" s="4"/>
      <c r="CC1658" s="4"/>
      <c r="CD1658" s="4"/>
      <c r="CF1658" s="4"/>
    </row>
    <row r="1659" spans="66:84">
      <c r="BN1659" s="4"/>
      <c r="BO1659" s="4"/>
      <c r="BQ1659" s="4"/>
      <c r="CC1659" s="4"/>
      <c r="CD1659" s="4"/>
      <c r="CF1659" s="4"/>
    </row>
    <row r="1660" spans="66:84">
      <c r="BN1660" s="4"/>
      <c r="BO1660" s="4"/>
      <c r="BQ1660" s="4"/>
      <c r="CC1660" s="4"/>
      <c r="CD1660" s="4"/>
      <c r="CF1660" s="4"/>
    </row>
    <row r="1661" spans="66:84">
      <c r="BN1661" s="4"/>
      <c r="BO1661" s="4"/>
      <c r="BQ1661" s="4"/>
      <c r="CC1661" s="4"/>
      <c r="CD1661" s="4"/>
      <c r="CF1661" s="4"/>
    </row>
    <row r="1662" spans="66:84">
      <c r="BN1662" s="4"/>
      <c r="BO1662" s="4"/>
      <c r="BQ1662" s="4"/>
      <c r="CC1662" s="4"/>
      <c r="CD1662" s="4"/>
      <c r="CF1662" s="4"/>
    </row>
    <row r="1663" spans="66:84">
      <c r="BN1663" s="4"/>
      <c r="BO1663" s="4"/>
      <c r="BQ1663" s="4"/>
      <c r="CC1663" s="4"/>
      <c r="CD1663" s="4"/>
      <c r="CF1663" s="4"/>
    </row>
    <row r="1664" spans="66:84">
      <c r="BN1664" s="4"/>
      <c r="BO1664" s="4"/>
      <c r="BQ1664" s="4"/>
      <c r="CC1664" s="4"/>
      <c r="CD1664" s="4"/>
      <c r="CF1664" s="4"/>
    </row>
    <row r="1665" spans="66:84">
      <c r="BN1665" s="4"/>
      <c r="BO1665" s="4"/>
      <c r="BQ1665" s="4"/>
      <c r="CC1665" s="4"/>
      <c r="CD1665" s="4"/>
      <c r="CF1665" s="4"/>
    </row>
    <row r="1666" spans="66:84">
      <c r="BN1666" s="4"/>
      <c r="BO1666" s="4"/>
      <c r="BQ1666" s="4"/>
      <c r="CC1666" s="4"/>
      <c r="CD1666" s="4"/>
      <c r="CF1666" s="4"/>
    </row>
    <row r="1667" spans="66:84">
      <c r="BN1667" s="4"/>
      <c r="BO1667" s="4"/>
      <c r="BQ1667" s="4"/>
      <c r="CC1667" s="4"/>
      <c r="CD1667" s="4"/>
      <c r="CF1667" s="4"/>
    </row>
    <row r="1668" spans="66:84">
      <c r="BN1668" s="4"/>
      <c r="BO1668" s="4"/>
      <c r="BQ1668" s="4"/>
      <c r="CC1668" s="4"/>
      <c r="CD1668" s="4"/>
      <c r="CF1668" s="4"/>
    </row>
    <row r="1669" spans="66:84">
      <c r="BN1669" s="4"/>
      <c r="BO1669" s="4"/>
      <c r="BQ1669" s="4"/>
      <c r="CC1669" s="4"/>
      <c r="CD1669" s="4"/>
      <c r="CF1669" s="4"/>
    </row>
    <row r="1670" spans="66:84">
      <c r="BN1670" s="4"/>
      <c r="BO1670" s="4"/>
      <c r="BQ1670" s="4"/>
      <c r="CC1670" s="4"/>
      <c r="CD1670" s="4"/>
      <c r="CF1670" s="4"/>
    </row>
    <row r="1671" spans="66:84">
      <c r="BN1671" s="4"/>
      <c r="BO1671" s="4"/>
      <c r="BQ1671" s="4"/>
      <c r="CC1671" s="4"/>
      <c r="CD1671" s="4"/>
      <c r="CF1671" s="4"/>
    </row>
    <row r="1672" spans="66:84">
      <c r="BN1672" s="4"/>
      <c r="BO1672" s="4"/>
      <c r="BQ1672" s="4"/>
      <c r="CC1672" s="4"/>
      <c r="CD1672" s="4"/>
      <c r="CF1672" s="4"/>
    </row>
    <row r="1673" spans="66:84">
      <c r="BN1673" s="4"/>
      <c r="BO1673" s="4"/>
      <c r="BQ1673" s="4"/>
      <c r="CC1673" s="4"/>
      <c r="CD1673" s="4"/>
      <c r="CF1673" s="4"/>
    </row>
    <row r="1674" spans="66:84">
      <c r="BN1674" s="4"/>
      <c r="BO1674" s="4"/>
      <c r="BQ1674" s="4"/>
      <c r="CC1674" s="4"/>
      <c r="CD1674" s="4"/>
      <c r="CF1674" s="4"/>
    </row>
    <row r="1675" spans="66:84">
      <c r="BN1675" s="4"/>
      <c r="BO1675" s="4"/>
      <c r="BQ1675" s="4"/>
      <c r="CC1675" s="4"/>
      <c r="CD1675" s="4"/>
      <c r="CF1675" s="4"/>
    </row>
    <row r="1676" spans="66:84">
      <c r="BN1676" s="4"/>
      <c r="BO1676" s="4"/>
      <c r="BQ1676" s="4"/>
      <c r="CC1676" s="4"/>
      <c r="CD1676" s="4"/>
      <c r="CF1676" s="4"/>
    </row>
    <row r="1677" spans="66:84">
      <c r="BN1677" s="4"/>
      <c r="BO1677" s="4"/>
      <c r="BQ1677" s="4"/>
      <c r="CC1677" s="4"/>
      <c r="CD1677" s="4"/>
      <c r="CF1677" s="4"/>
    </row>
    <row r="1678" spans="66:84">
      <c r="BN1678" s="4"/>
      <c r="BO1678" s="4"/>
      <c r="BQ1678" s="4"/>
      <c r="CC1678" s="4"/>
      <c r="CD1678" s="4"/>
      <c r="CF1678" s="4"/>
    </row>
    <row r="1679" spans="66:84">
      <c r="BN1679" s="4"/>
      <c r="BO1679" s="4"/>
      <c r="BQ1679" s="4"/>
      <c r="CC1679" s="4"/>
      <c r="CD1679" s="4"/>
      <c r="CF1679" s="4"/>
    </row>
    <row r="1680" spans="66:84">
      <c r="BN1680" s="4"/>
      <c r="BO1680" s="4"/>
      <c r="BQ1680" s="4"/>
      <c r="CC1680" s="4"/>
      <c r="CD1680" s="4"/>
      <c r="CF1680" s="4"/>
    </row>
    <row r="1681" spans="66:84">
      <c r="BN1681" s="4"/>
      <c r="BO1681" s="4"/>
      <c r="BQ1681" s="4"/>
      <c r="CC1681" s="4"/>
      <c r="CD1681" s="4"/>
      <c r="CF1681" s="4"/>
    </row>
    <row r="1682" spans="66:84">
      <c r="BN1682" s="4"/>
      <c r="BO1682" s="4"/>
      <c r="BQ1682" s="4"/>
      <c r="CC1682" s="4"/>
      <c r="CD1682" s="4"/>
      <c r="CF1682" s="4"/>
    </row>
    <row r="1683" spans="66:84">
      <c r="BN1683" s="4"/>
      <c r="BO1683" s="4"/>
      <c r="BQ1683" s="4"/>
      <c r="CC1683" s="4"/>
      <c r="CD1683" s="4"/>
      <c r="CF1683" s="4"/>
    </row>
    <row r="1684" spans="66:84">
      <c r="BN1684" s="4"/>
      <c r="BO1684" s="4"/>
      <c r="BQ1684" s="4"/>
      <c r="CC1684" s="4"/>
      <c r="CD1684" s="4"/>
      <c r="CF1684" s="4"/>
    </row>
    <row r="1685" spans="66:84">
      <c r="BN1685" s="4"/>
      <c r="BO1685" s="4"/>
      <c r="BQ1685" s="4"/>
      <c r="CC1685" s="4"/>
      <c r="CD1685" s="4"/>
      <c r="CF1685" s="4"/>
    </row>
    <row r="1686" spans="66:84">
      <c r="BN1686" s="4"/>
      <c r="BO1686" s="4"/>
      <c r="BQ1686" s="4"/>
      <c r="CC1686" s="4"/>
      <c r="CD1686" s="4"/>
      <c r="CF1686" s="4"/>
    </row>
    <row r="1687" spans="66:84">
      <c r="BN1687" s="4"/>
      <c r="BO1687" s="4"/>
      <c r="BQ1687" s="4"/>
      <c r="CC1687" s="4"/>
      <c r="CD1687" s="4"/>
      <c r="CF1687" s="4"/>
    </row>
    <row r="1688" spans="66:84">
      <c r="BN1688" s="4"/>
      <c r="BO1688" s="4"/>
      <c r="BQ1688" s="4"/>
      <c r="CC1688" s="4"/>
      <c r="CD1688" s="4"/>
      <c r="CF1688" s="4"/>
    </row>
    <row r="1689" spans="66:84">
      <c r="BN1689" s="4"/>
      <c r="BO1689" s="4"/>
      <c r="BQ1689" s="4"/>
      <c r="CC1689" s="4"/>
      <c r="CD1689" s="4"/>
      <c r="CF1689" s="4"/>
    </row>
    <row r="1690" spans="66:84">
      <c r="BN1690" s="4"/>
      <c r="BO1690" s="4"/>
      <c r="BQ1690" s="4"/>
      <c r="CC1690" s="4"/>
      <c r="CD1690" s="4"/>
      <c r="CF1690" s="4"/>
    </row>
    <row r="1691" spans="66:84">
      <c r="BN1691" s="4"/>
      <c r="BO1691" s="4"/>
      <c r="BQ1691" s="4"/>
      <c r="CC1691" s="4"/>
      <c r="CD1691" s="4"/>
      <c r="CF1691" s="4"/>
    </row>
    <row r="1692" spans="66:84">
      <c r="BN1692" s="4"/>
      <c r="BO1692" s="4"/>
      <c r="BQ1692" s="4"/>
      <c r="CC1692" s="4"/>
      <c r="CD1692" s="4"/>
      <c r="CF1692" s="4"/>
    </row>
    <row r="1693" spans="66:84">
      <c r="BN1693" s="4"/>
      <c r="BO1693" s="4"/>
      <c r="BQ1693" s="4"/>
      <c r="CC1693" s="4"/>
      <c r="CD1693" s="4"/>
      <c r="CF1693" s="4"/>
    </row>
    <row r="1694" spans="66:84">
      <c r="BN1694" s="4"/>
      <c r="BO1694" s="4"/>
      <c r="BQ1694" s="4"/>
      <c r="CC1694" s="4"/>
      <c r="CD1694" s="4"/>
      <c r="CF1694" s="4"/>
    </row>
    <row r="1695" spans="66:84">
      <c r="BN1695" s="4"/>
      <c r="BO1695" s="4"/>
      <c r="BQ1695" s="4"/>
      <c r="CC1695" s="4"/>
      <c r="CD1695" s="4"/>
      <c r="CF1695" s="4"/>
    </row>
    <row r="1696" spans="66:84">
      <c r="BN1696" s="4"/>
      <c r="BO1696" s="4"/>
      <c r="BQ1696" s="4"/>
      <c r="CC1696" s="4"/>
      <c r="CD1696" s="4"/>
      <c r="CF1696" s="4"/>
    </row>
    <row r="1697" spans="66:84">
      <c r="BN1697" s="4"/>
      <c r="BO1697" s="4"/>
      <c r="BQ1697" s="4"/>
      <c r="CC1697" s="4"/>
      <c r="CD1697" s="4"/>
      <c r="CF1697" s="4"/>
    </row>
    <row r="1698" spans="66:84">
      <c r="BN1698" s="4"/>
      <c r="BO1698" s="4"/>
      <c r="BQ1698" s="4"/>
      <c r="CC1698" s="4"/>
      <c r="CD1698" s="4"/>
      <c r="CF1698" s="4"/>
    </row>
    <row r="1699" spans="66:84">
      <c r="BN1699" s="4"/>
      <c r="BO1699" s="4"/>
      <c r="BQ1699" s="4"/>
      <c r="CC1699" s="4"/>
      <c r="CD1699" s="4"/>
      <c r="CF1699" s="4"/>
    </row>
    <row r="1700" spans="66:84">
      <c r="BN1700" s="4"/>
      <c r="BO1700" s="4"/>
      <c r="BQ1700" s="4"/>
      <c r="CC1700" s="4"/>
      <c r="CD1700" s="4"/>
      <c r="CF1700" s="4"/>
    </row>
    <row r="1701" spans="66:84">
      <c r="BN1701" s="4"/>
      <c r="BO1701" s="4"/>
      <c r="BQ1701" s="4"/>
      <c r="CC1701" s="4"/>
      <c r="CD1701" s="4"/>
      <c r="CF1701" s="4"/>
    </row>
    <row r="1702" spans="66:84">
      <c r="BN1702" s="4"/>
      <c r="BO1702" s="4"/>
      <c r="BQ1702" s="4"/>
      <c r="CC1702" s="4"/>
      <c r="CD1702" s="4"/>
      <c r="CF1702" s="4"/>
    </row>
    <row r="1703" spans="66:84">
      <c r="BN1703" s="4"/>
      <c r="BO1703" s="4"/>
      <c r="BQ1703" s="4"/>
      <c r="CC1703" s="4"/>
      <c r="CD1703" s="4"/>
      <c r="CF1703" s="4"/>
    </row>
    <row r="1704" spans="66:84">
      <c r="BN1704" s="4"/>
      <c r="BO1704" s="4"/>
      <c r="BQ1704" s="4"/>
      <c r="CC1704" s="4"/>
      <c r="CD1704" s="4"/>
      <c r="CF1704" s="4"/>
    </row>
    <row r="1705" spans="66:84">
      <c r="BN1705" s="4"/>
      <c r="BO1705" s="4"/>
      <c r="BQ1705" s="4"/>
      <c r="CC1705" s="4"/>
      <c r="CD1705" s="4"/>
      <c r="CF1705" s="4"/>
    </row>
    <row r="1706" spans="66:84">
      <c r="BN1706" s="4"/>
      <c r="BO1706" s="4"/>
      <c r="BQ1706" s="4"/>
      <c r="CC1706" s="4"/>
      <c r="CD1706" s="4"/>
      <c r="CF1706" s="4"/>
    </row>
    <row r="1707" spans="66:84">
      <c r="BN1707" s="4"/>
      <c r="BO1707" s="4"/>
      <c r="BQ1707" s="4"/>
      <c r="CC1707" s="4"/>
      <c r="CD1707" s="4"/>
      <c r="CF1707" s="4"/>
    </row>
    <row r="1708" spans="66:84">
      <c r="BN1708" s="4"/>
      <c r="BO1708" s="4"/>
      <c r="BQ1708" s="4"/>
      <c r="CC1708" s="4"/>
      <c r="CD1708" s="4"/>
      <c r="CF1708" s="4"/>
    </row>
    <row r="1709" spans="66:84">
      <c r="BN1709" s="4"/>
      <c r="BO1709" s="4"/>
      <c r="BQ1709" s="4"/>
      <c r="CC1709" s="4"/>
      <c r="CD1709" s="4"/>
      <c r="CF1709" s="4"/>
    </row>
    <row r="1710" spans="66:84">
      <c r="BN1710" s="4"/>
      <c r="BO1710" s="4"/>
      <c r="BQ1710" s="4"/>
      <c r="CC1710" s="4"/>
      <c r="CD1710" s="4"/>
      <c r="CF1710" s="4"/>
    </row>
    <row r="1711" spans="66:84">
      <c r="BN1711" s="4"/>
      <c r="BO1711" s="4"/>
      <c r="BQ1711" s="4"/>
      <c r="CC1711" s="4"/>
      <c r="CD1711" s="4"/>
      <c r="CF1711" s="4"/>
    </row>
    <row r="1712" spans="66:84">
      <c r="BN1712" s="4"/>
      <c r="BO1712" s="4"/>
      <c r="BQ1712" s="4"/>
      <c r="CC1712" s="4"/>
      <c r="CD1712" s="4"/>
      <c r="CF1712" s="4"/>
    </row>
    <row r="1713" spans="66:84">
      <c r="BN1713" s="4"/>
      <c r="BO1713" s="4"/>
      <c r="BQ1713" s="4"/>
      <c r="CC1713" s="4"/>
      <c r="CD1713" s="4"/>
      <c r="CF1713" s="4"/>
    </row>
    <row r="1714" spans="66:84">
      <c r="BN1714" s="4"/>
      <c r="BO1714" s="4"/>
      <c r="BQ1714" s="4"/>
      <c r="CC1714" s="4"/>
      <c r="CD1714" s="4"/>
      <c r="CF1714" s="4"/>
    </row>
    <row r="1715" spans="66:84">
      <c r="BN1715" s="4"/>
      <c r="BO1715" s="4"/>
      <c r="BQ1715" s="4"/>
      <c r="CC1715" s="4"/>
      <c r="CD1715" s="4"/>
      <c r="CF1715" s="4"/>
    </row>
    <row r="1716" spans="66:84">
      <c r="BN1716" s="4"/>
      <c r="BO1716" s="4"/>
      <c r="BQ1716" s="4"/>
      <c r="CC1716" s="4"/>
      <c r="CD1716" s="4"/>
      <c r="CF1716" s="4"/>
    </row>
    <row r="1717" spans="66:84">
      <c r="BN1717" s="4"/>
      <c r="BO1717" s="4"/>
      <c r="BQ1717" s="4"/>
      <c r="CC1717" s="4"/>
      <c r="CD1717" s="4"/>
      <c r="CF1717" s="4"/>
    </row>
    <row r="1718" spans="66:84">
      <c r="BN1718" s="4"/>
      <c r="BO1718" s="4"/>
      <c r="BQ1718" s="4"/>
      <c r="CC1718" s="4"/>
      <c r="CD1718" s="4"/>
      <c r="CF1718" s="4"/>
    </row>
    <row r="1719" spans="66:84">
      <c r="BN1719" s="4"/>
      <c r="BO1719" s="4"/>
      <c r="BQ1719" s="4"/>
      <c r="CC1719" s="4"/>
      <c r="CD1719" s="4"/>
      <c r="CF1719" s="4"/>
    </row>
    <row r="1720" spans="66:84">
      <c r="BN1720" s="4"/>
      <c r="BO1720" s="4"/>
      <c r="BQ1720" s="4"/>
      <c r="CC1720" s="4"/>
      <c r="CD1720" s="4"/>
      <c r="CF1720" s="4"/>
    </row>
    <row r="1721" spans="66:84">
      <c r="BN1721" s="4"/>
      <c r="BO1721" s="4"/>
      <c r="BQ1721" s="4"/>
      <c r="CC1721" s="4"/>
      <c r="CD1721" s="4"/>
      <c r="CF1721" s="4"/>
    </row>
    <row r="1722" spans="66:84">
      <c r="BN1722" s="4"/>
      <c r="BO1722" s="4"/>
      <c r="BQ1722" s="4"/>
      <c r="CC1722" s="4"/>
      <c r="CD1722" s="4"/>
      <c r="CF1722" s="4"/>
    </row>
    <row r="1723" spans="66:84">
      <c r="BN1723" s="4"/>
      <c r="BO1723" s="4"/>
      <c r="BQ1723" s="4"/>
      <c r="CC1723" s="4"/>
      <c r="CD1723" s="4"/>
      <c r="CF1723" s="4"/>
    </row>
    <row r="1724" spans="66:84">
      <c r="BN1724" s="4"/>
      <c r="BO1724" s="4"/>
      <c r="BQ1724" s="4"/>
      <c r="CC1724" s="4"/>
      <c r="CD1724" s="4"/>
      <c r="CF1724" s="4"/>
    </row>
    <row r="1725" spans="66:84">
      <c r="BN1725" s="4"/>
      <c r="BO1725" s="4"/>
      <c r="BQ1725" s="4"/>
      <c r="CC1725" s="4"/>
      <c r="CD1725" s="4"/>
      <c r="CF1725" s="4"/>
    </row>
    <row r="1726" spans="66:84">
      <c r="BN1726" s="4"/>
      <c r="BO1726" s="4"/>
      <c r="BQ1726" s="4"/>
      <c r="CC1726" s="4"/>
      <c r="CD1726" s="4"/>
      <c r="CF1726" s="4"/>
    </row>
    <row r="1727" spans="66:84">
      <c r="BN1727" s="4"/>
      <c r="BO1727" s="4"/>
      <c r="BQ1727" s="4"/>
      <c r="CC1727" s="4"/>
      <c r="CD1727" s="4"/>
      <c r="CF1727" s="4"/>
    </row>
    <row r="1728" spans="66:84">
      <c r="BN1728" s="4"/>
      <c r="BO1728" s="4"/>
      <c r="BQ1728" s="4"/>
      <c r="CC1728" s="4"/>
      <c r="CD1728" s="4"/>
      <c r="CF1728" s="4"/>
    </row>
    <row r="1729" spans="66:84">
      <c r="BN1729" s="4"/>
      <c r="BO1729" s="4"/>
      <c r="BQ1729" s="4"/>
      <c r="CC1729" s="4"/>
      <c r="CD1729" s="4"/>
      <c r="CF1729" s="4"/>
    </row>
    <row r="1730" spans="66:84">
      <c r="BN1730" s="4"/>
      <c r="BO1730" s="4"/>
      <c r="BQ1730" s="4"/>
      <c r="CC1730" s="4"/>
      <c r="CD1730" s="4"/>
      <c r="CF1730" s="4"/>
    </row>
    <row r="1731" spans="66:84">
      <c r="BN1731" s="4"/>
      <c r="BO1731" s="4"/>
      <c r="BQ1731" s="4"/>
      <c r="CC1731" s="4"/>
      <c r="CD1731" s="4"/>
      <c r="CF1731" s="4"/>
    </row>
    <row r="1732" spans="66:84">
      <c r="BN1732" s="4"/>
      <c r="BO1732" s="4"/>
      <c r="BQ1732" s="4"/>
      <c r="CC1732" s="4"/>
      <c r="CD1732" s="4"/>
      <c r="CF1732" s="4"/>
    </row>
    <row r="1733" spans="66:84">
      <c r="BN1733" s="4"/>
      <c r="BO1733" s="4"/>
      <c r="BQ1733" s="4"/>
      <c r="CC1733" s="4"/>
      <c r="CD1733" s="4"/>
      <c r="CF1733" s="4"/>
    </row>
    <row r="1734" spans="66:84">
      <c r="BN1734" s="4"/>
      <c r="BO1734" s="4"/>
      <c r="BQ1734" s="4"/>
      <c r="CC1734" s="4"/>
      <c r="CD1734" s="4"/>
      <c r="CF1734" s="4"/>
    </row>
    <row r="1735" spans="66:84">
      <c r="BN1735" s="4"/>
      <c r="BO1735" s="4"/>
      <c r="BQ1735" s="4"/>
      <c r="CC1735" s="4"/>
      <c r="CD1735" s="4"/>
      <c r="CF1735" s="4"/>
    </row>
    <row r="1736" spans="66:84">
      <c r="BN1736" s="4"/>
      <c r="BO1736" s="4"/>
      <c r="BQ1736" s="4"/>
      <c r="CC1736" s="4"/>
      <c r="CD1736" s="4"/>
      <c r="CF1736" s="4"/>
    </row>
    <row r="1737" spans="66:84">
      <c r="BN1737" s="4"/>
      <c r="BO1737" s="4"/>
      <c r="BQ1737" s="4"/>
      <c r="CC1737" s="4"/>
      <c r="CD1737" s="4"/>
      <c r="CF1737" s="4"/>
    </row>
    <row r="1738" spans="66:84">
      <c r="BN1738" s="4"/>
      <c r="BO1738" s="4"/>
      <c r="BQ1738" s="4"/>
      <c r="CC1738" s="4"/>
      <c r="CD1738" s="4"/>
      <c r="CF1738" s="4"/>
    </row>
    <row r="1739" spans="66:84">
      <c r="BN1739" s="4"/>
      <c r="BO1739" s="4"/>
      <c r="BQ1739" s="4"/>
      <c r="CC1739" s="4"/>
      <c r="CD1739" s="4"/>
      <c r="CF1739" s="4"/>
    </row>
    <row r="1740" spans="66:84">
      <c r="BN1740" s="4"/>
      <c r="BO1740" s="4"/>
      <c r="BQ1740" s="4"/>
      <c r="CC1740" s="4"/>
      <c r="CD1740" s="4"/>
      <c r="CF1740" s="4"/>
    </row>
    <row r="1741" spans="66:84">
      <c r="BN1741" s="4"/>
      <c r="BO1741" s="4"/>
      <c r="BQ1741" s="4"/>
      <c r="CC1741" s="4"/>
      <c r="CD1741" s="4"/>
      <c r="CF1741" s="4"/>
    </row>
    <row r="1742" spans="66:84">
      <c r="BN1742" s="4"/>
      <c r="BO1742" s="4"/>
      <c r="BQ1742" s="4"/>
      <c r="CC1742" s="4"/>
      <c r="CD1742" s="4"/>
      <c r="CF1742" s="4"/>
    </row>
    <row r="1743" spans="66:84">
      <c r="BN1743" s="4"/>
      <c r="BO1743" s="4"/>
      <c r="BQ1743" s="4"/>
      <c r="CC1743" s="4"/>
      <c r="CD1743" s="4"/>
      <c r="CF1743" s="4"/>
    </row>
    <row r="1744" spans="66:84">
      <c r="BN1744" s="4"/>
      <c r="BO1744" s="4"/>
      <c r="BQ1744" s="4"/>
      <c r="CC1744" s="4"/>
      <c r="CD1744" s="4"/>
      <c r="CF1744" s="4"/>
    </row>
    <row r="1745" spans="66:84">
      <c r="BN1745" s="4"/>
      <c r="BO1745" s="4"/>
      <c r="BQ1745" s="4"/>
      <c r="CC1745" s="4"/>
      <c r="CD1745" s="4"/>
      <c r="CF1745" s="4"/>
    </row>
    <row r="1746" spans="66:84">
      <c r="BN1746" s="4"/>
      <c r="BO1746" s="4"/>
      <c r="BQ1746" s="4"/>
      <c r="CC1746" s="4"/>
      <c r="CD1746" s="4"/>
      <c r="CF1746" s="4"/>
    </row>
    <row r="1747" spans="66:84">
      <c r="BN1747" s="4"/>
      <c r="BO1747" s="4"/>
      <c r="BQ1747" s="4"/>
      <c r="CC1747" s="4"/>
      <c r="CD1747" s="4"/>
      <c r="CF1747" s="4"/>
    </row>
    <row r="1748" spans="66:84">
      <c r="BN1748" s="4"/>
      <c r="BO1748" s="4"/>
      <c r="BQ1748" s="4"/>
      <c r="CC1748" s="4"/>
      <c r="CD1748" s="4"/>
      <c r="CF1748" s="4"/>
    </row>
    <row r="1749" spans="66:84">
      <c r="BN1749" s="4"/>
      <c r="BO1749" s="4"/>
      <c r="BQ1749" s="4"/>
      <c r="CC1749" s="4"/>
      <c r="CD1749" s="4"/>
      <c r="CF1749" s="4"/>
    </row>
    <row r="1750" spans="66:84">
      <c r="BN1750" s="4"/>
      <c r="BO1750" s="4"/>
      <c r="BQ1750" s="4"/>
      <c r="CC1750" s="4"/>
      <c r="CD1750" s="4"/>
      <c r="CF1750" s="4"/>
    </row>
    <row r="1751" spans="66:84">
      <c r="BN1751" s="4"/>
      <c r="BO1751" s="4"/>
      <c r="BQ1751" s="4"/>
      <c r="CC1751" s="4"/>
      <c r="CD1751" s="4"/>
      <c r="CF1751" s="4"/>
    </row>
    <row r="1752" spans="66:84">
      <c r="BN1752" s="4"/>
      <c r="BO1752" s="4"/>
      <c r="BQ1752" s="4"/>
      <c r="CC1752" s="4"/>
      <c r="CD1752" s="4"/>
      <c r="CF1752" s="4"/>
    </row>
    <row r="1753" spans="66:84">
      <c r="BN1753" s="4"/>
      <c r="BO1753" s="4"/>
      <c r="BQ1753" s="4"/>
      <c r="CC1753" s="4"/>
      <c r="CD1753" s="4"/>
      <c r="CF1753" s="4"/>
    </row>
    <row r="1754" spans="66:84">
      <c r="BN1754" s="4"/>
      <c r="BO1754" s="4"/>
      <c r="BQ1754" s="4"/>
      <c r="CC1754" s="4"/>
      <c r="CD1754" s="4"/>
      <c r="CF1754" s="4"/>
    </row>
    <row r="1755" spans="66:84">
      <c r="BN1755" s="4"/>
      <c r="BO1755" s="4"/>
      <c r="BQ1755" s="4"/>
      <c r="CC1755" s="4"/>
      <c r="CD1755" s="4"/>
      <c r="CF1755" s="4"/>
    </row>
    <row r="1756" spans="66:84">
      <c r="BN1756" s="4"/>
      <c r="BO1756" s="4"/>
      <c r="BQ1756" s="4"/>
      <c r="CC1756" s="4"/>
      <c r="CD1756" s="4"/>
      <c r="CF1756" s="4"/>
    </row>
    <row r="1757" spans="66:84">
      <c r="BN1757" s="4"/>
      <c r="BO1757" s="4"/>
      <c r="BQ1757" s="4"/>
      <c r="CC1757" s="4"/>
      <c r="CD1757" s="4"/>
      <c r="CF1757" s="4"/>
    </row>
    <row r="1758" spans="66:84">
      <c r="BN1758" s="4"/>
      <c r="BO1758" s="4"/>
      <c r="BQ1758" s="4"/>
      <c r="CC1758" s="4"/>
      <c r="CD1758" s="4"/>
      <c r="CF1758" s="4"/>
    </row>
    <row r="1759" spans="66:84">
      <c r="BN1759" s="4"/>
      <c r="BO1759" s="4"/>
      <c r="BQ1759" s="4"/>
      <c r="CC1759" s="4"/>
      <c r="CD1759" s="4"/>
      <c r="CF1759" s="4"/>
    </row>
    <row r="1760" spans="66:84">
      <c r="BN1760" s="4"/>
      <c r="BO1760" s="4"/>
      <c r="BQ1760" s="4"/>
      <c r="CC1760" s="4"/>
      <c r="CD1760" s="4"/>
      <c r="CF1760" s="4"/>
    </row>
    <row r="1761" spans="66:84">
      <c r="BN1761" s="4"/>
      <c r="BO1761" s="4"/>
      <c r="BQ1761" s="4"/>
      <c r="CC1761" s="4"/>
      <c r="CD1761" s="4"/>
      <c r="CF1761" s="4"/>
    </row>
    <row r="1762" spans="66:84">
      <c r="BN1762" s="4"/>
      <c r="BO1762" s="4"/>
      <c r="BQ1762" s="4"/>
      <c r="CC1762" s="4"/>
      <c r="CD1762" s="4"/>
      <c r="CF1762" s="4"/>
    </row>
    <row r="1763" spans="66:84">
      <c r="BN1763" s="4"/>
      <c r="BO1763" s="4"/>
      <c r="BQ1763" s="4"/>
      <c r="CC1763" s="4"/>
      <c r="CD1763" s="4"/>
      <c r="CF1763" s="4"/>
    </row>
    <row r="1764" spans="66:84">
      <c r="BN1764" s="4"/>
      <c r="BO1764" s="4"/>
      <c r="BQ1764" s="4"/>
      <c r="CC1764" s="4"/>
      <c r="CD1764" s="4"/>
      <c r="CF1764" s="4"/>
    </row>
    <row r="1765" spans="66:84">
      <c r="BN1765" s="4"/>
      <c r="BO1765" s="4"/>
      <c r="BQ1765" s="4"/>
      <c r="CC1765" s="4"/>
      <c r="CD1765" s="4"/>
      <c r="CF1765" s="4"/>
    </row>
    <row r="1766" spans="66:84">
      <c r="BN1766" s="4"/>
      <c r="BO1766" s="4"/>
      <c r="BQ1766" s="4"/>
      <c r="CC1766" s="4"/>
      <c r="CD1766" s="4"/>
      <c r="CF1766" s="4"/>
    </row>
    <row r="1767" spans="66:84">
      <c r="BN1767" s="4"/>
      <c r="BO1767" s="4"/>
      <c r="BQ1767" s="4"/>
      <c r="CC1767" s="4"/>
      <c r="CD1767" s="4"/>
      <c r="CF1767" s="4"/>
    </row>
    <row r="1768" spans="66:84">
      <c r="BN1768" s="4"/>
      <c r="BO1768" s="4"/>
      <c r="BQ1768" s="4"/>
      <c r="CC1768" s="4"/>
      <c r="CD1768" s="4"/>
      <c r="CF1768" s="4"/>
    </row>
    <row r="1769" spans="66:84">
      <c r="BN1769" s="4"/>
      <c r="BO1769" s="4"/>
      <c r="BQ1769" s="4"/>
      <c r="CC1769" s="4"/>
      <c r="CD1769" s="4"/>
      <c r="CF1769" s="4"/>
    </row>
    <row r="1770" spans="66:84">
      <c r="BN1770" s="4"/>
      <c r="BO1770" s="4"/>
      <c r="BQ1770" s="4"/>
      <c r="CC1770" s="4"/>
      <c r="CD1770" s="4"/>
      <c r="CF1770" s="4"/>
    </row>
    <row r="1771" spans="66:84">
      <c r="BN1771" s="4"/>
      <c r="BO1771" s="4"/>
      <c r="BQ1771" s="4"/>
      <c r="CC1771" s="4"/>
      <c r="CD1771" s="4"/>
      <c r="CF1771" s="4"/>
    </row>
    <row r="1772" spans="66:84">
      <c r="BN1772" s="4"/>
      <c r="BO1772" s="4"/>
      <c r="BQ1772" s="4"/>
      <c r="CC1772" s="4"/>
      <c r="CD1772" s="4"/>
      <c r="CF1772" s="4"/>
    </row>
    <row r="1773" spans="66:84">
      <c r="BN1773" s="4"/>
      <c r="BO1773" s="4"/>
      <c r="BQ1773" s="4"/>
      <c r="CC1773" s="4"/>
      <c r="CD1773" s="4"/>
      <c r="CF1773" s="4"/>
    </row>
    <row r="1774" spans="66:84">
      <c r="BN1774" s="4"/>
      <c r="BO1774" s="4"/>
      <c r="BQ1774" s="4"/>
      <c r="CC1774" s="4"/>
      <c r="CD1774" s="4"/>
      <c r="CF1774" s="4"/>
    </row>
    <row r="1775" spans="66:84">
      <c r="BN1775" s="4"/>
      <c r="BO1775" s="4"/>
      <c r="BQ1775" s="4"/>
      <c r="CC1775" s="4"/>
      <c r="CD1775" s="4"/>
      <c r="CF1775" s="4"/>
    </row>
    <row r="1776" spans="66:84">
      <c r="BN1776" s="4"/>
      <c r="BO1776" s="4"/>
      <c r="BQ1776" s="4"/>
      <c r="CC1776" s="4"/>
      <c r="CD1776" s="4"/>
      <c r="CF1776" s="4"/>
    </row>
    <row r="1777" spans="66:84">
      <c r="BN1777" s="4"/>
      <c r="BO1777" s="4"/>
      <c r="BQ1777" s="4"/>
      <c r="CC1777" s="4"/>
      <c r="CD1777" s="4"/>
      <c r="CF1777" s="4"/>
    </row>
    <row r="1778" spans="66:84">
      <c r="BN1778" s="4"/>
      <c r="BO1778" s="4"/>
      <c r="BQ1778" s="4"/>
      <c r="CC1778" s="4"/>
      <c r="CD1778" s="4"/>
      <c r="CF1778" s="4"/>
    </row>
    <row r="1779" spans="66:84">
      <c r="BN1779" s="4"/>
      <c r="BO1779" s="4"/>
      <c r="BQ1779" s="4"/>
      <c r="CC1779" s="4"/>
      <c r="CD1779" s="4"/>
      <c r="CF1779" s="4"/>
    </row>
    <row r="1780" spans="66:84">
      <c r="BN1780" s="4"/>
      <c r="BO1780" s="4"/>
      <c r="BQ1780" s="4"/>
      <c r="CC1780" s="4"/>
      <c r="CD1780" s="4"/>
      <c r="CF1780" s="4"/>
    </row>
    <row r="1781" spans="66:84">
      <c r="BN1781" s="4"/>
      <c r="BO1781" s="4"/>
      <c r="BQ1781" s="4"/>
      <c r="CC1781" s="4"/>
      <c r="CD1781" s="4"/>
      <c r="CF1781" s="4"/>
    </row>
    <row r="1782" spans="66:84">
      <c r="BN1782" s="4"/>
      <c r="BO1782" s="4"/>
      <c r="BQ1782" s="4"/>
      <c r="CC1782" s="4"/>
      <c r="CD1782" s="4"/>
      <c r="CF1782" s="4"/>
    </row>
    <row r="1783" spans="66:84">
      <c r="BN1783" s="4"/>
      <c r="BO1783" s="4"/>
      <c r="BQ1783" s="4"/>
      <c r="CC1783" s="4"/>
      <c r="CD1783" s="4"/>
      <c r="CF1783" s="4"/>
    </row>
    <row r="1784" spans="66:84">
      <c r="BN1784" s="4"/>
      <c r="BO1784" s="4"/>
      <c r="BQ1784" s="4"/>
      <c r="CC1784" s="4"/>
      <c r="CD1784" s="4"/>
      <c r="CF1784" s="4"/>
    </row>
    <row r="1785" spans="66:84">
      <c r="BN1785" s="4"/>
      <c r="BO1785" s="4"/>
      <c r="BQ1785" s="4"/>
      <c r="CC1785" s="4"/>
      <c r="CD1785" s="4"/>
      <c r="CF1785" s="4"/>
    </row>
    <row r="1786" spans="66:84">
      <c r="BN1786" s="4"/>
      <c r="BO1786" s="4"/>
      <c r="BQ1786" s="4"/>
      <c r="CC1786" s="4"/>
      <c r="CD1786" s="4"/>
      <c r="CF1786" s="4"/>
    </row>
    <row r="1787" spans="66:84">
      <c r="BN1787" s="4"/>
      <c r="BO1787" s="4"/>
      <c r="BQ1787" s="4"/>
      <c r="CC1787" s="4"/>
      <c r="CD1787" s="4"/>
      <c r="CF1787" s="4"/>
    </row>
    <row r="1788" spans="66:84">
      <c r="BN1788" s="4"/>
      <c r="BO1788" s="4"/>
      <c r="BQ1788" s="4"/>
      <c r="CC1788" s="4"/>
      <c r="CD1788" s="4"/>
      <c r="CF1788" s="4"/>
    </row>
    <row r="1789" spans="66:84">
      <c r="BN1789" s="4"/>
      <c r="BO1789" s="4"/>
      <c r="BQ1789" s="4"/>
      <c r="CC1789" s="4"/>
      <c r="CD1789" s="4"/>
      <c r="CF1789" s="4"/>
    </row>
    <row r="1790" spans="66:84">
      <c r="BN1790" s="4"/>
      <c r="BO1790" s="4"/>
      <c r="BQ1790" s="4"/>
      <c r="CC1790" s="4"/>
      <c r="CD1790" s="4"/>
      <c r="CF1790" s="4"/>
    </row>
    <row r="1791" spans="66:84">
      <c r="BN1791" s="4"/>
      <c r="BO1791" s="4"/>
      <c r="BQ1791" s="4"/>
      <c r="CC1791" s="4"/>
      <c r="CD1791" s="4"/>
      <c r="CF1791" s="4"/>
    </row>
    <row r="1792" spans="66:84">
      <c r="BN1792" s="4"/>
      <c r="BO1792" s="4"/>
      <c r="BQ1792" s="4"/>
      <c r="CC1792" s="4"/>
      <c r="CD1792" s="4"/>
      <c r="CF1792" s="4"/>
    </row>
    <row r="1793" spans="66:84">
      <c r="BN1793" s="4"/>
      <c r="BO1793" s="4"/>
      <c r="BQ1793" s="4"/>
      <c r="CC1793" s="4"/>
      <c r="CD1793" s="4"/>
      <c r="CF1793" s="4"/>
    </row>
    <row r="1794" spans="66:84">
      <c r="BN1794" s="4"/>
      <c r="BO1794" s="4"/>
      <c r="BQ1794" s="4"/>
      <c r="CC1794" s="4"/>
      <c r="CD1794" s="4"/>
      <c r="CF1794" s="4"/>
    </row>
    <row r="1795" spans="66:84">
      <c r="BN1795" s="4"/>
      <c r="BO1795" s="4"/>
      <c r="BQ1795" s="4"/>
      <c r="CC1795" s="4"/>
      <c r="CD1795" s="4"/>
      <c r="CF1795" s="4"/>
    </row>
    <row r="1796" spans="66:84">
      <c r="BN1796" s="4"/>
      <c r="BO1796" s="4"/>
      <c r="BQ1796" s="4"/>
      <c r="CC1796" s="4"/>
      <c r="CD1796" s="4"/>
      <c r="CF1796" s="4"/>
    </row>
    <row r="1797" spans="66:84">
      <c r="BN1797" s="4"/>
      <c r="BO1797" s="4"/>
      <c r="BQ1797" s="4"/>
      <c r="CC1797" s="4"/>
      <c r="CD1797" s="4"/>
      <c r="CF1797" s="4"/>
    </row>
    <row r="1798" spans="66:84">
      <c r="BN1798" s="4"/>
      <c r="BO1798" s="4"/>
      <c r="BQ1798" s="4"/>
      <c r="CC1798" s="4"/>
      <c r="CD1798" s="4"/>
      <c r="CF1798" s="4"/>
    </row>
    <row r="1799" spans="66:84">
      <c r="BN1799" s="4"/>
      <c r="BO1799" s="4"/>
      <c r="BQ1799" s="4"/>
      <c r="CC1799" s="4"/>
      <c r="CD1799" s="4"/>
      <c r="CF1799" s="4"/>
    </row>
    <row r="1800" spans="66:84">
      <c r="BN1800" s="4"/>
      <c r="BO1800" s="4"/>
      <c r="BQ1800" s="4"/>
      <c r="CC1800" s="4"/>
      <c r="CD1800" s="4"/>
      <c r="CF1800" s="4"/>
    </row>
    <row r="1801" spans="66:84">
      <c r="BN1801" s="4"/>
      <c r="BO1801" s="4"/>
      <c r="BQ1801" s="4"/>
      <c r="CC1801" s="4"/>
      <c r="CD1801" s="4"/>
      <c r="CF1801" s="4"/>
    </row>
    <row r="1802" spans="66:84">
      <c r="BN1802" s="4"/>
      <c r="BO1802" s="4"/>
      <c r="BQ1802" s="4"/>
      <c r="CC1802" s="4"/>
      <c r="CD1802" s="4"/>
      <c r="CF1802" s="4"/>
    </row>
    <row r="1803" spans="66:84">
      <c r="BN1803" s="4"/>
      <c r="BO1803" s="4"/>
      <c r="BQ1803" s="4"/>
      <c r="CC1803" s="4"/>
      <c r="CD1803" s="4"/>
      <c r="CF1803" s="4"/>
    </row>
    <row r="1804" spans="66:84">
      <c r="BN1804" s="4"/>
      <c r="BO1804" s="4"/>
      <c r="BQ1804" s="4"/>
      <c r="CC1804" s="4"/>
      <c r="CD1804" s="4"/>
      <c r="CF1804" s="4"/>
    </row>
    <row r="1805" spans="66:84">
      <c r="BN1805" s="4"/>
      <c r="BO1805" s="4"/>
      <c r="BQ1805" s="4"/>
      <c r="CC1805" s="4"/>
      <c r="CD1805" s="4"/>
      <c r="CF1805" s="4"/>
    </row>
    <row r="1806" spans="66:84">
      <c r="BN1806" s="4"/>
      <c r="BO1806" s="4"/>
      <c r="BQ1806" s="4"/>
      <c r="CC1806" s="4"/>
      <c r="CD1806" s="4"/>
      <c r="CF1806" s="4"/>
    </row>
    <row r="1807" spans="66:84">
      <c r="BN1807" s="4"/>
      <c r="BO1807" s="4"/>
      <c r="BQ1807" s="4"/>
      <c r="CC1807" s="4"/>
      <c r="CD1807" s="4"/>
      <c r="CF1807" s="4"/>
    </row>
    <row r="1808" spans="66:84">
      <c r="BN1808" s="4"/>
      <c r="BO1808" s="4"/>
      <c r="BQ1808" s="4"/>
      <c r="CC1808" s="4"/>
      <c r="CD1808" s="4"/>
      <c r="CF1808" s="4"/>
    </row>
    <row r="1809" spans="66:84">
      <c r="BN1809" s="4"/>
      <c r="BO1809" s="4"/>
      <c r="BQ1809" s="4"/>
      <c r="CC1809" s="4"/>
      <c r="CD1809" s="4"/>
      <c r="CF1809" s="4"/>
    </row>
    <row r="1810" spans="66:84">
      <c r="BN1810" s="4"/>
      <c r="BO1810" s="4"/>
      <c r="BQ1810" s="4"/>
      <c r="CC1810" s="4"/>
      <c r="CD1810" s="4"/>
      <c r="CF1810" s="4"/>
    </row>
    <row r="1811" spans="66:84">
      <c r="BN1811" s="4"/>
      <c r="BO1811" s="4"/>
      <c r="BQ1811" s="4"/>
      <c r="CC1811" s="4"/>
      <c r="CD1811" s="4"/>
      <c r="CF1811" s="4"/>
    </row>
    <row r="1812" spans="66:84">
      <c r="BN1812" s="4"/>
      <c r="BO1812" s="4"/>
      <c r="BQ1812" s="4"/>
      <c r="CC1812" s="4"/>
      <c r="CD1812" s="4"/>
      <c r="CF1812" s="4"/>
    </row>
    <row r="1813" spans="66:84">
      <c r="BN1813" s="4"/>
      <c r="BO1813" s="4"/>
      <c r="BQ1813" s="4"/>
      <c r="CC1813" s="4"/>
      <c r="CD1813" s="4"/>
      <c r="CF1813" s="4"/>
    </row>
    <row r="1814" spans="66:84">
      <c r="BN1814" s="4"/>
      <c r="BO1814" s="4"/>
      <c r="BQ1814" s="4"/>
      <c r="CC1814" s="4"/>
      <c r="CD1814" s="4"/>
      <c r="CF1814" s="4"/>
    </row>
    <row r="1815" spans="66:84">
      <c r="BN1815" s="4"/>
      <c r="BO1815" s="4"/>
      <c r="BQ1815" s="4"/>
      <c r="CC1815" s="4"/>
      <c r="CD1815" s="4"/>
      <c r="CF1815" s="4"/>
    </row>
    <row r="1816" spans="66:84">
      <c r="BN1816" s="4"/>
      <c r="BO1816" s="4"/>
      <c r="BQ1816" s="4"/>
      <c r="CC1816" s="4"/>
      <c r="CD1816" s="4"/>
      <c r="CF1816" s="4"/>
    </row>
    <row r="1817" spans="66:84">
      <c r="BN1817" s="4"/>
      <c r="BO1817" s="4"/>
      <c r="BQ1817" s="4"/>
      <c r="CC1817" s="4"/>
      <c r="CD1817" s="4"/>
      <c r="CF1817" s="4"/>
    </row>
    <row r="1818" spans="66:84">
      <c r="BN1818" s="4"/>
      <c r="BO1818" s="4"/>
      <c r="BQ1818" s="4"/>
      <c r="CC1818" s="4"/>
      <c r="CD1818" s="4"/>
      <c r="CF1818" s="4"/>
    </row>
    <row r="1819" spans="66:84">
      <c r="BN1819" s="4"/>
      <c r="BO1819" s="4"/>
      <c r="BQ1819" s="4"/>
      <c r="CC1819" s="4"/>
      <c r="CD1819" s="4"/>
      <c r="CF1819" s="4"/>
    </row>
    <row r="1820" spans="66:84">
      <c r="BN1820" s="4"/>
      <c r="BO1820" s="4"/>
      <c r="BQ1820" s="4"/>
      <c r="CC1820" s="4"/>
      <c r="CD1820" s="4"/>
      <c r="CF1820" s="4"/>
    </row>
    <row r="1821" spans="66:84">
      <c r="BN1821" s="4"/>
      <c r="BO1821" s="4"/>
      <c r="BQ1821" s="4"/>
      <c r="CC1821" s="4"/>
      <c r="CD1821" s="4"/>
      <c r="CF1821" s="4"/>
    </row>
    <row r="1822" spans="66:84">
      <c r="BN1822" s="4"/>
      <c r="BO1822" s="4"/>
      <c r="BQ1822" s="4"/>
      <c r="CC1822" s="4"/>
      <c r="CD1822" s="4"/>
      <c r="CF1822" s="4"/>
    </row>
    <row r="1823" spans="66:84">
      <c r="BN1823" s="4"/>
      <c r="BO1823" s="4"/>
      <c r="BQ1823" s="4"/>
      <c r="CC1823" s="4"/>
      <c r="CD1823" s="4"/>
      <c r="CF1823" s="4"/>
    </row>
    <row r="1824" spans="66:84">
      <c r="BN1824" s="4"/>
      <c r="BO1824" s="4"/>
      <c r="BQ1824" s="4"/>
      <c r="CC1824" s="4"/>
      <c r="CD1824" s="4"/>
      <c r="CF1824" s="4"/>
    </row>
    <row r="1825" spans="66:84">
      <c r="BN1825" s="4"/>
      <c r="BO1825" s="4"/>
      <c r="BQ1825" s="4"/>
      <c r="CC1825" s="4"/>
      <c r="CD1825" s="4"/>
      <c r="CF1825" s="4"/>
    </row>
    <row r="1826" spans="66:84">
      <c r="BN1826" s="4"/>
      <c r="BO1826" s="4"/>
      <c r="BQ1826" s="4"/>
      <c r="CC1826" s="4"/>
      <c r="CD1826" s="4"/>
      <c r="CF1826" s="4"/>
    </row>
    <row r="1827" spans="66:84">
      <c r="BN1827" s="4"/>
      <c r="BO1827" s="4"/>
      <c r="BQ1827" s="4"/>
      <c r="CC1827" s="4"/>
      <c r="CD1827" s="4"/>
      <c r="CF1827" s="4"/>
    </row>
    <row r="1828" spans="66:84">
      <c r="BN1828" s="4"/>
      <c r="BO1828" s="4"/>
      <c r="BQ1828" s="4"/>
      <c r="CC1828" s="4"/>
      <c r="CD1828" s="4"/>
      <c r="CF1828" s="4"/>
    </row>
    <row r="1829" spans="66:84">
      <c r="BN1829" s="4"/>
      <c r="BO1829" s="4"/>
      <c r="BQ1829" s="4"/>
      <c r="CC1829" s="4"/>
      <c r="CD1829" s="4"/>
      <c r="CF1829" s="4"/>
    </row>
    <row r="1830" spans="66:84">
      <c r="BN1830" s="4"/>
      <c r="BO1830" s="4"/>
      <c r="BQ1830" s="4"/>
      <c r="CC1830" s="4"/>
      <c r="CD1830" s="4"/>
      <c r="CF1830" s="4"/>
    </row>
    <row r="1831" spans="66:84">
      <c r="BN1831" s="4"/>
      <c r="BO1831" s="4"/>
      <c r="BQ1831" s="4"/>
      <c r="CC1831" s="4"/>
      <c r="CD1831" s="4"/>
      <c r="CF1831" s="4"/>
    </row>
    <row r="1832" spans="66:84">
      <c r="BN1832" s="4"/>
      <c r="BO1832" s="4"/>
      <c r="BQ1832" s="4"/>
      <c r="CC1832" s="4"/>
      <c r="CD1832" s="4"/>
      <c r="CF1832" s="4"/>
    </row>
    <row r="1833" spans="66:84">
      <c r="BN1833" s="4"/>
      <c r="BO1833" s="4"/>
      <c r="BQ1833" s="4"/>
      <c r="CC1833" s="4"/>
      <c r="CD1833" s="4"/>
      <c r="CF1833" s="4"/>
    </row>
    <row r="1834" spans="66:84">
      <c r="BN1834" s="4"/>
      <c r="BO1834" s="4"/>
      <c r="BQ1834" s="4"/>
      <c r="CC1834" s="4"/>
      <c r="CD1834" s="4"/>
      <c r="CF1834" s="4"/>
    </row>
    <row r="1835" spans="66:84">
      <c r="BN1835" s="4"/>
      <c r="BO1835" s="4"/>
      <c r="BQ1835" s="4"/>
      <c r="CC1835" s="4"/>
      <c r="CD1835" s="4"/>
      <c r="CF1835" s="4"/>
    </row>
    <row r="1836" spans="66:84">
      <c r="BN1836" s="4"/>
      <c r="BO1836" s="4"/>
      <c r="BQ1836" s="4"/>
      <c r="CC1836" s="4"/>
      <c r="CD1836" s="4"/>
      <c r="CF1836" s="4"/>
    </row>
    <row r="1837" spans="66:84">
      <c r="BN1837" s="4"/>
      <c r="BO1837" s="4"/>
      <c r="BQ1837" s="4"/>
      <c r="CC1837" s="4"/>
      <c r="CD1837" s="4"/>
      <c r="CF1837" s="4"/>
    </row>
    <row r="1838" spans="66:84">
      <c r="BN1838" s="4"/>
      <c r="BO1838" s="4"/>
      <c r="BQ1838" s="4"/>
      <c r="CC1838" s="4"/>
      <c r="CD1838" s="4"/>
      <c r="CF1838" s="4"/>
    </row>
    <row r="1839" spans="66:84">
      <c r="BN1839" s="4"/>
      <c r="BO1839" s="4"/>
      <c r="BQ1839" s="4"/>
      <c r="CC1839" s="4"/>
      <c r="CD1839" s="4"/>
      <c r="CF1839" s="4"/>
    </row>
    <row r="1840" spans="66:84">
      <c r="BN1840" s="4"/>
      <c r="BO1840" s="4"/>
      <c r="BQ1840" s="4"/>
      <c r="CC1840" s="4"/>
      <c r="CD1840" s="4"/>
      <c r="CF1840" s="4"/>
    </row>
    <row r="1841" spans="66:84">
      <c r="BN1841" s="4"/>
      <c r="BO1841" s="4"/>
      <c r="BQ1841" s="4"/>
      <c r="CC1841" s="4"/>
      <c r="CD1841" s="4"/>
      <c r="CF1841" s="4"/>
    </row>
    <row r="1842" spans="66:84">
      <c r="BN1842" s="4"/>
      <c r="BO1842" s="4"/>
      <c r="BQ1842" s="4"/>
      <c r="CC1842" s="4"/>
      <c r="CD1842" s="4"/>
      <c r="CF1842" s="4"/>
    </row>
    <row r="1843" spans="66:84">
      <c r="BN1843" s="4"/>
      <c r="BO1843" s="4"/>
      <c r="BQ1843" s="4"/>
      <c r="CC1843" s="4"/>
      <c r="CD1843" s="4"/>
      <c r="CF1843" s="4"/>
    </row>
    <row r="1844" spans="66:84">
      <c r="BN1844" s="4"/>
      <c r="BO1844" s="4"/>
      <c r="BQ1844" s="4"/>
      <c r="CC1844" s="4"/>
      <c r="CD1844" s="4"/>
      <c r="CF1844" s="4"/>
    </row>
    <row r="1845" spans="66:84">
      <c r="BN1845" s="4"/>
      <c r="BO1845" s="4"/>
      <c r="BQ1845" s="4"/>
      <c r="CC1845" s="4"/>
      <c r="CD1845" s="4"/>
      <c r="CF1845" s="4"/>
    </row>
    <row r="1846" spans="66:84">
      <c r="BN1846" s="4"/>
      <c r="BO1846" s="4"/>
      <c r="BQ1846" s="4"/>
      <c r="CC1846" s="4"/>
      <c r="CD1846" s="4"/>
      <c r="CF1846" s="4"/>
    </row>
    <row r="1847" spans="66:84">
      <c r="BN1847" s="4"/>
      <c r="BO1847" s="4"/>
      <c r="BQ1847" s="4"/>
      <c r="CC1847" s="4"/>
      <c r="CD1847" s="4"/>
      <c r="CF1847" s="4"/>
    </row>
    <row r="1848" spans="66:84">
      <c r="BN1848" s="4"/>
      <c r="BO1848" s="4"/>
      <c r="BQ1848" s="4"/>
      <c r="CC1848" s="4"/>
      <c r="CD1848" s="4"/>
      <c r="CF1848" s="4"/>
    </row>
    <row r="1849" spans="66:84">
      <c r="BN1849" s="4"/>
      <c r="BO1849" s="4"/>
      <c r="BQ1849" s="4"/>
      <c r="CC1849" s="4"/>
      <c r="CD1849" s="4"/>
      <c r="CF1849" s="4"/>
    </row>
    <row r="1850" spans="66:84">
      <c r="BN1850" s="4"/>
      <c r="BO1850" s="4"/>
      <c r="BQ1850" s="4"/>
      <c r="CC1850" s="4"/>
      <c r="CD1850" s="4"/>
      <c r="CF1850" s="4"/>
    </row>
    <row r="1851" spans="66:84">
      <c r="BN1851" s="4"/>
      <c r="BO1851" s="4"/>
      <c r="BQ1851" s="4"/>
      <c r="CC1851" s="4"/>
      <c r="CD1851" s="4"/>
      <c r="CF1851" s="4"/>
    </row>
    <row r="1852" spans="66:84">
      <c r="BN1852" s="4"/>
      <c r="BO1852" s="4"/>
      <c r="BQ1852" s="4"/>
      <c r="CC1852" s="4"/>
      <c r="CD1852" s="4"/>
      <c r="CF1852" s="4"/>
    </row>
    <row r="1853" spans="66:84">
      <c r="BN1853" s="4"/>
      <c r="BO1853" s="4"/>
      <c r="BQ1853" s="4"/>
      <c r="CC1853" s="4"/>
      <c r="CD1853" s="4"/>
      <c r="CF1853" s="4"/>
    </row>
    <row r="1854" spans="66:84">
      <c r="BN1854" s="4"/>
      <c r="BO1854" s="4"/>
      <c r="BQ1854" s="4"/>
      <c r="CC1854" s="4"/>
      <c r="CD1854" s="4"/>
      <c r="CF1854" s="4"/>
    </row>
    <row r="1855" spans="66:84">
      <c r="BN1855" s="4"/>
      <c r="BO1855" s="4"/>
      <c r="BQ1855" s="4"/>
      <c r="CC1855" s="4"/>
      <c r="CD1855" s="4"/>
      <c r="CF1855" s="4"/>
    </row>
    <row r="1856" spans="66:84">
      <c r="BN1856" s="4"/>
      <c r="BO1856" s="4"/>
      <c r="BQ1856" s="4"/>
      <c r="CC1856" s="4"/>
      <c r="CD1856" s="4"/>
      <c r="CF1856" s="4"/>
    </row>
    <row r="1857" spans="66:84">
      <c r="BN1857" s="4"/>
      <c r="BO1857" s="4"/>
      <c r="BQ1857" s="4"/>
      <c r="CC1857" s="4"/>
      <c r="CD1857" s="4"/>
      <c r="CF1857" s="4"/>
    </row>
    <row r="1858" spans="66:84">
      <c r="BN1858" s="4"/>
      <c r="BO1858" s="4"/>
      <c r="BQ1858" s="4"/>
      <c r="CC1858" s="4"/>
      <c r="CD1858" s="4"/>
      <c r="CF1858" s="4"/>
    </row>
    <row r="1859" spans="66:84">
      <c r="BN1859" s="4"/>
      <c r="BO1859" s="4"/>
      <c r="BQ1859" s="4"/>
      <c r="CC1859" s="4"/>
      <c r="CD1859" s="4"/>
      <c r="CF1859" s="4"/>
    </row>
    <row r="1860" spans="66:84">
      <c r="BN1860" s="4"/>
      <c r="BO1860" s="4"/>
      <c r="BQ1860" s="4"/>
      <c r="CC1860" s="4"/>
      <c r="CD1860" s="4"/>
      <c r="CF1860" s="4"/>
    </row>
    <row r="1861" spans="66:84">
      <c r="BN1861" s="4"/>
      <c r="BO1861" s="4"/>
      <c r="BQ1861" s="4"/>
      <c r="CC1861" s="4"/>
      <c r="CD1861" s="4"/>
      <c r="CF1861" s="4"/>
    </row>
    <row r="1862" spans="66:84">
      <c r="BN1862" s="4"/>
      <c r="BO1862" s="4"/>
      <c r="BQ1862" s="4"/>
      <c r="CC1862" s="4"/>
      <c r="CD1862" s="4"/>
      <c r="CF1862" s="4"/>
    </row>
    <row r="1863" spans="66:84">
      <c r="BN1863" s="4"/>
      <c r="BO1863" s="4"/>
      <c r="BQ1863" s="4"/>
      <c r="CC1863" s="4"/>
      <c r="CD1863" s="4"/>
      <c r="CF1863" s="4"/>
    </row>
    <row r="1864" spans="66:84">
      <c r="BN1864" s="4"/>
      <c r="BO1864" s="4"/>
      <c r="BQ1864" s="4"/>
      <c r="CC1864" s="4"/>
      <c r="CD1864" s="4"/>
      <c r="CF1864" s="4"/>
    </row>
    <row r="1865" spans="66:84">
      <c r="BN1865" s="4"/>
      <c r="BO1865" s="4"/>
      <c r="BQ1865" s="4"/>
      <c r="CC1865" s="4"/>
      <c r="CD1865" s="4"/>
      <c r="CF1865" s="4"/>
    </row>
    <row r="1866" spans="66:84">
      <c r="BN1866" s="4"/>
      <c r="BO1866" s="4"/>
      <c r="BQ1866" s="4"/>
      <c r="CC1866" s="4"/>
      <c r="CD1866" s="4"/>
      <c r="CF1866" s="4"/>
    </row>
    <row r="1867" spans="66:84">
      <c r="BN1867" s="4"/>
      <c r="BO1867" s="4"/>
      <c r="BQ1867" s="4"/>
      <c r="CC1867" s="4"/>
      <c r="CD1867" s="4"/>
      <c r="CF1867" s="4"/>
    </row>
    <row r="1868" spans="66:84">
      <c r="BN1868" s="4"/>
      <c r="BO1868" s="4"/>
      <c r="BQ1868" s="4"/>
      <c r="CC1868" s="4"/>
      <c r="CD1868" s="4"/>
      <c r="CF1868" s="4"/>
    </row>
    <row r="1869" spans="66:84">
      <c r="BN1869" s="4"/>
      <c r="BO1869" s="4"/>
      <c r="BQ1869" s="4"/>
      <c r="CC1869" s="4"/>
      <c r="CD1869" s="4"/>
      <c r="CF1869" s="4"/>
    </row>
    <row r="1870" spans="66:84">
      <c r="BN1870" s="4"/>
      <c r="BO1870" s="4"/>
      <c r="BQ1870" s="4"/>
      <c r="CC1870" s="4"/>
      <c r="CD1870" s="4"/>
      <c r="CF1870" s="4"/>
    </row>
    <row r="1871" spans="66:84">
      <c r="BN1871" s="4"/>
      <c r="BO1871" s="4"/>
      <c r="BQ1871" s="4"/>
      <c r="CC1871" s="4"/>
      <c r="CD1871" s="4"/>
      <c r="CF1871" s="4"/>
    </row>
    <row r="1872" spans="66:84">
      <c r="BN1872" s="4"/>
      <c r="BO1872" s="4"/>
      <c r="BQ1872" s="4"/>
      <c r="CC1872" s="4"/>
      <c r="CD1872" s="4"/>
      <c r="CF1872" s="4"/>
    </row>
    <row r="1873" spans="66:84">
      <c r="BN1873" s="4"/>
      <c r="BO1873" s="4"/>
      <c r="BQ1873" s="4"/>
      <c r="CC1873" s="4"/>
      <c r="CD1873" s="4"/>
      <c r="CF1873" s="4"/>
    </row>
    <row r="1874" spans="66:84">
      <c r="BN1874" s="4"/>
      <c r="BO1874" s="4"/>
      <c r="BQ1874" s="4"/>
      <c r="CC1874" s="4"/>
      <c r="CD1874" s="4"/>
      <c r="CF1874" s="4"/>
    </row>
    <row r="1875" spans="66:84">
      <c r="BN1875" s="4"/>
      <c r="BO1875" s="4"/>
      <c r="BQ1875" s="4"/>
      <c r="CC1875" s="4"/>
      <c r="CD1875" s="4"/>
      <c r="CF1875" s="4"/>
    </row>
    <row r="1876" spans="66:84">
      <c r="BN1876" s="4"/>
      <c r="BO1876" s="4"/>
      <c r="BQ1876" s="4"/>
      <c r="CC1876" s="4"/>
      <c r="CD1876" s="4"/>
      <c r="CF1876" s="4"/>
    </row>
    <row r="1877" spans="66:84">
      <c r="BN1877" s="4"/>
      <c r="BO1877" s="4"/>
      <c r="BQ1877" s="4"/>
      <c r="CC1877" s="4"/>
      <c r="CD1877" s="4"/>
      <c r="CF1877" s="4"/>
    </row>
    <row r="1878" spans="66:84">
      <c r="BN1878" s="4"/>
      <c r="BO1878" s="4"/>
      <c r="BQ1878" s="4"/>
      <c r="CC1878" s="4"/>
      <c r="CD1878" s="4"/>
      <c r="CF1878" s="4"/>
    </row>
    <row r="1879" spans="66:84">
      <c r="BN1879" s="4"/>
      <c r="BO1879" s="4"/>
      <c r="BQ1879" s="4"/>
      <c r="CC1879" s="4"/>
      <c r="CD1879" s="4"/>
      <c r="CF1879" s="4"/>
    </row>
    <row r="1880" spans="66:84">
      <c r="BN1880" s="4"/>
      <c r="BO1880" s="4"/>
      <c r="BQ1880" s="4"/>
      <c r="CC1880" s="4"/>
      <c r="CD1880" s="4"/>
      <c r="CF1880" s="4"/>
    </row>
    <row r="1881" spans="66:84">
      <c r="BN1881" s="4"/>
      <c r="BO1881" s="4"/>
      <c r="BQ1881" s="4"/>
      <c r="CC1881" s="4"/>
      <c r="CD1881" s="4"/>
      <c r="CF1881" s="4"/>
    </row>
    <row r="1882" spans="66:84">
      <c r="BN1882" s="4"/>
      <c r="BO1882" s="4"/>
      <c r="BQ1882" s="4"/>
      <c r="CC1882" s="4"/>
      <c r="CD1882" s="4"/>
      <c r="CF1882" s="4"/>
    </row>
    <row r="1883" spans="66:84">
      <c r="BN1883" s="4"/>
      <c r="BO1883" s="4"/>
      <c r="BQ1883" s="4"/>
      <c r="CC1883" s="4"/>
      <c r="CD1883" s="4"/>
      <c r="CF1883" s="4"/>
    </row>
    <row r="1884" spans="66:84">
      <c r="BN1884" s="4"/>
      <c r="BO1884" s="4"/>
      <c r="BQ1884" s="4"/>
      <c r="CC1884" s="4"/>
      <c r="CD1884" s="4"/>
      <c r="CF1884" s="4"/>
    </row>
    <row r="1885" spans="66:84">
      <c r="BN1885" s="4"/>
      <c r="BO1885" s="4"/>
      <c r="BQ1885" s="4"/>
      <c r="CC1885" s="4"/>
      <c r="CD1885" s="4"/>
      <c r="CF1885" s="4"/>
    </row>
    <row r="1886" spans="66:84">
      <c r="BN1886" s="4"/>
      <c r="BO1886" s="4"/>
      <c r="BQ1886" s="4"/>
      <c r="CC1886" s="4"/>
      <c r="CD1886" s="4"/>
      <c r="CF1886" s="4"/>
    </row>
    <row r="1887" spans="66:84">
      <c r="BN1887" s="4"/>
      <c r="BO1887" s="4"/>
      <c r="BQ1887" s="4"/>
      <c r="CC1887" s="4"/>
      <c r="CD1887" s="4"/>
      <c r="CF1887" s="4"/>
    </row>
    <row r="1888" spans="66:84">
      <c r="BN1888" s="4"/>
      <c r="BO1888" s="4"/>
      <c r="BQ1888" s="4"/>
      <c r="CC1888" s="4"/>
      <c r="CD1888" s="4"/>
      <c r="CF1888" s="4"/>
    </row>
    <row r="1889" spans="66:84">
      <c r="BN1889" s="4"/>
      <c r="BO1889" s="4"/>
      <c r="BQ1889" s="4"/>
      <c r="CC1889" s="4"/>
      <c r="CD1889" s="4"/>
      <c r="CF1889" s="4"/>
    </row>
    <row r="1890" spans="66:84">
      <c r="BN1890" s="4"/>
      <c r="BO1890" s="4"/>
      <c r="BQ1890" s="4"/>
      <c r="CC1890" s="4"/>
      <c r="CD1890" s="4"/>
      <c r="CF1890" s="4"/>
    </row>
    <row r="1891" spans="66:84">
      <c r="BN1891" s="4"/>
      <c r="BO1891" s="4"/>
      <c r="BQ1891" s="4"/>
      <c r="CC1891" s="4"/>
      <c r="CD1891" s="4"/>
      <c r="CF1891" s="4"/>
    </row>
    <row r="1892" spans="66:84">
      <c r="BN1892" s="4"/>
      <c r="BO1892" s="4"/>
      <c r="BQ1892" s="4"/>
      <c r="CC1892" s="4"/>
      <c r="CD1892" s="4"/>
      <c r="CF1892" s="4"/>
    </row>
    <row r="1893" spans="66:84">
      <c r="BN1893" s="4"/>
      <c r="BO1893" s="4"/>
      <c r="BQ1893" s="4"/>
      <c r="CC1893" s="4"/>
      <c r="CD1893" s="4"/>
      <c r="CF1893" s="4"/>
    </row>
    <row r="1894" spans="66:84">
      <c r="BN1894" s="4"/>
      <c r="BO1894" s="4"/>
      <c r="BQ1894" s="4"/>
      <c r="CC1894" s="4"/>
      <c r="CD1894" s="4"/>
      <c r="CF1894" s="4"/>
    </row>
    <row r="1895" spans="66:84">
      <c r="BN1895" s="4"/>
      <c r="BO1895" s="4"/>
      <c r="BQ1895" s="4"/>
      <c r="CC1895" s="4"/>
      <c r="CD1895" s="4"/>
      <c r="CF1895" s="4"/>
    </row>
    <row r="1896" spans="66:84">
      <c r="BN1896" s="4"/>
      <c r="BO1896" s="4"/>
      <c r="BQ1896" s="4"/>
      <c r="CC1896" s="4"/>
      <c r="CD1896" s="4"/>
      <c r="CF1896" s="4"/>
    </row>
    <row r="1897" spans="66:84">
      <c r="BN1897" s="4"/>
      <c r="BO1897" s="4"/>
      <c r="BQ1897" s="4"/>
      <c r="CC1897" s="4"/>
      <c r="CD1897" s="4"/>
      <c r="CF1897" s="4"/>
    </row>
    <row r="1898" spans="66:84">
      <c r="BN1898" s="4"/>
      <c r="BO1898" s="4"/>
      <c r="BQ1898" s="4"/>
      <c r="CC1898" s="4"/>
      <c r="CD1898" s="4"/>
      <c r="CF1898" s="4"/>
    </row>
    <row r="1899" spans="66:84">
      <c r="BN1899" s="4"/>
      <c r="BO1899" s="4"/>
      <c r="BQ1899" s="4"/>
      <c r="CC1899" s="4"/>
      <c r="CD1899" s="4"/>
      <c r="CF1899" s="4"/>
    </row>
    <row r="1900" spans="66:84">
      <c r="BN1900" s="4"/>
      <c r="BO1900" s="4"/>
      <c r="BQ1900" s="4"/>
      <c r="CC1900" s="4"/>
      <c r="CD1900" s="4"/>
      <c r="CF1900" s="4"/>
    </row>
    <row r="1901" spans="66:84">
      <c r="BN1901" s="4"/>
      <c r="BO1901" s="4"/>
      <c r="BQ1901" s="4"/>
      <c r="CC1901" s="4"/>
      <c r="CD1901" s="4"/>
      <c r="CF1901" s="4"/>
    </row>
    <row r="1902" spans="66:84">
      <c r="BN1902" s="4"/>
      <c r="BO1902" s="4"/>
      <c r="BQ1902" s="4"/>
      <c r="CC1902" s="4"/>
      <c r="CD1902" s="4"/>
      <c r="CF1902" s="4"/>
    </row>
    <row r="1903" spans="66:84">
      <c r="BN1903" s="4"/>
      <c r="BO1903" s="4"/>
      <c r="BQ1903" s="4"/>
      <c r="CC1903" s="4"/>
      <c r="CD1903" s="4"/>
      <c r="CF1903" s="4"/>
    </row>
    <row r="1904" spans="66:84">
      <c r="BN1904" s="4"/>
      <c r="BO1904" s="4"/>
      <c r="BQ1904" s="4"/>
      <c r="CC1904" s="4"/>
      <c r="CD1904" s="4"/>
      <c r="CF1904" s="4"/>
    </row>
    <row r="1905" spans="66:84">
      <c r="BN1905" s="4"/>
      <c r="BO1905" s="4"/>
      <c r="BQ1905" s="4"/>
      <c r="CC1905" s="4"/>
      <c r="CD1905" s="4"/>
      <c r="CF1905" s="4"/>
    </row>
    <row r="1906" spans="66:84">
      <c r="BN1906" s="4"/>
      <c r="BO1906" s="4"/>
      <c r="BQ1906" s="4"/>
      <c r="CC1906" s="4"/>
      <c r="CD1906" s="4"/>
      <c r="CF1906" s="4"/>
    </row>
    <row r="1907" spans="66:84">
      <c r="BN1907" s="4"/>
      <c r="BO1907" s="4"/>
      <c r="BQ1907" s="4"/>
      <c r="CC1907" s="4"/>
      <c r="CD1907" s="4"/>
      <c r="CF1907" s="4"/>
    </row>
    <row r="1908" spans="66:84">
      <c r="BN1908" s="4"/>
      <c r="BO1908" s="4"/>
      <c r="BQ1908" s="4"/>
      <c r="CC1908" s="4"/>
      <c r="CD1908" s="4"/>
      <c r="CF1908" s="4"/>
    </row>
    <row r="1909" spans="66:84">
      <c r="BN1909" s="4"/>
      <c r="BO1909" s="4"/>
      <c r="BQ1909" s="4"/>
      <c r="CC1909" s="4"/>
      <c r="CD1909" s="4"/>
      <c r="CF1909" s="4"/>
    </row>
    <row r="1910" spans="66:84">
      <c r="BN1910" s="4"/>
      <c r="BO1910" s="4"/>
      <c r="BQ1910" s="4"/>
      <c r="CC1910" s="4"/>
      <c r="CD1910" s="4"/>
      <c r="CF1910" s="4"/>
    </row>
    <row r="1911" spans="66:84">
      <c r="BN1911" s="4"/>
      <c r="BO1911" s="4"/>
      <c r="BQ1911" s="4"/>
      <c r="CC1911" s="4"/>
      <c r="CD1911" s="4"/>
      <c r="CF1911" s="4"/>
    </row>
    <row r="1912" spans="66:84">
      <c r="BN1912" s="4"/>
      <c r="BO1912" s="4"/>
      <c r="BQ1912" s="4"/>
      <c r="CC1912" s="4"/>
      <c r="CD1912" s="4"/>
      <c r="CF1912" s="4"/>
    </row>
    <row r="1913" spans="66:84">
      <c r="BN1913" s="4"/>
      <c r="BO1913" s="4"/>
      <c r="BQ1913" s="4"/>
      <c r="CC1913" s="4"/>
      <c r="CD1913" s="4"/>
      <c r="CF1913" s="4"/>
    </row>
    <row r="1914" spans="66:84">
      <c r="BN1914" s="4"/>
      <c r="BO1914" s="4"/>
      <c r="BQ1914" s="4"/>
      <c r="CC1914" s="4"/>
      <c r="CD1914" s="4"/>
      <c r="CF1914" s="4"/>
    </row>
    <row r="1915" spans="66:84">
      <c r="BN1915" s="4"/>
      <c r="BO1915" s="4"/>
      <c r="BQ1915" s="4"/>
      <c r="CC1915" s="4"/>
      <c r="CD1915" s="4"/>
      <c r="CF1915" s="4"/>
    </row>
    <row r="1916" spans="66:84">
      <c r="BN1916" s="4"/>
      <c r="BO1916" s="4"/>
      <c r="BQ1916" s="4"/>
      <c r="CC1916" s="4"/>
      <c r="CD1916" s="4"/>
      <c r="CF1916" s="4"/>
    </row>
    <row r="1917" spans="66:84">
      <c r="BN1917" s="4"/>
      <c r="BO1917" s="4"/>
      <c r="BQ1917" s="4"/>
      <c r="CC1917" s="4"/>
      <c r="CD1917" s="4"/>
      <c r="CF1917" s="4"/>
    </row>
    <row r="1918" spans="66:84">
      <c r="BN1918" s="4"/>
      <c r="BO1918" s="4"/>
      <c r="BQ1918" s="4"/>
      <c r="CC1918" s="4"/>
      <c r="CD1918" s="4"/>
      <c r="CF1918" s="4"/>
    </row>
    <row r="1919" spans="66:84">
      <c r="BN1919" s="4"/>
      <c r="BO1919" s="4"/>
      <c r="BQ1919" s="4"/>
      <c r="CC1919" s="4"/>
      <c r="CD1919" s="4"/>
      <c r="CF1919" s="4"/>
    </row>
    <row r="1920" spans="66:84">
      <c r="BN1920" s="4"/>
      <c r="BO1920" s="4"/>
      <c r="BQ1920" s="4"/>
      <c r="CC1920" s="4"/>
      <c r="CD1920" s="4"/>
      <c r="CF1920" s="4"/>
    </row>
    <row r="1921" spans="66:84">
      <c r="BN1921" s="4"/>
      <c r="BO1921" s="4"/>
      <c r="BQ1921" s="4"/>
      <c r="CC1921" s="4"/>
      <c r="CD1921" s="4"/>
      <c r="CF1921" s="4"/>
    </row>
    <row r="1922" spans="66:84">
      <c r="BN1922" s="4"/>
      <c r="BO1922" s="4"/>
      <c r="BQ1922" s="4"/>
      <c r="CC1922" s="4"/>
      <c r="CD1922" s="4"/>
      <c r="CF1922" s="4"/>
    </row>
    <row r="1923" spans="66:84">
      <c r="BN1923" s="4"/>
      <c r="BO1923" s="4"/>
      <c r="BQ1923" s="4"/>
      <c r="CC1923" s="4"/>
      <c r="CD1923" s="4"/>
      <c r="CF1923" s="4"/>
    </row>
    <row r="1924" spans="66:84">
      <c r="BN1924" s="4"/>
      <c r="BO1924" s="4"/>
      <c r="BQ1924" s="4"/>
      <c r="CC1924" s="4"/>
      <c r="CD1924" s="4"/>
      <c r="CF1924" s="4"/>
    </row>
    <row r="1925" spans="66:84">
      <c r="BN1925" s="4"/>
      <c r="BO1925" s="4"/>
      <c r="BQ1925" s="4"/>
      <c r="CC1925" s="4"/>
      <c r="CD1925" s="4"/>
      <c r="CF1925" s="4"/>
    </row>
    <row r="1926" spans="66:84">
      <c r="BN1926" s="4"/>
      <c r="BO1926" s="4"/>
      <c r="BQ1926" s="4"/>
      <c r="CC1926" s="4"/>
      <c r="CD1926" s="4"/>
      <c r="CF1926" s="4"/>
    </row>
    <row r="1927" spans="66:84">
      <c r="BN1927" s="4"/>
      <c r="BO1927" s="4"/>
      <c r="BQ1927" s="4"/>
      <c r="CC1927" s="4"/>
      <c r="CD1927" s="4"/>
      <c r="CF1927" s="4"/>
    </row>
    <row r="1928" spans="66:84">
      <c r="BN1928" s="4"/>
      <c r="BO1928" s="4"/>
      <c r="BQ1928" s="4"/>
      <c r="CC1928" s="4"/>
      <c r="CD1928" s="4"/>
      <c r="CF1928" s="4"/>
    </row>
    <row r="1929" spans="66:84">
      <c r="BN1929" s="4"/>
      <c r="BO1929" s="4"/>
      <c r="BQ1929" s="4"/>
      <c r="CC1929" s="4"/>
      <c r="CD1929" s="4"/>
      <c r="CF1929" s="4"/>
    </row>
    <row r="1930" spans="66:84">
      <c r="BN1930" s="4"/>
      <c r="BO1930" s="4"/>
      <c r="BQ1930" s="4"/>
      <c r="CC1930" s="4"/>
      <c r="CD1930" s="4"/>
      <c r="CF1930" s="4"/>
    </row>
    <row r="1931" spans="66:84">
      <c r="BN1931" s="4"/>
      <c r="BO1931" s="4"/>
      <c r="BQ1931" s="4"/>
      <c r="CC1931" s="4"/>
      <c r="CD1931" s="4"/>
      <c r="CF1931" s="4"/>
    </row>
    <row r="1932" spans="66:84">
      <c r="BN1932" s="4"/>
      <c r="BO1932" s="4"/>
      <c r="BQ1932" s="4"/>
      <c r="CC1932" s="4"/>
      <c r="CD1932" s="4"/>
      <c r="CF1932" s="4"/>
    </row>
    <row r="1933" spans="66:84">
      <c r="BN1933" s="4"/>
      <c r="BO1933" s="4"/>
      <c r="BQ1933" s="4"/>
      <c r="CC1933" s="4"/>
      <c r="CD1933" s="4"/>
      <c r="CF1933" s="4"/>
    </row>
    <row r="1934" spans="66:84">
      <c r="BN1934" s="4"/>
      <c r="BO1934" s="4"/>
      <c r="BQ1934" s="4"/>
      <c r="CC1934" s="4"/>
      <c r="CD1934" s="4"/>
      <c r="CF1934" s="4"/>
    </row>
    <row r="1935" spans="66:84">
      <c r="BN1935" s="4"/>
      <c r="BO1935" s="4"/>
      <c r="BQ1935" s="4"/>
      <c r="CC1935" s="4"/>
      <c r="CD1935" s="4"/>
      <c r="CF1935" s="4"/>
    </row>
    <row r="1936" spans="66:84">
      <c r="BN1936" s="4"/>
      <c r="BO1936" s="4"/>
      <c r="BQ1936" s="4"/>
      <c r="CC1936" s="4"/>
      <c r="CD1936" s="4"/>
      <c r="CF1936" s="4"/>
    </row>
    <row r="1937" spans="66:84">
      <c r="BN1937" s="4"/>
      <c r="BO1937" s="4"/>
      <c r="BQ1937" s="4"/>
      <c r="CC1937" s="4"/>
      <c r="CD1937" s="4"/>
      <c r="CF1937" s="4"/>
    </row>
    <row r="1938" spans="66:84">
      <c r="BN1938" s="4"/>
      <c r="BO1938" s="4"/>
      <c r="BQ1938" s="4"/>
      <c r="CC1938" s="4"/>
      <c r="CD1938" s="4"/>
      <c r="CF1938" s="4"/>
    </row>
    <row r="1939" spans="66:84">
      <c r="BN1939" s="4"/>
      <c r="BO1939" s="4"/>
      <c r="BQ1939" s="4"/>
      <c r="CC1939" s="4"/>
      <c r="CD1939" s="4"/>
      <c r="CF1939" s="4"/>
    </row>
    <row r="1940" spans="66:84">
      <c r="BN1940" s="4"/>
      <c r="BO1940" s="4"/>
      <c r="BQ1940" s="4"/>
      <c r="CC1940" s="4"/>
      <c r="CD1940" s="4"/>
      <c r="CF1940" s="4"/>
    </row>
    <row r="1941" spans="66:84">
      <c r="BN1941" s="4"/>
      <c r="BO1941" s="4"/>
      <c r="BQ1941" s="4"/>
      <c r="CC1941" s="4"/>
      <c r="CD1941" s="4"/>
      <c r="CF1941" s="4"/>
    </row>
    <row r="1942" spans="66:84">
      <c r="BN1942" s="4"/>
      <c r="BO1942" s="4"/>
      <c r="BQ1942" s="4"/>
      <c r="CC1942" s="4"/>
      <c r="CD1942" s="4"/>
      <c r="CF1942" s="4"/>
    </row>
    <row r="1943" spans="66:84">
      <c r="BN1943" s="4"/>
      <c r="BO1943" s="4"/>
      <c r="BQ1943" s="4"/>
      <c r="CC1943" s="4"/>
      <c r="CD1943" s="4"/>
      <c r="CF1943" s="4"/>
    </row>
    <row r="1944" spans="66:84">
      <c r="BN1944" s="4"/>
      <c r="BO1944" s="4"/>
      <c r="BQ1944" s="4"/>
      <c r="CC1944" s="4"/>
      <c r="CD1944" s="4"/>
      <c r="CF1944" s="4"/>
    </row>
    <row r="1945" spans="66:84">
      <c r="BN1945" s="4"/>
      <c r="BO1945" s="4"/>
      <c r="BQ1945" s="4"/>
      <c r="CC1945" s="4"/>
      <c r="CD1945" s="4"/>
      <c r="CF1945" s="4"/>
    </row>
    <row r="1946" spans="66:84">
      <c r="BN1946" s="4"/>
      <c r="BO1946" s="4"/>
      <c r="BQ1946" s="4"/>
      <c r="CC1946" s="4"/>
      <c r="CD1946" s="4"/>
      <c r="CF1946" s="4"/>
    </row>
    <row r="1947" spans="66:84">
      <c r="BN1947" s="4"/>
      <c r="BO1947" s="4"/>
      <c r="BQ1947" s="4"/>
      <c r="CC1947" s="4"/>
      <c r="CD1947" s="4"/>
      <c r="CF1947" s="4"/>
    </row>
    <row r="1948" spans="66:84">
      <c r="BN1948" s="4"/>
      <c r="BO1948" s="4"/>
      <c r="BQ1948" s="4"/>
      <c r="CC1948" s="4"/>
      <c r="CD1948" s="4"/>
      <c r="CF1948" s="4"/>
    </row>
    <row r="1949" spans="66:84">
      <c r="BN1949" s="4"/>
      <c r="BO1949" s="4"/>
      <c r="BQ1949" s="4"/>
      <c r="CC1949" s="4"/>
      <c r="CD1949" s="4"/>
      <c r="CF1949" s="4"/>
    </row>
    <row r="1950" spans="66:84">
      <c r="BN1950" s="4"/>
      <c r="BO1950" s="4"/>
      <c r="BQ1950" s="4"/>
      <c r="CC1950" s="4"/>
      <c r="CD1950" s="4"/>
      <c r="CF1950" s="4"/>
    </row>
    <row r="1951" spans="66:84">
      <c r="BN1951" s="4"/>
      <c r="BO1951" s="4"/>
      <c r="BQ1951" s="4"/>
      <c r="CC1951" s="4"/>
      <c r="CD1951" s="4"/>
      <c r="CF1951" s="4"/>
    </row>
    <row r="1952" spans="66:84">
      <c r="BN1952" s="4"/>
      <c r="BO1952" s="4"/>
      <c r="BQ1952" s="4"/>
      <c r="CC1952" s="4"/>
      <c r="CD1952" s="4"/>
      <c r="CF1952" s="4"/>
    </row>
    <row r="1953" spans="66:84">
      <c r="BN1953" s="4"/>
      <c r="BO1953" s="4"/>
      <c r="BQ1953" s="4"/>
      <c r="CC1953" s="4"/>
      <c r="CD1953" s="4"/>
      <c r="CF1953" s="4"/>
    </row>
    <row r="1954" spans="66:84">
      <c r="BN1954" s="4"/>
      <c r="BO1954" s="4"/>
      <c r="BQ1954" s="4"/>
      <c r="CC1954" s="4"/>
      <c r="CD1954" s="4"/>
      <c r="CF1954" s="4"/>
    </row>
    <row r="1955" spans="66:84">
      <c r="BN1955" s="4"/>
      <c r="BO1955" s="4"/>
      <c r="BQ1955" s="4"/>
      <c r="CC1955" s="4"/>
      <c r="CD1955" s="4"/>
      <c r="CF1955" s="4"/>
    </row>
    <row r="1956" spans="66:84">
      <c r="BN1956" s="4"/>
      <c r="BO1956" s="4"/>
      <c r="BQ1956" s="4"/>
      <c r="CC1956" s="4"/>
      <c r="CD1956" s="4"/>
      <c r="CF1956" s="4"/>
    </row>
    <row r="1957" spans="66:84">
      <c r="BN1957" s="4"/>
      <c r="BO1957" s="4"/>
      <c r="BQ1957" s="4"/>
      <c r="CC1957" s="4"/>
      <c r="CD1957" s="4"/>
      <c r="CF1957" s="4"/>
    </row>
    <row r="1958" spans="66:84">
      <c r="BN1958" s="4"/>
      <c r="BO1958" s="4"/>
      <c r="BQ1958" s="4"/>
      <c r="CC1958" s="4"/>
      <c r="CD1958" s="4"/>
      <c r="CF1958" s="4"/>
    </row>
    <row r="1959" spans="66:84">
      <c r="BN1959" s="4"/>
      <c r="BO1959" s="4"/>
      <c r="BQ1959" s="4"/>
      <c r="CC1959" s="4"/>
      <c r="CD1959" s="4"/>
      <c r="CF1959" s="4"/>
    </row>
    <row r="1960" spans="66:84">
      <c r="BN1960" s="4"/>
      <c r="BO1960" s="4"/>
      <c r="BQ1960" s="4"/>
      <c r="CC1960" s="4"/>
      <c r="CD1960" s="4"/>
      <c r="CF1960" s="4"/>
    </row>
    <row r="1961" spans="66:84">
      <c r="BN1961" s="4"/>
      <c r="BO1961" s="4"/>
      <c r="BQ1961" s="4"/>
      <c r="CC1961" s="4"/>
      <c r="CD1961" s="4"/>
      <c r="CF1961" s="4"/>
    </row>
    <row r="1962" spans="66:84">
      <c r="BN1962" s="4"/>
      <c r="BO1962" s="4"/>
      <c r="BQ1962" s="4"/>
      <c r="CC1962" s="4"/>
      <c r="CD1962" s="4"/>
      <c r="CF1962" s="4"/>
    </row>
    <row r="1963" spans="66:84">
      <c r="BN1963" s="4"/>
      <c r="BO1963" s="4"/>
      <c r="BQ1963" s="4"/>
      <c r="CC1963" s="4"/>
      <c r="CD1963" s="4"/>
      <c r="CF1963" s="4"/>
    </row>
    <row r="1964" spans="66:84">
      <c r="BN1964" s="4"/>
      <c r="BO1964" s="4"/>
      <c r="BQ1964" s="4"/>
      <c r="CC1964" s="4"/>
      <c r="CD1964" s="4"/>
      <c r="CF1964" s="4"/>
    </row>
    <row r="1965" spans="66:84">
      <c r="BN1965" s="4"/>
      <c r="BO1965" s="4"/>
      <c r="BQ1965" s="4"/>
      <c r="CC1965" s="4"/>
      <c r="CD1965" s="4"/>
      <c r="CF1965" s="4"/>
    </row>
    <row r="1966" spans="66:84">
      <c r="BN1966" s="4"/>
      <c r="BO1966" s="4"/>
      <c r="BQ1966" s="4"/>
      <c r="CC1966" s="4"/>
      <c r="CD1966" s="4"/>
      <c r="CF1966" s="4"/>
    </row>
    <row r="1967" spans="66:84">
      <c r="BN1967" s="4"/>
      <c r="BO1967" s="4"/>
      <c r="BQ1967" s="4"/>
      <c r="CC1967" s="4"/>
      <c r="CD1967" s="4"/>
      <c r="CF1967" s="4"/>
    </row>
    <row r="1968" spans="66:84">
      <c r="BN1968" s="4"/>
      <c r="BO1968" s="4"/>
      <c r="BQ1968" s="4"/>
      <c r="CC1968" s="4"/>
      <c r="CD1968" s="4"/>
      <c r="CF1968" s="4"/>
    </row>
    <row r="1969" spans="66:84">
      <c r="BN1969" s="4"/>
      <c r="BO1969" s="4"/>
      <c r="BQ1969" s="4"/>
      <c r="CC1969" s="4"/>
      <c r="CD1969" s="4"/>
      <c r="CF1969" s="4"/>
    </row>
    <row r="1970" spans="66:84">
      <c r="BN1970" s="4"/>
      <c r="BO1970" s="4"/>
      <c r="BQ1970" s="4"/>
      <c r="CC1970" s="4"/>
      <c r="CD1970" s="4"/>
      <c r="CF1970" s="4"/>
    </row>
    <row r="1971" spans="66:84">
      <c r="BN1971" s="4"/>
      <c r="BO1971" s="4"/>
      <c r="BQ1971" s="4"/>
      <c r="CC1971" s="4"/>
      <c r="CD1971" s="4"/>
      <c r="CF1971" s="4"/>
    </row>
    <row r="1972" spans="66:84">
      <c r="BN1972" s="4"/>
      <c r="BO1972" s="4"/>
      <c r="BQ1972" s="4"/>
      <c r="CC1972" s="4"/>
      <c r="CD1972" s="4"/>
      <c r="CF1972" s="4"/>
    </row>
    <row r="1973" spans="66:84">
      <c r="BN1973" s="4"/>
      <c r="BO1973" s="4"/>
      <c r="BQ1973" s="4"/>
      <c r="CC1973" s="4"/>
      <c r="CD1973" s="4"/>
      <c r="CF1973" s="4"/>
    </row>
    <row r="1974" spans="66:84">
      <c r="BN1974" s="4"/>
      <c r="BO1974" s="4"/>
      <c r="BQ1974" s="4"/>
      <c r="CC1974" s="4"/>
      <c r="CD1974" s="4"/>
      <c r="CF1974" s="4"/>
    </row>
    <row r="1975" spans="66:84">
      <c r="BN1975" s="4"/>
      <c r="BO1975" s="4"/>
      <c r="BQ1975" s="4"/>
      <c r="CC1975" s="4"/>
      <c r="CD1975" s="4"/>
      <c r="CF1975" s="4"/>
    </row>
    <row r="1976" spans="66:84">
      <c r="BN1976" s="4"/>
      <c r="BO1976" s="4"/>
      <c r="BQ1976" s="4"/>
      <c r="CC1976" s="4"/>
      <c r="CD1976" s="4"/>
      <c r="CF1976" s="4"/>
    </row>
    <row r="1977" spans="66:84">
      <c r="BN1977" s="4"/>
      <c r="BO1977" s="4"/>
      <c r="BQ1977" s="4"/>
      <c r="CC1977" s="4"/>
      <c r="CD1977" s="4"/>
      <c r="CF1977" s="4"/>
    </row>
    <row r="1978" spans="66:84">
      <c r="BN1978" s="4"/>
      <c r="BO1978" s="4"/>
      <c r="BQ1978" s="4"/>
      <c r="CC1978" s="4"/>
      <c r="CD1978" s="4"/>
      <c r="CF1978" s="4"/>
    </row>
    <row r="1979" spans="66:84">
      <c r="BN1979" s="4"/>
      <c r="BO1979" s="4"/>
      <c r="BQ1979" s="4"/>
      <c r="CC1979" s="4"/>
      <c r="CD1979" s="4"/>
      <c r="CF1979" s="4"/>
    </row>
    <row r="1980" spans="66:84">
      <c r="BN1980" s="4"/>
      <c r="BO1980" s="4"/>
      <c r="BQ1980" s="4"/>
      <c r="CC1980" s="4"/>
      <c r="CD1980" s="4"/>
      <c r="CF1980" s="4"/>
    </row>
    <row r="1981" spans="66:84">
      <c r="BN1981" s="4"/>
      <c r="BO1981" s="4"/>
      <c r="BQ1981" s="4"/>
      <c r="CC1981" s="4"/>
      <c r="CD1981" s="4"/>
      <c r="CF1981" s="4"/>
    </row>
    <row r="1982" spans="66:84">
      <c r="BN1982" s="4"/>
      <c r="BO1982" s="4"/>
      <c r="BQ1982" s="4"/>
      <c r="CC1982" s="4"/>
      <c r="CD1982" s="4"/>
      <c r="CF1982" s="4"/>
    </row>
    <row r="1983" spans="66:84">
      <c r="BN1983" s="4"/>
      <c r="BO1983" s="4"/>
      <c r="BQ1983" s="4"/>
      <c r="CC1983" s="4"/>
      <c r="CD1983" s="4"/>
      <c r="CF1983" s="4"/>
    </row>
    <row r="1984" spans="66:84">
      <c r="BN1984" s="4"/>
      <c r="BO1984" s="4"/>
      <c r="BQ1984" s="4"/>
      <c r="CC1984" s="4"/>
      <c r="CD1984" s="4"/>
      <c r="CF1984" s="4"/>
    </row>
    <row r="1985" spans="66:84">
      <c r="BN1985" s="4"/>
      <c r="BO1985" s="4"/>
      <c r="BQ1985" s="4"/>
      <c r="CC1985" s="4"/>
      <c r="CD1985" s="4"/>
      <c r="CF1985" s="4"/>
    </row>
    <row r="1986" spans="66:84">
      <c r="BN1986" s="4"/>
      <c r="BO1986" s="4"/>
      <c r="BQ1986" s="4"/>
      <c r="CC1986" s="4"/>
      <c r="CD1986" s="4"/>
      <c r="CF1986" s="4"/>
    </row>
    <row r="1987" spans="66:84">
      <c r="BN1987" s="4"/>
      <c r="BO1987" s="4"/>
      <c r="BQ1987" s="4"/>
      <c r="CC1987" s="4"/>
      <c r="CD1987" s="4"/>
      <c r="CF1987" s="4"/>
    </row>
    <row r="1988" spans="66:84">
      <c r="BN1988" s="4"/>
      <c r="BO1988" s="4"/>
      <c r="BQ1988" s="4"/>
      <c r="CC1988" s="4"/>
      <c r="CD1988" s="4"/>
      <c r="CF1988" s="4"/>
    </row>
    <row r="1989" spans="66:84">
      <c r="BN1989" s="4"/>
      <c r="BO1989" s="4"/>
      <c r="BQ1989" s="4"/>
      <c r="CC1989" s="4"/>
      <c r="CD1989" s="4"/>
      <c r="CF1989" s="4"/>
    </row>
    <row r="1990" spans="66:84">
      <c r="BN1990" s="4"/>
      <c r="BO1990" s="4"/>
      <c r="BQ1990" s="4"/>
      <c r="CC1990" s="4"/>
      <c r="CD1990" s="4"/>
      <c r="CF1990" s="4"/>
    </row>
    <row r="1991" spans="66:84">
      <c r="BN1991" s="4"/>
      <c r="BO1991" s="4"/>
      <c r="BQ1991" s="4"/>
      <c r="CC1991" s="4"/>
      <c r="CD1991" s="4"/>
      <c r="CF1991" s="4"/>
    </row>
    <row r="1992" spans="66:84">
      <c r="BN1992" s="4"/>
      <c r="BO1992" s="4"/>
      <c r="BQ1992" s="4"/>
      <c r="CC1992" s="4"/>
      <c r="CD1992" s="4"/>
      <c r="CF1992" s="4"/>
    </row>
    <row r="1993" spans="66:84">
      <c r="BN1993" s="4"/>
      <c r="BO1993" s="4"/>
      <c r="BQ1993" s="4"/>
      <c r="CC1993" s="4"/>
      <c r="CD1993" s="4"/>
      <c r="CF1993" s="4"/>
    </row>
    <row r="1994" spans="66:84">
      <c r="BN1994" s="4"/>
      <c r="BO1994" s="4"/>
      <c r="BQ1994" s="4"/>
      <c r="CC1994" s="4"/>
      <c r="CD1994" s="4"/>
      <c r="CF1994" s="4"/>
    </row>
    <row r="1995" spans="66:84">
      <c r="BN1995" s="4"/>
      <c r="BO1995" s="4"/>
      <c r="BQ1995" s="4"/>
      <c r="CC1995" s="4"/>
      <c r="CD1995" s="4"/>
      <c r="CF1995" s="4"/>
    </row>
    <row r="1996" spans="66:84">
      <c r="BN1996" s="4"/>
      <c r="BO1996" s="4"/>
      <c r="BQ1996" s="4"/>
      <c r="CC1996" s="4"/>
      <c r="CD1996" s="4"/>
      <c r="CF1996" s="4"/>
    </row>
    <row r="1997" spans="66:84">
      <c r="BN1997" s="4"/>
      <c r="BO1997" s="4"/>
      <c r="BQ1997" s="4"/>
      <c r="CC1997" s="4"/>
      <c r="CD1997" s="4"/>
      <c r="CF1997" s="4"/>
    </row>
    <row r="1998" spans="66:84">
      <c r="BN1998" s="4"/>
      <c r="BO1998" s="4"/>
      <c r="BQ1998" s="4"/>
      <c r="CC1998" s="4"/>
      <c r="CD1998" s="4"/>
      <c r="CF1998" s="4"/>
    </row>
    <row r="1999" spans="66:84">
      <c r="BN1999" s="4"/>
      <c r="BO1999" s="4"/>
      <c r="BQ1999" s="4"/>
      <c r="CC1999" s="4"/>
      <c r="CD1999" s="4"/>
      <c r="CF1999" s="4"/>
    </row>
    <row r="2000" spans="66:84">
      <c r="BN2000" s="4"/>
      <c r="BO2000" s="4"/>
      <c r="BQ2000" s="4"/>
      <c r="CC2000" s="4"/>
      <c r="CD2000" s="4"/>
      <c r="CF2000" s="4"/>
    </row>
    <row r="2001" spans="66:84">
      <c r="BN2001" s="4"/>
      <c r="BO2001" s="4"/>
      <c r="BQ2001" s="4"/>
      <c r="CC2001" s="4"/>
      <c r="CD2001" s="4"/>
      <c r="CF2001" s="4"/>
    </row>
    <row r="2002" spans="66:84">
      <c r="BN2002" s="4"/>
      <c r="BO2002" s="4"/>
      <c r="BQ2002" s="4"/>
      <c r="CC2002" s="4"/>
      <c r="CD2002" s="4"/>
      <c r="CF2002" s="4"/>
    </row>
    <row r="2003" spans="66:84">
      <c r="BN2003" s="4"/>
      <c r="BO2003" s="4"/>
      <c r="BQ2003" s="4"/>
      <c r="CC2003" s="4"/>
      <c r="CD2003" s="4"/>
      <c r="CF2003" s="4"/>
    </row>
    <row r="2004" spans="66:84">
      <c r="BN2004" s="4"/>
      <c r="BO2004" s="4"/>
      <c r="BQ2004" s="4"/>
      <c r="CC2004" s="4"/>
      <c r="CD2004" s="4"/>
      <c r="CF2004" s="4"/>
    </row>
    <row r="2005" spans="66:84">
      <c r="BN2005" s="4"/>
      <c r="BO2005" s="4"/>
      <c r="BQ2005" s="4"/>
      <c r="CC2005" s="4"/>
      <c r="CD2005" s="4"/>
      <c r="CF2005" s="4"/>
    </row>
    <row r="2006" spans="66:84">
      <c r="BN2006" s="4"/>
      <c r="BO2006" s="4"/>
      <c r="BQ2006" s="4"/>
      <c r="CC2006" s="4"/>
      <c r="CD2006" s="4"/>
      <c r="CF2006" s="4"/>
    </row>
    <row r="2007" spans="66:84">
      <c r="BN2007" s="4"/>
      <c r="BO2007" s="4"/>
      <c r="BQ2007" s="4"/>
      <c r="CC2007" s="4"/>
      <c r="CD2007" s="4"/>
      <c r="CF2007" s="4"/>
    </row>
    <row r="2008" spans="66:84">
      <c r="BN2008" s="4"/>
      <c r="BO2008" s="4"/>
      <c r="BQ2008" s="4"/>
      <c r="CC2008" s="4"/>
      <c r="CD2008" s="4"/>
      <c r="CF2008" s="4"/>
    </row>
    <row r="2009" spans="66:84">
      <c r="BN2009" s="4"/>
      <c r="BO2009" s="4"/>
      <c r="BQ2009" s="4"/>
      <c r="CC2009" s="4"/>
      <c r="CD2009" s="4"/>
      <c r="CF2009" s="4"/>
    </row>
    <row r="2010" spans="66:84">
      <c r="BN2010" s="4"/>
      <c r="BO2010" s="4"/>
      <c r="BQ2010" s="4"/>
      <c r="CC2010" s="4"/>
      <c r="CD2010" s="4"/>
      <c r="CF2010" s="4"/>
    </row>
    <row r="2011" spans="66:84">
      <c r="BN2011" s="4"/>
      <c r="BO2011" s="4"/>
      <c r="BQ2011" s="4"/>
      <c r="CC2011" s="4"/>
      <c r="CD2011" s="4"/>
      <c r="CF2011" s="4"/>
    </row>
    <row r="2012" spans="66:84">
      <c r="BN2012" s="4"/>
      <c r="BO2012" s="4"/>
      <c r="BQ2012" s="4"/>
      <c r="CC2012" s="4"/>
      <c r="CD2012" s="4"/>
      <c r="CF2012" s="4"/>
    </row>
    <row r="2013" spans="66:84">
      <c r="BN2013" s="4"/>
      <c r="BO2013" s="4"/>
      <c r="BQ2013" s="4"/>
      <c r="CC2013" s="4"/>
      <c r="CD2013" s="4"/>
      <c r="CF2013" s="4"/>
    </row>
    <row r="2014" spans="66:84">
      <c r="BN2014" s="4"/>
      <c r="BO2014" s="4"/>
      <c r="BQ2014" s="4"/>
      <c r="CC2014" s="4"/>
      <c r="CD2014" s="4"/>
      <c r="CF2014" s="4"/>
    </row>
    <row r="2015" spans="66:84">
      <c r="BN2015" s="4"/>
      <c r="BO2015" s="4"/>
      <c r="BQ2015" s="4"/>
      <c r="CC2015" s="4"/>
      <c r="CD2015" s="4"/>
      <c r="CF2015" s="4"/>
    </row>
    <row r="2016" spans="66:84">
      <c r="BN2016" s="4"/>
      <c r="BO2016" s="4"/>
      <c r="BQ2016" s="4"/>
      <c r="CC2016" s="4"/>
      <c r="CD2016" s="4"/>
      <c r="CF2016" s="4"/>
    </row>
    <row r="2017" spans="66:84">
      <c r="BN2017" s="4"/>
      <c r="BO2017" s="4"/>
      <c r="BQ2017" s="4"/>
      <c r="CC2017" s="4"/>
      <c r="CD2017" s="4"/>
      <c r="CF2017" s="4"/>
    </row>
    <row r="2018" spans="66:84">
      <c r="BN2018" s="4"/>
      <c r="BO2018" s="4"/>
      <c r="BQ2018" s="4"/>
      <c r="CC2018" s="4"/>
      <c r="CD2018" s="4"/>
      <c r="CF2018" s="4"/>
    </row>
    <row r="2019" spans="66:84">
      <c r="BN2019" s="4"/>
      <c r="BO2019" s="4"/>
      <c r="BQ2019" s="4"/>
      <c r="CC2019" s="4"/>
      <c r="CD2019" s="4"/>
      <c r="CF2019" s="4"/>
    </row>
    <row r="2020" spans="66:84">
      <c r="BN2020" s="4"/>
      <c r="BO2020" s="4"/>
      <c r="BQ2020" s="4"/>
      <c r="CC2020" s="4"/>
      <c r="CD2020" s="4"/>
      <c r="CF2020" s="4"/>
    </row>
    <row r="2021" spans="66:84">
      <c r="BN2021" s="4"/>
      <c r="BO2021" s="4"/>
      <c r="BQ2021" s="4"/>
      <c r="CC2021" s="4"/>
      <c r="CD2021" s="4"/>
      <c r="CF2021" s="4"/>
    </row>
    <row r="2022" spans="66:84">
      <c r="BN2022" s="4"/>
      <c r="BO2022" s="4"/>
      <c r="BQ2022" s="4"/>
      <c r="CC2022" s="4"/>
      <c r="CD2022" s="4"/>
      <c r="CF2022" s="4"/>
    </row>
    <row r="2023" spans="66:84">
      <c r="BN2023" s="4"/>
      <c r="BO2023" s="4"/>
      <c r="BQ2023" s="4"/>
      <c r="CC2023" s="4"/>
      <c r="CD2023" s="4"/>
      <c r="CF2023" s="4"/>
    </row>
    <row r="2024" spans="66:84">
      <c r="BN2024" s="4"/>
      <c r="BO2024" s="4"/>
      <c r="BQ2024" s="4"/>
      <c r="CC2024" s="4"/>
      <c r="CD2024" s="4"/>
      <c r="CF2024" s="4"/>
    </row>
    <row r="2025" spans="66:84">
      <c r="BN2025" s="4"/>
      <c r="BO2025" s="4"/>
      <c r="BQ2025" s="4"/>
      <c r="CC2025" s="4"/>
      <c r="CD2025" s="4"/>
      <c r="CF2025" s="4"/>
    </row>
    <row r="2026" spans="66:84">
      <c r="BN2026" s="4"/>
      <c r="BO2026" s="4"/>
      <c r="BQ2026" s="4"/>
      <c r="CC2026" s="4"/>
      <c r="CD2026" s="4"/>
      <c r="CF2026" s="4"/>
    </row>
    <row r="2027" spans="66:84">
      <c r="BN2027" s="4"/>
      <c r="BO2027" s="4"/>
      <c r="BQ2027" s="4"/>
      <c r="CC2027" s="4"/>
      <c r="CD2027" s="4"/>
      <c r="CF2027" s="4"/>
    </row>
    <row r="2028" spans="66:84">
      <c r="BN2028" s="4"/>
      <c r="BO2028" s="4"/>
      <c r="BQ2028" s="4"/>
      <c r="CC2028" s="4"/>
      <c r="CD2028" s="4"/>
      <c r="CF2028" s="4"/>
    </row>
    <row r="2029" spans="66:84">
      <c r="BN2029" s="4"/>
      <c r="BO2029" s="4"/>
      <c r="BQ2029" s="4"/>
      <c r="CC2029" s="4"/>
      <c r="CD2029" s="4"/>
      <c r="CF2029" s="4"/>
    </row>
    <row r="2030" spans="66:84">
      <c r="BN2030" s="4"/>
      <c r="BO2030" s="4"/>
      <c r="BQ2030" s="4"/>
      <c r="CC2030" s="4"/>
      <c r="CD2030" s="4"/>
      <c r="CF2030" s="4"/>
    </row>
    <row r="2031" spans="66:84">
      <c r="BN2031" s="4"/>
      <c r="BO2031" s="4"/>
      <c r="BQ2031" s="4"/>
      <c r="CC2031" s="4"/>
      <c r="CD2031" s="4"/>
      <c r="CF2031" s="4"/>
    </row>
    <row r="2032" spans="66:84">
      <c r="BN2032" s="4"/>
      <c r="BO2032" s="4"/>
      <c r="BQ2032" s="4"/>
      <c r="CC2032" s="4"/>
      <c r="CD2032" s="4"/>
      <c r="CF2032" s="4"/>
    </row>
    <row r="2033" spans="66:84">
      <c r="BN2033" s="4"/>
      <c r="BO2033" s="4"/>
      <c r="BQ2033" s="4"/>
      <c r="CC2033" s="4"/>
      <c r="CD2033" s="4"/>
      <c r="CF2033" s="4"/>
    </row>
    <row r="2034" spans="66:84">
      <c r="BN2034" s="4"/>
      <c r="BO2034" s="4"/>
      <c r="BQ2034" s="4"/>
      <c r="CC2034" s="4"/>
      <c r="CD2034" s="4"/>
      <c r="CF2034" s="4"/>
    </row>
    <row r="2035" spans="66:84">
      <c r="BN2035" s="4"/>
      <c r="BO2035" s="4"/>
      <c r="BQ2035" s="4"/>
      <c r="CC2035" s="4"/>
      <c r="CD2035" s="4"/>
      <c r="CF2035" s="4"/>
    </row>
    <row r="2036" spans="66:84">
      <c r="BN2036" s="4"/>
      <c r="BO2036" s="4"/>
      <c r="BQ2036" s="4"/>
      <c r="CC2036" s="4"/>
      <c r="CD2036" s="4"/>
      <c r="CF2036" s="4"/>
    </row>
    <row r="2037" spans="66:84">
      <c r="BN2037" s="4"/>
      <c r="BO2037" s="4"/>
      <c r="BQ2037" s="4"/>
      <c r="CC2037" s="4"/>
      <c r="CD2037" s="4"/>
      <c r="CF2037" s="4"/>
    </row>
    <row r="2038" spans="66:84">
      <c r="BN2038" s="4"/>
      <c r="BO2038" s="4"/>
      <c r="BQ2038" s="4"/>
      <c r="CC2038" s="4"/>
      <c r="CD2038" s="4"/>
      <c r="CF2038" s="4"/>
    </row>
    <row r="2039" spans="66:84">
      <c r="BN2039" s="4"/>
      <c r="BO2039" s="4"/>
      <c r="BQ2039" s="4"/>
      <c r="CC2039" s="4"/>
      <c r="CD2039" s="4"/>
      <c r="CF2039" s="4"/>
    </row>
    <row r="2040" spans="66:84">
      <c r="BN2040" s="4"/>
      <c r="BO2040" s="4"/>
      <c r="BQ2040" s="4"/>
      <c r="CC2040" s="4"/>
      <c r="CD2040" s="4"/>
      <c r="CF2040" s="4"/>
    </row>
    <row r="2041" spans="66:84">
      <c r="BN2041" s="4"/>
      <c r="BO2041" s="4"/>
      <c r="BQ2041" s="4"/>
      <c r="CC2041" s="4"/>
      <c r="CD2041" s="4"/>
      <c r="CF2041" s="4"/>
    </row>
    <row r="2042" spans="66:84">
      <c r="BN2042" s="4"/>
      <c r="BO2042" s="4"/>
      <c r="BQ2042" s="4"/>
      <c r="CC2042" s="4"/>
      <c r="CD2042" s="4"/>
      <c r="CF2042" s="4"/>
    </row>
    <row r="2043" spans="66:84">
      <c r="BN2043" s="4"/>
      <c r="BO2043" s="4"/>
      <c r="BQ2043" s="4"/>
      <c r="CC2043" s="4"/>
      <c r="CD2043" s="4"/>
      <c r="CF2043" s="4"/>
    </row>
    <row r="2044" spans="66:84">
      <c r="BN2044" s="4"/>
      <c r="BO2044" s="4"/>
      <c r="BQ2044" s="4"/>
      <c r="CC2044" s="4"/>
      <c r="CD2044" s="4"/>
      <c r="CF2044" s="4"/>
    </row>
    <row r="2045" spans="66:84">
      <c r="BN2045" s="4"/>
      <c r="BO2045" s="4"/>
      <c r="BQ2045" s="4"/>
      <c r="CC2045" s="4"/>
      <c r="CD2045" s="4"/>
      <c r="CF2045" s="4"/>
    </row>
    <row r="2046" spans="66:84">
      <c r="BN2046" s="4"/>
      <c r="BO2046" s="4"/>
      <c r="BQ2046" s="4"/>
      <c r="CC2046" s="4"/>
      <c r="CD2046" s="4"/>
      <c r="CF2046" s="4"/>
    </row>
    <row r="2047" spans="66:84">
      <c r="BN2047" s="4"/>
      <c r="BO2047" s="4"/>
      <c r="BQ2047" s="4"/>
      <c r="CC2047" s="4"/>
      <c r="CD2047" s="4"/>
      <c r="CF2047" s="4"/>
    </row>
    <row r="2048" spans="66:84">
      <c r="BN2048" s="4"/>
      <c r="BO2048" s="4"/>
      <c r="BQ2048" s="4"/>
      <c r="CC2048" s="4"/>
      <c r="CD2048" s="4"/>
      <c r="CF2048" s="4"/>
    </row>
    <row r="2049" spans="66:84">
      <c r="BN2049" s="4"/>
      <c r="BO2049" s="4"/>
      <c r="BQ2049" s="4"/>
      <c r="CC2049" s="4"/>
      <c r="CD2049" s="4"/>
      <c r="CF2049" s="4"/>
    </row>
    <row r="2050" spans="66:84">
      <c r="BN2050" s="4"/>
      <c r="BO2050" s="4"/>
      <c r="BQ2050" s="4"/>
      <c r="CC2050" s="4"/>
      <c r="CD2050" s="4"/>
      <c r="CF2050" s="4"/>
    </row>
    <row r="2051" spans="66:84">
      <c r="BN2051" s="4"/>
      <c r="BO2051" s="4"/>
      <c r="BQ2051" s="4"/>
      <c r="CC2051" s="4"/>
      <c r="CD2051" s="4"/>
      <c r="CF2051" s="4"/>
    </row>
    <row r="2052" spans="66:84">
      <c r="BN2052" s="4"/>
      <c r="BO2052" s="4"/>
      <c r="BQ2052" s="4"/>
      <c r="CC2052" s="4"/>
      <c r="CD2052" s="4"/>
      <c r="CF2052" s="4"/>
    </row>
    <row r="2053" spans="66:84">
      <c r="BN2053" s="4"/>
      <c r="BO2053" s="4"/>
      <c r="BQ2053" s="4"/>
      <c r="CC2053" s="4"/>
      <c r="CD2053" s="4"/>
      <c r="CF2053" s="4"/>
    </row>
    <row r="2054" spans="66:84">
      <c r="BN2054" s="4"/>
      <c r="BO2054" s="4"/>
      <c r="BQ2054" s="4"/>
      <c r="CC2054" s="4"/>
      <c r="CD2054" s="4"/>
      <c r="CF2054" s="4"/>
    </row>
    <row r="2055" spans="66:84">
      <c r="BN2055" s="4"/>
      <c r="BO2055" s="4"/>
      <c r="BQ2055" s="4"/>
      <c r="CC2055" s="4"/>
      <c r="CD2055" s="4"/>
      <c r="CF2055" s="4"/>
    </row>
    <row r="2056" spans="66:84">
      <c r="BN2056" s="4"/>
      <c r="BO2056" s="4"/>
      <c r="BQ2056" s="4"/>
      <c r="CC2056" s="4"/>
      <c r="CD2056" s="4"/>
      <c r="CF2056" s="4"/>
    </row>
    <row r="2057" spans="66:84">
      <c r="BN2057" s="4"/>
      <c r="BO2057" s="4"/>
      <c r="BQ2057" s="4"/>
      <c r="CC2057" s="4"/>
      <c r="CD2057" s="4"/>
      <c r="CF2057" s="4"/>
    </row>
    <row r="2058" spans="66:84">
      <c r="BN2058" s="4"/>
      <c r="BO2058" s="4"/>
      <c r="BQ2058" s="4"/>
      <c r="CC2058" s="4"/>
      <c r="CD2058" s="4"/>
      <c r="CF2058" s="4"/>
    </row>
    <row r="2059" spans="66:84">
      <c r="BN2059" s="4"/>
      <c r="BO2059" s="4"/>
      <c r="BQ2059" s="4"/>
      <c r="CC2059" s="4"/>
      <c r="CD2059" s="4"/>
      <c r="CF2059" s="4"/>
    </row>
    <row r="2060" spans="66:84">
      <c r="BN2060" s="4"/>
      <c r="BO2060" s="4"/>
      <c r="BQ2060" s="4"/>
      <c r="CC2060" s="4"/>
      <c r="CD2060" s="4"/>
      <c r="CF2060" s="4"/>
    </row>
    <row r="2061" spans="66:84">
      <c r="BN2061" s="4"/>
      <c r="BO2061" s="4"/>
      <c r="BQ2061" s="4"/>
      <c r="CC2061" s="4"/>
      <c r="CD2061" s="4"/>
      <c r="CF2061" s="4"/>
    </row>
    <row r="2062" spans="66:84">
      <c r="BN2062" s="4"/>
      <c r="BO2062" s="4"/>
      <c r="BQ2062" s="4"/>
      <c r="CC2062" s="4"/>
      <c r="CD2062" s="4"/>
      <c r="CF2062" s="4"/>
    </row>
    <row r="2063" spans="66:84">
      <c r="BN2063" s="4"/>
      <c r="BO2063" s="4"/>
      <c r="BQ2063" s="4"/>
      <c r="CC2063" s="4"/>
      <c r="CD2063" s="4"/>
      <c r="CF2063" s="4"/>
    </row>
    <row r="2064" spans="66:84">
      <c r="BN2064" s="4"/>
      <c r="BO2064" s="4"/>
      <c r="BQ2064" s="4"/>
      <c r="CC2064" s="4"/>
      <c r="CD2064" s="4"/>
      <c r="CF2064" s="4"/>
    </row>
    <row r="2065" spans="66:84">
      <c r="BN2065" s="4"/>
      <c r="BO2065" s="4"/>
      <c r="BQ2065" s="4"/>
      <c r="CC2065" s="4"/>
      <c r="CD2065" s="4"/>
      <c r="CF2065" s="4"/>
    </row>
    <row r="2066" spans="66:84">
      <c r="BN2066" s="4"/>
      <c r="BO2066" s="4"/>
      <c r="BQ2066" s="4"/>
      <c r="CC2066" s="4"/>
      <c r="CD2066" s="4"/>
      <c r="CF2066" s="4"/>
    </row>
    <row r="2067" spans="66:84">
      <c r="BN2067" s="4"/>
      <c r="BO2067" s="4"/>
      <c r="BQ2067" s="4"/>
      <c r="CC2067" s="4"/>
      <c r="CD2067" s="4"/>
      <c r="CF2067" s="4"/>
    </row>
    <row r="2068" spans="66:84">
      <c r="BN2068" s="4"/>
      <c r="BO2068" s="4"/>
      <c r="BQ2068" s="4"/>
      <c r="CC2068" s="4"/>
      <c r="CD2068" s="4"/>
      <c r="CF2068" s="4"/>
    </row>
    <row r="2069" spans="66:84">
      <c r="BN2069" s="4"/>
      <c r="BO2069" s="4"/>
      <c r="BQ2069" s="4"/>
      <c r="CC2069" s="4"/>
      <c r="CD2069" s="4"/>
      <c r="CF2069" s="4"/>
    </row>
    <row r="2070" spans="66:84">
      <c r="BN2070" s="4"/>
      <c r="BO2070" s="4"/>
      <c r="BQ2070" s="4"/>
      <c r="CC2070" s="4"/>
      <c r="CD2070" s="4"/>
      <c r="CF2070" s="4"/>
    </row>
    <row r="2071" spans="66:84">
      <c r="BN2071" s="4"/>
      <c r="BO2071" s="4"/>
      <c r="BQ2071" s="4"/>
      <c r="CC2071" s="4"/>
      <c r="CD2071" s="4"/>
      <c r="CF2071" s="4"/>
    </row>
    <row r="2072" spans="66:84">
      <c r="BN2072" s="4"/>
      <c r="BO2072" s="4"/>
      <c r="BQ2072" s="4"/>
      <c r="CC2072" s="4"/>
      <c r="CD2072" s="4"/>
      <c r="CF2072" s="4"/>
    </row>
    <row r="2073" spans="66:84">
      <c r="BN2073" s="4"/>
      <c r="BO2073" s="4"/>
      <c r="BQ2073" s="4"/>
      <c r="CC2073" s="4"/>
      <c r="CD2073" s="4"/>
      <c r="CF2073" s="4"/>
    </row>
    <row r="2074" spans="66:84">
      <c r="BN2074" s="4"/>
      <c r="BO2074" s="4"/>
      <c r="BQ2074" s="4"/>
      <c r="CC2074" s="4"/>
      <c r="CD2074" s="4"/>
      <c r="CF2074" s="4"/>
    </row>
    <row r="2075" spans="66:84">
      <c r="BN2075" s="4"/>
      <c r="BO2075" s="4"/>
      <c r="BQ2075" s="4"/>
      <c r="CC2075" s="4"/>
      <c r="CD2075" s="4"/>
      <c r="CF2075" s="4"/>
    </row>
    <row r="2076" spans="66:84">
      <c r="BN2076" s="4"/>
      <c r="BO2076" s="4"/>
      <c r="BQ2076" s="4"/>
      <c r="CC2076" s="4"/>
      <c r="CD2076" s="4"/>
      <c r="CF2076" s="4"/>
    </row>
    <row r="2077" spans="66:84">
      <c r="BN2077" s="4"/>
      <c r="BO2077" s="4"/>
      <c r="BQ2077" s="4"/>
      <c r="CC2077" s="4"/>
      <c r="CD2077" s="4"/>
      <c r="CF2077" s="4"/>
    </row>
    <row r="2078" spans="66:84">
      <c r="BN2078" s="4"/>
      <c r="BO2078" s="4"/>
      <c r="BQ2078" s="4"/>
      <c r="CC2078" s="4"/>
      <c r="CD2078" s="4"/>
      <c r="CF2078" s="4"/>
    </row>
    <row r="2079" spans="66:84">
      <c r="BN2079" s="4"/>
      <c r="BO2079" s="4"/>
      <c r="BQ2079" s="4"/>
      <c r="CC2079" s="4"/>
      <c r="CD2079" s="4"/>
      <c r="CF2079" s="4"/>
    </row>
    <row r="2080" spans="66:84">
      <c r="BN2080" s="4"/>
      <c r="BO2080" s="4"/>
      <c r="BQ2080" s="4"/>
      <c r="CC2080" s="4"/>
      <c r="CD2080" s="4"/>
      <c r="CF2080" s="4"/>
    </row>
    <row r="2081" spans="66:84">
      <c r="BN2081" s="4"/>
      <c r="BO2081" s="4"/>
      <c r="BQ2081" s="4"/>
      <c r="CC2081" s="4"/>
      <c r="CD2081" s="4"/>
      <c r="CF2081" s="4"/>
    </row>
    <row r="2082" spans="66:84">
      <c r="BN2082" s="4"/>
      <c r="BO2082" s="4"/>
      <c r="BQ2082" s="4"/>
      <c r="CC2082" s="4"/>
      <c r="CD2082" s="4"/>
      <c r="CF2082" s="4"/>
    </row>
    <row r="2083" spans="66:84">
      <c r="BN2083" s="4"/>
      <c r="BO2083" s="4"/>
      <c r="BQ2083" s="4"/>
      <c r="CC2083" s="4"/>
      <c r="CD2083" s="4"/>
      <c r="CF2083" s="4"/>
    </row>
    <row r="2084" spans="66:84">
      <c r="BN2084" s="4"/>
      <c r="BO2084" s="4"/>
      <c r="BQ2084" s="4"/>
      <c r="CC2084" s="4"/>
      <c r="CD2084" s="4"/>
      <c r="CF2084" s="4"/>
    </row>
    <row r="2085" spans="66:84">
      <c r="BN2085" s="4"/>
      <c r="BO2085" s="4"/>
      <c r="BQ2085" s="4"/>
      <c r="CC2085" s="4"/>
      <c r="CD2085" s="4"/>
      <c r="CF2085" s="4"/>
    </row>
    <row r="2086" spans="66:84">
      <c r="BN2086" s="4"/>
      <c r="BO2086" s="4"/>
      <c r="BQ2086" s="4"/>
      <c r="CC2086" s="4"/>
      <c r="CD2086" s="4"/>
      <c r="CF2086" s="4"/>
    </row>
    <row r="2087" spans="66:84">
      <c r="BN2087" s="4"/>
      <c r="BO2087" s="4"/>
      <c r="BQ2087" s="4"/>
      <c r="CC2087" s="4"/>
      <c r="CD2087" s="4"/>
      <c r="CF2087" s="4"/>
    </row>
    <row r="2088" spans="66:84">
      <c r="BN2088" s="4"/>
      <c r="BO2088" s="4"/>
      <c r="BQ2088" s="4"/>
      <c r="CC2088" s="4"/>
      <c r="CD2088" s="4"/>
      <c r="CF2088" s="4"/>
    </row>
    <row r="2089" spans="66:84">
      <c r="BN2089" s="4"/>
      <c r="BO2089" s="4"/>
      <c r="BQ2089" s="4"/>
      <c r="CC2089" s="4"/>
      <c r="CD2089" s="4"/>
      <c r="CF2089" s="4"/>
    </row>
    <row r="2090" spans="66:84">
      <c r="BN2090" s="4"/>
      <c r="BO2090" s="4"/>
      <c r="BQ2090" s="4"/>
      <c r="CC2090" s="4"/>
      <c r="CD2090" s="4"/>
      <c r="CF2090" s="4"/>
    </row>
    <row r="2091" spans="66:84">
      <c r="BN2091" s="4"/>
      <c r="BO2091" s="4"/>
      <c r="BQ2091" s="4"/>
      <c r="CC2091" s="4"/>
      <c r="CD2091" s="4"/>
      <c r="CF2091" s="4"/>
    </row>
    <row r="2092" spans="66:84">
      <c r="BN2092" s="4"/>
      <c r="BO2092" s="4"/>
      <c r="BQ2092" s="4"/>
      <c r="CC2092" s="4"/>
      <c r="CD2092" s="4"/>
      <c r="CF2092" s="4"/>
    </row>
    <row r="2093" spans="66:84">
      <c r="BN2093" s="4"/>
      <c r="BO2093" s="4"/>
      <c r="BQ2093" s="4"/>
      <c r="CC2093" s="4"/>
      <c r="CD2093" s="4"/>
      <c r="CF2093" s="4"/>
    </row>
    <row r="2094" spans="66:84">
      <c r="BN2094" s="4"/>
      <c r="BO2094" s="4"/>
      <c r="BQ2094" s="4"/>
      <c r="CC2094" s="4"/>
      <c r="CD2094" s="4"/>
      <c r="CF2094" s="4"/>
    </row>
    <row r="2095" spans="66:84">
      <c r="BN2095" s="4"/>
      <c r="BO2095" s="4"/>
      <c r="BQ2095" s="4"/>
      <c r="CC2095" s="4"/>
      <c r="CD2095" s="4"/>
      <c r="CF2095" s="4"/>
    </row>
    <row r="2096" spans="66:84">
      <c r="BN2096" s="4"/>
      <c r="BO2096" s="4"/>
      <c r="BQ2096" s="4"/>
      <c r="CC2096" s="4"/>
      <c r="CD2096" s="4"/>
      <c r="CF2096" s="4"/>
    </row>
    <row r="2097" spans="66:84">
      <c r="BN2097" s="4"/>
      <c r="BO2097" s="4"/>
      <c r="BQ2097" s="4"/>
      <c r="CC2097" s="4"/>
      <c r="CD2097" s="4"/>
      <c r="CF2097" s="4"/>
    </row>
    <row r="2098" spans="66:84">
      <c r="BN2098" s="4"/>
      <c r="BO2098" s="4"/>
      <c r="BQ2098" s="4"/>
      <c r="CC2098" s="4"/>
      <c r="CD2098" s="4"/>
      <c r="CF2098" s="4"/>
    </row>
    <row r="2099" spans="66:84">
      <c r="BN2099" s="4"/>
      <c r="BO2099" s="4"/>
      <c r="BQ2099" s="4"/>
      <c r="CC2099" s="4"/>
      <c r="CD2099" s="4"/>
      <c r="CF2099" s="4"/>
    </row>
    <row r="2100" spans="66:84">
      <c r="BN2100" s="4"/>
      <c r="BO2100" s="4"/>
      <c r="BQ2100" s="4"/>
      <c r="CC2100" s="4"/>
      <c r="CD2100" s="4"/>
      <c r="CF2100" s="4"/>
    </row>
    <row r="2101" spans="66:84">
      <c r="BN2101" s="4"/>
      <c r="BO2101" s="4"/>
      <c r="BQ2101" s="4"/>
      <c r="CC2101" s="4"/>
      <c r="CD2101" s="4"/>
      <c r="CF2101" s="4"/>
    </row>
    <row r="2102" spans="66:84">
      <c r="BN2102" s="4"/>
      <c r="BO2102" s="4"/>
      <c r="BQ2102" s="4"/>
      <c r="CC2102" s="4"/>
      <c r="CD2102" s="4"/>
      <c r="CF2102" s="4"/>
    </row>
    <row r="2103" spans="66:84">
      <c r="BN2103" s="4"/>
      <c r="BO2103" s="4"/>
      <c r="BQ2103" s="4"/>
      <c r="CC2103" s="4"/>
      <c r="CD2103" s="4"/>
      <c r="CF2103" s="4"/>
    </row>
    <row r="2104" spans="66:84">
      <c r="BN2104" s="4"/>
      <c r="BO2104" s="4"/>
      <c r="BQ2104" s="4"/>
      <c r="CC2104" s="4"/>
      <c r="CD2104" s="4"/>
      <c r="CF2104" s="4"/>
    </row>
    <row r="2105" spans="66:84">
      <c r="BN2105" s="4"/>
      <c r="BO2105" s="4"/>
      <c r="BQ2105" s="4"/>
      <c r="CC2105" s="4"/>
      <c r="CD2105" s="4"/>
      <c r="CF2105" s="4"/>
    </row>
    <row r="2106" spans="66:84">
      <c r="BN2106" s="4"/>
      <c r="BO2106" s="4"/>
      <c r="BQ2106" s="4"/>
      <c r="CC2106" s="4"/>
      <c r="CD2106" s="4"/>
      <c r="CF2106" s="4"/>
    </row>
    <row r="2107" spans="66:84">
      <c r="BN2107" s="4"/>
      <c r="BO2107" s="4"/>
      <c r="BQ2107" s="4"/>
      <c r="CC2107" s="4"/>
      <c r="CD2107" s="4"/>
      <c r="CF2107" s="4"/>
    </row>
    <row r="2108" spans="66:84">
      <c r="BN2108" s="4"/>
      <c r="BO2108" s="4"/>
      <c r="BQ2108" s="4"/>
      <c r="CC2108" s="4"/>
      <c r="CD2108" s="4"/>
      <c r="CF2108" s="4"/>
    </row>
    <row r="2109" spans="66:84">
      <c r="BN2109" s="4"/>
      <c r="BO2109" s="4"/>
      <c r="BQ2109" s="4"/>
      <c r="CC2109" s="4"/>
      <c r="CD2109" s="4"/>
      <c r="CF2109" s="4"/>
    </row>
    <row r="2110" spans="66:84">
      <c r="BN2110" s="4"/>
      <c r="BO2110" s="4"/>
      <c r="BQ2110" s="4"/>
      <c r="CC2110" s="4"/>
      <c r="CD2110" s="4"/>
      <c r="CF2110" s="4"/>
    </row>
    <row r="2111" spans="66:84">
      <c r="BN2111" s="4"/>
      <c r="BO2111" s="4"/>
      <c r="BQ2111" s="4"/>
      <c r="CC2111" s="4"/>
      <c r="CD2111" s="4"/>
      <c r="CF2111" s="4"/>
    </row>
    <row r="2112" spans="66:84">
      <c r="BN2112" s="4"/>
      <c r="BO2112" s="4"/>
      <c r="BQ2112" s="4"/>
      <c r="CC2112" s="4"/>
      <c r="CD2112" s="4"/>
      <c r="CF2112" s="4"/>
    </row>
    <row r="2113" spans="66:84">
      <c r="BN2113" s="4"/>
      <c r="BO2113" s="4"/>
      <c r="BQ2113" s="4"/>
      <c r="CC2113" s="4"/>
      <c r="CD2113" s="4"/>
      <c r="CF2113" s="4"/>
    </row>
    <row r="2114" spans="66:84">
      <c r="BN2114" s="4"/>
      <c r="BO2114" s="4"/>
      <c r="BQ2114" s="4"/>
      <c r="CC2114" s="4"/>
      <c r="CD2114" s="4"/>
      <c r="CF2114" s="4"/>
    </row>
    <row r="2115" spans="66:84">
      <c r="BN2115" s="4"/>
      <c r="BO2115" s="4"/>
      <c r="BQ2115" s="4"/>
      <c r="CC2115" s="4"/>
      <c r="CD2115" s="4"/>
      <c r="CF2115" s="4"/>
    </row>
    <row r="2116" spans="66:84">
      <c r="BN2116" s="4"/>
      <c r="BO2116" s="4"/>
      <c r="BQ2116" s="4"/>
      <c r="CC2116" s="4"/>
      <c r="CD2116" s="4"/>
      <c r="CF2116" s="4"/>
    </row>
    <row r="2117" spans="66:84">
      <c r="BN2117" s="4"/>
      <c r="BO2117" s="4"/>
      <c r="BQ2117" s="4"/>
      <c r="CC2117" s="4"/>
      <c r="CD2117" s="4"/>
      <c r="CF2117" s="4"/>
    </row>
    <row r="2118" spans="66:84">
      <c r="BN2118" s="4"/>
      <c r="BO2118" s="4"/>
      <c r="BQ2118" s="4"/>
      <c r="CC2118" s="4"/>
      <c r="CD2118" s="4"/>
      <c r="CF2118" s="4"/>
    </row>
    <row r="2119" spans="66:84">
      <c r="BN2119" s="4"/>
      <c r="BO2119" s="4"/>
      <c r="BQ2119" s="4"/>
      <c r="CC2119" s="4"/>
      <c r="CD2119" s="4"/>
      <c r="CF2119" s="4"/>
    </row>
    <row r="2120" spans="66:84">
      <c r="BN2120" s="4"/>
      <c r="BO2120" s="4"/>
      <c r="BQ2120" s="4"/>
      <c r="CC2120" s="4"/>
      <c r="CD2120" s="4"/>
      <c r="CF2120" s="4"/>
    </row>
    <row r="2121" spans="66:84">
      <c r="BN2121" s="4"/>
      <c r="BO2121" s="4"/>
      <c r="BQ2121" s="4"/>
      <c r="CC2121" s="4"/>
      <c r="CD2121" s="4"/>
      <c r="CF2121" s="4"/>
    </row>
    <row r="2122" spans="66:84">
      <c r="BN2122" s="4"/>
      <c r="BO2122" s="4"/>
      <c r="BQ2122" s="4"/>
      <c r="CC2122" s="4"/>
      <c r="CD2122" s="4"/>
      <c r="CF2122" s="4"/>
    </row>
    <row r="2123" spans="66:84">
      <c r="BN2123" s="4"/>
      <c r="BO2123" s="4"/>
      <c r="BQ2123" s="4"/>
      <c r="CC2123" s="4"/>
      <c r="CD2123" s="4"/>
      <c r="CF2123" s="4"/>
    </row>
    <row r="2124" spans="66:84">
      <c r="BN2124" s="4"/>
      <c r="BO2124" s="4"/>
      <c r="BQ2124" s="4"/>
      <c r="CC2124" s="4"/>
      <c r="CD2124" s="4"/>
      <c r="CF2124" s="4"/>
    </row>
    <row r="2125" spans="66:84">
      <c r="BN2125" s="4"/>
      <c r="BO2125" s="4"/>
      <c r="BQ2125" s="4"/>
      <c r="CC2125" s="4"/>
      <c r="CD2125" s="4"/>
      <c r="CF2125" s="4"/>
    </row>
    <row r="2126" spans="66:84">
      <c r="BN2126" s="4"/>
      <c r="BO2126" s="4"/>
      <c r="BQ2126" s="4"/>
      <c r="CC2126" s="4"/>
      <c r="CD2126" s="4"/>
      <c r="CF2126" s="4"/>
    </row>
    <row r="2127" spans="66:84">
      <c r="BN2127" s="4"/>
      <c r="BO2127" s="4"/>
      <c r="BQ2127" s="4"/>
      <c r="CC2127" s="4"/>
      <c r="CD2127" s="4"/>
      <c r="CF2127" s="4"/>
    </row>
    <row r="2128" spans="66:84">
      <c r="BN2128" s="4"/>
      <c r="BO2128" s="4"/>
      <c r="BQ2128" s="4"/>
      <c r="CC2128" s="4"/>
      <c r="CD2128" s="4"/>
      <c r="CF2128" s="4"/>
    </row>
    <row r="2129" spans="66:84">
      <c r="BN2129" s="4"/>
      <c r="BO2129" s="4"/>
      <c r="BQ2129" s="4"/>
      <c r="CC2129" s="4"/>
      <c r="CD2129" s="4"/>
      <c r="CF2129" s="4"/>
    </row>
    <row r="2130" spans="66:84">
      <c r="BN2130" s="4"/>
      <c r="BO2130" s="4"/>
      <c r="BQ2130" s="4"/>
      <c r="CC2130" s="4"/>
      <c r="CD2130" s="4"/>
      <c r="CF2130" s="4"/>
    </row>
    <row r="2131" spans="66:84">
      <c r="BN2131" s="4"/>
      <c r="BO2131" s="4"/>
      <c r="BQ2131" s="4"/>
      <c r="CC2131" s="4"/>
      <c r="CD2131" s="4"/>
      <c r="CF2131" s="4"/>
    </row>
    <row r="2132" spans="66:84">
      <c r="BN2132" s="4"/>
      <c r="BO2132" s="4"/>
      <c r="BQ2132" s="4"/>
      <c r="CC2132" s="4"/>
      <c r="CD2132" s="4"/>
      <c r="CF2132" s="4"/>
    </row>
    <row r="2133" spans="66:84">
      <c r="BN2133" s="4"/>
      <c r="BO2133" s="4"/>
      <c r="BQ2133" s="4"/>
      <c r="CC2133" s="4"/>
      <c r="CD2133" s="4"/>
      <c r="CF2133" s="4"/>
    </row>
    <row r="2134" spans="66:84">
      <c r="BN2134" s="4"/>
      <c r="BO2134" s="4"/>
      <c r="BQ2134" s="4"/>
      <c r="CC2134" s="4"/>
      <c r="CD2134" s="4"/>
      <c r="CF2134" s="4"/>
    </row>
    <row r="2135" spans="66:84">
      <c r="BN2135" s="4"/>
      <c r="BO2135" s="4"/>
      <c r="BQ2135" s="4"/>
      <c r="CC2135" s="4"/>
      <c r="CD2135" s="4"/>
      <c r="CF2135" s="4"/>
    </row>
    <row r="2136" spans="66:84">
      <c r="BN2136" s="4"/>
      <c r="BO2136" s="4"/>
      <c r="BQ2136" s="4"/>
      <c r="CC2136" s="4"/>
      <c r="CD2136" s="4"/>
      <c r="CF2136" s="4"/>
    </row>
    <row r="2137" spans="66:84">
      <c r="BN2137" s="4"/>
      <c r="BO2137" s="4"/>
      <c r="BQ2137" s="4"/>
      <c r="CC2137" s="4"/>
      <c r="CD2137" s="4"/>
      <c r="CF2137" s="4"/>
    </row>
    <row r="2138" spans="66:84">
      <c r="BN2138" s="4"/>
      <c r="BO2138" s="4"/>
      <c r="BQ2138" s="4"/>
      <c r="CC2138" s="4"/>
      <c r="CD2138" s="4"/>
      <c r="CF2138" s="4"/>
    </row>
    <row r="2139" spans="66:84">
      <c r="BN2139" s="4"/>
      <c r="BO2139" s="4"/>
      <c r="BQ2139" s="4"/>
      <c r="CC2139" s="4"/>
      <c r="CD2139" s="4"/>
      <c r="CF2139" s="4"/>
    </row>
    <row r="2140" spans="66:84">
      <c r="BN2140" s="4"/>
      <c r="BO2140" s="4"/>
      <c r="BQ2140" s="4"/>
      <c r="CC2140" s="4"/>
      <c r="CD2140" s="4"/>
      <c r="CF2140" s="4"/>
    </row>
    <row r="2141" spans="66:84">
      <c r="BN2141" s="4"/>
      <c r="BO2141" s="4"/>
      <c r="BQ2141" s="4"/>
      <c r="CC2141" s="4"/>
      <c r="CD2141" s="4"/>
      <c r="CF2141" s="4"/>
    </row>
    <row r="2142" spans="66:84">
      <c r="BN2142" s="4"/>
      <c r="BO2142" s="4"/>
      <c r="BQ2142" s="4"/>
      <c r="CC2142" s="4"/>
      <c r="CD2142" s="4"/>
      <c r="CF2142" s="4"/>
    </row>
    <row r="2143" spans="66:84">
      <c r="BN2143" s="4"/>
      <c r="BO2143" s="4"/>
      <c r="BQ2143" s="4"/>
      <c r="CC2143" s="4"/>
      <c r="CD2143" s="4"/>
      <c r="CF2143" s="4"/>
    </row>
    <row r="2144" spans="66:84">
      <c r="BN2144" s="4"/>
      <c r="BO2144" s="4"/>
      <c r="BQ2144" s="4"/>
      <c r="CC2144" s="4"/>
      <c r="CD2144" s="4"/>
      <c r="CF2144" s="4"/>
    </row>
    <row r="2145" spans="66:84">
      <c r="BN2145" s="4"/>
      <c r="BO2145" s="4"/>
      <c r="BQ2145" s="4"/>
      <c r="CC2145" s="4"/>
      <c r="CD2145" s="4"/>
      <c r="CF2145" s="4"/>
    </row>
    <row r="2146" spans="66:84">
      <c r="BN2146" s="4"/>
      <c r="BO2146" s="4"/>
      <c r="BQ2146" s="4"/>
      <c r="CC2146" s="4"/>
      <c r="CD2146" s="4"/>
      <c r="CF2146" s="4"/>
    </row>
    <row r="2147" spans="66:84">
      <c r="BN2147" s="4"/>
      <c r="BO2147" s="4"/>
      <c r="BQ2147" s="4"/>
      <c r="CC2147" s="4"/>
      <c r="CD2147" s="4"/>
      <c r="CF2147" s="4"/>
    </row>
    <row r="2148" spans="66:84">
      <c r="BN2148" s="4"/>
      <c r="BO2148" s="4"/>
      <c r="BQ2148" s="4"/>
      <c r="CC2148" s="4"/>
      <c r="CD2148" s="4"/>
      <c r="CF2148" s="4"/>
    </row>
    <row r="2149" spans="66:84">
      <c r="BN2149" s="4"/>
      <c r="BO2149" s="4"/>
      <c r="BQ2149" s="4"/>
      <c r="CC2149" s="4"/>
      <c r="CD2149" s="4"/>
      <c r="CF2149" s="4"/>
    </row>
    <row r="2150" spans="66:84">
      <c r="BN2150" s="4"/>
      <c r="BO2150" s="4"/>
      <c r="BQ2150" s="4"/>
      <c r="CC2150" s="4"/>
      <c r="CD2150" s="4"/>
      <c r="CF2150" s="4"/>
    </row>
    <row r="2151" spans="66:84">
      <c r="BN2151" s="4"/>
      <c r="BO2151" s="4"/>
      <c r="BQ2151" s="4"/>
      <c r="CC2151" s="4"/>
      <c r="CD2151" s="4"/>
      <c r="CF2151" s="4"/>
    </row>
    <row r="2152" spans="66:84">
      <c r="BN2152" s="4"/>
      <c r="BO2152" s="4"/>
      <c r="BQ2152" s="4"/>
      <c r="CC2152" s="4"/>
      <c r="CD2152" s="4"/>
      <c r="CF2152" s="4"/>
    </row>
    <row r="2153" spans="66:84">
      <c r="BN2153" s="4"/>
      <c r="BO2153" s="4"/>
      <c r="BQ2153" s="4"/>
      <c r="CC2153" s="4"/>
      <c r="CD2153" s="4"/>
      <c r="CF2153" s="4"/>
    </row>
    <row r="2154" spans="66:84">
      <c r="BN2154" s="4"/>
      <c r="BO2154" s="4"/>
      <c r="BQ2154" s="4"/>
      <c r="CC2154" s="4"/>
      <c r="CD2154" s="4"/>
      <c r="CF2154" s="4"/>
    </row>
    <row r="2155" spans="66:84">
      <c r="BN2155" s="4"/>
      <c r="BO2155" s="4"/>
      <c r="BQ2155" s="4"/>
      <c r="CC2155" s="4"/>
      <c r="CD2155" s="4"/>
      <c r="CF2155" s="4"/>
    </row>
    <row r="2156" spans="66:84">
      <c r="BN2156" s="4"/>
      <c r="BO2156" s="4"/>
      <c r="BQ2156" s="4"/>
      <c r="CC2156" s="4"/>
      <c r="CD2156" s="4"/>
      <c r="CF2156" s="4"/>
    </row>
    <row r="2157" spans="66:84">
      <c r="BN2157" s="4"/>
      <c r="BO2157" s="4"/>
      <c r="BQ2157" s="4"/>
      <c r="CC2157" s="4"/>
      <c r="CD2157" s="4"/>
      <c r="CF2157" s="4"/>
    </row>
    <row r="2158" spans="66:84">
      <c r="BN2158" s="4"/>
      <c r="BO2158" s="4"/>
      <c r="BQ2158" s="4"/>
      <c r="CC2158" s="4"/>
      <c r="CD2158" s="4"/>
      <c r="CF2158" s="4"/>
    </row>
    <row r="2159" spans="66:84">
      <c r="BN2159" s="4"/>
      <c r="BO2159" s="4"/>
      <c r="BQ2159" s="4"/>
      <c r="CC2159" s="4"/>
      <c r="CD2159" s="4"/>
      <c r="CF2159" s="4"/>
    </row>
    <row r="2160" spans="66:84">
      <c r="BN2160" s="4"/>
      <c r="BO2160" s="4"/>
      <c r="BQ2160" s="4"/>
      <c r="CC2160" s="4"/>
      <c r="CD2160" s="4"/>
      <c r="CF2160" s="4"/>
    </row>
    <row r="2161" spans="66:84">
      <c r="BN2161" s="4"/>
      <c r="BO2161" s="4"/>
      <c r="BQ2161" s="4"/>
      <c r="CC2161" s="4"/>
      <c r="CD2161" s="4"/>
      <c r="CF2161" s="4"/>
    </row>
    <row r="2162" spans="66:84">
      <c r="BN2162" s="4"/>
      <c r="BO2162" s="4"/>
      <c r="BQ2162" s="4"/>
      <c r="CC2162" s="4"/>
      <c r="CD2162" s="4"/>
      <c r="CF2162" s="4"/>
    </row>
    <row r="2163" spans="66:84">
      <c r="BN2163" s="4"/>
      <c r="BO2163" s="4"/>
      <c r="BQ2163" s="4"/>
      <c r="CC2163" s="4"/>
      <c r="CD2163" s="4"/>
      <c r="CF2163" s="4"/>
    </row>
    <row r="2164" spans="66:84">
      <c r="BN2164" s="4"/>
      <c r="BO2164" s="4"/>
      <c r="BQ2164" s="4"/>
      <c r="CC2164" s="4"/>
      <c r="CD2164" s="4"/>
      <c r="CF2164" s="4"/>
    </row>
    <row r="2165" spans="66:84">
      <c r="BN2165" s="4"/>
      <c r="BO2165" s="4"/>
      <c r="BQ2165" s="4"/>
      <c r="CC2165" s="4"/>
      <c r="CD2165" s="4"/>
      <c r="CF2165" s="4"/>
    </row>
    <row r="2166" spans="66:84">
      <c r="BN2166" s="4"/>
      <c r="BO2166" s="4"/>
      <c r="BQ2166" s="4"/>
      <c r="CC2166" s="4"/>
      <c r="CD2166" s="4"/>
      <c r="CF2166" s="4"/>
    </row>
    <row r="2167" spans="66:84">
      <c r="BN2167" s="4"/>
      <c r="BO2167" s="4"/>
      <c r="BQ2167" s="4"/>
      <c r="CC2167" s="4"/>
      <c r="CD2167" s="4"/>
      <c r="CF2167" s="4"/>
    </row>
    <row r="2168" spans="66:84">
      <c r="BN2168" s="4"/>
      <c r="BO2168" s="4"/>
      <c r="BQ2168" s="4"/>
      <c r="CC2168" s="4"/>
      <c r="CD2168" s="4"/>
      <c r="CF2168" s="4"/>
    </row>
    <row r="2169" spans="66:84">
      <c r="BN2169" s="4"/>
      <c r="BO2169" s="4"/>
      <c r="BQ2169" s="4"/>
      <c r="CC2169" s="4"/>
      <c r="CD2169" s="4"/>
      <c r="CF2169" s="4"/>
    </row>
    <row r="2170" spans="66:84">
      <c r="BN2170" s="4"/>
      <c r="BO2170" s="4"/>
      <c r="BQ2170" s="4"/>
      <c r="CC2170" s="4"/>
      <c r="CD2170" s="4"/>
      <c r="CF2170" s="4"/>
    </row>
    <row r="2171" spans="66:84">
      <c r="BN2171" s="4"/>
      <c r="BO2171" s="4"/>
      <c r="BQ2171" s="4"/>
      <c r="CC2171" s="4"/>
      <c r="CD2171" s="4"/>
      <c r="CF2171" s="4"/>
    </row>
    <row r="2172" spans="66:84">
      <c r="BN2172" s="4"/>
      <c r="BO2172" s="4"/>
      <c r="BQ2172" s="4"/>
      <c r="CC2172" s="4"/>
      <c r="CD2172" s="4"/>
      <c r="CF2172" s="4"/>
    </row>
    <row r="2173" spans="66:84">
      <c r="BN2173" s="4"/>
      <c r="BO2173" s="4"/>
      <c r="BQ2173" s="4"/>
      <c r="CC2173" s="4"/>
      <c r="CD2173" s="4"/>
      <c r="CF2173" s="4"/>
    </row>
    <row r="2174" spans="66:84">
      <c r="BN2174" s="4"/>
      <c r="BO2174" s="4"/>
      <c r="BQ2174" s="4"/>
      <c r="CC2174" s="4"/>
      <c r="CD2174" s="4"/>
      <c r="CF2174" s="4"/>
    </row>
    <row r="2175" spans="66:84">
      <c r="BN2175" s="4"/>
      <c r="BO2175" s="4"/>
      <c r="BQ2175" s="4"/>
      <c r="CC2175" s="4"/>
      <c r="CD2175" s="4"/>
      <c r="CF2175" s="4"/>
    </row>
    <row r="2176" spans="66:84">
      <c r="BN2176" s="4"/>
      <c r="BO2176" s="4"/>
      <c r="BQ2176" s="4"/>
      <c r="CC2176" s="4"/>
      <c r="CD2176" s="4"/>
      <c r="CF2176" s="4"/>
    </row>
    <row r="2177" spans="66:84">
      <c r="BN2177" s="4"/>
      <c r="BO2177" s="4"/>
      <c r="BQ2177" s="4"/>
      <c r="CC2177" s="4"/>
      <c r="CD2177" s="4"/>
      <c r="CF2177" s="4"/>
    </row>
    <row r="2178" spans="66:84">
      <c r="BN2178" s="4"/>
      <c r="BO2178" s="4"/>
      <c r="BQ2178" s="4"/>
      <c r="CC2178" s="4"/>
      <c r="CD2178" s="4"/>
      <c r="CF2178" s="4"/>
    </row>
    <row r="2179" spans="66:84">
      <c r="BN2179" s="4"/>
      <c r="BO2179" s="4"/>
      <c r="BQ2179" s="4"/>
      <c r="CC2179" s="4"/>
      <c r="CD2179" s="4"/>
      <c r="CF2179" s="4"/>
    </row>
    <row r="2180" spans="66:84">
      <c r="BN2180" s="4"/>
      <c r="BO2180" s="4"/>
      <c r="BQ2180" s="4"/>
      <c r="CC2180" s="4"/>
      <c r="CD2180" s="4"/>
      <c r="CF2180" s="4"/>
    </row>
    <row r="2181" spans="66:84">
      <c r="BN2181" s="4"/>
      <c r="BO2181" s="4"/>
      <c r="BQ2181" s="4"/>
      <c r="CC2181" s="4"/>
      <c r="CD2181" s="4"/>
      <c r="CF2181" s="4"/>
    </row>
    <row r="2182" spans="66:84">
      <c r="BN2182" s="4"/>
      <c r="BO2182" s="4"/>
      <c r="BQ2182" s="4"/>
      <c r="CC2182" s="4"/>
      <c r="CD2182" s="4"/>
      <c r="CF2182" s="4"/>
    </row>
    <row r="2183" spans="66:84">
      <c r="BN2183" s="4"/>
      <c r="BO2183" s="4"/>
      <c r="BQ2183" s="4"/>
      <c r="CC2183" s="4"/>
      <c r="CD2183" s="4"/>
      <c r="CF2183" s="4"/>
    </row>
    <row r="2184" spans="66:84">
      <c r="BN2184" s="4"/>
      <c r="BO2184" s="4"/>
      <c r="BQ2184" s="4"/>
      <c r="CC2184" s="4"/>
      <c r="CD2184" s="4"/>
      <c r="CF2184" s="4"/>
    </row>
    <row r="2185" spans="66:84">
      <c r="BN2185" s="4"/>
      <c r="BO2185" s="4"/>
      <c r="BQ2185" s="4"/>
      <c r="CC2185" s="4"/>
      <c r="CD2185" s="4"/>
      <c r="CF2185" s="4"/>
    </row>
    <row r="2186" spans="66:84">
      <c r="BN2186" s="4"/>
      <c r="BO2186" s="4"/>
      <c r="BQ2186" s="4"/>
      <c r="CC2186" s="4"/>
      <c r="CD2186" s="4"/>
      <c r="CF2186" s="4"/>
    </row>
    <row r="2187" spans="66:84">
      <c r="BN2187" s="4"/>
      <c r="BO2187" s="4"/>
      <c r="BQ2187" s="4"/>
      <c r="CC2187" s="4"/>
      <c r="CD2187" s="4"/>
      <c r="CF2187" s="4"/>
    </row>
    <row r="2188" spans="66:84">
      <c r="BN2188" s="4"/>
      <c r="BO2188" s="4"/>
      <c r="BQ2188" s="4"/>
      <c r="CC2188" s="4"/>
      <c r="CD2188" s="4"/>
      <c r="CF2188" s="4"/>
    </row>
    <row r="2189" spans="66:84">
      <c r="BN2189" s="4"/>
      <c r="BO2189" s="4"/>
      <c r="BQ2189" s="4"/>
      <c r="CC2189" s="4"/>
      <c r="CD2189" s="4"/>
      <c r="CF2189" s="4"/>
    </row>
    <row r="2190" spans="66:84">
      <c r="BN2190" s="4"/>
      <c r="BO2190" s="4"/>
      <c r="BQ2190" s="4"/>
      <c r="CC2190" s="4"/>
      <c r="CD2190" s="4"/>
      <c r="CF2190" s="4"/>
    </row>
    <row r="2191" spans="66:84">
      <c r="BN2191" s="4"/>
      <c r="BO2191" s="4"/>
      <c r="BQ2191" s="4"/>
      <c r="CC2191" s="4"/>
      <c r="CD2191" s="4"/>
      <c r="CF2191" s="4"/>
    </row>
    <row r="2192" spans="66:84">
      <c r="BN2192" s="4"/>
      <c r="BO2192" s="4"/>
      <c r="BQ2192" s="4"/>
      <c r="CC2192" s="4"/>
      <c r="CD2192" s="4"/>
      <c r="CF2192" s="4"/>
    </row>
    <row r="2193" spans="66:84">
      <c r="BN2193" s="4"/>
      <c r="BO2193" s="4"/>
      <c r="BQ2193" s="4"/>
      <c r="CC2193" s="4"/>
      <c r="CD2193" s="4"/>
      <c r="CF2193" s="4"/>
    </row>
    <row r="2194" spans="66:84">
      <c r="BN2194" s="4"/>
      <c r="BO2194" s="4"/>
      <c r="BQ2194" s="4"/>
      <c r="CC2194" s="4"/>
      <c r="CD2194" s="4"/>
      <c r="CF2194" s="4"/>
    </row>
    <row r="2195" spans="66:84">
      <c r="BN2195" s="4"/>
      <c r="BO2195" s="4"/>
      <c r="BQ2195" s="4"/>
      <c r="CC2195" s="4"/>
      <c r="CD2195" s="4"/>
      <c r="CF2195" s="4"/>
    </row>
    <row r="2196" spans="66:84">
      <c r="BN2196" s="4"/>
      <c r="BO2196" s="4"/>
      <c r="BQ2196" s="4"/>
      <c r="CC2196" s="4"/>
      <c r="CD2196" s="4"/>
      <c r="CF2196" s="4"/>
    </row>
    <row r="2197" spans="66:84">
      <c r="BN2197" s="4"/>
      <c r="BO2197" s="4"/>
      <c r="BQ2197" s="4"/>
      <c r="CC2197" s="4"/>
      <c r="CD2197" s="4"/>
      <c r="CF2197" s="4"/>
    </row>
    <row r="2198" spans="66:84">
      <c r="BN2198" s="4"/>
      <c r="BO2198" s="4"/>
      <c r="BQ2198" s="4"/>
      <c r="CC2198" s="4"/>
      <c r="CD2198" s="4"/>
      <c r="CF2198" s="4"/>
    </row>
    <row r="2199" spans="66:84">
      <c r="BN2199" s="4"/>
      <c r="BO2199" s="4"/>
      <c r="BQ2199" s="4"/>
      <c r="CC2199" s="4"/>
      <c r="CD2199" s="4"/>
      <c r="CF2199" s="4"/>
    </row>
    <row r="2200" spans="66:84">
      <c r="BN2200" s="4"/>
      <c r="BO2200" s="4"/>
      <c r="BQ2200" s="4"/>
      <c r="CC2200" s="4"/>
      <c r="CD2200" s="4"/>
      <c r="CF2200" s="4"/>
    </row>
    <row r="2201" spans="66:84">
      <c r="BN2201" s="4"/>
      <c r="BO2201" s="4"/>
      <c r="BQ2201" s="4"/>
      <c r="CC2201" s="4"/>
      <c r="CD2201" s="4"/>
      <c r="CF2201" s="4"/>
    </row>
    <row r="2202" spans="66:84">
      <c r="BN2202" s="4"/>
      <c r="BO2202" s="4"/>
      <c r="BQ2202" s="4"/>
      <c r="CC2202" s="4"/>
      <c r="CD2202" s="4"/>
      <c r="CF2202" s="4"/>
    </row>
    <row r="2203" spans="66:84">
      <c r="BN2203" s="4"/>
      <c r="BO2203" s="4"/>
      <c r="BQ2203" s="4"/>
      <c r="CC2203" s="4"/>
      <c r="CD2203" s="4"/>
      <c r="CF2203" s="4"/>
    </row>
    <row r="2204" spans="66:84">
      <c r="BN2204" s="4"/>
      <c r="BO2204" s="4"/>
      <c r="BQ2204" s="4"/>
      <c r="CC2204" s="4"/>
      <c r="CD2204" s="4"/>
      <c r="CF2204" s="4"/>
    </row>
    <row r="2205" spans="66:84">
      <c r="BN2205" s="4"/>
      <c r="BO2205" s="4"/>
      <c r="BQ2205" s="4"/>
      <c r="CC2205" s="4"/>
      <c r="CD2205" s="4"/>
      <c r="CF2205" s="4"/>
    </row>
    <row r="2206" spans="66:84">
      <c r="BN2206" s="4"/>
      <c r="BO2206" s="4"/>
      <c r="BQ2206" s="4"/>
      <c r="CC2206" s="4"/>
      <c r="CD2206" s="4"/>
      <c r="CF2206" s="4"/>
    </row>
    <row r="2207" spans="66:84">
      <c r="BN2207" s="4"/>
      <c r="BO2207" s="4"/>
      <c r="BQ2207" s="4"/>
      <c r="CC2207" s="4"/>
      <c r="CD2207" s="4"/>
      <c r="CF2207" s="4"/>
    </row>
    <row r="2208" spans="66:84">
      <c r="BN2208" s="4"/>
      <c r="BO2208" s="4"/>
      <c r="BQ2208" s="4"/>
      <c r="CC2208" s="4"/>
      <c r="CD2208" s="4"/>
      <c r="CF2208" s="4"/>
    </row>
    <row r="2209" spans="66:84">
      <c r="BN2209" s="4"/>
      <c r="BO2209" s="4"/>
      <c r="BQ2209" s="4"/>
      <c r="CC2209" s="4"/>
      <c r="CD2209" s="4"/>
      <c r="CF2209" s="4"/>
    </row>
    <row r="2210" spans="66:84">
      <c r="BN2210" s="4"/>
      <c r="BO2210" s="4"/>
      <c r="BQ2210" s="4"/>
      <c r="CC2210" s="4"/>
      <c r="CD2210" s="4"/>
      <c r="CF2210" s="4"/>
    </row>
    <row r="2211" spans="66:84">
      <c r="BN2211" s="4"/>
      <c r="BO2211" s="4"/>
      <c r="BQ2211" s="4"/>
      <c r="CC2211" s="4"/>
      <c r="CD2211" s="4"/>
      <c r="CF2211" s="4"/>
    </row>
    <row r="2212" spans="66:84">
      <c r="BN2212" s="4"/>
      <c r="BO2212" s="4"/>
      <c r="BQ2212" s="4"/>
      <c r="CC2212" s="4"/>
      <c r="CD2212" s="4"/>
      <c r="CF2212" s="4"/>
    </row>
    <row r="2213" spans="66:84">
      <c r="BN2213" s="4"/>
      <c r="BO2213" s="4"/>
      <c r="BQ2213" s="4"/>
      <c r="CC2213" s="4"/>
      <c r="CD2213" s="4"/>
      <c r="CF2213" s="4"/>
    </row>
    <row r="2214" spans="66:84">
      <c r="BN2214" s="4"/>
      <c r="BO2214" s="4"/>
      <c r="BQ2214" s="4"/>
      <c r="CC2214" s="4"/>
      <c r="CD2214" s="4"/>
      <c r="CF2214" s="4"/>
    </row>
    <row r="2215" spans="66:84">
      <c r="BN2215" s="4"/>
      <c r="BO2215" s="4"/>
      <c r="BQ2215" s="4"/>
      <c r="CC2215" s="4"/>
      <c r="CD2215" s="4"/>
      <c r="CF2215" s="4"/>
    </row>
    <row r="2216" spans="66:84">
      <c r="BN2216" s="4"/>
      <c r="BO2216" s="4"/>
      <c r="BQ2216" s="4"/>
      <c r="CC2216" s="4"/>
      <c r="CD2216" s="4"/>
      <c r="CF2216" s="4"/>
    </row>
    <row r="2217" spans="66:84">
      <c r="BN2217" s="4"/>
      <c r="BO2217" s="4"/>
      <c r="BQ2217" s="4"/>
      <c r="CC2217" s="4"/>
      <c r="CD2217" s="4"/>
      <c r="CF2217" s="4"/>
    </row>
    <row r="2218" spans="66:84">
      <c r="BN2218" s="4"/>
      <c r="BO2218" s="4"/>
      <c r="BQ2218" s="4"/>
      <c r="CC2218" s="4"/>
      <c r="CD2218" s="4"/>
      <c r="CF2218" s="4"/>
    </row>
    <row r="2219" spans="66:84">
      <c r="BN2219" s="4"/>
      <c r="BO2219" s="4"/>
      <c r="BQ2219" s="4"/>
      <c r="CC2219" s="4"/>
      <c r="CD2219" s="4"/>
      <c r="CF2219" s="4"/>
    </row>
    <row r="2220" spans="66:84">
      <c r="BN2220" s="4"/>
      <c r="BO2220" s="4"/>
      <c r="BQ2220" s="4"/>
      <c r="CC2220" s="4"/>
      <c r="CD2220" s="4"/>
      <c r="CF2220" s="4"/>
    </row>
    <row r="2221" spans="66:84">
      <c r="BN2221" s="4"/>
      <c r="BO2221" s="4"/>
      <c r="BQ2221" s="4"/>
      <c r="CC2221" s="4"/>
      <c r="CD2221" s="4"/>
      <c r="CF2221" s="4"/>
    </row>
    <row r="2222" spans="66:84">
      <c r="BN2222" s="4"/>
      <c r="BO2222" s="4"/>
      <c r="BQ2222" s="4"/>
      <c r="CC2222" s="4"/>
      <c r="CD2222" s="4"/>
      <c r="CF2222" s="4"/>
    </row>
    <row r="2223" spans="66:84">
      <c r="BN2223" s="4"/>
      <c r="BO2223" s="4"/>
      <c r="BQ2223" s="4"/>
      <c r="CC2223" s="4"/>
      <c r="CD2223" s="4"/>
      <c r="CF2223" s="4"/>
    </row>
    <row r="2224" spans="66:84">
      <c r="BN2224" s="4"/>
      <c r="BO2224" s="4"/>
      <c r="BQ2224" s="4"/>
      <c r="CC2224" s="4"/>
      <c r="CD2224" s="4"/>
      <c r="CF2224" s="4"/>
    </row>
    <row r="2225" spans="66:84">
      <c r="BN2225" s="4"/>
      <c r="BO2225" s="4"/>
      <c r="BQ2225" s="4"/>
      <c r="CC2225" s="4"/>
      <c r="CD2225" s="4"/>
      <c r="CF2225" s="4"/>
    </row>
    <row r="2226" spans="66:84">
      <c r="BN2226" s="4"/>
      <c r="BO2226" s="4"/>
      <c r="BQ2226" s="4"/>
      <c r="CC2226" s="4"/>
      <c r="CD2226" s="4"/>
      <c r="CF2226" s="4"/>
    </row>
    <row r="2227" spans="66:84">
      <c r="BN2227" s="4"/>
      <c r="BO2227" s="4"/>
      <c r="BQ2227" s="4"/>
      <c r="CC2227" s="4"/>
      <c r="CD2227" s="4"/>
      <c r="CF2227" s="4"/>
    </row>
    <row r="2228" spans="66:84">
      <c r="BN2228" s="4"/>
      <c r="BO2228" s="4"/>
      <c r="BQ2228" s="4"/>
      <c r="CC2228" s="4"/>
      <c r="CD2228" s="4"/>
      <c r="CF2228" s="4"/>
    </row>
    <row r="2229" spans="66:84">
      <c r="BN2229" s="4"/>
      <c r="BO2229" s="4"/>
      <c r="BQ2229" s="4"/>
      <c r="CC2229" s="4"/>
      <c r="CD2229" s="4"/>
      <c r="CF2229" s="4"/>
    </row>
    <row r="2230" spans="66:84">
      <c r="BN2230" s="4"/>
      <c r="BO2230" s="4"/>
      <c r="BQ2230" s="4"/>
      <c r="CC2230" s="4"/>
      <c r="CD2230" s="4"/>
      <c r="CF2230" s="4"/>
    </row>
    <row r="2231" spans="66:84">
      <c r="BN2231" s="4"/>
      <c r="BO2231" s="4"/>
      <c r="BQ2231" s="4"/>
      <c r="CC2231" s="4"/>
      <c r="CD2231" s="4"/>
      <c r="CF2231" s="4"/>
    </row>
    <row r="2232" spans="66:84">
      <c r="BN2232" s="4"/>
      <c r="BO2232" s="4"/>
      <c r="BQ2232" s="4"/>
      <c r="CC2232" s="4"/>
      <c r="CD2232" s="4"/>
      <c r="CF2232" s="4"/>
    </row>
    <row r="2233" spans="66:84">
      <c r="BN2233" s="4"/>
      <c r="BO2233" s="4"/>
      <c r="BQ2233" s="4"/>
      <c r="CC2233" s="4"/>
      <c r="CD2233" s="4"/>
      <c r="CF2233" s="4"/>
    </row>
    <row r="2234" spans="66:84">
      <c r="BN2234" s="4"/>
      <c r="BO2234" s="4"/>
      <c r="BQ2234" s="4"/>
      <c r="CC2234" s="4"/>
      <c r="CD2234" s="4"/>
      <c r="CF2234" s="4"/>
    </row>
    <row r="2235" spans="66:84">
      <c r="BN2235" s="4"/>
      <c r="BO2235" s="4"/>
      <c r="BQ2235" s="4"/>
      <c r="CC2235" s="4"/>
      <c r="CD2235" s="4"/>
      <c r="CF2235" s="4"/>
    </row>
    <row r="2236" spans="66:84">
      <c r="BN2236" s="4"/>
      <c r="BO2236" s="4"/>
      <c r="BQ2236" s="4"/>
      <c r="CC2236" s="4"/>
      <c r="CD2236" s="4"/>
      <c r="CF2236" s="4"/>
    </row>
    <row r="2237" spans="66:84">
      <c r="BN2237" s="4"/>
      <c r="BO2237" s="4"/>
      <c r="BQ2237" s="4"/>
      <c r="CC2237" s="4"/>
      <c r="CD2237" s="4"/>
      <c r="CF2237" s="4"/>
    </row>
    <row r="2238" spans="66:84">
      <c r="BN2238" s="4"/>
      <c r="BO2238" s="4"/>
      <c r="BQ2238" s="4"/>
      <c r="CC2238" s="4"/>
      <c r="CD2238" s="4"/>
      <c r="CF2238" s="4"/>
    </row>
    <row r="2239" spans="66:84">
      <c r="BN2239" s="4"/>
      <c r="BO2239" s="4"/>
      <c r="BQ2239" s="4"/>
      <c r="CC2239" s="4"/>
      <c r="CD2239" s="4"/>
      <c r="CF2239" s="4"/>
    </row>
    <row r="2240" spans="66:84">
      <c r="BN2240" s="4"/>
      <c r="BO2240" s="4"/>
      <c r="BQ2240" s="4"/>
      <c r="CC2240" s="4"/>
      <c r="CD2240" s="4"/>
      <c r="CF2240" s="4"/>
    </row>
    <row r="2241" spans="66:84">
      <c r="BN2241" s="4"/>
      <c r="BO2241" s="4"/>
      <c r="BQ2241" s="4"/>
      <c r="CC2241" s="4"/>
      <c r="CD2241" s="4"/>
      <c r="CF2241" s="4"/>
    </row>
    <row r="2242" spans="66:84">
      <c r="BN2242" s="4"/>
      <c r="BO2242" s="4"/>
      <c r="BQ2242" s="4"/>
      <c r="CC2242" s="4"/>
      <c r="CD2242" s="4"/>
      <c r="CF2242" s="4"/>
    </row>
    <row r="2243" spans="66:84">
      <c r="BN2243" s="4"/>
      <c r="BO2243" s="4"/>
      <c r="BQ2243" s="4"/>
      <c r="CC2243" s="4"/>
      <c r="CD2243" s="4"/>
      <c r="CF2243" s="4"/>
    </row>
    <row r="2244" spans="66:84">
      <c r="BN2244" s="4"/>
      <c r="BO2244" s="4"/>
      <c r="BQ2244" s="4"/>
      <c r="CC2244" s="4"/>
      <c r="CD2244" s="4"/>
      <c r="CF2244" s="4"/>
    </row>
    <row r="2245" spans="66:84">
      <c r="BN2245" s="4"/>
      <c r="BO2245" s="4"/>
      <c r="BQ2245" s="4"/>
      <c r="CC2245" s="4"/>
      <c r="CD2245" s="4"/>
      <c r="CF2245" s="4"/>
    </row>
    <row r="2246" spans="66:84">
      <c r="BN2246" s="4"/>
      <c r="BO2246" s="4"/>
      <c r="BQ2246" s="4"/>
      <c r="CC2246" s="4"/>
      <c r="CD2246" s="4"/>
      <c r="CF2246" s="4"/>
    </row>
    <row r="2247" spans="66:84">
      <c r="BN2247" s="4"/>
      <c r="BO2247" s="4"/>
      <c r="BQ2247" s="4"/>
      <c r="CC2247" s="4"/>
      <c r="CD2247" s="4"/>
      <c r="CF2247" s="4"/>
    </row>
    <row r="2248" spans="66:84">
      <c r="BN2248" s="4"/>
      <c r="BO2248" s="4"/>
      <c r="BQ2248" s="4"/>
      <c r="CC2248" s="4"/>
      <c r="CD2248" s="4"/>
      <c r="CF2248" s="4"/>
    </row>
    <row r="2249" spans="66:84">
      <c r="BN2249" s="4"/>
      <c r="BO2249" s="4"/>
      <c r="BQ2249" s="4"/>
      <c r="CC2249" s="4"/>
      <c r="CD2249" s="4"/>
      <c r="CF2249" s="4"/>
    </row>
    <row r="2250" spans="66:84">
      <c r="BN2250" s="4"/>
      <c r="BO2250" s="4"/>
      <c r="BQ2250" s="4"/>
      <c r="CC2250" s="4"/>
      <c r="CD2250" s="4"/>
      <c r="CF2250" s="4"/>
    </row>
    <row r="2251" spans="66:84">
      <c r="BN2251" s="4"/>
      <c r="BO2251" s="4"/>
      <c r="BQ2251" s="4"/>
      <c r="CC2251" s="4"/>
      <c r="CD2251" s="4"/>
      <c r="CF2251" s="4"/>
    </row>
    <row r="2252" spans="66:84">
      <c r="BN2252" s="4"/>
      <c r="BO2252" s="4"/>
      <c r="BQ2252" s="4"/>
      <c r="CC2252" s="4"/>
      <c r="CD2252" s="4"/>
      <c r="CF2252" s="4"/>
    </row>
    <row r="2253" spans="66:84">
      <c r="BN2253" s="4"/>
      <c r="BO2253" s="4"/>
      <c r="BQ2253" s="4"/>
      <c r="CC2253" s="4"/>
      <c r="CD2253" s="4"/>
      <c r="CF2253" s="4"/>
    </row>
    <row r="2254" spans="66:84">
      <c r="BN2254" s="4"/>
      <c r="BO2254" s="4"/>
      <c r="BQ2254" s="4"/>
      <c r="CC2254" s="4"/>
      <c r="CD2254" s="4"/>
      <c r="CF2254" s="4"/>
    </row>
    <row r="2255" spans="66:84">
      <c r="BN2255" s="4"/>
      <c r="BO2255" s="4"/>
      <c r="BQ2255" s="4"/>
      <c r="CC2255" s="4"/>
      <c r="CD2255" s="4"/>
      <c r="CF2255" s="4"/>
    </row>
    <row r="2256" spans="66:84">
      <c r="BN2256" s="4"/>
      <c r="BO2256" s="4"/>
      <c r="BQ2256" s="4"/>
      <c r="CC2256" s="4"/>
      <c r="CD2256" s="4"/>
      <c r="CF2256" s="4"/>
    </row>
    <row r="2257" spans="66:84">
      <c r="BN2257" s="4"/>
      <c r="BO2257" s="4"/>
      <c r="BQ2257" s="4"/>
      <c r="CC2257" s="4"/>
      <c r="CD2257" s="4"/>
      <c r="CF2257" s="4"/>
    </row>
    <row r="2258" spans="66:84">
      <c r="BN2258" s="4"/>
      <c r="BO2258" s="4"/>
      <c r="BQ2258" s="4"/>
      <c r="CC2258" s="4"/>
      <c r="CD2258" s="4"/>
      <c r="CF2258" s="4"/>
    </row>
    <row r="2259" spans="66:84">
      <c r="BN2259" s="4"/>
      <c r="BO2259" s="4"/>
      <c r="BQ2259" s="4"/>
      <c r="CC2259" s="4"/>
      <c r="CD2259" s="4"/>
      <c r="CF2259" s="4"/>
    </row>
    <row r="2260" spans="66:84">
      <c r="BN2260" s="4"/>
      <c r="BO2260" s="4"/>
      <c r="BQ2260" s="4"/>
      <c r="CC2260" s="4"/>
      <c r="CD2260" s="4"/>
      <c r="CF2260" s="4"/>
    </row>
    <row r="2261" spans="66:84">
      <c r="BN2261" s="4"/>
      <c r="BO2261" s="4"/>
      <c r="BQ2261" s="4"/>
      <c r="CC2261" s="4"/>
      <c r="CD2261" s="4"/>
      <c r="CF2261" s="4"/>
    </row>
    <row r="2262" spans="66:84">
      <c r="BN2262" s="4"/>
      <c r="BO2262" s="4"/>
      <c r="BQ2262" s="4"/>
      <c r="CC2262" s="4"/>
      <c r="CD2262" s="4"/>
      <c r="CF2262" s="4"/>
    </row>
    <row r="2263" spans="66:84">
      <c r="BN2263" s="4"/>
      <c r="BO2263" s="4"/>
      <c r="BQ2263" s="4"/>
      <c r="CC2263" s="4"/>
      <c r="CD2263" s="4"/>
      <c r="CF2263" s="4"/>
    </row>
    <row r="2264" spans="66:84">
      <c r="BN2264" s="4"/>
      <c r="BO2264" s="4"/>
      <c r="BQ2264" s="4"/>
      <c r="CC2264" s="4"/>
      <c r="CD2264" s="4"/>
      <c r="CF2264" s="4"/>
    </row>
    <row r="2265" spans="66:84">
      <c r="BN2265" s="4"/>
      <c r="BO2265" s="4"/>
      <c r="BQ2265" s="4"/>
      <c r="CC2265" s="4"/>
      <c r="CD2265" s="4"/>
      <c r="CF2265" s="4"/>
    </row>
    <row r="2266" spans="66:84">
      <c r="BN2266" s="4"/>
      <c r="BO2266" s="4"/>
      <c r="BQ2266" s="4"/>
      <c r="CC2266" s="4"/>
      <c r="CD2266" s="4"/>
      <c r="CF2266" s="4"/>
    </row>
    <row r="2267" spans="66:84">
      <c r="BN2267" s="4"/>
      <c r="BO2267" s="4"/>
      <c r="BQ2267" s="4"/>
      <c r="CC2267" s="4"/>
      <c r="CD2267" s="4"/>
      <c r="CF2267" s="4"/>
    </row>
    <row r="2268" spans="66:84">
      <c r="BN2268" s="4"/>
      <c r="BO2268" s="4"/>
      <c r="BQ2268" s="4"/>
      <c r="CC2268" s="4"/>
      <c r="CD2268" s="4"/>
      <c r="CF2268" s="4"/>
    </row>
    <row r="2269" spans="66:84">
      <c r="BN2269" s="4"/>
      <c r="BO2269" s="4"/>
      <c r="BQ2269" s="4"/>
      <c r="CC2269" s="4"/>
      <c r="CD2269" s="4"/>
      <c r="CF2269" s="4"/>
    </row>
    <row r="2270" spans="66:84">
      <c r="BN2270" s="4"/>
      <c r="BO2270" s="4"/>
      <c r="BQ2270" s="4"/>
      <c r="CC2270" s="4"/>
      <c r="CD2270" s="4"/>
      <c r="CF2270" s="4"/>
    </row>
    <row r="2271" spans="66:84">
      <c r="BN2271" s="4"/>
      <c r="BO2271" s="4"/>
      <c r="BQ2271" s="4"/>
      <c r="CC2271" s="4"/>
      <c r="CD2271" s="4"/>
      <c r="CF2271" s="4"/>
    </row>
    <row r="2272" spans="66:84">
      <c r="BN2272" s="4"/>
      <c r="BO2272" s="4"/>
      <c r="BQ2272" s="4"/>
      <c r="CC2272" s="4"/>
      <c r="CD2272" s="4"/>
      <c r="CF2272" s="4"/>
    </row>
    <row r="2273" spans="66:84">
      <c r="BN2273" s="4"/>
      <c r="BO2273" s="4"/>
      <c r="BQ2273" s="4"/>
      <c r="CC2273" s="4"/>
      <c r="CD2273" s="4"/>
      <c r="CF2273" s="4"/>
    </row>
    <row r="2274" spans="66:84">
      <c r="BN2274" s="4"/>
      <c r="BO2274" s="4"/>
      <c r="BQ2274" s="4"/>
      <c r="CC2274" s="4"/>
      <c r="CD2274" s="4"/>
      <c r="CF2274" s="4"/>
    </row>
    <row r="2275" spans="66:84">
      <c r="BN2275" s="4"/>
      <c r="BO2275" s="4"/>
      <c r="BQ2275" s="4"/>
      <c r="CC2275" s="4"/>
      <c r="CD2275" s="4"/>
      <c r="CF2275" s="4"/>
    </row>
    <row r="2276" spans="66:84">
      <c r="BN2276" s="4"/>
      <c r="BO2276" s="4"/>
      <c r="BQ2276" s="4"/>
      <c r="CC2276" s="4"/>
      <c r="CD2276" s="4"/>
      <c r="CF2276" s="4"/>
    </row>
    <row r="2277" spans="66:84">
      <c r="BN2277" s="4"/>
      <c r="BO2277" s="4"/>
      <c r="BQ2277" s="4"/>
      <c r="CC2277" s="4"/>
      <c r="CD2277" s="4"/>
      <c r="CF2277" s="4"/>
    </row>
    <row r="2278" spans="66:84">
      <c r="BN2278" s="4"/>
      <c r="BO2278" s="4"/>
      <c r="BQ2278" s="4"/>
      <c r="CC2278" s="4"/>
      <c r="CD2278" s="4"/>
      <c r="CF2278" s="4"/>
    </row>
    <row r="2279" spans="66:84">
      <c r="BN2279" s="4"/>
      <c r="BO2279" s="4"/>
      <c r="BQ2279" s="4"/>
      <c r="CC2279" s="4"/>
      <c r="CD2279" s="4"/>
      <c r="CF2279" s="4"/>
    </row>
    <row r="2280" spans="66:84">
      <c r="BN2280" s="4"/>
      <c r="BO2280" s="4"/>
      <c r="BQ2280" s="4"/>
      <c r="CC2280" s="4"/>
      <c r="CD2280" s="4"/>
      <c r="CF2280" s="4"/>
    </row>
    <row r="2281" spans="66:84">
      <c r="BN2281" s="4"/>
      <c r="BO2281" s="4"/>
      <c r="BQ2281" s="4"/>
      <c r="CC2281" s="4"/>
      <c r="CD2281" s="4"/>
      <c r="CF2281" s="4"/>
    </row>
    <row r="2282" spans="66:84">
      <c r="BN2282" s="4"/>
      <c r="BO2282" s="4"/>
      <c r="BQ2282" s="4"/>
      <c r="CC2282" s="4"/>
      <c r="CD2282" s="4"/>
      <c r="CF2282" s="4"/>
    </row>
    <row r="2283" spans="66:84">
      <c r="BN2283" s="4"/>
      <c r="BO2283" s="4"/>
      <c r="BQ2283" s="4"/>
      <c r="CC2283" s="4"/>
      <c r="CD2283" s="4"/>
      <c r="CF2283" s="4"/>
    </row>
    <row r="2284" spans="66:84">
      <c r="BN2284" s="4"/>
      <c r="BO2284" s="4"/>
      <c r="BQ2284" s="4"/>
      <c r="CC2284" s="4"/>
      <c r="CD2284" s="4"/>
      <c r="CF2284" s="4"/>
    </row>
    <row r="2285" spans="66:84">
      <c r="BN2285" s="4"/>
      <c r="BO2285" s="4"/>
      <c r="BQ2285" s="4"/>
      <c r="CC2285" s="4"/>
      <c r="CD2285" s="4"/>
      <c r="CF2285" s="4"/>
    </row>
    <row r="2286" spans="66:84">
      <c r="BN2286" s="4"/>
      <c r="BO2286" s="4"/>
      <c r="BQ2286" s="4"/>
      <c r="CC2286" s="4"/>
      <c r="CD2286" s="4"/>
      <c r="CF2286" s="4"/>
    </row>
    <row r="2287" spans="66:84">
      <c r="BN2287" s="4"/>
      <c r="BO2287" s="4"/>
      <c r="BQ2287" s="4"/>
      <c r="CC2287" s="4"/>
      <c r="CD2287" s="4"/>
      <c r="CF2287" s="4"/>
    </row>
    <row r="2288" spans="66:84">
      <c r="BN2288" s="4"/>
      <c r="BO2288" s="4"/>
      <c r="BQ2288" s="4"/>
      <c r="CC2288" s="4"/>
      <c r="CD2288" s="4"/>
      <c r="CF2288" s="4"/>
    </row>
    <row r="2289" spans="66:84">
      <c r="BN2289" s="4"/>
      <c r="BO2289" s="4"/>
      <c r="BQ2289" s="4"/>
      <c r="CC2289" s="4"/>
      <c r="CD2289" s="4"/>
      <c r="CF2289" s="4"/>
    </row>
    <row r="2290" spans="66:84">
      <c r="BN2290" s="4"/>
      <c r="BO2290" s="4"/>
      <c r="BQ2290" s="4"/>
      <c r="CC2290" s="4"/>
      <c r="CD2290" s="4"/>
      <c r="CF2290" s="4"/>
    </row>
    <row r="2291" spans="66:84">
      <c r="BN2291" s="4"/>
      <c r="BO2291" s="4"/>
      <c r="BQ2291" s="4"/>
      <c r="CC2291" s="4"/>
      <c r="CD2291" s="4"/>
      <c r="CF2291" s="4"/>
    </row>
    <row r="2292" spans="66:84">
      <c r="BN2292" s="4"/>
      <c r="BO2292" s="4"/>
      <c r="BQ2292" s="4"/>
      <c r="CC2292" s="4"/>
      <c r="CD2292" s="4"/>
      <c r="CF2292" s="4"/>
    </row>
    <row r="2293" spans="66:84">
      <c r="BN2293" s="4"/>
      <c r="BO2293" s="4"/>
      <c r="BQ2293" s="4"/>
      <c r="CC2293" s="4"/>
      <c r="CD2293" s="4"/>
      <c r="CF2293" s="4"/>
    </row>
    <row r="2294" spans="66:84">
      <c r="BN2294" s="4"/>
      <c r="BO2294" s="4"/>
      <c r="BQ2294" s="4"/>
      <c r="CC2294" s="4"/>
      <c r="CD2294" s="4"/>
      <c r="CF2294" s="4"/>
    </row>
    <row r="2295" spans="66:84">
      <c r="BN2295" s="4"/>
      <c r="BO2295" s="4"/>
      <c r="BQ2295" s="4"/>
      <c r="CC2295" s="4"/>
      <c r="CD2295" s="4"/>
      <c r="CF2295" s="4"/>
    </row>
    <row r="2296" spans="66:84">
      <c r="BN2296" s="4"/>
      <c r="BO2296" s="4"/>
      <c r="BQ2296" s="4"/>
      <c r="CC2296" s="4"/>
      <c r="CD2296" s="4"/>
      <c r="CF2296" s="4"/>
    </row>
    <row r="2297" spans="66:84">
      <c r="BN2297" s="4"/>
      <c r="BO2297" s="4"/>
      <c r="BQ2297" s="4"/>
      <c r="CC2297" s="4"/>
      <c r="CD2297" s="4"/>
      <c r="CF2297" s="4"/>
    </row>
    <row r="2298" spans="66:84">
      <c r="BN2298" s="4"/>
      <c r="BO2298" s="4"/>
      <c r="BQ2298" s="4"/>
      <c r="CC2298" s="4"/>
      <c r="CD2298" s="4"/>
      <c r="CF2298" s="4"/>
    </row>
    <row r="2299" spans="66:84">
      <c r="BN2299" s="4"/>
      <c r="BO2299" s="4"/>
      <c r="BQ2299" s="4"/>
      <c r="CC2299" s="4"/>
      <c r="CD2299" s="4"/>
      <c r="CF2299" s="4"/>
    </row>
    <row r="2300" spans="66:84">
      <c r="BN2300" s="4"/>
      <c r="BO2300" s="4"/>
      <c r="BQ2300" s="4"/>
      <c r="CC2300" s="4"/>
      <c r="CD2300" s="4"/>
      <c r="CF2300" s="4"/>
    </row>
    <row r="2301" spans="66:84">
      <c r="BN2301" s="4"/>
      <c r="BO2301" s="4"/>
      <c r="BQ2301" s="4"/>
      <c r="CC2301" s="4"/>
      <c r="CD2301" s="4"/>
      <c r="CF2301" s="4"/>
    </row>
    <row r="2302" spans="66:84">
      <c r="BN2302" s="4"/>
      <c r="BO2302" s="4"/>
      <c r="BQ2302" s="4"/>
      <c r="CC2302" s="4"/>
      <c r="CD2302" s="4"/>
      <c r="CF2302" s="4"/>
    </row>
    <row r="2303" spans="66:84">
      <c r="BN2303" s="4"/>
      <c r="BO2303" s="4"/>
      <c r="BQ2303" s="4"/>
      <c r="CC2303" s="4"/>
      <c r="CD2303" s="4"/>
      <c r="CF2303" s="4"/>
    </row>
    <row r="2304" spans="66:84">
      <c r="BN2304" s="4"/>
      <c r="BO2304" s="4"/>
      <c r="BQ2304" s="4"/>
      <c r="CC2304" s="4"/>
      <c r="CD2304" s="4"/>
      <c r="CF2304" s="4"/>
    </row>
    <row r="2305" spans="66:84">
      <c r="BN2305" s="4"/>
      <c r="BO2305" s="4"/>
      <c r="BQ2305" s="4"/>
      <c r="CC2305" s="4"/>
      <c r="CD2305" s="4"/>
      <c r="CF2305" s="4"/>
    </row>
    <row r="2306" spans="66:84">
      <c r="BN2306" s="4"/>
      <c r="BO2306" s="4"/>
      <c r="BQ2306" s="4"/>
      <c r="CC2306" s="4"/>
      <c r="CD2306" s="4"/>
      <c r="CF2306" s="4"/>
    </row>
    <row r="2307" spans="66:84">
      <c r="BN2307" s="4"/>
      <c r="BO2307" s="4"/>
      <c r="BQ2307" s="4"/>
      <c r="CC2307" s="4"/>
      <c r="CD2307" s="4"/>
      <c r="CF2307" s="4"/>
    </row>
    <row r="2308" spans="66:84">
      <c r="BN2308" s="4"/>
      <c r="BO2308" s="4"/>
      <c r="BQ2308" s="4"/>
      <c r="CC2308" s="4"/>
      <c r="CD2308" s="4"/>
      <c r="CF2308" s="4"/>
    </row>
    <row r="2309" spans="66:84">
      <c r="BN2309" s="4"/>
      <c r="BO2309" s="4"/>
      <c r="BQ2309" s="4"/>
      <c r="CC2309" s="4"/>
      <c r="CD2309" s="4"/>
      <c r="CF2309" s="4"/>
    </row>
    <row r="2310" spans="66:84">
      <c r="BN2310" s="4"/>
      <c r="BO2310" s="4"/>
      <c r="BQ2310" s="4"/>
      <c r="CC2310" s="4"/>
      <c r="CD2310" s="4"/>
      <c r="CF2310" s="4"/>
    </row>
    <row r="2311" spans="66:84">
      <c r="BN2311" s="4"/>
      <c r="BO2311" s="4"/>
      <c r="BQ2311" s="4"/>
      <c r="CC2311" s="4"/>
      <c r="CD2311" s="4"/>
      <c r="CF2311" s="4"/>
    </row>
    <row r="2312" spans="66:84">
      <c r="BN2312" s="4"/>
      <c r="BO2312" s="4"/>
      <c r="BQ2312" s="4"/>
      <c r="CC2312" s="4"/>
      <c r="CD2312" s="4"/>
      <c r="CF2312" s="4"/>
    </row>
    <row r="2313" spans="66:84">
      <c r="BN2313" s="4"/>
      <c r="BO2313" s="4"/>
      <c r="BQ2313" s="4"/>
      <c r="CC2313" s="4"/>
      <c r="CD2313" s="4"/>
      <c r="CF2313" s="4"/>
    </row>
    <row r="2314" spans="66:84">
      <c r="BN2314" s="4"/>
      <c r="BO2314" s="4"/>
      <c r="BQ2314" s="4"/>
      <c r="CC2314" s="4"/>
      <c r="CD2314" s="4"/>
      <c r="CF2314" s="4"/>
    </row>
    <row r="2315" spans="66:84">
      <c r="BN2315" s="4"/>
      <c r="BO2315" s="4"/>
      <c r="BQ2315" s="4"/>
      <c r="CC2315" s="4"/>
      <c r="CD2315" s="4"/>
      <c r="CF2315" s="4"/>
    </row>
    <row r="2316" spans="66:84">
      <c r="BN2316" s="4"/>
      <c r="BO2316" s="4"/>
      <c r="BQ2316" s="4"/>
      <c r="CC2316" s="4"/>
      <c r="CD2316" s="4"/>
      <c r="CF2316" s="4"/>
    </row>
    <row r="2317" spans="66:84">
      <c r="BN2317" s="4"/>
      <c r="BO2317" s="4"/>
      <c r="BQ2317" s="4"/>
      <c r="CC2317" s="4"/>
      <c r="CD2317" s="4"/>
      <c r="CF2317" s="4"/>
    </row>
    <row r="2318" spans="66:84">
      <c r="BN2318" s="4"/>
      <c r="BO2318" s="4"/>
      <c r="BQ2318" s="4"/>
      <c r="CC2318" s="4"/>
      <c r="CD2318" s="4"/>
      <c r="CF2318" s="4"/>
    </row>
    <row r="2319" spans="66:84">
      <c r="BN2319" s="4"/>
      <c r="BO2319" s="4"/>
      <c r="BQ2319" s="4"/>
      <c r="CC2319" s="4"/>
      <c r="CD2319" s="4"/>
      <c r="CF2319" s="4"/>
    </row>
    <row r="2320" spans="66:84">
      <c r="BN2320" s="4"/>
      <c r="BO2320" s="4"/>
      <c r="BQ2320" s="4"/>
      <c r="CC2320" s="4"/>
      <c r="CD2320" s="4"/>
      <c r="CF2320" s="4"/>
    </row>
    <row r="2321" spans="66:84">
      <c r="BN2321" s="4"/>
      <c r="BO2321" s="4"/>
      <c r="BQ2321" s="4"/>
      <c r="CC2321" s="4"/>
      <c r="CD2321" s="4"/>
      <c r="CF2321" s="4"/>
    </row>
    <row r="2322" spans="66:84">
      <c r="BN2322" s="4"/>
      <c r="BO2322" s="4"/>
      <c r="BQ2322" s="4"/>
      <c r="CC2322" s="4"/>
      <c r="CD2322" s="4"/>
      <c r="CF2322" s="4"/>
    </row>
    <row r="2323" spans="66:84">
      <c r="BN2323" s="4"/>
      <c r="BO2323" s="4"/>
      <c r="BQ2323" s="4"/>
      <c r="CC2323" s="4"/>
      <c r="CD2323" s="4"/>
      <c r="CF2323" s="4"/>
    </row>
    <row r="2324" spans="66:84">
      <c r="BN2324" s="4"/>
      <c r="BO2324" s="4"/>
      <c r="BQ2324" s="4"/>
      <c r="CC2324" s="4"/>
      <c r="CD2324" s="4"/>
      <c r="CF2324" s="4"/>
    </row>
    <row r="2325" spans="66:84">
      <c r="BN2325" s="4"/>
      <c r="BO2325" s="4"/>
      <c r="BQ2325" s="4"/>
      <c r="CC2325" s="4"/>
      <c r="CD2325" s="4"/>
      <c r="CF2325" s="4"/>
    </row>
    <row r="2326" spans="66:84">
      <c r="BN2326" s="4"/>
      <c r="BO2326" s="4"/>
      <c r="BQ2326" s="4"/>
      <c r="CC2326" s="4"/>
      <c r="CD2326" s="4"/>
      <c r="CF2326" s="4"/>
    </row>
    <row r="2327" spans="66:84">
      <c r="BN2327" s="4"/>
      <c r="BO2327" s="4"/>
      <c r="BQ2327" s="4"/>
      <c r="CC2327" s="4"/>
      <c r="CD2327" s="4"/>
      <c r="CF2327" s="4"/>
    </row>
    <row r="2328" spans="66:84">
      <c r="BN2328" s="4"/>
      <c r="BO2328" s="4"/>
      <c r="BQ2328" s="4"/>
      <c r="CC2328" s="4"/>
      <c r="CD2328" s="4"/>
      <c r="CF2328" s="4"/>
    </row>
    <row r="2329" spans="66:84">
      <c r="BN2329" s="4"/>
      <c r="BO2329" s="4"/>
      <c r="BQ2329" s="4"/>
      <c r="CC2329" s="4"/>
      <c r="CD2329" s="4"/>
      <c r="CF2329" s="4"/>
    </row>
    <row r="2330" spans="66:84">
      <c r="BN2330" s="4"/>
      <c r="BO2330" s="4"/>
      <c r="BQ2330" s="4"/>
      <c r="CC2330" s="4"/>
      <c r="CD2330" s="4"/>
      <c r="CF2330" s="4"/>
    </row>
    <row r="2331" spans="66:84">
      <c r="BN2331" s="4"/>
      <c r="BO2331" s="4"/>
      <c r="BQ2331" s="4"/>
      <c r="CC2331" s="4"/>
      <c r="CD2331" s="4"/>
      <c r="CF2331" s="4"/>
    </row>
    <row r="2332" spans="66:84">
      <c r="BN2332" s="4"/>
      <c r="BO2332" s="4"/>
      <c r="BQ2332" s="4"/>
      <c r="CC2332" s="4"/>
      <c r="CD2332" s="4"/>
      <c r="CF2332" s="4"/>
    </row>
    <row r="2333" spans="66:84">
      <c r="BN2333" s="4"/>
      <c r="BO2333" s="4"/>
      <c r="BQ2333" s="4"/>
      <c r="CC2333" s="4"/>
      <c r="CD2333" s="4"/>
      <c r="CF2333" s="4"/>
    </row>
    <row r="2334" spans="66:84">
      <c r="BN2334" s="4"/>
      <c r="BO2334" s="4"/>
      <c r="BQ2334" s="4"/>
      <c r="CC2334" s="4"/>
      <c r="CD2334" s="4"/>
      <c r="CF2334" s="4"/>
    </row>
    <row r="2335" spans="66:84">
      <c r="BN2335" s="4"/>
      <c r="BO2335" s="4"/>
      <c r="BQ2335" s="4"/>
      <c r="CC2335" s="4"/>
      <c r="CD2335" s="4"/>
      <c r="CF2335" s="4"/>
    </row>
    <row r="2336" spans="66:84">
      <c r="BN2336" s="4"/>
      <c r="BO2336" s="4"/>
      <c r="BQ2336" s="4"/>
      <c r="CC2336" s="4"/>
      <c r="CD2336" s="4"/>
      <c r="CF2336" s="4"/>
    </row>
    <row r="2337" spans="66:84">
      <c r="BN2337" s="4"/>
      <c r="BO2337" s="4"/>
      <c r="BQ2337" s="4"/>
      <c r="CC2337" s="4"/>
      <c r="CD2337" s="4"/>
      <c r="CF2337" s="4"/>
    </row>
    <row r="2338" spans="66:84">
      <c r="BN2338" s="4"/>
      <c r="BO2338" s="4"/>
      <c r="BQ2338" s="4"/>
      <c r="CC2338" s="4"/>
      <c r="CD2338" s="4"/>
      <c r="CF2338" s="4"/>
    </row>
    <row r="2339" spans="66:84">
      <c r="BN2339" s="4"/>
      <c r="BO2339" s="4"/>
      <c r="BQ2339" s="4"/>
      <c r="CC2339" s="4"/>
      <c r="CD2339" s="4"/>
      <c r="CF2339" s="4"/>
    </row>
    <row r="2340" spans="66:84">
      <c r="BN2340" s="4"/>
      <c r="BO2340" s="4"/>
      <c r="BQ2340" s="4"/>
      <c r="CC2340" s="4"/>
      <c r="CD2340" s="4"/>
      <c r="CF2340" s="4"/>
    </row>
    <row r="2341" spans="66:84">
      <c r="BN2341" s="4"/>
      <c r="BO2341" s="4"/>
      <c r="BQ2341" s="4"/>
      <c r="CC2341" s="4"/>
      <c r="CD2341" s="4"/>
      <c r="CF2341" s="4"/>
    </row>
    <row r="2342" spans="66:84">
      <c r="BN2342" s="4"/>
      <c r="BO2342" s="4"/>
      <c r="BQ2342" s="4"/>
      <c r="CC2342" s="4"/>
      <c r="CD2342" s="4"/>
      <c r="CF2342" s="4"/>
    </row>
    <row r="2343" spans="66:84">
      <c r="BN2343" s="4"/>
      <c r="BO2343" s="4"/>
      <c r="BQ2343" s="4"/>
      <c r="CC2343" s="4"/>
      <c r="CD2343" s="4"/>
      <c r="CF2343" s="4"/>
    </row>
    <row r="2344" spans="66:84">
      <c r="BN2344" s="4"/>
      <c r="BO2344" s="4"/>
      <c r="BQ2344" s="4"/>
      <c r="CC2344" s="4"/>
      <c r="CD2344" s="4"/>
      <c r="CF2344" s="4"/>
    </row>
    <row r="2345" spans="66:84">
      <c r="BN2345" s="4"/>
      <c r="BO2345" s="4"/>
      <c r="BQ2345" s="4"/>
      <c r="CC2345" s="4"/>
      <c r="CD2345" s="4"/>
      <c r="CF2345" s="4"/>
    </row>
    <row r="2346" spans="66:84">
      <c r="BN2346" s="4"/>
      <c r="BO2346" s="4"/>
      <c r="BQ2346" s="4"/>
      <c r="CC2346" s="4"/>
      <c r="CD2346" s="4"/>
      <c r="CF2346" s="4"/>
    </row>
    <row r="2347" spans="66:84">
      <c r="BN2347" s="4"/>
      <c r="BO2347" s="4"/>
      <c r="BQ2347" s="4"/>
      <c r="CC2347" s="4"/>
      <c r="CD2347" s="4"/>
      <c r="CF2347" s="4"/>
    </row>
    <row r="2348" spans="66:84">
      <c r="BN2348" s="4"/>
      <c r="BO2348" s="4"/>
      <c r="BQ2348" s="4"/>
      <c r="CC2348" s="4"/>
      <c r="CD2348" s="4"/>
      <c r="CF2348" s="4"/>
    </row>
    <row r="2349" spans="66:84">
      <c r="BN2349" s="4"/>
      <c r="BO2349" s="4"/>
      <c r="BQ2349" s="4"/>
      <c r="CC2349" s="4"/>
      <c r="CD2349" s="4"/>
      <c r="CF2349" s="4"/>
    </row>
    <row r="2350" spans="66:84">
      <c r="BN2350" s="4"/>
      <c r="BO2350" s="4"/>
      <c r="BQ2350" s="4"/>
      <c r="CC2350" s="4"/>
      <c r="CD2350" s="4"/>
      <c r="CF2350" s="4"/>
    </row>
    <row r="2351" spans="66:84">
      <c r="BN2351" s="4"/>
      <c r="BO2351" s="4"/>
      <c r="BQ2351" s="4"/>
      <c r="CC2351" s="4"/>
      <c r="CD2351" s="4"/>
      <c r="CF2351" s="4"/>
    </row>
    <row r="2352" spans="66:84">
      <c r="BN2352" s="4"/>
      <c r="BO2352" s="4"/>
      <c r="BQ2352" s="4"/>
      <c r="CC2352" s="4"/>
      <c r="CD2352" s="4"/>
      <c r="CF2352" s="4"/>
    </row>
    <row r="2353" spans="66:84">
      <c r="BN2353" s="4"/>
      <c r="BO2353" s="4"/>
      <c r="BQ2353" s="4"/>
      <c r="CC2353" s="4"/>
      <c r="CD2353" s="4"/>
      <c r="CF2353" s="4"/>
    </row>
    <row r="2354" spans="66:84">
      <c r="BN2354" s="4"/>
      <c r="BO2354" s="4"/>
      <c r="BQ2354" s="4"/>
      <c r="CC2354" s="4"/>
      <c r="CD2354" s="4"/>
      <c r="CF2354" s="4"/>
    </row>
    <row r="2355" spans="66:84">
      <c r="BN2355" s="4"/>
      <c r="BO2355" s="4"/>
      <c r="BQ2355" s="4"/>
      <c r="CC2355" s="4"/>
      <c r="CD2355" s="4"/>
      <c r="CF2355" s="4"/>
    </row>
    <row r="2356" spans="66:84">
      <c r="BN2356" s="4"/>
      <c r="BO2356" s="4"/>
      <c r="BQ2356" s="4"/>
      <c r="CC2356" s="4"/>
      <c r="CD2356" s="4"/>
      <c r="CF2356" s="4"/>
    </row>
    <row r="2357" spans="66:84">
      <c r="BN2357" s="4"/>
      <c r="BO2357" s="4"/>
      <c r="BQ2357" s="4"/>
      <c r="CC2357" s="4"/>
      <c r="CD2357" s="4"/>
      <c r="CF2357" s="4"/>
    </row>
    <row r="2358" spans="66:84">
      <c r="BN2358" s="4"/>
      <c r="BO2358" s="4"/>
      <c r="BQ2358" s="4"/>
      <c r="CC2358" s="4"/>
      <c r="CD2358" s="4"/>
      <c r="CF2358" s="4"/>
    </row>
    <row r="2359" spans="66:84">
      <c r="BN2359" s="4"/>
      <c r="BO2359" s="4"/>
      <c r="BQ2359" s="4"/>
      <c r="CC2359" s="4"/>
      <c r="CD2359" s="4"/>
      <c r="CF2359" s="4"/>
    </row>
    <row r="2360" spans="66:84">
      <c r="BN2360" s="4"/>
      <c r="BO2360" s="4"/>
      <c r="BQ2360" s="4"/>
      <c r="CC2360" s="4"/>
      <c r="CD2360" s="4"/>
      <c r="CF2360" s="4"/>
    </row>
    <row r="2361" spans="66:84">
      <c r="BN2361" s="4"/>
      <c r="BO2361" s="4"/>
      <c r="BQ2361" s="4"/>
      <c r="CC2361" s="4"/>
      <c r="CD2361" s="4"/>
      <c r="CF2361" s="4"/>
    </row>
    <row r="2362" spans="66:84">
      <c r="BN2362" s="4"/>
      <c r="BO2362" s="4"/>
      <c r="BQ2362" s="4"/>
      <c r="CC2362" s="4"/>
      <c r="CD2362" s="4"/>
      <c r="CF2362" s="4"/>
    </row>
    <row r="2363" spans="66:84">
      <c r="BN2363" s="4"/>
      <c r="BO2363" s="4"/>
      <c r="BQ2363" s="4"/>
      <c r="CC2363" s="4"/>
      <c r="CD2363" s="4"/>
      <c r="CF2363" s="4"/>
    </row>
    <row r="2364" spans="66:84">
      <c r="BN2364" s="4"/>
      <c r="BO2364" s="4"/>
      <c r="BQ2364" s="4"/>
      <c r="CC2364" s="4"/>
      <c r="CD2364" s="4"/>
      <c r="CF2364" s="4"/>
    </row>
    <row r="2365" spans="66:84">
      <c r="BN2365" s="4"/>
      <c r="BO2365" s="4"/>
      <c r="BQ2365" s="4"/>
      <c r="CC2365" s="4"/>
      <c r="CD2365" s="4"/>
      <c r="CF2365" s="4"/>
    </row>
    <row r="2366" spans="66:84">
      <c r="BN2366" s="4"/>
      <c r="BO2366" s="4"/>
      <c r="BQ2366" s="4"/>
      <c r="CC2366" s="4"/>
      <c r="CD2366" s="4"/>
      <c r="CF2366" s="4"/>
    </row>
    <row r="2367" spans="66:84">
      <c r="BN2367" s="4"/>
      <c r="BO2367" s="4"/>
      <c r="BQ2367" s="4"/>
      <c r="CC2367" s="4"/>
      <c r="CD2367" s="4"/>
      <c r="CF2367" s="4"/>
    </row>
    <row r="2368" spans="66:84">
      <c r="BN2368" s="4"/>
      <c r="BO2368" s="4"/>
      <c r="BQ2368" s="4"/>
      <c r="CC2368" s="4"/>
      <c r="CD2368" s="4"/>
      <c r="CF2368" s="4"/>
    </row>
    <row r="2369" spans="66:84">
      <c r="BN2369" s="4"/>
      <c r="BO2369" s="4"/>
      <c r="BQ2369" s="4"/>
      <c r="CC2369" s="4"/>
      <c r="CD2369" s="4"/>
      <c r="CF2369" s="4"/>
    </row>
    <row r="2370" spans="66:84">
      <c r="BN2370" s="4"/>
      <c r="BO2370" s="4"/>
      <c r="BQ2370" s="4"/>
      <c r="CC2370" s="4"/>
      <c r="CD2370" s="4"/>
      <c r="CF2370" s="4"/>
    </row>
    <row r="2371" spans="66:84">
      <c r="BN2371" s="4"/>
      <c r="BO2371" s="4"/>
      <c r="BQ2371" s="4"/>
      <c r="CC2371" s="4"/>
      <c r="CD2371" s="4"/>
      <c r="CF2371" s="4"/>
    </row>
    <row r="2372" spans="66:84">
      <c r="BN2372" s="4"/>
      <c r="BO2372" s="4"/>
      <c r="BQ2372" s="4"/>
      <c r="CC2372" s="4"/>
      <c r="CD2372" s="4"/>
      <c r="CF2372" s="4"/>
    </row>
    <row r="2373" spans="66:84">
      <c r="BN2373" s="4"/>
      <c r="BO2373" s="4"/>
      <c r="BQ2373" s="4"/>
      <c r="CC2373" s="4"/>
      <c r="CD2373" s="4"/>
      <c r="CF2373" s="4"/>
    </row>
    <row r="2374" spans="66:84">
      <c r="BN2374" s="4"/>
      <c r="BO2374" s="4"/>
      <c r="BQ2374" s="4"/>
      <c r="CC2374" s="4"/>
      <c r="CD2374" s="4"/>
      <c r="CF2374" s="4"/>
    </row>
    <row r="2375" spans="66:84">
      <c r="BN2375" s="4"/>
      <c r="BO2375" s="4"/>
      <c r="BQ2375" s="4"/>
      <c r="CC2375" s="4"/>
      <c r="CD2375" s="4"/>
      <c r="CF2375" s="4"/>
    </row>
    <row r="2376" spans="66:84">
      <c r="BN2376" s="4"/>
      <c r="BO2376" s="4"/>
      <c r="BQ2376" s="4"/>
      <c r="CC2376" s="4"/>
      <c r="CD2376" s="4"/>
      <c r="CF2376" s="4"/>
    </row>
    <row r="2377" spans="66:84">
      <c r="BN2377" s="4"/>
      <c r="BO2377" s="4"/>
      <c r="BQ2377" s="4"/>
      <c r="CC2377" s="4"/>
      <c r="CD2377" s="4"/>
      <c r="CF2377" s="4"/>
    </row>
    <row r="2378" spans="66:84">
      <c r="BN2378" s="4"/>
      <c r="BO2378" s="4"/>
      <c r="BQ2378" s="4"/>
      <c r="CC2378" s="4"/>
      <c r="CD2378" s="4"/>
      <c r="CF2378" s="4"/>
    </row>
    <row r="2379" spans="66:84">
      <c r="BN2379" s="4"/>
      <c r="BO2379" s="4"/>
      <c r="BQ2379" s="4"/>
      <c r="CC2379" s="4"/>
      <c r="CD2379" s="4"/>
      <c r="CF2379" s="4"/>
    </row>
    <row r="2380" spans="66:84">
      <c r="BN2380" s="4"/>
      <c r="BO2380" s="4"/>
      <c r="BQ2380" s="4"/>
      <c r="CC2380" s="4"/>
      <c r="CD2380" s="4"/>
      <c r="CF2380" s="4"/>
    </row>
    <row r="2381" spans="66:84">
      <c r="BN2381" s="4"/>
      <c r="BO2381" s="4"/>
      <c r="BQ2381" s="4"/>
      <c r="CC2381" s="4"/>
      <c r="CD2381" s="4"/>
      <c r="CF2381" s="4"/>
    </row>
    <row r="2382" spans="66:84">
      <c r="BN2382" s="4"/>
      <c r="BO2382" s="4"/>
      <c r="BQ2382" s="4"/>
      <c r="CC2382" s="4"/>
      <c r="CD2382" s="4"/>
      <c r="CF2382" s="4"/>
    </row>
    <row r="2383" spans="66:84">
      <c r="BN2383" s="4"/>
      <c r="BO2383" s="4"/>
      <c r="BQ2383" s="4"/>
      <c r="CC2383" s="4"/>
      <c r="CD2383" s="4"/>
      <c r="CF2383" s="4"/>
    </row>
    <row r="2384" spans="66:84">
      <c r="BN2384" s="4"/>
      <c r="BO2384" s="4"/>
      <c r="BQ2384" s="4"/>
      <c r="CC2384" s="4"/>
      <c r="CD2384" s="4"/>
      <c r="CF2384" s="4"/>
    </row>
    <row r="2385" spans="66:84">
      <c r="BN2385" s="4"/>
      <c r="BO2385" s="4"/>
      <c r="BQ2385" s="4"/>
      <c r="CC2385" s="4"/>
      <c r="CD2385" s="4"/>
      <c r="CF2385" s="4"/>
    </row>
    <row r="2386" spans="66:84">
      <c r="BN2386" s="4"/>
      <c r="BO2386" s="4"/>
      <c r="BQ2386" s="4"/>
      <c r="CC2386" s="4"/>
      <c r="CD2386" s="4"/>
      <c r="CF2386" s="4"/>
    </row>
    <row r="2387" spans="66:84">
      <c r="BN2387" s="4"/>
      <c r="BO2387" s="4"/>
      <c r="BQ2387" s="4"/>
      <c r="CC2387" s="4"/>
      <c r="CD2387" s="4"/>
      <c r="CF2387" s="4"/>
    </row>
    <row r="2388" spans="66:84">
      <c r="BN2388" s="4"/>
      <c r="BO2388" s="4"/>
      <c r="BQ2388" s="4"/>
      <c r="CC2388" s="4"/>
      <c r="CD2388" s="4"/>
      <c r="CF2388" s="4"/>
    </row>
    <row r="2389" spans="66:84">
      <c r="BN2389" s="4"/>
      <c r="BO2389" s="4"/>
      <c r="BQ2389" s="4"/>
      <c r="CC2389" s="4"/>
      <c r="CD2389" s="4"/>
      <c r="CF2389" s="4"/>
    </row>
    <row r="2390" spans="66:84">
      <c r="BN2390" s="4"/>
      <c r="BO2390" s="4"/>
      <c r="BQ2390" s="4"/>
      <c r="CC2390" s="4"/>
      <c r="CD2390" s="4"/>
      <c r="CF2390" s="4"/>
    </row>
    <row r="2391" spans="66:84">
      <c r="BN2391" s="4"/>
      <c r="BO2391" s="4"/>
      <c r="BQ2391" s="4"/>
      <c r="CC2391" s="4"/>
      <c r="CD2391" s="4"/>
      <c r="CF2391" s="4"/>
    </row>
    <row r="2392" spans="66:84">
      <c r="BN2392" s="4"/>
      <c r="BO2392" s="4"/>
      <c r="BQ2392" s="4"/>
      <c r="CC2392" s="4"/>
      <c r="CD2392" s="4"/>
      <c r="CF2392" s="4"/>
    </row>
    <row r="2393" spans="66:84">
      <c r="BN2393" s="4"/>
      <c r="BO2393" s="4"/>
      <c r="BQ2393" s="4"/>
      <c r="CC2393" s="4"/>
      <c r="CD2393" s="4"/>
      <c r="CF2393" s="4"/>
    </row>
    <row r="2394" spans="66:84">
      <c r="BN2394" s="4"/>
      <c r="BO2394" s="4"/>
      <c r="BQ2394" s="4"/>
      <c r="CC2394" s="4"/>
      <c r="CD2394" s="4"/>
      <c r="CF2394" s="4"/>
    </row>
    <row r="2395" spans="66:84">
      <c r="BN2395" s="4"/>
      <c r="BO2395" s="4"/>
      <c r="BQ2395" s="4"/>
      <c r="CC2395" s="4"/>
      <c r="CD2395" s="4"/>
      <c r="CF2395" s="4"/>
    </row>
    <row r="2396" spans="66:84">
      <c r="BN2396" s="4"/>
      <c r="BO2396" s="4"/>
      <c r="BQ2396" s="4"/>
      <c r="CC2396" s="4"/>
      <c r="CD2396" s="4"/>
      <c r="CF2396" s="4"/>
    </row>
    <row r="2397" spans="66:84">
      <c r="BN2397" s="4"/>
      <c r="BO2397" s="4"/>
      <c r="BQ2397" s="4"/>
      <c r="CC2397" s="4"/>
      <c r="CD2397" s="4"/>
      <c r="CF2397" s="4"/>
    </row>
    <row r="2398" spans="66:84">
      <c r="BN2398" s="4"/>
      <c r="BO2398" s="4"/>
      <c r="BQ2398" s="4"/>
      <c r="CC2398" s="4"/>
      <c r="CD2398" s="4"/>
      <c r="CF2398" s="4"/>
    </row>
    <row r="2399" spans="66:84">
      <c r="BN2399" s="4"/>
      <c r="BO2399" s="4"/>
      <c r="BQ2399" s="4"/>
      <c r="CC2399" s="4"/>
      <c r="CD2399" s="4"/>
      <c r="CF2399" s="4"/>
    </row>
    <row r="2400" spans="66:84">
      <c r="BN2400" s="4"/>
      <c r="BO2400" s="4"/>
      <c r="BQ2400" s="4"/>
      <c r="CC2400" s="4"/>
      <c r="CD2400" s="4"/>
      <c r="CF2400" s="4"/>
    </row>
    <row r="2401" spans="66:84">
      <c r="BN2401" s="4"/>
      <c r="BO2401" s="4"/>
      <c r="BQ2401" s="4"/>
      <c r="CC2401" s="4"/>
      <c r="CD2401" s="4"/>
      <c r="CF2401" s="4"/>
    </row>
    <row r="2402" spans="66:84">
      <c r="BN2402" s="4"/>
      <c r="BO2402" s="4"/>
      <c r="BQ2402" s="4"/>
      <c r="CC2402" s="4"/>
      <c r="CD2402" s="4"/>
      <c r="CF2402" s="4"/>
    </row>
    <row r="2403" spans="66:84">
      <c r="BN2403" s="4"/>
      <c r="BO2403" s="4"/>
      <c r="BQ2403" s="4"/>
      <c r="CC2403" s="4"/>
      <c r="CD2403" s="4"/>
      <c r="CF2403" s="4"/>
    </row>
    <row r="2404" spans="66:84">
      <c r="BN2404" s="4"/>
      <c r="BO2404" s="4"/>
      <c r="BQ2404" s="4"/>
      <c r="CC2404" s="4"/>
      <c r="CD2404" s="4"/>
      <c r="CF2404" s="4"/>
    </row>
    <row r="2405" spans="66:84">
      <c r="BN2405" s="4"/>
      <c r="BO2405" s="4"/>
      <c r="BQ2405" s="4"/>
      <c r="CC2405" s="4"/>
      <c r="CD2405" s="4"/>
      <c r="CF2405" s="4"/>
    </row>
    <row r="2406" spans="66:84">
      <c r="BN2406" s="4"/>
      <c r="BO2406" s="4"/>
      <c r="BQ2406" s="4"/>
      <c r="CC2406" s="4"/>
      <c r="CD2406" s="4"/>
      <c r="CF2406" s="4"/>
    </row>
    <row r="2407" spans="66:84">
      <c r="BN2407" s="4"/>
      <c r="BO2407" s="4"/>
      <c r="BQ2407" s="4"/>
      <c r="CC2407" s="4"/>
      <c r="CD2407" s="4"/>
      <c r="CF2407" s="4"/>
    </row>
    <row r="2408" spans="66:84">
      <c r="BN2408" s="4"/>
      <c r="BO2408" s="4"/>
      <c r="BQ2408" s="4"/>
      <c r="CC2408" s="4"/>
      <c r="CD2408" s="4"/>
      <c r="CF2408" s="4"/>
    </row>
    <row r="2409" spans="66:84">
      <c r="BN2409" s="4"/>
      <c r="BO2409" s="4"/>
      <c r="BQ2409" s="4"/>
      <c r="CC2409" s="4"/>
      <c r="CD2409" s="4"/>
      <c r="CF2409" s="4"/>
    </row>
    <row r="2410" spans="66:84">
      <c r="BN2410" s="4"/>
      <c r="BO2410" s="4"/>
      <c r="BQ2410" s="4"/>
      <c r="CC2410" s="4"/>
      <c r="CD2410" s="4"/>
      <c r="CF2410" s="4"/>
    </row>
    <row r="2411" spans="66:84">
      <c r="BN2411" s="4"/>
      <c r="BO2411" s="4"/>
      <c r="BQ2411" s="4"/>
      <c r="CC2411" s="4"/>
      <c r="CD2411" s="4"/>
      <c r="CF2411" s="4"/>
    </row>
    <row r="2412" spans="66:84">
      <c r="BN2412" s="4"/>
      <c r="BO2412" s="4"/>
      <c r="BQ2412" s="4"/>
      <c r="CC2412" s="4"/>
      <c r="CD2412" s="4"/>
      <c r="CF2412" s="4"/>
    </row>
    <row r="2413" spans="66:84">
      <c r="BN2413" s="4"/>
      <c r="BO2413" s="4"/>
      <c r="BQ2413" s="4"/>
      <c r="CC2413" s="4"/>
      <c r="CD2413" s="4"/>
      <c r="CF2413" s="4"/>
    </row>
    <row r="2414" spans="66:84">
      <c r="BN2414" s="4"/>
      <c r="BO2414" s="4"/>
      <c r="BQ2414" s="4"/>
      <c r="CC2414" s="4"/>
      <c r="CD2414" s="4"/>
      <c r="CF2414" s="4"/>
    </row>
    <row r="2415" spans="66:84">
      <c r="BN2415" s="4"/>
      <c r="BO2415" s="4"/>
      <c r="BQ2415" s="4"/>
      <c r="CC2415" s="4"/>
      <c r="CD2415" s="4"/>
      <c r="CF2415" s="4"/>
    </row>
    <row r="2416" spans="66:84">
      <c r="BN2416" s="4"/>
      <c r="BO2416" s="4"/>
      <c r="BQ2416" s="4"/>
      <c r="CC2416" s="4"/>
      <c r="CD2416" s="4"/>
      <c r="CF2416" s="4"/>
    </row>
    <row r="2417" spans="66:84">
      <c r="BN2417" s="4"/>
      <c r="BO2417" s="4"/>
      <c r="BQ2417" s="4"/>
      <c r="CC2417" s="4"/>
      <c r="CD2417" s="4"/>
      <c r="CF2417" s="4"/>
    </row>
    <row r="2418" spans="66:84">
      <c r="BN2418" s="4"/>
      <c r="BO2418" s="4"/>
      <c r="BQ2418" s="4"/>
      <c r="CC2418" s="4"/>
      <c r="CD2418" s="4"/>
      <c r="CF2418" s="4"/>
    </row>
    <row r="2419" spans="66:84">
      <c r="BN2419" s="4"/>
      <c r="BO2419" s="4"/>
      <c r="BQ2419" s="4"/>
      <c r="CC2419" s="4"/>
      <c r="CD2419" s="4"/>
      <c r="CF2419" s="4"/>
    </row>
    <row r="2420" spans="66:84">
      <c r="BN2420" s="4"/>
      <c r="BO2420" s="4"/>
      <c r="BQ2420" s="4"/>
      <c r="CC2420" s="4"/>
      <c r="CD2420" s="4"/>
      <c r="CF2420" s="4"/>
    </row>
    <row r="2421" spans="66:84">
      <c r="BN2421" s="4"/>
      <c r="BO2421" s="4"/>
      <c r="BQ2421" s="4"/>
      <c r="CC2421" s="4"/>
      <c r="CD2421" s="4"/>
      <c r="CF2421" s="4"/>
    </row>
    <row r="2422" spans="66:84">
      <c r="BN2422" s="4"/>
      <c r="BO2422" s="4"/>
      <c r="BQ2422" s="4"/>
      <c r="CC2422" s="4"/>
      <c r="CD2422" s="4"/>
      <c r="CF2422" s="4"/>
    </row>
    <row r="2423" spans="66:84">
      <c r="BN2423" s="4"/>
      <c r="BO2423" s="4"/>
      <c r="BQ2423" s="4"/>
      <c r="CC2423" s="4"/>
      <c r="CD2423" s="4"/>
      <c r="CF2423" s="4"/>
    </row>
    <row r="2424" spans="66:84">
      <c r="BN2424" s="4"/>
      <c r="BO2424" s="4"/>
      <c r="BQ2424" s="4"/>
      <c r="CC2424" s="4"/>
      <c r="CD2424" s="4"/>
      <c r="CF2424" s="4"/>
    </row>
    <row r="2425" spans="66:84">
      <c r="BN2425" s="4"/>
      <c r="BO2425" s="4"/>
      <c r="BQ2425" s="4"/>
      <c r="CC2425" s="4"/>
      <c r="CD2425" s="4"/>
      <c r="CF2425" s="4"/>
    </row>
    <row r="2426" spans="66:84">
      <c r="BN2426" s="4"/>
      <c r="BO2426" s="4"/>
      <c r="BQ2426" s="4"/>
      <c r="CC2426" s="4"/>
      <c r="CD2426" s="4"/>
      <c r="CF2426" s="4"/>
    </row>
    <row r="2427" spans="66:84">
      <c r="BN2427" s="4"/>
      <c r="BO2427" s="4"/>
      <c r="BQ2427" s="4"/>
      <c r="CC2427" s="4"/>
      <c r="CD2427" s="4"/>
      <c r="CF2427" s="4"/>
    </row>
    <row r="2428" spans="66:84">
      <c r="BN2428" s="4"/>
      <c r="BO2428" s="4"/>
      <c r="BQ2428" s="4"/>
      <c r="CC2428" s="4"/>
      <c r="CD2428" s="4"/>
      <c r="CF2428" s="4"/>
    </row>
    <row r="2429" spans="66:84">
      <c r="BN2429" s="4"/>
      <c r="BO2429" s="4"/>
      <c r="BQ2429" s="4"/>
      <c r="CC2429" s="4"/>
      <c r="CD2429" s="4"/>
      <c r="CF2429" s="4"/>
    </row>
    <row r="2430" spans="66:84">
      <c r="BN2430" s="4"/>
      <c r="BO2430" s="4"/>
      <c r="BQ2430" s="4"/>
      <c r="CC2430" s="4"/>
      <c r="CD2430" s="4"/>
      <c r="CF2430" s="4"/>
    </row>
    <row r="2431" spans="66:84">
      <c r="BN2431" s="4"/>
      <c r="BO2431" s="4"/>
      <c r="BQ2431" s="4"/>
      <c r="CC2431" s="4"/>
      <c r="CD2431" s="4"/>
      <c r="CF2431" s="4"/>
    </row>
    <row r="2432" spans="66:84">
      <c r="BN2432" s="4"/>
      <c r="BO2432" s="4"/>
      <c r="BQ2432" s="4"/>
      <c r="CC2432" s="4"/>
      <c r="CD2432" s="4"/>
      <c r="CF2432" s="4"/>
    </row>
    <row r="2433" spans="66:84">
      <c r="BN2433" s="4"/>
      <c r="BO2433" s="4"/>
      <c r="BQ2433" s="4"/>
      <c r="CC2433" s="4"/>
      <c r="CD2433" s="4"/>
      <c r="CF2433" s="4"/>
    </row>
    <row r="2434" spans="66:84">
      <c r="BN2434" s="4"/>
      <c r="BO2434" s="4"/>
      <c r="BQ2434" s="4"/>
      <c r="CC2434" s="4"/>
      <c r="CD2434" s="4"/>
      <c r="CF2434" s="4"/>
    </row>
    <row r="2435" spans="66:84">
      <c r="BN2435" s="4"/>
      <c r="BO2435" s="4"/>
      <c r="BQ2435" s="4"/>
      <c r="CC2435" s="4"/>
      <c r="CD2435" s="4"/>
      <c r="CF2435" s="4"/>
    </row>
    <row r="2436" spans="66:84">
      <c r="BN2436" s="4"/>
      <c r="BO2436" s="4"/>
      <c r="BQ2436" s="4"/>
      <c r="CC2436" s="4"/>
      <c r="CD2436" s="4"/>
      <c r="CF2436" s="4"/>
    </row>
    <row r="2437" spans="66:84">
      <c r="BN2437" s="4"/>
      <c r="BO2437" s="4"/>
      <c r="BQ2437" s="4"/>
      <c r="CC2437" s="4"/>
      <c r="CD2437" s="4"/>
      <c r="CF2437" s="4"/>
    </row>
    <row r="2438" spans="66:84">
      <c r="BN2438" s="4"/>
      <c r="BO2438" s="4"/>
      <c r="BQ2438" s="4"/>
      <c r="CC2438" s="4"/>
      <c r="CD2438" s="4"/>
      <c r="CF2438" s="4"/>
    </row>
    <row r="2439" spans="66:84">
      <c r="BN2439" s="4"/>
      <c r="BO2439" s="4"/>
      <c r="BQ2439" s="4"/>
      <c r="CC2439" s="4"/>
      <c r="CD2439" s="4"/>
      <c r="CF2439" s="4"/>
    </row>
    <row r="2440" spans="66:84">
      <c r="BN2440" s="4"/>
      <c r="BO2440" s="4"/>
      <c r="BQ2440" s="4"/>
      <c r="CC2440" s="4"/>
      <c r="CD2440" s="4"/>
      <c r="CF2440" s="4"/>
    </row>
    <row r="2441" spans="66:84">
      <c r="BN2441" s="4"/>
      <c r="BO2441" s="4"/>
      <c r="BQ2441" s="4"/>
      <c r="CC2441" s="4"/>
      <c r="CD2441" s="4"/>
      <c r="CF2441" s="4"/>
    </row>
    <row r="2442" spans="66:84">
      <c r="BN2442" s="4"/>
      <c r="BO2442" s="4"/>
      <c r="BQ2442" s="4"/>
      <c r="CC2442" s="4"/>
      <c r="CD2442" s="4"/>
      <c r="CF2442" s="4"/>
    </row>
    <row r="2443" spans="66:84">
      <c r="BN2443" s="4"/>
      <c r="BO2443" s="4"/>
      <c r="BQ2443" s="4"/>
      <c r="CC2443" s="4"/>
      <c r="CD2443" s="4"/>
      <c r="CF2443" s="4"/>
    </row>
    <row r="2444" spans="66:84">
      <c r="BN2444" s="4"/>
      <c r="BO2444" s="4"/>
      <c r="BQ2444" s="4"/>
      <c r="CC2444" s="4"/>
      <c r="CD2444" s="4"/>
      <c r="CF2444" s="4"/>
    </row>
    <row r="2445" spans="66:84">
      <c r="BN2445" s="4"/>
      <c r="BO2445" s="4"/>
      <c r="BQ2445" s="4"/>
      <c r="CC2445" s="4"/>
      <c r="CD2445" s="4"/>
      <c r="CF2445" s="4"/>
    </row>
    <row r="2446" spans="66:84">
      <c r="BN2446" s="4"/>
      <c r="BO2446" s="4"/>
      <c r="BQ2446" s="4"/>
      <c r="CC2446" s="4"/>
      <c r="CD2446" s="4"/>
      <c r="CF2446" s="4"/>
    </row>
    <row r="2447" spans="66:84">
      <c r="BN2447" s="4"/>
      <c r="BO2447" s="4"/>
      <c r="BQ2447" s="4"/>
      <c r="CC2447" s="4"/>
      <c r="CD2447" s="4"/>
      <c r="CF2447" s="4"/>
    </row>
    <row r="2448" spans="66:84">
      <c r="BN2448" s="4"/>
      <c r="BO2448" s="4"/>
      <c r="BQ2448" s="4"/>
      <c r="CC2448" s="4"/>
      <c r="CD2448" s="4"/>
      <c r="CF2448" s="4"/>
    </row>
    <row r="2449" spans="66:84">
      <c r="BN2449" s="4"/>
      <c r="BO2449" s="4"/>
      <c r="BQ2449" s="4"/>
      <c r="CC2449" s="4"/>
      <c r="CD2449" s="4"/>
      <c r="CF2449" s="4"/>
    </row>
    <row r="2450" spans="66:84">
      <c r="BN2450" s="4"/>
      <c r="BO2450" s="4"/>
      <c r="BQ2450" s="4"/>
      <c r="CC2450" s="4"/>
      <c r="CD2450" s="4"/>
      <c r="CF2450" s="4"/>
    </row>
    <row r="2451" spans="66:84">
      <c r="BN2451" s="4"/>
      <c r="BO2451" s="4"/>
      <c r="BQ2451" s="4"/>
      <c r="CC2451" s="4"/>
      <c r="CD2451" s="4"/>
      <c r="CF2451" s="4"/>
    </row>
    <row r="2452" spans="66:84">
      <c r="BN2452" s="4"/>
      <c r="BO2452" s="4"/>
      <c r="BQ2452" s="4"/>
      <c r="CC2452" s="4"/>
      <c r="CD2452" s="4"/>
      <c r="CF2452" s="4"/>
    </row>
    <row r="2453" spans="66:84">
      <c r="BN2453" s="4"/>
      <c r="BO2453" s="4"/>
      <c r="BQ2453" s="4"/>
      <c r="CC2453" s="4"/>
      <c r="CD2453" s="4"/>
      <c r="CF2453" s="4"/>
    </row>
    <row r="2454" spans="66:84">
      <c r="BN2454" s="4"/>
      <c r="BO2454" s="4"/>
      <c r="BQ2454" s="4"/>
      <c r="CC2454" s="4"/>
      <c r="CD2454" s="4"/>
      <c r="CF2454" s="4"/>
    </row>
    <row r="2455" spans="66:84">
      <c r="BN2455" s="4"/>
      <c r="BO2455" s="4"/>
      <c r="BQ2455" s="4"/>
      <c r="CC2455" s="4"/>
      <c r="CD2455" s="4"/>
      <c r="CF2455" s="4"/>
    </row>
    <row r="2456" spans="66:84">
      <c r="BN2456" s="4"/>
      <c r="BO2456" s="4"/>
      <c r="BQ2456" s="4"/>
      <c r="CC2456" s="4"/>
      <c r="CD2456" s="4"/>
      <c r="CF2456" s="4"/>
    </row>
    <row r="2457" spans="66:84">
      <c r="BN2457" s="4"/>
      <c r="BO2457" s="4"/>
      <c r="BQ2457" s="4"/>
      <c r="CC2457" s="4"/>
      <c r="CD2457" s="4"/>
      <c r="CF2457" s="4"/>
    </row>
    <row r="2458" spans="66:84">
      <c r="BN2458" s="4"/>
      <c r="BO2458" s="4"/>
      <c r="BQ2458" s="4"/>
      <c r="CC2458" s="4"/>
      <c r="CD2458" s="4"/>
      <c r="CF2458" s="4"/>
    </row>
    <row r="2459" spans="66:84">
      <c r="BN2459" s="4"/>
      <c r="BO2459" s="4"/>
      <c r="BQ2459" s="4"/>
      <c r="CC2459" s="4"/>
      <c r="CD2459" s="4"/>
      <c r="CF2459" s="4"/>
    </row>
    <row r="2460" spans="66:84">
      <c r="BN2460" s="4"/>
      <c r="BO2460" s="4"/>
      <c r="BQ2460" s="4"/>
      <c r="CC2460" s="4"/>
      <c r="CD2460" s="4"/>
      <c r="CF2460" s="4"/>
    </row>
    <row r="2461" spans="66:84">
      <c r="BN2461" s="4"/>
      <c r="BO2461" s="4"/>
      <c r="BQ2461" s="4"/>
      <c r="CC2461" s="4"/>
      <c r="CD2461" s="4"/>
      <c r="CF2461" s="4"/>
    </row>
    <row r="2462" spans="66:84">
      <c r="BN2462" s="4"/>
      <c r="BO2462" s="4"/>
      <c r="BQ2462" s="4"/>
      <c r="CC2462" s="4"/>
      <c r="CD2462" s="4"/>
      <c r="CF2462" s="4"/>
    </row>
    <row r="2463" spans="66:84">
      <c r="BN2463" s="4"/>
      <c r="BO2463" s="4"/>
      <c r="BQ2463" s="4"/>
      <c r="CC2463" s="4"/>
      <c r="CD2463" s="4"/>
      <c r="CF2463" s="4"/>
    </row>
    <row r="2464" spans="66:84">
      <c r="BN2464" s="4"/>
      <c r="BO2464" s="4"/>
      <c r="BQ2464" s="4"/>
      <c r="CC2464" s="4"/>
      <c r="CD2464" s="4"/>
      <c r="CF2464" s="4"/>
    </row>
    <row r="2465" spans="66:84">
      <c r="BN2465" s="4"/>
      <c r="BO2465" s="4"/>
      <c r="BQ2465" s="4"/>
      <c r="CC2465" s="4"/>
      <c r="CD2465" s="4"/>
      <c r="CF2465" s="4"/>
    </row>
    <row r="2466" spans="66:84">
      <c r="BN2466" s="4"/>
      <c r="BO2466" s="4"/>
      <c r="BQ2466" s="4"/>
      <c r="CC2466" s="4"/>
      <c r="CD2466" s="4"/>
      <c r="CF2466" s="4"/>
    </row>
    <row r="2467" spans="66:84">
      <c r="BN2467" s="4"/>
      <c r="BO2467" s="4"/>
      <c r="BQ2467" s="4"/>
      <c r="CC2467" s="4"/>
      <c r="CD2467" s="4"/>
      <c r="CF2467" s="4"/>
    </row>
    <row r="2468" spans="66:84">
      <c r="BN2468" s="4"/>
      <c r="BO2468" s="4"/>
      <c r="BQ2468" s="4"/>
      <c r="CC2468" s="4"/>
      <c r="CD2468" s="4"/>
      <c r="CF2468" s="4"/>
    </row>
    <row r="2469" spans="66:84">
      <c r="BN2469" s="4"/>
      <c r="BO2469" s="4"/>
      <c r="BQ2469" s="4"/>
      <c r="CC2469" s="4"/>
      <c r="CD2469" s="4"/>
      <c r="CF2469" s="4"/>
    </row>
    <row r="2470" spans="66:84">
      <c r="BN2470" s="4"/>
      <c r="BO2470" s="4"/>
      <c r="BQ2470" s="4"/>
      <c r="CC2470" s="4"/>
      <c r="CD2470" s="4"/>
      <c r="CF2470" s="4"/>
    </row>
    <row r="2471" spans="66:84">
      <c r="BN2471" s="4"/>
      <c r="BO2471" s="4"/>
      <c r="BQ2471" s="4"/>
      <c r="CC2471" s="4"/>
      <c r="CD2471" s="4"/>
      <c r="CF2471" s="4"/>
    </row>
    <row r="2472" spans="66:84">
      <c r="BN2472" s="4"/>
      <c r="BO2472" s="4"/>
      <c r="BQ2472" s="4"/>
      <c r="CC2472" s="4"/>
      <c r="CD2472" s="4"/>
      <c r="CF2472" s="4"/>
    </row>
    <row r="2473" spans="66:84">
      <c r="BN2473" s="4"/>
      <c r="BO2473" s="4"/>
      <c r="BQ2473" s="4"/>
      <c r="CC2473" s="4"/>
      <c r="CD2473" s="4"/>
      <c r="CF2473" s="4"/>
    </row>
    <row r="2474" spans="66:84">
      <c r="BN2474" s="4"/>
      <c r="BO2474" s="4"/>
      <c r="BQ2474" s="4"/>
      <c r="CC2474" s="4"/>
      <c r="CD2474" s="4"/>
      <c r="CF2474" s="4"/>
    </row>
    <row r="2475" spans="66:84">
      <c r="BN2475" s="4"/>
      <c r="BO2475" s="4"/>
      <c r="BQ2475" s="4"/>
      <c r="CC2475" s="4"/>
      <c r="CD2475" s="4"/>
      <c r="CF2475" s="4"/>
    </row>
    <row r="2476" spans="66:84">
      <c r="BN2476" s="4"/>
      <c r="BO2476" s="4"/>
      <c r="BQ2476" s="4"/>
      <c r="CC2476" s="4"/>
      <c r="CD2476" s="4"/>
      <c r="CF2476" s="4"/>
    </row>
    <row r="2477" spans="66:84">
      <c r="BN2477" s="4"/>
      <c r="BO2477" s="4"/>
      <c r="BQ2477" s="4"/>
      <c r="CC2477" s="4"/>
      <c r="CD2477" s="4"/>
      <c r="CF2477" s="4"/>
    </row>
    <row r="2478" spans="66:84">
      <c r="BN2478" s="4"/>
      <c r="BO2478" s="4"/>
      <c r="BQ2478" s="4"/>
      <c r="CC2478" s="4"/>
      <c r="CD2478" s="4"/>
      <c r="CF2478" s="4"/>
    </row>
    <row r="2479" spans="66:84">
      <c r="BN2479" s="4"/>
      <c r="BO2479" s="4"/>
      <c r="BQ2479" s="4"/>
      <c r="CC2479" s="4"/>
      <c r="CD2479" s="4"/>
      <c r="CF2479" s="4"/>
    </row>
    <row r="2480" spans="66:84">
      <c r="BN2480" s="4"/>
      <c r="BO2480" s="4"/>
      <c r="BQ2480" s="4"/>
      <c r="CC2480" s="4"/>
      <c r="CD2480" s="4"/>
      <c r="CF2480" s="4"/>
    </row>
    <row r="2481" spans="66:84">
      <c r="BN2481" s="4"/>
      <c r="BO2481" s="4"/>
      <c r="BQ2481" s="4"/>
      <c r="CC2481" s="4"/>
      <c r="CD2481" s="4"/>
      <c r="CF2481" s="4"/>
    </row>
    <row r="2482" spans="66:84">
      <c r="BN2482" s="4"/>
      <c r="BO2482" s="4"/>
      <c r="BQ2482" s="4"/>
      <c r="CC2482" s="4"/>
      <c r="CD2482" s="4"/>
      <c r="CF2482" s="4"/>
    </row>
    <row r="2483" spans="66:84">
      <c r="BN2483" s="4"/>
      <c r="BO2483" s="4"/>
      <c r="BQ2483" s="4"/>
      <c r="CC2483" s="4"/>
      <c r="CD2483" s="4"/>
      <c r="CF2483" s="4"/>
    </row>
    <row r="2484" spans="66:84">
      <c r="BN2484" s="4"/>
      <c r="BO2484" s="4"/>
      <c r="BQ2484" s="4"/>
      <c r="CC2484" s="4"/>
      <c r="CD2484" s="4"/>
      <c r="CF2484" s="4"/>
    </row>
    <row r="2485" spans="66:84">
      <c r="BN2485" s="4"/>
      <c r="BO2485" s="4"/>
      <c r="BQ2485" s="4"/>
      <c r="CC2485" s="4"/>
      <c r="CD2485" s="4"/>
      <c r="CF2485" s="4"/>
    </row>
    <row r="2486" spans="66:84">
      <c r="BN2486" s="4"/>
      <c r="BO2486" s="4"/>
      <c r="BQ2486" s="4"/>
      <c r="CC2486" s="4"/>
      <c r="CD2486" s="4"/>
      <c r="CF2486" s="4"/>
    </row>
    <row r="2487" spans="66:84">
      <c r="BN2487" s="4"/>
      <c r="BO2487" s="4"/>
      <c r="BQ2487" s="4"/>
      <c r="CC2487" s="4"/>
      <c r="CD2487" s="4"/>
      <c r="CF2487" s="4"/>
    </row>
    <row r="2488" spans="66:84">
      <c r="BN2488" s="4"/>
      <c r="BO2488" s="4"/>
      <c r="BQ2488" s="4"/>
      <c r="CC2488" s="4"/>
      <c r="CD2488" s="4"/>
      <c r="CF2488" s="4"/>
    </row>
    <row r="2489" spans="66:84">
      <c r="BN2489" s="4"/>
      <c r="BO2489" s="4"/>
      <c r="BQ2489" s="4"/>
      <c r="CC2489" s="4"/>
      <c r="CD2489" s="4"/>
      <c r="CF2489" s="4"/>
    </row>
    <row r="2490" spans="66:84">
      <c r="BN2490" s="4"/>
      <c r="BO2490" s="4"/>
      <c r="BQ2490" s="4"/>
      <c r="CC2490" s="4"/>
      <c r="CD2490" s="4"/>
      <c r="CF2490" s="4"/>
    </row>
    <row r="2491" spans="66:84">
      <c r="BN2491" s="4"/>
      <c r="BO2491" s="4"/>
      <c r="BQ2491" s="4"/>
      <c r="CC2491" s="4"/>
      <c r="CD2491" s="4"/>
      <c r="CF2491" s="4"/>
    </row>
    <row r="2492" spans="66:84">
      <c r="BN2492" s="4"/>
      <c r="BO2492" s="4"/>
      <c r="BQ2492" s="4"/>
      <c r="CC2492" s="4"/>
      <c r="CD2492" s="4"/>
      <c r="CF2492" s="4"/>
    </row>
    <row r="2493" spans="66:84">
      <c r="BN2493" s="4"/>
      <c r="BO2493" s="4"/>
      <c r="BQ2493" s="4"/>
      <c r="CC2493" s="4"/>
      <c r="CD2493" s="4"/>
      <c r="CF2493" s="4"/>
    </row>
    <row r="2494" spans="66:84">
      <c r="BN2494" s="4"/>
      <c r="BO2494" s="4"/>
      <c r="BQ2494" s="4"/>
      <c r="CC2494" s="4"/>
      <c r="CD2494" s="4"/>
      <c r="CF2494" s="4"/>
    </row>
    <row r="2495" spans="66:84">
      <c r="BN2495" s="4"/>
      <c r="BO2495" s="4"/>
      <c r="BQ2495" s="4"/>
      <c r="CC2495" s="4"/>
      <c r="CD2495" s="4"/>
      <c r="CF2495" s="4"/>
    </row>
    <row r="2496" spans="66:84">
      <c r="BN2496" s="4"/>
      <c r="BO2496" s="4"/>
      <c r="BQ2496" s="4"/>
      <c r="CC2496" s="4"/>
      <c r="CD2496" s="4"/>
      <c r="CF2496" s="4"/>
    </row>
    <row r="2497" spans="66:84">
      <c r="BN2497" s="4"/>
      <c r="BO2497" s="4"/>
      <c r="BQ2497" s="4"/>
      <c r="CC2497" s="4"/>
      <c r="CD2497" s="4"/>
      <c r="CF2497" s="4"/>
    </row>
    <row r="2498" spans="66:84">
      <c r="BN2498" s="4"/>
      <c r="BO2498" s="4"/>
      <c r="BQ2498" s="4"/>
      <c r="CC2498" s="4"/>
      <c r="CD2498" s="4"/>
      <c r="CF2498" s="4"/>
    </row>
    <row r="2499" spans="66:84">
      <c r="BN2499" s="4"/>
      <c r="BO2499" s="4"/>
      <c r="BQ2499" s="4"/>
      <c r="CC2499" s="4"/>
      <c r="CD2499" s="4"/>
      <c r="CF2499" s="4"/>
    </row>
    <row r="2500" spans="66:84">
      <c r="BN2500" s="4"/>
      <c r="BO2500" s="4"/>
      <c r="BQ2500" s="4"/>
      <c r="CC2500" s="4"/>
      <c r="CD2500" s="4"/>
      <c r="CF2500" s="4"/>
    </row>
    <row r="2501" spans="66:84">
      <c r="BN2501" s="4"/>
      <c r="BO2501" s="4"/>
      <c r="BQ2501" s="4"/>
      <c r="CC2501" s="4"/>
      <c r="CD2501" s="4"/>
      <c r="CF2501" s="4"/>
    </row>
    <row r="2502" spans="66:84">
      <c r="BN2502" s="4"/>
      <c r="BO2502" s="4"/>
      <c r="BQ2502" s="4"/>
      <c r="CC2502" s="4"/>
      <c r="CD2502" s="4"/>
      <c r="CF2502" s="4"/>
    </row>
    <row r="2503" spans="66:84">
      <c r="BN2503" s="4"/>
      <c r="BO2503" s="4"/>
      <c r="BQ2503" s="4"/>
      <c r="CC2503" s="4"/>
      <c r="CD2503" s="4"/>
      <c r="CF2503" s="4"/>
    </row>
    <row r="2504" spans="66:84">
      <c r="BN2504" s="4"/>
      <c r="BO2504" s="4"/>
      <c r="BQ2504" s="4"/>
      <c r="CC2504" s="4"/>
      <c r="CD2504" s="4"/>
      <c r="CF2504" s="4"/>
    </row>
    <row r="2505" spans="66:84">
      <c r="BN2505" s="4"/>
      <c r="BO2505" s="4"/>
      <c r="BQ2505" s="4"/>
      <c r="CC2505" s="4"/>
      <c r="CD2505" s="4"/>
      <c r="CF2505" s="4"/>
    </row>
    <row r="2506" spans="66:84">
      <c r="BN2506" s="4"/>
      <c r="BO2506" s="4"/>
      <c r="BQ2506" s="4"/>
      <c r="CC2506" s="4"/>
      <c r="CD2506" s="4"/>
      <c r="CF2506" s="4"/>
    </row>
    <row r="2507" spans="66:84">
      <c r="BN2507" s="4"/>
      <c r="BO2507" s="4"/>
      <c r="BQ2507" s="4"/>
      <c r="CC2507" s="4"/>
      <c r="CD2507" s="4"/>
      <c r="CF2507" s="4"/>
    </row>
    <row r="2508" spans="66:84">
      <c r="BN2508" s="4"/>
      <c r="BO2508" s="4"/>
      <c r="BQ2508" s="4"/>
      <c r="CC2508" s="4"/>
      <c r="CD2508" s="4"/>
      <c r="CF2508" s="4"/>
    </row>
    <row r="2509" spans="66:84">
      <c r="BN2509" s="4"/>
      <c r="BO2509" s="4"/>
      <c r="BQ2509" s="4"/>
      <c r="CC2509" s="4"/>
      <c r="CD2509" s="4"/>
      <c r="CF2509" s="4"/>
    </row>
    <row r="2510" spans="66:84">
      <c r="BN2510" s="4"/>
      <c r="BO2510" s="4"/>
      <c r="BQ2510" s="4"/>
      <c r="CC2510" s="4"/>
      <c r="CD2510" s="4"/>
      <c r="CF2510" s="4"/>
    </row>
    <row r="2511" spans="66:84">
      <c r="BN2511" s="4"/>
      <c r="BO2511" s="4"/>
      <c r="BQ2511" s="4"/>
      <c r="CC2511" s="4"/>
      <c r="CD2511" s="4"/>
      <c r="CF2511" s="4"/>
    </row>
    <row r="2512" spans="66:84">
      <c r="BN2512" s="4"/>
      <c r="BO2512" s="4"/>
      <c r="BQ2512" s="4"/>
      <c r="CC2512" s="4"/>
      <c r="CD2512" s="4"/>
      <c r="CF2512" s="4"/>
    </row>
    <row r="2513" spans="66:84">
      <c r="BN2513" s="4"/>
      <c r="BO2513" s="4"/>
      <c r="BQ2513" s="4"/>
      <c r="CC2513" s="4"/>
      <c r="CD2513" s="4"/>
      <c r="CF2513" s="4"/>
    </row>
    <row r="2514" spans="66:84">
      <c r="BN2514" s="4"/>
      <c r="BO2514" s="4"/>
      <c r="BQ2514" s="4"/>
      <c r="CC2514" s="4"/>
      <c r="CD2514" s="4"/>
      <c r="CF2514" s="4"/>
    </row>
    <row r="2515" spans="66:84">
      <c r="BN2515" s="4"/>
      <c r="BO2515" s="4"/>
      <c r="BQ2515" s="4"/>
      <c r="CC2515" s="4"/>
      <c r="CD2515" s="4"/>
      <c r="CF2515" s="4"/>
    </row>
    <row r="2516" spans="66:84">
      <c r="BN2516" s="4"/>
      <c r="BO2516" s="4"/>
      <c r="BQ2516" s="4"/>
      <c r="CC2516" s="4"/>
      <c r="CD2516" s="4"/>
      <c r="CF2516" s="4"/>
    </row>
    <row r="2517" spans="66:84">
      <c r="BN2517" s="4"/>
      <c r="BO2517" s="4"/>
      <c r="BQ2517" s="4"/>
      <c r="CC2517" s="4"/>
      <c r="CD2517" s="4"/>
      <c r="CF2517" s="4"/>
    </row>
    <row r="2518" spans="66:84">
      <c r="BN2518" s="4"/>
      <c r="BO2518" s="4"/>
      <c r="BQ2518" s="4"/>
      <c r="CC2518" s="4"/>
      <c r="CD2518" s="4"/>
      <c r="CF2518" s="4"/>
    </row>
    <row r="2519" spans="66:84">
      <c r="BN2519" s="4"/>
      <c r="BO2519" s="4"/>
      <c r="BQ2519" s="4"/>
      <c r="CC2519" s="4"/>
      <c r="CD2519" s="4"/>
      <c r="CF2519" s="4"/>
    </row>
    <row r="2520" spans="66:84">
      <c r="BN2520" s="4"/>
      <c r="BO2520" s="4"/>
      <c r="BQ2520" s="4"/>
      <c r="CC2520" s="4"/>
      <c r="CD2520" s="4"/>
      <c r="CF2520" s="4"/>
    </row>
    <row r="2521" spans="66:84">
      <c r="BN2521" s="4"/>
      <c r="BO2521" s="4"/>
      <c r="BQ2521" s="4"/>
      <c r="CC2521" s="4"/>
      <c r="CD2521" s="4"/>
      <c r="CF2521" s="4"/>
    </row>
    <row r="2522" spans="66:84">
      <c r="BN2522" s="4"/>
      <c r="BO2522" s="4"/>
      <c r="BQ2522" s="4"/>
      <c r="CC2522" s="4"/>
      <c r="CD2522" s="4"/>
      <c r="CF2522" s="4"/>
    </row>
    <row r="2523" spans="66:84">
      <c r="BN2523" s="4"/>
      <c r="BO2523" s="4"/>
      <c r="BQ2523" s="4"/>
      <c r="CC2523" s="4"/>
      <c r="CD2523" s="4"/>
      <c r="CF2523" s="4"/>
    </row>
    <row r="2524" spans="66:84">
      <c r="BN2524" s="4"/>
      <c r="BO2524" s="4"/>
      <c r="BQ2524" s="4"/>
      <c r="CC2524" s="4"/>
      <c r="CD2524" s="4"/>
      <c r="CF2524" s="4"/>
    </row>
    <row r="2525" spans="66:84">
      <c r="BN2525" s="4"/>
      <c r="BO2525" s="4"/>
      <c r="BQ2525" s="4"/>
      <c r="CC2525" s="4"/>
      <c r="CD2525" s="4"/>
      <c r="CF2525" s="4"/>
    </row>
    <row r="2526" spans="66:84">
      <c r="BN2526" s="4"/>
      <c r="BO2526" s="4"/>
      <c r="BQ2526" s="4"/>
      <c r="CC2526" s="4"/>
      <c r="CD2526" s="4"/>
      <c r="CF2526" s="4"/>
    </row>
    <row r="2527" spans="66:84">
      <c r="BN2527" s="4"/>
      <c r="BO2527" s="4"/>
      <c r="BQ2527" s="4"/>
      <c r="CC2527" s="4"/>
      <c r="CD2527" s="4"/>
      <c r="CF2527" s="4"/>
    </row>
    <row r="2528" spans="66:84">
      <c r="BN2528" s="4"/>
      <c r="BO2528" s="4"/>
      <c r="BQ2528" s="4"/>
      <c r="CC2528" s="4"/>
      <c r="CD2528" s="4"/>
      <c r="CF2528" s="4"/>
    </row>
    <row r="2529" spans="66:84">
      <c r="BN2529" s="4"/>
      <c r="BO2529" s="4"/>
      <c r="BQ2529" s="4"/>
      <c r="CC2529" s="4"/>
      <c r="CD2529" s="4"/>
      <c r="CF2529" s="4"/>
    </row>
    <row r="2530" spans="66:84">
      <c r="BN2530" s="4"/>
      <c r="BO2530" s="4"/>
      <c r="BQ2530" s="4"/>
      <c r="CC2530" s="4"/>
      <c r="CD2530" s="4"/>
      <c r="CF2530" s="4"/>
    </row>
    <row r="2531" spans="66:84">
      <c r="BN2531" s="4"/>
      <c r="BO2531" s="4"/>
      <c r="BQ2531" s="4"/>
      <c r="CC2531" s="4"/>
      <c r="CD2531" s="4"/>
      <c r="CF2531" s="4"/>
    </row>
    <row r="2532" spans="66:84">
      <c r="BN2532" s="4"/>
      <c r="BO2532" s="4"/>
      <c r="BQ2532" s="4"/>
      <c r="CC2532" s="4"/>
      <c r="CD2532" s="4"/>
      <c r="CF2532" s="4"/>
    </row>
    <row r="2533" spans="66:84">
      <c r="BN2533" s="4"/>
      <c r="BO2533" s="4"/>
      <c r="BQ2533" s="4"/>
      <c r="CC2533" s="4"/>
      <c r="CD2533" s="4"/>
      <c r="CF2533" s="4"/>
    </row>
    <row r="2534" spans="66:84">
      <c r="BN2534" s="4"/>
      <c r="BO2534" s="4"/>
      <c r="BQ2534" s="4"/>
      <c r="CC2534" s="4"/>
      <c r="CD2534" s="4"/>
      <c r="CF2534" s="4"/>
    </row>
    <row r="2535" spans="66:84">
      <c r="BN2535" s="4"/>
      <c r="BO2535" s="4"/>
      <c r="BQ2535" s="4"/>
      <c r="CC2535" s="4"/>
      <c r="CD2535" s="4"/>
      <c r="CF2535" s="4"/>
    </row>
    <row r="2536" spans="66:84">
      <c r="BN2536" s="4"/>
      <c r="BO2536" s="4"/>
      <c r="BQ2536" s="4"/>
      <c r="CC2536" s="4"/>
      <c r="CD2536" s="4"/>
      <c r="CF2536" s="4"/>
    </row>
    <row r="2537" spans="66:84">
      <c r="BN2537" s="4"/>
      <c r="BO2537" s="4"/>
      <c r="BQ2537" s="4"/>
      <c r="CC2537" s="4"/>
      <c r="CD2537" s="4"/>
      <c r="CF2537" s="4"/>
    </row>
    <row r="2538" spans="66:84">
      <c r="BN2538" s="4"/>
      <c r="BO2538" s="4"/>
      <c r="BQ2538" s="4"/>
      <c r="CC2538" s="4"/>
      <c r="CD2538" s="4"/>
      <c r="CF2538" s="4"/>
    </row>
    <row r="2539" spans="66:84">
      <c r="BN2539" s="4"/>
      <c r="BO2539" s="4"/>
      <c r="BQ2539" s="4"/>
      <c r="CC2539" s="4"/>
      <c r="CD2539" s="4"/>
      <c r="CF2539" s="4"/>
    </row>
    <row r="2540" spans="66:84">
      <c r="BN2540" s="4"/>
      <c r="BO2540" s="4"/>
      <c r="BQ2540" s="4"/>
      <c r="CC2540" s="4"/>
      <c r="CD2540" s="4"/>
      <c r="CF2540" s="4"/>
    </row>
    <row r="2541" spans="66:84">
      <c r="BN2541" s="4"/>
      <c r="BO2541" s="4"/>
      <c r="BQ2541" s="4"/>
      <c r="CC2541" s="4"/>
      <c r="CD2541" s="4"/>
      <c r="CF2541" s="4"/>
    </row>
    <row r="2542" spans="66:84">
      <c r="BN2542" s="4"/>
      <c r="BO2542" s="4"/>
      <c r="BQ2542" s="4"/>
      <c r="CC2542" s="4"/>
      <c r="CD2542" s="4"/>
      <c r="CF2542" s="4"/>
    </row>
    <row r="2543" spans="66:84">
      <c r="BN2543" s="4"/>
      <c r="BO2543" s="4"/>
      <c r="BQ2543" s="4"/>
      <c r="CC2543" s="4"/>
      <c r="CD2543" s="4"/>
      <c r="CF2543" s="4"/>
    </row>
    <row r="2544" spans="66:84">
      <c r="BN2544" s="4"/>
      <c r="BO2544" s="4"/>
      <c r="BQ2544" s="4"/>
      <c r="CC2544" s="4"/>
      <c r="CD2544" s="4"/>
      <c r="CF2544" s="4"/>
    </row>
    <row r="2545" spans="66:84">
      <c r="BN2545" s="4"/>
      <c r="BO2545" s="4"/>
      <c r="BQ2545" s="4"/>
      <c r="CC2545" s="4"/>
      <c r="CD2545" s="4"/>
      <c r="CF2545" s="4"/>
    </row>
    <row r="2546" spans="66:84">
      <c r="BN2546" s="4"/>
      <c r="BO2546" s="4"/>
      <c r="BQ2546" s="4"/>
      <c r="CC2546" s="4"/>
      <c r="CD2546" s="4"/>
      <c r="CF2546" s="4"/>
    </row>
    <row r="2547" spans="66:84">
      <c r="BN2547" s="4"/>
      <c r="BO2547" s="4"/>
      <c r="BQ2547" s="4"/>
      <c r="CC2547" s="4"/>
      <c r="CD2547" s="4"/>
      <c r="CF2547" s="4"/>
    </row>
    <row r="2548" spans="66:84">
      <c r="BN2548" s="4"/>
      <c r="BO2548" s="4"/>
      <c r="BQ2548" s="4"/>
      <c r="CC2548" s="4"/>
      <c r="CD2548" s="4"/>
      <c r="CF2548" s="4"/>
    </row>
    <row r="2549" spans="66:84">
      <c r="BN2549" s="4"/>
      <c r="BO2549" s="4"/>
      <c r="BQ2549" s="4"/>
      <c r="CC2549" s="4"/>
      <c r="CD2549" s="4"/>
      <c r="CF2549" s="4"/>
    </row>
    <row r="2550" spans="66:84">
      <c r="BN2550" s="4"/>
      <c r="BO2550" s="4"/>
      <c r="BQ2550" s="4"/>
      <c r="CC2550" s="4"/>
      <c r="CD2550" s="4"/>
      <c r="CF2550" s="4"/>
    </row>
    <row r="2551" spans="66:84">
      <c r="BN2551" s="4"/>
      <c r="BO2551" s="4"/>
      <c r="BQ2551" s="4"/>
      <c r="CC2551" s="4"/>
      <c r="CD2551" s="4"/>
      <c r="CF2551" s="4"/>
    </row>
    <row r="2552" spans="66:84">
      <c r="BN2552" s="4"/>
      <c r="BO2552" s="4"/>
      <c r="BQ2552" s="4"/>
      <c r="CC2552" s="4"/>
      <c r="CD2552" s="4"/>
      <c r="CF2552" s="4"/>
    </row>
    <row r="2553" spans="66:84">
      <c r="BN2553" s="4"/>
      <c r="BO2553" s="4"/>
      <c r="BQ2553" s="4"/>
      <c r="CC2553" s="4"/>
      <c r="CD2553" s="4"/>
      <c r="CF2553" s="4"/>
    </row>
    <row r="2554" spans="66:84">
      <c r="BN2554" s="4"/>
      <c r="BO2554" s="4"/>
      <c r="BQ2554" s="4"/>
      <c r="CC2554" s="4"/>
      <c r="CD2554" s="4"/>
      <c r="CF2554" s="4"/>
    </row>
    <row r="2555" spans="66:84">
      <c r="BN2555" s="4"/>
      <c r="BO2555" s="4"/>
      <c r="BQ2555" s="4"/>
      <c r="CC2555" s="4"/>
      <c r="CD2555" s="4"/>
      <c r="CF2555" s="4"/>
    </row>
    <row r="2556" spans="66:84">
      <c r="BN2556" s="4"/>
      <c r="BO2556" s="4"/>
      <c r="BQ2556" s="4"/>
      <c r="CC2556" s="4"/>
      <c r="CD2556" s="4"/>
      <c r="CF2556" s="4"/>
    </row>
    <row r="2557" spans="66:84">
      <c r="BN2557" s="4"/>
      <c r="BO2557" s="4"/>
      <c r="BQ2557" s="4"/>
      <c r="CC2557" s="4"/>
      <c r="CD2557" s="4"/>
      <c r="CF2557" s="4"/>
    </row>
    <row r="2558" spans="66:84">
      <c r="BN2558" s="4"/>
      <c r="BO2558" s="4"/>
      <c r="BQ2558" s="4"/>
      <c r="CC2558" s="4"/>
      <c r="CD2558" s="4"/>
      <c r="CF2558" s="4"/>
    </row>
    <row r="2559" spans="66:84">
      <c r="BN2559" s="4"/>
      <c r="BO2559" s="4"/>
      <c r="BQ2559" s="4"/>
      <c r="CC2559" s="4"/>
      <c r="CD2559" s="4"/>
      <c r="CF2559" s="4"/>
    </row>
    <row r="2560" spans="66:84">
      <c r="BN2560" s="4"/>
      <c r="BO2560" s="4"/>
      <c r="BQ2560" s="4"/>
      <c r="CC2560" s="4"/>
      <c r="CD2560" s="4"/>
      <c r="CF2560" s="4"/>
    </row>
    <row r="2561" spans="66:84">
      <c r="BN2561" s="4"/>
      <c r="BO2561" s="4"/>
      <c r="BQ2561" s="4"/>
      <c r="CC2561" s="4"/>
      <c r="CD2561" s="4"/>
      <c r="CF2561" s="4"/>
    </row>
    <row r="2562" spans="66:84">
      <c r="BN2562" s="4"/>
      <c r="BO2562" s="4"/>
      <c r="BQ2562" s="4"/>
      <c r="CC2562" s="4"/>
      <c r="CD2562" s="4"/>
      <c r="CF2562" s="4"/>
    </row>
    <row r="2563" spans="66:84">
      <c r="BN2563" s="4"/>
      <c r="BO2563" s="4"/>
      <c r="BQ2563" s="4"/>
      <c r="CC2563" s="4"/>
      <c r="CD2563" s="4"/>
      <c r="CF2563" s="4"/>
    </row>
    <row r="2564" spans="66:84">
      <c r="BN2564" s="4"/>
      <c r="BO2564" s="4"/>
      <c r="BQ2564" s="4"/>
      <c r="CC2564" s="4"/>
      <c r="CD2564" s="4"/>
      <c r="CF2564" s="4"/>
    </row>
    <row r="2565" spans="66:84">
      <c r="BN2565" s="4"/>
      <c r="BO2565" s="4"/>
      <c r="BQ2565" s="4"/>
      <c r="CC2565" s="4"/>
      <c r="CD2565" s="4"/>
      <c r="CF2565" s="4"/>
    </row>
    <row r="2566" spans="66:84">
      <c r="BN2566" s="4"/>
      <c r="BO2566" s="4"/>
      <c r="BQ2566" s="4"/>
      <c r="CC2566" s="4"/>
      <c r="CD2566" s="4"/>
      <c r="CF2566" s="4"/>
    </row>
    <row r="2567" spans="66:84">
      <c r="BN2567" s="4"/>
      <c r="BO2567" s="4"/>
      <c r="BQ2567" s="4"/>
      <c r="CC2567" s="4"/>
      <c r="CD2567" s="4"/>
      <c r="CF2567" s="4"/>
    </row>
    <row r="2568" spans="66:84">
      <c r="BN2568" s="4"/>
      <c r="BO2568" s="4"/>
      <c r="BQ2568" s="4"/>
      <c r="CC2568" s="4"/>
      <c r="CD2568" s="4"/>
      <c r="CF2568" s="4"/>
    </row>
    <row r="2569" spans="66:84">
      <c r="BN2569" s="4"/>
      <c r="BO2569" s="4"/>
      <c r="BQ2569" s="4"/>
      <c r="CC2569" s="4"/>
      <c r="CD2569" s="4"/>
      <c r="CF2569" s="4"/>
    </row>
    <row r="2570" spans="66:84">
      <c r="BN2570" s="4"/>
      <c r="BO2570" s="4"/>
      <c r="BQ2570" s="4"/>
      <c r="CC2570" s="4"/>
      <c r="CD2570" s="4"/>
      <c r="CF2570" s="4"/>
    </row>
    <row r="2571" spans="66:84">
      <c r="BN2571" s="4"/>
      <c r="BO2571" s="4"/>
      <c r="BQ2571" s="4"/>
      <c r="CC2571" s="4"/>
      <c r="CD2571" s="4"/>
      <c r="CF2571" s="4"/>
    </row>
    <row r="2572" spans="66:84">
      <c r="BN2572" s="4"/>
      <c r="BO2572" s="4"/>
      <c r="BQ2572" s="4"/>
      <c r="CC2572" s="4"/>
      <c r="CD2572" s="4"/>
      <c r="CF2572" s="4"/>
    </row>
    <row r="2573" spans="66:84">
      <c r="BN2573" s="4"/>
      <c r="BO2573" s="4"/>
      <c r="BQ2573" s="4"/>
      <c r="CC2573" s="4"/>
      <c r="CD2573" s="4"/>
      <c r="CF2573" s="4"/>
    </row>
    <row r="2574" spans="66:84">
      <c r="BN2574" s="4"/>
      <c r="BO2574" s="4"/>
      <c r="BQ2574" s="4"/>
      <c r="CC2574" s="4"/>
      <c r="CD2574" s="4"/>
      <c r="CF2574" s="4"/>
    </row>
    <row r="2575" spans="66:84">
      <c r="BN2575" s="4"/>
      <c r="BO2575" s="4"/>
      <c r="BQ2575" s="4"/>
      <c r="CC2575" s="4"/>
      <c r="CD2575" s="4"/>
      <c r="CF2575" s="4"/>
    </row>
    <row r="2576" spans="66:84">
      <c r="BN2576" s="4"/>
      <c r="BO2576" s="4"/>
      <c r="BQ2576" s="4"/>
      <c r="CC2576" s="4"/>
      <c r="CD2576" s="4"/>
      <c r="CF2576" s="4"/>
    </row>
    <row r="2577" spans="66:84">
      <c r="BN2577" s="4"/>
      <c r="BO2577" s="4"/>
      <c r="BQ2577" s="4"/>
      <c r="CC2577" s="4"/>
      <c r="CD2577" s="4"/>
      <c r="CF2577" s="4"/>
    </row>
    <row r="2578" spans="66:84">
      <c r="BN2578" s="4"/>
      <c r="BO2578" s="4"/>
      <c r="BQ2578" s="4"/>
      <c r="CC2578" s="4"/>
      <c r="CD2578" s="4"/>
      <c r="CF2578" s="4"/>
    </row>
    <row r="2579" spans="66:84">
      <c r="BN2579" s="4"/>
      <c r="BO2579" s="4"/>
      <c r="BQ2579" s="4"/>
      <c r="CC2579" s="4"/>
      <c r="CD2579" s="4"/>
      <c r="CF2579" s="4"/>
    </row>
    <row r="2580" spans="66:84">
      <c r="BN2580" s="4"/>
      <c r="BO2580" s="4"/>
      <c r="BQ2580" s="4"/>
      <c r="CC2580" s="4"/>
      <c r="CD2580" s="4"/>
      <c r="CF2580" s="4"/>
    </row>
    <row r="2581" spans="66:84">
      <c r="BN2581" s="4"/>
      <c r="BO2581" s="4"/>
      <c r="BQ2581" s="4"/>
      <c r="CC2581" s="4"/>
      <c r="CD2581" s="4"/>
      <c r="CF2581" s="4"/>
    </row>
    <row r="2582" spans="66:84">
      <c r="BN2582" s="4"/>
      <c r="BO2582" s="4"/>
      <c r="BQ2582" s="4"/>
      <c r="CC2582" s="4"/>
      <c r="CD2582" s="4"/>
      <c r="CF2582" s="4"/>
    </row>
    <row r="2583" spans="66:84">
      <c r="BN2583" s="4"/>
      <c r="BO2583" s="4"/>
      <c r="BQ2583" s="4"/>
      <c r="CC2583" s="4"/>
      <c r="CD2583" s="4"/>
      <c r="CF2583" s="4"/>
    </row>
    <row r="2584" spans="66:84">
      <c r="BN2584" s="4"/>
      <c r="BO2584" s="4"/>
      <c r="BQ2584" s="4"/>
      <c r="CC2584" s="4"/>
      <c r="CD2584" s="4"/>
      <c r="CF2584" s="4"/>
    </row>
    <row r="2585" spans="66:84">
      <c r="BN2585" s="4"/>
      <c r="BO2585" s="4"/>
      <c r="BQ2585" s="4"/>
      <c r="CC2585" s="4"/>
      <c r="CD2585" s="4"/>
      <c r="CF2585" s="4"/>
    </row>
    <row r="2586" spans="66:84">
      <c r="BN2586" s="4"/>
      <c r="BO2586" s="4"/>
      <c r="BQ2586" s="4"/>
      <c r="CC2586" s="4"/>
      <c r="CD2586" s="4"/>
      <c r="CF2586" s="4"/>
    </row>
    <row r="2587" spans="66:84">
      <c r="BN2587" s="4"/>
      <c r="BO2587" s="4"/>
      <c r="BQ2587" s="4"/>
      <c r="CC2587" s="4"/>
      <c r="CD2587" s="4"/>
      <c r="CF2587" s="4"/>
    </row>
    <row r="2588" spans="66:84">
      <c r="BN2588" s="4"/>
      <c r="BO2588" s="4"/>
      <c r="BQ2588" s="4"/>
      <c r="CC2588" s="4"/>
      <c r="CD2588" s="4"/>
      <c r="CF2588" s="4"/>
    </row>
    <row r="2589" spans="66:84">
      <c r="BN2589" s="4"/>
      <c r="BO2589" s="4"/>
      <c r="BQ2589" s="4"/>
      <c r="CC2589" s="4"/>
      <c r="CD2589" s="4"/>
      <c r="CF2589" s="4"/>
    </row>
    <row r="2590" spans="66:84">
      <c r="BN2590" s="4"/>
      <c r="BO2590" s="4"/>
      <c r="BQ2590" s="4"/>
      <c r="CC2590" s="4"/>
      <c r="CD2590" s="4"/>
      <c r="CF2590" s="4"/>
    </row>
    <row r="2591" spans="66:84">
      <c r="BN2591" s="4"/>
      <c r="BO2591" s="4"/>
      <c r="BQ2591" s="4"/>
      <c r="CC2591" s="4"/>
      <c r="CD2591" s="4"/>
      <c r="CF2591" s="4"/>
    </row>
    <row r="2592" spans="66:84">
      <c r="BN2592" s="4"/>
      <c r="BO2592" s="4"/>
      <c r="BQ2592" s="4"/>
      <c r="CC2592" s="4"/>
      <c r="CD2592" s="4"/>
      <c r="CF2592" s="4"/>
    </row>
    <row r="2593" spans="66:84">
      <c r="BN2593" s="4"/>
      <c r="BO2593" s="4"/>
      <c r="BQ2593" s="4"/>
      <c r="CC2593" s="4"/>
      <c r="CD2593" s="4"/>
      <c r="CF2593" s="4"/>
    </row>
    <row r="2594" spans="66:84">
      <c r="BN2594" s="4"/>
      <c r="BO2594" s="4"/>
      <c r="BQ2594" s="4"/>
      <c r="CC2594" s="4"/>
      <c r="CD2594" s="4"/>
      <c r="CF2594" s="4"/>
    </row>
    <row r="2595" spans="66:84">
      <c r="BN2595" s="4"/>
      <c r="BO2595" s="4"/>
      <c r="BQ2595" s="4"/>
      <c r="CC2595" s="4"/>
      <c r="CD2595" s="4"/>
      <c r="CF2595" s="4"/>
    </row>
    <row r="2596" spans="66:84">
      <c r="BN2596" s="4"/>
      <c r="BO2596" s="4"/>
      <c r="BQ2596" s="4"/>
      <c r="CC2596" s="4"/>
      <c r="CD2596" s="4"/>
      <c r="CF2596" s="4"/>
    </row>
    <row r="2597" spans="66:84">
      <c r="BN2597" s="4"/>
      <c r="BO2597" s="4"/>
      <c r="BQ2597" s="4"/>
      <c r="CC2597" s="4"/>
      <c r="CD2597" s="4"/>
      <c r="CF2597" s="4"/>
    </row>
    <row r="2598" spans="66:84">
      <c r="BN2598" s="4"/>
      <c r="BO2598" s="4"/>
      <c r="BQ2598" s="4"/>
      <c r="CC2598" s="4"/>
      <c r="CD2598" s="4"/>
      <c r="CF2598" s="4"/>
    </row>
    <row r="2599" spans="66:84">
      <c r="BN2599" s="4"/>
      <c r="BO2599" s="4"/>
      <c r="BQ2599" s="4"/>
      <c r="CC2599" s="4"/>
      <c r="CD2599" s="4"/>
      <c r="CF2599" s="4"/>
    </row>
    <row r="2600" spans="66:84">
      <c r="BN2600" s="4"/>
      <c r="BO2600" s="4"/>
      <c r="BQ2600" s="4"/>
      <c r="CC2600" s="4"/>
      <c r="CD2600" s="4"/>
      <c r="CF2600" s="4"/>
    </row>
    <row r="2601" spans="66:84">
      <c r="BN2601" s="4"/>
      <c r="BO2601" s="4"/>
      <c r="BQ2601" s="4"/>
      <c r="CC2601" s="4"/>
      <c r="CD2601" s="4"/>
      <c r="CF2601" s="4"/>
    </row>
    <row r="2602" spans="66:84">
      <c r="BN2602" s="4"/>
      <c r="BO2602" s="4"/>
      <c r="BQ2602" s="4"/>
      <c r="CC2602" s="4"/>
      <c r="CD2602" s="4"/>
      <c r="CF2602" s="4"/>
    </row>
    <row r="2603" spans="66:84">
      <c r="BN2603" s="4"/>
      <c r="BO2603" s="4"/>
      <c r="BQ2603" s="4"/>
      <c r="CC2603" s="4"/>
      <c r="CD2603" s="4"/>
      <c r="CF2603" s="4"/>
    </row>
    <row r="2604" spans="66:84">
      <c r="BN2604" s="4"/>
      <c r="BO2604" s="4"/>
      <c r="BQ2604" s="4"/>
      <c r="CC2604" s="4"/>
      <c r="CD2604" s="4"/>
      <c r="CF2604" s="4"/>
    </row>
    <row r="2605" spans="66:84">
      <c r="BN2605" s="4"/>
      <c r="BO2605" s="4"/>
      <c r="BQ2605" s="4"/>
      <c r="CC2605" s="4"/>
      <c r="CD2605" s="4"/>
      <c r="CF2605" s="4"/>
    </row>
    <row r="2606" spans="66:84">
      <c r="BN2606" s="4"/>
      <c r="BO2606" s="4"/>
      <c r="BQ2606" s="4"/>
      <c r="CC2606" s="4"/>
      <c r="CD2606" s="4"/>
      <c r="CF2606" s="4"/>
    </row>
    <row r="2607" spans="66:84">
      <c r="BN2607" s="4"/>
      <c r="BO2607" s="4"/>
      <c r="BQ2607" s="4"/>
      <c r="CC2607" s="4"/>
      <c r="CD2607" s="4"/>
      <c r="CF2607" s="4"/>
    </row>
    <row r="2608" spans="66:84">
      <c r="BN2608" s="4"/>
      <c r="BO2608" s="4"/>
      <c r="BQ2608" s="4"/>
      <c r="CC2608" s="4"/>
      <c r="CD2608" s="4"/>
      <c r="CF2608" s="4"/>
    </row>
    <row r="2609" spans="66:84">
      <c r="BN2609" s="4"/>
      <c r="BO2609" s="4"/>
      <c r="BQ2609" s="4"/>
      <c r="CC2609" s="4"/>
      <c r="CD2609" s="4"/>
      <c r="CF2609" s="4"/>
    </row>
    <row r="2610" spans="66:84">
      <c r="BN2610" s="4"/>
      <c r="BO2610" s="4"/>
      <c r="BQ2610" s="4"/>
      <c r="CC2610" s="4"/>
      <c r="CD2610" s="4"/>
      <c r="CF2610" s="4"/>
    </row>
    <row r="2611" spans="66:84">
      <c r="BN2611" s="4"/>
      <c r="BO2611" s="4"/>
      <c r="BQ2611" s="4"/>
      <c r="CC2611" s="4"/>
      <c r="CD2611" s="4"/>
      <c r="CF2611" s="4"/>
    </row>
    <row r="2612" spans="66:84">
      <c r="BN2612" s="4"/>
      <c r="BO2612" s="4"/>
      <c r="BQ2612" s="4"/>
      <c r="CC2612" s="4"/>
      <c r="CD2612" s="4"/>
      <c r="CF2612" s="4"/>
    </row>
    <row r="2613" spans="66:84">
      <c r="BN2613" s="4"/>
      <c r="BO2613" s="4"/>
      <c r="BQ2613" s="4"/>
      <c r="CC2613" s="4"/>
      <c r="CD2613" s="4"/>
      <c r="CF2613" s="4"/>
    </row>
    <row r="2614" spans="66:84">
      <c r="BN2614" s="4"/>
      <c r="BO2614" s="4"/>
      <c r="BQ2614" s="4"/>
      <c r="CC2614" s="4"/>
      <c r="CD2614" s="4"/>
      <c r="CF2614" s="4"/>
    </row>
    <row r="2615" spans="66:84">
      <c r="BN2615" s="4"/>
      <c r="BO2615" s="4"/>
      <c r="BQ2615" s="4"/>
      <c r="CC2615" s="4"/>
      <c r="CD2615" s="4"/>
      <c r="CF2615" s="4"/>
    </row>
    <row r="2616" spans="66:84">
      <c r="BN2616" s="4"/>
      <c r="BO2616" s="4"/>
      <c r="BQ2616" s="4"/>
      <c r="CC2616" s="4"/>
      <c r="CD2616" s="4"/>
      <c r="CF2616" s="4"/>
    </row>
    <row r="2617" spans="66:84">
      <c r="BN2617" s="4"/>
      <c r="BO2617" s="4"/>
      <c r="BQ2617" s="4"/>
      <c r="CC2617" s="4"/>
      <c r="CD2617" s="4"/>
      <c r="CF2617" s="4"/>
    </row>
    <row r="2618" spans="66:84">
      <c r="BN2618" s="4"/>
      <c r="BO2618" s="4"/>
      <c r="BQ2618" s="4"/>
      <c r="CC2618" s="4"/>
      <c r="CD2618" s="4"/>
      <c r="CF2618" s="4"/>
    </row>
    <row r="2619" spans="66:84">
      <c r="BN2619" s="4"/>
      <c r="BO2619" s="4"/>
      <c r="BQ2619" s="4"/>
      <c r="CC2619" s="4"/>
      <c r="CD2619" s="4"/>
      <c r="CF2619" s="4"/>
    </row>
    <row r="2620" spans="66:84">
      <c r="BN2620" s="4"/>
      <c r="BO2620" s="4"/>
      <c r="BQ2620" s="4"/>
      <c r="CC2620" s="4"/>
      <c r="CD2620" s="4"/>
      <c r="CF2620" s="4"/>
    </row>
    <row r="2621" spans="66:84">
      <c r="BN2621" s="4"/>
      <c r="BO2621" s="4"/>
      <c r="BQ2621" s="4"/>
      <c r="CC2621" s="4"/>
      <c r="CD2621" s="4"/>
      <c r="CF2621" s="4"/>
    </row>
    <row r="2622" spans="66:84">
      <c r="BN2622" s="4"/>
      <c r="BO2622" s="4"/>
      <c r="BQ2622" s="4"/>
      <c r="CC2622" s="4"/>
      <c r="CD2622" s="4"/>
      <c r="CF2622" s="4"/>
    </row>
    <row r="2623" spans="66:84">
      <c r="BN2623" s="4"/>
      <c r="BO2623" s="4"/>
      <c r="BQ2623" s="4"/>
      <c r="CC2623" s="4"/>
      <c r="CD2623" s="4"/>
      <c r="CF2623" s="4"/>
    </row>
    <row r="2624" spans="66:84">
      <c r="BN2624" s="4"/>
      <c r="BO2624" s="4"/>
      <c r="BQ2624" s="4"/>
      <c r="CC2624" s="4"/>
      <c r="CD2624" s="4"/>
      <c r="CF2624" s="4"/>
    </row>
    <row r="2625" spans="66:84">
      <c r="BN2625" s="4"/>
      <c r="BO2625" s="4"/>
      <c r="BQ2625" s="4"/>
      <c r="CC2625" s="4"/>
      <c r="CD2625" s="4"/>
      <c r="CF2625" s="4"/>
    </row>
    <row r="2626" spans="66:84">
      <c r="BN2626" s="4"/>
      <c r="BO2626" s="4"/>
      <c r="BQ2626" s="4"/>
      <c r="CC2626" s="4"/>
      <c r="CD2626" s="4"/>
      <c r="CF2626" s="4"/>
    </row>
    <row r="2627" spans="66:84">
      <c r="BN2627" s="4"/>
      <c r="BO2627" s="4"/>
      <c r="BQ2627" s="4"/>
      <c r="CC2627" s="4"/>
      <c r="CD2627" s="4"/>
      <c r="CF2627" s="4"/>
    </row>
    <row r="2628" spans="66:84">
      <c r="BN2628" s="4"/>
      <c r="BO2628" s="4"/>
      <c r="BQ2628" s="4"/>
      <c r="CC2628" s="4"/>
      <c r="CD2628" s="4"/>
      <c r="CF2628" s="4"/>
    </row>
    <row r="2629" spans="66:84">
      <c r="BN2629" s="4"/>
      <c r="BO2629" s="4"/>
      <c r="BQ2629" s="4"/>
      <c r="CC2629" s="4"/>
      <c r="CD2629" s="4"/>
      <c r="CF2629" s="4"/>
    </row>
    <row r="2630" spans="66:84">
      <c r="BN2630" s="4"/>
      <c r="BO2630" s="4"/>
      <c r="BQ2630" s="4"/>
      <c r="CC2630" s="4"/>
      <c r="CD2630" s="4"/>
      <c r="CF2630" s="4"/>
    </row>
    <row r="2631" spans="66:84">
      <c r="BN2631" s="4"/>
      <c r="BO2631" s="4"/>
      <c r="BQ2631" s="4"/>
      <c r="CC2631" s="4"/>
      <c r="CD2631" s="4"/>
      <c r="CF2631" s="4"/>
    </row>
    <row r="2632" spans="66:84">
      <c r="BN2632" s="4"/>
      <c r="BO2632" s="4"/>
      <c r="BQ2632" s="4"/>
      <c r="CC2632" s="4"/>
      <c r="CD2632" s="4"/>
      <c r="CF2632" s="4"/>
    </row>
    <row r="2633" spans="66:84">
      <c r="BN2633" s="4"/>
      <c r="BO2633" s="4"/>
      <c r="BQ2633" s="4"/>
      <c r="CC2633" s="4"/>
      <c r="CD2633" s="4"/>
      <c r="CF2633" s="4"/>
    </row>
    <row r="2634" spans="66:84">
      <c r="BN2634" s="4"/>
      <c r="BO2634" s="4"/>
      <c r="BQ2634" s="4"/>
      <c r="CC2634" s="4"/>
      <c r="CD2634" s="4"/>
      <c r="CF2634" s="4"/>
    </row>
    <row r="2635" spans="66:84">
      <c r="BN2635" s="4"/>
      <c r="BO2635" s="4"/>
      <c r="BQ2635" s="4"/>
      <c r="CC2635" s="4"/>
      <c r="CD2635" s="4"/>
      <c r="CF2635" s="4"/>
    </row>
    <row r="2636" spans="66:84">
      <c r="BN2636" s="4"/>
      <c r="BO2636" s="4"/>
      <c r="BQ2636" s="4"/>
      <c r="CC2636" s="4"/>
      <c r="CD2636" s="4"/>
      <c r="CF2636" s="4"/>
    </row>
    <row r="2637" spans="66:84">
      <c r="BN2637" s="4"/>
      <c r="BO2637" s="4"/>
      <c r="BQ2637" s="4"/>
      <c r="CC2637" s="4"/>
      <c r="CD2637" s="4"/>
      <c r="CF2637" s="4"/>
    </row>
    <row r="2638" spans="66:84">
      <c r="BN2638" s="4"/>
      <c r="BO2638" s="4"/>
      <c r="BQ2638" s="4"/>
      <c r="CC2638" s="4"/>
      <c r="CD2638" s="4"/>
      <c r="CF2638" s="4"/>
    </row>
    <row r="2639" spans="66:84">
      <c r="BN2639" s="4"/>
      <c r="BO2639" s="4"/>
      <c r="BQ2639" s="4"/>
      <c r="CC2639" s="4"/>
      <c r="CD2639" s="4"/>
      <c r="CF2639" s="4"/>
    </row>
    <row r="2640" spans="66:84">
      <c r="BN2640" s="4"/>
      <c r="BO2640" s="4"/>
      <c r="BQ2640" s="4"/>
      <c r="CC2640" s="4"/>
      <c r="CD2640" s="4"/>
      <c r="CF2640" s="4"/>
    </row>
    <row r="2641" spans="66:84">
      <c r="BN2641" s="4"/>
      <c r="BO2641" s="4"/>
      <c r="BQ2641" s="4"/>
      <c r="CC2641" s="4"/>
      <c r="CD2641" s="4"/>
      <c r="CF2641" s="4"/>
    </row>
    <row r="2642" spans="66:84">
      <c r="BN2642" s="4"/>
      <c r="BO2642" s="4"/>
      <c r="BQ2642" s="4"/>
      <c r="CC2642" s="4"/>
      <c r="CD2642" s="4"/>
      <c r="CF2642" s="4"/>
    </row>
    <row r="2643" spans="66:84">
      <c r="BN2643" s="4"/>
      <c r="BO2643" s="4"/>
      <c r="BQ2643" s="4"/>
      <c r="CC2643" s="4"/>
      <c r="CD2643" s="4"/>
      <c r="CF2643" s="4"/>
    </row>
    <row r="2644" spans="66:84">
      <c r="BN2644" s="4"/>
      <c r="BO2644" s="4"/>
      <c r="BQ2644" s="4"/>
      <c r="CC2644" s="4"/>
      <c r="CD2644" s="4"/>
      <c r="CF2644" s="4"/>
    </row>
    <row r="2645" spans="66:84">
      <c r="BN2645" s="4"/>
      <c r="BO2645" s="4"/>
      <c r="BQ2645" s="4"/>
      <c r="CC2645" s="4"/>
      <c r="CD2645" s="4"/>
      <c r="CF2645" s="4"/>
    </row>
    <row r="2646" spans="66:84">
      <c r="BN2646" s="4"/>
      <c r="BO2646" s="4"/>
      <c r="BQ2646" s="4"/>
      <c r="CC2646" s="4"/>
      <c r="CD2646" s="4"/>
      <c r="CF2646" s="4"/>
    </row>
    <row r="2647" spans="66:84">
      <c r="BN2647" s="4"/>
      <c r="BO2647" s="4"/>
      <c r="BQ2647" s="4"/>
      <c r="CC2647" s="4"/>
      <c r="CD2647" s="4"/>
      <c r="CF2647" s="4"/>
    </row>
    <row r="2648" spans="66:84">
      <c r="BN2648" s="4"/>
      <c r="BO2648" s="4"/>
      <c r="BQ2648" s="4"/>
      <c r="CC2648" s="4"/>
      <c r="CD2648" s="4"/>
      <c r="CF2648" s="4"/>
    </row>
    <row r="2649" spans="66:84">
      <c r="BN2649" s="4"/>
      <c r="BO2649" s="4"/>
      <c r="BQ2649" s="4"/>
      <c r="CC2649" s="4"/>
      <c r="CD2649" s="4"/>
      <c r="CF2649" s="4"/>
    </row>
    <row r="2650" spans="66:84">
      <c r="BN2650" s="4"/>
      <c r="BO2650" s="4"/>
      <c r="BQ2650" s="4"/>
      <c r="CC2650" s="4"/>
      <c r="CD2650" s="4"/>
      <c r="CF2650" s="4"/>
    </row>
    <row r="2651" spans="66:84">
      <c r="BN2651" s="4"/>
      <c r="BO2651" s="4"/>
      <c r="BQ2651" s="4"/>
      <c r="CC2651" s="4"/>
      <c r="CD2651" s="4"/>
      <c r="CF2651" s="4"/>
    </row>
    <row r="2652" spans="66:84">
      <c r="BN2652" s="4"/>
      <c r="BO2652" s="4"/>
      <c r="BQ2652" s="4"/>
      <c r="CC2652" s="4"/>
      <c r="CD2652" s="4"/>
      <c r="CF2652" s="4"/>
    </row>
    <row r="2653" spans="66:84">
      <c r="BN2653" s="4"/>
      <c r="BO2653" s="4"/>
      <c r="BQ2653" s="4"/>
      <c r="CC2653" s="4"/>
      <c r="CD2653" s="4"/>
      <c r="CF2653" s="4"/>
    </row>
    <row r="2654" spans="66:84">
      <c r="BN2654" s="4"/>
      <c r="BO2654" s="4"/>
      <c r="BQ2654" s="4"/>
      <c r="CC2654" s="4"/>
      <c r="CD2654" s="4"/>
      <c r="CF2654" s="4"/>
    </row>
    <row r="2655" spans="66:84">
      <c r="BN2655" s="4"/>
      <c r="BO2655" s="4"/>
      <c r="BQ2655" s="4"/>
      <c r="CC2655" s="4"/>
      <c r="CD2655" s="4"/>
      <c r="CF2655" s="4"/>
    </row>
    <row r="2656" spans="66:84">
      <c r="BN2656" s="4"/>
      <c r="BO2656" s="4"/>
      <c r="BQ2656" s="4"/>
      <c r="CC2656" s="4"/>
      <c r="CD2656" s="4"/>
      <c r="CF2656" s="4"/>
    </row>
    <row r="2657" spans="66:84">
      <c r="BN2657" s="4"/>
      <c r="BO2657" s="4"/>
      <c r="BQ2657" s="4"/>
      <c r="CC2657" s="4"/>
      <c r="CD2657" s="4"/>
      <c r="CF2657" s="4"/>
    </row>
    <row r="2658" spans="66:84">
      <c r="BN2658" s="4"/>
      <c r="BO2658" s="4"/>
      <c r="BQ2658" s="4"/>
      <c r="CC2658" s="4"/>
      <c r="CD2658" s="4"/>
      <c r="CF2658" s="4"/>
    </row>
    <row r="2659" spans="66:84">
      <c r="BN2659" s="4"/>
      <c r="BO2659" s="4"/>
      <c r="BQ2659" s="4"/>
      <c r="CC2659" s="4"/>
      <c r="CD2659" s="4"/>
      <c r="CF2659" s="4"/>
    </row>
    <row r="2660" spans="66:84">
      <c r="BN2660" s="4"/>
      <c r="BO2660" s="4"/>
      <c r="BQ2660" s="4"/>
      <c r="CC2660" s="4"/>
      <c r="CD2660" s="4"/>
      <c r="CF2660" s="4"/>
    </row>
    <row r="2661" spans="66:84">
      <c r="BN2661" s="4"/>
      <c r="BO2661" s="4"/>
      <c r="BQ2661" s="4"/>
      <c r="CC2661" s="4"/>
      <c r="CD2661" s="4"/>
      <c r="CF2661" s="4"/>
    </row>
    <row r="2662" spans="66:84">
      <c r="BN2662" s="4"/>
      <c r="BO2662" s="4"/>
      <c r="BQ2662" s="4"/>
      <c r="CC2662" s="4"/>
      <c r="CD2662" s="4"/>
      <c r="CF2662" s="4"/>
    </row>
    <row r="2663" spans="66:84">
      <c r="BN2663" s="4"/>
      <c r="BO2663" s="4"/>
      <c r="BQ2663" s="4"/>
      <c r="CC2663" s="4"/>
      <c r="CD2663" s="4"/>
      <c r="CF2663" s="4"/>
    </row>
    <row r="2664" spans="66:84">
      <c r="BN2664" s="4"/>
      <c r="BO2664" s="4"/>
      <c r="BQ2664" s="4"/>
      <c r="CC2664" s="4"/>
      <c r="CD2664" s="4"/>
      <c r="CF2664" s="4"/>
    </row>
    <row r="2665" spans="66:84">
      <c r="BN2665" s="4"/>
      <c r="BO2665" s="4"/>
      <c r="BQ2665" s="4"/>
      <c r="CC2665" s="4"/>
      <c r="CD2665" s="4"/>
      <c r="CF2665" s="4"/>
    </row>
    <row r="2666" spans="66:84">
      <c r="BN2666" s="4"/>
      <c r="BO2666" s="4"/>
      <c r="BQ2666" s="4"/>
      <c r="CC2666" s="4"/>
      <c r="CD2666" s="4"/>
      <c r="CF2666" s="4"/>
    </row>
    <row r="2667" spans="66:84">
      <c r="BN2667" s="4"/>
      <c r="BO2667" s="4"/>
      <c r="BQ2667" s="4"/>
      <c r="CC2667" s="4"/>
      <c r="CD2667" s="4"/>
      <c r="CF2667" s="4"/>
    </row>
    <row r="2668" spans="66:84">
      <c r="BN2668" s="4"/>
      <c r="BO2668" s="4"/>
      <c r="BQ2668" s="4"/>
      <c r="CC2668" s="4"/>
      <c r="CD2668" s="4"/>
      <c r="CF2668" s="4"/>
    </row>
    <row r="2669" spans="66:84">
      <c r="BN2669" s="4"/>
      <c r="BO2669" s="4"/>
      <c r="BQ2669" s="4"/>
      <c r="CC2669" s="4"/>
      <c r="CD2669" s="4"/>
      <c r="CF2669" s="4"/>
    </row>
    <row r="2670" spans="66:84">
      <c r="BN2670" s="4"/>
      <c r="BO2670" s="4"/>
      <c r="BQ2670" s="4"/>
      <c r="CC2670" s="4"/>
      <c r="CD2670" s="4"/>
      <c r="CF2670" s="4"/>
    </row>
    <row r="2671" spans="66:84">
      <c r="BN2671" s="4"/>
      <c r="BO2671" s="4"/>
      <c r="BQ2671" s="4"/>
      <c r="CC2671" s="4"/>
      <c r="CD2671" s="4"/>
      <c r="CF2671" s="4"/>
    </row>
    <row r="2672" spans="66:84">
      <c r="BN2672" s="4"/>
      <c r="BO2672" s="4"/>
      <c r="BQ2672" s="4"/>
      <c r="CC2672" s="4"/>
      <c r="CD2672" s="4"/>
      <c r="CF2672" s="4"/>
    </row>
    <row r="2673" spans="66:84">
      <c r="BN2673" s="4"/>
      <c r="BO2673" s="4"/>
      <c r="BQ2673" s="4"/>
      <c r="CC2673" s="4"/>
      <c r="CD2673" s="4"/>
      <c r="CF2673" s="4"/>
    </row>
    <row r="2674" spans="66:84">
      <c r="BN2674" s="4"/>
      <c r="BO2674" s="4"/>
      <c r="BQ2674" s="4"/>
      <c r="CC2674" s="4"/>
      <c r="CD2674" s="4"/>
      <c r="CF2674" s="4"/>
    </row>
    <row r="2675" spans="66:84">
      <c r="BN2675" s="4"/>
      <c r="BO2675" s="4"/>
      <c r="BQ2675" s="4"/>
      <c r="CC2675" s="4"/>
      <c r="CD2675" s="4"/>
      <c r="CF2675" s="4"/>
    </row>
    <row r="2676" spans="66:84">
      <c r="BN2676" s="4"/>
      <c r="BO2676" s="4"/>
      <c r="BQ2676" s="4"/>
      <c r="CC2676" s="4"/>
      <c r="CD2676" s="4"/>
      <c r="CF2676" s="4"/>
    </row>
    <row r="2677" spans="66:84">
      <c r="BN2677" s="4"/>
      <c r="BO2677" s="4"/>
      <c r="BQ2677" s="4"/>
      <c r="CC2677" s="4"/>
      <c r="CD2677" s="4"/>
      <c r="CF2677" s="4"/>
    </row>
    <row r="2678" spans="66:84">
      <c r="BN2678" s="4"/>
      <c r="BO2678" s="4"/>
      <c r="BQ2678" s="4"/>
      <c r="CC2678" s="4"/>
      <c r="CD2678" s="4"/>
      <c r="CF2678" s="4"/>
    </row>
    <row r="2679" spans="66:84">
      <c r="BN2679" s="4"/>
      <c r="BO2679" s="4"/>
      <c r="BQ2679" s="4"/>
      <c r="CC2679" s="4"/>
      <c r="CD2679" s="4"/>
      <c r="CF2679" s="4"/>
    </row>
    <row r="2680" spans="66:84">
      <c r="BN2680" s="4"/>
      <c r="BO2680" s="4"/>
      <c r="BQ2680" s="4"/>
      <c r="CC2680" s="4"/>
      <c r="CD2680" s="4"/>
      <c r="CF2680" s="4"/>
    </row>
    <row r="2681" spans="66:84">
      <c r="BN2681" s="4"/>
      <c r="BO2681" s="4"/>
      <c r="BQ2681" s="4"/>
      <c r="CC2681" s="4"/>
      <c r="CD2681" s="4"/>
      <c r="CF2681" s="4"/>
    </row>
    <row r="2682" spans="66:84">
      <c r="BN2682" s="4"/>
      <c r="BO2682" s="4"/>
      <c r="BQ2682" s="4"/>
      <c r="CC2682" s="4"/>
      <c r="CD2682" s="4"/>
      <c r="CF2682" s="4"/>
    </row>
    <row r="2683" spans="66:84">
      <c r="BN2683" s="4"/>
      <c r="BO2683" s="4"/>
      <c r="BQ2683" s="4"/>
      <c r="CC2683" s="4"/>
      <c r="CD2683" s="4"/>
      <c r="CF2683" s="4"/>
    </row>
    <row r="2684" spans="66:84">
      <c r="BN2684" s="4"/>
      <c r="BO2684" s="4"/>
      <c r="BQ2684" s="4"/>
      <c r="CC2684" s="4"/>
      <c r="CD2684" s="4"/>
      <c r="CF2684" s="4"/>
    </row>
    <row r="2685" spans="66:84">
      <c r="BN2685" s="4"/>
      <c r="BO2685" s="4"/>
      <c r="BQ2685" s="4"/>
      <c r="CC2685" s="4"/>
      <c r="CD2685" s="4"/>
      <c r="CF2685" s="4"/>
    </row>
    <row r="2686" spans="66:84">
      <c r="BN2686" s="4"/>
      <c r="BO2686" s="4"/>
      <c r="BQ2686" s="4"/>
      <c r="CC2686" s="4"/>
      <c r="CD2686" s="4"/>
      <c r="CF2686" s="4"/>
    </row>
    <row r="2687" spans="66:84">
      <c r="BN2687" s="4"/>
      <c r="BO2687" s="4"/>
      <c r="BQ2687" s="4"/>
      <c r="CC2687" s="4"/>
      <c r="CD2687" s="4"/>
      <c r="CF2687" s="4"/>
    </row>
    <row r="2688" spans="66:84">
      <c r="BN2688" s="4"/>
      <c r="BO2688" s="4"/>
      <c r="BQ2688" s="4"/>
      <c r="CC2688" s="4"/>
      <c r="CD2688" s="4"/>
      <c r="CF2688" s="4"/>
    </row>
    <row r="2689" spans="66:84">
      <c r="BN2689" s="4"/>
      <c r="BO2689" s="4"/>
      <c r="BQ2689" s="4"/>
      <c r="CC2689" s="4"/>
      <c r="CD2689" s="4"/>
      <c r="CF2689" s="4"/>
    </row>
    <row r="2690" spans="66:84">
      <c r="BN2690" s="4"/>
      <c r="BO2690" s="4"/>
      <c r="BQ2690" s="4"/>
      <c r="CC2690" s="4"/>
      <c r="CD2690" s="4"/>
      <c r="CF2690" s="4"/>
    </row>
    <row r="2691" spans="66:84">
      <c r="BN2691" s="4"/>
      <c r="BO2691" s="4"/>
      <c r="BQ2691" s="4"/>
      <c r="CC2691" s="4"/>
      <c r="CD2691" s="4"/>
      <c r="CF2691" s="4"/>
    </row>
    <row r="2692" spans="66:84">
      <c r="BN2692" s="4"/>
      <c r="BO2692" s="4"/>
      <c r="BQ2692" s="4"/>
      <c r="CC2692" s="4"/>
      <c r="CD2692" s="4"/>
      <c r="CF2692" s="4"/>
    </row>
    <row r="2693" spans="66:84">
      <c r="BN2693" s="4"/>
      <c r="BO2693" s="4"/>
      <c r="BQ2693" s="4"/>
      <c r="CC2693" s="4"/>
      <c r="CD2693" s="4"/>
      <c r="CF2693" s="4"/>
    </row>
    <row r="2694" spans="66:84">
      <c r="BN2694" s="4"/>
      <c r="BO2694" s="4"/>
      <c r="BQ2694" s="4"/>
      <c r="CC2694" s="4"/>
      <c r="CD2694" s="4"/>
      <c r="CF2694" s="4"/>
    </row>
    <row r="2695" spans="66:84">
      <c r="BN2695" s="4"/>
      <c r="BO2695" s="4"/>
      <c r="BQ2695" s="4"/>
      <c r="CC2695" s="4"/>
      <c r="CD2695" s="4"/>
      <c r="CF2695" s="4"/>
    </row>
    <row r="2696" spans="66:84">
      <c r="BN2696" s="4"/>
      <c r="BO2696" s="4"/>
      <c r="BQ2696" s="4"/>
      <c r="CC2696" s="4"/>
      <c r="CD2696" s="4"/>
      <c r="CF2696" s="4"/>
    </row>
    <row r="2697" spans="66:84">
      <c r="BN2697" s="4"/>
      <c r="BO2697" s="4"/>
      <c r="BQ2697" s="4"/>
      <c r="CC2697" s="4"/>
      <c r="CD2697" s="4"/>
      <c r="CF2697" s="4"/>
    </row>
    <row r="2698" spans="66:84">
      <c r="BN2698" s="4"/>
      <c r="BO2698" s="4"/>
      <c r="BQ2698" s="4"/>
      <c r="CC2698" s="4"/>
      <c r="CD2698" s="4"/>
      <c r="CF2698" s="4"/>
    </row>
    <row r="2699" spans="66:84">
      <c r="BN2699" s="4"/>
      <c r="BO2699" s="4"/>
      <c r="BQ2699" s="4"/>
      <c r="CC2699" s="4"/>
      <c r="CD2699" s="4"/>
      <c r="CF2699" s="4"/>
    </row>
    <row r="2700" spans="66:84">
      <c r="BN2700" s="4"/>
      <c r="BO2700" s="4"/>
      <c r="BQ2700" s="4"/>
      <c r="CC2700" s="4"/>
      <c r="CD2700" s="4"/>
      <c r="CF2700" s="4"/>
    </row>
    <row r="2701" spans="66:84">
      <c r="BN2701" s="4"/>
      <c r="BO2701" s="4"/>
      <c r="BQ2701" s="4"/>
      <c r="CC2701" s="4"/>
      <c r="CD2701" s="4"/>
      <c r="CF2701" s="4"/>
    </row>
    <row r="2702" spans="66:84">
      <c r="BN2702" s="4"/>
      <c r="BO2702" s="4"/>
      <c r="BQ2702" s="4"/>
      <c r="CC2702" s="4"/>
      <c r="CD2702" s="4"/>
      <c r="CF2702" s="4"/>
    </row>
    <row r="2703" spans="66:84">
      <c r="BN2703" s="4"/>
      <c r="BO2703" s="4"/>
      <c r="BQ2703" s="4"/>
      <c r="CC2703" s="4"/>
      <c r="CD2703" s="4"/>
      <c r="CF2703" s="4"/>
    </row>
    <row r="2704" spans="66:84">
      <c r="BN2704" s="4"/>
      <c r="BO2704" s="4"/>
      <c r="BQ2704" s="4"/>
      <c r="CC2704" s="4"/>
      <c r="CD2704" s="4"/>
      <c r="CF2704" s="4"/>
    </row>
    <row r="2705" spans="66:84">
      <c r="BN2705" s="4"/>
      <c r="BO2705" s="4"/>
      <c r="BQ2705" s="4"/>
      <c r="CC2705" s="4"/>
      <c r="CD2705" s="4"/>
      <c r="CF2705" s="4"/>
    </row>
    <row r="2706" spans="66:84">
      <c r="BN2706" s="4"/>
      <c r="BO2706" s="4"/>
      <c r="BQ2706" s="4"/>
      <c r="CC2706" s="4"/>
      <c r="CD2706" s="4"/>
      <c r="CF2706" s="4"/>
    </row>
    <row r="2707" spans="66:84">
      <c r="BN2707" s="4"/>
      <c r="BO2707" s="4"/>
      <c r="BQ2707" s="4"/>
      <c r="CC2707" s="4"/>
      <c r="CD2707" s="4"/>
      <c r="CF2707" s="4"/>
    </row>
    <row r="2708" spans="66:84">
      <c r="BN2708" s="4"/>
      <c r="BO2708" s="4"/>
      <c r="BQ2708" s="4"/>
      <c r="CC2708" s="4"/>
      <c r="CD2708" s="4"/>
      <c r="CF2708" s="4"/>
    </row>
    <row r="2709" spans="66:84">
      <c r="BN2709" s="4"/>
      <c r="BO2709" s="4"/>
      <c r="BQ2709" s="4"/>
      <c r="CC2709" s="4"/>
      <c r="CD2709" s="4"/>
      <c r="CF2709" s="4"/>
    </row>
    <row r="2710" spans="66:84">
      <c r="BN2710" s="4"/>
      <c r="BO2710" s="4"/>
      <c r="BQ2710" s="4"/>
      <c r="CC2710" s="4"/>
      <c r="CD2710" s="4"/>
      <c r="CF2710" s="4"/>
    </row>
    <row r="2711" spans="66:84">
      <c r="BN2711" s="4"/>
      <c r="BO2711" s="4"/>
      <c r="BQ2711" s="4"/>
      <c r="CC2711" s="4"/>
      <c r="CD2711" s="4"/>
      <c r="CF2711" s="4"/>
    </row>
    <row r="2712" spans="66:84">
      <c r="BN2712" s="4"/>
      <c r="BO2712" s="4"/>
      <c r="BQ2712" s="4"/>
      <c r="CC2712" s="4"/>
      <c r="CD2712" s="4"/>
      <c r="CF2712" s="4"/>
    </row>
    <row r="2713" spans="66:84">
      <c r="BN2713" s="4"/>
      <c r="BO2713" s="4"/>
      <c r="BQ2713" s="4"/>
      <c r="CC2713" s="4"/>
      <c r="CD2713" s="4"/>
      <c r="CF2713" s="4"/>
    </row>
    <row r="2714" spans="66:84">
      <c r="BN2714" s="4"/>
      <c r="BO2714" s="4"/>
      <c r="BQ2714" s="4"/>
      <c r="CC2714" s="4"/>
      <c r="CD2714" s="4"/>
      <c r="CF2714" s="4"/>
    </row>
    <row r="2715" spans="66:84">
      <c r="BN2715" s="4"/>
      <c r="BO2715" s="4"/>
      <c r="BQ2715" s="4"/>
      <c r="CC2715" s="4"/>
      <c r="CD2715" s="4"/>
      <c r="CF2715" s="4"/>
    </row>
    <row r="2716" spans="66:84">
      <c r="BN2716" s="4"/>
      <c r="BO2716" s="4"/>
      <c r="BQ2716" s="4"/>
      <c r="CC2716" s="4"/>
      <c r="CD2716" s="4"/>
      <c r="CF2716" s="4"/>
    </row>
    <row r="2717" spans="66:84">
      <c r="BN2717" s="4"/>
      <c r="BO2717" s="4"/>
      <c r="BQ2717" s="4"/>
      <c r="CC2717" s="4"/>
      <c r="CD2717" s="4"/>
      <c r="CF2717" s="4"/>
    </row>
    <row r="2718" spans="66:84">
      <c r="BN2718" s="4"/>
      <c r="BO2718" s="4"/>
      <c r="BQ2718" s="4"/>
      <c r="CC2718" s="4"/>
      <c r="CD2718" s="4"/>
      <c r="CF2718" s="4"/>
    </row>
    <row r="2719" spans="66:84">
      <c r="BN2719" s="4"/>
      <c r="BO2719" s="4"/>
      <c r="BQ2719" s="4"/>
      <c r="CC2719" s="4"/>
      <c r="CD2719" s="4"/>
      <c r="CF2719" s="4"/>
    </row>
    <row r="2720" spans="66:84">
      <c r="BN2720" s="4"/>
      <c r="BO2720" s="4"/>
      <c r="BQ2720" s="4"/>
      <c r="CC2720" s="4"/>
      <c r="CD2720" s="4"/>
      <c r="CF2720" s="4"/>
    </row>
    <row r="2721" spans="66:84">
      <c r="BN2721" s="4"/>
      <c r="BO2721" s="4"/>
      <c r="BQ2721" s="4"/>
      <c r="CC2721" s="4"/>
      <c r="CD2721" s="4"/>
      <c r="CF2721" s="4"/>
    </row>
    <row r="2722" spans="66:84">
      <c r="BN2722" s="4"/>
      <c r="BO2722" s="4"/>
      <c r="BQ2722" s="4"/>
      <c r="CC2722" s="4"/>
      <c r="CD2722" s="4"/>
      <c r="CF2722" s="4"/>
    </row>
    <row r="2723" spans="66:84">
      <c r="BN2723" s="4"/>
      <c r="BO2723" s="4"/>
      <c r="BQ2723" s="4"/>
      <c r="CC2723" s="4"/>
      <c r="CD2723" s="4"/>
      <c r="CF2723" s="4"/>
    </row>
    <row r="2724" spans="66:84">
      <c r="BN2724" s="4"/>
      <c r="BO2724" s="4"/>
      <c r="BQ2724" s="4"/>
      <c r="CC2724" s="4"/>
      <c r="CD2724" s="4"/>
      <c r="CF2724" s="4"/>
    </row>
    <row r="2725" spans="66:84">
      <c r="BN2725" s="4"/>
      <c r="BO2725" s="4"/>
      <c r="BQ2725" s="4"/>
      <c r="CC2725" s="4"/>
      <c r="CD2725" s="4"/>
      <c r="CF2725" s="4"/>
    </row>
    <row r="2726" spans="66:84">
      <c r="BN2726" s="4"/>
      <c r="BO2726" s="4"/>
      <c r="BQ2726" s="4"/>
      <c r="CC2726" s="4"/>
      <c r="CD2726" s="4"/>
      <c r="CF2726" s="4"/>
    </row>
    <row r="2727" spans="66:84">
      <c r="BN2727" s="4"/>
      <c r="BO2727" s="4"/>
      <c r="BQ2727" s="4"/>
      <c r="CC2727" s="4"/>
      <c r="CD2727" s="4"/>
      <c r="CF2727" s="4"/>
    </row>
    <row r="2728" spans="66:84">
      <c r="BN2728" s="4"/>
      <c r="BO2728" s="4"/>
      <c r="BQ2728" s="4"/>
      <c r="CC2728" s="4"/>
      <c r="CD2728" s="4"/>
      <c r="CF2728" s="4"/>
    </row>
    <row r="2729" spans="66:84">
      <c r="BN2729" s="4"/>
      <c r="BO2729" s="4"/>
      <c r="BQ2729" s="4"/>
      <c r="CC2729" s="4"/>
      <c r="CD2729" s="4"/>
      <c r="CF2729" s="4"/>
    </row>
    <row r="2730" spans="66:84">
      <c r="BN2730" s="4"/>
      <c r="BO2730" s="4"/>
      <c r="BQ2730" s="4"/>
      <c r="CC2730" s="4"/>
      <c r="CD2730" s="4"/>
      <c r="CF2730" s="4"/>
    </row>
    <row r="2731" spans="66:84">
      <c r="BN2731" s="4"/>
      <c r="BO2731" s="4"/>
      <c r="BQ2731" s="4"/>
      <c r="CC2731" s="4"/>
      <c r="CD2731" s="4"/>
      <c r="CF2731" s="4"/>
    </row>
    <row r="2732" spans="66:84">
      <c r="BN2732" s="4"/>
      <c r="BO2732" s="4"/>
      <c r="BQ2732" s="4"/>
      <c r="CC2732" s="4"/>
      <c r="CD2732" s="4"/>
      <c r="CF2732" s="4"/>
    </row>
    <row r="2733" spans="66:84">
      <c r="BN2733" s="4"/>
      <c r="BO2733" s="4"/>
      <c r="BQ2733" s="4"/>
      <c r="CC2733" s="4"/>
      <c r="CD2733" s="4"/>
      <c r="CF2733" s="4"/>
    </row>
    <row r="2734" spans="66:84">
      <c r="BN2734" s="4"/>
      <c r="BO2734" s="4"/>
      <c r="BQ2734" s="4"/>
      <c r="CC2734" s="4"/>
      <c r="CD2734" s="4"/>
      <c r="CF2734" s="4"/>
    </row>
    <row r="2735" spans="66:84">
      <c r="BN2735" s="4"/>
      <c r="BO2735" s="4"/>
      <c r="BQ2735" s="4"/>
      <c r="CC2735" s="4"/>
      <c r="CD2735" s="4"/>
      <c r="CF2735" s="4"/>
    </row>
    <row r="2736" spans="66:84">
      <c r="BN2736" s="4"/>
      <c r="BO2736" s="4"/>
      <c r="BQ2736" s="4"/>
      <c r="CC2736" s="4"/>
      <c r="CD2736" s="4"/>
      <c r="CF2736" s="4"/>
    </row>
    <row r="2737" spans="66:84">
      <c r="BN2737" s="4"/>
      <c r="BO2737" s="4"/>
      <c r="BQ2737" s="4"/>
      <c r="CC2737" s="4"/>
      <c r="CD2737" s="4"/>
      <c r="CF2737" s="4"/>
    </row>
    <row r="2738" spans="66:84">
      <c r="BN2738" s="4"/>
      <c r="BO2738" s="4"/>
      <c r="BQ2738" s="4"/>
      <c r="CC2738" s="4"/>
      <c r="CD2738" s="4"/>
      <c r="CF2738" s="4"/>
    </row>
    <row r="2739" spans="66:84">
      <c r="BN2739" s="4"/>
      <c r="BO2739" s="4"/>
      <c r="BQ2739" s="4"/>
      <c r="CC2739" s="4"/>
      <c r="CD2739" s="4"/>
      <c r="CF2739" s="4"/>
    </row>
    <row r="2740" spans="66:84">
      <c r="BN2740" s="4"/>
      <c r="BO2740" s="4"/>
      <c r="BQ2740" s="4"/>
      <c r="CC2740" s="4"/>
      <c r="CD2740" s="4"/>
      <c r="CF2740" s="4"/>
    </row>
    <row r="2741" spans="66:84">
      <c r="BN2741" s="4"/>
      <c r="BO2741" s="4"/>
      <c r="BQ2741" s="4"/>
      <c r="CC2741" s="4"/>
      <c r="CD2741" s="4"/>
      <c r="CF2741" s="4"/>
    </row>
    <row r="2742" spans="66:84">
      <c r="BN2742" s="4"/>
      <c r="BO2742" s="4"/>
      <c r="BQ2742" s="4"/>
      <c r="CC2742" s="4"/>
      <c r="CD2742" s="4"/>
      <c r="CF2742" s="4"/>
    </row>
    <row r="2743" spans="66:84">
      <c r="BN2743" s="4"/>
      <c r="BO2743" s="4"/>
      <c r="BQ2743" s="4"/>
      <c r="CC2743" s="4"/>
      <c r="CD2743" s="4"/>
      <c r="CF2743" s="4"/>
    </row>
    <row r="2744" spans="66:84">
      <c r="BN2744" s="4"/>
      <c r="BO2744" s="4"/>
      <c r="BQ2744" s="4"/>
      <c r="CC2744" s="4"/>
      <c r="CD2744" s="4"/>
      <c r="CF2744" s="4"/>
    </row>
    <row r="2745" spans="66:84">
      <c r="BN2745" s="4"/>
      <c r="BO2745" s="4"/>
      <c r="BQ2745" s="4"/>
      <c r="CC2745" s="4"/>
      <c r="CD2745" s="4"/>
      <c r="CF2745" s="4"/>
    </row>
    <row r="2746" spans="66:84">
      <c r="BN2746" s="4"/>
      <c r="BO2746" s="4"/>
      <c r="BQ2746" s="4"/>
      <c r="CC2746" s="4"/>
      <c r="CD2746" s="4"/>
      <c r="CF2746" s="4"/>
    </row>
    <row r="2747" spans="66:84">
      <c r="BN2747" s="4"/>
      <c r="BO2747" s="4"/>
      <c r="BQ2747" s="4"/>
      <c r="CC2747" s="4"/>
      <c r="CD2747" s="4"/>
      <c r="CF2747" s="4"/>
    </row>
    <row r="2748" spans="66:84">
      <c r="BN2748" s="4"/>
      <c r="BO2748" s="4"/>
      <c r="BQ2748" s="4"/>
      <c r="CC2748" s="4"/>
      <c r="CD2748" s="4"/>
      <c r="CF2748" s="4"/>
    </row>
    <row r="2749" spans="66:84">
      <c r="BN2749" s="4"/>
      <c r="BO2749" s="4"/>
      <c r="BQ2749" s="4"/>
      <c r="CC2749" s="4"/>
      <c r="CD2749" s="4"/>
      <c r="CF2749" s="4"/>
    </row>
    <row r="2750" spans="66:84">
      <c r="BN2750" s="4"/>
      <c r="BO2750" s="4"/>
      <c r="BQ2750" s="4"/>
      <c r="CC2750" s="4"/>
      <c r="CD2750" s="4"/>
      <c r="CF2750" s="4"/>
    </row>
    <row r="2751" spans="66:84">
      <c r="BN2751" s="4"/>
      <c r="BO2751" s="4"/>
      <c r="BQ2751" s="4"/>
      <c r="CC2751" s="4"/>
      <c r="CD2751" s="4"/>
      <c r="CF2751" s="4"/>
    </row>
    <row r="2752" spans="66:84">
      <c r="BN2752" s="4"/>
      <c r="BO2752" s="4"/>
      <c r="BQ2752" s="4"/>
      <c r="CC2752" s="4"/>
      <c r="CD2752" s="4"/>
      <c r="CF2752" s="4"/>
    </row>
    <row r="2753" spans="66:84">
      <c r="BN2753" s="4"/>
      <c r="BO2753" s="4"/>
      <c r="BQ2753" s="4"/>
      <c r="CC2753" s="4"/>
      <c r="CD2753" s="4"/>
      <c r="CF2753" s="4"/>
    </row>
    <row r="2754" spans="66:84">
      <c r="BN2754" s="4"/>
      <c r="BO2754" s="4"/>
      <c r="BQ2754" s="4"/>
      <c r="CC2754" s="4"/>
      <c r="CD2754" s="4"/>
      <c r="CF2754" s="4"/>
    </row>
    <row r="2755" spans="66:84">
      <c r="BN2755" s="4"/>
      <c r="BO2755" s="4"/>
      <c r="BQ2755" s="4"/>
      <c r="CC2755" s="4"/>
      <c r="CD2755" s="4"/>
      <c r="CF2755" s="4"/>
    </row>
    <row r="2756" spans="66:84">
      <c r="BN2756" s="4"/>
      <c r="BO2756" s="4"/>
      <c r="BQ2756" s="4"/>
      <c r="CC2756" s="4"/>
      <c r="CD2756" s="4"/>
      <c r="CF2756" s="4"/>
    </row>
    <row r="2757" spans="66:84">
      <c r="BN2757" s="4"/>
      <c r="BO2757" s="4"/>
      <c r="BQ2757" s="4"/>
      <c r="CC2757" s="4"/>
      <c r="CD2757" s="4"/>
      <c r="CF2757" s="4"/>
    </row>
    <row r="2758" spans="66:84">
      <c r="BN2758" s="4"/>
      <c r="BO2758" s="4"/>
      <c r="BQ2758" s="4"/>
      <c r="CC2758" s="4"/>
      <c r="CD2758" s="4"/>
      <c r="CF2758" s="4"/>
    </row>
    <row r="2759" spans="66:84">
      <c r="BN2759" s="4"/>
      <c r="BO2759" s="4"/>
      <c r="BQ2759" s="4"/>
      <c r="CC2759" s="4"/>
      <c r="CD2759" s="4"/>
      <c r="CF2759" s="4"/>
    </row>
    <row r="2760" spans="66:84">
      <c r="BN2760" s="4"/>
      <c r="BO2760" s="4"/>
      <c r="BQ2760" s="4"/>
      <c r="CC2760" s="4"/>
      <c r="CD2760" s="4"/>
      <c r="CF2760" s="4"/>
    </row>
    <row r="2761" spans="66:84">
      <c r="BN2761" s="4"/>
      <c r="BO2761" s="4"/>
      <c r="BQ2761" s="4"/>
      <c r="CC2761" s="4"/>
      <c r="CD2761" s="4"/>
      <c r="CF2761" s="4"/>
    </row>
    <row r="2762" spans="66:84">
      <c r="BN2762" s="4"/>
      <c r="BO2762" s="4"/>
      <c r="BQ2762" s="4"/>
      <c r="CC2762" s="4"/>
      <c r="CD2762" s="4"/>
      <c r="CF2762" s="4"/>
    </row>
    <row r="2763" spans="66:84">
      <c r="BN2763" s="4"/>
      <c r="BO2763" s="4"/>
      <c r="BQ2763" s="4"/>
      <c r="CC2763" s="4"/>
      <c r="CD2763" s="4"/>
      <c r="CF2763" s="4"/>
    </row>
    <row r="2764" spans="66:84">
      <c r="BN2764" s="4"/>
      <c r="BO2764" s="4"/>
      <c r="BQ2764" s="4"/>
      <c r="CC2764" s="4"/>
      <c r="CD2764" s="4"/>
      <c r="CF2764" s="4"/>
    </row>
    <row r="2765" spans="66:84">
      <c r="BN2765" s="4"/>
      <c r="BO2765" s="4"/>
      <c r="BQ2765" s="4"/>
      <c r="CC2765" s="4"/>
      <c r="CD2765" s="4"/>
      <c r="CF2765" s="4"/>
    </row>
    <row r="2766" spans="66:84">
      <c r="BN2766" s="4"/>
      <c r="BO2766" s="4"/>
      <c r="BQ2766" s="4"/>
      <c r="CC2766" s="4"/>
      <c r="CD2766" s="4"/>
      <c r="CF2766" s="4"/>
    </row>
    <row r="2767" spans="66:84">
      <c r="BN2767" s="4"/>
      <c r="BO2767" s="4"/>
      <c r="BQ2767" s="4"/>
      <c r="CC2767" s="4"/>
      <c r="CD2767" s="4"/>
      <c r="CF2767" s="4"/>
    </row>
    <row r="2768" spans="66:84">
      <c r="BN2768" s="4"/>
      <c r="BO2768" s="4"/>
      <c r="BQ2768" s="4"/>
      <c r="CC2768" s="4"/>
      <c r="CD2768" s="4"/>
      <c r="CF2768" s="4"/>
    </row>
    <row r="2769" spans="66:84">
      <c r="BN2769" s="4"/>
      <c r="BO2769" s="4"/>
      <c r="BQ2769" s="4"/>
      <c r="CC2769" s="4"/>
      <c r="CD2769" s="4"/>
      <c r="CF2769" s="4"/>
    </row>
    <row r="2770" spans="66:84">
      <c r="BN2770" s="4"/>
      <c r="BO2770" s="4"/>
      <c r="BQ2770" s="4"/>
      <c r="CC2770" s="4"/>
      <c r="CD2770" s="4"/>
      <c r="CF2770" s="4"/>
    </row>
    <row r="2771" spans="66:84">
      <c r="BN2771" s="4"/>
      <c r="BO2771" s="4"/>
      <c r="BQ2771" s="4"/>
      <c r="CC2771" s="4"/>
      <c r="CD2771" s="4"/>
      <c r="CF2771" s="4"/>
    </row>
    <row r="2772" spans="66:84">
      <c r="BN2772" s="4"/>
      <c r="BO2772" s="4"/>
      <c r="BQ2772" s="4"/>
      <c r="CC2772" s="4"/>
      <c r="CD2772" s="4"/>
      <c r="CF2772" s="4"/>
    </row>
    <row r="2773" spans="66:84">
      <c r="BN2773" s="4"/>
      <c r="BO2773" s="4"/>
      <c r="BQ2773" s="4"/>
      <c r="CC2773" s="4"/>
      <c r="CD2773" s="4"/>
      <c r="CF2773" s="4"/>
    </row>
    <row r="2774" spans="66:84">
      <c r="BN2774" s="4"/>
      <c r="BO2774" s="4"/>
      <c r="BQ2774" s="4"/>
      <c r="CC2774" s="4"/>
      <c r="CD2774" s="4"/>
      <c r="CF2774" s="4"/>
    </row>
    <row r="2775" spans="66:84">
      <c r="BN2775" s="4"/>
      <c r="BO2775" s="4"/>
      <c r="BQ2775" s="4"/>
      <c r="CC2775" s="4"/>
      <c r="CD2775" s="4"/>
      <c r="CF2775" s="4"/>
    </row>
    <row r="2776" spans="66:84">
      <c r="BN2776" s="4"/>
      <c r="BO2776" s="4"/>
      <c r="BQ2776" s="4"/>
      <c r="CC2776" s="4"/>
      <c r="CD2776" s="4"/>
      <c r="CF2776" s="4"/>
    </row>
    <row r="2777" spans="66:84">
      <c r="BN2777" s="4"/>
      <c r="BO2777" s="4"/>
      <c r="BQ2777" s="4"/>
      <c r="CC2777" s="4"/>
      <c r="CD2777" s="4"/>
      <c r="CF2777" s="4"/>
    </row>
    <row r="2778" spans="66:84">
      <c r="BN2778" s="4"/>
      <c r="BO2778" s="4"/>
      <c r="BQ2778" s="4"/>
      <c r="CC2778" s="4"/>
      <c r="CD2778" s="4"/>
      <c r="CF2778" s="4"/>
    </row>
    <row r="2779" spans="66:84">
      <c r="BN2779" s="4"/>
      <c r="BO2779" s="4"/>
      <c r="BQ2779" s="4"/>
      <c r="CC2779" s="4"/>
      <c r="CD2779" s="4"/>
      <c r="CF2779" s="4"/>
    </row>
    <row r="2780" spans="66:84">
      <c r="BN2780" s="4"/>
      <c r="BO2780" s="4"/>
      <c r="BQ2780" s="4"/>
      <c r="CC2780" s="4"/>
      <c r="CD2780" s="4"/>
      <c r="CF2780" s="4"/>
    </row>
    <row r="2781" spans="66:84">
      <c r="BN2781" s="4"/>
      <c r="BO2781" s="4"/>
      <c r="BQ2781" s="4"/>
      <c r="CC2781" s="4"/>
      <c r="CD2781" s="4"/>
      <c r="CF2781" s="4"/>
    </row>
    <row r="2782" spans="66:84">
      <c r="BN2782" s="4"/>
      <c r="BO2782" s="4"/>
      <c r="BQ2782" s="4"/>
      <c r="CC2782" s="4"/>
      <c r="CD2782" s="4"/>
      <c r="CF2782" s="4"/>
    </row>
    <row r="2783" spans="66:84">
      <c r="BN2783" s="4"/>
      <c r="BO2783" s="4"/>
      <c r="BQ2783" s="4"/>
      <c r="CC2783" s="4"/>
      <c r="CD2783" s="4"/>
      <c r="CF2783" s="4"/>
    </row>
    <row r="2784" spans="66:84">
      <c r="BN2784" s="4"/>
      <c r="BO2784" s="4"/>
      <c r="BQ2784" s="4"/>
      <c r="CC2784" s="4"/>
      <c r="CD2784" s="4"/>
      <c r="CF2784" s="4"/>
    </row>
    <row r="2785" spans="66:84">
      <c r="BN2785" s="4"/>
      <c r="BO2785" s="4"/>
      <c r="BQ2785" s="4"/>
      <c r="CC2785" s="4"/>
      <c r="CD2785" s="4"/>
      <c r="CF2785" s="4"/>
    </row>
    <row r="2786" spans="66:84">
      <c r="BN2786" s="4"/>
      <c r="BO2786" s="4"/>
      <c r="BQ2786" s="4"/>
      <c r="CC2786" s="4"/>
      <c r="CD2786" s="4"/>
      <c r="CF2786" s="4"/>
    </row>
    <row r="2787" spans="66:84">
      <c r="BN2787" s="4"/>
      <c r="BO2787" s="4"/>
      <c r="BQ2787" s="4"/>
      <c r="CC2787" s="4"/>
      <c r="CD2787" s="4"/>
      <c r="CF2787" s="4"/>
    </row>
    <row r="2788" spans="66:84">
      <c r="BN2788" s="4"/>
      <c r="BO2788" s="4"/>
      <c r="BQ2788" s="4"/>
      <c r="CC2788" s="4"/>
      <c r="CD2788" s="4"/>
      <c r="CF2788" s="4"/>
    </row>
    <row r="2789" spans="66:84">
      <c r="BN2789" s="4"/>
      <c r="BO2789" s="4"/>
      <c r="BQ2789" s="4"/>
      <c r="CC2789" s="4"/>
      <c r="CD2789" s="4"/>
      <c r="CF2789" s="4"/>
    </row>
    <row r="2790" spans="66:84">
      <c r="BN2790" s="4"/>
      <c r="BO2790" s="4"/>
      <c r="BQ2790" s="4"/>
      <c r="CC2790" s="4"/>
      <c r="CD2790" s="4"/>
      <c r="CF2790" s="4"/>
    </row>
    <row r="2791" spans="66:84">
      <c r="BN2791" s="4"/>
      <c r="BO2791" s="4"/>
      <c r="BQ2791" s="4"/>
      <c r="CC2791" s="4"/>
      <c r="CD2791" s="4"/>
      <c r="CF2791" s="4"/>
    </row>
    <row r="2792" spans="66:84">
      <c r="BN2792" s="4"/>
      <c r="BO2792" s="4"/>
      <c r="BQ2792" s="4"/>
      <c r="CC2792" s="4"/>
      <c r="CD2792" s="4"/>
      <c r="CF2792" s="4"/>
    </row>
    <row r="2793" spans="66:84">
      <c r="BN2793" s="4"/>
      <c r="BO2793" s="4"/>
      <c r="BQ2793" s="4"/>
      <c r="CC2793" s="4"/>
      <c r="CD2793" s="4"/>
      <c r="CF2793" s="4"/>
    </row>
    <row r="2794" spans="66:84">
      <c r="BN2794" s="4"/>
      <c r="BO2794" s="4"/>
      <c r="BQ2794" s="4"/>
      <c r="CC2794" s="4"/>
      <c r="CD2794" s="4"/>
      <c r="CF2794" s="4"/>
    </row>
    <row r="2795" spans="66:84">
      <c r="BN2795" s="4"/>
      <c r="BO2795" s="4"/>
      <c r="BQ2795" s="4"/>
      <c r="CC2795" s="4"/>
      <c r="CD2795" s="4"/>
      <c r="CF2795" s="4"/>
    </row>
    <row r="2796" spans="66:84">
      <c r="BN2796" s="4"/>
      <c r="BO2796" s="4"/>
      <c r="BQ2796" s="4"/>
      <c r="CC2796" s="4"/>
      <c r="CD2796" s="4"/>
      <c r="CF2796" s="4"/>
    </row>
    <row r="2797" spans="66:84">
      <c r="BN2797" s="4"/>
      <c r="BO2797" s="4"/>
      <c r="BQ2797" s="4"/>
      <c r="CC2797" s="4"/>
      <c r="CD2797" s="4"/>
      <c r="CF2797" s="4"/>
    </row>
    <row r="2798" spans="66:84">
      <c r="BN2798" s="4"/>
      <c r="BO2798" s="4"/>
      <c r="BQ2798" s="4"/>
      <c r="CC2798" s="4"/>
      <c r="CD2798" s="4"/>
      <c r="CF2798" s="4"/>
    </row>
    <row r="2799" spans="66:84">
      <c r="BN2799" s="4"/>
      <c r="BO2799" s="4"/>
      <c r="BQ2799" s="4"/>
      <c r="CC2799" s="4"/>
      <c r="CD2799" s="4"/>
      <c r="CF2799" s="4"/>
    </row>
    <row r="2800" spans="66:84">
      <c r="BN2800" s="4"/>
      <c r="BO2800" s="4"/>
      <c r="BQ2800" s="4"/>
      <c r="CC2800" s="4"/>
      <c r="CD2800" s="4"/>
      <c r="CF2800" s="4"/>
    </row>
    <row r="2801" spans="66:84">
      <c r="BN2801" s="4"/>
      <c r="BO2801" s="4"/>
      <c r="BQ2801" s="4"/>
      <c r="CC2801" s="4"/>
      <c r="CD2801" s="4"/>
      <c r="CF2801" s="4"/>
    </row>
    <row r="2802" spans="66:84">
      <c r="BN2802" s="4"/>
      <c r="BO2802" s="4"/>
      <c r="BQ2802" s="4"/>
      <c r="CC2802" s="4"/>
      <c r="CD2802" s="4"/>
      <c r="CF2802" s="4"/>
    </row>
    <row r="2803" spans="66:84">
      <c r="BN2803" s="4"/>
      <c r="BO2803" s="4"/>
      <c r="BQ2803" s="4"/>
      <c r="CC2803" s="4"/>
      <c r="CD2803" s="4"/>
      <c r="CF2803" s="4"/>
    </row>
    <row r="2804" spans="66:84">
      <c r="BN2804" s="4"/>
      <c r="BO2804" s="4"/>
      <c r="BQ2804" s="4"/>
      <c r="CC2804" s="4"/>
      <c r="CD2804" s="4"/>
      <c r="CF2804" s="4"/>
    </row>
    <row r="2805" spans="66:84">
      <c r="BN2805" s="4"/>
      <c r="BO2805" s="4"/>
      <c r="BQ2805" s="4"/>
      <c r="CC2805" s="4"/>
      <c r="CD2805" s="4"/>
      <c r="CF2805" s="4"/>
    </row>
    <row r="2806" spans="66:84">
      <c r="BN2806" s="4"/>
      <c r="BO2806" s="4"/>
      <c r="BQ2806" s="4"/>
      <c r="CC2806" s="4"/>
      <c r="CD2806" s="4"/>
      <c r="CF2806" s="4"/>
    </row>
    <row r="2807" spans="66:84">
      <c r="BN2807" s="4"/>
      <c r="BO2807" s="4"/>
      <c r="BQ2807" s="4"/>
      <c r="CC2807" s="4"/>
      <c r="CD2807" s="4"/>
      <c r="CF2807" s="4"/>
    </row>
    <row r="2808" spans="66:84">
      <c r="BN2808" s="4"/>
      <c r="BO2808" s="4"/>
      <c r="BQ2808" s="4"/>
      <c r="CC2808" s="4"/>
      <c r="CD2808" s="4"/>
      <c r="CF2808" s="4"/>
    </row>
    <row r="2809" spans="66:84">
      <c r="BN2809" s="4"/>
      <c r="BO2809" s="4"/>
      <c r="BQ2809" s="4"/>
      <c r="CC2809" s="4"/>
      <c r="CD2809" s="4"/>
      <c r="CF2809" s="4"/>
    </row>
    <row r="2810" spans="66:84">
      <c r="BN2810" s="4"/>
      <c r="BO2810" s="4"/>
      <c r="BQ2810" s="4"/>
      <c r="CC2810" s="4"/>
      <c r="CD2810" s="4"/>
      <c r="CF2810" s="4"/>
    </row>
    <row r="2811" spans="66:84">
      <c r="BN2811" s="4"/>
      <c r="BO2811" s="4"/>
      <c r="BQ2811" s="4"/>
      <c r="CC2811" s="4"/>
      <c r="CD2811" s="4"/>
      <c r="CF2811" s="4"/>
    </row>
    <row r="2812" spans="66:84">
      <c r="BN2812" s="4"/>
      <c r="BO2812" s="4"/>
      <c r="BQ2812" s="4"/>
      <c r="CC2812" s="4"/>
      <c r="CD2812" s="4"/>
      <c r="CF2812" s="4"/>
    </row>
    <row r="2813" spans="66:84">
      <c r="BN2813" s="4"/>
      <c r="BO2813" s="4"/>
      <c r="BQ2813" s="4"/>
      <c r="CC2813" s="4"/>
      <c r="CD2813" s="4"/>
      <c r="CF2813" s="4"/>
    </row>
    <row r="2814" spans="66:84">
      <c r="BN2814" s="4"/>
      <c r="BO2814" s="4"/>
      <c r="BQ2814" s="4"/>
      <c r="CC2814" s="4"/>
      <c r="CD2814" s="4"/>
      <c r="CF2814" s="4"/>
    </row>
    <row r="2815" spans="66:84">
      <c r="BN2815" s="4"/>
      <c r="BO2815" s="4"/>
      <c r="BQ2815" s="4"/>
      <c r="CC2815" s="4"/>
      <c r="CD2815" s="4"/>
      <c r="CF2815" s="4"/>
    </row>
    <row r="2816" spans="66:84">
      <c r="BN2816" s="4"/>
      <c r="BO2816" s="4"/>
      <c r="BQ2816" s="4"/>
      <c r="CC2816" s="4"/>
      <c r="CD2816" s="4"/>
      <c r="CF2816" s="4"/>
    </row>
    <row r="2817" spans="66:84">
      <c r="BN2817" s="4"/>
      <c r="BO2817" s="4"/>
      <c r="BQ2817" s="4"/>
      <c r="CC2817" s="4"/>
      <c r="CD2817" s="4"/>
      <c r="CF2817" s="4"/>
    </row>
    <row r="2818" spans="66:84">
      <c r="BN2818" s="4"/>
      <c r="BO2818" s="4"/>
      <c r="BQ2818" s="4"/>
      <c r="CC2818" s="4"/>
      <c r="CD2818" s="4"/>
      <c r="CF2818" s="4"/>
    </row>
    <row r="2819" spans="66:84">
      <c r="BN2819" s="4"/>
      <c r="BO2819" s="4"/>
      <c r="BQ2819" s="4"/>
      <c r="CC2819" s="4"/>
      <c r="CD2819" s="4"/>
      <c r="CF2819" s="4"/>
    </row>
    <row r="2820" spans="66:84">
      <c r="BN2820" s="4"/>
      <c r="BO2820" s="4"/>
      <c r="BQ2820" s="4"/>
      <c r="CC2820" s="4"/>
      <c r="CD2820" s="4"/>
      <c r="CF2820" s="4"/>
    </row>
    <row r="2821" spans="66:84">
      <c r="BN2821" s="4"/>
      <c r="BO2821" s="4"/>
      <c r="BQ2821" s="4"/>
      <c r="CC2821" s="4"/>
      <c r="CD2821" s="4"/>
      <c r="CF2821" s="4"/>
    </row>
    <row r="2822" spans="66:84">
      <c r="BN2822" s="4"/>
      <c r="BO2822" s="4"/>
      <c r="BQ2822" s="4"/>
      <c r="CC2822" s="4"/>
      <c r="CD2822" s="4"/>
      <c r="CF2822" s="4"/>
    </row>
    <row r="2823" spans="66:84">
      <c r="BN2823" s="4"/>
      <c r="BO2823" s="4"/>
      <c r="BQ2823" s="4"/>
      <c r="CC2823" s="4"/>
      <c r="CD2823" s="4"/>
      <c r="CF2823" s="4"/>
    </row>
    <row r="2824" spans="66:84">
      <c r="BN2824" s="4"/>
      <c r="BO2824" s="4"/>
      <c r="BQ2824" s="4"/>
      <c r="CC2824" s="4"/>
      <c r="CD2824" s="4"/>
      <c r="CF2824" s="4"/>
    </row>
    <row r="2825" spans="66:84">
      <c r="BN2825" s="4"/>
      <c r="BO2825" s="4"/>
      <c r="BQ2825" s="4"/>
      <c r="CC2825" s="4"/>
      <c r="CD2825" s="4"/>
      <c r="CF2825" s="4"/>
    </row>
    <row r="2826" spans="66:84">
      <c r="BN2826" s="4"/>
      <c r="BO2826" s="4"/>
      <c r="BQ2826" s="4"/>
      <c r="CC2826" s="4"/>
      <c r="CD2826" s="4"/>
      <c r="CF2826" s="4"/>
    </row>
    <row r="2827" spans="66:84">
      <c r="BN2827" s="4"/>
      <c r="BO2827" s="4"/>
      <c r="BQ2827" s="4"/>
      <c r="CC2827" s="4"/>
      <c r="CD2827" s="4"/>
      <c r="CF2827" s="4"/>
    </row>
    <row r="2828" spans="66:84">
      <c r="BN2828" s="4"/>
      <c r="BO2828" s="4"/>
      <c r="BQ2828" s="4"/>
      <c r="CC2828" s="4"/>
      <c r="CD2828" s="4"/>
      <c r="CF2828" s="4"/>
    </row>
    <row r="2829" spans="66:84">
      <c r="BN2829" s="4"/>
      <c r="BO2829" s="4"/>
      <c r="BQ2829" s="4"/>
      <c r="CC2829" s="4"/>
      <c r="CD2829" s="4"/>
      <c r="CF2829" s="4"/>
    </row>
    <row r="2830" spans="66:84">
      <c r="BN2830" s="4"/>
      <c r="BO2830" s="4"/>
      <c r="BQ2830" s="4"/>
      <c r="CC2830" s="4"/>
      <c r="CD2830" s="4"/>
      <c r="CF2830" s="4"/>
    </row>
    <row r="2831" spans="66:84">
      <c r="BN2831" s="4"/>
      <c r="BO2831" s="4"/>
      <c r="BQ2831" s="4"/>
      <c r="CC2831" s="4"/>
      <c r="CD2831" s="4"/>
      <c r="CF2831" s="4"/>
    </row>
    <row r="2832" spans="66:84">
      <c r="BN2832" s="4"/>
      <c r="BO2832" s="4"/>
      <c r="BQ2832" s="4"/>
      <c r="CC2832" s="4"/>
      <c r="CD2832" s="4"/>
      <c r="CF2832" s="4"/>
    </row>
    <row r="2833" spans="66:84">
      <c r="BN2833" s="4"/>
      <c r="BO2833" s="4"/>
      <c r="BQ2833" s="4"/>
      <c r="CC2833" s="4"/>
      <c r="CD2833" s="4"/>
      <c r="CF2833" s="4"/>
    </row>
    <row r="2834" spans="66:84">
      <c r="BN2834" s="4"/>
      <c r="BO2834" s="4"/>
      <c r="BQ2834" s="4"/>
      <c r="CC2834" s="4"/>
      <c r="CD2834" s="4"/>
      <c r="CF2834" s="4"/>
    </row>
    <row r="2835" spans="66:84">
      <c r="BN2835" s="4"/>
      <c r="BO2835" s="4"/>
      <c r="BQ2835" s="4"/>
      <c r="CC2835" s="4"/>
      <c r="CD2835" s="4"/>
      <c r="CF2835" s="4"/>
    </row>
    <row r="2836" spans="66:84">
      <c r="BN2836" s="4"/>
      <c r="BO2836" s="4"/>
      <c r="BQ2836" s="4"/>
      <c r="CC2836" s="4"/>
      <c r="CD2836" s="4"/>
      <c r="CF2836" s="4"/>
    </row>
    <row r="2837" spans="66:84">
      <c r="BN2837" s="4"/>
      <c r="BO2837" s="4"/>
      <c r="BQ2837" s="4"/>
      <c r="CC2837" s="4"/>
      <c r="CD2837" s="4"/>
      <c r="CF2837" s="4"/>
    </row>
    <row r="2838" spans="66:84">
      <c r="BN2838" s="4"/>
      <c r="BO2838" s="4"/>
      <c r="BQ2838" s="4"/>
      <c r="CC2838" s="4"/>
      <c r="CD2838" s="4"/>
      <c r="CF2838" s="4"/>
    </row>
    <row r="2839" spans="66:84">
      <c r="BN2839" s="4"/>
      <c r="BO2839" s="4"/>
      <c r="BQ2839" s="4"/>
      <c r="CC2839" s="4"/>
      <c r="CD2839" s="4"/>
      <c r="CF2839" s="4"/>
    </row>
    <row r="2840" spans="66:84">
      <c r="BN2840" s="4"/>
      <c r="BO2840" s="4"/>
      <c r="BQ2840" s="4"/>
      <c r="CC2840" s="4"/>
      <c r="CD2840" s="4"/>
      <c r="CF2840" s="4"/>
    </row>
    <row r="2841" spans="66:84">
      <c r="BN2841" s="4"/>
      <c r="BO2841" s="4"/>
      <c r="BQ2841" s="4"/>
      <c r="CC2841" s="4"/>
      <c r="CD2841" s="4"/>
      <c r="CF2841" s="4"/>
    </row>
    <row r="2842" spans="66:84">
      <c r="BN2842" s="4"/>
      <c r="BO2842" s="4"/>
      <c r="BQ2842" s="4"/>
      <c r="CC2842" s="4"/>
      <c r="CD2842" s="4"/>
      <c r="CF2842" s="4"/>
    </row>
    <row r="2843" spans="66:84">
      <c r="BN2843" s="4"/>
      <c r="BO2843" s="4"/>
      <c r="BQ2843" s="4"/>
      <c r="CC2843" s="4"/>
      <c r="CD2843" s="4"/>
      <c r="CF2843" s="4"/>
    </row>
    <row r="2844" spans="66:84">
      <c r="BN2844" s="4"/>
      <c r="BO2844" s="4"/>
      <c r="BQ2844" s="4"/>
      <c r="CC2844" s="4"/>
      <c r="CD2844" s="4"/>
      <c r="CF2844" s="4"/>
    </row>
    <row r="2845" spans="66:84">
      <c r="BN2845" s="4"/>
      <c r="BO2845" s="4"/>
      <c r="BQ2845" s="4"/>
      <c r="CC2845" s="4"/>
      <c r="CD2845" s="4"/>
      <c r="CF2845" s="4"/>
    </row>
    <row r="2846" spans="66:84">
      <c r="BN2846" s="4"/>
      <c r="BO2846" s="4"/>
      <c r="BQ2846" s="4"/>
      <c r="CC2846" s="4"/>
      <c r="CD2846" s="4"/>
      <c r="CF2846" s="4"/>
    </row>
    <row r="2847" spans="66:84">
      <c r="BN2847" s="4"/>
      <c r="BO2847" s="4"/>
      <c r="BQ2847" s="4"/>
      <c r="CC2847" s="4"/>
      <c r="CD2847" s="4"/>
      <c r="CF2847" s="4"/>
    </row>
    <row r="2848" spans="66:84">
      <c r="BN2848" s="4"/>
      <c r="BO2848" s="4"/>
      <c r="BQ2848" s="4"/>
      <c r="CC2848" s="4"/>
      <c r="CD2848" s="4"/>
      <c r="CF2848" s="4"/>
    </row>
    <row r="2849" spans="66:84">
      <c r="BN2849" s="4"/>
      <c r="BO2849" s="4"/>
      <c r="BQ2849" s="4"/>
      <c r="CC2849" s="4"/>
      <c r="CD2849" s="4"/>
      <c r="CF2849" s="4"/>
    </row>
    <row r="2850" spans="66:84">
      <c r="BN2850" s="4"/>
      <c r="BO2850" s="4"/>
      <c r="BQ2850" s="4"/>
      <c r="CC2850" s="4"/>
      <c r="CD2850" s="4"/>
      <c r="CF2850" s="4"/>
    </row>
    <row r="2851" spans="66:84">
      <c r="BN2851" s="4"/>
      <c r="BO2851" s="4"/>
      <c r="BQ2851" s="4"/>
      <c r="CC2851" s="4"/>
      <c r="CD2851" s="4"/>
      <c r="CF2851" s="4"/>
    </row>
    <row r="2852" spans="66:84">
      <c r="BN2852" s="4"/>
      <c r="BO2852" s="4"/>
      <c r="BQ2852" s="4"/>
      <c r="CC2852" s="4"/>
      <c r="CD2852" s="4"/>
      <c r="CF2852" s="4"/>
    </row>
    <row r="2853" spans="66:84">
      <c r="BN2853" s="4"/>
      <c r="BO2853" s="4"/>
      <c r="BQ2853" s="4"/>
      <c r="CC2853" s="4"/>
      <c r="CD2853" s="4"/>
      <c r="CF2853" s="4"/>
    </row>
    <row r="2854" spans="66:84">
      <c r="BN2854" s="4"/>
      <c r="BO2854" s="4"/>
      <c r="BQ2854" s="4"/>
      <c r="CC2854" s="4"/>
      <c r="CD2854" s="4"/>
      <c r="CF2854" s="4"/>
    </row>
    <row r="2855" spans="66:84">
      <c r="BN2855" s="4"/>
      <c r="BO2855" s="4"/>
      <c r="BQ2855" s="4"/>
      <c r="CC2855" s="4"/>
      <c r="CD2855" s="4"/>
      <c r="CF2855" s="4"/>
    </row>
    <row r="2856" spans="66:84">
      <c r="BN2856" s="4"/>
      <c r="BO2856" s="4"/>
      <c r="BQ2856" s="4"/>
      <c r="CC2856" s="4"/>
      <c r="CD2856" s="4"/>
      <c r="CF2856" s="4"/>
    </row>
    <row r="2857" spans="66:84">
      <c r="BN2857" s="4"/>
      <c r="BO2857" s="4"/>
      <c r="BQ2857" s="4"/>
      <c r="CC2857" s="4"/>
      <c r="CD2857" s="4"/>
      <c r="CF2857" s="4"/>
    </row>
    <row r="2858" spans="66:84">
      <c r="BN2858" s="4"/>
      <c r="BO2858" s="4"/>
      <c r="BQ2858" s="4"/>
      <c r="CC2858" s="4"/>
      <c r="CD2858" s="4"/>
      <c r="CF2858" s="4"/>
    </row>
    <row r="2859" spans="66:84">
      <c r="BN2859" s="4"/>
      <c r="BO2859" s="4"/>
      <c r="BQ2859" s="4"/>
      <c r="CC2859" s="4"/>
      <c r="CD2859" s="4"/>
      <c r="CF2859" s="4"/>
    </row>
    <row r="2860" spans="66:84">
      <c r="BN2860" s="4"/>
      <c r="BO2860" s="4"/>
      <c r="BQ2860" s="4"/>
      <c r="CC2860" s="4"/>
      <c r="CD2860" s="4"/>
      <c r="CF2860" s="4"/>
    </row>
    <row r="2861" spans="66:84">
      <c r="BN2861" s="4"/>
      <c r="BO2861" s="4"/>
      <c r="BQ2861" s="4"/>
      <c r="CC2861" s="4"/>
      <c r="CD2861" s="4"/>
      <c r="CF2861" s="4"/>
    </row>
    <row r="2862" spans="66:84">
      <c r="BN2862" s="4"/>
      <c r="BO2862" s="4"/>
      <c r="BQ2862" s="4"/>
      <c r="CC2862" s="4"/>
      <c r="CD2862" s="4"/>
      <c r="CF2862" s="4"/>
    </row>
    <row r="2863" spans="66:84">
      <c r="BN2863" s="4"/>
      <c r="BO2863" s="4"/>
      <c r="BQ2863" s="4"/>
      <c r="CC2863" s="4"/>
      <c r="CD2863" s="4"/>
      <c r="CF2863" s="4"/>
    </row>
    <row r="2864" spans="66:84">
      <c r="BN2864" s="4"/>
      <c r="BO2864" s="4"/>
      <c r="BQ2864" s="4"/>
      <c r="CC2864" s="4"/>
      <c r="CD2864" s="4"/>
      <c r="CF2864" s="4"/>
    </row>
    <row r="2865" spans="66:84">
      <c r="BN2865" s="4"/>
      <c r="BO2865" s="4"/>
      <c r="BQ2865" s="4"/>
      <c r="CC2865" s="4"/>
      <c r="CD2865" s="4"/>
      <c r="CF2865" s="4"/>
    </row>
    <row r="2866" spans="66:84">
      <c r="BN2866" s="4"/>
      <c r="BO2866" s="4"/>
      <c r="BQ2866" s="4"/>
      <c r="CC2866" s="4"/>
      <c r="CD2866" s="4"/>
      <c r="CF2866" s="4"/>
    </row>
    <row r="2867" spans="66:84">
      <c r="BN2867" s="4"/>
      <c r="BO2867" s="4"/>
      <c r="BQ2867" s="4"/>
      <c r="CC2867" s="4"/>
      <c r="CD2867" s="4"/>
      <c r="CF2867" s="4"/>
    </row>
    <row r="2868" spans="66:84">
      <c r="BN2868" s="4"/>
      <c r="BO2868" s="4"/>
      <c r="BQ2868" s="4"/>
      <c r="CC2868" s="4"/>
      <c r="CD2868" s="4"/>
      <c r="CF2868" s="4"/>
    </row>
    <row r="2869" spans="66:84">
      <c r="BN2869" s="4"/>
      <c r="BO2869" s="4"/>
      <c r="BQ2869" s="4"/>
      <c r="CC2869" s="4"/>
      <c r="CD2869" s="4"/>
      <c r="CF2869" s="4"/>
    </row>
    <row r="2870" spans="66:84">
      <c r="BN2870" s="4"/>
      <c r="BO2870" s="4"/>
      <c r="BQ2870" s="4"/>
      <c r="CC2870" s="4"/>
      <c r="CD2870" s="4"/>
      <c r="CF2870" s="4"/>
    </row>
    <row r="2871" spans="66:84">
      <c r="BN2871" s="4"/>
      <c r="BO2871" s="4"/>
      <c r="BQ2871" s="4"/>
      <c r="CC2871" s="4"/>
      <c r="CD2871" s="4"/>
      <c r="CF2871" s="4"/>
    </row>
    <row r="2872" spans="66:84">
      <c r="BN2872" s="4"/>
      <c r="BO2872" s="4"/>
      <c r="BQ2872" s="4"/>
      <c r="CC2872" s="4"/>
      <c r="CD2872" s="4"/>
      <c r="CF2872" s="4"/>
    </row>
    <row r="2873" spans="66:84">
      <c r="BN2873" s="4"/>
      <c r="BO2873" s="4"/>
      <c r="BQ2873" s="4"/>
      <c r="CC2873" s="4"/>
      <c r="CD2873" s="4"/>
      <c r="CF2873" s="4"/>
    </row>
    <row r="2874" spans="66:84">
      <c r="BN2874" s="4"/>
      <c r="BO2874" s="4"/>
      <c r="BQ2874" s="4"/>
      <c r="CC2874" s="4"/>
      <c r="CD2874" s="4"/>
      <c r="CF2874" s="4"/>
    </row>
    <row r="2875" spans="66:84">
      <c r="BN2875" s="4"/>
      <c r="BO2875" s="4"/>
      <c r="BQ2875" s="4"/>
      <c r="CC2875" s="4"/>
      <c r="CD2875" s="4"/>
      <c r="CF2875" s="4"/>
    </row>
    <row r="2876" spans="66:84">
      <c r="BN2876" s="4"/>
      <c r="BO2876" s="4"/>
      <c r="BQ2876" s="4"/>
      <c r="CC2876" s="4"/>
      <c r="CD2876" s="4"/>
      <c r="CF2876" s="4"/>
    </row>
    <row r="2877" spans="66:84">
      <c r="BN2877" s="4"/>
      <c r="BO2877" s="4"/>
      <c r="BQ2877" s="4"/>
      <c r="CC2877" s="4"/>
      <c r="CD2877" s="4"/>
      <c r="CF2877" s="4"/>
    </row>
    <row r="2878" spans="66:84">
      <c r="BN2878" s="4"/>
      <c r="BO2878" s="4"/>
      <c r="BQ2878" s="4"/>
      <c r="CC2878" s="4"/>
      <c r="CD2878" s="4"/>
      <c r="CF2878" s="4"/>
    </row>
    <row r="2879" spans="66:84">
      <c r="BN2879" s="4"/>
      <c r="BO2879" s="4"/>
      <c r="BQ2879" s="4"/>
      <c r="CC2879" s="4"/>
      <c r="CD2879" s="4"/>
      <c r="CF2879" s="4"/>
    </row>
    <row r="2880" spans="66:84">
      <c r="BN2880" s="4"/>
      <c r="BO2880" s="4"/>
      <c r="BQ2880" s="4"/>
      <c r="CC2880" s="4"/>
      <c r="CD2880" s="4"/>
      <c r="CF2880" s="4"/>
    </row>
    <row r="2881" spans="66:84">
      <c r="BN2881" s="4"/>
      <c r="BO2881" s="4"/>
      <c r="BQ2881" s="4"/>
      <c r="CC2881" s="4"/>
      <c r="CD2881" s="4"/>
      <c r="CF2881" s="4"/>
    </row>
    <row r="2882" spans="66:84">
      <c r="BN2882" s="4"/>
      <c r="BO2882" s="4"/>
      <c r="BQ2882" s="4"/>
      <c r="CC2882" s="4"/>
      <c r="CD2882" s="4"/>
      <c r="CF2882" s="4"/>
    </row>
    <row r="2883" spans="66:84">
      <c r="BN2883" s="4"/>
      <c r="BO2883" s="4"/>
      <c r="BQ2883" s="4"/>
      <c r="CC2883" s="4"/>
      <c r="CD2883" s="4"/>
      <c r="CF2883" s="4"/>
    </row>
    <row r="2884" spans="66:84">
      <c r="BN2884" s="4"/>
      <c r="BO2884" s="4"/>
      <c r="BQ2884" s="4"/>
      <c r="CC2884" s="4"/>
      <c r="CD2884" s="4"/>
      <c r="CF2884" s="4"/>
    </row>
    <row r="2885" spans="66:84">
      <c r="BN2885" s="4"/>
      <c r="BO2885" s="4"/>
      <c r="BQ2885" s="4"/>
      <c r="CC2885" s="4"/>
      <c r="CD2885" s="4"/>
      <c r="CF2885" s="4"/>
    </row>
    <row r="2886" spans="66:84">
      <c r="BN2886" s="4"/>
      <c r="BO2886" s="4"/>
      <c r="BQ2886" s="4"/>
      <c r="CC2886" s="4"/>
      <c r="CD2886" s="4"/>
      <c r="CF2886" s="4"/>
    </row>
    <row r="2887" spans="66:84">
      <c r="BN2887" s="4"/>
      <c r="BO2887" s="4"/>
      <c r="BQ2887" s="4"/>
      <c r="CC2887" s="4"/>
      <c r="CD2887" s="4"/>
      <c r="CF2887" s="4"/>
    </row>
    <row r="2888" spans="66:84">
      <c r="BN2888" s="4"/>
      <c r="BO2888" s="4"/>
      <c r="BQ2888" s="4"/>
      <c r="CC2888" s="4"/>
      <c r="CD2888" s="4"/>
      <c r="CF2888" s="4"/>
    </row>
    <row r="2889" spans="66:84">
      <c r="BN2889" s="4"/>
      <c r="BO2889" s="4"/>
      <c r="BQ2889" s="4"/>
      <c r="CC2889" s="4"/>
      <c r="CD2889" s="4"/>
      <c r="CF2889" s="4"/>
    </row>
    <row r="2890" spans="66:84">
      <c r="BN2890" s="4"/>
      <c r="BO2890" s="4"/>
      <c r="BQ2890" s="4"/>
      <c r="CC2890" s="4"/>
      <c r="CD2890" s="4"/>
      <c r="CF2890" s="4"/>
    </row>
    <row r="2891" spans="66:84">
      <c r="BN2891" s="4"/>
      <c r="BO2891" s="4"/>
      <c r="BQ2891" s="4"/>
      <c r="CC2891" s="4"/>
      <c r="CD2891" s="4"/>
      <c r="CF2891" s="4"/>
    </row>
    <row r="2892" spans="66:84">
      <c r="BN2892" s="4"/>
      <c r="BO2892" s="4"/>
      <c r="BQ2892" s="4"/>
      <c r="CC2892" s="4"/>
      <c r="CD2892" s="4"/>
      <c r="CF2892" s="4"/>
    </row>
    <row r="2893" spans="66:84">
      <c r="BN2893" s="4"/>
      <c r="BO2893" s="4"/>
      <c r="BQ2893" s="4"/>
      <c r="CC2893" s="4"/>
      <c r="CD2893" s="4"/>
      <c r="CF2893" s="4"/>
    </row>
    <row r="2894" spans="66:84">
      <c r="BN2894" s="4"/>
      <c r="BO2894" s="4"/>
      <c r="BQ2894" s="4"/>
      <c r="CC2894" s="4"/>
      <c r="CD2894" s="4"/>
      <c r="CF2894" s="4"/>
    </row>
    <row r="2895" spans="66:84">
      <c r="BN2895" s="4"/>
      <c r="BO2895" s="4"/>
      <c r="BQ2895" s="4"/>
      <c r="CC2895" s="4"/>
      <c r="CD2895" s="4"/>
      <c r="CF2895" s="4"/>
    </row>
    <row r="2896" spans="66:84">
      <c r="BN2896" s="4"/>
      <c r="BO2896" s="4"/>
      <c r="BQ2896" s="4"/>
      <c r="CC2896" s="4"/>
      <c r="CD2896" s="4"/>
      <c r="CF2896" s="4"/>
    </row>
    <row r="2897" spans="66:84">
      <c r="BN2897" s="4"/>
      <c r="BO2897" s="4"/>
      <c r="BQ2897" s="4"/>
      <c r="CC2897" s="4"/>
      <c r="CD2897" s="4"/>
      <c r="CF2897" s="4"/>
    </row>
    <row r="2898" spans="66:84">
      <c r="BN2898" s="4"/>
      <c r="BO2898" s="4"/>
      <c r="BQ2898" s="4"/>
      <c r="CC2898" s="4"/>
      <c r="CD2898" s="4"/>
      <c r="CF2898" s="4"/>
    </row>
    <row r="2899" spans="66:84">
      <c r="BN2899" s="4"/>
      <c r="BO2899" s="4"/>
      <c r="BQ2899" s="4"/>
      <c r="CC2899" s="4"/>
      <c r="CD2899" s="4"/>
      <c r="CF2899" s="4"/>
    </row>
    <row r="2900" spans="66:84">
      <c r="BN2900" s="4"/>
      <c r="BO2900" s="4"/>
      <c r="BQ2900" s="4"/>
      <c r="CC2900" s="4"/>
      <c r="CD2900" s="4"/>
      <c r="CF2900" s="4"/>
    </row>
    <row r="2901" spans="66:84">
      <c r="BN2901" s="4"/>
      <c r="BO2901" s="4"/>
      <c r="BQ2901" s="4"/>
      <c r="CC2901" s="4"/>
      <c r="CD2901" s="4"/>
      <c r="CF2901" s="4"/>
    </row>
    <row r="2902" spans="66:84">
      <c r="BN2902" s="4"/>
      <c r="BO2902" s="4"/>
      <c r="BQ2902" s="4"/>
      <c r="CC2902" s="4"/>
      <c r="CD2902" s="4"/>
      <c r="CF2902" s="4"/>
    </row>
    <row r="2903" spans="66:84">
      <c r="BN2903" s="4"/>
      <c r="BO2903" s="4"/>
      <c r="BQ2903" s="4"/>
      <c r="CC2903" s="4"/>
      <c r="CD2903" s="4"/>
      <c r="CF2903" s="4"/>
    </row>
    <row r="2904" spans="66:84">
      <c r="BN2904" s="4"/>
      <c r="BO2904" s="4"/>
      <c r="BQ2904" s="4"/>
      <c r="CC2904" s="4"/>
      <c r="CD2904" s="4"/>
      <c r="CF2904" s="4"/>
    </row>
    <row r="2905" spans="66:84">
      <c r="BN2905" s="4"/>
      <c r="BO2905" s="4"/>
      <c r="BQ2905" s="4"/>
      <c r="CC2905" s="4"/>
      <c r="CD2905" s="4"/>
      <c r="CF2905" s="4"/>
    </row>
    <row r="2906" spans="66:84">
      <c r="BN2906" s="4"/>
      <c r="BO2906" s="4"/>
      <c r="BQ2906" s="4"/>
      <c r="CC2906" s="4"/>
      <c r="CD2906" s="4"/>
      <c r="CF2906" s="4"/>
    </row>
    <row r="2907" spans="66:84">
      <c r="BN2907" s="4"/>
      <c r="BO2907" s="4"/>
      <c r="BQ2907" s="4"/>
      <c r="CC2907" s="4"/>
      <c r="CD2907" s="4"/>
      <c r="CF2907" s="4"/>
    </row>
    <row r="2908" spans="66:84">
      <c r="BN2908" s="4"/>
      <c r="BO2908" s="4"/>
      <c r="BQ2908" s="4"/>
      <c r="CC2908" s="4"/>
      <c r="CD2908" s="4"/>
      <c r="CF2908" s="4"/>
    </row>
    <row r="2909" spans="66:84">
      <c r="BN2909" s="4"/>
      <c r="BO2909" s="4"/>
      <c r="BQ2909" s="4"/>
      <c r="CC2909" s="4"/>
      <c r="CD2909" s="4"/>
      <c r="CF2909" s="4"/>
    </row>
    <row r="2910" spans="66:84">
      <c r="BN2910" s="4"/>
      <c r="BO2910" s="4"/>
      <c r="BQ2910" s="4"/>
      <c r="CC2910" s="4"/>
      <c r="CD2910" s="4"/>
      <c r="CF2910" s="4"/>
    </row>
    <row r="2911" spans="66:84">
      <c r="BN2911" s="4"/>
      <c r="BO2911" s="4"/>
      <c r="BQ2911" s="4"/>
      <c r="CC2911" s="4"/>
      <c r="CD2911" s="4"/>
      <c r="CF2911" s="4"/>
    </row>
    <row r="2912" spans="66:84">
      <c r="BN2912" s="4"/>
      <c r="BO2912" s="4"/>
      <c r="BQ2912" s="4"/>
      <c r="CC2912" s="4"/>
      <c r="CD2912" s="4"/>
      <c r="CF2912" s="4"/>
    </row>
    <row r="2913" spans="66:84">
      <c r="BN2913" s="4"/>
      <c r="BO2913" s="4"/>
      <c r="BQ2913" s="4"/>
      <c r="CC2913" s="4"/>
      <c r="CD2913" s="4"/>
      <c r="CF2913" s="4"/>
    </row>
    <row r="2914" spans="66:84">
      <c r="BN2914" s="4"/>
      <c r="BO2914" s="4"/>
      <c r="BQ2914" s="4"/>
      <c r="CC2914" s="4"/>
      <c r="CD2914" s="4"/>
      <c r="CF2914" s="4"/>
    </row>
    <row r="2915" spans="66:84">
      <c r="BN2915" s="4"/>
      <c r="BO2915" s="4"/>
      <c r="BQ2915" s="4"/>
      <c r="CC2915" s="4"/>
      <c r="CD2915" s="4"/>
      <c r="CF2915" s="4"/>
    </row>
    <row r="2916" spans="66:84">
      <c r="BN2916" s="4"/>
      <c r="BO2916" s="4"/>
      <c r="BQ2916" s="4"/>
      <c r="CC2916" s="4"/>
      <c r="CD2916" s="4"/>
      <c r="CF2916" s="4"/>
    </row>
    <row r="2917" spans="66:84">
      <c r="BN2917" s="4"/>
      <c r="BO2917" s="4"/>
      <c r="BQ2917" s="4"/>
      <c r="CC2917" s="4"/>
      <c r="CD2917" s="4"/>
      <c r="CF2917" s="4"/>
    </row>
    <row r="2918" spans="66:84">
      <c r="BN2918" s="4"/>
      <c r="BO2918" s="4"/>
      <c r="BQ2918" s="4"/>
      <c r="CC2918" s="4"/>
      <c r="CD2918" s="4"/>
      <c r="CF2918" s="4"/>
    </row>
    <row r="2919" spans="66:84">
      <c r="BN2919" s="4"/>
      <c r="BO2919" s="4"/>
      <c r="BQ2919" s="4"/>
      <c r="CC2919" s="4"/>
      <c r="CD2919" s="4"/>
      <c r="CF2919" s="4"/>
    </row>
    <row r="2920" spans="66:84">
      <c r="BN2920" s="4"/>
      <c r="BO2920" s="4"/>
      <c r="BQ2920" s="4"/>
      <c r="CC2920" s="4"/>
      <c r="CD2920" s="4"/>
      <c r="CF2920" s="4"/>
    </row>
    <row r="2921" spans="66:84">
      <c r="BN2921" s="4"/>
      <c r="BO2921" s="4"/>
      <c r="BQ2921" s="4"/>
      <c r="CC2921" s="4"/>
      <c r="CD2921" s="4"/>
      <c r="CF2921" s="4"/>
    </row>
    <row r="2922" spans="66:84">
      <c r="BN2922" s="4"/>
      <c r="BO2922" s="4"/>
      <c r="BQ2922" s="4"/>
      <c r="CC2922" s="4"/>
      <c r="CD2922" s="4"/>
      <c r="CF2922" s="4"/>
    </row>
    <row r="2923" spans="66:84">
      <c r="BN2923" s="4"/>
      <c r="BO2923" s="4"/>
      <c r="BQ2923" s="4"/>
      <c r="CC2923" s="4"/>
      <c r="CD2923" s="4"/>
      <c r="CF2923" s="4"/>
    </row>
    <row r="2924" spans="66:84">
      <c r="BN2924" s="4"/>
      <c r="BO2924" s="4"/>
      <c r="BQ2924" s="4"/>
      <c r="CC2924" s="4"/>
      <c r="CD2924" s="4"/>
      <c r="CF2924" s="4"/>
    </row>
    <row r="2925" spans="66:84">
      <c r="BN2925" s="4"/>
      <c r="BO2925" s="4"/>
      <c r="BQ2925" s="4"/>
      <c r="CC2925" s="4"/>
      <c r="CD2925" s="4"/>
      <c r="CF2925" s="4"/>
    </row>
    <row r="2926" spans="66:84">
      <c r="BN2926" s="4"/>
      <c r="BO2926" s="4"/>
      <c r="BQ2926" s="4"/>
      <c r="CC2926" s="4"/>
      <c r="CD2926" s="4"/>
      <c r="CF2926" s="4"/>
    </row>
    <row r="2927" spans="66:84">
      <c r="BN2927" s="4"/>
      <c r="BO2927" s="4"/>
      <c r="BQ2927" s="4"/>
      <c r="CC2927" s="4"/>
      <c r="CD2927" s="4"/>
      <c r="CF2927" s="4"/>
    </row>
    <row r="2928" spans="66:84">
      <c r="BN2928" s="4"/>
      <c r="BO2928" s="4"/>
      <c r="BQ2928" s="4"/>
      <c r="CC2928" s="4"/>
      <c r="CD2928" s="4"/>
      <c r="CF2928" s="4"/>
    </row>
    <row r="2929" spans="66:84">
      <c r="BN2929" s="4"/>
      <c r="BO2929" s="4"/>
      <c r="BQ2929" s="4"/>
      <c r="CC2929" s="4"/>
      <c r="CD2929" s="4"/>
      <c r="CF2929" s="4"/>
    </row>
    <row r="2930" spans="66:84">
      <c r="BN2930" s="4"/>
      <c r="BO2930" s="4"/>
      <c r="BQ2930" s="4"/>
      <c r="CC2930" s="4"/>
      <c r="CD2930" s="4"/>
      <c r="CF2930" s="4"/>
    </row>
    <row r="2931" spans="66:84">
      <c r="BN2931" s="4"/>
      <c r="BO2931" s="4"/>
      <c r="BQ2931" s="4"/>
      <c r="CC2931" s="4"/>
      <c r="CD2931" s="4"/>
      <c r="CF2931" s="4"/>
    </row>
    <row r="2932" spans="66:84">
      <c r="BN2932" s="4"/>
      <c r="BO2932" s="4"/>
      <c r="BQ2932" s="4"/>
      <c r="CC2932" s="4"/>
      <c r="CD2932" s="4"/>
      <c r="CF2932" s="4"/>
    </row>
    <row r="2933" spans="66:84">
      <c r="BN2933" s="4"/>
      <c r="BO2933" s="4"/>
      <c r="BQ2933" s="4"/>
      <c r="CC2933" s="4"/>
      <c r="CD2933" s="4"/>
      <c r="CF2933" s="4"/>
    </row>
    <row r="2934" spans="66:84">
      <c r="BN2934" s="4"/>
      <c r="BO2934" s="4"/>
      <c r="BQ2934" s="4"/>
      <c r="CC2934" s="4"/>
      <c r="CD2934" s="4"/>
      <c r="CF2934" s="4"/>
    </row>
    <row r="2935" spans="66:84">
      <c r="BN2935" s="4"/>
      <c r="BO2935" s="4"/>
      <c r="BQ2935" s="4"/>
      <c r="CC2935" s="4"/>
      <c r="CD2935" s="4"/>
      <c r="CF2935" s="4"/>
    </row>
    <row r="2936" spans="66:84">
      <c r="BN2936" s="4"/>
      <c r="BO2936" s="4"/>
      <c r="BQ2936" s="4"/>
      <c r="CC2936" s="4"/>
      <c r="CD2936" s="4"/>
      <c r="CF2936" s="4"/>
    </row>
    <row r="2937" spans="66:84">
      <c r="BN2937" s="4"/>
      <c r="BO2937" s="4"/>
      <c r="BQ2937" s="4"/>
      <c r="CC2937" s="4"/>
      <c r="CD2937" s="4"/>
      <c r="CF2937" s="4"/>
    </row>
    <row r="2938" spans="66:84">
      <c r="BN2938" s="4"/>
      <c r="BO2938" s="4"/>
      <c r="BQ2938" s="4"/>
      <c r="CC2938" s="4"/>
      <c r="CD2938" s="4"/>
      <c r="CF2938" s="4"/>
    </row>
    <row r="2939" spans="66:84">
      <c r="BN2939" s="4"/>
      <c r="BO2939" s="4"/>
      <c r="BQ2939" s="4"/>
      <c r="CC2939" s="4"/>
      <c r="CD2939" s="4"/>
      <c r="CF2939" s="4"/>
    </row>
    <row r="2940" spans="66:84">
      <c r="BN2940" s="4"/>
      <c r="BO2940" s="4"/>
      <c r="BQ2940" s="4"/>
      <c r="CC2940" s="4"/>
      <c r="CD2940" s="4"/>
      <c r="CF2940" s="4"/>
    </row>
    <row r="2941" spans="66:84">
      <c r="BN2941" s="4"/>
      <c r="BO2941" s="4"/>
      <c r="BQ2941" s="4"/>
      <c r="CC2941" s="4"/>
      <c r="CD2941" s="4"/>
      <c r="CF2941" s="4"/>
    </row>
    <row r="2942" spans="66:84">
      <c r="BN2942" s="4"/>
      <c r="BO2942" s="4"/>
      <c r="BQ2942" s="4"/>
      <c r="CC2942" s="4"/>
      <c r="CD2942" s="4"/>
      <c r="CF2942" s="4"/>
    </row>
    <row r="2943" spans="66:84">
      <c r="BN2943" s="4"/>
      <c r="BO2943" s="4"/>
      <c r="BQ2943" s="4"/>
      <c r="CC2943" s="4"/>
      <c r="CD2943" s="4"/>
      <c r="CF2943" s="4"/>
    </row>
    <row r="2944" spans="66:84">
      <c r="BN2944" s="4"/>
      <c r="BO2944" s="4"/>
      <c r="BQ2944" s="4"/>
      <c r="CC2944" s="4"/>
      <c r="CD2944" s="4"/>
      <c r="CF2944" s="4"/>
    </row>
    <row r="2945" spans="66:84">
      <c r="BN2945" s="4"/>
      <c r="BO2945" s="4"/>
      <c r="BQ2945" s="4"/>
      <c r="CC2945" s="4"/>
      <c r="CD2945" s="4"/>
      <c r="CF2945" s="4"/>
    </row>
    <row r="2946" spans="66:84">
      <c r="BN2946" s="4"/>
      <c r="BO2946" s="4"/>
      <c r="BQ2946" s="4"/>
      <c r="CC2946" s="4"/>
      <c r="CD2946" s="4"/>
      <c r="CF2946" s="4"/>
    </row>
    <row r="2947" spans="66:84">
      <c r="BN2947" s="4"/>
      <c r="BO2947" s="4"/>
      <c r="BQ2947" s="4"/>
      <c r="CC2947" s="4"/>
      <c r="CD2947" s="4"/>
      <c r="CF2947" s="4"/>
    </row>
    <row r="2948" spans="66:84">
      <c r="BN2948" s="4"/>
      <c r="BO2948" s="4"/>
      <c r="BQ2948" s="4"/>
      <c r="CC2948" s="4"/>
      <c r="CD2948" s="4"/>
      <c r="CF2948" s="4"/>
    </row>
    <row r="2949" spans="66:84">
      <c r="BN2949" s="4"/>
      <c r="BO2949" s="4"/>
      <c r="BQ2949" s="4"/>
      <c r="CC2949" s="4"/>
      <c r="CD2949" s="4"/>
      <c r="CF2949" s="4"/>
    </row>
    <row r="2950" spans="66:84">
      <c r="BN2950" s="4"/>
      <c r="BO2950" s="4"/>
      <c r="BQ2950" s="4"/>
      <c r="CC2950" s="4"/>
      <c r="CD2950" s="4"/>
      <c r="CF2950" s="4"/>
    </row>
    <row r="2951" spans="66:84">
      <c r="BN2951" s="4"/>
      <c r="BO2951" s="4"/>
      <c r="BQ2951" s="4"/>
      <c r="CC2951" s="4"/>
      <c r="CD2951" s="4"/>
      <c r="CF2951" s="4"/>
    </row>
    <row r="2952" spans="66:84">
      <c r="BN2952" s="4"/>
      <c r="BO2952" s="4"/>
      <c r="BQ2952" s="4"/>
      <c r="CC2952" s="4"/>
      <c r="CD2952" s="4"/>
      <c r="CF2952" s="4"/>
    </row>
    <row r="2953" spans="66:84">
      <c r="BN2953" s="4"/>
      <c r="BO2953" s="4"/>
      <c r="BQ2953" s="4"/>
      <c r="CC2953" s="4"/>
      <c r="CD2953" s="4"/>
      <c r="CF2953" s="4"/>
    </row>
    <row r="2954" spans="66:84">
      <c r="BN2954" s="4"/>
      <c r="BO2954" s="4"/>
      <c r="BQ2954" s="4"/>
      <c r="CC2954" s="4"/>
      <c r="CD2954" s="4"/>
      <c r="CF2954" s="4"/>
    </row>
    <row r="2955" spans="66:84">
      <c r="BN2955" s="4"/>
      <c r="BO2955" s="4"/>
      <c r="BQ2955" s="4"/>
      <c r="CC2955" s="4"/>
      <c r="CD2955" s="4"/>
      <c r="CF2955" s="4"/>
    </row>
    <row r="2956" spans="66:84">
      <c r="BN2956" s="4"/>
      <c r="BO2956" s="4"/>
      <c r="BQ2956" s="4"/>
      <c r="CC2956" s="4"/>
      <c r="CD2956" s="4"/>
      <c r="CF2956" s="4"/>
    </row>
    <row r="2957" spans="66:84">
      <c r="BN2957" s="4"/>
      <c r="BO2957" s="4"/>
      <c r="BQ2957" s="4"/>
      <c r="CC2957" s="4"/>
      <c r="CD2957" s="4"/>
      <c r="CF2957" s="4"/>
    </row>
    <row r="2958" spans="66:84">
      <c r="BN2958" s="4"/>
      <c r="BO2958" s="4"/>
      <c r="BQ2958" s="4"/>
      <c r="CC2958" s="4"/>
      <c r="CD2958" s="4"/>
      <c r="CF2958" s="4"/>
    </row>
    <row r="2959" spans="66:84">
      <c r="BN2959" s="4"/>
      <c r="BO2959" s="4"/>
      <c r="BQ2959" s="4"/>
      <c r="CC2959" s="4"/>
      <c r="CD2959" s="4"/>
      <c r="CF2959" s="4"/>
    </row>
    <row r="2960" spans="66:84">
      <c r="BN2960" s="4"/>
      <c r="BO2960" s="4"/>
      <c r="BQ2960" s="4"/>
      <c r="CC2960" s="4"/>
      <c r="CD2960" s="4"/>
      <c r="CF2960" s="4"/>
    </row>
    <row r="2961" spans="66:84">
      <c r="BN2961" s="4"/>
      <c r="BO2961" s="4"/>
      <c r="BQ2961" s="4"/>
      <c r="CC2961" s="4"/>
      <c r="CD2961" s="4"/>
      <c r="CF2961" s="4"/>
    </row>
    <row r="2962" spans="66:84">
      <c r="BN2962" s="4"/>
      <c r="BO2962" s="4"/>
      <c r="BQ2962" s="4"/>
      <c r="CC2962" s="4"/>
      <c r="CD2962" s="4"/>
      <c r="CF2962" s="4"/>
    </row>
    <row r="2963" spans="66:84">
      <c r="BN2963" s="4"/>
      <c r="BO2963" s="4"/>
      <c r="BQ2963" s="4"/>
      <c r="CC2963" s="4"/>
      <c r="CD2963" s="4"/>
      <c r="CF2963" s="4"/>
    </row>
    <row r="2964" spans="66:84">
      <c r="BN2964" s="4"/>
      <c r="BO2964" s="4"/>
      <c r="BQ2964" s="4"/>
      <c r="CC2964" s="4"/>
      <c r="CD2964" s="4"/>
      <c r="CF2964" s="4"/>
    </row>
    <row r="2965" spans="66:84">
      <c r="BN2965" s="4"/>
      <c r="BO2965" s="4"/>
      <c r="BQ2965" s="4"/>
      <c r="CC2965" s="4"/>
      <c r="CD2965" s="4"/>
      <c r="CF2965" s="4"/>
    </row>
    <row r="2966" spans="66:84">
      <c r="BN2966" s="4"/>
      <c r="BO2966" s="4"/>
      <c r="BQ2966" s="4"/>
      <c r="CC2966" s="4"/>
      <c r="CD2966" s="4"/>
      <c r="CF2966" s="4"/>
    </row>
    <row r="2967" spans="66:84">
      <c r="BN2967" s="4"/>
      <c r="BO2967" s="4"/>
      <c r="BQ2967" s="4"/>
      <c r="CC2967" s="4"/>
      <c r="CD2967" s="4"/>
      <c r="CF2967" s="4"/>
    </row>
    <row r="2968" spans="66:84">
      <c r="BN2968" s="4"/>
      <c r="BO2968" s="4"/>
      <c r="BQ2968" s="4"/>
      <c r="CC2968" s="4"/>
      <c r="CD2968" s="4"/>
      <c r="CF2968" s="4"/>
    </row>
    <row r="2969" spans="66:84">
      <c r="BN2969" s="4"/>
      <c r="BO2969" s="4"/>
      <c r="BQ2969" s="4"/>
      <c r="CC2969" s="4"/>
      <c r="CD2969" s="4"/>
      <c r="CF2969" s="4"/>
    </row>
    <row r="2970" spans="66:84">
      <c r="BN2970" s="4"/>
      <c r="BO2970" s="4"/>
      <c r="BQ2970" s="4"/>
      <c r="CC2970" s="4"/>
      <c r="CD2970" s="4"/>
      <c r="CF2970" s="4"/>
    </row>
    <row r="2971" spans="66:84">
      <c r="BN2971" s="4"/>
      <c r="BO2971" s="4"/>
      <c r="BQ2971" s="4"/>
      <c r="CC2971" s="4"/>
      <c r="CD2971" s="4"/>
      <c r="CF2971" s="4"/>
    </row>
    <row r="2972" spans="66:84">
      <c r="BN2972" s="4"/>
      <c r="BO2972" s="4"/>
      <c r="BQ2972" s="4"/>
      <c r="CC2972" s="4"/>
      <c r="CD2972" s="4"/>
      <c r="CF2972" s="4"/>
    </row>
    <row r="2973" spans="66:84">
      <c r="BN2973" s="4"/>
      <c r="BO2973" s="4"/>
      <c r="BQ2973" s="4"/>
      <c r="CC2973" s="4"/>
      <c r="CD2973" s="4"/>
      <c r="CF2973" s="4"/>
    </row>
    <row r="2974" spans="66:84">
      <c r="BN2974" s="4"/>
      <c r="BO2974" s="4"/>
      <c r="BQ2974" s="4"/>
      <c r="CC2974" s="4"/>
      <c r="CD2974" s="4"/>
      <c r="CF2974" s="4"/>
    </row>
    <row r="2975" spans="66:84">
      <c r="BN2975" s="4"/>
      <c r="BO2975" s="4"/>
      <c r="BQ2975" s="4"/>
      <c r="CC2975" s="4"/>
      <c r="CD2975" s="4"/>
      <c r="CF2975" s="4"/>
    </row>
    <row r="2976" spans="66:84">
      <c r="BN2976" s="4"/>
      <c r="BO2976" s="4"/>
      <c r="BQ2976" s="4"/>
      <c r="CC2976" s="4"/>
      <c r="CD2976" s="4"/>
      <c r="CF2976" s="4"/>
    </row>
    <row r="2977" spans="66:84">
      <c r="BN2977" s="4"/>
      <c r="BO2977" s="4"/>
      <c r="BQ2977" s="4"/>
      <c r="CC2977" s="4"/>
      <c r="CD2977" s="4"/>
      <c r="CF2977" s="4"/>
    </row>
    <row r="2978" spans="66:84">
      <c r="BN2978" s="4"/>
      <c r="BO2978" s="4"/>
      <c r="BQ2978" s="4"/>
      <c r="CC2978" s="4"/>
      <c r="CD2978" s="4"/>
      <c r="CF2978" s="4"/>
    </row>
    <row r="2979" spans="66:84">
      <c r="BN2979" s="4"/>
      <c r="BO2979" s="4"/>
      <c r="BQ2979" s="4"/>
      <c r="CC2979" s="4"/>
      <c r="CD2979" s="4"/>
      <c r="CF2979" s="4"/>
    </row>
    <row r="2980" spans="66:84">
      <c r="BN2980" s="4"/>
      <c r="BO2980" s="4"/>
      <c r="BQ2980" s="4"/>
      <c r="CC2980" s="4"/>
      <c r="CD2980" s="4"/>
      <c r="CF2980" s="4"/>
    </row>
    <row r="2981" spans="66:84">
      <c r="BN2981" s="4"/>
      <c r="BO2981" s="4"/>
      <c r="BQ2981" s="4"/>
      <c r="CC2981" s="4"/>
      <c r="CD2981" s="4"/>
      <c r="CF2981" s="4"/>
    </row>
    <row r="2982" spans="66:84">
      <c r="BN2982" s="4"/>
      <c r="BO2982" s="4"/>
      <c r="BQ2982" s="4"/>
      <c r="CC2982" s="4"/>
      <c r="CD2982" s="4"/>
      <c r="CF2982" s="4"/>
    </row>
    <row r="2983" spans="66:84">
      <c r="BN2983" s="4"/>
      <c r="BO2983" s="4"/>
      <c r="BQ2983" s="4"/>
      <c r="CC2983" s="4"/>
      <c r="CD2983" s="4"/>
      <c r="CF2983" s="4"/>
    </row>
    <row r="2984" spans="66:84">
      <c r="BN2984" s="4"/>
      <c r="BO2984" s="4"/>
      <c r="BQ2984" s="4"/>
      <c r="CC2984" s="4"/>
      <c r="CD2984" s="4"/>
      <c r="CF2984" s="4"/>
    </row>
    <row r="2985" spans="66:84">
      <c r="BN2985" s="4"/>
      <c r="BO2985" s="4"/>
      <c r="BQ2985" s="4"/>
      <c r="CC2985" s="4"/>
      <c r="CD2985" s="4"/>
      <c r="CF2985" s="4"/>
    </row>
    <row r="2986" spans="66:84">
      <c r="BN2986" s="4"/>
      <c r="BO2986" s="4"/>
      <c r="BQ2986" s="4"/>
      <c r="CC2986" s="4"/>
      <c r="CD2986" s="4"/>
      <c r="CF2986" s="4"/>
    </row>
    <row r="2987" spans="66:84">
      <c r="BN2987" s="4"/>
      <c r="BO2987" s="4"/>
      <c r="BQ2987" s="4"/>
      <c r="CC2987" s="4"/>
      <c r="CD2987" s="4"/>
      <c r="CF2987" s="4"/>
    </row>
    <row r="2988" spans="66:84">
      <c r="BN2988" s="4"/>
      <c r="BO2988" s="4"/>
      <c r="BQ2988" s="4"/>
      <c r="CC2988" s="4"/>
      <c r="CD2988" s="4"/>
      <c r="CF2988" s="4"/>
    </row>
    <row r="2989" spans="66:84">
      <c r="BN2989" s="4"/>
      <c r="BO2989" s="4"/>
      <c r="BQ2989" s="4"/>
      <c r="CC2989" s="4"/>
      <c r="CD2989" s="4"/>
      <c r="CF2989" s="4"/>
    </row>
    <row r="2990" spans="66:84">
      <c r="BN2990" s="4"/>
      <c r="BO2990" s="4"/>
      <c r="BQ2990" s="4"/>
      <c r="CC2990" s="4"/>
      <c r="CD2990" s="4"/>
      <c r="CF2990" s="4"/>
    </row>
    <row r="2991" spans="66:84">
      <c r="BN2991" s="4"/>
      <c r="BO2991" s="4"/>
      <c r="BQ2991" s="4"/>
      <c r="CC2991" s="4"/>
      <c r="CD2991" s="4"/>
      <c r="CF2991" s="4"/>
    </row>
    <row r="2992" spans="66:84">
      <c r="BN2992" s="4"/>
      <c r="BO2992" s="4"/>
      <c r="BQ2992" s="4"/>
      <c r="CC2992" s="4"/>
      <c r="CD2992" s="4"/>
      <c r="CF2992" s="4"/>
    </row>
    <row r="2993" spans="66:84">
      <c r="BN2993" s="4"/>
      <c r="BO2993" s="4"/>
      <c r="BQ2993" s="4"/>
      <c r="CC2993" s="4"/>
      <c r="CD2993" s="4"/>
      <c r="CF2993" s="4"/>
    </row>
    <row r="2994" spans="66:84">
      <c r="BN2994" s="4"/>
      <c r="BO2994" s="4"/>
      <c r="BQ2994" s="4"/>
      <c r="CC2994" s="4"/>
      <c r="CD2994" s="4"/>
      <c r="CF2994" s="4"/>
    </row>
    <row r="2995" spans="66:84">
      <c r="BN2995" s="4"/>
      <c r="BO2995" s="4"/>
      <c r="BQ2995" s="4"/>
      <c r="CC2995" s="4"/>
      <c r="CD2995" s="4"/>
      <c r="CF2995" s="4"/>
    </row>
    <row r="2996" spans="66:84">
      <c r="BN2996" s="4"/>
      <c r="BO2996" s="4"/>
      <c r="BQ2996" s="4"/>
      <c r="CC2996" s="4"/>
      <c r="CD2996" s="4"/>
      <c r="CF2996" s="4"/>
    </row>
    <row r="2997" spans="66:84">
      <c r="BN2997" s="4"/>
      <c r="BO2997" s="4"/>
      <c r="BQ2997" s="4"/>
      <c r="CC2997" s="4"/>
      <c r="CD2997" s="4"/>
      <c r="CF2997" s="4"/>
    </row>
    <row r="2998" spans="66:84">
      <c r="BN2998" s="4"/>
      <c r="BO2998" s="4"/>
      <c r="BQ2998" s="4"/>
      <c r="CC2998" s="4"/>
      <c r="CD2998" s="4"/>
      <c r="CF2998" s="4"/>
    </row>
    <row r="2999" spans="66:84">
      <c r="BN2999" s="4"/>
      <c r="BO2999" s="4"/>
      <c r="BQ2999" s="4"/>
      <c r="CC2999" s="4"/>
      <c r="CD2999" s="4"/>
      <c r="CF2999" s="4"/>
    </row>
    <row r="3000" spans="66:84">
      <c r="BN3000" s="4"/>
      <c r="BO3000" s="4"/>
      <c r="BQ3000" s="4"/>
      <c r="CC3000" s="4"/>
      <c r="CD3000" s="4"/>
      <c r="CF3000" s="4"/>
    </row>
    <row r="3001" spans="66:84">
      <c r="BN3001" s="4"/>
      <c r="BO3001" s="4"/>
      <c r="BQ3001" s="4"/>
      <c r="CC3001" s="4"/>
      <c r="CD3001" s="4"/>
      <c r="CF3001" s="4"/>
    </row>
    <row r="3002" spans="66:84">
      <c r="BN3002" s="4"/>
      <c r="BO3002" s="4"/>
      <c r="BQ3002" s="4"/>
      <c r="CC3002" s="4"/>
      <c r="CD3002" s="4"/>
      <c r="CF3002" s="4"/>
    </row>
    <row r="3003" spans="66:84">
      <c r="BN3003" s="4"/>
      <c r="BO3003" s="4"/>
      <c r="BQ3003" s="4"/>
      <c r="CC3003" s="4"/>
      <c r="CD3003" s="4"/>
      <c r="CF3003" s="4"/>
    </row>
    <row r="3004" spans="66:84">
      <c r="BN3004" s="4"/>
      <c r="BO3004" s="4"/>
      <c r="BQ3004" s="4"/>
      <c r="CC3004" s="4"/>
      <c r="CD3004" s="4"/>
      <c r="CF3004" s="4"/>
    </row>
    <row r="3005" spans="66:84">
      <c r="BN3005" s="4"/>
      <c r="BO3005" s="4"/>
      <c r="BQ3005" s="4"/>
      <c r="CC3005" s="4"/>
      <c r="CD3005" s="4"/>
      <c r="CF3005" s="4"/>
    </row>
    <row r="3006" spans="66:84">
      <c r="BN3006" s="4"/>
      <c r="BO3006" s="4"/>
      <c r="BQ3006" s="4"/>
      <c r="CC3006" s="4"/>
      <c r="CD3006" s="4"/>
      <c r="CF3006" s="4"/>
    </row>
    <row r="3007" spans="66:84">
      <c r="BN3007" s="4"/>
      <c r="BO3007" s="4"/>
      <c r="BQ3007" s="4"/>
      <c r="CC3007" s="4"/>
      <c r="CD3007" s="4"/>
      <c r="CF3007" s="4"/>
    </row>
    <row r="3008" spans="66:84">
      <c r="BN3008" s="4"/>
      <c r="BO3008" s="4"/>
      <c r="BQ3008" s="4"/>
      <c r="CC3008" s="4"/>
      <c r="CD3008" s="4"/>
      <c r="CF3008" s="4"/>
    </row>
    <row r="3009" spans="66:84">
      <c r="BN3009" s="4"/>
      <c r="BO3009" s="4"/>
      <c r="BQ3009" s="4"/>
      <c r="CC3009" s="4"/>
      <c r="CD3009" s="4"/>
      <c r="CF3009" s="4"/>
    </row>
    <row r="3010" spans="66:84">
      <c r="BN3010" s="4"/>
      <c r="BO3010" s="4"/>
      <c r="BQ3010" s="4"/>
      <c r="CC3010" s="4"/>
      <c r="CD3010" s="4"/>
      <c r="CF3010" s="4"/>
    </row>
    <row r="3011" spans="66:84">
      <c r="BN3011" s="4"/>
      <c r="BO3011" s="4"/>
      <c r="BQ3011" s="4"/>
      <c r="CC3011" s="4"/>
      <c r="CD3011" s="4"/>
      <c r="CF3011" s="4"/>
    </row>
    <row r="3012" spans="66:84">
      <c r="BN3012" s="4"/>
      <c r="BO3012" s="4"/>
      <c r="BQ3012" s="4"/>
      <c r="CC3012" s="4"/>
      <c r="CD3012" s="4"/>
      <c r="CF3012" s="4"/>
    </row>
    <row r="3013" spans="66:84">
      <c r="BN3013" s="4"/>
      <c r="BO3013" s="4"/>
      <c r="BQ3013" s="4"/>
      <c r="CC3013" s="4"/>
      <c r="CD3013" s="4"/>
      <c r="CF3013" s="4"/>
    </row>
    <row r="3014" spans="66:84">
      <c r="BN3014" s="4"/>
      <c r="BO3014" s="4"/>
      <c r="BQ3014" s="4"/>
      <c r="CC3014" s="4"/>
      <c r="CD3014" s="4"/>
      <c r="CF3014" s="4"/>
    </row>
    <row r="3015" spans="66:84">
      <c r="BN3015" s="4"/>
      <c r="BO3015" s="4"/>
      <c r="BQ3015" s="4"/>
      <c r="CC3015" s="4"/>
      <c r="CD3015" s="4"/>
      <c r="CF3015" s="4"/>
    </row>
    <row r="3016" spans="66:84">
      <c r="BN3016" s="4"/>
      <c r="BO3016" s="4"/>
      <c r="BQ3016" s="4"/>
      <c r="CC3016" s="4"/>
      <c r="CD3016" s="4"/>
      <c r="CF3016" s="4"/>
    </row>
    <row r="3017" spans="66:84">
      <c r="BN3017" s="4"/>
      <c r="BO3017" s="4"/>
      <c r="BQ3017" s="4"/>
      <c r="CC3017" s="4"/>
      <c r="CD3017" s="4"/>
      <c r="CF3017" s="4"/>
    </row>
    <row r="3018" spans="66:84">
      <c r="BN3018" s="4"/>
      <c r="BO3018" s="4"/>
      <c r="BQ3018" s="4"/>
      <c r="CC3018" s="4"/>
      <c r="CD3018" s="4"/>
      <c r="CF3018" s="4"/>
    </row>
    <row r="3019" spans="66:84">
      <c r="BN3019" s="4"/>
      <c r="BO3019" s="4"/>
      <c r="BQ3019" s="4"/>
      <c r="CC3019" s="4"/>
      <c r="CD3019" s="4"/>
      <c r="CF3019" s="4"/>
    </row>
    <row r="3020" spans="66:84">
      <c r="BN3020" s="4"/>
      <c r="BO3020" s="4"/>
      <c r="BQ3020" s="4"/>
      <c r="CC3020" s="4"/>
      <c r="CD3020" s="4"/>
      <c r="CF3020" s="4"/>
    </row>
    <row r="3021" spans="66:84">
      <c r="BN3021" s="4"/>
      <c r="BO3021" s="4"/>
      <c r="BQ3021" s="4"/>
      <c r="CC3021" s="4"/>
      <c r="CD3021" s="4"/>
      <c r="CF3021" s="4"/>
    </row>
    <row r="3022" spans="66:84">
      <c r="BN3022" s="4"/>
      <c r="BO3022" s="4"/>
      <c r="BQ3022" s="4"/>
      <c r="CC3022" s="4"/>
      <c r="CD3022" s="4"/>
      <c r="CF3022" s="4"/>
    </row>
    <row r="3023" spans="66:84">
      <c r="BN3023" s="4"/>
      <c r="BO3023" s="4"/>
      <c r="BQ3023" s="4"/>
      <c r="CC3023" s="4"/>
      <c r="CD3023" s="4"/>
      <c r="CF3023" s="4"/>
    </row>
    <row r="3024" spans="66:84">
      <c r="BN3024" s="4"/>
      <c r="BO3024" s="4"/>
      <c r="BQ3024" s="4"/>
      <c r="CC3024" s="4"/>
      <c r="CD3024" s="4"/>
      <c r="CF3024" s="4"/>
    </row>
    <row r="3025" spans="66:84">
      <c r="BN3025" s="4"/>
      <c r="BO3025" s="4"/>
      <c r="BQ3025" s="4"/>
      <c r="CC3025" s="4"/>
      <c r="CD3025" s="4"/>
      <c r="CF3025" s="4"/>
    </row>
    <row r="3026" spans="66:84">
      <c r="BN3026" s="4"/>
      <c r="BO3026" s="4"/>
      <c r="BQ3026" s="4"/>
      <c r="CC3026" s="4"/>
      <c r="CD3026" s="4"/>
      <c r="CF3026" s="4"/>
    </row>
    <row r="3027" spans="66:84">
      <c r="BN3027" s="4"/>
      <c r="BO3027" s="4"/>
      <c r="BQ3027" s="4"/>
      <c r="CC3027" s="4"/>
      <c r="CD3027" s="4"/>
      <c r="CF3027" s="4"/>
    </row>
    <row r="3028" spans="66:84">
      <c r="BN3028" s="4"/>
      <c r="BO3028" s="4"/>
      <c r="BQ3028" s="4"/>
      <c r="CC3028" s="4"/>
      <c r="CD3028" s="4"/>
      <c r="CF3028" s="4"/>
    </row>
    <row r="3029" spans="66:84">
      <c r="BN3029" s="4"/>
      <c r="BO3029" s="4"/>
      <c r="BQ3029" s="4"/>
      <c r="CC3029" s="4"/>
      <c r="CD3029" s="4"/>
      <c r="CF3029" s="4"/>
    </row>
    <row r="3030" spans="66:84">
      <c r="BN3030" s="4"/>
      <c r="BO3030" s="4"/>
      <c r="BQ3030" s="4"/>
      <c r="CC3030" s="4"/>
      <c r="CD3030" s="4"/>
      <c r="CF3030" s="4"/>
    </row>
    <row r="3031" spans="66:84">
      <c r="BN3031" s="4"/>
      <c r="BO3031" s="4"/>
      <c r="BQ3031" s="4"/>
      <c r="CC3031" s="4"/>
      <c r="CD3031" s="4"/>
      <c r="CF3031" s="4"/>
    </row>
    <row r="3032" spans="66:84">
      <c r="BN3032" s="4"/>
      <c r="BO3032" s="4"/>
      <c r="BQ3032" s="4"/>
      <c r="CC3032" s="4"/>
      <c r="CD3032" s="4"/>
      <c r="CF3032" s="4"/>
    </row>
    <row r="3033" spans="66:84">
      <c r="BN3033" s="4"/>
      <c r="BO3033" s="4"/>
      <c r="BQ3033" s="4"/>
      <c r="CC3033" s="4"/>
      <c r="CD3033" s="4"/>
      <c r="CF3033" s="4"/>
    </row>
    <row r="3034" spans="66:84">
      <c r="BN3034" s="4"/>
      <c r="BO3034" s="4"/>
      <c r="BQ3034" s="4"/>
      <c r="CC3034" s="4"/>
      <c r="CD3034" s="4"/>
      <c r="CF3034" s="4"/>
    </row>
    <row r="3035" spans="66:84">
      <c r="BN3035" s="4"/>
      <c r="BO3035" s="4"/>
      <c r="BQ3035" s="4"/>
      <c r="CC3035" s="4"/>
      <c r="CD3035" s="4"/>
      <c r="CF3035" s="4"/>
    </row>
    <row r="3036" spans="66:84">
      <c r="BN3036" s="4"/>
      <c r="BO3036" s="4"/>
      <c r="BQ3036" s="4"/>
      <c r="CC3036" s="4"/>
      <c r="CD3036" s="4"/>
      <c r="CF3036" s="4"/>
    </row>
    <row r="3037" spans="66:84">
      <c r="BN3037" s="4"/>
      <c r="BO3037" s="4"/>
      <c r="BQ3037" s="4"/>
      <c r="CC3037" s="4"/>
      <c r="CD3037" s="4"/>
      <c r="CF3037" s="4"/>
    </row>
    <row r="3038" spans="66:84">
      <c r="BN3038" s="4"/>
      <c r="BO3038" s="4"/>
      <c r="BQ3038" s="4"/>
      <c r="CC3038" s="4"/>
      <c r="CD3038" s="4"/>
      <c r="CF3038" s="4"/>
    </row>
    <row r="3039" spans="66:84">
      <c r="BN3039" s="4"/>
      <c r="BO3039" s="4"/>
      <c r="BQ3039" s="4"/>
      <c r="CC3039" s="4"/>
      <c r="CD3039" s="4"/>
      <c r="CF3039" s="4"/>
    </row>
    <row r="3040" spans="66:84">
      <c r="BN3040" s="4"/>
      <c r="BO3040" s="4"/>
      <c r="BQ3040" s="4"/>
      <c r="CC3040" s="4"/>
      <c r="CD3040" s="4"/>
      <c r="CF3040" s="4"/>
    </row>
    <row r="3041" spans="66:84">
      <c r="BN3041" s="4"/>
      <c r="BO3041" s="4"/>
      <c r="BQ3041" s="4"/>
      <c r="CC3041" s="4"/>
      <c r="CD3041" s="4"/>
      <c r="CF3041" s="4"/>
    </row>
    <row r="3042" spans="66:84">
      <c r="BN3042" s="4"/>
      <c r="BO3042" s="4"/>
      <c r="BQ3042" s="4"/>
      <c r="CC3042" s="4"/>
      <c r="CD3042" s="4"/>
      <c r="CF3042" s="4"/>
    </row>
    <row r="3043" spans="66:84">
      <c r="BN3043" s="4"/>
      <c r="BO3043" s="4"/>
      <c r="BQ3043" s="4"/>
      <c r="CC3043" s="4"/>
      <c r="CD3043" s="4"/>
      <c r="CF3043" s="4"/>
    </row>
    <row r="3044" spans="66:84">
      <c r="BN3044" s="4"/>
      <c r="BO3044" s="4"/>
      <c r="BQ3044" s="4"/>
      <c r="CC3044" s="4"/>
      <c r="CD3044" s="4"/>
      <c r="CF3044" s="4"/>
    </row>
    <row r="3045" spans="66:84">
      <c r="BN3045" s="4"/>
      <c r="BO3045" s="4"/>
      <c r="BQ3045" s="4"/>
      <c r="CC3045" s="4"/>
      <c r="CD3045" s="4"/>
      <c r="CF3045" s="4"/>
    </row>
    <row r="3046" spans="66:84">
      <c r="BN3046" s="4"/>
      <c r="BO3046" s="4"/>
      <c r="BQ3046" s="4"/>
      <c r="CC3046" s="4"/>
      <c r="CD3046" s="4"/>
      <c r="CF3046" s="4"/>
    </row>
    <row r="3047" spans="66:84">
      <c r="BN3047" s="4"/>
      <c r="BO3047" s="4"/>
      <c r="BQ3047" s="4"/>
      <c r="CC3047" s="4"/>
      <c r="CD3047" s="4"/>
      <c r="CF3047" s="4"/>
    </row>
    <row r="3048" spans="66:84">
      <c r="BN3048" s="4"/>
      <c r="BO3048" s="4"/>
      <c r="BQ3048" s="4"/>
      <c r="CC3048" s="4"/>
      <c r="CD3048" s="4"/>
      <c r="CF3048" s="4"/>
    </row>
    <row r="3049" spans="66:84">
      <c r="BN3049" s="4"/>
      <c r="BO3049" s="4"/>
      <c r="BQ3049" s="4"/>
      <c r="CC3049" s="4"/>
      <c r="CD3049" s="4"/>
      <c r="CF3049" s="4"/>
    </row>
    <row r="3050" spans="66:84">
      <c r="BN3050" s="4"/>
      <c r="BO3050" s="4"/>
      <c r="BQ3050" s="4"/>
      <c r="CC3050" s="4"/>
      <c r="CD3050" s="4"/>
      <c r="CF3050" s="4"/>
    </row>
    <row r="3051" spans="66:84">
      <c r="BN3051" s="4"/>
      <c r="BO3051" s="4"/>
      <c r="BQ3051" s="4"/>
      <c r="CC3051" s="4"/>
      <c r="CD3051" s="4"/>
      <c r="CF3051" s="4"/>
    </row>
    <row r="3052" spans="66:84">
      <c r="BN3052" s="4"/>
      <c r="BO3052" s="4"/>
      <c r="BQ3052" s="4"/>
      <c r="CC3052" s="4"/>
      <c r="CD3052" s="4"/>
      <c r="CF3052" s="4"/>
    </row>
    <row r="3053" spans="66:84">
      <c r="BN3053" s="4"/>
      <c r="BO3053" s="4"/>
      <c r="BQ3053" s="4"/>
      <c r="CC3053" s="4"/>
      <c r="CD3053" s="4"/>
      <c r="CF3053" s="4"/>
    </row>
    <row r="3054" spans="66:84">
      <c r="BN3054" s="4"/>
      <c r="BO3054" s="4"/>
      <c r="BQ3054" s="4"/>
      <c r="CC3054" s="4"/>
      <c r="CD3054" s="4"/>
      <c r="CF3054" s="4"/>
    </row>
    <row r="3055" spans="66:84">
      <c r="BN3055" s="4"/>
      <c r="BO3055" s="4"/>
      <c r="BQ3055" s="4"/>
      <c r="CC3055" s="4"/>
      <c r="CD3055" s="4"/>
      <c r="CF3055" s="4"/>
    </row>
    <row r="3056" spans="66:84">
      <c r="BN3056" s="4"/>
      <c r="BO3056" s="4"/>
      <c r="BQ3056" s="4"/>
      <c r="CC3056" s="4"/>
      <c r="CD3056" s="4"/>
      <c r="CF3056" s="4"/>
    </row>
    <row r="3057" spans="66:84">
      <c r="BN3057" s="4"/>
      <c r="BO3057" s="4"/>
      <c r="BQ3057" s="4"/>
      <c r="CC3057" s="4"/>
      <c r="CD3057" s="4"/>
      <c r="CF3057" s="4"/>
    </row>
    <row r="3058" spans="66:84">
      <c r="BN3058" s="4"/>
      <c r="BO3058" s="4"/>
      <c r="BQ3058" s="4"/>
      <c r="CC3058" s="4"/>
      <c r="CD3058" s="4"/>
      <c r="CF3058" s="4"/>
    </row>
    <row r="3059" spans="66:84">
      <c r="BN3059" s="4"/>
      <c r="BO3059" s="4"/>
      <c r="BQ3059" s="4"/>
      <c r="CC3059" s="4"/>
      <c r="CD3059" s="4"/>
      <c r="CF3059" s="4"/>
    </row>
    <row r="3060" spans="66:84">
      <c r="BN3060" s="4"/>
      <c r="BO3060" s="4"/>
      <c r="BQ3060" s="4"/>
      <c r="CC3060" s="4"/>
      <c r="CD3060" s="4"/>
      <c r="CF3060" s="4"/>
    </row>
    <row r="3061" spans="66:84">
      <c r="BN3061" s="4"/>
      <c r="BO3061" s="4"/>
      <c r="BQ3061" s="4"/>
      <c r="CC3061" s="4"/>
      <c r="CD3061" s="4"/>
      <c r="CF3061" s="4"/>
    </row>
    <row r="3062" spans="66:84">
      <c r="BN3062" s="4"/>
      <c r="BO3062" s="4"/>
      <c r="BQ3062" s="4"/>
      <c r="CC3062" s="4"/>
      <c r="CD3062" s="4"/>
      <c r="CF3062" s="4"/>
    </row>
    <row r="3063" spans="66:84">
      <c r="BN3063" s="4"/>
      <c r="BO3063" s="4"/>
      <c r="BQ3063" s="4"/>
      <c r="CC3063" s="4"/>
      <c r="CD3063" s="4"/>
      <c r="CF3063" s="4"/>
    </row>
    <row r="3064" spans="66:84">
      <c r="BN3064" s="4"/>
      <c r="BO3064" s="4"/>
      <c r="BQ3064" s="4"/>
      <c r="CC3064" s="4"/>
      <c r="CD3064" s="4"/>
      <c r="CF3064" s="4"/>
    </row>
    <row r="3065" spans="66:84">
      <c r="BN3065" s="4"/>
      <c r="BO3065" s="4"/>
      <c r="BQ3065" s="4"/>
      <c r="CC3065" s="4"/>
      <c r="CD3065" s="4"/>
      <c r="CF3065" s="4"/>
    </row>
    <row r="3066" spans="66:84">
      <c r="BN3066" s="4"/>
      <c r="BO3066" s="4"/>
      <c r="BQ3066" s="4"/>
      <c r="CC3066" s="4"/>
      <c r="CD3066" s="4"/>
      <c r="CF3066" s="4"/>
    </row>
    <row r="3067" spans="66:84">
      <c r="BN3067" s="4"/>
      <c r="BO3067" s="4"/>
      <c r="BQ3067" s="4"/>
      <c r="CC3067" s="4"/>
      <c r="CD3067" s="4"/>
      <c r="CF3067" s="4"/>
    </row>
    <row r="3068" spans="66:84">
      <c r="BN3068" s="4"/>
      <c r="BO3068" s="4"/>
      <c r="BQ3068" s="4"/>
      <c r="CC3068" s="4"/>
      <c r="CD3068" s="4"/>
      <c r="CF3068" s="4"/>
    </row>
    <row r="3069" spans="66:84">
      <c r="BN3069" s="4"/>
      <c r="BO3069" s="4"/>
      <c r="BQ3069" s="4"/>
      <c r="CC3069" s="4"/>
      <c r="CD3069" s="4"/>
      <c r="CF3069" s="4"/>
    </row>
    <row r="3070" spans="66:84">
      <c r="BN3070" s="4"/>
      <c r="BO3070" s="4"/>
      <c r="BQ3070" s="4"/>
      <c r="CC3070" s="4"/>
      <c r="CD3070" s="4"/>
      <c r="CF3070" s="4"/>
    </row>
    <row r="3071" spans="66:84">
      <c r="BN3071" s="4"/>
      <c r="BO3071" s="4"/>
      <c r="BQ3071" s="4"/>
      <c r="CC3071" s="4"/>
      <c r="CD3071" s="4"/>
      <c r="CF3071" s="4"/>
    </row>
    <row r="3072" spans="66:84">
      <c r="BN3072" s="4"/>
      <c r="BO3072" s="4"/>
      <c r="BQ3072" s="4"/>
      <c r="CC3072" s="4"/>
      <c r="CD3072" s="4"/>
      <c r="CF3072" s="4"/>
    </row>
    <row r="3073" spans="66:84">
      <c r="BN3073" s="4"/>
      <c r="BO3073" s="4"/>
      <c r="BQ3073" s="4"/>
      <c r="CC3073" s="4"/>
      <c r="CD3073" s="4"/>
      <c r="CF3073" s="4"/>
    </row>
    <row r="3074" spans="66:84">
      <c r="BN3074" s="4"/>
      <c r="BO3074" s="4"/>
      <c r="BQ3074" s="4"/>
      <c r="CC3074" s="4"/>
      <c r="CD3074" s="4"/>
      <c r="CF3074" s="4"/>
    </row>
    <row r="3075" spans="66:84">
      <c r="BN3075" s="4"/>
      <c r="BO3075" s="4"/>
      <c r="BQ3075" s="4"/>
      <c r="CC3075" s="4"/>
      <c r="CD3075" s="4"/>
      <c r="CF3075" s="4"/>
    </row>
    <row r="3076" spans="66:84">
      <c r="BN3076" s="4"/>
      <c r="BO3076" s="4"/>
      <c r="BQ3076" s="4"/>
      <c r="CC3076" s="4"/>
      <c r="CD3076" s="4"/>
      <c r="CF3076" s="4"/>
    </row>
    <row r="3077" spans="66:84">
      <c r="BN3077" s="4"/>
      <c r="BO3077" s="4"/>
      <c r="BQ3077" s="4"/>
      <c r="CC3077" s="4"/>
      <c r="CD3077" s="4"/>
      <c r="CF3077" s="4"/>
    </row>
    <row r="3078" spans="66:84">
      <c r="BN3078" s="4"/>
      <c r="BO3078" s="4"/>
      <c r="BQ3078" s="4"/>
      <c r="CC3078" s="4"/>
      <c r="CD3078" s="4"/>
      <c r="CF3078" s="4"/>
    </row>
    <row r="3079" spans="66:84">
      <c r="BN3079" s="4"/>
      <c r="BO3079" s="4"/>
      <c r="BQ3079" s="4"/>
      <c r="CC3079" s="4"/>
      <c r="CD3079" s="4"/>
      <c r="CF3079" s="4"/>
    </row>
    <row r="3080" spans="66:84">
      <c r="BN3080" s="4"/>
      <c r="BO3080" s="4"/>
      <c r="BQ3080" s="4"/>
      <c r="CC3080" s="4"/>
      <c r="CD3080" s="4"/>
      <c r="CF3080" s="4"/>
    </row>
    <row r="3081" spans="66:84">
      <c r="BN3081" s="4"/>
      <c r="BO3081" s="4"/>
      <c r="BQ3081" s="4"/>
      <c r="CC3081" s="4"/>
      <c r="CD3081" s="4"/>
      <c r="CF3081" s="4"/>
    </row>
    <row r="3082" spans="66:84">
      <c r="BN3082" s="4"/>
      <c r="BO3082" s="4"/>
      <c r="BQ3082" s="4"/>
      <c r="CC3082" s="4"/>
      <c r="CD3082" s="4"/>
      <c r="CF3082" s="4"/>
    </row>
    <row r="3083" spans="66:84">
      <c r="BN3083" s="4"/>
      <c r="BO3083" s="4"/>
      <c r="BQ3083" s="4"/>
      <c r="CC3083" s="4"/>
      <c r="CD3083" s="4"/>
      <c r="CF3083" s="4"/>
    </row>
    <row r="3084" spans="66:84">
      <c r="BN3084" s="4"/>
      <c r="BO3084" s="4"/>
      <c r="BQ3084" s="4"/>
      <c r="CC3084" s="4"/>
      <c r="CD3084" s="4"/>
      <c r="CF3084" s="4"/>
    </row>
    <row r="3085" spans="66:84">
      <c r="BN3085" s="4"/>
      <c r="BO3085" s="4"/>
      <c r="BQ3085" s="4"/>
      <c r="CC3085" s="4"/>
      <c r="CD3085" s="4"/>
      <c r="CF3085" s="4"/>
    </row>
    <row r="3086" spans="66:84">
      <c r="BN3086" s="4"/>
      <c r="BO3086" s="4"/>
      <c r="BQ3086" s="4"/>
      <c r="CC3086" s="4"/>
      <c r="CD3086" s="4"/>
      <c r="CF3086" s="4"/>
    </row>
    <row r="3087" spans="66:84">
      <c r="BN3087" s="4"/>
      <c r="BO3087" s="4"/>
      <c r="BQ3087" s="4"/>
      <c r="CC3087" s="4"/>
      <c r="CD3087" s="4"/>
      <c r="CF3087" s="4"/>
    </row>
    <row r="3088" spans="66:84">
      <c r="BN3088" s="4"/>
      <c r="BO3088" s="4"/>
      <c r="BQ3088" s="4"/>
      <c r="CC3088" s="4"/>
      <c r="CD3088" s="4"/>
      <c r="CF3088" s="4"/>
    </row>
    <row r="3089" spans="66:84">
      <c r="BN3089" s="4"/>
      <c r="BO3089" s="4"/>
      <c r="BQ3089" s="4"/>
      <c r="CC3089" s="4"/>
      <c r="CD3089" s="4"/>
      <c r="CF3089" s="4"/>
    </row>
    <row r="3090" spans="66:84">
      <c r="BN3090" s="4"/>
      <c r="BO3090" s="4"/>
      <c r="BQ3090" s="4"/>
      <c r="CC3090" s="4"/>
      <c r="CD3090" s="4"/>
      <c r="CF3090" s="4"/>
    </row>
    <row r="3091" spans="66:84">
      <c r="BN3091" s="4"/>
      <c r="BO3091" s="4"/>
      <c r="BQ3091" s="4"/>
      <c r="CC3091" s="4"/>
      <c r="CD3091" s="4"/>
      <c r="CF3091" s="4"/>
    </row>
    <row r="3092" spans="66:84">
      <c r="BN3092" s="4"/>
      <c r="BO3092" s="4"/>
      <c r="BQ3092" s="4"/>
      <c r="CC3092" s="4"/>
      <c r="CD3092" s="4"/>
      <c r="CF3092" s="4"/>
    </row>
    <row r="3093" spans="66:84">
      <c r="BN3093" s="4"/>
      <c r="BO3093" s="4"/>
      <c r="BQ3093" s="4"/>
      <c r="CC3093" s="4"/>
      <c r="CD3093" s="4"/>
      <c r="CF3093" s="4"/>
    </row>
    <row r="3094" spans="66:84">
      <c r="BN3094" s="4"/>
      <c r="BO3094" s="4"/>
      <c r="BQ3094" s="4"/>
      <c r="CC3094" s="4"/>
      <c r="CD3094" s="4"/>
      <c r="CF3094" s="4"/>
    </row>
    <row r="3095" spans="66:84">
      <c r="BN3095" s="4"/>
      <c r="BO3095" s="4"/>
      <c r="BQ3095" s="4"/>
      <c r="CC3095" s="4"/>
      <c r="CD3095" s="4"/>
      <c r="CF3095" s="4"/>
    </row>
    <row r="3096" spans="66:84">
      <c r="BN3096" s="4"/>
      <c r="BO3096" s="4"/>
      <c r="BQ3096" s="4"/>
      <c r="CC3096" s="4"/>
      <c r="CD3096" s="4"/>
      <c r="CF3096" s="4"/>
    </row>
    <row r="3097" spans="66:84">
      <c r="BN3097" s="4"/>
      <c r="BO3097" s="4"/>
      <c r="BQ3097" s="4"/>
      <c r="CC3097" s="4"/>
      <c r="CD3097" s="4"/>
      <c r="CF3097" s="4"/>
    </row>
    <row r="3098" spans="66:84">
      <c r="BN3098" s="4"/>
      <c r="BO3098" s="4"/>
      <c r="BQ3098" s="4"/>
      <c r="CC3098" s="4"/>
      <c r="CD3098" s="4"/>
      <c r="CF3098" s="4"/>
    </row>
    <row r="3099" spans="66:84">
      <c r="BN3099" s="4"/>
      <c r="BO3099" s="4"/>
      <c r="BQ3099" s="4"/>
      <c r="CC3099" s="4"/>
      <c r="CD3099" s="4"/>
      <c r="CF3099" s="4"/>
    </row>
    <row r="3100" spans="66:84">
      <c r="BN3100" s="4"/>
      <c r="BO3100" s="4"/>
      <c r="BQ3100" s="4"/>
      <c r="CC3100" s="4"/>
      <c r="CD3100" s="4"/>
      <c r="CF3100" s="4"/>
    </row>
    <row r="3101" spans="66:84">
      <c r="BN3101" s="4"/>
      <c r="BO3101" s="4"/>
      <c r="BQ3101" s="4"/>
      <c r="CC3101" s="4"/>
      <c r="CD3101" s="4"/>
      <c r="CF3101" s="4"/>
    </row>
    <row r="3102" spans="66:84">
      <c r="BN3102" s="4"/>
      <c r="BO3102" s="4"/>
      <c r="BQ3102" s="4"/>
      <c r="CC3102" s="4"/>
      <c r="CD3102" s="4"/>
      <c r="CF3102" s="4"/>
    </row>
    <row r="3103" spans="66:84">
      <c r="BN3103" s="4"/>
      <c r="BO3103" s="4"/>
      <c r="BQ3103" s="4"/>
      <c r="CC3103" s="4"/>
      <c r="CD3103" s="4"/>
      <c r="CF3103" s="4"/>
    </row>
    <row r="3104" spans="66:84">
      <c r="BN3104" s="4"/>
      <c r="BO3104" s="4"/>
      <c r="BQ3104" s="4"/>
      <c r="CC3104" s="4"/>
      <c r="CD3104" s="4"/>
      <c r="CF3104" s="4"/>
    </row>
    <row r="3105" spans="66:84">
      <c r="BN3105" s="4"/>
      <c r="BO3105" s="4"/>
      <c r="BQ3105" s="4"/>
      <c r="CC3105" s="4"/>
      <c r="CD3105" s="4"/>
      <c r="CF3105" s="4"/>
    </row>
    <row r="3106" spans="66:84">
      <c r="BN3106" s="4"/>
      <c r="BO3106" s="4"/>
      <c r="BQ3106" s="4"/>
      <c r="CC3106" s="4"/>
      <c r="CD3106" s="4"/>
      <c r="CF3106" s="4"/>
    </row>
    <row r="3107" spans="66:84">
      <c r="BN3107" s="4"/>
      <c r="BO3107" s="4"/>
      <c r="BQ3107" s="4"/>
      <c r="CC3107" s="4"/>
      <c r="CD3107" s="4"/>
      <c r="CF3107" s="4"/>
    </row>
    <row r="3108" spans="66:84">
      <c r="BN3108" s="4"/>
      <c r="BO3108" s="4"/>
      <c r="BQ3108" s="4"/>
      <c r="CC3108" s="4"/>
      <c r="CD3108" s="4"/>
      <c r="CF3108" s="4"/>
    </row>
    <row r="3109" spans="66:84">
      <c r="BN3109" s="4"/>
      <c r="BO3109" s="4"/>
      <c r="BQ3109" s="4"/>
      <c r="CC3109" s="4"/>
      <c r="CD3109" s="4"/>
      <c r="CF3109" s="4"/>
    </row>
    <row r="3110" spans="66:84">
      <c r="BN3110" s="4"/>
      <c r="BO3110" s="4"/>
      <c r="BQ3110" s="4"/>
      <c r="CC3110" s="4"/>
      <c r="CD3110" s="4"/>
      <c r="CF3110" s="4"/>
    </row>
    <row r="3111" spans="66:84">
      <c r="BN3111" s="4"/>
      <c r="BO3111" s="4"/>
      <c r="BQ3111" s="4"/>
      <c r="CC3111" s="4"/>
      <c r="CD3111" s="4"/>
      <c r="CF3111" s="4"/>
    </row>
    <row r="3112" spans="66:84">
      <c r="BN3112" s="4"/>
      <c r="BO3112" s="4"/>
      <c r="BQ3112" s="4"/>
      <c r="CC3112" s="4"/>
      <c r="CD3112" s="4"/>
      <c r="CF3112" s="4"/>
    </row>
    <row r="3113" spans="66:84">
      <c r="BN3113" s="4"/>
      <c r="BO3113" s="4"/>
      <c r="BQ3113" s="4"/>
      <c r="CC3113" s="4"/>
      <c r="CD3113" s="4"/>
      <c r="CF3113" s="4"/>
    </row>
    <row r="3114" spans="66:84">
      <c r="BN3114" s="4"/>
      <c r="BO3114" s="4"/>
      <c r="BQ3114" s="4"/>
      <c r="CC3114" s="4"/>
      <c r="CD3114" s="4"/>
      <c r="CF3114" s="4"/>
    </row>
    <row r="3115" spans="66:84">
      <c r="BN3115" s="4"/>
      <c r="BO3115" s="4"/>
      <c r="BQ3115" s="4"/>
      <c r="CC3115" s="4"/>
      <c r="CD3115" s="4"/>
      <c r="CF3115" s="4"/>
    </row>
    <row r="3116" spans="66:84">
      <c r="BN3116" s="4"/>
      <c r="BO3116" s="4"/>
      <c r="BQ3116" s="4"/>
      <c r="CC3116" s="4"/>
      <c r="CD3116" s="4"/>
      <c r="CF3116" s="4"/>
    </row>
    <row r="3117" spans="66:84">
      <c r="BN3117" s="4"/>
      <c r="BO3117" s="4"/>
      <c r="BQ3117" s="4"/>
      <c r="CC3117" s="4"/>
      <c r="CD3117" s="4"/>
      <c r="CF3117" s="4"/>
    </row>
    <row r="3118" spans="66:84">
      <c r="BN3118" s="4"/>
      <c r="BO3118" s="4"/>
      <c r="BQ3118" s="4"/>
      <c r="CC3118" s="4"/>
      <c r="CD3118" s="4"/>
      <c r="CF3118" s="4"/>
    </row>
    <row r="3119" spans="66:84">
      <c r="BN3119" s="4"/>
      <c r="BO3119" s="4"/>
      <c r="BQ3119" s="4"/>
      <c r="CC3119" s="4"/>
      <c r="CD3119" s="4"/>
      <c r="CF3119" s="4"/>
    </row>
    <row r="3120" spans="66:84">
      <c r="BN3120" s="4"/>
      <c r="BO3120" s="4"/>
      <c r="BQ3120" s="4"/>
      <c r="CC3120" s="4"/>
      <c r="CD3120" s="4"/>
      <c r="CF3120" s="4"/>
    </row>
    <row r="3121" spans="66:84">
      <c r="BN3121" s="4"/>
      <c r="BO3121" s="4"/>
      <c r="BQ3121" s="4"/>
      <c r="CC3121" s="4"/>
      <c r="CD3121" s="4"/>
      <c r="CF3121" s="4"/>
    </row>
    <row r="3122" spans="66:84">
      <c r="BN3122" s="4"/>
      <c r="BO3122" s="4"/>
      <c r="BQ3122" s="4"/>
      <c r="CC3122" s="4"/>
      <c r="CD3122" s="4"/>
      <c r="CF3122" s="4"/>
    </row>
    <row r="3123" spans="66:84">
      <c r="BN3123" s="4"/>
      <c r="BO3123" s="4"/>
      <c r="BQ3123" s="4"/>
      <c r="CC3123" s="4"/>
      <c r="CD3123" s="4"/>
      <c r="CF3123" s="4"/>
    </row>
    <row r="3124" spans="66:84">
      <c r="BN3124" s="4"/>
      <c r="BO3124" s="4"/>
      <c r="BQ3124" s="4"/>
      <c r="CC3124" s="4"/>
      <c r="CD3124" s="4"/>
      <c r="CF3124" s="4"/>
    </row>
    <row r="3125" spans="66:84">
      <c r="BN3125" s="4"/>
      <c r="BO3125" s="4"/>
      <c r="BQ3125" s="4"/>
      <c r="CC3125" s="4"/>
      <c r="CD3125" s="4"/>
      <c r="CF3125" s="4"/>
    </row>
    <row r="3126" spans="66:84">
      <c r="BN3126" s="4"/>
      <c r="BO3126" s="4"/>
      <c r="BQ3126" s="4"/>
      <c r="CC3126" s="4"/>
      <c r="CD3126" s="4"/>
      <c r="CF3126" s="4"/>
    </row>
    <row r="3127" spans="66:84">
      <c r="BN3127" s="4"/>
      <c r="BO3127" s="4"/>
      <c r="BQ3127" s="4"/>
      <c r="CC3127" s="4"/>
      <c r="CD3127" s="4"/>
      <c r="CF3127" s="4"/>
    </row>
    <row r="3128" spans="66:84">
      <c r="BN3128" s="4"/>
      <c r="BO3128" s="4"/>
      <c r="BQ3128" s="4"/>
      <c r="CC3128" s="4"/>
      <c r="CD3128" s="4"/>
      <c r="CF3128" s="4"/>
    </row>
    <row r="3129" spans="66:84">
      <c r="BN3129" s="4"/>
      <c r="BO3129" s="4"/>
      <c r="BQ3129" s="4"/>
      <c r="CC3129" s="4"/>
      <c r="CD3129" s="4"/>
      <c r="CF3129" s="4"/>
    </row>
    <row r="3130" spans="66:84">
      <c r="BN3130" s="4"/>
      <c r="BO3130" s="4"/>
      <c r="BQ3130" s="4"/>
      <c r="CC3130" s="4"/>
      <c r="CD3130" s="4"/>
      <c r="CF3130" s="4"/>
    </row>
    <row r="3131" spans="66:84">
      <c r="BN3131" s="4"/>
      <c r="BO3131" s="4"/>
      <c r="BQ3131" s="4"/>
      <c r="CC3131" s="4"/>
      <c r="CD3131" s="4"/>
      <c r="CF3131" s="4"/>
    </row>
    <row r="3132" spans="66:84">
      <c r="BN3132" s="4"/>
      <c r="BO3132" s="4"/>
      <c r="BQ3132" s="4"/>
      <c r="CC3132" s="4"/>
      <c r="CD3132" s="4"/>
      <c r="CF3132" s="4"/>
    </row>
    <row r="3133" spans="66:84">
      <c r="BN3133" s="4"/>
      <c r="BO3133" s="4"/>
      <c r="BQ3133" s="4"/>
      <c r="CC3133" s="4"/>
      <c r="CD3133" s="4"/>
      <c r="CF3133" s="4"/>
    </row>
    <row r="3134" spans="66:84">
      <c r="BN3134" s="4"/>
      <c r="BO3134" s="4"/>
      <c r="BQ3134" s="4"/>
      <c r="CC3134" s="4"/>
      <c r="CD3134" s="4"/>
      <c r="CF3134" s="4"/>
    </row>
    <row r="3135" spans="66:84">
      <c r="BN3135" s="4"/>
      <c r="BO3135" s="4"/>
      <c r="BQ3135" s="4"/>
      <c r="CC3135" s="4"/>
      <c r="CD3135" s="4"/>
      <c r="CF3135" s="4"/>
    </row>
    <row r="3136" spans="66:84">
      <c r="BN3136" s="4"/>
      <c r="BO3136" s="4"/>
      <c r="BQ3136" s="4"/>
      <c r="CC3136" s="4"/>
      <c r="CD3136" s="4"/>
      <c r="CF3136" s="4"/>
    </row>
    <row r="3137" spans="66:84">
      <c r="BN3137" s="4"/>
      <c r="BO3137" s="4"/>
      <c r="BQ3137" s="4"/>
      <c r="CC3137" s="4"/>
      <c r="CD3137" s="4"/>
      <c r="CF3137" s="4"/>
    </row>
    <row r="3138" spans="66:84">
      <c r="BN3138" s="4"/>
      <c r="BO3138" s="4"/>
      <c r="BQ3138" s="4"/>
      <c r="CC3138" s="4"/>
      <c r="CD3138" s="4"/>
      <c r="CF3138" s="4"/>
    </row>
    <row r="3139" spans="66:84">
      <c r="BN3139" s="4"/>
      <c r="BO3139" s="4"/>
      <c r="BQ3139" s="4"/>
      <c r="CC3139" s="4"/>
      <c r="CD3139" s="4"/>
      <c r="CF3139" s="4"/>
    </row>
    <row r="3140" spans="66:84">
      <c r="BN3140" s="4"/>
      <c r="BO3140" s="4"/>
      <c r="BQ3140" s="4"/>
      <c r="CC3140" s="4"/>
      <c r="CD3140" s="4"/>
      <c r="CF3140" s="4"/>
    </row>
    <row r="3141" spans="66:84">
      <c r="BN3141" s="4"/>
      <c r="BO3141" s="4"/>
      <c r="BQ3141" s="4"/>
      <c r="CC3141" s="4"/>
      <c r="CD3141" s="4"/>
      <c r="CF3141" s="4"/>
    </row>
    <row r="3142" spans="66:84">
      <c r="BN3142" s="4"/>
      <c r="BO3142" s="4"/>
      <c r="BQ3142" s="4"/>
      <c r="CC3142" s="4"/>
      <c r="CD3142" s="4"/>
      <c r="CF3142" s="4"/>
    </row>
    <row r="3143" spans="66:84">
      <c r="BN3143" s="4"/>
      <c r="BO3143" s="4"/>
      <c r="BQ3143" s="4"/>
      <c r="CC3143" s="4"/>
      <c r="CD3143" s="4"/>
      <c r="CF3143" s="4"/>
    </row>
    <row r="3144" spans="66:84">
      <c r="BN3144" s="4"/>
      <c r="BO3144" s="4"/>
      <c r="BQ3144" s="4"/>
      <c r="CC3144" s="4"/>
      <c r="CD3144" s="4"/>
      <c r="CF3144" s="4"/>
    </row>
    <row r="3145" spans="66:84">
      <c r="BN3145" s="4"/>
      <c r="BO3145" s="4"/>
      <c r="BQ3145" s="4"/>
      <c r="CC3145" s="4"/>
      <c r="CD3145" s="4"/>
      <c r="CF3145" s="4"/>
    </row>
    <row r="3146" spans="66:84">
      <c r="BN3146" s="4"/>
      <c r="BO3146" s="4"/>
      <c r="BQ3146" s="4"/>
      <c r="CC3146" s="4"/>
      <c r="CD3146" s="4"/>
      <c r="CF3146" s="4"/>
    </row>
    <row r="3147" spans="66:84">
      <c r="BN3147" s="4"/>
      <c r="BO3147" s="4"/>
      <c r="BQ3147" s="4"/>
      <c r="CC3147" s="4"/>
      <c r="CD3147" s="4"/>
      <c r="CF3147" s="4"/>
    </row>
    <row r="3148" spans="66:84">
      <c r="BN3148" s="4"/>
      <c r="BO3148" s="4"/>
      <c r="BQ3148" s="4"/>
      <c r="CC3148" s="4"/>
      <c r="CD3148" s="4"/>
      <c r="CF3148" s="4"/>
    </row>
    <row r="3149" spans="66:84">
      <c r="BN3149" s="4"/>
      <c r="BO3149" s="4"/>
      <c r="BQ3149" s="4"/>
      <c r="CC3149" s="4"/>
      <c r="CD3149" s="4"/>
      <c r="CF3149" s="4"/>
    </row>
    <row r="3150" spans="66:84">
      <c r="BN3150" s="4"/>
      <c r="BO3150" s="4"/>
      <c r="BQ3150" s="4"/>
      <c r="CC3150" s="4"/>
      <c r="CD3150" s="4"/>
      <c r="CF3150" s="4"/>
    </row>
    <row r="3151" spans="66:84">
      <c r="BN3151" s="4"/>
      <c r="BO3151" s="4"/>
      <c r="BQ3151" s="4"/>
      <c r="CC3151" s="4"/>
      <c r="CD3151" s="4"/>
      <c r="CF3151" s="4"/>
    </row>
    <row r="3152" spans="66:84">
      <c r="BN3152" s="4"/>
      <c r="BO3152" s="4"/>
      <c r="BQ3152" s="4"/>
      <c r="CC3152" s="4"/>
      <c r="CD3152" s="4"/>
      <c r="CF3152" s="4"/>
    </row>
    <row r="3153" spans="66:84">
      <c r="BN3153" s="4"/>
      <c r="BO3153" s="4"/>
      <c r="BQ3153" s="4"/>
      <c r="CC3153" s="4"/>
      <c r="CD3153" s="4"/>
      <c r="CF3153" s="4"/>
    </row>
    <row r="3154" spans="66:84">
      <c r="BN3154" s="4"/>
      <c r="BO3154" s="4"/>
      <c r="BQ3154" s="4"/>
      <c r="CC3154" s="4"/>
      <c r="CD3154" s="4"/>
      <c r="CF3154" s="4"/>
    </row>
    <row r="3155" spans="66:84">
      <c r="BN3155" s="4"/>
      <c r="BO3155" s="4"/>
      <c r="BQ3155" s="4"/>
      <c r="CC3155" s="4"/>
      <c r="CD3155" s="4"/>
      <c r="CF3155" s="4"/>
    </row>
    <row r="3156" spans="66:84">
      <c r="BN3156" s="4"/>
      <c r="BO3156" s="4"/>
      <c r="BQ3156" s="4"/>
      <c r="CC3156" s="4"/>
      <c r="CD3156" s="4"/>
      <c r="CF3156" s="4"/>
    </row>
    <row r="3157" spans="66:84">
      <c r="BN3157" s="4"/>
      <c r="BO3157" s="4"/>
      <c r="BQ3157" s="4"/>
      <c r="CC3157" s="4"/>
      <c r="CD3157" s="4"/>
      <c r="CF3157" s="4"/>
    </row>
    <row r="3158" spans="66:84">
      <c r="BN3158" s="4"/>
      <c r="BO3158" s="4"/>
      <c r="BQ3158" s="4"/>
      <c r="CC3158" s="4"/>
      <c r="CD3158" s="4"/>
      <c r="CF3158" s="4"/>
    </row>
    <row r="3159" spans="66:84">
      <c r="BN3159" s="4"/>
      <c r="BO3159" s="4"/>
      <c r="BQ3159" s="4"/>
      <c r="CC3159" s="4"/>
      <c r="CD3159" s="4"/>
      <c r="CF3159" s="4"/>
    </row>
    <row r="3160" spans="66:84">
      <c r="BN3160" s="4"/>
      <c r="BO3160" s="4"/>
      <c r="BQ3160" s="4"/>
      <c r="CC3160" s="4"/>
      <c r="CD3160" s="4"/>
      <c r="CF3160" s="4"/>
    </row>
    <row r="3161" spans="66:84">
      <c r="BN3161" s="4"/>
      <c r="BO3161" s="4"/>
      <c r="BQ3161" s="4"/>
      <c r="CC3161" s="4"/>
      <c r="CD3161" s="4"/>
      <c r="CF3161" s="4"/>
    </row>
    <row r="3162" spans="66:84">
      <c r="BN3162" s="4"/>
      <c r="BO3162" s="4"/>
      <c r="BQ3162" s="4"/>
      <c r="CC3162" s="4"/>
      <c r="CD3162" s="4"/>
      <c r="CF3162" s="4"/>
    </row>
    <row r="3163" spans="66:84">
      <c r="BN3163" s="4"/>
      <c r="BO3163" s="4"/>
      <c r="BQ3163" s="4"/>
      <c r="CC3163" s="4"/>
      <c r="CD3163" s="4"/>
      <c r="CF3163" s="4"/>
    </row>
    <row r="3164" spans="66:84">
      <c r="BN3164" s="4"/>
      <c r="BO3164" s="4"/>
      <c r="BQ3164" s="4"/>
      <c r="CC3164" s="4"/>
      <c r="CD3164" s="4"/>
      <c r="CF3164" s="4"/>
    </row>
    <row r="3165" spans="66:84">
      <c r="BN3165" s="4"/>
      <c r="BO3165" s="4"/>
      <c r="BQ3165" s="4"/>
      <c r="CC3165" s="4"/>
      <c r="CD3165" s="4"/>
      <c r="CF3165" s="4"/>
    </row>
    <row r="3166" spans="66:84">
      <c r="BN3166" s="4"/>
      <c r="BO3166" s="4"/>
      <c r="BQ3166" s="4"/>
      <c r="CC3166" s="4"/>
      <c r="CD3166" s="4"/>
      <c r="CF3166" s="4"/>
    </row>
    <row r="3167" spans="66:84">
      <c r="BN3167" s="4"/>
      <c r="BO3167" s="4"/>
      <c r="BQ3167" s="4"/>
      <c r="CC3167" s="4"/>
      <c r="CD3167" s="4"/>
      <c r="CF3167" s="4"/>
    </row>
    <row r="3168" spans="66:84">
      <c r="BN3168" s="4"/>
      <c r="BO3168" s="4"/>
      <c r="BQ3168" s="4"/>
      <c r="CC3168" s="4"/>
      <c r="CD3168" s="4"/>
      <c r="CF3168" s="4"/>
    </row>
    <row r="3169" spans="66:84">
      <c r="BN3169" s="4"/>
      <c r="BO3169" s="4"/>
      <c r="BQ3169" s="4"/>
      <c r="CC3169" s="4"/>
      <c r="CD3169" s="4"/>
      <c r="CF3169" s="4"/>
    </row>
    <row r="3170" spans="66:84">
      <c r="BN3170" s="4"/>
      <c r="BO3170" s="4"/>
      <c r="BQ3170" s="4"/>
      <c r="CC3170" s="4"/>
      <c r="CD3170" s="4"/>
      <c r="CF3170" s="4"/>
    </row>
    <row r="3171" spans="66:84">
      <c r="BN3171" s="4"/>
      <c r="BO3171" s="4"/>
      <c r="BQ3171" s="4"/>
      <c r="CC3171" s="4"/>
      <c r="CD3171" s="4"/>
      <c r="CF3171" s="4"/>
    </row>
    <row r="3172" spans="66:84">
      <c r="BN3172" s="4"/>
      <c r="BO3172" s="4"/>
      <c r="BQ3172" s="4"/>
      <c r="CC3172" s="4"/>
      <c r="CD3172" s="4"/>
      <c r="CF3172" s="4"/>
    </row>
    <row r="3173" spans="66:84">
      <c r="BN3173" s="4"/>
      <c r="BO3173" s="4"/>
      <c r="BQ3173" s="4"/>
      <c r="CC3173" s="4"/>
      <c r="CD3173" s="4"/>
      <c r="CF3173" s="4"/>
    </row>
    <row r="3174" spans="66:84">
      <c r="BN3174" s="4"/>
      <c r="BO3174" s="4"/>
      <c r="BQ3174" s="4"/>
      <c r="CC3174" s="4"/>
      <c r="CD3174" s="4"/>
      <c r="CF3174" s="4"/>
    </row>
    <row r="3175" spans="66:84">
      <c r="BN3175" s="4"/>
      <c r="BO3175" s="4"/>
      <c r="BQ3175" s="4"/>
      <c r="CC3175" s="4"/>
      <c r="CD3175" s="4"/>
      <c r="CF3175" s="4"/>
    </row>
    <row r="3176" spans="66:84">
      <c r="BN3176" s="4"/>
      <c r="BO3176" s="4"/>
      <c r="BQ3176" s="4"/>
      <c r="CC3176" s="4"/>
      <c r="CD3176" s="4"/>
      <c r="CF3176" s="4"/>
    </row>
    <row r="3177" spans="66:84">
      <c r="BN3177" s="4"/>
      <c r="BO3177" s="4"/>
      <c r="BQ3177" s="4"/>
      <c r="CC3177" s="4"/>
      <c r="CD3177" s="4"/>
      <c r="CF3177" s="4"/>
    </row>
    <row r="3178" spans="66:84">
      <c r="BN3178" s="4"/>
      <c r="BO3178" s="4"/>
      <c r="BQ3178" s="4"/>
      <c r="CC3178" s="4"/>
      <c r="CD3178" s="4"/>
      <c r="CF3178" s="4"/>
    </row>
    <row r="3179" spans="66:84">
      <c r="BN3179" s="4"/>
      <c r="BO3179" s="4"/>
      <c r="BQ3179" s="4"/>
      <c r="CC3179" s="4"/>
      <c r="CD3179" s="4"/>
      <c r="CF3179" s="4"/>
    </row>
    <row r="3180" spans="66:84">
      <c r="BN3180" s="4"/>
      <c r="BO3180" s="4"/>
      <c r="BQ3180" s="4"/>
      <c r="CC3180" s="4"/>
      <c r="CD3180" s="4"/>
      <c r="CF3180" s="4"/>
    </row>
    <row r="3181" spans="66:84">
      <c r="BN3181" s="4"/>
      <c r="BO3181" s="4"/>
      <c r="BQ3181" s="4"/>
      <c r="CC3181" s="4"/>
      <c r="CD3181" s="4"/>
      <c r="CF3181" s="4"/>
    </row>
    <row r="3182" spans="66:84">
      <c r="BN3182" s="4"/>
      <c r="BO3182" s="4"/>
      <c r="BQ3182" s="4"/>
      <c r="CC3182" s="4"/>
      <c r="CD3182" s="4"/>
      <c r="CF3182" s="4"/>
    </row>
    <row r="3183" spans="66:84">
      <c r="BN3183" s="4"/>
      <c r="BO3183" s="4"/>
      <c r="BQ3183" s="4"/>
      <c r="CC3183" s="4"/>
      <c r="CD3183" s="4"/>
      <c r="CF3183" s="4"/>
    </row>
    <row r="3184" spans="66:84">
      <c r="BN3184" s="4"/>
      <c r="BO3184" s="4"/>
      <c r="BQ3184" s="4"/>
      <c r="CC3184" s="4"/>
      <c r="CD3184" s="4"/>
      <c r="CF3184" s="4"/>
    </row>
    <row r="3185" spans="66:84">
      <c r="BN3185" s="4"/>
      <c r="BO3185" s="4"/>
      <c r="BQ3185" s="4"/>
      <c r="CC3185" s="4"/>
      <c r="CD3185" s="4"/>
      <c r="CF3185" s="4"/>
    </row>
    <row r="3186" spans="66:84">
      <c r="BN3186" s="4"/>
      <c r="BO3186" s="4"/>
      <c r="BQ3186" s="4"/>
      <c r="CC3186" s="4"/>
      <c r="CD3186" s="4"/>
      <c r="CF3186" s="4"/>
    </row>
    <row r="3187" spans="66:84">
      <c r="BN3187" s="4"/>
      <c r="BO3187" s="4"/>
      <c r="BQ3187" s="4"/>
      <c r="CC3187" s="4"/>
      <c r="CD3187" s="4"/>
      <c r="CF3187" s="4"/>
    </row>
    <row r="3188" spans="66:84">
      <c r="BN3188" s="4"/>
      <c r="BO3188" s="4"/>
      <c r="BQ3188" s="4"/>
      <c r="CC3188" s="4"/>
      <c r="CD3188" s="4"/>
      <c r="CF3188" s="4"/>
    </row>
    <row r="3189" spans="66:84">
      <c r="BN3189" s="4"/>
      <c r="BO3189" s="4"/>
      <c r="BQ3189" s="4"/>
      <c r="CC3189" s="4"/>
      <c r="CD3189" s="4"/>
      <c r="CF3189" s="4"/>
    </row>
    <row r="3190" spans="66:84">
      <c r="BN3190" s="4"/>
      <c r="BO3190" s="4"/>
      <c r="BQ3190" s="4"/>
      <c r="CC3190" s="4"/>
      <c r="CD3190" s="4"/>
      <c r="CF3190" s="4"/>
    </row>
    <row r="3191" spans="66:84">
      <c r="BN3191" s="4"/>
      <c r="BO3191" s="4"/>
      <c r="BQ3191" s="4"/>
      <c r="CC3191" s="4"/>
      <c r="CD3191" s="4"/>
      <c r="CF3191" s="4"/>
    </row>
    <row r="3192" spans="66:84">
      <c r="BN3192" s="4"/>
      <c r="BO3192" s="4"/>
      <c r="BQ3192" s="4"/>
      <c r="CC3192" s="4"/>
      <c r="CD3192" s="4"/>
      <c r="CF3192" s="4"/>
    </row>
    <row r="3193" spans="66:84">
      <c r="BN3193" s="4"/>
      <c r="BO3193" s="4"/>
      <c r="BQ3193" s="4"/>
      <c r="CC3193" s="4"/>
      <c r="CD3193" s="4"/>
      <c r="CF3193" s="4"/>
    </row>
    <row r="3194" spans="66:84">
      <c r="BN3194" s="4"/>
      <c r="BO3194" s="4"/>
      <c r="BQ3194" s="4"/>
      <c r="CC3194" s="4"/>
      <c r="CD3194" s="4"/>
      <c r="CF3194" s="4"/>
    </row>
    <row r="3195" spans="66:84">
      <c r="BN3195" s="4"/>
      <c r="BO3195" s="4"/>
      <c r="BQ3195" s="4"/>
      <c r="CC3195" s="4"/>
      <c r="CD3195" s="4"/>
      <c r="CF3195" s="4"/>
    </row>
    <row r="3196" spans="66:84">
      <c r="BN3196" s="4"/>
      <c r="BO3196" s="4"/>
      <c r="BQ3196" s="4"/>
      <c r="CC3196" s="4"/>
      <c r="CD3196" s="4"/>
      <c r="CF3196" s="4"/>
    </row>
    <row r="3197" spans="66:84">
      <c r="BN3197" s="4"/>
      <c r="BO3197" s="4"/>
      <c r="BQ3197" s="4"/>
      <c r="CC3197" s="4"/>
      <c r="CD3197" s="4"/>
      <c r="CF3197" s="4"/>
    </row>
    <row r="3198" spans="66:84">
      <c r="BN3198" s="4"/>
      <c r="BO3198" s="4"/>
      <c r="BQ3198" s="4"/>
      <c r="CC3198" s="4"/>
      <c r="CD3198" s="4"/>
      <c r="CF3198" s="4"/>
    </row>
    <row r="3199" spans="66:84">
      <c r="BN3199" s="4"/>
      <c r="BO3199" s="4"/>
      <c r="BQ3199" s="4"/>
      <c r="CC3199" s="4"/>
      <c r="CD3199" s="4"/>
      <c r="CF3199" s="4"/>
    </row>
    <row r="3200" spans="66:84">
      <c r="BN3200" s="4"/>
      <c r="BO3200" s="4"/>
      <c r="BQ3200" s="4"/>
      <c r="CC3200" s="4"/>
      <c r="CD3200" s="4"/>
      <c r="CF3200" s="4"/>
    </row>
    <row r="3201" spans="66:84">
      <c r="BN3201" s="4"/>
      <c r="BO3201" s="4"/>
      <c r="BQ3201" s="4"/>
      <c r="CC3201" s="4"/>
      <c r="CD3201" s="4"/>
      <c r="CF3201" s="4"/>
    </row>
    <row r="3202" spans="66:84">
      <c r="BN3202" s="4"/>
      <c r="BO3202" s="4"/>
      <c r="BQ3202" s="4"/>
      <c r="CC3202" s="4"/>
      <c r="CD3202" s="4"/>
      <c r="CF3202" s="4"/>
    </row>
    <row r="3203" spans="66:84">
      <c r="BN3203" s="4"/>
      <c r="BO3203" s="4"/>
      <c r="BQ3203" s="4"/>
      <c r="CC3203" s="4"/>
      <c r="CD3203" s="4"/>
      <c r="CF3203" s="4"/>
    </row>
    <row r="3204" spans="66:84">
      <c r="BN3204" s="4"/>
      <c r="BO3204" s="4"/>
      <c r="BQ3204" s="4"/>
      <c r="CC3204" s="4"/>
      <c r="CD3204" s="4"/>
      <c r="CF3204" s="4"/>
    </row>
    <row r="3205" spans="66:84">
      <c r="BN3205" s="4"/>
      <c r="BO3205" s="4"/>
      <c r="BQ3205" s="4"/>
      <c r="CC3205" s="4"/>
      <c r="CD3205" s="4"/>
      <c r="CF3205" s="4"/>
    </row>
    <row r="3206" spans="66:84">
      <c r="BN3206" s="4"/>
      <c r="BO3206" s="4"/>
      <c r="BQ3206" s="4"/>
      <c r="CC3206" s="4"/>
      <c r="CD3206" s="4"/>
      <c r="CF3206" s="4"/>
    </row>
    <row r="3207" spans="66:84">
      <c r="BN3207" s="4"/>
      <c r="BO3207" s="4"/>
      <c r="BQ3207" s="4"/>
      <c r="CC3207" s="4"/>
      <c r="CD3207" s="4"/>
      <c r="CF3207" s="4"/>
    </row>
    <row r="3208" spans="66:84">
      <c r="BN3208" s="4"/>
      <c r="BO3208" s="4"/>
      <c r="BQ3208" s="4"/>
      <c r="CC3208" s="4"/>
      <c r="CD3208" s="4"/>
      <c r="CF3208" s="4"/>
    </row>
    <row r="3209" spans="66:84">
      <c r="BN3209" s="4"/>
      <c r="BO3209" s="4"/>
      <c r="BQ3209" s="4"/>
      <c r="CC3209" s="4"/>
      <c r="CD3209" s="4"/>
      <c r="CF3209" s="4"/>
    </row>
    <row r="3210" spans="66:84">
      <c r="BN3210" s="4"/>
      <c r="BO3210" s="4"/>
      <c r="BQ3210" s="4"/>
      <c r="CC3210" s="4"/>
      <c r="CD3210" s="4"/>
      <c r="CF3210" s="4"/>
    </row>
    <row r="3211" spans="66:84">
      <c r="BN3211" s="4"/>
      <c r="BO3211" s="4"/>
      <c r="BQ3211" s="4"/>
      <c r="CC3211" s="4"/>
      <c r="CD3211" s="4"/>
      <c r="CF3211" s="4"/>
    </row>
    <row r="3212" spans="66:84">
      <c r="BN3212" s="4"/>
      <c r="BO3212" s="4"/>
      <c r="BQ3212" s="4"/>
      <c r="CC3212" s="4"/>
      <c r="CD3212" s="4"/>
      <c r="CF3212" s="4"/>
    </row>
    <row r="3213" spans="66:84">
      <c r="BN3213" s="4"/>
      <c r="BO3213" s="4"/>
      <c r="BQ3213" s="4"/>
      <c r="CC3213" s="4"/>
      <c r="CD3213" s="4"/>
      <c r="CF3213" s="4"/>
    </row>
    <row r="3214" spans="66:84">
      <c r="BN3214" s="4"/>
      <c r="BO3214" s="4"/>
      <c r="BQ3214" s="4"/>
      <c r="CC3214" s="4"/>
      <c r="CD3214" s="4"/>
      <c r="CF3214" s="4"/>
    </row>
    <row r="3215" spans="66:84">
      <c r="BN3215" s="4"/>
      <c r="BO3215" s="4"/>
      <c r="BQ3215" s="4"/>
      <c r="CC3215" s="4"/>
      <c r="CD3215" s="4"/>
      <c r="CF3215" s="4"/>
    </row>
    <row r="3216" spans="66:84">
      <c r="BN3216" s="4"/>
      <c r="BO3216" s="4"/>
      <c r="BQ3216" s="4"/>
      <c r="CC3216" s="4"/>
      <c r="CD3216" s="4"/>
      <c r="CF3216" s="4"/>
    </row>
    <row r="3217" spans="66:84">
      <c r="BN3217" s="4"/>
      <c r="BO3217" s="4"/>
      <c r="BQ3217" s="4"/>
      <c r="CC3217" s="4"/>
      <c r="CD3217" s="4"/>
      <c r="CF3217" s="4"/>
    </row>
    <row r="3218" spans="66:84">
      <c r="BN3218" s="4"/>
      <c r="BO3218" s="4"/>
      <c r="BQ3218" s="4"/>
      <c r="CC3218" s="4"/>
      <c r="CD3218" s="4"/>
      <c r="CF3218" s="4"/>
    </row>
    <row r="3219" spans="66:84">
      <c r="BN3219" s="4"/>
      <c r="BO3219" s="4"/>
      <c r="BQ3219" s="4"/>
      <c r="CC3219" s="4"/>
      <c r="CD3219" s="4"/>
      <c r="CF3219" s="4"/>
    </row>
    <row r="3220" spans="66:84">
      <c r="BN3220" s="4"/>
      <c r="BO3220" s="4"/>
      <c r="BQ3220" s="4"/>
      <c r="CC3220" s="4"/>
      <c r="CD3220" s="4"/>
      <c r="CF3220" s="4"/>
    </row>
    <row r="3221" spans="66:84">
      <c r="BN3221" s="4"/>
      <c r="BO3221" s="4"/>
      <c r="BQ3221" s="4"/>
      <c r="CC3221" s="4"/>
      <c r="CD3221" s="4"/>
      <c r="CF3221" s="4"/>
    </row>
    <row r="3222" spans="66:84">
      <c r="BN3222" s="4"/>
      <c r="BO3222" s="4"/>
      <c r="BQ3222" s="4"/>
      <c r="CC3222" s="4"/>
      <c r="CD3222" s="4"/>
      <c r="CF3222" s="4"/>
    </row>
    <row r="3223" spans="66:84">
      <c r="BN3223" s="4"/>
      <c r="BO3223" s="4"/>
      <c r="BQ3223" s="4"/>
      <c r="CC3223" s="4"/>
      <c r="CD3223" s="4"/>
      <c r="CF3223" s="4"/>
    </row>
    <row r="3224" spans="66:84">
      <c r="BN3224" s="4"/>
      <c r="BO3224" s="4"/>
      <c r="BQ3224" s="4"/>
      <c r="CC3224" s="4"/>
      <c r="CD3224" s="4"/>
      <c r="CF3224" s="4"/>
    </row>
    <row r="3225" spans="66:84">
      <c r="BN3225" s="4"/>
      <c r="BO3225" s="4"/>
      <c r="BQ3225" s="4"/>
      <c r="CC3225" s="4"/>
      <c r="CD3225" s="4"/>
      <c r="CF3225" s="4"/>
    </row>
    <row r="3226" spans="66:84">
      <c r="BN3226" s="4"/>
      <c r="BO3226" s="4"/>
      <c r="BQ3226" s="4"/>
      <c r="CC3226" s="4"/>
      <c r="CD3226" s="4"/>
      <c r="CF3226" s="4"/>
    </row>
    <row r="3227" spans="66:84">
      <c r="BN3227" s="4"/>
      <c r="BO3227" s="4"/>
      <c r="BQ3227" s="4"/>
      <c r="CC3227" s="4"/>
      <c r="CD3227" s="4"/>
      <c r="CF3227" s="4"/>
    </row>
    <row r="3228" spans="66:84">
      <c r="BN3228" s="4"/>
      <c r="BO3228" s="4"/>
      <c r="BQ3228" s="4"/>
      <c r="CC3228" s="4"/>
      <c r="CD3228" s="4"/>
      <c r="CF3228" s="4"/>
    </row>
    <row r="3229" spans="66:84">
      <c r="BN3229" s="4"/>
      <c r="BO3229" s="4"/>
      <c r="BQ3229" s="4"/>
      <c r="CC3229" s="4"/>
      <c r="CD3229" s="4"/>
      <c r="CF3229" s="4"/>
    </row>
    <row r="3230" spans="66:84">
      <c r="BN3230" s="4"/>
      <c r="BO3230" s="4"/>
      <c r="BQ3230" s="4"/>
      <c r="CC3230" s="4"/>
      <c r="CD3230" s="4"/>
      <c r="CF3230" s="4"/>
    </row>
    <row r="3231" spans="66:84">
      <c r="BN3231" s="4"/>
      <c r="BO3231" s="4"/>
      <c r="BQ3231" s="4"/>
      <c r="CC3231" s="4"/>
      <c r="CD3231" s="4"/>
      <c r="CF3231" s="4"/>
    </row>
    <row r="3232" spans="66:84">
      <c r="BN3232" s="4"/>
      <c r="BO3232" s="4"/>
      <c r="BQ3232" s="4"/>
      <c r="CC3232" s="4"/>
      <c r="CD3232" s="4"/>
      <c r="CF3232" s="4"/>
    </row>
    <row r="3233" spans="66:84">
      <c r="BN3233" s="4"/>
      <c r="BO3233" s="4"/>
      <c r="BQ3233" s="4"/>
      <c r="CC3233" s="4"/>
      <c r="CD3233" s="4"/>
      <c r="CF3233" s="4"/>
    </row>
    <row r="3234" spans="66:84">
      <c r="BN3234" s="4"/>
      <c r="BO3234" s="4"/>
      <c r="BQ3234" s="4"/>
      <c r="CC3234" s="4"/>
      <c r="CD3234" s="4"/>
      <c r="CF3234" s="4"/>
    </row>
    <row r="3235" spans="66:84">
      <c r="BN3235" s="4"/>
      <c r="BO3235" s="4"/>
      <c r="BQ3235" s="4"/>
      <c r="CC3235" s="4"/>
      <c r="CD3235" s="4"/>
      <c r="CF3235" s="4"/>
    </row>
    <row r="3236" spans="66:84">
      <c r="BN3236" s="4"/>
      <c r="BO3236" s="4"/>
      <c r="BQ3236" s="4"/>
      <c r="CC3236" s="4"/>
      <c r="CD3236" s="4"/>
      <c r="CF3236" s="4"/>
    </row>
    <row r="3237" spans="66:84">
      <c r="BN3237" s="4"/>
      <c r="BO3237" s="4"/>
      <c r="BQ3237" s="4"/>
      <c r="CC3237" s="4"/>
      <c r="CD3237" s="4"/>
      <c r="CF3237" s="4"/>
    </row>
    <row r="3238" spans="66:84">
      <c r="BN3238" s="4"/>
      <c r="BO3238" s="4"/>
      <c r="BQ3238" s="4"/>
      <c r="CC3238" s="4"/>
      <c r="CD3238" s="4"/>
      <c r="CF3238" s="4"/>
    </row>
    <row r="3239" spans="66:84">
      <c r="BN3239" s="4"/>
      <c r="BO3239" s="4"/>
      <c r="BQ3239" s="4"/>
      <c r="CC3239" s="4"/>
      <c r="CD3239" s="4"/>
      <c r="CF3239" s="4"/>
    </row>
    <row r="3240" spans="66:84">
      <c r="BN3240" s="4"/>
      <c r="BO3240" s="4"/>
      <c r="BQ3240" s="4"/>
      <c r="CC3240" s="4"/>
      <c r="CD3240" s="4"/>
      <c r="CF3240" s="4"/>
    </row>
    <row r="3241" spans="66:84">
      <c r="BN3241" s="4"/>
      <c r="BO3241" s="4"/>
      <c r="BQ3241" s="4"/>
      <c r="CC3241" s="4"/>
      <c r="CD3241" s="4"/>
      <c r="CF3241" s="4"/>
    </row>
    <row r="3242" spans="66:84">
      <c r="BN3242" s="4"/>
      <c r="BO3242" s="4"/>
      <c r="BQ3242" s="4"/>
      <c r="CC3242" s="4"/>
      <c r="CD3242" s="4"/>
      <c r="CF3242" s="4"/>
    </row>
    <row r="3243" spans="66:84">
      <c r="BN3243" s="4"/>
      <c r="BO3243" s="4"/>
      <c r="BQ3243" s="4"/>
      <c r="CC3243" s="4"/>
      <c r="CD3243" s="4"/>
      <c r="CF3243" s="4"/>
    </row>
    <row r="3244" spans="66:84">
      <c r="BN3244" s="4"/>
      <c r="BO3244" s="4"/>
      <c r="BQ3244" s="4"/>
      <c r="CC3244" s="4"/>
      <c r="CD3244" s="4"/>
      <c r="CF3244" s="4"/>
    </row>
    <row r="3245" spans="66:84">
      <c r="BN3245" s="4"/>
      <c r="BO3245" s="4"/>
      <c r="BQ3245" s="4"/>
      <c r="CC3245" s="4"/>
      <c r="CD3245" s="4"/>
      <c r="CF3245" s="4"/>
    </row>
    <row r="3246" spans="66:84">
      <c r="BN3246" s="4"/>
      <c r="BO3246" s="4"/>
      <c r="BQ3246" s="4"/>
      <c r="CC3246" s="4"/>
      <c r="CD3246" s="4"/>
      <c r="CF3246" s="4"/>
    </row>
    <row r="3247" spans="66:84">
      <c r="BN3247" s="4"/>
      <c r="BO3247" s="4"/>
      <c r="BQ3247" s="4"/>
      <c r="CC3247" s="4"/>
      <c r="CD3247" s="4"/>
      <c r="CF3247" s="4"/>
    </row>
    <row r="3248" spans="66:84">
      <c r="BN3248" s="4"/>
      <c r="BO3248" s="4"/>
      <c r="BQ3248" s="4"/>
      <c r="CC3248" s="4"/>
      <c r="CD3248" s="4"/>
      <c r="CF3248" s="4"/>
    </row>
    <row r="3249" spans="66:84">
      <c r="BN3249" s="4"/>
      <c r="BO3249" s="4"/>
      <c r="BQ3249" s="4"/>
      <c r="CC3249" s="4"/>
      <c r="CD3249" s="4"/>
      <c r="CF3249" s="4"/>
    </row>
    <row r="3250" spans="66:84">
      <c r="BN3250" s="4"/>
      <c r="BO3250" s="4"/>
      <c r="BQ3250" s="4"/>
      <c r="CC3250" s="4"/>
      <c r="CD3250" s="4"/>
      <c r="CF3250" s="4"/>
    </row>
    <row r="3251" spans="66:84">
      <c r="BN3251" s="4"/>
      <c r="BO3251" s="4"/>
      <c r="BQ3251" s="4"/>
      <c r="CC3251" s="4"/>
      <c r="CD3251" s="4"/>
      <c r="CF3251" s="4"/>
    </row>
    <row r="3252" spans="66:84">
      <c r="BN3252" s="4"/>
      <c r="BO3252" s="4"/>
      <c r="BQ3252" s="4"/>
      <c r="CC3252" s="4"/>
      <c r="CD3252" s="4"/>
      <c r="CF3252" s="4"/>
    </row>
    <row r="3253" spans="66:84">
      <c r="BN3253" s="4"/>
      <c r="BO3253" s="4"/>
      <c r="BQ3253" s="4"/>
      <c r="CC3253" s="4"/>
      <c r="CD3253" s="4"/>
      <c r="CF3253" s="4"/>
    </row>
    <row r="3254" spans="66:84">
      <c r="BN3254" s="4"/>
      <c r="BO3254" s="4"/>
      <c r="BQ3254" s="4"/>
      <c r="CC3254" s="4"/>
      <c r="CD3254" s="4"/>
      <c r="CF3254" s="4"/>
    </row>
    <row r="3255" spans="66:84">
      <c r="BN3255" s="4"/>
      <c r="BO3255" s="4"/>
      <c r="BQ3255" s="4"/>
      <c r="CC3255" s="4"/>
      <c r="CD3255" s="4"/>
      <c r="CF3255" s="4"/>
    </row>
    <row r="3256" spans="66:84">
      <c r="BN3256" s="4"/>
      <c r="BO3256" s="4"/>
      <c r="BQ3256" s="4"/>
      <c r="CC3256" s="4"/>
      <c r="CD3256" s="4"/>
      <c r="CF3256" s="4"/>
    </row>
    <row r="3257" spans="66:84">
      <c r="BN3257" s="4"/>
      <c r="BO3257" s="4"/>
      <c r="BQ3257" s="4"/>
      <c r="CC3257" s="4"/>
      <c r="CD3257" s="4"/>
      <c r="CF3257" s="4"/>
    </row>
    <row r="3258" spans="66:84">
      <c r="BN3258" s="4"/>
      <c r="BO3258" s="4"/>
      <c r="BQ3258" s="4"/>
      <c r="CC3258" s="4"/>
      <c r="CD3258" s="4"/>
      <c r="CF3258" s="4"/>
    </row>
    <row r="3259" spans="66:84">
      <c r="BN3259" s="4"/>
      <c r="BO3259" s="4"/>
      <c r="BQ3259" s="4"/>
      <c r="CC3259" s="4"/>
      <c r="CD3259" s="4"/>
      <c r="CF3259" s="4"/>
    </row>
    <row r="3260" spans="66:84">
      <c r="BN3260" s="4"/>
      <c r="BO3260" s="4"/>
      <c r="BQ3260" s="4"/>
      <c r="CC3260" s="4"/>
      <c r="CD3260" s="4"/>
      <c r="CF3260" s="4"/>
    </row>
    <row r="3261" spans="66:84">
      <c r="BN3261" s="4"/>
      <c r="BO3261" s="4"/>
      <c r="BQ3261" s="4"/>
      <c r="CC3261" s="4"/>
      <c r="CD3261" s="4"/>
      <c r="CF3261" s="4"/>
    </row>
    <row r="3262" spans="66:84">
      <c r="BN3262" s="4"/>
      <c r="BO3262" s="4"/>
      <c r="BQ3262" s="4"/>
      <c r="CC3262" s="4"/>
      <c r="CD3262" s="4"/>
      <c r="CF3262" s="4"/>
    </row>
    <row r="3263" spans="66:84">
      <c r="BN3263" s="4"/>
      <c r="BO3263" s="4"/>
      <c r="BQ3263" s="4"/>
      <c r="CC3263" s="4"/>
      <c r="CD3263" s="4"/>
      <c r="CF3263" s="4"/>
    </row>
    <row r="3264" spans="66:84">
      <c r="BN3264" s="4"/>
      <c r="BO3264" s="4"/>
      <c r="BQ3264" s="4"/>
      <c r="CC3264" s="4"/>
      <c r="CD3264" s="4"/>
      <c r="CF3264" s="4"/>
    </row>
    <row r="3265" spans="66:84">
      <c r="BN3265" s="4"/>
      <c r="BO3265" s="4"/>
      <c r="BQ3265" s="4"/>
      <c r="CC3265" s="4"/>
      <c r="CD3265" s="4"/>
      <c r="CF3265" s="4"/>
    </row>
    <row r="3266" spans="66:84">
      <c r="BN3266" s="4"/>
      <c r="BO3266" s="4"/>
      <c r="BQ3266" s="4"/>
      <c r="CC3266" s="4"/>
      <c r="CD3266" s="4"/>
      <c r="CF3266" s="4"/>
    </row>
    <row r="3267" spans="66:84">
      <c r="BN3267" s="4"/>
      <c r="BO3267" s="4"/>
      <c r="BQ3267" s="4"/>
      <c r="CC3267" s="4"/>
      <c r="CD3267" s="4"/>
      <c r="CF3267" s="4"/>
    </row>
    <row r="3268" spans="66:84">
      <c r="BN3268" s="4"/>
      <c r="BO3268" s="4"/>
      <c r="BQ3268" s="4"/>
      <c r="CC3268" s="4"/>
      <c r="CD3268" s="4"/>
      <c r="CF3268" s="4"/>
    </row>
    <row r="3269" spans="66:84">
      <c r="BN3269" s="4"/>
      <c r="BO3269" s="4"/>
      <c r="BQ3269" s="4"/>
      <c r="CC3269" s="4"/>
      <c r="CD3269" s="4"/>
      <c r="CF3269" s="4"/>
    </row>
    <row r="3270" spans="66:84">
      <c r="BN3270" s="4"/>
      <c r="BO3270" s="4"/>
      <c r="BQ3270" s="4"/>
      <c r="CC3270" s="4"/>
      <c r="CD3270" s="4"/>
      <c r="CF3270" s="4"/>
    </row>
    <row r="3271" spans="66:84">
      <c r="BN3271" s="4"/>
      <c r="BO3271" s="4"/>
      <c r="BQ3271" s="4"/>
      <c r="CC3271" s="4"/>
      <c r="CD3271" s="4"/>
      <c r="CF3271" s="4"/>
    </row>
    <row r="3272" spans="66:84">
      <c r="BN3272" s="4"/>
      <c r="BO3272" s="4"/>
      <c r="BQ3272" s="4"/>
      <c r="CC3272" s="4"/>
      <c r="CD3272" s="4"/>
      <c r="CF3272" s="4"/>
    </row>
    <row r="3273" spans="66:84">
      <c r="BN3273" s="4"/>
      <c r="BO3273" s="4"/>
      <c r="BQ3273" s="4"/>
      <c r="CC3273" s="4"/>
      <c r="CD3273" s="4"/>
      <c r="CF3273" s="4"/>
    </row>
    <row r="3274" spans="66:84">
      <c r="BN3274" s="4"/>
      <c r="BO3274" s="4"/>
      <c r="BQ3274" s="4"/>
      <c r="CC3274" s="4"/>
      <c r="CD3274" s="4"/>
      <c r="CF3274" s="4"/>
    </row>
    <row r="3275" spans="66:84">
      <c r="BN3275" s="4"/>
      <c r="BO3275" s="4"/>
      <c r="BQ3275" s="4"/>
      <c r="CC3275" s="4"/>
      <c r="CD3275" s="4"/>
      <c r="CF3275" s="4"/>
    </row>
    <row r="3276" spans="66:84">
      <c r="BN3276" s="4"/>
      <c r="BO3276" s="4"/>
      <c r="BQ3276" s="4"/>
      <c r="CC3276" s="4"/>
      <c r="CD3276" s="4"/>
      <c r="CF3276" s="4"/>
    </row>
    <row r="3277" spans="66:84">
      <c r="BN3277" s="4"/>
      <c r="BO3277" s="4"/>
      <c r="BQ3277" s="4"/>
      <c r="CC3277" s="4"/>
      <c r="CD3277" s="4"/>
      <c r="CF3277" s="4"/>
    </row>
    <row r="3278" spans="66:84">
      <c r="BN3278" s="4"/>
      <c r="BO3278" s="4"/>
      <c r="BQ3278" s="4"/>
      <c r="CC3278" s="4"/>
      <c r="CD3278" s="4"/>
      <c r="CF3278" s="4"/>
    </row>
    <row r="3279" spans="66:84">
      <c r="BN3279" s="4"/>
      <c r="BO3279" s="4"/>
      <c r="BQ3279" s="4"/>
      <c r="CC3279" s="4"/>
      <c r="CD3279" s="4"/>
      <c r="CF3279" s="4"/>
    </row>
    <row r="3280" spans="66:84">
      <c r="BN3280" s="4"/>
      <c r="BO3280" s="4"/>
      <c r="BQ3280" s="4"/>
      <c r="CC3280" s="4"/>
      <c r="CD3280" s="4"/>
      <c r="CF3280" s="4"/>
    </row>
    <row r="3281" spans="66:84">
      <c r="BN3281" s="4"/>
      <c r="BO3281" s="4"/>
      <c r="BQ3281" s="4"/>
      <c r="CC3281" s="4"/>
      <c r="CD3281" s="4"/>
      <c r="CF3281" s="4"/>
    </row>
    <row r="3282" spans="66:84">
      <c r="BN3282" s="4"/>
      <c r="BO3282" s="4"/>
      <c r="BQ3282" s="4"/>
      <c r="CC3282" s="4"/>
      <c r="CD3282" s="4"/>
      <c r="CF3282" s="4"/>
    </row>
    <row r="3283" spans="66:84">
      <c r="BN3283" s="4"/>
      <c r="BO3283" s="4"/>
      <c r="BQ3283" s="4"/>
      <c r="CC3283" s="4"/>
      <c r="CD3283" s="4"/>
      <c r="CF3283" s="4"/>
    </row>
    <row r="3284" spans="66:84">
      <c r="BN3284" s="4"/>
      <c r="BO3284" s="4"/>
      <c r="BQ3284" s="4"/>
      <c r="CC3284" s="4"/>
      <c r="CD3284" s="4"/>
      <c r="CF3284" s="4"/>
    </row>
    <row r="3285" spans="66:84">
      <c r="BN3285" s="4"/>
      <c r="BO3285" s="4"/>
      <c r="BQ3285" s="4"/>
      <c r="CC3285" s="4"/>
      <c r="CD3285" s="4"/>
      <c r="CF3285" s="4"/>
    </row>
    <row r="3286" spans="66:84">
      <c r="BN3286" s="4"/>
      <c r="BO3286" s="4"/>
      <c r="BQ3286" s="4"/>
      <c r="CC3286" s="4"/>
      <c r="CD3286" s="4"/>
      <c r="CF3286" s="4"/>
    </row>
    <row r="3287" spans="66:84">
      <c r="BN3287" s="4"/>
      <c r="BO3287" s="4"/>
      <c r="BQ3287" s="4"/>
      <c r="CC3287" s="4"/>
      <c r="CD3287" s="4"/>
      <c r="CF3287" s="4"/>
    </row>
    <row r="3288" spans="66:84">
      <c r="BN3288" s="4"/>
      <c r="BO3288" s="4"/>
      <c r="BQ3288" s="4"/>
      <c r="CC3288" s="4"/>
      <c r="CD3288" s="4"/>
      <c r="CF3288" s="4"/>
    </row>
    <row r="3289" spans="66:84">
      <c r="BN3289" s="4"/>
      <c r="BO3289" s="4"/>
      <c r="BQ3289" s="4"/>
      <c r="CC3289" s="4"/>
      <c r="CD3289" s="4"/>
      <c r="CF3289" s="4"/>
    </row>
    <row r="3290" spans="66:84">
      <c r="BN3290" s="4"/>
      <c r="BO3290" s="4"/>
      <c r="BQ3290" s="4"/>
      <c r="CC3290" s="4"/>
      <c r="CD3290" s="4"/>
      <c r="CF3290" s="4"/>
    </row>
    <row r="3291" spans="66:84">
      <c r="BN3291" s="4"/>
      <c r="BO3291" s="4"/>
      <c r="BQ3291" s="4"/>
      <c r="CC3291" s="4"/>
      <c r="CD3291" s="4"/>
      <c r="CF3291" s="4"/>
    </row>
    <row r="3292" spans="66:84">
      <c r="BN3292" s="4"/>
      <c r="BO3292" s="4"/>
      <c r="BQ3292" s="4"/>
      <c r="CC3292" s="4"/>
      <c r="CD3292" s="4"/>
      <c r="CF3292" s="4"/>
    </row>
    <row r="3293" spans="66:84">
      <c r="BN3293" s="4"/>
      <c r="BO3293" s="4"/>
      <c r="BQ3293" s="4"/>
      <c r="CC3293" s="4"/>
      <c r="CD3293" s="4"/>
      <c r="CF3293" s="4"/>
    </row>
    <row r="3294" spans="66:84">
      <c r="BN3294" s="4"/>
      <c r="BO3294" s="4"/>
      <c r="BQ3294" s="4"/>
      <c r="CC3294" s="4"/>
      <c r="CD3294" s="4"/>
      <c r="CF3294" s="4"/>
    </row>
    <row r="3295" spans="66:84">
      <c r="BN3295" s="4"/>
      <c r="BO3295" s="4"/>
      <c r="BQ3295" s="4"/>
      <c r="CC3295" s="4"/>
      <c r="CD3295" s="4"/>
      <c r="CF3295" s="4"/>
    </row>
    <row r="3296" spans="66:84">
      <c r="BN3296" s="4"/>
      <c r="BO3296" s="4"/>
      <c r="BQ3296" s="4"/>
      <c r="CC3296" s="4"/>
      <c r="CD3296" s="4"/>
      <c r="CF3296" s="4"/>
    </row>
    <row r="3297" spans="66:84">
      <c r="BN3297" s="4"/>
      <c r="BO3297" s="4"/>
      <c r="BQ3297" s="4"/>
      <c r="CC3297" s="4"/>
      <c r="CD3297" s="4"/>
      <c r="CF3297" s="4"/>
    </row>
    <row r="3298" spans="66:84">
      <c r="BN3298" s="4"/>
      <c r="BO3298" s="4"/>
      <c r="BQ3298" s="4"/>
      <c r="CC3298" s="4"/>
      <c r="CD3298" s="4"/>
      <c r="CF3298" s="4"/>
    </row>
    <row r="3299" spans="66:84">
      <c r="BN3299" s="4"/>
      <c r="BO3299" s="4"/>
      <c r="BQ3299" s="4"/>
      <c r="CC3299" s="4"/>
      <c r="CD3299" s="4"/>
      <c r="CF3299" s="4"/>
    </row>
    <row r="3300" spans="66:84">
      <c r="BN3300" s="4"/>
      <c r="BO3300" s="4"/>
      <c r="BQ3300" s="4"/>
      <c r="CC3300" s="4"/>
      <c r="CD3300" s="4"/>
      <c r="CF3300" s="4"/>
    </row>
    <row r="3301" spans="66:84">
      <c r="BN3301" s="4"/>
      <c r="BO3301" s="4"/>
      <c r="BQ3301" s="4"/>
      <c r="CC3301" s="4"/>
      <c r="CD3301" s="4"/>
      <c r="CF3301" s="4"/>
    </row>
    <row r="3302" spans="66:84">
      <c r="BN3302" s="4"/>
      <c r="BO3302" s="4"/>
      <c r="BQ3302" s="4"/>
      <c r="CC3302" s="4"/>
      <c r="CD3302" s="4"/>
      <c r="CF3302" s="4"/>
    </row>
    <row r="3303" spans="66:84">
      <c r="BN3303" s="4"/>
      <c r="BO3303" s="4"/>
      <c r="BQ3303" s="4"/>
      <c r="CC3303" s="4"/>
      <c r="CD3303" s="4"/>
      <c r="CF3303" s="4"/>
    </row>
    <row r="3304" spans="66:84">
      <c r="BN3304" s="4"/>
      <c r="BO3304" s="4"/>
      <c r="BQ3304" s="4"/>
      <c r="CC3304" s="4"/>
      <c r="CD3304" s="4"/>
      <c r="CF3304" s="4"/>
    </row>
    <row r="3305" spans="66:84">
      <c r="BN3305" s="4"/>
      <c r="BO3305" s="4"/>
      <c r="BQ3305" s="4"/>
      <c r="CC3305" s="4"/>
      <c r="CD3305" s="4"/>
      <c r="CF3305" s="4"/>
    </row>
    <row r="3306" spans="66:84">
      <c r="BN3306" s="4"/>
      <c r="BO3306" s="4"/>
      <c r="BQ3306" s="4"/>
      <c r="CC3306" s="4"/>
      <c r="CD3306" s="4"/>
      <c r="CF3306" s="4"/>
    </row>
    <row r="3307" spans="66:84">
      <c r="BN3307" s="4"/>
      <c r="BO3307" s="4"/>
      <c r="BQ3307" s="4"/>
      <c r="CC3307" s="4"/>
      <c r="CD3307" s="4"/>
      <c r="CF3307" s="4"/>
    </row>
    <row r="3308" spans="66:84">
      <c r="BN3308" s="4"/>
      <c r="BO3308" s="4"/>
      <c r="BQ3308" s="4"/>
      <c r="CC3308" s="4"/>
      <c r="CD3308" s="4"/>
      <c r="CF3308" s="4"/>
    </row>
    <row r="3309" spans="66:84">
      <c r="BN3309" s="4"/>
      <c r="BO3309" s="4"/>
      <c r="BQ3309" s="4"/>
      <c r="CC3309" s="4"/>
      <c r="CD3309" s="4"/>
      <c r="CF3309" s="4"/>
    </row>
    <row r="3310" spans="66:84">
      <c r="BN3310" s="4"/>
      <c r="BO3310" s="4"/>
      <c r="BQ3310" s="4"/>
      <c r="CC3310" s="4"/>
      <c r="CD3310" s="4"/>
      <c r="CF3310" s="4"/>
    </row>
    <row r="3311" spans="66:84">
      <c r="BN3311" s="4"/>
      <c r="BO3311" s="4"/>
      <c r="BQ3311" s="4"/>
      <c r="CC3311" s="4"/>
      <c r="CD3311" s="4"/>
      <c r="CF3311" s="4"/>
    </row>
    <row r="3312" spans="66:84">
      <c r="BN3312" s="4"/>
      <c r="BO3312" s="4"/>
      <c r="BQ3312" s="4"/>
      <c r="CC3312" s="4"/>
      <c r="CD3312" s="4"/>
      <c r="CF3312" s="4"/>
    </row>
    <row r="3313" spans="66:84">
      <c r="BN3313" s="4"/>
      <c r="BO3313" s="4"/>
      <c r="BQ3313" s="4"/>
      <c r="CC3313" s="4"/>
      <c r="CD3313" s="4"/>
      <c r="CF3313" s="4"/>
    </row>
    <row r="3314" spans="66:84">
      <c r="BN3314" s="4"/>
      <c r="BO3314" s="4"/>
      <c r="BQ3314" s="4"/>
      <c r="CC3314" s="4"/>
      <c r="CD3314" s="4"/>
      <c r="CF3314" s="4"/>
    </row>
    <row r="3315" spans="66:84">
      <c r="BN3315" s="4"/>
      <c r="BO3315" s="4"/>
      <c r="BQ3315" s="4"/>
      <c r="CC3315" s="4"/>
      <c r="CD3315" s="4"/>
      <c r="CF3315" s="4"/>
    </row>
    <row r="3316" spans="66:84">
      <c r="BN3316" s="4"/>
      <c r="BO3316" s="4"/>
      <c r="BQ3316" s="4"/>
      <c r="CC3316" s="4"/>
      <c r="CD3316" s="4"/>
      <c r="CF3316" s="4"/>
    </row>
    <row r="3317" spans="66:84">
      <c r="BN3317" s="4"/>
      <c r="BO3317" s="4"/>
      <c r="BQ3317" s="4"/>
      <c r="CC3317" s="4"/>
      <c r="CD3317" s="4"/>
      <c r="CF3317" s="4"/>
    </row>
    <row r="3318" spans="66:84">
      <c r="BN3318" s="4"/>
      <c r="BO3318" s="4"/>
      <c r="BQ3318" s="4"/>
      <c r="CC3318" s="4"/>
      <c r="CD3318" s="4"/>
      <c r="CF3318" s="4"/>
    </row>
    <row r="3319" spans="66:84">
      <c r="BN3319" s="4"/>
      <c r="BO3319" s="4"/>
      <c r="BQ3319" s="4"/>
      <c r="CC3319" s="4"/>
      <c r="CD3319" s="4"/>
      <c r="CF3319" s="4"/>
    </row>
    <row r="3320" spans="66:84">
      <c r="BN3320" s="4"/>
      <c r="BO3320" s="4"/>
      <c r="BQ3320" s="4"/>
      <c r="CC3320" s="4"/>
      <c r="CD3320" s="4"/>
      <c r="CF3320" s="4"/>
    </row>
    <row r="3321" spans="66:84">
      <c r="BN3321" s="4"/>
      <c r="BO3321" s="4"/>
      <c r="BQ3321" s="4"/>
      <c r="CC3321" s="4"/>
      <c r="CD3321" s="4"/>
      <c r="CF3321" s="4"/>
    </row>
    <row r="3322" spans="66:84">
      <c r="BN3322" s="4"/>
      <c r="BO3322" s="4"/>
      <c r="BQ3322" s="4"/>
      <c r="CC3322" s="4"/>
      <c r="CD3322" s="4"/>
      <c r="CF3322" s="4"/>
    </row>
    <row r="3323" spans="66:84">
      <c r="BN3323" s="4"/>
      <c r="BO3323" s="4"/>
      <c r="BQ3323" s="4"/>
      <c r="CC3323" s="4"/>
      <c r="CD3323" s="4"/>
      <c r="CF3323" s="4"/>
    </row>
    <row r="3324" spans="66:84">
      <c r="BN3324" s="4"/>
      <c r="BO3324" s="4"/>
      <c r="BQ3324" s="4"/>
      <c r="CC3324" s="4"/>
      <c r="CD3324" s="4"/>
      <c r="CF3324" s="4"/>
    </row>
    <row r="3325" spans="66:84">
      <c r="BN3325" s="4"/>
      <c r="BO3325" s="4"/>
      <c r="BQ3325" s="4"/>
      <c r="CC3325" s="4"/>
      <c r="CD3325" s="4"/>
      <c r="CF3325" s="4"/>
    </row>
    <row r="3326" spans="66:84">
      <c r="BN3326" s="4"/>
      <c r="BO3326" s="4"/>
      <c r="BQ3326" s="4"/>
      <c r="CC3326" s="4"/>
      <c r="CD3326" s="4"/>
      <c r="CF3326" s="4"/>
    </row>
    <row r="3327" spans="66:84">
      <c r="BN3327" s="4"/>
      <c r="BO3327" s="4"/>
      <c r="BQ3327" s="4"/>
      <c r="CC3327" s="4"/>
      <c r="CD3327" s="4"/>
      <c r="CF3327" s="4"/>
    </row>
    <row r="3328" spans="66:84">
      <c r="BN3328" s="4"/>
      <c r="BO3328" s="4"/>
      <c r="BQ3328" s="4"/>
      <c r="CC3328" s="4"/>
      <c r="CD3328" s="4"/>
      <c r="CF3328" s="4"/>
    </row>
    <row r="3329" spans="66:84">
      <c r="BN3329" s="4"/>
      <c r="BO3329" s="4"/>
      <c r="BQ3329" s="4"/>
      <c r="CC3329" s="4"/>
      <c r="CD3329" s="4"/>
      <c r="CF3329" s="4"/>
    </row>
    <row r="3330" spans="66:84">
      <c r="BN3330" s="4"/>
      <c r="BO3330" s="4"/>
      <c r="BQ3330" s="4"/>
      <c r="CC3330" s="4"/>
      <c r="CD3330" s="4"/>
      <c r="CF3330" s="4"/>
    </row>
    <row r="3331" spans="66:84">
      <c r="BN3331" s="4"/>
      <c r="BO3331" s="4"/>
      <c r="BQ3331" s="4"/>
      <c r="CC3331" s="4"/>
      <c r="CD3331" s="4"/>
      <c r="CF3331" s="4"/>
    </row>
    <row r="3332" spans="66:84">
      <c r="BN3332" s="4"/>
      <c r="BO3332" s="4"/>
      <c r="BQ3332" s="4"/>
      <c r="CC3332" s="4"/>
      <c r="CD3332" s="4"/>
      <c r="CF3332" s="4"/>
    </row>
    <row r="3333" spans="66:84">
      <c r="BN3333" s="4"/>
      <c r="BO3333" s="4"/>
      <c r="BQ3333" s="4"/>
      <c r="CC3333" s="4"/>
      <c r="CD3333" s="4"/>
      <c r="CF3333" s="4"/>
    </row>
    <row r="3334" spans="66:84">
      <c r="BN3334" s="4"/>
      <c r="BO3334" s="4"/>
      <c r="BQ3334" s="4"/>
      <c r="CC3334" s="4"/>
      <c r="CD3334" s="4"/>
      <c r="CF3334" s="4"/>
    </row>
    <row r="3335" spans="66:84">
      <c r="BN3335" s="4"/>
      <c r="BO3335" s="4"/>
      <c r="BQ3335" s="4"/>
      <c r="CC3335" s="4"/>
      <c r="CD3335" s="4"/>
      <c r="CF3335" s="4"/>
    </row>
    <row r="3336" spans="66:84">
      <c r="BN3336" s="4"/>
      <c r="BO3336" s="4"/>
      <c r="BQ3336" s="4"/>
      <c r="CC3336" s="4"/>
      <c r="CD3336" s="4"/>
      <c r="CF3336" s="4"/>
    </row>
    <row r="3337" spans="66:84">
      <c r="BN3337" s="4"/>
      <c r="BO3337" s="4"/>
      <c r="BQ3337" s="4"/>
      <c r="CC3337" s="4"/>
      <c r="CD3337" s="4"/>
      <c r="CF3337" s="4"/>
    </row>
    <row r="3338" spans="66:84">
      <c r="BN3338" s="4"/>
      <c r="BO3338" s="4"/>
      <c r="BQ3338" s="4"/>
      <c r="CC3338" s="4"/>
      <c r="CD3338" s="4"/>
      <c r="CF3338" s="4"/>
    </row>
    <row r="3339" spans="66:84">
      <c r="BN3339" s="4"/>
      <c r="BO3339" s="4"/>
      <c r="BQ3339" s="4"/>
      <c r="CC3339" s="4"/>
      <c r="CD3339" s="4"/>
      <c r="CF3339" s="4"/>
    </row>
    <row r="3340" spans="66:84">
      <c r="BN3340" s="4"/>
      <c r="BO3340" s="4"/>
      <c r="BQ3340" s="4"/>
      <c r="CC3340" s="4"/>
      <c r="CD3340" s="4"/>
      <c r="CF3340" s="4"/>
    </row>
    <row r="3341" spans="66:84">
      <c r="BN3341" s="4"/>
      <c r="BO3341" s="4"/>
      <c r="BQ3341" s="4"/>
      <c r="CC3341" s="4"/>
      <c r="CD3341" s="4"/>
      <c r="CF3341" s="4"/>
    </row>
    <row r="3342" spans="66:84">
      <c r="BN3342" s="4"/>
      <c r="BO3342" s="4"/>
      <c r="BQ3342" s="4"/>
      <c r="CC3342" s="4"/>
      <c r="CD3342" s="4"/>
      <c r="CF3342" s="4"/>
    </row>
    <row r="3343" spans="66:84">
      <c r="BN3343" s="4"/>
      <c r="BO3343" s="4"/>
      <c r="BQ3343" s="4"/>
      <c r="CC3343" s="4"/>
      <c r="CD3343" s="4"/>
      <c r="CF3343" s="4"/>
    </row>
    <row r="3344" spans="66:84">
      <c r="BN3344" s="4"/>
      <c r="BO3344" s="4"/>
      <c r="BQ3344" s="4"/>
      <c r="CC3344" s="4"/>
      <c r="CD3344" s="4"/>
      <c r="CF3344" s="4"/>
    </row>
    <row r="3345" spans="66:84">
      <c r="BN3345" s="4"/>
      <c r="BO3345" s="4"/>
      <c r="BQ3345" s="4"/>
      <c r="CC3345" s="4"/>
      <c r="CD3345" s="4"/>
      <c r="CF3345" s="4"/>
    </row>
    <row r="3346" spans="66:84">
      <c r="BN3346" s="4"/>
      <c r="BO3346" s="4"/>
      <c r="BQ3346" s="4"/>
      <c r="CC3346" s="4"/>
      <c r="CD3346" s="4"/>
      <c r="CF3346" s="4"/>
    </row>
    <row r="3347" spans="66:84">
      <c r="BN3347" s="4"/>
      <c r="BO3347" s="4"/>
      <c r="BQ3347" s="4"/>
      <c r="CC3347" s="4"/>
      <c r="CD3347" s="4"/>
      <c r="CF3347" s="4"/>
    </row>
    <row r="3348" spans="66:84">
      <c r="BN3348" s="4"/>
      <c r="BO3348" s="4"/>
      <c r="BQ3348" s="4"/>
      <c r="CC3348" s="4"/>
      <c r="CD3348" s="4"/>
      <c r="CF3348" s="4"/>
    </row>
    <row r="3349" spans="66:84">
      <c r="BN3349" s="4"/>
      <c r="BO3349" s="4"/>
      <c r="BQ3349" s="4"/>
      <c r="CC3349" s="4"/>
      <c r="CD3349" s="4"/>
      <c r="CF3349" s="4"/>
    </row>
    <row r="3350" spans="66:84">
      <c r="BN3350" s="4"/>
      <c r="BO3350" s="4"/>
      <c r="BQ3350" s="4"/>
      <c r="CC3350" s="4"/>
      <c r="CD3350" s="4"/>
      <c r="CF3350" s="4"/>
    </row>
    <row r="3351" spans="66:84">
      <c r="BN3351" s="4"/>
      <c r="BO3351" s="4"/>
      <c r="BQ3351" s="4"/>
      <c r="CC3351" s="4"/>
      <c r="CD3351" s="4"/>
      <c r="CF3351" s="4"/>
    </row>
    <row r="3352" spans="66:84">
      <c r="BN3352" s="4"/>
      <c r="BO3352" s="4"/>
      <c r="BQ3352" s="4"/>
      <c r="CC3352" s="4"/>
      <c r="CD3352" s="4"/>
      <c r="CF3352" s="4"/>
    </row>
    <row r="3353" spans="66:84">
      <c r="BN3353" s="4"/>
      <c r="BO3353" s="4"/>
      <c r="BQ3353" s="4"/>
      <c r="CC3353" s="4"/>
      <c r="CD3353" s="4"/>
      <c r="CF3353" s="4"/>
    </row>
    <row r="3354" spans="66:84">
      <c r="BN3354" s="4"/>
      <c r="BO3354" s="4"/>
      <c r="BQ3354" s="4"/>
      <c r="CC3354" s="4"/>
      <c r="CD3354" s="4"/>
      <c r="CF3354" s="4"/>
    </row>
    <row r="3355" spans="66:84">
      <c r="BN3355" s="4"/>
      <c r="BO3355" s="4"/>
      <c r="BQ3355" s="4"/>
      <c r="CC3355" s="4"/>
      <c r="CD3355" s="4"/>
      <c r="CF3355" s="4"/>
    </row>
    <row r="3356" spans="66:84">
      <c r="BN3356" s="4"/>
      <c r="BO3356" s="4"/>
      <c r="BQ3356" s="4"/>
      <c r="CC3356" s="4"/>
      <c r="CD3356" s="4"/>
      <c r="CF3356" s="4"/>
    </row>
    <row r="3357" spans="66:84">
      <c r="BN3357" s="4"/>
      <c r="BO3357" s="4"/>
      <c r="BQ3357" s="4"/>
      <c r="CC3357" s="4"/>
      <c r="CD3357" s="4"/>
      <c r="CF3357" s="4"/>
    </row>
    <row r="3358" spans="66:84">
      <c r="BN3358" s="4"/>
      <c r="BO3358" s="4"/>
      <c r="BQ3358" s="4"/>
      <c r="CC3358" s="4"/>
      <c r="CD3358" s="4"/>
      <c r="CF3358" s="4"/>
    </row>
    <row r="3359" spans="66:84">
      <c r="BN3359" s="4"/>
      <c r="BO3359" s="4"/>
      <c r="BQ3359" s="4"/>
      <c r="CC3359" s="4"/>
      <c r="CD3359" s="4"/>
      <c r="CF3359" s="4"/>
    </row>
    <row r="3360" spans="66:84">
      <c r="BN3360" s="4"/>
      <c r="BO3360" s="4"/>
      <c r="BQ3360" s="4"/>
      <c r="CC3360" s="4"/>
      <c r="CD3360" s="4"/>
      <c r="CF3360" s="4"/>
    </row>
    <row r="3361" spans="66:84">
      <c r="BN3361" s="4"/>
      <c r="BO3361" s="4"/>
      <c r="BQ3361" s="4"/>
      <c r="CC3361" s="4"/>
      <c r="CD3361" s="4"/>
      <c r="CF3361" s="4"/>
    </row>
    <row r="3362" spans="66:84">
      <c r="BN3362" s="4"/>
      <c r="BO3362" s="4"/>
      <c r="BQ3362" s="4"/>
      <c r="CC3362" s="4"/>
      <c r="CD3362" s="4"/>
      <c r="CF3362" s="4"/>
    </row>
    <row r="3363" spans="66:84">
      <c r="BN3363" s="4"/>
      <c r="BO3363" s="4"/>
      <c r="BQ3363" s="4"/>
      <c r="CC3363" s="4"/>
      <c r="CD3363" s="4"/>
      <c r="CF3363" s="4"/>
    </row>
    <row r="3364" spans="66:84">
      <c r="BN3364" s="4"/>
      <c r="BO3364" s="4"/>
      <c r="BQ3364" s="4"/>
      <c r="CC3364" s="4"/>
      <c r="CD3364" s="4"/>
      <c r="CF3364" s="4"/>
    </row>
    <row r="3365" spans="66:84">
      <c r="BN3365" s="4"/>
      <c r="BO3365" s="4"/>
      <c r="BQ3365" s="4"/>
      <c r="CC3365" s="4"/>
      <c r="CD3365" s="4"/>
      <c r="CF3365" s="4"/>
    </row>
    <row r="3366" spans="66:84">
      <c r="BN3366" s="4"/>
      <c r="BO3366" s="4"/>
      <c r="BQ3366" s="4"/>
      <c r="CC3366" s="4"/>
      <c r="CD3366" s="4"/>
      <c r="CF3366" s="4"/>
    </row>
    <row r="3367" spans="66:84">
      <c r="BN3367" s="4"/>
      <c r="BO3367" s="4"/>
      <c r="BQ3367" s="4"/>
      <c r="CC3367" s="4"/>
      <c r="CD3367" s="4"/>
      <c r="CF3367" s="4"/>
    </row>
    <row r="3368" spans="66:84">
      <c r="BN3368" s="4"/>
      <c r="BO3368" s="4"/>
      <c r="BQ3368" s="4"/>
      <c r="CC3368" s="4"/>
      <c r="CD3368" s="4"/>
      <c r="CF3368" s="4"/>
    </row>
    <row r="3369" spans="66:84">
      <c r="BN3369" s="4"/>
      <c r="BO3369" s="4"/>
      <c r="BQ3369" s="4"/>
      <c r="CC3369" s="4"/>
      <c r="CD3369" s="4"/>
      <c r="CF3369" s="4"/>
    </row>
    <row r="3370" spans="66:84">
      <c r="BN3370" s="4"/>
      <c r="BO3370" s="4"/>
      <c r="BQ3370" s="4"/>
      <c r="CC3370" s="4"/>
      <c r="CD3370" s="4"/>
      <c r="CF3370" s="4"/>
    </row>
    <row r="3371" spans="66:84">
      <c r="BN3371" s="4"/>
      <c r="BO3371" s="4"/>
      <c r="BQ3371" s="4"/>
      <c r="CC3371" s="4"/>
      <c r="CD3371" s="4"/>
      <c r="CF3371" s="4"/>
    </row>
    <row r="3372" spans="66:84">
      <c r="BN3372" s="4"/>
      <c r="BO3372" s="4"/>
      <c r="BQ3372" s="4"/>
      <c r="CC3372" s="4"/>
      <c r="CD3372" s="4"/>
      <c r="CF3372" s="4"/>
    </row>
    <row r="3373" spans="66:84">
      <c r="BN3373" s="4"/>
      <c r="BO3373" s="4"/>
      <c r="BQ3373" s="4"/>
      <c r="CC3373" s="4"/>
      <c r="CD3373" s="4"/>
      <c r="CF3373" s="4"/>
    </row>
    <row r="3374" spans="66:84">
      <c r="BN3374" s="4"/>
      <c r="BO3374" s="4"/>
      <c r="BQ3374" s="4"/>
      <c r="CC3374" s="4"/>
      <c r="CD3374" s="4"/>
      <c r="CF3374" s="4"/>
    </row>
    <row r="3375" spans="66:84">
      <c r="BN3375" s="4"/>
      <c r="BO3375" s="4"/>
      <c r="BQ3375" s="4"/>
      <c r="CC3375" s="4"/>
      <c r="CD3375" s="4"/>
      <c r="CF3375" s="4"/>
    </row>
    <row r="3376" spans="66:84">
      <c r="BN3376" s="4"/>
      <c r="BO3376" s="4"/>
      <c r="BQ3376" s="4"/>
      <c r="CC3376" s="4"/>
      <c r="CD3376" s="4"/>
      <c r="CF3376" s="4"/>
    </row>
    <row r="3377" spans="66:84">
      <c r="BN3377" s="4"/>
      <c r="BO3377" s="4"/>
      <c r="BQ3377" s="4"/>
      <c r="CC3377" s="4"/>
      <c r="CD3377" s="4"/>
      <c r="CF3377" s="4"/>
    </row>
    <row r="3378" spans="66:84">
      <c r="BN3378" s="4"/>
      <c r="BO3378" s="4"/>
      <c r="BQ3378" s="4"/>
      <c r="CC3378" s="4"/>
      <c r="CD3378" s="4"/>
      <c r="CF3378" s="4"/>
    </row>
    <row r="3379" spans="66:84">
      <c r="BN3379" s="4"/>
      <c r="BO3379" s="4"/>
      <c r="BQ3379" s="4"/>
      <c r="CC3379" s="4"/>
      <c r="CD3379" s="4"/>
      <c r="CF3379" s="4"/>
    </row>
    <row r="3380" spans="66:84">
      <c r="BN3380" s="4"/>
      <c r="BO3380" s="4"/>
      <c r="BQ3380" s="4"/>
      <c r="CC3380" s="4"/>
      <c r="CD3380" s="4"/>
      <c r="CF3380" s="4"/>
    </row>
    <row r="3381" spans="66:84">
      <c r="BN3381" s="4"/>
      <c r="BO3381" s="4"/>
      <c r="BQ3381" s="4"/>
      <c r="CC3381" s="4"/>
      <c r="CD3381" s="4"/>
      <c r="CF3381" s="4"/>
    </row>
    <row r="3382" spans="66:84">
      <c r="BN3382" s="4"/>
      <c r="BO3382" s="4"/>
      <c r="BQ3382" s="4"/>
      <c r="CC3382" s="4"/>
      <c r="CD3382" s="4"/>
      <c r="CF3382" s="4"/>
    </row>
    <row r="3383" spans="66:84">
      <c r="BN3383" s="4"/>
      <c r="BO3383" s="4"/>
      <c r="BQ3383" s="4"/>
      <c r="CC3383" s="4"/>
      <c r="CD3383" s="4"/>
      <c r="CF3383" s="4"/>
    </row>
    <row r="3384" spans="66:84">
      <c r="BN3384" s="4"/>
      <c r="BO3384" s="4"/>
      <c r="BQ3384" s="4"/>
      <c r="CC3384" s="4"/>
      <c r="CD3384" s="4"/>
      <c r="CF3384" s="4"/>
    </row>
    <row r="3385" spans="66:84">
      <c r="BN3385" s="4"/>
      <c r="BO3385" s="4"/>
      <c r="BQ3385" s="4"/>
      <c r="CC3385" s="4"/>
      <c r="CD3385" s="4"/>
      <c r="CF3385" s="4"/>
    </row>
    <row r="3386" spans="66:84">
      <c r="BN3386" s="4"/>
      <c r="BO3386" s="4"/>
      <c r="BQ3386" s="4"/>
      <c r="CC3386" s="4"/>
      <c r="CD3386" s="4"/>
      <c r="CF3386" s="4"/>
    </row>
    <row r="3387" spans="66:84">
      <c r="BN3387" s="4"/>
      <c r="BO3387" s="4"/>
      <c r="BQ3387" s="4"/>
      <c r="CC3387" s="4"/>
      <c r="CD3387" s="4"/>
      <c r="CF3387" s="4"/>
    </row>
    <row r="3388" spans="66:84">
      <c r="BN3388" s="4"/>
      <c r="BO3388" s="4"/>
      <c r="BQ3388" s="4"/>
      <c r="CC3388" s="4"/>
      <c r="CD3388" s="4"/>
      <c r="CF3388" s="4"/>
    </row>
    <row r="3389" spans="66:84">
      <c r="BN3389" s="4"/>
      <c r="BO3389" s="4"/>
      <c r="BQ3389" s="4"/>
      <c r="CC3389" s="4"/>
      <c r="CD3389" s="4"/>
      <c r="CF3389" s="4"/>
    </row>
    <row r="3390" spans="66:84">
      <c r="BN3390" s="4"/>
      <c r="BO3390" s="4"/>
      <c r="BQ3390" s="4"/>
      <c r="CC3390" s="4"/>
      <c r="CD3390" s="4"/>
      <c r="CF3390" s="4"/>
    </row>
    <row r="3391" spans="66:84">
      <c r="BN3391" s="4"/>
      <c r="BO3391" s="4"/>
      <c r="BQ3391" s="4"/>
      <c r="CC3391" s="4"/>
      <c r="CD3391" s="4"/>
      <c r="CF3391" s="4"/>
    </row>
    <row r="3392" spans="66:84">
      <c r="BN3392" s="4"/>
      <c r="BO3392" s="4"/>
      <c r="BQ3392" s="4"/>
      <c r="CC3392" s="4"/>
      <c r="CD3392" s="4"/>
      <c r="CF3392" s="4"/>
    </row>
    <row r="3393" spans="66:84">
      <c r="BN3393" s="4"/>
      <c r="BO3393" s="4"/>
      <c r="BQ3393" s="4"/>
      <c r="CC3393" s="4"/>
      <c r="CD3393" s="4"/>
      <c r="CF3393" s="4"/>
    </row>
    <row r="3394" spans="66:84">
      <c r="BN3394" s="4"/>
      <c r="BO3394" s="4"/>
      <c r="BQ3394" s="4"/>
      <c r="CC3394" s="4"/>
      <c r="CD3394" s="4"/>
      <c r="CF3394" s="4"/>
    </row>
    <row r="3395" spans="66:84">
      <c r="BN3395" s="4"/>
      <c r="BO3395" s="4"/>
      <c r="BQ3395" s="4"/>
      <c r="CC3395" s="4"/>
      <c r="CD3395" s="4"/>
      <c r="CF3395" s="4"/>
    </row>
    <row r="3396" spans="66:84">
      <c r="BN3396" s="4"/>
      <c r="BO3396" s="4"/>
      <c r="BQ3396" s="4"/>
      <c r="CC3396" s="4"/>
      <c r="CD3396" s="4"/>
      <c r="CF3396" s="4"/>
    </row>
    <row r="3397" spans="66:84">
      <c r="BN3397" s="4"/>
      <c r="BO3397" s="4"/>
      <c r="BQ3397" s="4"/>
      <c r="CC3397" s="4"/>
      <c r="CD3397" s="4"/>
      <c r="CF3397" s="4"/>
    </row>
    <row r="3398" spans="66:84">
      <c r="BN3398" s="4"/>
      <c r="BO3398" s="4"/>
      <c r="BQ3398" s="4"/>
      <c r="CC3398" s="4"/>
      <c r="CD3398" s="4"/>
      <c r="CF3398" s="4"/>
    </row>
    <row r="3399" spans="66:84">
      <c r="BN3399" s="4"/>
      <c r="BO3399" s="4"/>
      <c r="BQ3399" s="4"/>
      <c r="CC3399" s="4"/>
      <c r="CD3399" s="4"/>
      <c r="CF3399" s="4"/>
    </row>
    <row r="3400" spans="66:84">
      <c r="BN3400" s="4"/>
      <c r="BO3400" s="4"/>
      <c r="BQ3400" s="4"/>
      <c r="CC3400" s="4"/>
      <c r="CD3400" s="4"/>
      <c r="CF3400" s="4"/>
    </row>
    <row r="3401" spans="66:84">
      <c r="BN3401" s="4"/>
      <c r="BO3401" s="4"/>
      <c r="BQ3401" s="4"/>
      <c r="CC3401" s="4"/>
      <c r="CD3401" s="4"/>
      <c r="CF3401" s="4"/>
    </row>
    <row r="3402" spans="66:84">
      <c r="BN3402" s="4"/>
      <c r="BO3402" s="4"/>
      <c r="BQ3402" s="4"/>
      <c r="CC3402" s="4"/>
      <c r="CD3402" s="4"/>
      <c r="CF3402" s="4"/>
    </row>
    <row r="3403" spans="66:84">
      <c r="BN3403" s="4"/>
      <c r="BO3403" s="4"/>
      <c r="BQ3403" s="4"/>
      <c r="CC3403" s="4"/>
      <c r="CD3403" s="4"/>
      <c r="CF3403" s="4"/>
    </row>
    <row r="3404" spans="66:84">
      <c r="BN3404" s="4"/>
      <c r="BO3404" s="4"/>
      <c r="BQ3404" s="4"/>
      <c r="CC3404" s="4"/>
      <c r="CD3404" s="4"/>
      <c r="CF3404" s="4"/>
    </row>
    <row r="3405" spans="66:84">
      <c r="BN3405" s="4"/>
      <c r="BO3405" s="4"/>
      <c r="BQ3405" s="4"/>
      <c r="CC3405" s="4"/>
      <c r="CD3405" s="4"/>
      <c r="CF3405" s="4"/>
    </row>
    <row r="3406" spans="66:84">
      <c r="BN3406" s="4"/>
      <c r="BO3406" s="4"/>
      <c r="BQ3406" s="4"/>
      <c r="CC3406" s="4"/>
      <c r="CD3406" s="4"/>
      <c r="CF3406" s="4"/>
    </row>
    <row r="3407" spans="66:84">
      <c r="BN3407" s="4"/>
      <c r="BO3407" s="4"/>
      <c r="BQ3407" s="4"/>
      <c r="CC3407" s="4"/>
      <c r="CD3407" s="4"/>
      <c r="CF3407" s="4"/>
    </row>
    <row r="3408" spans="66:84">
      <c r="BN3408" s="4"/>
      <c r="BO3408" s="4"/>
      <c r="BQ3408" s="4"/>
      <c r="CC3408" s="4"/>
      <c r="CD3408" s="4"/>
      <c r="CF3408" s="4"/>
    </row>
    <row r="3409" spans="66:84">
      <c r="BN3409" s="4"/>
      <c r="BO3409" s="4"/>
      <c r="BQ3409" s="4"/>
      <c r="CC3409" s="4"/>
      <c r="CD3409" s="4"/>
      <c r="CF3409" s="4"/>
    </row>
    <row r="3410" spans="66:84">
      <c r="BN3410" s="4"/>
      <c r="BO3410" s="4"/>
      <c r="BQ3410" s="4"/>
      <c r="CC3410" s="4"/>
      <c r="CD3410" s="4"/>
      <c r="CF3410" s="4"/>
    </row>
    <row r="3411" spans="66:84">
      <c r="BN3411" s="4"/>
      <c r="BO3411" s="4"/>
      <c r="BQ3411" s="4"/>
      <c r="CC3411" s="4"/>
      <c r="CD3411" s="4"/>
      <c r="CF3411" s="4"/>
    </row>
    <row r="3412" spans="66:84">
      <c r="BN3412" s="4"/>
      <c r="BO3412" s="4"/>
      <c r="BQ3412" s="4"/>
      <c r="CC3412" s="4"/>
      <c r="CD3412" s="4"/>
      <c r="CF3412" s="4"/>
    </row>
    <row r="3413" spans="66:84">
      <c r="BN3413" s="4"/>
      <c r="BO3413" s="4"/>
      <c r="BQ3413" s="4"/>
      <c r="CC3413" s="4"/>
      <c r="CD3413" s="4"/>
      <c r="CF3413" s="4"/>
    </row>
    <row r="3414" spans="66:84">
      <c r="BN3414" s="4"/>
      <c r="BO3414" s="4"/>
      <c r="BQ3414" s="4"/>
      <c r="CC3414" s="4"/>
      <c r="CD3414" s="4"/>
      <c r="CF3414" s="4"/>
    </row>
    <row r="3415" spans="66:84">
      <c r="BN3415" s="4"/>
      <c r="BO3415" s="4"/>
      <c r="BQ3415" s="4"/>
      <c r="CC3415" s="4"/>
      <c r="CD3415" s="4"/>
      <c r="CF3415" s="4"/>
    </row>
    <row r="3416" spans="66:84">
      <c r="BN3416" s="4"/>
      <c r="BO3416" s="4"/>
      <c r="BQ3416" s="4"/>
      <c r="CC3416" s="4"/>
      <c r="CD3416" s="4"/>
      <c r="CF3416" s="4"/>
    </row>
    <row r="3417" spans="66:84">
      <c r="BN3417" s="4"/>
      <c r="BO3417" s="4"/>
      <c r="BQ3417" s="4"/>
      <c r="CC3417" s="4"/>
      <c r="CD3417" s="4"/>
      <c r="CF3417" s="4"/>
    </row>
    <row r="3418" spans="66:84">
      <c r="BN3418" s="4"/>
      <c r="BO3418" s="4"/>
      <c r="BQ3418" s="4"/>
      <c r="CC3418" s="4"/>
      <c r="CD3418" s="4"/>
      <c r="CF3418" s="4"/>
    </row>
    <row r="3419" spans="66:84">
      <c r="BN3419" s="4"/>
      <c r="BO3419" s="4"/>
      <c r="BQ3419" s="4"/>
      <c r="CC3419" s="4"/>
      <c r="CD3419" s="4"/>
      <c r="CF3419" s="4"/>
    </row>
    <row r="3420" spans="66:84">
      <c r="BN3420" s="4"/>
      <c r="BO3420" s="4"/>
      <c r="BQ3420" s="4"/>
      <c r="CC3420" s="4"/>
      <c r="CD3420" s="4"/>
      <c r="CF3420" s="4"/>
    </row>
    <row r="3421" spans="66:84">
      <c r="BN3421" s="4"/>
      <c r="BO3421" s="4"/>
      <c r="BQ3421" s="4"/>
      <c r="CC3421" s="4"/>
      <c r="CD3421" s="4"/>
      <c r="CF3421" s="4"/>
    </row>
    <row r="3422" spans="66:84">
      <c r="BN3422" s="4"/>
      <c r="BO3422" s="4"/>
      <c r="BQ3422" s="4"/>
      <c r="CC3422" s="4"/>
      <c r="CD3422" s="4"/>
      <c r="CF3422" s="4"/>
    </row>
    <row r="3423" spans="66:84">
      <c r="BN3423" s="4"/>
      <c r="BO3423" s="4"/>
      <c r="BQ3423" s="4"/>
      <c r="CC3423" s="4"/>
      <c r="CD3423" s="4"/>
      <c r="CF3423" s="4"/>
    </row>
    <row r="3424" spans="66:84">
      <c r="BN3424" s="4"/>
      <c r="BO3424" s="4"/>
      <c r="BQ3424" s="4"/>
      <c r="CC3424" s="4"/>
      <c r="CD3424" s="4"/>
      <c r="CF3424" s="4"/>
    </row>
    <row r="3425" spans="66:84">
      <c r="BN3425" s="4"/>
      <c r="BO3425" s="4"/>
      <c r="BQ3425" s="4"/>
      <c r="CC3425" s="4"/>
      <c r="CD3425" s="4"/>
      <c r="CF3425" s="4"/>
    </row>
    <row r="3426" spans="66:84">
      <c r="BN3426" s="4"/>
      <c r="BO3426" s="4"/>
      <c r="BQ3426" s="4"/>
      <c r="CC3426" s="4"/>
      <c r="CD3426" s="4"/>
      <c r="CF3426" s="4"/>
    </row>
    <row r="3427" spans="66:84">
      <c r="BN3427" s="4"/>
      <c r="BO3427" s="4"/>
      <c r="BQ3427" s="4"/>
      <c r="CC3427" s="4"/>
      <c r="CD3427" s="4"/>
      <c r="CF3427" s="4"/>
    </row>
    <row r="3428" spans="66:84">
      <c r="BN3428" s="4"/>
      <c r="BO3428" s="4"/>
      <c r="BQ3428" s="4"/>
      <c r="CC3428" s="4"/>
      <c r="CD3428" s="4"/>
      <c r="CF3428" s="4"/>
    </row>
    <row r="3429" spans="66:84">
      <c r="BN3429" s="4"/>
      <c r="BO3429" s="4"/>
      <c r="BQ3429" s="4"/>
      <c r="CC3429" s="4"/>
      <c r="CD3429" s="4"/>
      <c r="CF3429" s="4"/>
    </row>
    <row r="3430" spans="66:84">
      <c r="BN3430" s="4"/>
      <c r="BO3430" s="4"/>
      <c r="BQ3430" s="4"/>
      <c r="CC3430" s="4"/>
      <c r="CD3430" s="4"/>
      <c r="CF3430" s="4"/>
    </row>
    <row r="3431" spans="66:84">
      <c r="BN3431" s="4"/>
      <c r="BO3431" s="4"/>
      <c r="BQ3431" s="4"/>
      <c r="CC3431" s="4"/>
      <c r="CD3431" s="4"/>
      <c r="CF3431" s="4"/>
    </row>
    <row r="3432" spans="66:84">
      <c r="BN3432" s="4"/>
      <c r="BO3432" s="4"/>
      <c r="BQ3432" s="4"/>
      <c r="CC3432" s="4"/>
      <c r="CD3432" s="4"/>
      <c r="CF3432" s="4"/>
    </row>
    <row r="3433" spans="66:84">
      <c r="BN3433" s="4"/>
      <c r="BO3433" s="4"/>
      <c r="BQ3433" s="4"/>
      <c r="CC3433" s="4"/>
      <c r="CD3433" s="4"/>
      <c r="CF3433" s="4"/>
    </row>
    <row r="3434" spans="66:84">
      <c r="BN3434" s="4"/>
      <c r="BO3434" s="4"/>
      <c r="BQ3434" s="4"/>
      <c r="CC3434" s="4"/>
      <c r="CD3434" s="4"/>
      <c r="CF3434" s="4"/>
    </row>
    <row r="3435" spans="66:84">
      <c r="BN3435" s="4"/>
      <c r="BO3435" s="4"/>
      <c r="BQ3435" s="4"/>
      <c r="CC3435" s="4"/>
      <c r="CD3435" s="4"/>
      <c r="CF3435" s="4"/>
    </row>
    <row r="3436" spans="66:84">
      <c r="BN3436" s="4"/>
      <c r="BO3436" s="4"/>
      <c r="BQ3436" s="4"/>
      <c r="CC3436" s="4"/>
      <c r="CD3436" s="4"/>
      <c r="CF3436" s="4"/>
    </row>
    <row r="3437" spans="66:84">
      <c r="BN3437" s="4"/>
      <c r="BO3437" s="4"/>
      <c r="BQ3437" s="4"/>
      <c r="CC3437" s="4"/>
      <c r="CD3437" s="4"/>
      <c r="CF3437" s="4"/>
    </row>
    <row r="3438" spans="66:84">
      <c r="BN3438" s="4"/>
      <c r="BO3438" s="4"/>
      <c r="BQ3438" s="4"/>
      <c r="CC3438" s="4"/>
      <c r="CD3438" s="4"/>
      <c r="CF3438" s="4"/>
    </row>
    <row r="3439" spans="66:84">
      <c r="BN3439" s="4"/>
      <c r="BO3439" s="4"/>
      <c r="BQ3439" s="4"/>
      <c r="CC3439" s="4"/>
      <c r="CD3439" s="4"/>
      <c r="CF3439" s="4"/>
    </row>
    <row r="3440" spans="66:84">
      <c r="BN3440" s="4"/>
      <c r="BO3440" s="4"/>
      <c r="BQ3440" s="4"/>
      <c r="CC3440" s="4"/>
      <c r="CD3440" s="4"/>
      <c r="CF3440" s="4"/>
    </row>
    <row r="3441" spans="66:84">
      <c r="BN3441" s="4"/>
      <c r="BO3441" s="4"/>
      <c r="BQ3441" s="4"/>
      <c r="CC3441" s="4"/>
      <c r="CD3441" s="4"/>
      <c r="CF3441" s="4"/>
    </row>
    <row r="3442" spans="66:84">
      <c r="BN3442" s="4"/>
      <c r="BO3442" s="4"/>
      <c r="BQ3442" s="4"/>
      <c r="CC3442" s="4"/>
      <c r="CD3442" s="4"/>
      <c r="CF3442" s="4"/>
    </row>
    <row r="3443" spans="66:84">
      <c r="BN3443" s="4"/>
      <c r="BO3443" s="4"/>
      <c r="BQ3443" s="4"/>
      <c r="CC3443" s="4"/>
      <c r="CD3443" s="4"/>
      <c r="CF3443" s="4"/>
    </row>
    <row r="3444" spans="66:84">
      <c r="BN3444" s="4"/>
      <c r="BO3444" s="4"/>
      <c r="BQ3444" s="4"/>
      <c r="CC3444" s="4"/>
      <c r="CD3444" s="4"/>
      <c r="CF3444" s="4"/>
    </row>
    <row r="3445" spans="66:84">
      <c r="BN3445" s="4"/>
      <c r="BO3445" s="4"/>
      <c r="BQ3445" s="4"/>
      <c r="CC3445" s="4"/>
      <c r="CD3445" s="4"/>
      <c r="CF3445" s="4"/>
    </row>
    <row r="3446" spans="66:84">
      <c r="BN3446" s="4"/>
      <c r="BO3446" s="4"/>
      <c r="BQ3446" s="4"/>
      <c r="CC3446" s="4"/>
      <c r="CD3446" s="4"/>
      <c r="CF3446" s="4"/>
    </row>
    <row r="3447" spans="66:84">
      <c r="BN3447" s="4"/>
      <c r="BO3447" s="4"/>
      <c r="BQ3447" s="4"/>
      <c r="CC3447" s="4"/>
      <c r="CD3447" s="4"/>
      <c r="CF3447" s="4"/>
    </row>
    <row r="3448" spans="66:84">
      <c r="BN3448" s="4"/>
      <c r="BO3448" s="4"/>
      <c r="BQ3448" s="4"/>
      <c r="CC3448" s="4"/>
      <c r="CD3448" s="4"/>
      <c r="CF3448" s="4"/>
    </row>
    <row r="3449" spans="66:84">
      <c r="BN3449" s="4"/>
      <c r="BO3449" s="4"/>
      <c r="BQ3449" s="4"/>
      <c r="CC3449" s="4"/>
      <c r="CD3449" s="4"/>
      <c r="CF3449" s="4"/>
    </row>
    <row r="3450" spans="66:84">
      <c r="BN3450" s="4"/>
      <c r="BO3450" s="4"/>
      <c r="BQ3450" s="4"/>
      <c r="CC3450" s="4"/>
      <c r="CD3450" s="4"/>
      <c r="CF3450" s="4"/>
    </row>
    <row r="3451" spans="66:84">
      <c r="BN3451" s="4"/>
      <c r="BO3451" s="4"/>
      <c r="BQ3451" s="4"/>
      <c r="CC3451" s="4"/>
      <c r="CD3451" s="4"/>
      <c r="CF3451" s="4"/>
    </row>
    <row r="3452" spans="66:84">
      <c r="BN3452" s="4"/>
      <c r="BO3452" s="4"/>
      <c r="BQ3452" s="4"/>
      <c r="CC3452" s="4"/>
      <c r="CD3452" s="4"/>
      <c r="CF3452" s="4"/>
    </row>
    <row r="3453" spans="66:84">
      <c r="BN3453" s="4"/>
      <c r="BO3453" s="4"/>
      <c r="BQ3453" s="4"/>
      <c r="CC3453" s="4"/>
      <c r="CD3453" s="4"/>
      <c r="CF3453" s="4"/>
    </row>
    <row r="3454" spans="66:84">
      <c r="BN3454" s="4"/>
      <c r="BO3454" s="4"/>
      <c r="BQ3454" s="4"/>
      <c r="CC3454" s="4"/>
      <c r="CD3454" s="4"/>
      <c r="CF3454" s="4"/>
    </row>
    <row r="3455" spans="66:84">
      <c r="BN3455" s="4"/>
      <c r="BO3455" s="4"/>
      <c r="BQ3455" s="4"/>
      <c r="CC3455" s="4"/>
      <c r="CD3455" s="4"/>
      <c r="CF3455" s="4"/>
    </row>
    <row r="3456" spans="66:84">
      <c r="BN3456" s="4"/>
      <c r="BO3456" s="4"/>
      <c r="BQ3456" s="4"/>
      <c r="CC3456" s="4"/>
      <c r="CD3456" s="4"/>
      <c r="CF3456" s="4"/>
    </row>
    <row r="3457" spans="66:84">
      <c r="BN3457" s="4"/>
      <c r="BO3457" s="4"/>
      <c r="BQ3457" s="4"/>
      <c r="CC3457" s="4"/>
      <c r="CD3457" s="4"/>
      <c r="CF3457" s="4"/>
    </row>
    <row r="3458" spans="66:84">
      <c r="BN3458" s="4"/>
      <c r="BO3458" s="4"/>
      <c r="BQ3458" s="4"/>
      <c r="CC3458" s="4"/>
      <c r="CD3458" s="4"/>
      <c r="CF3458" s="4"/>
    </row>
    <row r="3459" spans="66:84">
      <c r="BN3459" s="4"/>
      <c r="BO3459" s="4"/>
      <c r="BQ3459" s="4"/>
      <c r="CC3459" s="4"/>
      <c r="CD3459" s="4"/>
      <c r="CF3459" s="4"/>
    </row>
    <row r="3460" spans="66:84">
      <c r="BN3460" s="4"/>
      <c r="BO3460" s="4"/>
      <c r="BQ3460" s="4"/>
      <c r="CC3460" s="4"/>
      <c r="CD3460" s="4"/>
      <c r="CF3460" s="4"/>
    </row>
    <row r="3461" spans="66:84">
      <c r="BN3461" s="4"/>
      <c r="BO3461" s="4"/>
      <c r="BQ3461" s="4"/>
      <c r="CC3461" s="4"/>
      <c r="CD3461" s="4"/>
      <c r="CF3461" s="4"/>
    </row>
    <row r="3462" spans="66:84">
      <c r="BN3462" s="4"/>
      <c r="BO3462" s="4"/>
      <c r="BQ3462" s="4"/>
      <c r="CC3462" s="4"/>
      <c r="CD3462" s="4"/>
      <c r="CF3462" s="4"/>
    </row>
    <row r="3463" spans="66:84">
      <c r="BN3463" s="4"/>
      <c r="BO3463" s="4"/>
      <c r="BQ3463" s="4"/>
      <c r="CC3463" s="4"/>
      <c r="CD3463" s="4"/>
      <c r="CF3463" s="4"/>
    </row>
    <row r="3464" spans="66:84">
      <c r="BN3464" s="4"/>
      <c r="BO3464" s="4"/>
      <c r="BQ3464" s="4"/>
      <c r="CC3464" s="4"/>
      <c r="CD3464" s="4"/>
      <c r="CF3464" s="4"/>
    </row>
    <row r="3465" spans="66:84">
      <c r="BN3465" s="4"/>
      <c r="BO3465" s="4"/>
      <c r="BQ3465" s="4"/>
      <c r="CC3465" s="4"/>
      <c r="CD3465" s="4"/>
      <c r="CF3465" s="4"/>
    </row>
    <row r="3466" spans="66:84">
      <c r="BN3466" s="4"/>
      <c r="BO3466" s="4"/>
      <c r="BQ3466" s="4"/>
      <c r="CC3466" s="4"/>
      <c r="CD3466" s="4"/>
      <c r="CF3466" s="4"/>
    </row>
    <row r="3467" spans="66:84">
      <c r="BN3467" s="4"/>
      <c r="BO3467" s="4"/>
      <c r="BQ3467" s="4"/>
      <c r="CC3467" s="4"/>
      <c r="CD3467" s="4"/>
      <c r="CF3467" s="4"/>
    </row>
    <row r="3468" spans="66:84">
      <c r="BN3468" s="4"/>
      <c r="BO3468" s="4"/>
      <c r="BQ3468" s="4"/>
      <c r="CC3468" s="4"/>
      <c r="CD3468" s="4"/>
      <c r="CF3468" s="4"/>
    </row>
    <row r="3469" spans="66:84">
      <c r="BN3469" s="4"/>
      <c r="BO3469" s="4"/>
      <c r="BQ3469" s="4"/>
      <c r="CC3469" s="4"/>
      <c r="CD3469" s="4"/>
      <c r="CF3469" s="4"/>
    </row>
    <row r="3470" spans="66:84">
      <c r="BN3470" s="4"/>
      <c r="BO3470" s="4"/>
      <c r="BQ3470" s="4"/>
      <c r="CC3470" s="4"/>
      <c r="CD3470" s="4"/>
      <c r="CF3470" s="4"/>
    </row>
    <row r="3471" spans="66:84">
      <c r="BN3471" s="4"/>
      <c r="BO3471" s="4"/>
      <c r="BQ3471" s="4"/>
      <c r="CC3471" s="4"/>
      <c r="CD3471" s="4"/>
      <c r="CF3471" s="4"/>
    </row>
    <row r="3472" spans="66:84">
      <c r="BN3472" s="4"/>
      <c r="BO3472" s="4"/>
      <c r="BQ3472" s="4"/>
      <c r="CC3472" s="4"/>
      <c r="CD3472" s="4"/>
      <c r="CF3472" s="4"/>
    </row>
    <row r="3473" spans="66:84">
      <c r="BN3473" s="4"/>
      <c r="BO3473" s="4"/>
      <c r="BQ3473" s="4"/>
      <c r="CC3473" s="4"/>
      <c r="CD3473" s="4"/>
      <c r="CF3473" s="4"/>
    </row>
    <row r="3474" spans="66:84">
      <c r="BN3474" s="4"/>
      <c r="BO3474" s="4"/>
      <c r="BQ3474" s="4"/>
      <c r="CC3474" s="4"/>
      <c r="CD3474" s="4"/>
      <c r="CF3474" s="4"/>
    </row>
    <row r="3475" spans="66:84">
      <c r="BN3475" s="4"/>
      <c r="BO3475" s="4"/>
      <c r="BQ3475" s="4"/>
      <c r="CC3475" s="4"/>
      <c r="CD3475" s="4"/>
      <c r="CF3475" s="4"/>
    </row>
    <row r="3476" spans="66:84">
      <c r="BN3476" s="4"/>
      <c r="BO3476" s="4"/>
      <c r="BQ3476" s="4"/>
      <c r="CC3476" s="4"/>
      <c r="CD3476" s="4"/>
      <c r="CF3476" s="4"/>
    </row>
    <row r="3477" spans="66:84">
      <c r="BN3477" s="4"/>
      <c r="BO3477" s="4"/>
      <c r="BQ3477" s="4"/>
      <c r="CC3477" s="4"/>
      <c r="CD3477" s="4"/>
      <c r="CF3477" s="4"/>
    </row>
    <row r="3478" spans="66:84">
      <c r="BN3478" s="4"/>
      <c r="BO3478" s="4"/>
      <c r="BQ3478" s="4"/>
      <c r="CC3478" s="4"/>
      <c r="CD3478" s="4"/>
      <c r="CF3478" s="4"/>
    </row>
    <row r="3479" spans="66:84">
      <c r="BN3479" s="4"/>
      <c r="BO3479" s="4"/>
      <c r="BQ3479" s="4"/>
      <c r="CC3479" s="4"/>
      <c r="CD3479" s="4"/>
      <c r="CF3479" s="4"/>
    </row>
    <row r="3480" spans="66:84">
      <c r="BN3480" s="4"/>
      <c r="BO3480" s="4"/>
      <c r="BQ3480" s="4"/>
      <c r="CC3480" s="4"/>
      <c r="CD3480" s="4"/>
      <c r="CF3480" s="4"/>
    </row>
    <row r="3481" spans="66:84">
      <c r="BN3481" s="4"/>
      <c r="BO3481" s="4"/>
      <c r="BQ3481" s="4"/>
      <c r="CC3481" s="4"/>
      <c r="CD3481" s="4"/>
      <c r="CF3481" s="4"/>
    </row>
    <row r="3482" spans="66:84">
      <c r="BN3482" s="4"/>
      <c r="BO3482" s="4"/>
      <c r="BQ3482" s="4"/>
      <c r="CC3482" s="4"/>
      <c r="CD3482" s="4"/>
      <c r="CF3482" s="4"/>
    </row>
    <row r="3483" spans="66:84">
      <c r="BN3483" s="4"/>
      <c r="BO3483" s="4"/>
      <c r="BQ3483" s="4"/>
      <c r="CC3483" s="4"/>
      <c r="CD3483" s="4"/>
      <c r="CF3483" s="4"/>
    </row>
    <row r="3484" spans="66:84">
      <c r="BN3484" s="4"/>
      <c r="BO3484" s="4"/>
      <c r="BQ3484" s="4"/>
      <c r="CC3484" s="4"/>
      <c r="CD3484" s="4"/>
      <c r="CF3484" s="4"/>
    </row>
    <row r="3485" spans="66:84">
      <c r="BN3485" s="4"/>
      <c r="BO3485" s="4"/>
      <c r="BQ3485" s="4"/>
      <c r="CC3485" s="4"/>
      <c r="CD3485" s="4"/>
      <c r="CF3485" s="4"/>
    </row>
    <row r="3486" spans="66:84">
      <c r="BN3486" s="4"/>
      <c r="BO3486" s="4"/>
      <c r="BQ3486" s="4"/>
      <c r="CC3486" s="4"/>
      <c r="CD3486" s="4"/>
      <c r="CF3486" s="4"/>
    </row>
    <row r="3487" spans="66:84">
      <c r="BN3487" s="4"/>
      <c r="BO3487" s="4"/>
      <c r="BQ3487" s="4"/>
      <c r="CC3487" s="4"/>
      <c r="CD3487" s="4"/>
      <c r="CF3487" s="4"/>
    </row>
    <row r="3488" spans="66:84">
      <c r="BN3488" s="4"/>
      <c r="BO3488" s="4"/>
      <c r="BQ3488" s="4"/>
      <c r="CC3488" s="4"/>
      <c r="CD3488" s="4"/>
      <c r="CF3488" s="4"/>
    </row>
    <row r="3489" spans="66:84">
      <c r="BN3489" s="4"/>
      <c r="BO3489" s="4"/>
      <c r="BQ3489" s="4"/>
      <c r="CC3489" s="4"/>
      <c r="CD3489" s="4"/>
      <c r="CF3489" s="4"/>
    </row>
    <row r="3490" spans="66:84">
      <c r="BN3490" s="4"/>
      <c r="BO3490" s="4"/>
      <c r="BQ3490" s="4"/>
      <c r="CC3490" s="4"/>
      <c r="CD3490" s="4"/>
      <c r="CF3490" s="4"/>
    </row>
    <row r="3491" spans="66:84">
      <c r="BN3491" s="4"/>
      <c r="BO3491" s="4"/>
      <c r="BQ3491" s="4"/>
      <c r="CC3491" s="4"/>
      <c r="CD3491" s="4"/>
      <c r="CF3491" s="4"/>
    </row>
    <row r="3492" spans="66:84">
      <c r="BN3492" s="4"/>
      <c r="BO3492" s="4"/>
      <c r="BQ3492" s="4"/>
      <c r="CC3492" s="4"/>
      <c r="CD3492" s="4"/>
      <c r="CF3492" s="4"/>
    </row>
    <row r="3493" spans="66:84">
      <c r="BN3493" s="4"/>
      <c r="BO3493" s="4"/>
      <c r="BQ3493" s="4"/>
      <c r="CC3493" s="4"/>
      <c r="CD3493" s="4"/>
      <c r="CF3493" s="4"/>
    </row>
    <row r="3494" spans="66:84">
      <c r="BN3494" s="4"/>
      <c r="BO3494" s="4"/>
      <c r="BQ3494" s="4"/>
      <c r="CC3494" s="4"/>
      <c r="CD3494" s="4"/>
      <c r="CF3494" s="4"/>
    </row>
    <row r="3495" spans="66:84">
      <c r="BN3495" s="4"/>
      <c r="BO3495" s="4"/>
      <c r="BQ3495" s="4"/>
      <c r="CC3495" s="4"/>
      <c r="CD3495" s="4"/>
      <c r="CF3495" s="4"/>
    </row>
    <row r="3496" spans="66:84">
      <c r="BN3496" s="4"/>
      <c r="BO3496" s="4"/>
      <c r="BQ3496" s="4"/>
      <c r="CC3496" s="4"/>
      <c r="CD3496" s="4"/>
      <c r="CF3496" s="4"/>
    </row>
    <row r="3497" spans="66:84">
      <c r="BN3497" s="4"/>
      <c r="BO3497" s="4"/>
      <c r="BQ3497" s="4"/>
      <c r="CC3497" s="4"/>
      <c r="CD3497" s="4"/>
      <c r="CF3497" s="4"/>
    </row>
    <row r="3498" spans="66:84">
      <c r="BN3498" s="4"/>
      <c r="BO3498" s="4"/>
      <c r="BQ3498" s="4"/>
      <c r="CC3498" s="4"/>
      <c r="CD3498" s="4"/>
      <c r="CF3498" s="4"/>
    </row>
    <row r="3499" spans="66:84">
      <c r="BN3499" s="4"/>
      <c r="BO3499" s="4"/>
      <c r="BQ3499" s="4"/>
      <c r="CC3499" s="4"/>
      <c r="CD3499" s="4"/>
      <c r="CF3499" s="4"/>
    </row>
    <row r="3500" spans="66:84">
      <c r="BN3500" s="4"/>
      <c r="BO3500" s="4"/>
      <c r="BQ3500" s="4"/>
      <c r="CC3500" s="4"/>
      <c r="CD3500" s="4"/>
      <c r="CF3500" s="4"/>
    </row>
    <row r="3501" spans="66:84">
      <c r="BN3501" s="4"/>
      <c r="BO3501" s="4"/>
      <c r="BQ3501" s="4"/>
      <c r="CC3501" s="4"/>
      <c r="CD3501" s="4"/>
      <c r="CF3501" s="4"/>
    </row>
    <row r="3502" spans="66:84">
      <c r="BN3502" s="4"/>
      <c r="BO3502" s="4"/>
      <c r="BQ3502" s="4"/>
      <c r="CC3502" s="4"/>
      <c r="CD3502" s="4"/>
      <c r="CF3502" s="4"/>
    </row>
    <row r="3503" spans="66:84">
      <c r="BN3503" s="4"/>
      <c r="BO3503" s="4"/>
      <c r="BQ3503" s="4"/>
      <c r="CC3503" s="4"/>
      <c r="CD3503" s="4"/>
      <c r="CF3503" s="4"/>
    </row>
    <row r="3504" spans="66:84">
      <c r="BN3504" s="4"/>
      <c r="BO3504" s="4"/>
      <c r="BQ3504" s="4"/>
      <c r="CC3504" s="4"/>
      <c r="CD3504" s="4"/>
      <c r="CF3504" s="4"/>
    </row>
    <row r="3505" spans="66:84">
      <c r="BN3505" s="4"/>
      <c r="BO3505" s="4"/>
      <c r="BQ3505" s="4"/>
      <c r="CC3505" s="4"/>
      <c r="CD3505" s="4"/>
      <c r="CF3505" s="4"/>
    </row>
    <row r="3506" spans="66:84">
      <c r="BN3506" s="4"/>
      <c r="BO3506" s="4"/>
      <c r="BQ3506" s="4"/>
      <c r="CC3506" s="4"/>
      <c r="CD3506" s="4"/>
      <c r="CF3506" s="4"/>
    </row>
    <row r="3507" spans="66:84">
      <c r="BN3507" s="4"/>
      <c r="BO3507" s="4"/>
      <c r="BQ3507" s="4"/>
      <c r="CC3507" s="4"/>
      <c r="CD3507" s="4"/>
      <c r="CF3507" s="4"/>
    </row>
    <row r="3508" spans="66:84">
      <c r="BN3508" s="4"/>
      <c r="BO3508" s="4"/>
      <c r="BQ3508" s="4"/>
      <c r="CC3508" s="4"/>
      <c r="CD3508" s="4"/>
      <c r="CF3508" s="4"/>
    </row>
    <row r="3509" spans="66:84">
      <c r="BN3509" s="4"/>
      <c r="BO3509" s="4"/>
      <c r="BQ3509" s="4"/>
      <c r="CC3509" s="4"/>
      <c r="CD3509" s="4"/>
      <c r="CF3509" s="4"/>
    </row>
    <row r="3510" spans="66:84">
      <c r="BN3510" s="4"/>
      <c r="BO3510" s="4"/>
      <c r="BQ3510" s="4"/>
      <c r="CC3510" s="4"/>
      <c r="CD3510" s="4"/>
      <c r="CF3510" s="4"/>
    </row>
    <row r="3511" spans="66:84">
      <c r="BN3511" s="4"/>
      <c r="BO3511" s="4"/>
      <c r="BQ3511" s="4"/>
      <c r="CC3511" s="4"/>
      <c r="CD3511" s="4"/>
      <c r="CF3511" s="4"/>
    </row>
    <row r="3512" spans="66:84">
      <c r="BN3512" s="4"/>
      <c r="BO3512" s="4"/>
      <c r="BQ3512" s="4"/>
      <c r="CC3512" s="4"/>
      <c r="CD3512" s="4"/>
      <c r="CF3512" s="4"/>
    </row>
    <row r="3513" spans="66:84">
      <c r="BN3513" s="4"/>
      <c r="BO3513" s="4"/>
      <c r="BQ3513" s="4"/>
      <c r="CC3513" s="4"/>
      <c r="CD3513" s="4"/>
      <c r="CF3513" s="4"/>
    </row>
    <row r="3514" spans="66:84">
      <c r="BN3514" s="4"/>
      <c r="BO3514" s="4"/>
      <c r="BQ3514" s="4"/>
      <c r="CC3514" s="4"/>
      <c r="CD3514" s="4"/>
      <c r="CF3514" s="4"/>
    </row>
    <row r="3515" spans="66:84">
      <c r="BN3515" s="4"/>
      <c r="BO3515" s="4"/>
      <c r="BQ3515" s="4"/>
      <c r="CC3515" s="4"/>
      <c r="CD3515" s="4"/>
      <c r="CF3515" s="4"/>
    </row>
    <row r="3516" spans="66:84">
      <c r="BN3516" s="4"/>
      <c r="BO3516" s="4"/>
      <c r="BQ3516" s="4"/>
      <c r="CC3516" s="4"/>
      <c r="CD3516" s="4"/>
      <c r="CF3516" s="4"/>
    </row>
    <row r="3517" spans="66:84">
      <c r="BN3517" s="4"/>
      <c r="BO3517" s="4"/>
      <c r="BQ3517" s="4"/>
      <c r="CC3517" s="4"/>
      <c r="CD3517" s="4"/>
      <c r="CF3517" s="4"/>
    </row>
    <row r="3518" spans="66:84">
      <c r="BN3518" s="4"/>
      <c r="BO3518" s="4"/>
      <c r="BQ3518" s="4"/>
      <c r="CC3518" s="4"/>
      <c r="CD3518" s="4"/>
      <c r="CF3518" s="4"/>
    </row>
    <row r="3519" spans="66:84">
      <c r="BN3519" s="4"/>
      <c r="BO3519" s="4"/>
      <c r="BQ3519" s="4"/>
      <c r="CC3519" s="4"/>
      <c r="CD3519" s="4"/>
      <c r="CF3519" s="4"/>
    </row>
    <row r="3520" spans="66:84">
      <c r="BN3520" s="4"/>
      <c r="BO3520" s="4"/>
      <c r="BQ3520" s="4"/>
      <c r="CC3520" s="4"/>
      <c r="CD3520" s="4"/>
      <c r="CF3520" s="4"/>
    </row>
    <row r="3521" spans="66:84">
      <c r="BN3521" s="4"/>
      <c r="BO3521" s="4"/>
      <c r="BQ3521" s="4"/>
      <c r="CC3521" s="4"/>
      <c r="CD3521" s="4"/>
      <c r="CF3521" s="4"/>
    </row>
    <row r="3522" spans="66:84">
      <c r="BN3522" s="4"/>
      <c r="BO3522" s="4"/>
      <c r="BQ3522" s="4"/>
      <c r="CC3522" s="4"/>
      <c r="CD3522" s="4"/>
      <c r="CF3522" s="4"/>
    </row>
    <row r="3523" spans="66:84">
      <c r="BN3523" s="4"/>
      <c r="BO3523" s="4"/>
      <c r="BQ3523" s="4"/>
      <c r="CC3523" s="4"/>
      <c r="CD3523" s="4"/>
      <c r="CF3523" s="4"/>
    </row>
    <row r="3524" spans="66:84">
      <c r="BN3524" s="4"/>
      <c r="BO3524" s="4"/>
      <c r="BQ3524" s="4"/>
      <c r="CC3524" s="4"/>
      <c r="CD3524" s="4"/>
      <c r="CF3524" s="4"/>
    </row>
    <row r="3525" spans="66:84">
      <c r="BN3525" s="4"/>
      <c r="BO3525" s="4"/>
      <c r="BQ3525" s="4"/>
      <c r="CC3525" s="4"/>
      <c r="CD3525" s="4"/>
      <c r="CF3525" s="4"/>
    </row>
    <row r="3526" spans="66:84">
      <c r="BN3526" s="4"/>
      <c r="BO3526" s="4"/>
      <c r="BQ3526" s="4"/>
      <c r="CC3526" s="4"/>
      <c r="CD3526" s="4"/>
      <c r="CF3526" s="4"/>
    </row>
    <row r="3527" spans="66:84">
      <c r="BN3527" s="4"/>
      <c r="BO3527" s="4"/>
      <c r="BQ3527" s="4"/>
      <c r="CC3527" s="4"/>
      <c r="CD3527" s="4"/>
      <c r="CF3527" s="4"/>
    </row>
    <row r="3528" spans="66:84">
      <c r="BN3528" s="4"/>
      <c r="BO3528" s="4"/>
      <c r="BQ3528" s="4"/>
      <c r="CC3528" s="4"/>
      <c r="CD3528" s="4"/>
      <c r="CF3528" s="4"/>
    </row>
    <row r="3529" spans="66:84">
      <c r="BN3529" s="4"/>
      <c r="BO3529" s="4"/>
      <c r="BQ3529" s="4"/>
      <c r="CC3529" s="4"/>
      <c r="CD3529" s="4"/>
      <c r="CF3529" s="4"/>
    </row>
    <row r="3530" spans="66:84">
      <c r="BN3530" s="4"/>
      <c r="BO3530" s="4"/>
      <c r="BQ3530" s="4"/>
      <c r="CC3530" s="4"/>
      <c r="CD3530" s="4"/>
      <c r="CF3530" s="4"/>
    </row>
    <row r="3531" spans="66:84">
      <c r="BN3531" s="4"/>
      <c r="BO3531" s="4"/>
      <c r="BQ3531" s="4"/>
      <c r="CC3531" s="4"/>
      <c r="CD3531" s="4"/>
      <c r="CF3531" s="4"/>
    </row>
    <row r="3532" spans="66:84">
      <c r="BN3532" s="4"/>
      <c r="BO3532" s="4"/>
      <c r="BQ3532" s="4"/>
      <c r="CC3532" s="4"/>
      <c r="CD3532" s="4"/>
      <c r="CF3532" s="4"/>
    </row>
    <row r="3533" spans="66:84">
      <c r="BN3533" s="4"/>
      <c r="BO3533" s="4"/>
      <c r="BQ3533" s="4"/>
      <c r="CC3533" s="4"/>
      <c r="CD3533" s="4"/>
      <c r="CF3533" s="4"/>
    </row>
    <row r="3534" spans="66:84">
      <c r="BN3534" s="4"/>
      <c r="BO3534" s="4"/>
      <c r="BQ3534" s="4"/>
      <c r="CC3534" s="4"/>
      <c r="CD3534" s="4"/>
      <c r="CF3534" s="4"/>
    </row>
    <row r="3535" spans="66:84">
      <c r="BN3535" s="4"/>
      <c r="BO3535" s="4"/>
      <c r="BQ3535" s="4"/>
      <c r="CC3535" s="4"/>
      <c r="CD3535" s="4"/>
      <c r="CF3535" s="4"/>
    </row>
    <row r="3536" spans="66:84">
      <c r="BN3536" s="4"/>
      <c r="BO3536" s="4"/>
      <c r="BQ3536" s="4"/>
      <c r="CC3536" s="4"/>
      <c r="CD3536" s="4"/>
      <c r="CF3536" s="4"/>
    </row>
    <row r="3537" spans="66:84">
      <c r="BN3537" s="4"/>
      <c r="BO3537" s="4"/>
      <c r="BQ3537" s="4"/>
      <c r="CC3537" s="4"/>
      <c r="CD3537" s="4"/>
      <c r="CF3537" s="4"/>
    </row>
    <row r="3538" spans="66:84">
      <c r="BN3538" s="4"/>
      <c r="BO3538" s="4"/>
      <c r="BQ3538" s="4"/>
      <c r="CC3538" s="4"/>
      <c r="CD3538" s="4"/>
      <c r="CF3538" s="4"/>
    </row>
    <row r="3539" spans="66:84">
      <c r="BN3539" s="4"/>
      <c r="BO3539" s="4"/>
      <c r="BQ3539" s="4"/>
      <c r="CC3539" s="4"/>
      <c r="CD3539" s="4"/>
      <c r="CF3539" s="4"/>
    </row>
    <row r="3540" spans="66:84">
      <c r="BN3540" s="4"/>
      <c r="BO3540" s="4"/>
      <c r="BQ3540" s="4"/>
      <c r="CC3540" s="4"/>
      <c r="CD3540" s="4"/>
      <c r="CF3540" s="4"/>
    </row>
    <row r="3541" spans="66:84">
      <c r="BN3541" s="4"/>
      <c r="BO3541" s="4"/>
      <c r="BQ3541" s="4"/>
      <c r="CC3541" s="4"/>
      <c r="CD3541" s="4"/>
      <c r="CF3541" s="4"/>
    </row>
    <row r="3542" spans="66:84">
      <c r="BN3542" s="4"/>
      <c r="BO3542" s="4"/>
      <c r="BQ3542" s="4"/>
      <c r="CC3542" s="4"/>
      <c r="CD3542" s="4"/>
      <c r="CF3542" s="4"/>
    </row>
    <row r="3543" spans="66:84">
      <c r="BN3543" s="4"/>
      <c r="BO3543" s="4"/>
      <c r="BQ3543" s="4"/>
      <c r="CC3543" s="4"/>
      <c r="CD3543" s="4"/>
      <c r="CF3543" s="4"/>
    </row>
    <row r="3544" spans="66:84">
      <c r="BN3544" s="4"/>
      <c r="BO3544" s="4"/>
      <c r="BQ3544" s="4"/>
      <c r="CC3544" s="4"/>
      <c r="CD3544" s="4"/>
      <c r="CF3544" s="4"/>
    </row>
    <row r="3545" spans="66:84">
      <c r="BN3545" s="4"/>
      <c r="BO3545" s="4"/>
      <c r="BQ3545" s="4"/>
      <c r="CC3545" s="4"/>
      <c r="CD3545" s="4"/>
      <c r="CF3545" s="4"/>
    </row>
    <row r="3546" spans="66:84">
      <c r="BN3546" s="4"/>
      <c r="BO3546" s="4"/>
      <c r="BQ3546" s="4"/>
      <c r="CC3546" s="4"/>
      <c r="CD3546" s="4"/>
      <c r="CF3546" s="4"/>
    </row>
    <row r="3547" spans="66:84">
      <c r="BN3547" s="4"/>
      <c r="BO3547" s="4"/>
      <c r="BQ3547" s="4"/>
      <c r="CC3547" s="4"/>
      <c r="CD3547" s="4"/>
      <c r="CF3547" s="4"/>
    </row>
    <row r="3548" spans="66:84">
      <c r="BN3548" s="4"/>
      <c r="BO3548" s="4"/>
      <c r="BQ3548" s="4"/>
      <c r="CC3548" s="4"/>
      <c r="CD3548" s="4"/>
      <c r="CF3548" s="4"/>
    </row>
    <row r="3549" spans="66:84">
      <c r="BN3549" s="4"/>
      <c r="BO3549" s="4"/>
      <c r="BQ3549" s="4"/>
      <c r="CC3549" s="4"/>
      <c r="CD3549" s="4"/>
      <c r="CF3549" s="4"/>
    </row>
    <row r="3550" spans="66:84">
      <c r="BN3550" s="4"/>
      <c r="BO3550" s="4"/>
      <c r="BQ3550" s="4"/>
      <c r="CC3550" s="4"/>
      <c r="CD3550" s="4"/>
      <c r="CF3550" s="4"/>
    </row>
    <row r="3551" spans="66:84">
      <c r="BN3551" s="4"/>
      <c r="BO3551" s="4"/>
      <c r="BQ3551" s="4"/>
      <c r="CC3551" s="4"/>
      <c r="CD3551" s="4"/>
      <c r="CF3551" s="4"/>
    </row>
    <row r="3552" spans="66:84">
      <c r="BN3552" s="4"/>
      <c r="BO3552" s="4"/>
      <c r="BQ3552" s="4"/>
      <c r="CC3552" s="4"/>
      <c r="CD3552" s="4"/>
      <c r="CF3552" s="4"/>
    </row>
    <row r="3553" spans="66:84">
      <c r="BN3553" s="4"/>
      <c r="BO3553" s="4"/>
      <c r="BQ3553" s="4"/>
      <c r="CC3553" s="4"/>
      <c r="CD3553" s="4"/>
      <c r="CF3553" s="4"/>
    </row>
    <row r="3554" spans="66:84">
      <c r="BN3554" s="4"/>
      <c r="BO3554" s="4"/>
      <c r="BQ3554" s="4"/>
      <c r="CC3554" s="4"/>
      <c r="CD3554" s="4"/>
      <c r="CF3554" s="4"/>
    </row>
    <row r="3555" spans="66:84">
      <c r="BN3555" s="4"/>
      <c r="BO3555" s="4"/>
      <c r="BQ3555" s="4"/>
      <c r="CC3555" s="4"/>
      <c r="CD3555" s="4"/>
      <c r="CF3555" s="4"/>
    </row>
    <row r="3556" spans="66:84">
      <c r="BN3556" s="4"/>
      <c r="BO3556" s="4"/>
      <c r="BQ3556" s="4"/>
      <c r="CC3556" s="4"/>
      <c r="CD3556" s="4"/>
      <c r="CF3556" s="4"/>
    </row>
    <row r="3557" spans="66:84">
      <c r="BN3557" s="4"/>
      <c r="BO3557" s="4"/>
      <c r="BQ3557" s="4"/>
      <c r="CC3557" s="4"/>
      <c r="CD3557" s="4"/>
      <c r="CF3557" s="4"/>
    </row>
    <row r="3558" spans="66:84">
      <c r="BN3558" s="4"/>
      <c r="BO3558" s="4"/>
      <c r="BQ3558" s="4"/>
      <c r="CC3558" s="4"/>
      <c r="CD3558" s="4"/>
      <c r="CF3558" s="4"/>
    </row>
    <row r="3559" spans="66:84">
      <c r="BN3559" s="4"/>
      <c r="BO3559" s="4"/>
      <c r="BQ3559" s="4"/>
      <c r="CC3559" s="4"/>
      <c r="CD3559" s="4"/>
      <c r="CF3559" s="4"/>
    </row>
    <row r="3560" spans="66:84">
      <c r="BN3560" s="4"/>
      <c r="BO3560" s="4"/>
      <c r="BQ3560" s="4"/>
      <c r="CC3560" s="4"/>
      <c r="CD3560" s="4"/>
      <c r="CF3560" s="4"/>
    </row>
    <row r="3561" spans="66:84">
      <c r="BN3561" s="4"/>
      <c r="BO3561" s="4"/>
      <c r="BQ3561" s="4"/>
      <c r="CC3561" s="4"/>
      <c r="CD3561" s="4"/>
      <c r="CF3561" s="4"/>
    </row>
    <row r="3562" spans="66:84">
      <c r="BN3562" s="4"/>
      <c r="BO3562" s="4"/>
      <c r="BQ3562" s="4"/>
      <c r="CC3562" s="4"/>
      <c r="CD3562" s="4"/>
      <c r="CF3562" s="4"/>
    </row>
    <row r="3563" spans="66:84">
      <c r="BN3563" s="4"/>
      <c r="BO3563" s="4"/>
      <c r="BQ3563" s="4"/>
      <c r="CC3563" s="4"/>
      <c r="CD3563" s="4"/>
      <c r="CF3563" s="4"/>
    </row>
    <row r="3564" spans="66:84">
      <c r="BN3564" s="4"/>
      <c r="BO3564" s="4"/>
      <c r="BQ3564" s="4"/>
      <c r="CC3564" s="4"/>
      <c r="CD3564" s="4"/>
      <c r="CF3564" s="4"/>
    </row>
    <row r="3565" spans="66:84">
      <c r="BN3565" s="4"/>
      <c r="BO3565" s="4"/>
      <c r="BQ3565" s="4"/>
      <c r="CC3565" s="4"/>
      <c r="CD3565" s="4"/>
      <c r="CF3565" s="4"/>
    </row>
    <row r="3566" spans="66:84">
      <c r="BN3566" s="4"/>
      <c r="BO3566" s="4"/>
      <c r="BQ3566" s="4"/>
      <c r="CC3566" s="4"/>
      <c r="CD3566" s="4"/>
      <c r="CF3566" s="4"/>
    </row>
    <row r="3567" spans="66:84">
      <c r="BN3567" s="4"/>
      <c r="BO3567" s="4"/>
      <c r="BQ3567" s="4"/>
      <c r="CC3567" s="4"/>
      <c r="CD3567" s="4"/>
      <c r="CF3567" s="4"/>
    </row>
    <row r="3568" spans="66:84">
      <c r="BN3568" s="4"/>
      <c r="BO3568" s="4"/>
      <c r="BQ3568" s="4"/>
      <c r="CC3568" s="4"/>
      <c r="CD3568" s="4"/>
      <c r="CF3568" s="4"/>
    </row>
    <row r="3569" spans="66:84">
      <c r="BN3569" s="4"/>
      <c r="BO3569" s="4"/>
      <c r="BQ3569" s="4"/>
      <c r="CC3569" s="4"/>
      <c r="CD3569" s="4"/>
      <c r="CF3569" s="4"/>
    </row>
    <row r="3570" spans="66:84">
      <c r="BN3570" s="4"/>
      <c r="BO3570" s="4"/>
      <c r="BQ3570" s="4"/>
      <c r="CC3570" s="4"/>
      <c r="CD3570" s="4"/>
      <c r="CF3570" s="4"/>
    </row>
    <row r="3571" spans="66:84">
      <c r="BN3571" s="4"/>
      <c r="BO3571" s="4"/>
      <c r="BQ3571" s="4"/>
      <c r="CC3571" s="4"/>
      <c r="CD3571" s="4"/>
      <c r="CF3571" s="4"/>
    </row>
    <row r="3572" spans="66:84">
      <c r="BN3572" s="4"/>
      <c r="BO3572" s="4"/>
      <c r="BQ3572" s="4"/>
      <c r="CC3572" s="4"/>
      <c r="CD3572" s="4"/>
      <c r="CF3572" s="4"/>
    </row>
    <row r="3573" spans="66:84">
      <c r="BN3573" s="4"/>
      <c r="BO3573" s="4"/>
      <c r="BQ3573" s="4"/>
      <c r="CC3573" s="4"/>
      <c r="CD3573" s="4"/>
      <c r="CF3573" s="4"/>
    </row>
    <row r="3574" spans="66:84">
      <c r="BN3574" s="4"/>
      <c r="BO3574" s="4"/>
      <c r="BQ3574" s="4"/>
      <c r="CC3574" s="4"/>
      <c r="CD3574" s="4"/>
      <c r="CF3574" s="4"/>
    </row>
    <row r="3575" spans="66:84">
      <c r="BN3575" s="4"/>
      <c r="BO3575" s="4"/>
      <c r="BQ3575" s="4"/>
      <c r="CC3575" s="4"/>
      <c r="CD3575" s="4"/>
      <c r="CF3575" s="4"/>
    </row>
    <row r="3576" spans="66:84">
      <c r="BN3576" s="4"/>
      <c r="BO3576" s="4"/>
      <c r="BQ3576" s="4"/>
      <c r="CC3576" s="4"/>
      <c r="CD3576" s="4"/>
      <c r="CF3576" s="4"/>
    </row>
    <row r="3577" spans="66:84">
      <c r="BN3577" s="4"/>
      <c r="BO3577" s="4"/>
      <c r="BQ3577" s="4"/>
      <c r="CC3577" s="4"/>
      <c r="CD3577" s="4"/>
      <c r="CF3577" s="4"/>
    </row>
    <row r="3578" spans="66:84">
      <c r="BN3578" s="4"/>
      <c r="BO3578" s="4"/>
      <c r="BQ3578" s="4"/>
      <c r="CC3578" s="4"/>
      <c r="CD3578" s="4"/>
      <c r="CF3578" s="4"/>
    </row>
    <row r="3579" spans="66:84">
      <c r="BN3579" s="4"/>
      <c r="BO3579" s="4"/>
      <c r="BQ3579" s="4"/>
      <c r="CC3579" s="4"/>
      <c r="CD3579" s="4"/>
      <c r="CF3579" s="4"/>
    </row>
    <row r="3580" spans="66:84">
      <c r="BN3580" s="4"/>
      <c r="BO3580" s="4"/>
      <c r="BQ3580" s="4"/>
      <c r="CC3580" s="4"/>
      <c r="CD3580" s="4"/>
      <c r="CF3580" s="4"/>
    </row>
    <row r="3581" spans="66:84">
      <c r="BN3581" s="4"/>
      <c r="BO3581" s="4"/>
      <c r="BQ3581" s="4"/>
      <c r="CC3581" s="4"/>
      <c r="CD3581" s="4"/>
      <c r="CF3581" s="4"/>
    </row>
    <row r="3582" spans="66:84">
      <c r="BN3582" s="4"/>
      <c r="BO3582" s="4"/>
      <c r="BQ3582" s="4"/>
      <c r="CC3582" s="4"/>
      <c r="CD3582" s="4"/>
      <c r="CF3582" s="4"/>
    </row>
    <row r="3583" spans="66:84">
      <c r="BN3583" s="4"/>
      <c r="BO3583" s="4"/>
      <c r="BQ3583" s="4"/>
      <c r="CC3583" s="4"/>
      <c r="CD3583" s="4"/>
      <c r="CF3583" s="4"/>
    </row>
    <row r="3584" spans="66:84">
      <c r="BN3584" s="4"/>
      <c r="BO3584" s="4"/>
      <c r="BQ3584" s="4"/>
      <c r="CC3584" s="4"/>
      <c r="CD3584" s="4"/>
      <c r="CF3584" s="4"/>
    </row>
    <row r="3585" spans="66:84">
      <c r="BN3585" s="4"/>
      <c r="BO3585" s="4"/>
      <c r="BQ3585" s="4"/>
      <c r="CC3585" s="4"/>
      <c r="CD3585" s="4"/>
      <c r="CF3585" s="4"/>
    </row>
    <row r="3586" spans="66:84">
      <c r="BN3586" s="4"/>
      <c r="BO3586" s="4"/>
      <c r="BQ3586" s="4"/>
      <c r="CC3586" s="4"/>
      <c r="CD3586" s="4"/>
      <c r="CF3586" s="4"/>
    </row>
    <row r="3587" spans="66:84">
      <c r="BN3587" s="4"/>
      <c r="BO3587" s="4"/>
      <c r="BQ3587" s="4"/>
      <c r="CC3587" s="4"/>
      <c r="CD3587" s="4"/>
      <c r="CF3587" s="4"/>
    </row>
    <row r="3588" spans="66:84">
      <c r="BN3588" s="4"/>
      <c r="BO3588" s="4"/>
      <c r="BQ3588" s="4"/>
      <c r="CC3588" s="4"/>
      <c r="CD3588" s="4"/>
      <c r="CF3588" s="4"/>
    </row>
    <row r="3589" spans="66:84">
      <c r="BN3589" s="4"/>
      <c r="BO3589" s="4"/>
      <c r="BQ3589" s="4"/>
      <c r="CC3589" s="4"/>
      <c r="CD3589" s="4"/>
      <c r="CF3589" s="4"/>
    </row>
    <row r="3590" spans="66:84">
      <c r="BN3590" s="4"/>
      <c r="BO3590" s="4"/>
      <c r="BQ3590" s="4"/>
      <c r="CC3590" s="4"/>
      <c r="CD3590" s="4"/>
      <c r="CF3590" s="4"/>
    </row>
    <row r="3591" spans="66:84">
      <c r="BN3591" s="4"/>
      <c r="BO3591" s="4"/>
      <c r="BQ3591" s="4"/>
      <c r="CC3591" s="4"/>
      <c r="CD3591" s="4"/>
      <c r="CF3591" s="4"/>
    </row>
    <row r="3592" spans="66:84">
      <c r="BN3592" s="4"/>
      <c r="BO3592" s="4"/>
      <c r="BQ3592" s="4"/>
      <c r="CC3592" s="4"/>
      <c r="CD3592" s="4"/>
      <c r="CF3592" s="4"/>
    </row>
    <row r="3593" spans="66:84">
      <c r="BN3593" s="4"/>
      <c r="BO3593" s="4"/>
      <c r="BQ3593" s="4"/>
      <c r="CC3593" s="4"/>
      <c r="CD3593" s="4"/>
      <c r="CF3593" s="4"/>
    </row>
    <row r="3594" spans="66:84">
      <c r="BN3594" s="4"/>
      <c r="BO3594" s="4"/>
      <c r="BQ3594" s="4"/>
      <c r="CC3594" s="4"/>
      <c r="CD3594" s="4"/>
      <c r="CF3594" s="4"/>
    </row>
    <row r="3595" spans="66:84">
      <c r="BN3595" s="4"/>
      <c r="BO3595" s="4"/>
      <c r="BQ3595" s="4"/>
      <c r="CC3595" s="4"/>
      <c r="CD3595" s="4"/>
      <c r="CF3595" s="4"/>
    </row>
    <row r="3596" spans="66:84">
      <c r="BN3596" s="4"/>
      <c r="BO3596" s="4"/>
      <c r="BQ3596" s="4"/>
      <c r="CC3596" s="4"/>
      <c r="CD3596" s="4"/>
      <c r="CF3596" s="4"/>
    </row>
    <row r="3597" spans="66:84">
      <c r="BN3597" s="4"/>
      <c r="BO3597" s="4"/>
      <c r="BQ3597" s="4"/>
      <c r="CC3597" s="4"/>
      <c r="CD3597" s="4"/>
      <c r="CF3597" s="4"/>
    </row>
    <row r="3598" spans="66:84">
      <c r="BN3598" s="4"/>
      <c r="BO3598" s="4"/>
      <c r="BQ3598" s="4"/>
      <c r="CC3598" s="4"/>
      <c r="CD3598" s="4"/>
      <c r="CF3598" s="4"/>
    </row>
    <row r="3599" spans="66:84">
      <c r="BN3599" s="4"/>
      <c r="BO3599" s="4"/>
      <c r="BQ3599" s="4"/>
      <c r="CC3599" s="4"/>
      <c r="CD3599" s="4"/>
      <c r="CF3599" s="4"/>
    </row>
    <row r="3600" spans="66:84">
      <c r="BN3600" s="4"/>
      <c r="BO3600" s="4"/>
      <c r="BQ3600" s="4"/>
      <c r="CC3600" s="4"/>
      <c r="CD3600" s="4"/>
      <c r="CF3600" s="4"/>
    </row>
    <row r="3601" spans="66:84">
      <c r="BN3601" s="4"/>
      <c r="BO3601" s="4"/>
      <c r="BQ3601" s="4"/>
      <c r="CC3601" s="4"/>
      <c r="CD3601" s="4"/>
      <c r="CF3601" s="4"/>
    </row>
    <row r="3602" spans="66:84">
      <c r="BN3602" s="4"/>
      <c r="BO3602" s="4"/>
      <c r="BQ3602" s="4"/>
      <c r="CC3602" s="4"/>
      <c r="CD3602" s="4"/>
      <c r="CF3602" s="4"/>
    </row>
    <row r="3603" spans="66:84">
      <c r="BN3603" s="4"/>
      <c r="BO3603" s="4"/>
      <c r="BQ3603" s="4"/>
      <c r="CC3603" s="4"/>
      <c r="CD3603" s="4"/>
      <c r="CF3603" s="4"/>
    </row>
    <row r="3604" spans="66:84">
      <c r="BN3604" s="4"/>
      <c r="BO3604" s="4"/>
      <c r="BQ3604" s="4"/>
      <c r="CC3604" s="4"/>
      <c r="CD3604" s="4"/>
      <c r="CF3604" s="4"/>
    </row>
    <row r="3605" spans="66:84">
      <c r="BN3605" s="4"/>
      <c r="BO3605" s="4"/>
      <c r="BQ3605" s="4"/>
      <c r="CC3605" s="4"/>
      <c r="CD3605" s="4"/>
      <c r="CF3605" s="4"/>
    </row>
    <row r="3606" spans="66:84">
      <c r="BN3606" s="4"/>
      <c r="BO3606" s="4"/>
      <c r="BQ3606" s="4"/>
      <c r="CC3606" s="4"/>
      <c r="CD3606" s="4"/>
      <c r="CF3606" s="4"/>
    </row>
    <row r="3607" spans="66:84">
      <c r="BN3607" s="4"/>
      <c r="BO3607" s="4"/>
      <c r="BQ3607" s="4"/>
      <c r="CC3607" s="4"/>
      <c r="CD3607" s="4"/>
      <c r="CF3607" s="4"/>
    </row>
    <row r="3608" spans="66:84">
      <c r="BN3608" s="4"/>
      <c r="BO3608" s="4"/>
      <c r="BQ3608" s="4"/>
      <c r="CC3608" s="4"/>
      <c r="CD3608" s="4"/>
      <c r="CF3608" s="4"/>
    </row>
    <row r="3609" spans="66:84">
      <c r="BN3609" s="4"/>
      <c r="BO3609" s="4"/>
      <c r="BQ3609" s="4"/>
      <c r="CC3609" s="4"/>
      <c r="CD3609" s="4"/>
      <c r="CF3609" s="4"/>
    </row>
    <row r="3610" spans="66:84">
      <c r="BN3610" s="4"/>
      <c r="BO3610" s="4"/>
      <c r="BQ3610" s="4"/>
      <c r="CC3610" s="4"/>
      <c r="CD3610" s="4"/>
      <c r="CF3610" s="4"/>
    </row>
    <row r="3611" spans="66:84">
      <c r="BN3611" s="4"/>
      <c r="BO3611" s="4"/>
      <c r="BQ3611" s="4"/>
      <c r="CC3611" s="4"/>
      <c r="CD3611" s="4"/>
      <c r="CF3611" s="4"/>
    </row>
    <row r="3612" spans="66:84">
      <c r="BN3612" s="4"/>
      <c r="BO3612" s="4"/>
      <c r="BQ3612" s="4"/>
      <c r="CC3612" s="4"/>
      <c r="CD3612" s="4"/>
      <c r="CF3612" s="4"/>
    </row>
    <row r="3613" spans="66:84">
      <c r="BN3613" s="4"/>
      <c r="BO3613" s="4"/>
      <c r="BQ3613" s="4"/>
      <c r="CC3613" s="4"/>
      <c r="CD3613" s="4"/>
      <c r="CF3613" s="4"/>
    </row>
    <row r="3614" spans="66:84">
      <c r="BN3614" s="4"/>
      <c r="BO3614" s="4"/>
      <c r="BQ3614" s="4"/>
      <c r="CC3614" s="4"/>
      <c r="CD3614" s="4"/>
      <c r="CF3614" s="4"/>
    </row>
    <row r="3615" spans="66:84">
      <c r="BN3615" s="4"/>
      <c r="BO3615" s="4"/>
      <c r="BQ3615" s="4"/>
      <c r="CC3615" s="4"/>
      <c r="CD3615" s="4"/>
      <c r="CF3615" s="4"/>
    </row>
    <row r="3616" spans="66:84">
      <c r="BN3616" s="4"/>
      <c r="BO3616" s="4"/>
      <c r="BQ3616" s="4"/>
      <c r="CC3616" s="4"/>
      <c r="CD3616" s="4"/>
      <c r="CF3616" s="4"/>
    </row>
    <row r="3617" spans="66:84">
      <c r="BN3617" s="4"/>
      <c r="BO3617" s="4"/>
      <c r="BQ3617" s="4"/>
      <c r="CC3617" s="4"/>
      <c r="CD3617" s="4"/>
      <c r="CF3617" s="4"/>
    </row>
    <row r="3618" spans="66:84">
      <c r="BN3618" s="4"/>
      <c r="BO3618" s="4"/>
      <c r="BQ3618" s="4"/>
      <c r="CC3618" s="4"/>
      <c r="CD3618" s="4"/>
      <c r="CF3618" s="4"/>
    </row>
    <row r="3619" spans="66:84">
      <c r="BN3619" s="4"/>
      <c r="BO3619" s="4"/>
      <c r="BQ3619" s="4"/>
      <c r="CC3619" s="4"/>
      <c r="CD3619" s="4"/>
      <c r="CF3619" s="4"/>
    </row>
    <row r="3620" spans="66:84">
      <c r="BN3620" s="4"/>
      <c r="BO3620" s="4"/>
      <c r="BQ3620" s="4"/>
      <c r="CC3620" s="4"/>
      <c r="CD3620" s="4"/>
      <c r="CF3620" s="4"/>
    </row>
    <row r="3621" spans="66:84">
      <c r="BN3621" s="4"/>
      <c r="BO3621" s="4"/>
      <c r="BQ3621" s="4"/>
      <c r="CC3621" s="4"/>
      <c r="CD3621" s="4"/>
      <c r="CF3621" s="4"/>
    </row>
    <row r="3622" spans="66:84">
      <c r="BN3622" s="4"/>
      <c r="BO3622" s="4"/>
      <c r="BQ3622" s="4"/>
      <c r="CC3622" s="4"/>
      <c r="CD3622" s="4"/>
      <c r="CF3622" s="4"/>
    </row>
    <row r="3623" spans="66:84">
      <c r="BN3623" s="4"/>
      <c r="BO3623" s="4"/>
      <c r="BQ3623" s="4"/>
      <c r="CC3623" s="4"/>
      <c r="CD3623" s="4"/>
      <c r="CF3623" s="4"/>
    </row>
    <row r="3624" spans="66:84">
      <c r="BN3624" s="4"/>
      <c r="BO3624" s="4"/>
      <c r="BQ3624" s="4"/>
      <c r="CC3624" s="4"/>
      <c r="CD3624" s="4"/>
      <c r="CF3624" s="4"/>
    </row>
    <row r="3625" spans="66:84">
      <c r="BN3625" s="4"/>
      <c r="BO3625" s="4"/>
      <c r="BQ3625" s="4"/>
      <c r="CC3625" s="4"/>
      <c r="CD3625" s="4"/>
      <c r="CF3625" s="4"/>
    </row>
    <row r="3626" spans="66:84">
      <c r="BN3626" s="4"/>
      <c r="BO3626" s="4"/>
      <c r="BQ3626" s="4"/>
      <c r="CC3626" s="4"/>
      <c r="CD3626" s="4"/>
      <c r="CF3626" s="4"/>
    </row>
    <row r="3627" spans="66:84">
      <c r="BN3627" s="4"/>
      <c r="BO3627" s="4"/>
      <c r="BQ3627" s="4"/>
      <c r="CC3627" s="4"/>
      <c r="CD3627" s="4"/>
      <c r="CF3627" s="4"/>
    </row>
    <row r="3628" spans="66:84">
      <c r="BN3628" s="4"/>
      <c r="BO3628" s="4"/>
      <c r="BQ3628" s="4"/>
      <c r="CC3628" s="4"/>
      <c r="CD3628" s="4"/>
      <c r="CF3628" s="4"/>
    </row>
    <row r="3629" spans="66:84">
      <c r="BN3629" s="4"/>
      <c r="BO3629" s="4"/>
      <c r="BQ3629" s="4"/>
      <c r="CC3629" s="4"/>
      <c r="CD3629" s="4"/>
      <c r="CF3629" s="4"/>
    </row>
    <row r="3630" spans="66:84">
      <c r="BN3630" s="4"/>
      <c r="BO3630" s="4"/>
      <c r="BQ3630" s="4"/>
      <c r="CC3630" s="4"/>
      <c r="CD3630" s="4"/>
      <c r="CF3630" s="4"/>
    </row>
    <row r="3631" spans="66:84">
      <c r="BN3631" s="4"/>
      <c r="BO3631" s="4"/>
      <c r="BQ3631" s="4"/>
      <c r="CC3631" s="4"/>
      <c r="CD3631" s="4"/>
      <c r="CF3631" s="4"/>
    </row>
    <row r="3632" spans="66:84">
      <c r="BN3632" s="4"/>
      <c r="BO3632" s="4"/>
      <c r="BQ3632" s="4"/>
      <c r="CC3632" s="4"/>
      <c r="CD3632" s="4"/>
      <c r="CF3632" s="4"/>
    </row>
    <row r="3633" spans="66:84">
      <c r="BN3633" s="4"/>
      <c r="BO3633" s="4"/>
      <c r="BQ3633" s="4"/>
      <c r="CC3633" s="4"/>
      <c r="CD3633" s="4"/>
      <c r="CF3633" s="4"/>
    </row>
    <row r="3634" spans="66:84">
      <c r="BN3634" s="4"/>
      <c r="BO3634" s="4"/>
      <c r="BQ3634" s="4"/>
      <c r="CC3634" s="4"/>
      <c r="CD3634" s="4"/>
      <c r="CF3634" s="4"/>
    </row>
    <row r="3635" spans="66:84">
      <c r="BN3635" s="4"/>
      <c r="BO3635" s="4"/>
      <c r="BQ3635" s="4"/>
      <c r="CC3635" s="4"/>
      <c r="CD3635" s="4"/>
      <c r="CF3635" s="4"/>
    </row>
    <row r="3636" spans="66:84">
      <c r="BN3636" s="4"/>
      <c r="BO3636" s="4"/>
      <c r="BQ3636" s="4"/>
      <c r="CC3636" s="4"/>
      <c r="CD3636" s="4"/>
      <c r="CF3636" s="4"/>
    </row>
    <row r="3637" spans="66:84">
      <c r="BN3637" s="4"/>
      <c r="BO3637" s="4"/>
      <c r="BQ3637" s="4"/>
      <c r="CC3637" s="4"/>
      <c r="CD3637" s="4"/>
      <c r="CF3637" s="4"/>
    </row>
    <row r="3638" spans="66:84">
      <c r="BN3638" s="4"/>
      <c r="BO3638" s="4"/>
      <c r="BQ3638" s="4"/>
      <c r="CC3638" s="4"/>
      <c r="CD3638" s="4"/>
      <c r="CF3638" s="4"/>
    </row>
    <row r="3639" spans="66:84">
      <c r="BN3639" s="4"/>
      <c r="BO3639" s="4"/>
      <c r="BQ3639" s="4"/>
      <c r="CC3639" s="4"/>
      <c r="CD3639" s="4"/>
      <c r="CF3639" s="4"/>
    </row>
    <row r="3640" spans="66:84">
      <c r="BN3640" s="4"/>
      <c r="BO3640" s="4"/>
      <c r="BQ3640" s="4"/>
      <c r="CC3640" s="4"/>
      <c r="CD3640" s="4"/>
      <c r="CF3640" s="4"/>
    </row>
    <row r="3641" spans="66:84">
      <c r="BN3641" s="4"/>
      <c r="BO3641" s="4"/>
      <c r="BQ3641" s="4"/>
      <c r="CC3641" s="4"/>
      <c r="CD3641" s="4"/>
      <c r="CF3641" s="4"/>
    </row>
    <row r="3642" spans="66:84">
      <c r="BN3642" s="4"/>
      <c r="BO3642" s="4"/>
      <c r="BQ3642" s="4"/>
      <c r="CC3642" s="4"/>
      <c r="CD3642" s="4"/>
      <c r="CF3642" s="4"/>
    </row>
    <row r="3643" spans="66:84">
      <c r="BN3643" s="4"/>
      <c r="BO3643" s="4"/>
      <c r="BQ3643" s="4"/>
      <c r="CC3643" s="4"/>
      <c r="CD3643" s="4"/>
      <c r="CF3643" s="4"/>
    </row>
    <row r="3644" spans="66:84">
      <c r="BN3644" s="4"/>
      <c r="BO3644" s="4"/>
      <c r="BQ3644" s="4"/>
      <c r="CC3644" s="4"/>
      <c r="CD3644" s="4"/>
      <c r="CF3644" s="4"/>
    </row>
    <row r="3645" spans="66:84">
      <c r="BN3645" s="4"/>
      <c r="BO3645" s="4"/>
      <c r="BQ3645" s="4"/>
      <c r="CC3645" s="4"/>
      <c r="CD3645" s="4"/>
      <c r="CF3645" s="4"/>
    </row>
    <row r="3646" spans="66:84">
      <c r="BN3646" s="4"/>
      <c r="BO3646" s="4"/>
      <c r="BQ3646" s="4"/>
      <c r="CC3646" s="4"/>
      <c r="CD3646" s="4"/>
      <c r="CF3646" s="4"/>
    </row>
    <row r="3647" spans="66:84">
      <c r="BN3647" s="4"/>
      <c r="BO3647" s="4"/>
      <c r="BQ3647" s="4"/>
      <c r="CC3647" s="4"/>
      <c r="CD3647" s="4"/>
      <c r="CF3647" s="4"/>
    </row>
    <row r="3648" spans="66:84">
      <c r="BN3648" s="4"/>
      <c r="BO3648" s="4"/>
      <c r="BQ3648" s="4"/>
      <c r="CC3648" s="4"/>
      <c r="CD3648" s="4"/>
      <c r="CF3648" s="4"/>
    </row>
    <row r="3649" spans="66:84">
      <c r="BN3649" s="4"/>
      <c r="BO3649" s="4"/>
      <c r="BQ3649" s="4"/>
      <c r="CC3649" s="4"/>
      <c r="CD3649" s="4"/>
      <c r="CF3649" s="4"/>
    </row>
    <row r="3650" spans="66:84">
      <c r="BN3650" s="4"/>
      <c r="BO3650" s="4"/>
      <c r="BQ3650" s="4"/>
      <c r="CC3650" s="4"/>
      <c r="CD3650" s="4"/>
      <c r="CF3650" s="4"/>
    </row>
    <row r="3651" spans="66:84">
      <c r="BN3651" s="4"/>
      <c r="BO3651" s="4"/>
      <c r="BQ3651" s="4"/>
      <c r="CC3651" s="4"/>
      <c r="CD3651" s="4"/>
      <c r="CF3651" s="4"/>
    </row>
    <row r="3652" spans="66:84">
      <c r="BN3652" s="4"/>
      <c r="BO3652" s="4"/>
      <c r="BQ3652" s="4"/>
      <c r="CC3652" s="4"/>
      <c r="CD3652" s="4"/>
      <c r="CF3652" s="4"/>
    </row>
    <row r="3653" spans="66:84">
      <c r="BN3653" s="4"/>
      <c r="BO3653" s="4"/>
      <c r="BQ3653" s="4"/>
      <c r="CC3653" s="4"/>
      <c r="CD3653" s="4"/>
      <c r="CF3653" s="4"/>
    </row>
    <row r="3654" spans="66:84">
      <c r="BN3654" s="4"/>
      <c r="BO3654" s="4"/>
      <c r="BQ3654" s="4"/>
      <c r="CC3654" s="4"/>
      <c r="CD3654" s="4"/>
      <c r="CF3654" s="4"/>
    </row>
    <row r="3655" spans="66:84">
      <c r="BN3655" s="4"/>
      <c r="BO3655" s="4"/>
      <c r="BQ3655" s="4"/>
      <c r="CC3655" s="4"/>
      <c r="CD3655" s="4"/>
      <c r="CF3655" s="4"/>
    </row>
    <row r="3656" spans="66:84">
      <c r="BN3656" s="4"/>
      <c r="BO3656" s="4"/>
      <c r="BQ3656" s="4"/>
      <c r="CC3656" s="4"/>
      <c r="CD3656" s="4"/>
      <c r="CF3656" s="4"/>
    </row>
    <row r="3657" spans="66:84">
      <c r="BN3657" s="4"/>
      <c r="BO3657" s="4"/>
      <c r="BQ3657" s="4"/>
      <c r="CC3657" s="4"/>
      <c r="CD3657" s="4"/>
      <c r="CF3657" s="4"/>
    </row>
    <row r="3658" spans="66:84">
      <c r="BN3658" s="4"/>
      <c r="BO3658" s="4"/>
      <c r="BQ3658" s="4"/>
      <c r="CC3658" s="4"/>
      <c r="CD3658" s="4"/>
      <c r="CF3658" s="4"/>
    </row>
    <row r="3659" spans="66:84">
      <c r="BN3659" s="4"/>
      <c r="BO3659" s="4"/>
      <c r="BQ3659" s="4"/>
      <c r="CC3659" s="4"/>
      <c r="CD3659" s="4"/>
      <c r="CF3659" s="4"/>
    </row>
    <row r="3660" spans="66:84">
      <c r="BN3660" s="4"/>
      <c r="BO3660" s="4"/>
      <c r="BQ3660" s="4"/>
      <c r="CC3660" s="4"/>
      <c r="CD3660" s="4"/>
      <c r="CF3660" s="4"/>
    </row>
    <row r="3661" spans="66:84">
      <c r="BN3661" s="4"/>
      <c r="BO3661" s="4"/>
      <c r="BQ3661" s="4"/>
      <c r="CC3661" s="4"/>
      <c r="CD3661" s="4"/>
      <c r="CF3661" s="4"/>
    </row>
    <row r="3662" spans="66:84">
      <c r="BN3662" s="4"/>
      <c r="BO3662" s="4"/>
      <c r="BQ3662" s="4"/>
      <c r="CC3662" s="4"/>
      <c r="CD3662" s="4"/>
      <c r="CF3662" s="4"/>
    </row>
    <row r="3663" spans="66:84">
      <c r="BN3663" s="4"/>
      <c r="BO3663" s="4"/>
      <c r="BQ3663" s="4"/>
      <c r="CC3663" s="4"/>
      <c r="CD3663" s="4"/>
      <c r="CF3663" s="4"/>
    </row>
    <row r="3664" spans="66:84">
      <c r="BN3664" s="4"/>
      <c r="BO3664" s="4"/>
      <c r="BQ3664" s="4"/>
      <c r="CC3664" s="4"/>
      <c r="CD3664" s="4"/>
      <c r="CF3664" s="4"/>
    </row>
    <row r="3665" spans="66:84">
      <c r="BN3665" s="4"/>
      <c r="BO3665" s="4"/>
      <c r="BQ3665" s="4"/>
      <c r="CC3665" s="4"/>
      <c r="CD3665" s="4"/>
      <c r="CF3665" s="4"/>
    </row>
    <row r="3666" spans="66:84">
      <c r="BN3666" s="4"/>
      <c r="BO3666" s="4"/>
      <c r="BQ3666" s="4"/>
      <c r="CC3666" s="4"/>
      <c r="CD3666" s="4"/>
      <c r="CF3666" s="4"/>
    </row>
    <row r="3667" spans="66:84">
      <c r="BN3667" s="4"/>
      <c r="BO3667" s="4"/>
      <c r="BQ3667" s="4"/>
      <c r="CC3667" s="4"/>
      <c r="CD3667" s="4"/>
      <c r="CF3667" s="4"/>
    </row>
    <row r="3668" spans="66:84">
      <c r="BN3668" s="4"/>
      <c r="BO3668" s="4"/>
      <c r="BQ3668" s="4"/>
      <c r="CC3668" s="4"/>
      <c r="CD3668" s="4"/>
      <c r="CF3668" s="4"/>
    </row>
    <row r="3669" spans="66:84">
      <c r="BN3669" s="4"/>
      <c r="BO3669" s="4"/>
      <c r="BQ3669" s="4"/>
      <c r="CC3669" s="4"/>
      <c r="CD3669" s="4"/>
      <c r="CF3669" s="4"/>
    </row>
    <row r="3670" spans="66:84">
      <c r="BN3670" s="4"/>
      <c r="BO3670" s="4"/>
      <c r="BQ3670" s="4"/>
      <c r="CC3670" s="4"/>
      <c r="CD3670" s="4"/>
      <c r="CF3670" s="4"/>
    </row>
    <row r="3671" spans="66:84">
      <c r="BN3671" s="4"/>
      <c r="BO3671" s="4"/>
      <c r="BQ3671" s="4"/>
      <c r="CC3671" s="4"/>
      <c r="CD3671" s="4"/>
      <c r="CF3671" s="4"/>
    </row>
    <row r="3672" spans="66:84">
      <c r="BN3672" s="4"/>
      <c r="BO3672" s="4"/>
      <c r="BQ3672" s="4"/>
      <c r="CC3672" s="4"/>
      <c r="CD3672" s="4"/>
      <c r="CF3672" s="4"/>
    </row>
    <row r="3673" spans="66:84">
      <c r="BN3673" s="4"/>
      <c r="BO3673" s="4"/>
      <c r="BQ3673" s="4"/>
      <c r="CC3673" s="4"/>
      <c r="CD3673" s="4"/>
      <c r="CF3673" s="4"/>
    </row>
    <row r="3674" spans="66:84">
      <c r="BN3674" s="4"/>
      <c r="BO3674" s="4"/>
      <c r="BQ3674" s="4"/>
      <c r="CC3674" s="4"/>
      <c r="CD3674" s="4"/>
      <c r="CF3674" s="4"/>
    </row>
    <row r="3675" spans="66:84">
      <c r="BN3675" s="4"/>
      <c r="BO3675" s="4"/>
      <c r="BQ3675" s="4"/>
      <c r="CC3675" s="4"/>
      <c r="CD3675" s="4"/>
      <c r="CF3675" s="4"/>
    </row>
    <row r="3676" spans="66:84">
      <c r="BN3676" s="4"/>
      <c r="BO3676" s="4"/>
      <c r="BQ3676" s="4"/>
      <c r="CC3676" s="4"/>
      <c r="CD3676" s="4"/>
      <c r="CF3676" s="4"/>
    </row>
    <row r="3677" spans="66:84">
      <c r="BN3677" s="4"/>
      <c r="BO3677" s="4"/>
      <c r="BQ3677" s="4"/>
      <c r="CC3677" s="4"/>
      <c r="CD3677" s="4"/>
      <c r="CF3677" s="4"/>
    </row>
    <row r="3678" spans="66:84">
      <c r="BN3678" s="4"/>
      <c r="BO3678" s="4"/>
      <c r="BQ3678" s="4"/>
      <c r="CC3678" s="4"/>
      <c r="CD3678" s="4"/>
      <c r="CF3678" s="4"/>
    </row>
    <row r="3679" spans="66:84">
      <c r="BN3679" s="4"/>
      <c r="BO3679" s="4"/>
      <c r="BQ3679" s="4"/>
      <c r="CC3679" s="4"/>
      <c r="CD3679" s="4"/>
      <c r="CF3679" s="4"/>
    </row>
    <row r="3680" spans="66:84">
      <c r="BN3680" s="4"/>
      <c r="BO3680" s="4"/>
      <c r="BQ3680" s="4"/>
      <c r="CC3680" s="4"/>
      <c r="CD3680" s="4"/>
      <c r="CF3680" s="4"/>
    </row>
    <row r="3681" spans="66:84">
      <c r="BN3681" s="4"/>
      <c r="BO3681" s="4"/>
      <c r="BQ3681" s="4"/>
      <c r="CC3681" s="4"/>
      <c r="CD3681" s="4"/>
      <c r="CF3681" s="4"/>
    </row>
    <row r="3682" spans="66:84">
      <c r="BN3682" s="4"/>
      <c r="BO3682" s="4"/>
      <c r="BQ3682" s="4"/>
      <c r="CC3682" s="4"/>
      <c r="CD3682" s="4"/>
      <c r="CF3682" s="4"/>
    </row>
    <row r="3683" spans="66:84">
      <c r="BN3683" s="4"/>
      <c r="BO3683" s="4"/>
      <c r="BQ3683" s="4"/>
      <c r="CC3683" s="4"/>
      <c r="CD3683" s="4"/>
      <c r="CF3683" s="4"/>
    </row>
    <row r="3684" spans="66:84">
      <c r="BN3684" s="4"/>
      <c r="BO3684" s="4"/>
      <c r="BQ3684" s="4"/>
      <c r="CC3684" s="4"/>
      <c r="CD3684" s="4"/>
      <c r="CF3684" s="4"/>
    </row>
    <row r="3685" spans="66:84">
      <c r="BN3685" s="4"/>
      <c r="BO3685" s="4"/>
      <c r="BQ3685" s="4"/>
      <c r="CC3685" s="4"/>
      <c r="CD3685" s="4"/>
      <c r="CF3685" s="4"/>
    </row>
    <row r="3686" spans="66:84">
      <c r="BN3686" s="4"/>
      <c r="BO3686" s="4"/>
      <c r="BQ3686" s="4"/>
      <c r="CC3686" s="4"/>
      <c r="CD3686" s="4"/>
      <c r="CF3686" s="4"/>
    </row>
    <row r="3687" spans="66:84">
      <c r="BN3687" s="4"/>
      <c r="BO3687" s="4"/>
      <c r="BQ3687" s="4"/>
      <c r="CC3687" s="4"/>
      <c r="CD3687" s="4"/>
      <c r="CF3687" s="4"/>
    </row>
    <row r="3688" spans="66:84">
      <c r="BN3688" s="4"/>
      <c r="BO3688" s="4"/>
      <c r="BQ3688" s="4"/>
      <c r="CC3688" s="4"/>
      <c r="CD3688" s="4"/>
      <c r="CF3688" s="4"/>
    </row>
    <row r="3689" spans="66:84">
      <c r="BN3689" s="4"/>
      <c r="BO3689" s="4"/>
      <c r="BQ3689" s="4"/>
      <c r="CC3689" s="4"/>
      <c r="CD3689" s="4"/>
      <c r="CF3689" s="4"/>
    </row>
    <row r="3690" spans="66:84">
      <c r="BN3690" s="4"/>
      <c r="BO3690" s="4"/>
      <c r="BQ3690" s="4"/>
      <c r="CC3690" s="4"/>
      <c r="CD3690" s="4"/>
      <c r="CF3690" s="4"/>
    </row>
    <row r="3691" spans="66:84">
      <c r="BN3691" s="4"/>
      <c r="BO3691" s="4"/>
      <c r="BQ3691" s="4"/>
      <c r="CC3691" s="4"/>
      <c r="CD3691" s="4"/>
      <c r="CF3691" s="4"/>
    </row>
    <row r="3692" spans="66:84">
      <c r="BN3692" s="4"/>
      <c r="BO3692" s="4"/>
      <c r="BQ3692" s="4"/>
      <c r="CC3692" s="4"/>
      <c r="CD3692" s="4"/>
      <c r="CF3692" s="4"/>
    </row>
    <row r="3693" spans="66:84">
      <c r="BN3693" s="4"/>
      <c r="BO3693" s="4"/>
      <c r="BQ3693" s="4"/>
      <c r="CC3693" s="4"/>
      <c r="CD3693" s="4"/>
      <c r="CF3693" s="4"/>
    </row>
    <row r="3694" spans="66:84">
      <c r="BN3694" s="4"/>
      <c r="BO3694" s="4"/>
      <c r="BQ3694" s="4"/>
      <c r="CC3694" s="4"/>
      <c r="CD3694" s="4"/>
      <c r="CF3694" s="4"/>
    </row>
    <row r="3695" spans="66:84">
      <c r="BN3695" s="4"/>
      <c r="BO3695" s="4"/>
      <c r="BQ3695" s="4"/>
      <c r="CC3695" s="4"/>
      <c r="CD3695" s="4"/>
      <c r="CF3695" s="4"/>
    </row>
    <row r="3696" spans="66:84">
      <c r="BN3696" s="4"/>
      <c r="BO3696" s="4"/>
      <c r="BQ3696" s="4"/>
      <c r="CC3696" s="4"/>
      <c r="CD3696" s="4"/>
      <c r="CF3696" s="4"/>
    </row>
    <row r="3697" spans="66:84">
      <c r="BN3697" s="4"/>
      <c r="BO3697" s="4"/>
      <c r="BQ3697" s="4"/>
      <c r="CC3697" s="4"/>
      <c r="CD3697" s="4"/>
      <c r="CF3697" s="4"/>
    </row>
    <row r="3698" spans="66:84">
      <c r="BN3698" s="4"/>
      <c r="BO3698" s="4"/>
      <c r="BQ3698" s="4"/>
      <c r="CC3698" s="4"/>
      <c r="CD3698" s="4"/>
      <c r="CF3698" s="4"/>
    </row>
    <row r="3699" spans="66:84">
      <c r="BN3699" s="4"/>
      <c r="BO3699" s="4"/>
      <c r="BQ3699" s="4"/>
      <c r="CC3699" s="4"/>
      <c r="CD3699" s="4"/>
      <c r="CF3699" s="4"/>
    </row>
    <row r="3700" spans="66:84">
      <c r="BN3700" s="4"/>
      <c r="BO3700" s="4"/>
      <c r="BQ3700" s="4"/>
      <c r="CC3700" s="4"/>
      <c r="CD3700" s="4"/>
      <c r="CF3700" s="4"/>
    </row>
    <row r="3701" spans="66:84">
      <c r="BN3701" s="4"/>
      <c r="BO3701" s="4"/>
      <c r="BQ3701" s="4"/>
      <c r="CC3701" s="4"/>
      <c r="CD3701" s="4"/>
      <c r="CF3701" s="4"/>
    </row>
    <row r="3702" spans="66:84">
      <c r="BN3702" s="4"/>
      <c r="BO3702" s="4"/>
      <c r="BQ3702" s="4"/>
      <c r="CC3702" s="4"/>
      <c r="CD3702" s="4"/>
      <c r="CF3702" s="4"/>
    </row>
    <row r="3703" spans="66:84">
      <c r="BN3703" s="4"/>
      <c r="BO3703" s="4"/>
      <c r="BQ3703" s="4"/>
      <c r="CC3703" s="4"/>
      <c r="CD3703" s="4"/>
      <c r="CF3703" s="4"/>
    </row>
    <row r="3704" spans="66:84">
      <c r="BN3704" s="4"/>
      <c r="BO3704" s="4"/>
      <c r="BQ3704" s="4"/>
      <c r="CC3704" s="4"/>
      <c r="CD3704" s="4"/>
      <c r="CF3704" s="4"/>
    </row>
    <row r="3705" spans="66:84">
      <c r="BN3705" s="4"/>
      <c r="BO3705" s="4"/>
      <c r="BQ3705" s="4"/>
      <c r="CC3705" s="4"/>
      <c r="CD3705" s="4"/>
      <c r="CF3705" s="4"/>
    </row>
    <row r="3706" spans="66:84">
      <c r="BN3706" s="4"/>
      <c r="BO3706" s="4"/>
      <c r="BQ3706" s="4"/>
      <c r="CC3706" s="4"/>
      <c r="CD3706" s="4"/>
      <c r="CF3706" s="4"/>
    </row>
    <row r="3707" spans="66:84">
      <c r="BN3707" s="4"/>
      <c r="BO3707" s="4"/>
      <c r="BQ3707" s="4"/>
      <c r="CC3707" s="4"/>
      <c r="CD3707" s="4"/>
      <c r="CF3707" s="4"/>
    </row>
    <row r="3708" spans="66:84">
      <c r="BN3708" s="4"/>
      <c r="BO3708" s="4"/>
      <c r="BQ3708" s="4"/>
      <c r="CC3708" s="4"/>
      <c r="CD3708" s="4"/>
      <c r="CF3708" s="4"/>
    </row>
    <row r="3709" spans="66:84">
      <c r="BN3709" s="4"/>
      <c r="BO3709" s="4"/>
      <c r="BQ3709" s="4"/>
      <c r="CC3709" s="4"/>
      <c r="CD3709" s="4"/>
      <c r="CF3709" s="4"/>
    </row>
    <row r="3710" spans="66:84">
      <c r="BN3710" s="4"/>
      <c r="BO3710" s="4"/>
      <c r="BQ3710" s="4"/>
      <c r="CC3710" s="4"/>
      <c r="CD3710" s="4"/>
      <c r="CF3710" s="4"/>
    </row>
    <row r="3711" spans="66:84">
      <c r="BN3711" s="4"/>
      <c r="BO3711" s="4"/>
      <c r="BQ3711" s="4"/>
      <c r="CC3711" s="4"/>
      <c r="CD3711" s="4"/>
      <c r="CF3711" s="4"/>
    </row>
    <row r="3712" spans="66:84">
      <c r="BN3712" s="4"/>
      <c r="BO3712" s="4"/>
      <c r="BQ3712" s="4"/>
      <c r="CC3712" s="4"/>
      <c r="CD3712" s="4"/>
      <c r="CF3712" s="4"/>
    </row>
    <row r="3713" spans="66:84">
      <c r="BN3713" s="4"/>
      <c r="BO3713" s="4"/>
      <c r="BQ3713" s="4"/>
      <c r="CC3713" s="4"/>
      <c r="CD3713" s="4"/>
      <c r="CF3713" s="4"/>
    </row>
    <row r="3714" spans="66:84">
      <c r="BN3714" s="4"/>
      <c r="BO3714" s="4"/>
      <c r="BQ3714" s="4"/>
      <c r="CC3714" s="4"/>
      <c r="CD3714" s="4"/>
      <c r="CF3714" s="4"/>
    </row>
    <row r="3715" spans="66:84">
      <c r="BN3715" s="4"/>
      <c r="BO3715" s="4"/>
      <c r="BQ3715" s="4"/>
      <c r="CC3715" s="4"/>
      <c r="CD3715" s="4"/>
      <c r="CF3715" s="4"/>
    </row>
    <row r="3716" spans="66:84">
      <c r="BN3716" s="4"/>
      <c r="BO3716" s="4"/>
      <c r="BQ3716" s="4"/>
      <c r="CC3716" s="4"/>
      <c r="CD3716" s="4"/>
      <c r="CF3716" s="4"/>
    </row>
    <row r="3717" spans="66:84">
      <c r="BN3717" s="4"/>
      <c r="BO3717" s="4"/>
      <c r="BQ3717" s="4"/>
      <c r="CC3717" s="4"/>
      <c r="CD3717" s="4"/>
      <c r="CF3717" s="4"/>
    </row>
    <row r="3718" spans="66:84">
      <c r="BN3718" s="4"/>
      <c r="BO3718" s="4"/>
      <c r="BQ3718" s="4"/>
      <c r="CC3718" s="4"/>
      <c r="CD3718" s="4"/>
      <c r="CF3718" s="4"/>
    </row>
    <row r="3719" spans="66:84">
      <c r="BN3719" s="4"/>
      <c r="BO3719" s="4"/>
      <c r="BQ3719" s="4"/>
      <c r="CC3719" s="4"/>
      <c r="CD3719" s="4"/>
      <c r="CF3719" s="4"/>
    </row>
    <row r="3720" spans="66:84">
      <c r="BN3720" s="4"/>
      <c r="BO3720" s="4"/>
      <c r="BQ3720" s="4"/>
      <c r="CC3720" s="4"/>
      <c r="CD3720" s="4"/>
      <c r="CF3720" s="4"/>
    </row>
    <row r="3721" spans="66:84">
      <c r="BN3721" s="4"/>
      <c r="BO3721" s="4"/>
      <c r="BQ3721" s="4"/>
      <c r="CC3721" s="4"/>
      <c r="CD3721" s="4"/>
      <c r="CF3721" s="4"/>
    </row>
    <row r="3722" spans="66:84">
      <c r="BN3722" s="4"/>
      <c r="BO3722" s="4"/>
      <c r="BQ3722" s="4"/>
      <c r="CC3722" s="4"/>
      <c r="CD3722" s="4"/>
      <c r="CF3722" s="4"/>
    </row>
    <row r="3723" spans="66:84">
      <c r="BN3723" s="4"/>
      <c r="BO3723" s="4"/>
      <c r="BQ3723" s="4"/>
      <c r="CC3723" s="4"/>
      <c r="CD3723" s="4"/>
      <c r="CF3723" s="4"/>
    </row>
    <row r="3724" spans="66:84">
      <c r="BN3724" s="4"/>
      <c r="BO3724" s="4"/>
      <c r="BQ3724" s="4"/>
      <c r="CC3724" s="4"/>
      <c r="CD3724" s="4"/>
      <c r="CF3724" s="4"/>
    </row>
    <row r="3725" spans="66:84">
      <c r="BN3725" s="4"/>
      <c r="BO3725" s="4"/>
      <c r="BQ3725" s="4"/>
      <c r="CC3725" s="4"/>
      <c r="CD3725" s="4"/>
      <c r="CF3725" s="4"/>
    </row>
    <row r="3726" spans="66:84">
      <c r="BN3726" s="4"/>
      <c r="BO3726" s="4"/>
      <c r="BQ3726" s="4"/>
      <c r="CC3726" s="4"/>
      <c r="CD3726" s="4"/>
      <c r="CF3726" s="4"/>
    </row>
    <row r="3727" spans="66:84">
      <c r="BN3727" s="4"/>
      <c r="BO3727" s="4"/>
      <c r="BQ3727" s="4"/>
      <c r="CC3727" s="4"/>
      <c r="CD3727" s="4"/>
      <c r="CF3727" s="4"/>
    </row>
    <row r="3728" spans="66:84">
      <c r="BN3728" s="4"/>
      <c r="BO3728" s="4"/>
      <c r="BQ3728" s="4"/>
      <c r="CC3728" s="4"/>
      <c r="CD3728" s="4"/>
      <c r="CF3728" s="4"/>
    </row>
    <row r="3729" spans="66:84">
      <c r="BN3729" s="4"/>
      <c r="BO3729" s="4"/>
      <c r="BQ3729" s="4"/>
      <c r="CC3729" s="4"/>
      <c r="CD3729" s="4"/>
      <c r="CF3729" s="4"/>
    </row>
    <row r="3730" spans="66:84">
      <c r="BN3730" s="4"/>
      <c r="BO3730" s="4"/>
      <c r="BQ3730" s="4"/>
      <c r="CC3730" s="4"/>
      <c r="CD3730" s="4"/>
      <c r="CF3730" s="4"/>
    </row>
    <row r="3731" spans="66:84">
      <c r="BN3731" s="4"/>
      <c r="BO3731" s="4"/>
      <c r="BQ3731" s="4"/>
      <c r="CC3731" s="4"/>
      <c r="CD3731" s="4"/>
      <c r="CF3731" s="4"/>
    </row>
    <row r="3732" spans="66:84">
      <c r="BN3732" s="4"/>
      <c r="BO3732" s="4"/>
      <c r="BQ3732" s="4"/>
      <c r="CC3732" s="4"/>
      <c r="CD3732" s="4"/>
      <c r="CF3732" s="4"/>
    </row>
    <row r="3733" spans="66:84">
      <c r="BN3733" s="4"/>
      <c r="BO3733" s="4"/>
      <c r="BQ3733" s="4"/>
      <c r="CC3733" s="4"/>
      <c r="CD3733" s="4"/>
      <c r="CF3733" s="4"/>
    </row>
    <row r="3734" spans="66:84">
      <c r="BN3734" s="4"/>
      <c r="BO3734" s="4"/>
      <c r="BQ3734" s="4"/>
      <c r="CC3734" s="4"/>
      <c r="CD3734" s="4"/>
      <c r="CF3734" s="4"/>
    </row>
    <row r="3735" spans="66:84">
      <c r="BN3735" s="4"/>
      <c r="BO3735" s="4"/>
      <c r="BQ3735" s="4"/>
      <c r="CC3735" s="4"/>
      <c r="CD3735" s="4"/>
      <c r="CF3735" s="4"/>
    </row>
    <row r="3736" spans="66:84">
      <c r="BN3736" s="4"/>
      <c r="BO3736" s="4"/>
      <c r="BQ3736" s="4"/>
      <c r="CC3736" s="4"/>
      <c r="CD3736" s="4"/>
      <c r="CF3736" s="4"/>
    </row>
    <row r="3737" spans="66:84">
      <c r="BN3737" s="4"/>
      <c r="BO3737" s="4"/>
      <c r="BQ3737" s="4"/>
      <c r="CC3737" s="4"/>
      <c r="CD3737" s="4"/>
      <c r="CF3737" s="4"/>
    </row>
    <row r="3738" spans="66:84">
      <c r="BN3738" s="4"/>
      <c r="BO3738" s="4"/>
      <c r="BQ3738" s="4"/>
      <c r="CC3738" s="4"/>
      <c r="CD3738" s="4"/>
      <c r="CF3738" s="4"/>
    </row>
    <row r="3739" spans="66:84">
      <c r="BN3739" s="4"/>
      <c r="BO3739" s="4"/>
      <c r="BQ3739" s="4"/>
      <c r="CC3739" s="4"/>
      <c r="CD3739" s="4"/>
      <c r="CF3739" s="4"/>
    </row>
    <row r="3740" spans="66:84">
      <c r="BN3740" s="4"/>
      <c r="BO3740" s="4"/>
      <c r="BQ3740" s="4"/>
      <c r="CC3740" s="4"/>
      <c r="CD3740" s="4"/>
      <c r="CF3740" s="4"/>
    </row>
    <row r="3741" spans="66:84">
      <c r="BN3741" s="4"/>
      <c r="BO3741" s="4"/>
      <c r="BQ3741" s="4"/>
      <c r="CC3741" s="4"/>
      <c r="CD3741" s="4"/>
      <c r="CF3741" s="4"/>
    </row>
    <row r="3742" spans="66:84">
      <c r="BN3742" s="4"/>
      <c r="BO3742" s="4"/>
      <c r="BQ3742" s="4"/>
      <c r="CC3742" s="4"/>
      <c r="CD3742" s="4"/>
      <c r="CF3742" s="4"/>
    </row>
    <row r="3743" spans="66:84">
      <c r="BN3743" s="4"/>
      <c r="BO3743" s="4"/>
      <c r="BQ3743" s="4"/>
      <c r="CC3743" s="4"/>
      <c r="CD3743" s="4"/>
      <c r="CF3743" s="4"/>
    </row>
    <row r="3744" spans="66:84">
      <c r="BN3744" s="4"/>
      <c r="BO3744" s="4"/>
      <c r="BQ3744" s="4"/>
      <c r="CC3744" s="4"/>
      <c r="CD3744" s="4"/>
      <c r="CF3744" s="4"/>
    </row>
    <row r="3745" spans="66:84">
      <c r="BN3745" s="4"/>
      <c r="BO3745" s="4"/>
      <c r="BQ3745" s="4"/>
      <c r="CC3745" s="4"/>
      <c r="CD3745" s="4"/>
      <c r="CF3745" s="4"/>
    </row>
    <row r="3746" spans="66:84">
      <c r="BN3746" s="4"/>
      <c r="BO3746" s="4"/>
      <c r="BQ3746" s="4"/>
      <c r="CC3746" s="4"/>
      <c r="CD3746" s="4"/>
      <c r="CF3746" s="4"/>
    </row>
    <row r="3747" spans="66:84">
      <c r="BN3747" s="4"/>
      <c r="BO3747" s="4"/>
      <c r="BQ3747" s="4"/>
      <c r="CC3747" s="4"/>
      <c r="CD3747" s="4"/>
      <c r="CF3747" s="4"/>
    </row>
    <row r="3748" spans="66:84">
      <c r="BN3748" s="4"/>
      <c r="BO3748" s="4"/>
      <c r="BQ3748" s="4"/>
      <c r="CC3748" s="4"/>
      <c r="CD3748" s="4"/>
      <c r="CF3748" s="4"/>
    </row>
    <row r="3749" spans="66:84">
      <c r="BN3749" s="4"/>
      <c r="BO3749" s="4"/>
      <c r="BQ3749" s="4"/>
      <c r="CC3749" s="4"/>
      <c r="CD3749" s="4"/>
      <c r="CF3749" s="4"/>
    </row>
    <row r="3750" spans="66:84">
      <c r="BN3750" s="4"/>
      <c r="BO3750" s="4"/>
      <c r="BQ3750" s="4"/>
      <c r="CC3750" s="4"/>
      <c r="CD3750" s="4"/>
      <c r="CF3750" s="4"/>
    </row>
    <row r="3751" spans="66:84">
      <c r="BN3751" s="4"/>
      <c r="BO3751" s="4"/>
      <c r="BQ3751" s="4"/>
      <c r="CC3751" s="4"/>
      <c r="CD3751" s="4"/>
      <c r="CF3751" s="4"/>
    </row>
    <row r="3752" spans="66:84">
      <c r="BN3752" s="4"/>
      <c r="BO3752" s="4"/>
      <c r="BQ3752" s="4"/>
      <c r="CC3752" s="4"/>
      <c r="CD3752" s="4"/>
      <c r="CF3752" s="4"/>
    </row>
    <row r="3753" spans="66:84">
      <c r="BN3753" s="4"/>
      <c r="BO3753" s="4"/>
      <c r="BQ3753" s="4"/>
      <c r="CC3753" s="4"/>
      <c r="CD3753" s="4"/>
      <c r="CF3753" s="4"/>
    </row>
    <row r="3754" spans="66:84">
      <c r="BN3754" s="4"/>
      <c r="BO3754" s="4"/>
      <c r="BQ3754" s="4"/>
      <c r="CC3754" s="4"/>
      <c r="CD3754" s="4"/>
      <c r="CF3754" s="4"/>
    </row>
    <row r="3755" spans="66:84">
      <c r="BN3755" s="4"/>
      <c r="BO3755" s="4"/>
      <c r="BQ3755" s="4"/>
      <c r="CC3755" s="4"/>
      <c r="CD3755" s="4"/>
      <c r="CF3755" s="4"/>
    </row>
    <row r="3756" spans="66:84">
      <c r="BN3756" s="4"/>
      <c r="BO3756" s="4"/>
      <c r="BQ3756" s="4"/>
      <c r="CC3756" s="4"/>
      <c r="CD3756" s="4"/>
      <c r="CF3756" s="4"/>
    </row>
    <row r="3757" spans="66:84">
      <c r="BN3757" s="4"/>
      <c r="BO3757" s="4"/>
      <c r="BQ3757" s="4"/>
      <c r="CC3757" s="4"/>
      <c r="CD3757" s="4"/>
      <c r="CF3757" s="4"/>
    </row>
    <row r="3758" spans="66:84">
      <c r="BN3758" s="4"/>
      <c r="BO3758" s="4"/>
      <c r="BQ3758" s="4"/>
      <c r="CC3758" s="4"/>
      <c r="CD3758" s="4"/>
      <c r="CF3758" s="4"/>
    </row>
    <row r="3759" spans="66:84">
      <c r="BN3759" s="4"/>
      <c r="BO3759" s="4"/>
      <c r="BQ3759" s="4"/>
      <c r="CC3759" s="4"/>
      <c r="CD3759" s="4"/>
      <c r="CF3759" s="4"/>
    </row>
    <row r="3760" spans="66:84">
      <c r="BN3760" s="4"/>
      <c r="BO3760" s="4"/>
      <c r="BQ3760" s="4"/>
      <c r="CC3760" s="4"/>
      <c r="CD3760" s="4"/>
      <c r="CF3760" s="4"/>
    </row>
    <row r="3761" spans="66:84">
      <c r="BN3761" s="4"/>
      <c r="BO3761" s="4"/>
      <c r="BQ3761" s="4"/>
      <c r="CC3761" s="4"/>
      <c r="CD3761" s="4"/>
      <c r="CF3761" s="4"/>
    </row>
    <row r="3762" spans="66:84">
      <c r="BN3762" s="4"/>
      <c r="BO3762" s="4"/>
      <c r="BQ3762" s="4"/>
      <c r="CC3762" s="4"/>
      <c r="CD3762" s="4"/>
      <c r="CF3762" s="4"/>
    </row>
    <row r="3763" spans="66:84">
      <c r="BN3763" s="4"/>
      <c r="BO3763" s="4"/>
      <c r="BQ3763" s="4"/>
      <c r="CC3763" s="4"/>
      <c r="CD3763" s="4"/>
      <c r="CF3763" s="4"/>
    </row>
    <row r="3764" spans="66:84">
      <c r="BN3764" s="4"/>
      <c r="BO3764" s="4"/>
      <c r="BQ3764" s="4"/>
      <c r="CC3764" s="4"/>
      <c r="CD3764" s="4"/>
      <c r="CF3764" s="4"/>
    </row>
    <row r="3765" spans="66:84">
      <c r="BN3765" s="4"/>
      <c r="BO3765" s="4"/>
      <c r="BQ3765" s="4"/>
      <c r="CC3765" s="4"/>
      <c r="CD3765" s="4"/>
      <c r="CF3765" s="4"/>
    </row>
    <row r="3766" spans="66:84">
      <c r="BN3766" s="4"/>
      <c r="BO3766" s="4"/>
      <c r="BQ3766" s="4"/>
      <c r="CC3766" s="4"/>
      <c r="CD3766" s="4"/>
      <c r="CF3766" s="4"/>
    </row>
    <row r="3767" spans="66:84">
      <c r="BN3767" s="4"/>
      <c r="BO3767" s="4"/>
      <c r="BQ3767" s="4"/>
      <c r="CC3767" s="4"/>
      <c r="CD3767" s="4"/>
      <c r="CF3767" s="4"/>
    </row>
    <row r="3768" spans="66:84">
      <c r="BN3768" s="4"/>
      <c r="BO3768" s="4"/>
      <c r="BQ3768" s="4"/>
      <c r="CC3768" s="4"/>
      <c r="CD3768" s="4"/>
      <c r="CF3768" s="4"/>
    </row>
    <row r="3769" spans="66:84">
      <c r="BN3769" s="4"/>
      <c r="BO3769" s="4"/>
      <c r="BQ3769" s="4"/>
      <c r="CC3769" s="4"/>
      <c r="CD3769" s="4"/>
      <c r="CF3769" s="4"/>
    </row>
    <row r="3770" spans="66:84">
      <c r="BN3770" s="4"/>
      <c r="BO3770" s="4"/>
      <c r="BQ3770" s="4"/>
      <c r="CC3770" s="4"/>
      <c r="CD3770" s="4"/>
      <c r="CF3770" s="4"/>
    </row>
    <row r="3771" spans="66:84">
      <c r="BN3771" s="4"/>
      <c r="BO3771" s="4"/>
      <c r="BQ3771" s="4"/>
      <c r="CC3771" s="4"/>
      <c r="CD3771" s="4"/>
      <c r="CF3771" s="4"/>
    </row>
    <row r="3772" spans="66:84">
      <c r="BN3772" s="4"/>
      <c r="BO3772" s="4"/>
      <c r="BQ3772" s="4"/>
      <c r="CC3772" s="4"/>
      <c r="CD3772" s="4"/>
      <c r="CF3772" s="4"/>
    </row>
    <row r="3773" spans="66:84">
      <c r="BN3773" s="4"/>
      <c r="BO3773" s="4"/>
      <c r="BQ3773" s="4"/>
      <c r="CC3773" s="4"/>
      <c r="CD3773" s="4"/>
      <c r="CF3773" s="4"/>
    </row>
    <row r="3774" spans="66:84">
      <c r="BN3774" s="4"/>
      <c r="BO3774" s="4"/>
      <c r="BQ3774" s="4"/>
      <c r="CC3774" s="4"/>
      <c r="CD3774" s="4"/>
      <c r="CF3774" s="4"/>
    </row>
    <row r="3775" spans="66:84">
      <c r="BN3775" s="4"/>
      <c r="BO3775" s="4"/>
      <c r="BQ3775" s="4"/>
      <c r="CC3775" s="4"/>
      <c r="CD3775" s="4"/>
      <c r="CF3775" s="4"/>
    </row>
    <row r="3776" spans="66:84">
      <c r="BN3776" s="4"/>
      <c r="BO3776" s="4"/>
      <c r="BQ3776" s="4"/>
      <c r="CC3776" s="4"/>
      <c r="CD3776" s="4"/>
      <c r="CF3776" s="4"/>
    </row>
    <row r="3777" spans="66:84">
      <c r="BN3777" s="4"/>
      <c r="BO3777" s="4"/>
      <c r="BQ3777" s="4"/>
      <c r="CC3777" s="4"/>
      <c r="CD3777" s="4"/>
      <c r="CF3777" s="4"/>
    </row>
    <row r="3778" spans="66:84">
      <c r="BN3778" s="4"/>
      <c r="BO3778" s="4"/>
      <c r="BQ3778" s="4"/>
      <c r="CC3778" s="4"/>
      <c r="CD3778" s="4"/>
      <c r="CF3778" s="4"/>
    </row>
    <row r="3779" spans="66:84">
      <c r="BN3779" s="4"/>
      <c r="BO3779" s="4"/>
      <c r="BQ3779" s="4"/>
      <c r="CC3779" s="4"/>
      <c r="CD3779" s="4"/>
      <c r="CF3779" s="4"/>
    </row>
    <row r="3780" spans="66:84">
      <c r="BN3780" s="4"/>
      <c r="BO3780" s="4"/>
      <c r="BQ3780" s="4"/>
      <c r="CC3780" s="4"/>
      <c r="CD3780" s="4"/>
      <c r="CF3780" s="4"/>
    </row>
    <row r="3781" spans="66:84">
      <c r="BN3781" s="4"/>
      <c r="BO3781" s="4"/>
      <c r="BQ3781" s="4"/>
      <c r="CC3781" s="4"/>
      <c r="CD3781" s="4"/>
      <c r="CF3781" s="4"/>
    </row>
    <row r="3782" spans="66:84">
      <c r="BN3782" s="4"/>
      <c r="BO3782" s="4"/>
      <c r="BQ3782" s="4"/>
      <c r="CC3782" s="4"/>
      <c r="CD3782" s="4"/>
      <c r="CF3782" s="4"/>
    </row>
    <row r="3783" spans="66:84">
      <c r="BN3783" s="4"/>
      <c r="BO3783" s="4"/>
      <c r="BQ3783" s="4"/>
      <c r="CC3783" s="4"/>
      <c r="CD3783" s="4"/>
      <c r="CF3783" s="4"/>
    </row>
    <row r="3784" spans="66:84">
      <c r="BN3784" s="4"/>
      <c r="BO3784" s="4"/>
      <c r="BQ3784" s="4"/>
      <c r="CC3784" s="4"/>
      <c r="CD3784" s="4"/>
      <c r="CF3784" s="4"/>
    </row>
    <row r="3785" spans="66:84">
      <c r="BN3785" s="4"/>
      <c r="BO3785" s="4"/>
      <c r="BQ3785" s="4"/>
      <c r="CC3785" s="4"/>
      <c r="CD3785" s="4"/>
      <c r="CF3785" s="4"/>
    </row>
    <row r="3786" spans="66:84">
      <c r="BN3786" s="4"/>
      <c r="BO3786" s="4"/>
      <c r="BQ3786" s="4"/>
      <c r="CC3786" s="4"/>
      <c r="CD3786" s="4"/>
      <c r="CF3786" s="4"/>
    </row>
    <row r="3787" spans="66:84">
      <c r="BN3787" s="4"/>
      <c r="BO3787" s="4"/>
      <c r="BQ3787" s="4"/>
      <c r="CC3787" s="4"/>
      <c r="CD3787" s="4"/>
      <c r="CF3787" s="4"/>
    </row>
    <row r="3788" spans="66:84">
      <c r="BN3788" s="4"/>
      <c r="BO3788" s="4"/>
      <c r="BQ3788" s="4"/>
      <c r="CC3788" s="4"/>
      <c r="CD3788" s="4"/>
      <c r="CF3788" s="4"/>
    </row>
    <row r="3789" spans="66:84">
      <c r="BN3789" s="4"/>
      <c r="BO3789" s="4"/>
      <c r="BQ3789" s="4"/>
      <c r="CC3789" s="4"/>
      <c r="CD3789" s="4"/>
      <c r="CF3789" s="4"/>
    </row>
    <row r="3790" spans="66:84">
      <c r="BN3790" s="4"/>
      <c r="BO3790" s="4"/>
      <c r="BQ3790" s="4"/>
      <c r="CC3790" s="4"/>
      <c r="CD3790" s="4"/>
      <c r="CF3790" s="4"/>
    </row>
    <row r="3791" spans="66:84">
      <c r="BN3791" s="4"/>
      <c r="BO3791" s="4"/>
      <c r="BQ3791" s="4"/>
      <c r="CC3791" s="4"/>
      <c r="CD3791" s="4"/>
      <c r="CF3791" s="4"/>
    </row>
    <row r="3792" spans="66:84">
      <c r="BN3792" s="4"/>
      <c r="BO3792" s="4"/>
      <c r="BQ3792" s="4"/>
      <c r="CC3792" s="4"/>
      <c r="CD3792" s="4"/>
      <c r="CF3792" s="4"/>
    </row>
    <row r="3793" spans="66:84">
      <c r="BN3793" s="4"/>
      <c r="BO3793" s="4"/>
      <c r="BQ3793" s="4"/>
      <c r="CC3793" s="4"/>
      <c r="CD3793" s="4"/>
      <c r="CF3793" s="4"/>
    </row>
    <row r="3794" spans="66:84">
      <c r="BN3794" s="4"/>
      <c r="BO3794" s="4"/>
      <c r="BQ3794" s="4"/>
      <c r="CC3794" s="4"/>
      <c r="CD3794" s="4"/>
      <c r="CF3794" s="4"/>
    </row>
    <row r="3795" spans="66:84">
      <c r="BN3795" s="4"/>
      <c r="BO3795" s="4"/>
      <c r="BQ3795" s="4"/>
      <c r="CC3795" s="4"/>
      <c r="CD3795" s="4"/>
      <c r="CF3795" s="4"/>
    </row>
    <row r="3796" spans="66:84">
      <c r="BN3796" s="4"/>
      <c r="BO3796" s="4"/>
      <c r="BQ3796" s="4"/>
      <c r="CC3796" s="4"/>
      <c r="CD3796" s="4"/>
      <c r="CF3796" s="4"/>
    </row>
    <row r="3797" spans="66:84">
      <c r="BN3797" s="4"/>
      <c r="BO3797" s="4"/>
      <c r="BQ3797" s="4"/>
      <c r="CC3797" s="4"/>
      <c r="CD3797" s="4"/>
      <c r="CF3797" s="4"/>
    </row>
    <row r="3798" spans="66:84">
      <c r="BN3798" s="4"/>
      <c r="BO3798" s="4"/>
      <c r="BQ3798" s="4"/>
      <c r="CC3798" s="4"/>
      <c r="CD3798" s="4"/>
      <c r="CF3798" s="4"/>
    </row>
    <row r="3799" spans="66:84">
      <c r="BN3799" s="4"/>
      <c r="BO3799" s="4"/>
      <c r="BQ3799" s="4"/>
      <c r="CC3799" s="4"/>
      <c r="CD3799" s="4"/>
      <c r="CF3799" s="4"/>
    </row>
    <row r="3800" spans="66:84">
      <c r="BN3800" s="4"/>
      <c r="BO3800" s="4"/>
      <c r="BQ3800" s="4"/>
      <c r="CC3800" s="4"/>
      <c r="CD3800" s="4"/>
      <c r="CF3800" s="4"/>
    </row>
    <row r="3801" spans="66:84">
      <c r="BN3801" s="4"/>
      <c r="BO3801" s="4"/>
      <c r="BQ3801" s="4"/>
      <c r="CC3801" s="4"/>
      <c r="CD3801" s="4"/>
      <c r="CF3801" s="4"/>
    </row>
    <row r="3802" spans="66:84">
      <c r="BN3802" s="4"/>
      <c r="BO3802" s="4"/>
      <c r="BQ3802" s="4"/>
      <c r="CC3802" s="4"/>
      <c r="CD3802" s="4"/>
      <c r="CF3802" s="4"/>
    </row>
    <row r="3803" spans="66:84">
      <c r="BN3803" s="4"/>
      <c r="BO3803" s="4"/>
      <c r="BQ3803" s="4"/>
      <c r="CC3803" s="4"/>
      <c r="CD3803" s="4"/>
      <c r="CF3803" s="4"/>
    </row>
    <row r="3804" spans="66:84">
      <c r="BN3804" s="4"/>
      <c r="BO3804" s="4"/>
      <c r="BQ3804" s="4"/>
      <c r="CC3804" s="4"/>
      <c r="CD3804" s="4"/>
      <c r="CF3804" s="4"/>
    </row>
    <row r="3805" spans="66:84">
      <c r="BN3805" s="4"/>
      <c r="BO3805" s="4"/>
      <c r="BQ3805" s="4"/>
      <c r="CC3805" s="4"/>
      <c r="CD3805" s="4"/>
      <c r="CF3805" s="4"/>
    </row>
    <row r="3806" spans="66:84">
      <c r="BN3806" s="4"/>
      <c r="BO3806" s="4"/>
      <c r="BQ3806" s="4"/>
      <c r="CC3806" s="4"/>
      <c r="CD3806" s="4"/>
      <c r="CF3806" s="4"/>
    </row>
    <row r="3807" spans="66:84">
      <c r="BN3807" s="4"/>
      <c r="BO3807" s="4"/>
      <c r="BQ3807" s="4"/>
      <c r="CC3807" s="4"/>
      <c r="CD3807" s="4"/>
      <c r="CF3807" s="4"/>
    </row>
    <row r="3808" spans="66:84">
      <c r="BN3808" s="4"/>
      <c r="BO3808" s="4"/>
      <c r="BQ3808" s="4"/>
      <c r="CC3808" s="4"/>
      <c r="CD3808" s="4"/>
      <c r="CF3808" s="4"/>
    </row>
    <row r="3809" spans="66:84">
      <c r="BN3809" s="4"/>
      <c r="BO3809" s="4"/>
      <c r="BQ3809" s="4"/>
      <c r="CC3809" s="4"/>
      <c r="CD3809" s="4"/>
      <c r="CF3809" s="4"/>
    </row>
    <row r="3810" spans="66:84">
      <c r="BN3810" s="4"/>
      <c r="BO3810" s="4"/>
      <c r="BQ3810" s="4"/>
      <c r="CC3810" s="4"/>
      <c r="CD3810" s="4"/>
      <c r="CF3810" s="4"/>
    </row>
    <row r="3811" spans="66:84">
      <c r="BN3811" s="4"/>
      <c r="BO3811" s="4"/>
      <c r="BQ3811" s="4"/>
      <c r="CC3811" s="4"/>
      <c r="CD3811" s="4"/>
      <c r="CF3811" s="4"/>
    </row>
    <row r="3812" spans="66:84">
      <c r="BN3812" s="4"/>
      <c r="BO3812" s="4"/>
      <c r="BQ3812" s="4"/>
      <c r="CC3812" s="4"/>
      <c r="CD3812" s="4"/>
      <c r="CF3812" s="4"/>
    </row>
    <row r="3813" spans="66:84">
      <c r="BN3813" s="4"/>
      <c r="BO3813" s="4"/>
      <c r="BQ3813" s="4"/>
      <c r="CC3813" s="4"/>
      <c r="CD3813" s="4"/>
      <c r="CF3813" s="4"/>
    </row>
    <row r="3814" spans="66:84">
      <c r="BN3814" s="4"/>
      <c r="BO3814" s="4"/>
      <c r="BQ3814" s="4"/>
      <c r="CC3814" s="4"/>
      <c r="CD3814" s="4"/>
      <c r="CF3814" s="4"/>
    </row>
    <row r="3815" spans="66:84">
      <c r="BN3815" s="4"/>
      <c r="BO3815" s="4"/>
      <c r="BQ3815" s="4"/>
      <c r="CC3815" s="4"/>
      <c r="CD3815" s="4"/>
      <c r="CF3815" s="4"/>
    </row>
    <row r="3816" spans="66:84">
      <c r="BN3816" s="4"/>
      <c r="BO3816" s="4"/>
      <c r="BQ3816" s="4"/>
      <c r="CC3816" s="4"/>
      <c r="CD3816" s="4"/>
      <c r="CF3816" s="4"/>
    </row>
    <row r="3817" spans="66:84">
      <c r="BN3817" s="4"/>
      <c r="BO3817" s="4"/>
      <c r="BQ3817" s="4"/>
      <c r="CC3817" s="4"/>
      <c r="CD3817" s="4"/>
      <c r="CF3817" s="4"/>
    </row>
    <row r="3818" spans="66:84">
      <c r="BN3818" s="4"/>
      <c r="BO3818" s="4"/>
      <c r="BQ3818" s="4"/>
      <c r="CC3818" s="4"/>
      <c r="CD3818" s="4"/>
      <c r="CF3818" s="4"/>
    </row>
    <row r="3819" spans="66:84">
      <c r="BN3819" s="4"/>
      <c r="BO3819" s="4"/>
      <c r="BQ3819" s="4"/>
      <c r="CC3819" s="4"/>
      <c r="CD3819" s="4"/>
      <c r="CF3819" s="4"/>
    </row>
    <row r="3820" spans="66:84">
      <c r="BN3820" s="4"/>
      <c r="BO3820" s="4"/>
      <c r="BQ3820" s="4"/>
      <c r="CC3820" s="4"/>
      <c r="CD3820" s="4"/>
      <c r="CF3820" s="4"/>
    </row>
    <row r="3821" spans="66:84">
      <c r="BN3821" s="4"/>
      <c r="BO3821" s="4"/>
      <c r="BQ3821" s="4"/>
      <c r="CC3821" s="4"/>
      <c r="CD3821" s="4"/>
      <c r="CF3821" s="4"/>
    </row>
    <row r="3822" spans="66:84">
      <c r="BN3822" s="4"/>
      <c r="BO3822" s="4"/>
      <c r="BQ3822" s="4"/>
      <c r="CC3822" s="4"/>
      <c r="CD3822" s="4"/>
      <c r="CF3822" s="4"/>
    </row>
    <row r="3823" spans="66:84">
      <c r="BN3823" s="4"/>
      <c r="BO3823" s="4"/>
      <c r="BQ3823" s="4"/>
      <c r="CC3823" s="4"/>
      <c r="CD3823" s="4"/>
      <c r="CF3823" s="4"/>
    </row>
    <row r="3824" spans="66:84">
      <c r="BN3824" s="4"/>
      <c r="BO3824" s="4"/>
      <c r="BQ3824" s="4"/>
      <c r="CC3824" s="4"/>
      <c r="CD3824" s="4"/>
      <c r="CF3824" s="4"/>
    </row>
    <row r="3825" spans="66:84">
      <c r="BN3825" s="4"/>
      <c r="BO3825" s="4"/>
      <c r="BQ3825" s="4"/>
      <c r="CC3825" s="4"/>
      <c r="CD3825" s="4"/>
      <c r="CF3825" s="4"/>
    </row>
    <row r="3826" spans="66:84">
      <c r="BN3826" s="4"/>
      <c r="BO3826" s="4"/>
      <c r="BQ3826" s="4"/>
      <c r="CC3826" s="4"/>
      <c r="CD3826" s="4"/>
      <c r="CF3826" s="4"/>
    </row>
    <row r="3827" spans="66:84">
      <c r="BN3827" s="4"/>
      <c r="BO3827" s="4"/>
      <c r="BQ3827" s="4"/>
      <c r="CC3827" s="4"/>
      <c r="CD3827" s="4"/>
      <c r="CF3827" s="4"/>
    </row>
    <row r="3828" spans="66:84">
      <c r="BN3828" s="4"/>
      <c r="BO3828" s="4"/>
      <c r="BQ3828" s="4"/>
      <c r="CC3828" s="4"/>
      <c r="CD3828" s="4"/>
      <c r="CF3828" s="4"/>
    </row>
    <row r="3829" spans="66:84">
      <c r="BN3829" s="4"/>
      <c r="BO3829" s="4"/>
      <c r="BQ3829" s="4"/>
      <c r="CC3829" s="4"/>
      <c r="CD3829" s="4"/>
      <c r="CF3829" s="4"/>
    </row>
    <row r="3830" spans="66:84">
      <c r="BN3830" s="4"/>
      <c r="BO3830" s="4"/>
      <c r="BQ3830" s="4"/>
      <c r="CC3830" s="4"/>
      <c r="CD3830" s="4"/>
      <c r="CF3830" s="4"/>
    </row>
    <row r="3831" spans="66:84">
      <c r="BN3831" s="4"/>
      <c r="BO3831" s="4"/>
      <c r="BQ3831" s="4"/>
      <c r="CC3831" s="4"/>
      <c r="CD3831" s="4"/>
      <c r="CF3831" s="4"/>
    </row>
    <row r="3832" spans="66:84">
      <c r="BN3832" s="4"/>
      <c r="BO3832" s="4"/>
      <c r="BQ3832" s="4"/>
      <c r="CC3832" s="4"/>
      <c r="CD3832" s="4"/>
      <c r="CF3832" s="4"/>
    </row>
    <row r="3833" spans="66:84">
      <c r="BN3833" s="4"/>
      <c r="BO3833" s="4"/>
      <c r="BQ3833" s="4"/>
      <c r="CC3833" s="4"/>
      <c r="CD3833" s="4"/>
      <c r="CF3833" s="4"/>
    </row>
    <row r="3834" spans="66:84">
      <c r="BN3834" s="4"/>
      <c r="BO3834" s="4"/>
      <c r="BQ3834" s="4"/>
      <c r="CC3834" s="4"/>
      <c r="CD3834" s="4"/>
      <c r="CF3834" s="4"/>
    </row>
    <row r="3835" spans="66:84">
      <c r="BN3835" s="4"/>
      <c r="BO3835" s="4"/>
      <c r="BQ3835" s="4"/>
      <c r="CC3835" s="4"/>
      <c r="CD3835" s="4"/>
      <c r="CF3835" s="4"/>
    </row>
    <row r="3836" spans="66:84">
      <c r="BN3836" s="4"/>
      <c r="BO3836" s="4"/>
      <c r="BQ3836" s="4"/>
      <c r="CC3836" s="4"/>
      <c r="CD3836" s="4"/>
      <c r="CF3836" s="4"/>
    </row>
    <row r="3837" spans="66:84">
      <c r="BN3837" s="4"/>
      <c r="BO3837" s="4"/>
      <c r="BQ3837" s="4"/>
      <c r="CC3837" s="4"/>
      <c r="CD3837" s="4"/>
      <c r="CF3837" s="4"/>
    </row>
    <row r="3838" spans="66:84">
      <c r="BN3838" s="4"/>
      <c r="BO3838" s="4"/>
      <c r="BQ3838" s="4"/>
      <c r="CC3838" s="4"/>
      <c r="CD3838" s="4"/>
      <c r="CF3838" s="4"/>
    </row>
    <row r="3839" spans="66:84">
      <c r="BN3839" s="4"/>
      <c r="BO3839" s="4"/>
      <c r="BQ3839" s="4"/>
      <c r="CC3839" s="4"/>
      <c r="CD3839" s="4"/>
      <c r="CF3839" s="4"/>
    </row>
    <row r="3840" spans="66:84">
      <c r="BN3840" s="4"/>
      <c r="BO3840" s="4"/>
      <c r="BQ3840" s="4"/>
      <c r="CC3840" s="4"/>
      <c r="CD3840" s="4"/>
      <c r="CF3840" s="4"/>
    </row>
    <row r="3841" spans="66:84">
      <c r="BN3841" s="4"/>
      <c r="BO3841" s="4"/>
      <c r="BQ3841" s="4"/>
      <c r="CC3841" s="4"/>
      <c r="CD3841" s="4"/>
      <c r="CF3841" s="4"/>
    </row>
    <row r="3842" spans="66:84">
      <c r="BN3842" s="4"/>
      <c r="BO3842" s="4"/>
      <c r="BQ3842" s="4"/>
      <c r="CC3842" s="4"/>
      <c r="CD3842" s="4"/>
      <c r="CF3842" s="4"/>
    </row>
    <row r="3843" spans="66:84">
      <c r="BN3843" s="4"/>
      <c r="BO3843" s="4"/>
      <c r="BQ3843" s="4"/>
      <c r="CC3843" s="4"/>
      <c r="CD3843" s="4"/>
      <c r="CF3843" s="4"/>
    </row>
    <row r="3844" spans="66:84">
      <c r="BN3844" s="4"/>
      <c r="BO3844" s="4"/>
      <c r="BQ3844" s="4"/>
      <c r="CC3844" s="4"/>
      <c r="CD3844" s="4"/>
      <c r="CF3844" s="4"/>
    </row>
    <row r="3845" spans="66:84">
      <c r="BN3845" s="4"/>
      <c r="BO3845" s="4"/>
      <c r="BQ3845" s="4"/>
      <c r="CC3845" s="4"/>
      <c r="CD3845" s="4"/>
      <c r="CF3845" s="4"/>
    </row>
    <row r="3846" spans="66:84">
      <c r="BN3846" s="4"/>
      <c r="BO3846" s="4"/>
      <c r="BQ3846" s="4"/>
      <c r="CC3846" s="4"/>
      <c r="CD3846" s="4"/>
      <c r="CF3846" s="4"/>
    </row>
    <row r="3847" spans="66:84">
      <c r="BN3847" s="4"/>
      <c r="BO3847" s="4"/>
      <c r="BQ3847" s="4"/>
      <c r="CC3847" s="4"/>
      <c r="CD3847" s="4"/>
      <c r="CF3847" s="4"/>
    </row>
    <row r="3848" spans="66:84">
      <c r="BN3848" s="4"/>
      <c r="BO3848" s="4"/>
      <c r="BQ3848" s="4"/>
      <c r="CC3848" s="4"/>
      <c r="CD3848" s="4"/>
      <c r="CF3848" s="4"/>
    </row>
    <row r="3849" spans="66:84">
      <c r="BN3849" s="4"/>
      <c r="BO3849" s="4"/>
      <c r="BQ3849" s="4"/>
      <c r="CC3849" s="4"/>
      <c r="CD3849" s="4"/>
      <c r="CF3849" s="4"/>
    </row>
    <row r="3850" spans="66:84">
      <c r="BN3850" s="4"/>
      <c r="BO3850" s="4"/>
      <c r="BQ3850" s="4"/>
      <c r="CC3850" s="4"/>
      <c r="CD3850" s="4"/>
      <c r="CF3850" s="4"/>
    </row>
    <row r="3851" spans="66:84">
      <c r="BN3851" s="4"/>
      <c r="BO3851" s="4"/>
      <c r="BQ3851" s="4"/>
      <c r="CC3851" s="4"/>
      <c r="CD3851" s="4"/>
      <c r="CF3851" s="4"/>
    </row>
    <row r="3852" spans="66:84">
      <c r="BN3852" s="4"/>
      <c r="BO3852" s="4"/>
      <c r="BQ3852" s="4"/>
      <c r="CC3852" s="4"/>
      <c r="CD3852" s="4"/>
      <c r="CF3852" s="4"/>
    </row>
    <row r="3853" spans="66:84">
      <c r="BN3853" s="4"/>
      <c r="BO3853" s="4"/>
      <c r="BQ3853" s="4"/>
      <c r="CC3853" s="4"/>
      <c r="CD3853" s="4"/>
      <c r="CF3853" s="4"/>
    </row>
    <row r="3854" spans="66:84">
      <c r="BN3854" s="4"/>
      <c r="BO3854" s="4"/>
      <c r="BQ3854" s="4"/>
      <c r="CC3854" s="4"/>
      <c r="CD3854" s="4"/>
      <c r="CF3854" s="4"/>
    </row>
    <row r="3855" spans="66:84">
      <c r="BN3855" s="4"/>
      <c r="BO3855" s="4"/>
      <c r="BQ3855" s="4"/>
      <c r="CC3855" s="4"/>
      <c r="CD3855" s="4"/>
      <c r="CF3855" s="4"/>
    </row>
    <row r="3856" spans="66:84">
      <c r="BN3856" s="4"/>
      <c r="BO3856" s="4"/>
      <c r="BQ3856" s="4"/>
      <c r="CC3856" s="4"/>
      <c r="CD3856" s="4"/>
      <c r="CF3856" s="4"/>
    </row>
    <row r="3857" spans="66:84">
      <c r="BN3857" s="4"/>
      <c r="BO3857" s="4"/>
      <c r="BQ3857" s="4"/>
      <c r="CC3857" s="4"/>
      <c r="CD3857" s="4"/>
      <c r="CF3857" s="4"/>
    </row>
    <row r="3858" spans="66:84">
      <c r="BN3858" s="4"/>
      <c r="BO3858" s="4"/>
      <c r="BQ3858" s="4"/>
      <c r="CC3858" s="4"/>
      <c r="CD3858" s="4"/>
      <c r="CF3858" s="4"/>
    </row>
    <row r="3859" spans="66:84">
      <c r="BN3859" s="4"/>
      <c r="BO3859" s="4"/>
      <c r="BQ3859" s="4"/>
      <c r="CC3859" s="4"/>
      <c r="CD3859" s="4"/>
      <c r="CF3859" s="4"/>
    </row>
    <row r="3860" spans="66:84">
      <c r="BN3860" s="4"/>
      <c r="BO3860" s="4"/>
      <c r="BQ3860" s="4"/>
      <c r="CC3860" s="4"/>
      <c r="CD3860" s="4"/>
      <c r="CF3860" s="4"/>
    </row>
    <row r="3861" spans="66:84">
      <c r="BN3861" s="4"/>
      <c r="BO3861" s="4"/>
      <c r="BQ3861" s="4"/>
      <c r="CC3861" s="4"/>
      <c r="CD3861" s="4"/>
      <c r="CF3861" s="4"/>
    </row>
    <row r="3862" spans="66:84">
      <c r="BN3862" s="4"/>
      <c r="BO3862" s="4"/>
      <c r="BQ3862" s="4"/>
      <c r="CC3862" s="4"/>
      <c r="CD3862" s="4"/>
      <c r="CF3862" s="4"/>
    </row>
    <row r="3863" spans="66:84">
      <c r="BN3863" s="4"/>
      <c r="BO3863" s="4"/>
      <c r="BQ3863" s="4"/>
      <c r="CC3863" s="4"/>
      <c r="CD3863" s="4"/>
      <c r="CF3863" s="4"/>
    </row>
    <row r="3864" spans="66:84">
      <c r="BN3864" s="4"/>
      <c r="BO3864" s="4"/>
      <c r="BQ3864" s="4"/>
      <c r="CC3864" s="4"/>
      <c r="CD3864" s="4"/>
      <c r="CF3864" s="4"/>
    </row>
    <row r="3865" spans="66:84">
      <c r="BN3865" s="4"/>
      <c r="BO3865" s="4"/>
      <c r="BQ3865" s="4"/>
      <c r="CC3865" s="4"/>
      <c r="CD3865" s="4"/>
      <c r="CF3865" s="4"/>
    </row>
    <row r="3866" spans="66:84">
      <c r="BN3866" s="4"/>
      <c r="BO3866" s="4"/>
      <c r="BQ3866" s="4"/>
      <c r="CC3866" s="4"/>
      <c r="CD3866" s="4"/>
      <c r="CF3866" s="4"/>
    </row>
    <row r="3867" spans="66:84">
      <c r="BN3867" s="4"/>
      <c r="BO3867" s="4"/>
      <c r="BQ3867" s="4"/>
      <c r="CC3867" s="4"/>
      <c r="CD3867" s="4"/>
      <c r="CF3867" s="4"/>
    </row>
    <row r="3868" spans="66:84">
      <c r="BN3868" s="4"/>
      <c r="BO3868" s="4"/>
      <c r="BQ3868" s="4"/>
      <c r="CC3868" s="4"/>
      <c r="CD3868" s="4"/>
      <c r="CF3868" s="4"/>
    </row>
    <row r="3869" spans="66:84">
      <c r="BN3869" s="4"/>
      <c r="BO3869" s="4"/>
      <c r="BQ3869" s="4"/>
      <c r="CC3869" s="4"/>
      <c r="CD3869" s="4"/>
      <c r="CF3869" s="4"/>
    </row>
    <row r="3870" spans="66:84">
      <c r="BN3870" s="4"/>
      <c r="BO3870" s="4"/>
      <c r="BQ3870" s="4"/>
      <c r="CC3870" s="4"/>
      <c r="CD3870" s="4"/>
      <c r="CF3870" s="4"/>
    </row>
    <row r="3871" spans="66:84">
      <c r="BN3871" s="4"/>
      <c r="BO3871" s="4"/>
      <c r="BQ3871" s="4"/>
      <c r="CC3871" s="4"/>
      <c r="CD3871" s="4"/>
      <c r="CF3871" s="4"/>
    </row>
    <row r="3872" spans="66:84">
      <c r="BN3872" s="4"/>
      <c r="BO3872" s="4"/>
      <c r="BQ3872" s="4"/>
      <c r="CC3872" s="4"/>
      <c r="CD3872" s="4"/>
      <c r="CF3872" s="4"/>
    </row>
    <row r="3873" spans="66:84">
      <c r="BN3873" s="4"/>
      <c r="BO3873" s="4"/>
      <c r="BQ3873" s="4"/>
      <c r="CC3873" s="4"/>
      <c r="CD3873" s="4"/>
      <c r="CF3873" s="4"/>
    </row>
    <row r="3874" spans="66:84">
      <c r="BN3874" s="4"/>
      <c r="BO3874" s="4"/>
      <c r="BQ3874" s="4"/>
      <c r="CC3874" s="4"/>
      <c r="CD3874" s="4"/>
      <c r="CF3874" s="4"/>
    </row>
    <row r="3875" spans="66:84">
      <c r="BN3875" s="4"/>
      <c r="BO3875" s="4"/>
      <c r="BQ3875" s="4"/>
      <c r="CC3875" s="4"/>
      <c r="CD3875" s="4"/>
      <c r="CF3875" s="4"/>
    </row>
    <row r="3876" spans="66:84">
      <c r="BN3876" s="4"/>
      <c r="BO3876" s="4"/>
      <c r="BQ3876" s="4"/>
      <c r="CC3876" s="4"/>
      <c r="CD3876" s="4"/>
      <c r="CF3876" s="4"/>
    </row>
    <row r="3877" spans="66:84">
      <c r="BN3877" s="4"/>
      <c r="BO3877" s="4"/>
      <c r="BQ3877" s="4"/>
      <c r="CC3877" s="4"/>
      <c r="CD3877" s="4"/>
      <c r="CF3877" s="4"/>
    </row>
    <row r="3878" spans="66:84">
      <c r="BN3878" s="4"/>
      <c r="BO3878" s="4"/>
      <c r="BQ3878" s="4"/>
      <c r="CC3878" s="4"/>
      <c r="CD3878" s="4"/>
      <c r="CF3878" s="4"/>
    </row>
    <row r="3879" spans="66:84">
      <c r="BN3879" s="4"/>
      <c r="BO3879" s="4"/>
      <c r="BQ3879" s="4"/>
      <c r="CC3879" s="4"/>
      <c r="CD3879" s="4"/>
      <c r="CF3879" s="4"/>
    </row>
    <row r="3880" spans="66:84">
      <c r="BN3880" s="4"/>
      <c r="BO3880" s="4"/>
      <c r="BQ3880" s="4"/>
      <c r="CC3880" s="4"/>
      <c r="CD3880" s="4"/>
      <c r="CF3880" s="4"/>
    </row>
    <row r="3881" spans="66:84">
      <c r="BN3881" s="4"/>
      <c r="BO3881" s="4"/>
      <c r="BQ3881" s="4"/>
      <c r="CC3881" s="4"/>
      <c r="CD3881" s="4"/>
      <c r="CF3881" s="4"/>
    </row>
    <row r="3882" spans="66:84">
      <c r="BN3882" s="4"/>
      <c r="BO3882" s="4"/>
      <c r="BQ3882" s="4"/>
      <c r="CC3882" s="4"/>
      <c r="CD3882" s="4"/>
      <c r="CF3882" s="4"/>
    </row>
    <row r="3883" spans="66:84">
      <c r="BN3883" s="4"/>
      <c r="BO3883" s="4"/>
      <c r="BQ3883" s="4"/>
      <c r="CC3883" s="4"/>
      <c r="CD3883" s="4"/>
      <c r="CF3883" s="4"/>
    </row>
    <row r="3884" spans="66:84">
      <c r="BN3884" s="4"/>
      <c r="BO3884" s="4"/>
      <c r="BQ3884" s="4"/>
      <c r="CC3884" s="4"/>
      <c r="CD3884" s="4"/>
      <c r="CF3884" s="4"/>
    </row>
    <row r="3885" spans="66:84">
      <c r="BN3885" s="4"/>
      <c r="BO3885" s="4"/>
      <c r="BQ3885" s="4"/>
      <c r="CC3885" s="4"/>
      <c r="CD3885" s="4"/>
      <c r="CF3885" s="4"/>
    </row>
    <row r="3886" spans="66:84">
      <c r="BN3886" s="4"/>
      <c r="BO3886" s="4"/>
      <c r="BQ3886" s="4"/>
      <c r="CC3886" s="4"/>
      <c r="CD3886" s="4"/>
      <c r="CF3886" s="4"/>
    </row>
    <row r="3887" spans="66:84">
      <c r="BN3887" s="4"/>
      <c r="BO3887" s="4"/>
      <c r="BQ3887" s="4"/>
      <c r="CC3887" s="4"/>
      <c r="CD3887" s="4"/>
      <c r="CF3887" s="4"/>
    </row>
    <row r="3888" spans="66:84">
      <c r="BN3888" s="4"/>
      <c r="BO3888" s="4"/>
      <c r="BQ3888" s="4"/>
      <c r="CC3888" s="4"/>
      <c r="CD3888" s="4"/>
      <c r="CF3888" s="4"/>
    </row>
    <row r="3889" spans="66:84">
      <c r="BN3889" s="4"/>
      <c r="BO3889" s="4"/>
      <c r="BQ3889" s="4"/>
      <c r="CC3889" s="4"/>
      <c r="CD3889" s="4"/>
      <c r="CF3889" s="4"/>
    </row>
    <row r="3890" spans="66:84">
      <c r="BN3890" s="4"/>
      <c r="BO3890" s="4"/>
      <c r="BQ3890" s="4"/>
      <c r="CC3890" s="4"/>
      <c r="CD3890" s="4"/>
      <c r="CF3890" s="4"/>
    </row>
    <row r="3891" spans="66:84">
      <c r="BN3891" s="4"/>
      <c r="BO3891" s="4"/>
      <c r="BQ3891" s="4"/>
      <c r="CC3891" s="4"/>
      <c r="CD3891" s="4"/>
      <c r="CF3891" s="4"/>
    </row>
    <row r="3892" spans="66:84">
      <c r="BN3892" s="4"/>
      <c r="BO3892" s="4"/>
      <c r="BQ3892" s="4"/>
      <c r="CC3892" s="4"/>
      <c r="CD3892" s="4"/>
      <c r="CF3892" s="4"/>
    </row>
    <row r="3893" spans="66:84">
      <c r="BN3893" s="4"/>
      <c r="BO3893" s="4"/>
      <c r="BQ3893" s="4"/>
      <c r="CC3893" s="4"/>
      <c r="CD3893" s="4"/>
      <c r="CF3893" s="4"/>
    </row>
    <row r="3894" spans="66:84">
      <c r="BN3894" s="4"/>
      <c r="BO3894" s="4"/>
      <c r="BQ3894" s="4"/>
      <c r="CC3894" s="4"/>
      <c r="CD3894" s="4"/>
      <c r="CF3894" s="4"/>
    </row>
    <row r="3895" spans="66:84">
      <c r="BN3895" s="4"/>
      <c r="BO3895" s="4"/>
      <c r="BQ3895" s="4"/>
      <c r="CC3895" s="4"/>
      <c r="CD3895" s="4"/>
      <c r="CF3895" s="4"/>
    </row>
    <row r="3896" spans="66:84">
      <c r="BN3896" s="4"/>
      <c r="BO3896" s="4"/>
      <c r="BQ3896" s="4"/>
      <c r="CC3896" s="4"/>
      <c r="CD3896" s="4"/>
      <c r="CF3896" s="4"/>
    </row>
    <row r="3897" spans="66:84">
      <c r="BN3897" s="4"/>
      <c r="BO3897" s="4"/>
      <c r="BQ3897" s="4"/>
      <c r="CC3897" s="4"/>
      <c r="CD3897" s="4"/>
      <c r="CF3897" s="4"/>
    </row>
    <row r="3898" spans="66:84">
      <c r="BN3898" s="4"/>
      <c r="BO3898" s="4"/>
      <c r="BQ3898" s="4"/>
      <c r="CC3898" s="4"/>
      <c r="CD3898" s="4"/>
      <c r="CF3898" s="4"/>
    </row>
    <row r="3899" spans="66:84">
      <c r="BN3899" s="4"/>
      <c r="BO3899" s="4"/>
      <c r="BQ3899" s="4"/>
      <c r="CC3899" s="4"/>
      <c r="CD3899" s="4"/>
      <c r="CF3899" s="4"/>
    </row>
    <row r="3900" spans="66:84">
      <c r="BN3900" s="4"/>
      <c r="BO3900" s="4"/>
      <c r="BQ3900" s="4"/>
      <c r="CC3900" s="4"/>
      <c r="CD3900" s="4"/>
      <c r="CF3900" s="4"/>
    </row>
    <row r="3901" spans="66:84">
      <c r="BN3901" s="4"/>
      <c r="BO3901" s="4"/>
      <c r="BQ3901" s="4"/>
      <c r="CC3901" s="4"/>
      <c r="CD3901" s="4"/>
      <c r="CF3901" s="4"/>
    </row>
    <row r="3902" spans="66:84">
      <c r="BN3902" s="4"/>
      <c r="BO3902" s="4"/>
      <c r="BQ3902" s="4"/>
      <c r="CC3902" s="4"/>
      <c r="CD3902" s="4"/>
      <c r="CF3902" s="4"/>
    </row>
    <row r="3903" spans="66:84">
      <c r="BN3903" s="4"/>
      <c r="BO3903" s="4"/>
      <c r="BQ3903" s="4"/>
      <c r="CC3903" s="4"/>
      <c r="CD3903" s="4"/>
      <c r="CF3903" s="4"/>
    </row>
    <row r="3904" spans="66:84">
      <c r="BN3904" s="4"/>
      <c r="BO3904" s="4"/>
      <c r="BQ3904" s="4"/>
      <c r="CC3904" s="4"/>
      <c r="CD3904" s="4"/>
      <c r="CF3904" s="4"/>
    </row>
    <row r="3905" spans="66:84">
      <c r="BN3905" s="4"/>
      <c r="BO3905" s="4"/>
      <c r="BQ3905" s="4"/>
      <c r="CC3905" s="4"/>
      <c r="CD3905" s="4"/>
      <c r="CF3905" s="4"/>
    </row>
    <row r="3906" spans="66:84">
      <c r="BN3906" s="4"/>
      <c r="BO3906" s="4"/>
      <c r="BQ3906" s="4"/>
      <c r="CC3906" s="4"/>
      <c r="CD3906" s="4"/>
      <c r="CF3906" s="4"/>
    </row>
    <row r="3907" spans="66:84">
      <c r="BN3907" s="4"/>
      <c r="BO3907" s="4"/>
      <c r="BQ3907" s="4"/>
      <c r="CC3907" s="4"/>
      <c r="CD3907" s="4"/>
      <c r="CF3907" s="4"/>
    </row>
    <row r="3908" spans="66:84">
      <c r="BN3908" s="4"/>
      <c r="BO3908" s="4"/>
      <c r="BQ3908" s="4"/>
      <c r="CC3908" s="4"/>
      <c r="CD3908" s="4"/>
      <c r="CF3908" s="4"/>
    </row>
    <row r="3909" spans="66:84">
      <c r="BN3909" s="4"/>
      <c r="BO3909" s="4"/>
      <c r="BQ3909" s="4"/>
      <c r="CC3909" s="4"/>
      <c r="CD3909" s="4"/>
      <c r="CF3909" s="4"/>
    </row>
    <row r="3910" spans="66:84">
      <c r="BN3910" s="4"/>
      <c r="BO3910" s="4"/>
      <c r="BQ3910" s="4"/>
      <c r="CC3910" s="4"/>
      <c r="CD3910" s="4"/>
      <c r="CF3910" s="4"/>
    </row>
    <row r="3911" spans="66:84">
      <c r="BN3911" s="4"/>
      <c r="BO3911" s="4"/>
      <c r="BQ3911" s="4"/>
      <c r="CC3911" s="4"/>
      <c r="CD3911" s="4"/>
      <c r="CF3911" s="4"/>
    </row>
    <row r="3912" spans="66:84">
      <c r="BN3912" s="4"/>
      <c r="BO3912" s="4"/>
      <c r="BQ3912" s="4"/>
      <c r="CC3912" s="4"/>
      <c r="CD3912" s="4"/>
      <c r="CF3912" s="4"/>
    </row>
    <row r="3913" spans="66:84">
      <c r="BN3913" s="4"/>
      <c r="BO3913" s="4"/>
      <c r="BQ3913" s="4"/>
      <c r="CC3913" s="4"/>
      <c r="CD3913" s="4"/>
      <c r="CF3913" s="4"/>
    </row>
    <row r="3914" spans="66:84">
      <c r="BN3914" s="4"/>
      <c r="BO3914" s="4"/>
      <c r="BQ3914" s="4"/>
      <c r="CC3914" s="4"/>
      <c r="CD3914" s="4"/>
      <c r="CF3914" s="4"/>
    </row>
    <row r="3915" spans="66:84">
      <c r="BN3915" s="4"/>
      <c r="BO3915" s="4"/>
      <c r="BQ3915" s="4"/>
      <c r="CC3915" s="4"/>
      <c r="CD3915" s="4"/>
      <c r="CF3915" s="4"/>
    </row>
    <row r="3916" spans="66:84">
      <c r="BN3916" s="4"/>
      <c r="BO3916" s="4"/>
      <c r="BQ3916" s="4"/>
      <c r="CC3916" s="4"/>
      <c r="CD3916" s="4"/>
      <c r="CF3916" s="4"/>
    </row>
    <row r="3917" spans="66:84">
      <c r="BN3917" s="4"/>
      <c r="BO3917" s="4"/>
      <c r="BQ3917" s="4"/>
      <c r="CC3917" s="4"/>
      <c r="CD3917" s="4"/>
      <c r="CF3917" s="4"/>
    </row>
    <row r="3918" spans="66:84">
      <c r="BN3918" s="4"/>
      <c r="BO3918" s="4"/>
      <c r="BQ3918" s="4"/>
      <c r="CC3918" s="4"/>
      <c r="CD3918" s="4"/>
      <c r="CF3918" s="4"/>
    </row>
    <row r="3919" spans="66:84">
      <c r="BN3919" s="4"/>
      <c r="BO3919" s="4"/>
      <c r="BQ3919" s="4"/>
      <c r="CC3919" s="4"/>
      <c r="CD3919" s="4"/>
      <c r="CF3919" s="4"/>
    </row>
    <row r="3920" spans="66:84">
      <c r="BN3920" s="4"/>
      <c r="BO3920" s="4"/>
      <c r="BQ3920" s="4"/>
      <c r="CC3920" s="4"/>
      <c r="CD3920" s="4"/>
      <c r="CF3920" s="4"/>
    </row>
    <row r="3921" spans="66:84">
      <c r="BN3921" s="4"/>
      <c r="BO3921" s="4"/>
      <c r="BQ3921" s="4"/>
      <c r="CC3921" s="4"/>
      <c r="CD3921" s="4"/>
      <c r="CF3921" s="4"/>
    </row>
    <row r="3922" spans="66:84">
      <c r="BN3922" s="4"/>
      <c r="BO3922" s="4"/>
      <c r="BQ3922" s="4"/>
      <c r="CC3922" s="4"/>
      <c r="CD3922" s="4"/>
      <c r="CF3922" s="4"/>
    </row>
    <row r="3923" spans="66:84">
      <c r="BN3923" s="4"/>
      <c r="BO3923" s="4"/>
      <c r="BQ3923" s="4"/>
      <c r="CC3923" s="4"/>
      <c r="CD3923" s="4"/>
      <c r="CF3923" s="4"/>
    </row>
    <row r="3924" spans="66:84">
      <c r="BN3924" s="4"/>
      <c r="BO3924" s="4"/>
      <c r="BQ3924" s="4"/>
      <c r="CC3924" s="4"/>
      <c r="CD3924" s="4"/>
      <c r="CF3924" s="4"/>
    </row>
    <row r="3925" spans="66:84">
      <c r="BN3925" s="4"/>
      <c r="BO3925" s="4"/>
      <c r="BQ3925" s="4"/>
      <c r="CC3925" s="4"/>
      <c r="CD3925" s="4"/>
      <c r="CF3925" s="4"/>
    </row>
    <row r="3926" spans="66:84">
      <c r="BN3926" s="4"/>
      <c r="BO3926" s="4"/>
      <c r="BQ3926" s="4"/>
      <c r="CC3926" s="4"/>
      <c r="CD3926" s="4"/>
      <c r="CF3926" s="4"/>
    </row>
    <row r="3927" spans="66:84">
      <c r="BN3927" s="4"/>
      <c r="BO3927" s="4"/>
      <c r="BQ3927" s="4"/>
      <c r="CC3927" s="4"/>
      <c r="CD3927" s="4"/>
      <c r="CF3927" s="4"/>
    </row>
    <row r="3928" spans="66:84">
      <c r="BN3928" s="4"/>
      <c r="BO3928" s="4"/>
      <c r="BQ3928" s="4"/>
      <c r="CC3928" s="4"/>
      <c r="CD3928" s="4"/>
      <c r="CF3928" s="4"/>
    </row>
    <row r="3929" spans="66:84">
      <c r="BN3929" s="4"/>
      <c r="BO3929" s="4"/>
      <c r="BQ3929" s="4"/>
      <c r="CC3929" s="4"/>
      <c r="CD3929" s="4"/>
      <c r="CF3929" s="4"/>
    </row>
    <row r="3930" spans="66:84">
      <c r="BN3930" s="4"/>
      <c r="BO3930" s="4"/>
      <c r="BQ3930" s="4"/>
      <c r="CC3930" s="4"/>
      <c r="CD3930" s="4"/>
      <c r="CF3930" s="4"/>
    </row>
    <row r="3931" spans="66:84">
      <c r="BN3931" s="4"/>
      <c r="BO3931" s="4"/>
      <c r="BQ3931" s="4"/>
      <c r="CC3931" s="4"/>
      <c r="CD3931" s="4"/>
      <c r="CF3931" s="4"/>
    </row>
    <row r="3932" spans="66:84">
      <c r="BN3932" s="4"/>
      <c r="BO3932" s="4"/>
      <c r="BQ3932" s="4"/>
      <c r="CC3932" s="4"/>
      <c r="CD3932" s="4"/>
      <c r="CF3932" s="4"/>
    </row>
    <row r="3933" spans="66:84">
      <c r="BN3933" s="4"/>
      <c r="BO3933" s="4"/>
      <c r="BQ3933" s="4"/>
      <c r="CC3933" s="4"/>
      <c r="CD3933" s="4"/>
      <c r="CF3933" s="4"/>
    </row>
    <row r="3934" spans="66:84">
      <c r="BN3934" s="4"/>
      <c r="BO3934" s="4"/>
      <c r="BQ3934" s="4"/>
      <c r="CC3934" s="4"/>
      <c r="CD3934" s="4"/>
      <c r="CF3934" s="4"/>
    </row>
    <row r="3935" spans="66:84">
      <c r="BN3935" s="4"/>
      <c r="BO3935" s="4"/>
      <c r="BQ3935" s="4"/>
      <c r="CC3935" s="4"/>
      <c r="CD3935" s="4"/>
      <c r="CF3935" s="4"/>
    </row>
    <row r="3936" spans="66:84">
      <c r="BN3936" s="4"/>
      <c r="BO3936" s="4"/>
      <c r="BQ3936" s="4"/>
      <c r="CC3936" s="4"/>
      <c r="CD3936" s="4"/>
      <c r="CF3936" s="4"/>
    </row>
    <row r="3937" spans="66:84">
      <c r="BN3937" s="4"/>
      <c r="BO3937" s="4"/>
      <c r="BQ3937" s="4"/>
      <c r="CC3937" s="4"/>
      <c r="CD3937" s="4"/>
      <c r="CF3937" s="4"/>
    </row>
    <row r="3938" spans="66:84">
      <c r="BN3938" s="4"/>
      <c r="BO3938" s="4"/>
      <c r="BQ3938" s="4"/>
      <c r="CC3938" s="4"/>
      <c r="CD3938" s="4"/>
      <c r="CF3938" s="4"/>
    </row>
    <row r="3939" spans="66:84">
      <c r="BN3939" s="4"/>
      <c r="BO3939" s="4"/>
      <c r="BQ3939" s="4"/>
      <c r="CC3939" s="4"/>
      <c r="CD3939" s="4"/>
      <c r="CF3939" s="4"/>
    </row>
    <row r="3940" spans="66:84">
      <c r="BN3940" s="4"/>
      <c r="BO3940" s="4"/>
      <c r="BQ3940" s="4"/>
      <c r="CC3940" s="4"/>
      <c r="CD3940" s="4"/>
      <c r="CF3940" s="4"/>
    </row>
    <row r="3941" spans="66:84">
      <c r="BN3941" s="4"/>
      <c r="BO3941" s="4"/>
      <c r="BQ3941" s="4"/>
      <c r="CC3941" s="4"/>
      <c r="CD3941" s="4"/>
      <c r="CF3941" s="4"/>
    </row>
    <row r="3942" spans="66:84">
      <c r="BN3942" s="4"/>
      <c r="BO3942" s="4"/>
      <c r="BQ3942" s="4"/>
      <c r="CC3942" s="4"/>
      <c r="CD3942" s="4"/>
      <c r="CF3942" s="4"/>
    </row>
    <row r="3943" spans="66:84">
      <c r="BN3943" s="4"/>
      <c r="BO3943" s="4"/>
      <c r="BQ3943" s="4"/>
      <c r="CC3943" s="4"/>
      <c r="CD3943" s="4"/>
      <c r="CF3943" s="4"/>
    </row>
    <row r="3944" spans="66:84">
      <c r="BN3944" s="4"/>
      <c r="BO3944" s="4"/>
      <c r="BQ3944" s="4"/>
      <c r="CC3944" s="4"/>
      <c r="CD3944" s="4"/>
      <c r="CF3944" s="4"/>
    </row>
    <row r="3945" spans="66:84">
      <c r="BN3945" s="4"/>
      <c r="BO3945" s="4"/>
      <c r="BQ3945" s="4"/>
      <c r="CC3945" s="4"/>
      <c r="CD3945" s="4"/>
      <c r="CF3945" s="4"/>
    </row>
    <row r="3946" spans="66:84">
      <c r="BN3946" s="4"/>
      <c r="BO3946" s="4"/>
      <c r="BQ3946" s="4"/>
      <c r="CC3946" s="4"/>
      <c r="CD3946" s="4"/>
      <c r="CF3946" s="4"/>
    </row>
    <row r="3947" spans="66:84">
      <c r="BN3947" s="4"/>
      <c r="BO3947" s="4"/>
      <c r="BQ3947" s="4"/>
      <c r="CC3947" s="4"/>
      <c r="CD3947" s="4"/>
      <c r="CF3947" s="4"/>
    </row>
    <row r="3948" spans="66:84">
      <c r="BN3948" s="4"/>
      <c r="BO3948" s="4"/>
      <c r="BQ3948" s="4"/>
      <c r="CC3948" s="4"/>
      <c r="CD3948" s="4"/>
      <c r="CF3948" s="4"/>
    </row>
    <row r="3949" spans="66:84">
      <c r="BN3949" s="4"/>
      <c r="BO3949" s="4"/>
      <c r="BQ3949" s="4"/>
      <c r="CC3949" s="4"/>
      <c r="CD3949" s="4"/>
      <c r="CF3949" s="4"/>
    </row>
    <row r="3950" spans="66:84">
      <c r="BN3950" s="4"/>
      <c r="BO3950" s="4"/>
      <c r="BQ3950" s="4"/>
      <c r="CC3950" s="4"/>
      <c r="CD3950" s="4"/>
      <c r="CF3950" s="4"/>
    </row>
    <row r="3951" spans="66:84">
      <c r="BN3951" s="4"/>
      <c r="BO3951" s="4"/>
      <c r="BQ3951" s="4"/>
      <c r="CC3951" s="4"/>
      <c r="CD3951" s="4"/>
      <c r="CF3951" s="4"/>
    </row>
    <row r="3952" spans="66:84">
      <c r="BN3952" s="4"/>
      <c r="BO3952" s="4"/>
      <c r="BQ3952" s="4"/>
      <c r="CC3952" s="4"/>
      <c r="CD3952" s="4"/>
      <c r="CF3952" s="4"/>
    </row>
    <row r="3953" spans="66:84">
      <c r="BN3953" s="4"/>
      <c r="BO3953" s="4"/>
      <c r="BQ3953" s="4"/>
      <c r="CC3953" s="4"/>
      <c r="CD3953" s="4"/>
      <c r="CF3953" s="4"/>
    </row>
    <row r="3954" spans="66:84">
      <c r="BN3954" s="4"/>
      <c r="BO3954" s="4"/>
      <c r="BQ3954" s="4"/>
      <c r="CC3954" s="4"/>
      <c r="CD3954" s="4"/>
      <c r="CF3954" s="4"/>
    </row>
    <row r="3955" spans="66:84">
      <c r="BN3955" s="4"/>
      <c r="BO3955" s="4"/>
      <c r="BQ3955" s="4"/>
      <c r="CC3955" s="4"/>
      <c r="CD3955" s="4"/>
      <c r="CF3955" s="4"/>
    </row>
    <row r="3956" spans="66:84">
      <c r="BN3956" s="4"/>
      <c r="BO3956" s="4"/>
      <c r="BQ3956" s="4"/>
      <c r="CC3956" s="4"/>
      <c r="CD3956" s="4"/>
      <c r="CF3956" s="4"/>
    </row>
    <row r="3957" spans="66:84">
      <c r="BN3957" s="4"/>
      <c r="BO3957" s="4"/>
      <c r="BQ3957" s="4"/>
      <c r="CC3957" s="4"/>
      <c r="CD3957" s="4"/>
      <c r="CF3957" s="4"/>
    </row>
    <row r="3958" spans="66:84">
      <c r="BN3958" s="4"/>
      <c r="BO3958" s="4"/>
      <c r="BQ3958" s="4"/>
      <c r="CC3958" s="4"/>
      <c r="CD3958" s="4"/>
      <c r="CF3958" s="4"/>
    </row>
    <row r="3959" spans="66:84">
      <c r="BN3959" s="4"/>
      <c r="BO3959" s="4"/>
      <c r="BQ3959" s="4"/>
      <c r="CC3959" s="4"/>
      <c r="CD3959" s="4"/>
      <c r="CF3959" s="4"/>
    </row>
    <row r="3960" spans="66:84">
      <c r="BN3960" s="4"/>
      <c r="BO3960" s="4"/>
      <c r="BQ3960" s="4"/>
      <c r="CC3960" s="4"/>
      <c r="CD3960" s="4"/>
      <c r="CF3960" s="4"/>
    </row>
    <row r="3961" spans="66:84">
      <c r="BN3961" s="4"/>
      <c r="BO3961" s="4"/>
      <c r="BQ3961" s="4"/>
      <c r="CC3961" s="4"/>
      <c r="CD3961" s="4"/>
      <c r="CF3961" s="4"/>
    </row>
    <row r="3962" spans="66:84">
      <c r="BN3962" s="4"/>
      <c r="BO3962" s="4"/>
      <c r="BQ3962" s="4"/>
      <c r="CC3962" s="4"/>
      <c r="CD3962" s="4"/>
      <c r="CF3962" s="4"/>
    </row>
    <row r="3963" spans="66:84">
      <c r="BN3963" s="4"/>
      <c r="BO3963" s="4"/>
      <c r="BQ3963" s="4"/>
      <c r="CC3963" s="4"/>
      <c r="CD3963" s="4"/>
      <c r="CF3963" s="4"/>
    </row>
    <row r="3964" spans="66:84">
      <c r="BN3964" s="4"/>
      <c r="BO3964" s="4"/>
      <c r="BQ3964" s="4"/>
      <c r="CC3964" s="4"/>
      <c r="CD3964" s="4"/>
      <c r="CF3964" s="4"/>
    </row>
    <row r="3965" spans="66:84">
      <c r="BN3965" s="4"/>
      <c r="BO3965" s="4"/>
      <c r="BQ3965" s="4"/>
      <c r="CC3965" s="4"/>
      <c r="CD3965" s="4"/>
      <c r="CF3965" s="4"/>
    </row>
    <row r="3966" spans="66:84">
      <c r="BN3966" s="4"/>
      <c r="BO3966" s="4"/>
      <c r="BQ3966" s="4"/>
      <c r="CC3966" s="4"/>
      <c r="CD3966" s="4"/>
      <c r="CF3966" s="4"/>
    </row>
    <row r="3967" spans="66:84">
      <c r="BN3967" s="4"/>
      <c r="BO3967" s="4"/>
      <c r="BQ3967" s="4"/>
      <c r="CC3967" s="4"/>
      <c r="CD3967" s="4"/>
      <c r="CF3967" s="4"/>
    </row>
    <row r="3968" spans="66:84">
      <c r="BN3968" s="4"/>
      <c r="BO3968" s="4"/>
      <c r="BQ3968" s="4"/>
      <c r="CC3968" s="4"/>
      <c r="CD3968" s="4"/>
      <c r="CF3968" s="4"/>
    </row>
    <row r="3969" spans="66:84">
      <c r="BN3969" s="4"/>
      <c r="BO3969" s="4"/>
      <c r="BQ3969" s="4"/>
      <c r="CC3969" s="4"/>
      <c r="CD3969" s="4"/>
      <c r="CF3969" s="4"/>
    </row>
    <row r="3970" spans="66:84">
      <c r="BN3970" s="4"/>
      <c r="BO3970" s="4"/>
      <c r="BQ3970" s="4"/>
      <c r="CC3970" s="4"/>
      <c r="CD3970" s="4"/>
      <c r="CF3970" s="4"/>
    </row>
    <row r="3971" spans="66:84">
      <c r="BN3971" s="4"/>
      <c r="BO3971" s="4"/>
      <c r="BQ3971" s="4"/>
      <c r="CC3971" s="4"/>
      <c r="CD3971" s="4"/>
      <c r="CF3971" s="4"/>
    </row>
    <row r="3972" spans="66:84">
      <c r="BN3972" s="4"/>
      <c r="BO3972" s="4"/>
      <c r="BQ3972" s="4"/>
      <c r="CC3972" s="4"/>
      <c r="CD3972" s="4"/>
      <c r="CF3972" s="4"/>
    </row>
    <row r="3973" spans="66:84">
      <c r="BN3973" s="4"/>
      <c r="BO3973" s="4"/>
      <c r="BQ3973" s="4"/>
      <c r="CC3973" s="4"/>
      <c r="CD3973" s="4"/>
      <c r="CF3973" s="4"/>
    </row>
    <row r="3974" spans="66:84">
      <c r="BN3974" s="4"/>
      <c r="BO3974" s="4"/>
      <c r="BQ3974" s="4"/>
      <c r="CC3974" s="4"/>
      <c r="CD3974" s="4"/>
      <c r="CF3974" s="4"/>
    </row>
    <row r="3975" spans="66:84">
      <c r="BN3975" s="4"/>
      <c r="BO3975" s="4"/>
      <c r="BQ3975" s="4"/>
      <c r="CC3975" s="4"/>
      <c r="CD3975" s="4"/>
      <c r="CF3975" s="4"/>
    </row>
    <row r="3976" spans="66:84">
      <c r="BN3976" s="4"/>
      <c r="BO3976" s="4"/>
      <c r="BQ3976" s="4"/>
      <c r="CC3976" s="4"/>
      <c r="CD3976" s="4"/>
      <c r="CF3976" s="4"/>
    </row>
    <row r="3977" spans="66:84">
      <c r="BN3977" s="4"/>
      <c r="BO3977" s="4"/>
      <c r="BQ3977" s="4"/>
      <c r="CC3977" s="4"/>
      <c r="CD3977" s="4"/>
      <c r="CF3977" s="4"/>
    </row>
    <row r="3978" spans="66:84">
      <c r="BN3978" s="4"/>
      <c r="BO3978" s="4"/>
      <c r="BQ3978" s="4"/>
      <c r="CC3978" s="4"/>
      <c r="CD3978" s="4"/>
      <c r="CF3978" s="4"/>
    </row>
    <row r="3979" spans="66:84">
      <c r="BN3979" s="4"/>
      <c r="BO3979" s="4"/>
      <c r="BQ3979" s="4"/>
      <c r="CC3979" s="4"/>
      <c r="CD3979" s="4"/>
      <c r="CF3979" s="4"/>
    </row>
    <row r="3980" spans="66:84">
      <c r="BN3980" s="4"/>
      <c r="BO3980" s="4"/>
      <c r="BQ3980" s="4"/>
      <c r="CC3980" s="4"/>
      <c r="CD3980" s="4"/>
      <c r="CF3980" s="4"/>
    </row>
    <row r="3981" spans="66:84">
      <c r="BN3981" s="4"/>
      <c r="BO3981" s="4"/>
      <c r="BQ3981" s="4"/>
      <c r="CC3981" s="4"/>
      <c r="CD3981" s="4"/>
      <c r="CF3981" s="4"/>
    </row>
    <row r="3982" spans="66:84">
      <c r="BN3982" s="4"/>
      <c r="BO3982" s="4"/>
      <c r="BQ3982" s="4"/>
      <c r="CC3982" s="4"/>
      <c r="CD3982" s="4"/>
      <c r="CF3982" s="4"/>
    </row>
    <row r="3983" spans="66:84">
      <c r="BN3983" s="4"/>
      <c r="BO3983" s="4"/>
      <c r="BQ3983" s="4"/>
      <c r="CC3983" s="4"/>
      <c r="CD3983" s="4"/>
      <c r="CF3983" s="4"/>
    </row>
    <row r="3984" spans="66:84">
      <c r="BN3984" s="4"/>
      <c r="BO3984" s="4"/>
      <c r="BQ3984" s="4"/>
      <c r="CC3984" s="4"/>
      <c r="CD3984" s="4"/>
      <c r="CF3984" s="4"/>
    </row>
    <row r="3985" spans="66:84">
      <c r="BN3985" s="4"/>
      <c r="BO3985" s="4"/>
      <c r="BQ3985" s="4"/>
      <c r="CC3985" s="4"/>
      <c r="CD3985" s="4"/>
      <c r="CF3985" s="4"/>
    </row>
    <row r="3986" spans="66:84">
      <c r="BN3986" s="4"/>
      <c r="BO3986" s="4"/>
      <c r="BQ3986" s="4"/>
      <c r="CC3986" s="4"/>
      <c r="CD3986" s="4"/>
      <c r="CF3986" s="4"/>
    </row>
    <row r="3987" spans="66:84">
      <c r="BN3987" s="4"/>
      <c r="BO3987" s="4"/>
      <c r="BQ3987" s="4"/>
      <c r="CC3987" s="4"/>
      <c r="CD3987" s="4"/>
      <c r="CF3987" s="4"/>
    </row>
    <row r="3988" spans="66:84">
      <c r="BN3988" s="4"/>
      <c r="BO3988" s="4"/>
      <c r="BQ3988" s="4"/>
      <c r="CC3988" s="4"/>
      <c r="CD3988" s="4"/>
      <c r="CF3988" s="4"/>
    </row>
    <row r="3989" spans="66:84">
      <c r="BN3989" s="4"/>
      <c r="BO3989" s="4"/>
      <c r="BQ3989" s="4"/>
      <c r="CC3989" s="4"/>
      <c r="CD3989" s="4"/>
      <c r="CF3989" s="4"/>
    </row>
    <row r="3990" spans="66:84">
      <c r="BN3990" s="4"/>
      <c r="BO3990" s="4"/>
      <c r="BQ3990" s="4"/>
      <c r="CC3990" s="4"/>
      <c r="CD3990" s="4"/>
      <c r="CF3990" s="4"/>
    </row>
    <row r="3991" spans="66:84">
      <c r="BN3991" s="4"/>
      <c r="BO3991" s="4"/>
      <c r="BQ3991" s="4"/>
      <c r="CC3991" s="4"/>
      <c r="CD3991" s="4"/>
      <c r="CF3991" s="4"/>
    </row>
    <row r="3992" spans="66:84">
      <c r="BN3992" s="4"/>
      <c r="BO3992" s="4"/>
      <c r="BQ3992" s="4"/>
      <c r="CC3992" s="4"/>
      <c r="CD3992" s="4"/>
      <c r="CF3992" s="4"/>
    </row>
    <row r="3993" spans="66:84">
      <c r="BN3993" s="4"/>
      <c r="BO3993" s="4"/>
      <c r="BQ3993" s="4"/>
      <c r="CC3993" s="4"/>
      <c r="CD3993" s="4"/>
      <c r="CF3993" s="4"/>
    </row>
    <row r="3994" spans="66:84">
      <c r="BN3994" s="4"/>
      <c r="BO3994" s="4"/>
      <c r="BQ3994" s="4"/>
      <c r="CC3994" s="4"/>
      <c r="CD3994" s="4"/>
      <c r="CF3994" s="4"/>
    </row>
    <row r="3995" spans="66:84">
      <c r="BN3995" s="4"/>
      <c r="BO3995" s="4"/>
      <c r="BQ3995" s="4"/>
      <c r="CC3995" s="4"/>
      <c r="CD3995" s="4"/>
      <c r="CF3995" s="4"/>
    </row>
    <row r="3996" spans="66:84">
      <c r="BN3996" s="4"/>
      <c r="BO3996" s="4"/>
      <c r="BQ3996" s="4"/>
      <c r="CC3996" s="4"/>
      <c r="CD3996" s="4"/>
      <c r="CF3996" s="4"/>
    </row>
    <row r="3997" spans="66:84">
      <c r="BN3997" s="4"/>
      <c r="BO3997" s="4"/>
      <c r="BQ3997" s="4"/>
      <c r="CC3997" s="4"/>
      <c r="CD3997" s="4"/>
      <c r="CF3997" s="4"/>
    </row>
    <row r="3998" spans="66:84">
      <c r="BN3998" s="4"/>
      <c r="BO3998" s="4"/>
      <c r="BQ3998" s="4"/>
      <c r="CC3998" s="4"/>
      <c r="CD3998" s="4"/>
      <c r="CF3998" s="4"/>
    </row>
    <row r="3999" spans="66:84">
      <c r="BN3999" s="4"/>
      <c r="BO3999" s="4"/>
      <c r="BQ3999" s="4"/>
      <c r="CC3999" s="4"/>
      <c r="CD3999" s="4"/>
      <c r="CF3999" s="4"/>
    </row>
    <row r="4000" spans="66:84">
      <c r="BN4000" s="4"/>
      <c r="BO4000" s="4"/>
      <c r="BQ4000" s="4"/>
      <c r="CC4000" s="4"/>
      <c r="CD4000" s="4"/>
      <c r="CF4000" s="4"/>
    </row>
    <row r="4001" spans="66:84">
      <c r="BN4001" s="4"/>
      <c r="BO4001" s="4"/>
      <c r="BQ4001" s="4"/>
      <c r="CC4001" s="4"/>
      <c r="CD4001" s="4"/>
      <c r="CF4001" s="4"/>
    </row>
    <row r="4002" spans="66:84">
      <c r="BN4002" s="4"/>
      <c r="BO4002" s="4"/>
      <c r="BQ4002" s="4"/>
      <c r="CC4002" s="4"/>
      <c r="CD4002" s="4"/>
      <c r="CF4002" s="4"/>
    </row>
    <row r="4003" spans="66:84">
      <c r="BN4003" s="4"/>
      <c r="BO4003" s="4"/>
      <c r="BQ4003" s="4"/>
      <c r="CC4003" s="4"/>
      <c r="CD4003" s="4"/>
      <c r="CF4003" s="4"/>
    </row>
    <row r="4004" spans="66:84">
      <c r="BN4004" s="4"/>
      <c r="BO4004" s="4"/>
      <c r="BQ4004" s="4"/>
      <c r="CC4004" s="4"/>
      <c r="CD4004" s="4"/>
      <c r="CF4004" s="4"/>
    </row>
    <row r="4005" spans="66:84">
      <c r="BN4005" s="4"/>
      <c r="BO4005" s="4"/>
      <c r="BQ4005" s="4"/>
      <c r="CC4005" s="4"/>
      <c r="CD4005" s="4"/>
      <c r="CF4005" s="4"/>
    </row>
    <row r="4006" spans="66:84">
      <c r="BN4006" s="4"/>
      <c r="BO4006" s="4"/>
      <c r="BQ4006" s="4"/>
      <c r="CC4006" s="4"/>
      <c r="CD4006" s="4"/>
      <c r="CF4006" s="4"/>
    </row>
    <row r="4007" spans="66:84">
      <c r="BN4007" s="4"/>
      <c r="BO4007" s="4"/>
      <c r="BQ4007" s="4"/>
      <c r="CC4007" s="4"/>
      <c r="CD4007" s="4"/>
      <c r="CF4007" s="4"/>
    </row>
    <row r="4008" spans="66:84">
      <c r="BN4008" s="4"/>
      <c r="BO4008" s="4"/>
      <c r="BQ4008" s="4"/>
      <c r="CC4008" s="4"/>
      <c r="CD4008" s="4"/>
      <c r="CF4008" s="4"/>
    </row>
    <row r="4009" spans="66:84">
      <c r="BN4009" s="4"/>
      <c r="BO4009" s="4"/>
      <c r="BQ4009" s="4"/>
      <c r="CC4009" s="4"/>
      <c r="CD4009" s="4"/>
      <c r="CF4009" s="4"/>
    </row>
    <row r="4010" spans="66:84">
      <c r="BN4010" s="4"/>
      <c r="BO4010" s="4"/>
      <c r="BQ4010" s="4"/>
      <c r="CC4010" s="4"/>
      <c r="CD4010" s="4"/>
      <c r="CF4010" s="4"/>
    </row>
    <row r="4011" spans="66:84">
      <c r="BN4011" s="4"/>
      <c r="BO4011" s="4"/>
      <c r="BQ4011" s="4"/>
      <c r="CC4011" s="4"/>
      <c r="CD4011" s="4"/>
      <c r="CF4011" s="4"/>
    </row>
    <row r="4012" spans="66:84">
      <c r="BN4012" s="4"/>
      <c r="BO4012" s="4"/>
      <c r="BQ4012" s="4"/>
      <c r="CC4012" s="4"/>
      <c r="CD4012" s="4"/>
      <c r="CF4012" s="4"/>
    </row>
    <row r="4013" spans="66:84">
      <c r="BN4013" s="4"/>
      <c r="BO4013" s="4"/>
      <c r="BQ4013" s="4"/>
      <c r="CC4013" s="4"/>
      <c r="CD4013" s="4"/>
      <c r="CF4013" s="4"/>
    </row>
    <row r="4014" spans="66:84">
      <c r="BN4014" s="4"/>
      <c r="BO4014" s="4"/>
      <c r="BQ4014" s="4"/>
      <c r="CC4014" s="4"/>
      <c r="CD4014" s="4"/>
      <c r="CF4014" s="4"/>
    </row>
    <row r="4015" spans="66:84">
      <c r="BN4015" s="4"/>
      <c r="BO4015" s="4"/>
      <c r="BQ4015" s="4"/>
      <c r="CC4015" s="4"/>
      <c r="CD4015" s="4"/>
      <c r="CF4015" s="4"/>
    </row>
    <row r="4016" spans="66:84">
      <c r="BN4016" s="4"/>
      <c r="BO4016" s="4"/>
      <c r="BQ4016" s="4"/>
      <c r="CC4016" s="4"/>
      <c r="CD4016" s="4"/>
      <c r="CF4016" s="4"/>
    </row>
    <row r="4017" spans="66:84">
      <c r="BN4017" s="4"/>
      <c r="BO4017" s="4"/>
      <c r="BQ4017" s="4"/>
      <c r="CC4017" s="4"/>
      <c r="CD4017" s="4"/>
      <c r="CF4017" s="4"/>
    </row>
    <row r="4018" spans="66:84">
      <c r="BN4018" s="4"/>
      <c r="BO4018" s="4"/>
      <c r="BQ4018" s="4"/>
      <c r="CC4018" s="4"/>
      <c r="CD4018" s="4"/>
      <c r="CF4018" s="4"/>
    </row>
    <row r="4019" spans="66:84">
      <c r="BN4019" s="4"/>
      <c r="BO4019" s="4"/>
      <c r="BQ4019" s="4"/>
      <c r="CC4019" s="4"/>
      <c r="CD4019" s="4"/>
      <c r="CF4019" s="4"/>
    </row>
    <row r="4020" spans="66:84">
      <c r="BN4020" s="4"/>
      <c r="BO4020" s="4"/>
      <c r="BQ4020" s="4"/>
      <c r="CC4020" s="4"/>
      <c r="CD4020" s="4"/>
      <c r="CF4020" s="4"/>
    </row>
    <row r="4021" spans="66:84">
      <c r="BN4021" s="4"/>
      <c r="BO4021" s="4"/>
      <c r="BQ4021" s="4"/>
      <c r="CC4021" s="4"/>
      <c r="CD4021" s="4"/>
      <c r="CF4021" s="4"/>
    </row>
    <row r="4022" spans="66:84">
      <c r="BN4022" s="4"/>
      <c r="BO4022" s="4"/>
      <c r="BQ4022" s="4"/>
      <c r="CC4022" s="4"/>
      <c r="CD4022" s="4"/>
      <c r="CF4022" s="4"/>
    </row>
    <row r="4023" spans="66:84">
      <c r="BN4023" s="4"/>
      <c r="BO4023" s="4"/>
      <c r="BQ4023" s="4"/>
      <c r="CC4023" s="4"/>
      <c r="CD4023" s="4"/>
      <c r="CF4023" s="4"/>
    </row>
    <row r="4024" spans="66:84">
      <c r="BN4024" s="4"/>
      <c r="BO4024" s="4"/>
      <c r="BQ4024" s="4"/>
      <c r="CC4024" s="4"/>
      <c r="CD4024" s="4"/>
      <c r="CF4024" s="4"/>
    </row>
    <row r="4025" spans="66:84">
      <c r="BN4025" s="4"/>
      <c r="BO4025" s="4"/>
      <c r="BQ4025" s="4"/>
      <c r="CC4025" s="4"/>
      <c r="CD4025" s="4"/>
      <c r="CF4025" s="4"/>
    </row>
    <row r="4026" spans="66:84">
      <c r="BN4026" s="4"/>
      <c r="BO4026" s="4"/>
      <c r="BQ4026" s="4"/>
      <c r="CC4026" s="4"/>
      <c r="CD4026" s="4"/>
      <c r="CF4026" s="4"/>
    </row>
    <row r="4027" spans="66:84">
      <c r="BN4027" s="4"/>
      <c r="BO4027" s="4"/>
      <c r="BQ4027" s="4"/>
      <c r="CC4027" s="4"/>
      <c r="CD4027" s="4"/>
      <c r="CF4027" s="4"/>
    </row>
    <row r="4028" spans="66:84">
      <c r="BN4028" s="4"/>
      <c r="BO4028" s="4"/>
      <c r="BQ4028" s="4"/>
      <c r="CC4028" s="4"/>
      <c r="CD4028" s="4"/>
      <c r="CF4028" s="4"/>
    </row>
    <row r="4029" spans="66:84">
      <c r="BN4029" s="4"/>
      <c r="BO4029" s="4"/>
      <c r="BQ4029" s="4"/>
      <c r="CC4029" s="4"/>
      <c r="CD4029" s="4"/>
      <c r="CF4029" s="4"/>
    </row>
    <row r="4030" spans="66:84">
      <c r="BN4030" s="4"/>
      <c r="BO4030" s="4"/>
      <c r="BQ4030" s="4"/>
      <c r="CC4030" s="4"/>
      <c r="CD4030" s="4"/>
      <c r="CF4030" s="4"/>
    </row>
    <row r="4031" spans="66:84">
      <c r="BN4031" s="4"/>
      <c r="BO4031" s="4"/>
      <c r="BQ4031" s="4"/>
      <c r="CC4031" s="4"/>
      <c r="CD4031" s="4"/>
      <c r="CF4031" s="4"/>
    </row>
    <row r="4032" spans="66:84">
      <c r="BN4032" s="4"/>
      <c r="BO4032" s="4"/>
      <c r="BQ4032" s="4"/>
      <c r="CC4032" s="4"/>
      <c r="CD4032" s="4"/>
      <c r="CF4032" s="4"/>
    </row>
    <row r="4033" spans="66:84">
      <c r="BN4033" s="4"/>
      <c r="BO4033" s="4"/>
      <c r="BQ4033" s="4"/>
      <c r="CC4033" s="4"/>
      <c r="CD4033" s="4"/>
      <c r="CF4033" s="4"/>
    </row>
    <row r="4034" spans="66:84">
      <c r="BN4034" s="4"/>
      <c r="BO4034" s="4"/>
      <c r="BQ4034" s="4"/>
      <c r="CC4034" s="4"/>
      <c r="CD4034" s="4"/>
      <c r="CF4034" s="4"/>
    </row>
    <row r="4035" spans="66:84">
      <c r="BN4035" s="4"/>
      <c r="BO4035" s="4"/>
      <c r="BQ4035" s="4"/>
      <c r="CC4035" s="4"/>
      <c r="CD4035" s="4"/>
      <c r="CF4035" s="4"/>
    </row>
    <row r="4036" spans="66:84">
      <c r="BN4036" s="4"/>
      <c r="BO4036" s="4"/>
      <c r="BQ4036" s="4"/>
      <c r="CC4036" s="4"/>
      <c r="CD4036" s="4"/>
      <c r="CF4036" s="4"/>
    </row>
    <row r="4037" spans="66:84">
      <c r="BN4037" s="4"/>
      <c r="BO4037" s="4"/>
      <c r="BQ4037" s="4"/>
      <c r="CC4037" s="4"/>
      <c r="CD4037" s="4"/>
      <c r="CF4037" s="4"/>
    </row>
    <row r="4038" spans="66:84">
      <c r="BN4038" s="4"/>
      <c r="BO4038" s="4"/>
      <c r="BQ4038" s="4"/>
      <c r="CC4038" s="4"/>
      <c r="CD4038" s="4"/>
      <c r="CF4038" s="4"/>
    </row>
    <row r="4039" spans="66:84">
      <c r="BN4039" s="4"/>
      <c r="BO4039" s="4"/>
      <c r="BQ4039" s="4"/>
      <c r="CC4039" s="4"/>
      <c r="CD4039" s="4"/>
      <c r="CF4039" s="4"/>
    </row>
    <row r="4040" spans="66:84">
      <c r="BN4040" s="4"/>
      <c r="BO4040" s="4"/>
      <c r="BQ4040" s="4"/>
      <c r="CC4040" s="4"/>
      <c r="CD4040" s="4"/>
      <c r="CF4040" s="4"/>
    </row>
    <row r="4041" spans="66:84">
      <c r="BN4041" s="4"/>
      <c r="BO4041" s="4"/>
      <c r="BQ4041" s="4"/>
      <c r="CC4041" s="4"/>
      <c r="CD4041" s="4"/>
      <c r="CF4041" s="4"/>
    </row>
    <row r="4042" spans="66:84">
      <c r="BN4042" s="4"/>
      <c r="BO4042" s="4"/>
      <c r="BQ4042" s="4"/>
      <c r="CC4042" s="4"/>
      <c r="CD4042" s="4"/>
      <c r="CF4042" s="4"/>
    </row>
    <row r="4043" spans="66:84">
      <c r="BN4043" s="4"/>
      <c r="BO4043" s="4"/>
      <c r="BQ4043" s="4"/>
      <c r="CC4043" s="4"/>
      <c r="CD4043" s="4"/>
      <c r="CF4043" s="4"/>
    </row>
    <row r="4044" spans="66:84">
      <c r="BN4044" s="4"/>
      <c r="BO4044" s="4"/>
      <c r="BQ4044" s="4"/>
      <c r="CC4044" s="4"/>
      <c r="CD4044" s="4"/>
      <c r="CF4044" s="4"/>
    </row>
    <row r="4045" spans="66:84">
      <c r="BN4045" s="4"/>
      <c r="BO4045" s="4"/>
      <c r="BQ4045" s="4"/>
      <c r="CC4045" s="4"/>
      <c r="CD4045" s="4"/>
      <c r="CF4045" s="4"/>
    </row>
    <row r="4046" spans="66:84">
      <c r="BN4046" s="4"/>
      <c r="BO4046" s="4"/>
      <c r="BQ4046" s="4"/>
      <c r="CC4046" s="4"/>
      <c r="CD4046" s="4"/>
      <c r="CF4046" s="4"/>
    </row>
    <row r="4047" spans="66:84">
      <c r="BN4047" s="4"/>
      <c r="BO4047" s="4"/>
      <c r="BQ4047" s="4"/>
      <c r="CC4047" s="4"/>
      <c r="CD4047" s="4"/>
      <c r="CF4047" s="4"/>
    </row>
    <row r="4048" spans="66:84">
      <c r="BN4048" s="4"/>
      <c r="BO4048" s="4"/>
      <c r="BQ4048" s="4"/>
      <c r="CC4048" s="4"/>
      <c r="CD4048" s="4"/>
      <c r="CF4048" s="4"/>
    </row>
    <row r="4049" spans="66:84">
      <c r="BN4049" s="4"/>
      <c r="BO4049" s="4"/>
      <c r="BQ4049" s="4"/>
      <c r="CC4049" s="4"/>
      <c r="CD4049" s="4"/>
      <c r="CF4049" s="4"/>
    </row>
    <row r="4050" spans="66:84">
      <c r="BN4050" s="4"/>
      <c r="BO4050" s="4"/>
      <c r="BQ4050" s="4"/>
      <c r="CC4050" s="4"/>
      <c r="CD4050" s="4"/>
      <c r="CF4050" s="4"/>
    </row>
    <row r="4051" spans="66:84">
      <c r="BN4051" s="4"/>
      <c r="BO4051" s="4"/>
      <c r="BQ4051" s="4"/>
      <c r="CC4051" s="4"/>
      <c r="CD4051" s="4"/>
      <c r="CF4051" s="4"/>
    </row>
    <row r="4052" spans="66:84">
      <c r="BN4052" s="4"/>
      <c r="BO4052" s="4"/>
      <c r="BQ4052" s="4"/>
      <c r="CC4052" s="4"/>
      <c r="CD4052" s="4"/>
      <c r="CF4052" s="4"/>
    </row>
    <row r="4053" spans="66:84">
      <c r="BN4053" s="4"/>
      <c r="BO4053" s="4"/>
      <c r="BQ4053" s="4"/>
      <c r="CC4053" s="4"/>
      <c r="CD4053" s="4"/>
      <c r="CF4053" s="4"/>
    </row>
    <row r="4054" spans="66:84">
      <c r="BN4054" s="4"/>
      <c r="BO4054" s="4"/>
      <c r="BQ4054" s="4"/>
      <c r="CC4054" s="4"/>
      <c r="CD4054" s="4"/>
      <c r="CF4054" s="4"/>
    </row>
    <row r="4055" spans="66:84">
      <c r="BN4055" s="4"/>
      <c r="BO4055" s="4"/>
      <c r="BQ4055" s="4"/>
      <c r="CC4055" s="4"/>
      <c r="CD4055" s="4"/>
      <c r="CF4055" s="4"/>
    </row>
    <row r="4056" spans="66:84">
      <c r="BN4056" s="4"/>
      <c r="BO4056" s="4"/>
      <c r="BQ4056" s="4"/>
      <c r="CC4056" s="4"/>
      <c r="CD4056" s="4"/>
      <c r="CF4056" s="4"/>
    </row>
    <row r="4057" spans="66:84">
      <c r="BN4057" s="4"/>
      <c r="BO4057" s="4"/>
      <c r="BQ4057" s="4"/>
      <c r="CC4057" s="4"/>
      <c r="CD4057" s="4"/>
      <c r="CF4057" s="4"/>
    </row>
    <row r="4058" spans="66:84">
      <c r="BN4058" s="4"/>
      <c r="BO4058" s="4"/>
      <c r="BQ4058" s="4"/>
      <c r="CC4058" s="4"/>
      <c r="CD4058" s="4"/>
      <c r="CF4058" s="4"/>
    </row>
    <row r="4059" spans="66:84">
      <c r="BN4059" s="4"/>
      <c r="BO4059" s="4"/>
      <c r="BQ4059" s="4"/>
      <c r="CC4059" s="4"/>
      <c r="CD4059" s="4"/>
      <c r="CF4059" s="4"/>
    </row>
    <row r="4060" spans="66:84">
      <c r="BN4060" s="4"/>
      <c r="BO4060" s="4"/>
      <c r="BQ4060" s="4"/>
      <c r="CC4060" s="4"/>
      <c r="CD4060" s="4"/>
      <c r="CF4060" s="4"/>
    </row>
    <row r="4061" spans="66:84">
      <c r="BN4061" s="4"/>
      <c r="BO4061" s="4"/>
      <c r="BQ4061" s="4"/>
      <c r="CC4061" s="4"/>
      <c r="CD4061" s="4"/>
      <c r="CF4061" s="4"/>
    </row>
    <row r="4062" spans="66:84">
      <c r="BN4062" s="4"/>
      <c r="BO4062" s="4"/>
      <c r="BQ4062" s="4"/>
      <c r="CC4062" s="4"/>
      <c r="CD4062" s="4"/>
      <c r="CF4062" s="4"/>
    </row>
    <row r="4063" spans="66:84">
      <c r="BN4063" s="4"/>
      <c r="BO4063" s="4"/>
      <c r="BQ4063" s="4"/>
      <c r="CC4063" s="4"/>
      <c r="CD4063" s="4"/>
      <c r="CF4063" s="4"/>
    </row>
    <row r="4064" spans="66:84">
      <c r="BN4064" s="4"/>
      <c r="BO4064" s="4"/>
      <c r="BQ4064" s="4"/>
      <c r="CC4064" s="4"/>
      <c r="CD4064" s="4"/>
      <c r="CF4064" s="4"/>
    </row>
    <row r="4065" spans="66:84">
      <c r="BN4065" s="4"/>
      <c r="BO4065" s="4"/>
      <c r="BQ4065" s="4"/>
      <c r="CC4065" s="4"/>
      <c r="CD4065" s="4"/>
      <c r="CF4065" s="4"/>
    </row>
    <row r="4066" spans="66:84">
      <c r="BN4066" s="4"/>
      <c r="BO4066" s="4"/>
      <c r="BQ4066" s="4"/>
      <c r="CC4066" s="4"/>
      <c r="CD4066" s="4"/>
      <c r="CF4066" s="4"/>
    </row>
    <row r="4067" spans="66:84">
      <c r="BN4067" s="4"/>
      <c r="BO4067" s="4"/>
      <c r="BQ4067" s="4"/>
      <c r="CC4067" s="4"/>
      <c r="CD4067" s="4"/>
      <c r="CF4067" s="4"/>
    </row>
    <row r="4068" spans="66:84">
      <c r="BN4068" s="4"/>
      <c r="BO4068" s="4"/>
      <c r="BQ4068" s="4"/>
      <c r="CC4068" s="4"/>
      <c r="CD4068" s="4"/>
      <c r="CF4068" s="4"/>
    </row>
    <row r="4069" spans="66:84">
      <c r="BN4069" s="4"/>
      <c r="BO4069" s="4"/>
      <c r="BQ4069" s="4"/>
      <c r="CC4069" s="4"/>
      <c r="CD4069" s="4"/>
      <c r="CF4069" s="4"/>
    </row>
    <row r="4070" spans="66:84">
      <c r="BN4070" s="4"/>
      <c r="BO4070" s="4"/>
      <c r="BQ4070" s="4"/>
      <c r="CC4070" s="4"/>
      <c r="CD4070" s="4"/>
      <c r="CF4070" s="4"/>
    </row>
    <row r="4071" spans="66:84">
      <c r="BN4071" s="4"/>
      <c r="BO4071" s="4"/>
      <c r="BQ4071" s="4"/>
      <c r="CC4071" s="4"/>
      <c r="CD4071" s="4"/>
      <c r="CF4071" s="4"/>
    </row>
    <row r="4072" spans="66:84">
      <c r="BN4072" s="4"/>
      <c r="BO4072" s="4"/>
      <c r="BQ4072" s="4"/>
      <c r="CC4072" s="4"/>
      <c r="CD4072" s="4"/>
      <c r="CF4072" s="4"/>
    </row>
    <row r="4073" spans="66:84">
      <c r="BN4073" s="4"/>
      <c r="BO4073" s="4"/>
      <c r="BQ4073" s="4"/>
      <c r="CC4073" s="4"/>
      <c r="CD4073" s="4"/>
      <c r="CF4073" s="4"/>
    </row>
    <row r="4074" spans="66:84">
      <c r="BN4074" s="4"/>
      <c r="BO4074" s="4"/>
      <c r="BQ4074" s="4"/>
      <c r="CC4074" s="4"/>
      <c r="CD4074" s="4"/>
      <c r="CF4074" s="4"/>
    </row>
    <row r="4075" spans="66:84">
      <c r="BN4075" s="4"/>
      <c r="BO4075" s="4"/>
      <c r="BQ4075" s="4"/>
      <c r="CC4075" s="4"/>
      <c r="CD4075" s="4"/>
      <c r="CF4075" s="4"/>
    </row>
    <row r="4076" spans="66:84">
      <c r="BN4076" s="4"/>
      <c r="BO4076" s="4"/>
      <c r="BQ4076" s="4"/>
      <c r="CC4076" s="4"/>
      <c r="CD4076" s="4"/>
      <c r="CF4076" s="4"/>
    </row>
    <row r="4077" spans="66:84">
      <c r="BN4077" s="4"/>
      <c r="BO4077" s="4"/>
      <c r="BQ4077" s="4"/>
      <c r="CC4077" s="4"/>
      <c r="CD4077" s="4"/>
      <c r="CF4077" s="4"/>
    </row>
    <row r="4078" spans="66:84">
      <c r="BN4078" s="4"/>
      <c r="BO4078" s="4"/>
      <c r="BQ4078" s="4"/>
      <c r="CC4078" s="4"/>
      <c r="CD4078" s="4"/>
      <c r="CF4078" s="4"/>
    </row>
    <row r="4079" spans="66:84">
      <c r="BN4079" s="4"/>
      <c r="BO4079" s="4"/>
      <c r="BQ4079" s="4"/>
      <c r="CC4079" s="4"/>
      <c r="CD4079" s="4"/>
      <c r="CF4079" s="4"/>
    </row>
    <row r="4080" spans="66:84">
      <c r="BN4080" s="4"/>
      <c r="BO4080" s="4"/>
      <c r="BQ4080" s="4"/>
      <c r="CC4080" s="4"/>
      <c r="CD4080" s="4"/>
      <c r="CF4080" s="4"/>
    </row>
    <row r="4081" spans="66:84">
      <c r="BN4081" s="4"/>
      <c r="BO4081" s="4"/>
      <c r="BQ4081" s="4"/>
      <c r="CC4081" s="4"/>
      <c r="CD4081" s="4"/>
      <c r="CF4081" s="4"/>
    </row>
    <row r="4082" spans="66:84">
      <c r="BN4082" s="4"/>
      <c r="BO4082" s="4"/>
      <c r="BQ4082" s="4"/>
      <c r="CC4082" s="4"/>
      <c r="CD4082" s="4"/>
      <c r="CF4082" s="4"/>
    </row>
    <row r="4083" spans="66:84">
      <c r="BN4083" s="4"/>
      <c r="BO4083" s="4"/>
      <c r="BQ4083" s="4"/>
      <c r="CC4083" s="4"/>
      <c r="CD4083" s="4"/>
      <c r="CF4083" s="4"/>
    </row>
    <row r="4084" spans="66:84">
      <c r="BN4084" s="4"/>
      <c r="BO4084" s="4"/>
      <c r="BQ4084" s="4"/>
      <c r="CC4084" s="4"/>
      <c r="CD4084" s="4"/>
      <c r="CF4084" s="4"/>
    </row>
    <row r="4085" spans="66:84">
      <c r="BN4085" s="4"/>
      <c r="BO4085" s="4"/>
      <c r="BQ4085" s="4"/>
      <c r="CC4085" s="4"/>
      <c r="CD4085" s="4"/>
      <c r="CF4085" s="4"/>
    </row>
    <row r="4086" spans="66:84">
      <c r="BN4086" s="4"/>
      <c r="BO4086" s="4"/>
      <c r="BQ4086" s="4"/>
      <c r="CC4086" s="4"/>
      <c r="CD4086" s="4"/>
      <c r="CF4086" s="4"/>
    </row>
    <row r="4087" spans="66:84">
      <c r="BN4087" s="4"/>
      <c r="BO4087" s="4"/>
      <c r="BQ4087" s="4"/>
      <c r="CC4087" s="4"/>
      <c r="CD4087" s="4"/>
      <c r="CF4087" s="4"/>
    </row>
    <row r="4088" spans="66:84">
      <c r="BN4088" s="4"/>
      <c r="BO4088" s="4"/>
      <c r="BQ4088" s="4"/>
      <c r="CC4088" s="4"/>
      <c r="CD4088" s="4"/>
      <c r="CF4088" s="4"/>
    </row>
    <row r="4089" spans="66:84">
      <c r="BN4089" s="4"/>
      <c r="BO4089" s="4"/>
      <c r="BQ4089" s="4"/>
      <c r="CC4089" s="4"/>
      <c r="CD4089" s="4"/>
      <c r="CF4089" s="4"/>
    </row>
    <row r="4090" spans="66:84">
      <c r="BN4090" s="4"/>
      <c r="BO4090" s="4"/>
      <c r="BQ4090" s="4"/>
      <c r="CC4090" s="4"/>
      <c r="CD4090" s="4"/>
      <c r="CF4090" s="4"/>
    </row>
    <row r="4091" spans="66:84">
      <c r="BN4091" s="4"/>
      <c r="BO4091" s="4"/>
      <c r="BQ4091" s="4"/>
      <c r="CC4091" s="4"/>
      <c r="CD4091" s="4"/>
      <c r="CF4091" s="4"/>
    </row>
    <row r="4092" spans="66:84">
      <c r="BN4092" s="4"/>
      <c r="BO4092" s="4"/>
      <c r="BQ4092" s="4"/>
      <c r="CC4092" s="4"/>
      <c r="CD4092" s="4"/>
      <c r="CF4092" s="4"/>
    </row>
    <row r="4093" spans="66:84">
      <c r="BN4093" s="4"/>
      <c r="BO4093" s="4"/>
      <c r="BQ4093" s="4"/>
      <c r="CC4093" s="4"/>
      <c r="CD4093" s="4"/>
      <c r="CF4093" s="4"/>
    </row>
    <row r="4094" spans="66:84">
      <c r="BN4094" s="4"/>
      <c r="BO4094" s="4"/>
      <c r="BQ4094" s="4"/>
      <c r="CC4094" s="4"/>
      <c r="CD4094" s="4"/>
      <c r="CF4094" s="4"/>
    </row>
    <row r="4095" spans="66:84">
      <c r="BN4095" s="4"/>
      <c r="BO4095" s="4"/>
      <c r="BQ4095" s="4"/>
      <c r="CC4095" s="4"/>
      <c r="CD4095" s="4"/>
      <c r="CF4095" s="4"/>
    </row>
    <row r="4096" spans="66:84">
      <c r="BN4096" s="4"/>
      <c r="BO4096" s="4"/>
      <c r="BQ4096" s="4"/>
      <c r="CC4096" s="4"/>
      <c r="CD4096" s="4"/>
      <c r="CF4096" s="4"/>
    </row>
    <row r="4097" spans="66:84">
      <c r="BN4097" s="4"/>
      <c r="BO4097" s="4"/>
      <c r="BQ4097" s="4"/>
      <c r="CC4097" s="4"/>
      <c r="CD4097" s="4"/>
      <c r="CF4097" s="4"/>
    </row>
    <row r="4098" spans="66:84">
      <c r="BN4098" s="4"/>
      <c r="BO4098" s="4"/>
      <c r="BQ4098" s="4"/>
      <c r="CC4098" s="4"/>
      <c r="CD4098" s="4"/>
      <c r="CF4098" s="4"/>
    </row>
    <row r="4099" spans="66:84">
      <c r="BN4099" s="4"/>
      <c r="BO4099" s="4"/>
      <c r="BQ4099" s="4"/>
      <c r="CC4099" s="4"/>
      <c r="CD4099" s="4"/>
      <c r="CF4099" s="4"/>
    </row>
    <row r="4100" spans="66:84">
      <c r="BN4100" s="4"/>
      <c r="BO4100" s="4"/>
      <c r="BQ4100" s="4"/>
      <c r="CC4100" s="4"/>
      <c r="CD4100" s="4"/>
      <c r="CF4100" s="4"/>
    </row>
    <row r="4101" spans="66:84">
      <c r="BN4101" s="4"/>
      <c r="BO4101" s="4"/>
      <c r="BQ4101" s="4"/>
      <c r="CC4101" s="4"/>
      <c r="CD4101" s="4"/>
      <c r="CF4101" s="4"/>
    </row>
    <row r="4102" spans="66:84">
      <c r="BN4102" s="4"/>
      <c r="BO4102" s="4"/>
      <c r="BQ4102" s="4"/>
      <c r="CC4102" s="4"/>
      <c r="CD4102" s="4"/>
      <c r="CF4102" s="4"/>
    </row>
    <row r="4103" spans="66:84">
      <c r="BN4103" s="4"/>
      <c r="BO4103" s="4"/>
      <c r="BQ4103" s="4"/>
      <c r="CC4103" s="4"/>
      <c r="CD4103" s="4"/>
      <c r="CF4103" s="4"/>
    </row>
    <row r="4104" spans="66:84">
      <c r="BN4104" s="4"/>
      <c r="BO4104" s="4"/>
      <c r="BQ4104" s="4"/>
      <c r="CC4104" s="4"/>
      <c r="CD4104" s="4"/>
      <c r="CF4104" s="4"/>
    </row>
    <row r="4105" spans="66:84">
      <c r="BN4105" s="4"/>
      <c r="BO4105" s="4"/>
      <c r="BQ4105" s="4"/>
      <c r="CC4105" s="4"/>
      <c r="CD4105" s="4"/>
      <c r="CF4105" s="4"/>
    </row>
    <row r="4106" spans="66:84">
      <c r="BN4106" s="4"/>
      <c r="BO4106" s="4"/>
      <c r="BQ4106" s="4"/>
      <c r="CC4106" s="4"/>
      <c r="CD4106" s="4"/>
      <c r="CF4106" s="4"/>
    </row>
    <row r="4107" spans="66:84">
      <c r="BN4107" s="4"/>
      <c r="BO4107" s="4"/>
      <c r="BQ4107" s="4"/>
      <c r="CC4107" s="4"/>
      <c r="CD4107" s="4"/>
      <c r="CF4107" s="4"/>
    </row>
    <row r="4108" spans="66:84">
      <c r="BN4108" s="4"/>
      <c r="BO4108" s="4"/>
      <c r="BQ4108" s="4"/>
      <c r="CC4108" s="4"/>
      <c r="CD4108" s="4"/>
      <c r="CF4108" s="4"/>
    </row>
    <row r="4109" spans="66:84">
      <c r="BN4109" s="4"/>
      <c r="BO4109" s="4"/>
      <c r="BQ4109" s="4"/>
      <c r="CC4109" s="4"/>
      <c r="CD4109" s="4"/>
      <c r="CF4109" s="4"/>
    </row>
    <row r="4110" spans="66:84">
      <c r="BN4110" s="4"/>
      <c r="BO4110" s="4"/>
      <c r="BQ4110" s="4"/>
      <c r="CC4110" s="4"/>
      <c r="CD4110" s="4"/>
      <c r="CF4110" s="4"/>
    </row>
    <row r="4111" spans="66:84">
      <c r="BN4111" s="4"/>
      <c r="BO4111" s="4"/>
      <c r="BQ4111" s="4"/>
      <c r="CC4111" s="4"/>
      <c r="CD4111" s="4"/>
      <c r="CF4111" s="4"/>
    </row>
    <row r="4112" spans="66:84">
      <c r="BN4112" s="4"/>
      <c r="BO4112" s="4"/>
      <c r="BQ4112" s="4"/>
      <c r="CC4112" s="4"/>
      <c r="CD4112" s="4"/>
      <c r="CF4112" s="4"/>
    </row>
    <row r="4113" spans="66:84">
      <c r="BN4113" s="4"/>
      <c r="BO4113" s="4"/>
      <c r="BQ4113" s="4"/>
      <c r="CC4113" s="4"/>
      <c r="CD4113" s="4"/>
      <c r="CF4113" s="4"/>
    </row>
    <row r="4114" spans="66:84">
      <c r="BN4114" s="4"/>
      <c r="BO4114" s="4"/>
      <c r="BQ4114" s="4"/>
      <c r="CC4114" s="4"/>
      <c r="CD4114" s="4"/>
      <c r="CF4114" s="4"/>
    </row>
    <row r="4115" spans="66:84">
      <c r="BN4115" s="4"/>
      <c r="BO4115" s="4"/>
      <c r="BQ4115" s="4"/>
      <c r="CC4115" s="4"/>
      <c r="CD4115" s="4"/>
      <c r="CF4115" s="4"/>
    </row>
    <row r="4116" spans="66:84">
      <c r="BN4116" s="4"/>
      <c r="BO4116" s="4"/>
      <c r="BQ4116" s="4"/>
      <c r="CC4116" s="4"/>
      <c r="CD4116" s="4"/>
      <c r="CF4116" s="4"/>
    </row>
    <row r="4117" spans="66:84">
      <c r="BN4117" s="4"/>
      <c r="BO4117" s="4"/>
      <c r="BQ4117" s="4"/>
      <c r="CC4117" s="4"/>
      <c r="CD4117" s="4"/>
      <c r="CF4117" s="4"/>
    </row>
    <row r="4118" spans="66:84">
      <c r="BN4118" s="4"/>
      <c r="BO4118" s="4"/>
      <c r="BQ4118" s="4"/>
      <c r="CC4118" s="4"/>
      <c r="CD4118" s="4"/>
      <c r="CF4118" s="4"/>
    </row>
    <row r="4119" spans="66:84">
      <c r="BN4119" s="4"/>
      <c r="BO4119" s="4"/>
      <c r="BQ4119" s="4"/>
      <c r="CC4119" s="4"/>
      <c r="CD4119" s="4"/>
      <c r="CF4119" s="4"/>
    </row>
    <row r="4120" spans="66:84">
      <c r="BN4120" s="4"/>
      <c r="BO4120" s="4"/>
      <c r="BQ4120" s="4"/>
      <c r="CC4120" s="4"/>
      <c r="CD4120" s="4"/>
      <c r="CF4120" s="4"/>
    </row>
    <row r="4121" spans="66:84">
      <c r="BN4121" s="4"/>
      <c r="BO4121" s="4"/>
      <c r="BQ4121" s="4"/>
      <c r="CC4121" s="4"/>
      <c r="CD4121" s="4"/>
      <c r="CF4121" s="4"/>
    </row>
    <row r="4122" spans="66:84">
      <c r="BN4122" s="4"/>
      <c r="BO4122" s="4"/>
      <c r="BQ4122" s="4"/>
      <c r="CC4122" s="4"/>
      <c r="CD4122" s="4"/>
      <c r="CF4122" s="4"/>
    </row>
    <row r="4123" spans="66:84">
      <c r="BN4123" s="4"/>
      <c r="BO4123" s="4"/>
      <c r="BQ4123" s="4"/>
      <c r="CC4123" s="4"/>
      <c r="CD4123" s="4"/>
      <c r="CF4123" s="4"/>
    </row>
    <row r="4124" spans="66:84">
      <c r="BN4124" s="4"/>
      <c r="BO4124" s="4"/>
      <c r="BQ4124" s="4"/>
      <c r="CC4124" s="4"/>
      <c r="CD4124" s="4"/>
      <c r="CF4124" s="4"/>
    </row>
    <row r="4125" spans="66:84">
      <c r="BN4125" s="4"/>
      <c r="BO4125" s="4"/>
      <c r="BQ4125" s="4"/>
      <c r="CC4125" s="4"/>
      <c r="CD4125" s="4"/>
      <c r="CF4125" s="4"/>
    </row>
    <row r="4126" spans="66:84">
      <c r="BN4126" s="4"/>
      <c r="BO4126" s="4"/>
      <c r="BQ4126" s="4"/>
      <c r="CC4126" s="4"/>
      <c r="CD4126" s="4"/>
      <c r="CF4126" s="4"/>
    </row>
    <row r="4127" spans="66:84">
      <c r="BN4127" s="4"/>
      <c r="BO4127" s="4"/>
      <c r="BQ4127" s="4"/>
      <c r="CC4127" s="4"/>
      <c r="CD4127" s="4"/>
      <c r="CF4127" s="4"/>
    </row>
    <row r="4128" spans="66:84">
      <c r="BN4128" s="4"/>
      <c r="BO4128" s="4"/>
      <c r="BQ4128" s="4"/>
      <c r="CC4128" s="4"/>
      <c r="CD4128" s="4"/>
      <c r="CF4128" s="4"/>
    </row>
    <row r="4129" spans="66:84">
      <c r="BN4129" s="4"/>
      <c r="BO4129" s="4"/>
      <c r="BQ4129" s="4"/>
      <c r="CC4129" s="4"/>
      <c r="CD4129" s="4"/>
      <c r="CF4129" s="4"/>
    </row>
    <row r="4130" spans="66:84">
      <c r="BN4130" s="4"/>
      <c r="BO4130" s="4"/>
      <c r="BQ4130" s="4"/>
      <c r="CC4130" s="4"/>
      <c r="CD4130" s="4"/>
      <c r="CF4130" s="4"/>
    </row>
    <row r="4131" spans="66:84">
      <c r="BN4131" s="4"/>
      <c r="BO4131" s="4"/>
      <c r="BQ4131" s="4"/>
      <c r="CC4131" s="4"/>
      <c r="CD4131" s="4"/>
      <c r="CF4131" s="4"/>
    </row>
    <row r="4132" spans="66:84">
      <c r="BN4132" s="4"/>
      <c r="BO4132" s="4"/>
      <c r="BQ4132" s="4"/>
      <c r="CC4132" s="4"/>
      <c r="CD4132" s="4"/>
      <c r="CF4132" s="4"/>
    </row>
    <row r="4133" spans="66:84">
      <c r="BN4133" s="4"/>
      <c r="BO4133" s="4"/>
      <c r="BQ4133" s="4"/>
      <c r="CC4133" s="4"/>
      <c r="CD4133" s="4"/>
      <c r="CF4133" s="4"/>
    </row>
    <row r="4134" spans="66:84">
      <c r="BN4134" s="4"/>
      <c r="BO4134" s="4"/>
      <c r="BQ4134" s="4"/>
      <c r="CC4134" s="4"/>
      <c r="CD4134" s="4"/>
      <c r="CF4134" s="4"/>
    </row>
    <row r="4135" spans="66:84">
      <c r="BN4135" s="4"/>
      <c r="BO4135" s="4"/>
      <c r="BQ4135" s="4"/>
      <c r="CC4135" s="4"/>
      <c r="CD4135" s="4"/>
      <c r="CF4135" s="4"/>
    </row>
    <row r="4136" spans="66:84">
      <c r="BN4136" s="4"/>
      <c r="BO4136" s="4"/>
      <c r="BQ4136" s="4"/>
      <c r="CC4136" s="4"/>
      <c r="CD4136" s="4"/>
      <c r="CF4136" s="4"/>
    </row>
    <row r="4137" spans="66:84">
      <c r="BN4137" s="4"/>
      <c r="BO4137" s="4"/>
      <c r="BQ4137" s="4"/>
      <c r="CC4137" s="4"/>
      <c r="CD4137" s="4"/>
      <c r="CF4137" s="4"/>
    </row>
    <row r="4138" spans="66:84">
      <c r="BN4138" s="4"/>
      <c r="BO4138" s="4"/>
      <c r="BQ4138" s="4"/>
      <c r="CC4138" s="4"/>
      <c r="CD4138" s="4"/>
      <c r="CF4138" s="4"/>
    </row>
    <row r="4139" spans="66:84">
      <c r="BN4139" s="4"/>
      <c r="BO4139" s="4"/>
      <c r="BQ4139" s="4"/>
      <c r="CC4139" s="4"/>
      <c r="CD4139" s="4"/>
      <c r="CF4139" s="4"/>
    </row>
    <row r="4140" spans="66:84">
      <c r="BN4140" s="4"/>
      <c r="BO4140" s="4"/>
      <c r="BQ4140" s="4"/>
      <c r="CC4140" s="4"/>
      <c r="CD4140" s="4"/>
      <c r="CF4140" s="4"/>
    </row>
    <row r="4141" spans="66:84">
      <c r="BN4141" s="4"/>
      <c r="BO4141" s="4"/>
      <c r="BQ4141" s="4"/>
      <c r="CC4141" s="4"/>
      <c r="CD4141" s="4"/>
      <c r="CF4141" s="4"/>
    </row>
    <row r="4142" spans="66:84">
      <c r="BN4142" s="4"/>
      <c r="BO4142" s="4"/>
      <c r="BQ4142" s="4"/>
      <c r="CC4142" s="4"/>
      <c r="CD4142" s="4"/>
      <c r="CF4142" s="4"/>
    </row>
    <row r="4143" spans="66:84">
      <c r="BN4143" s="4"/>
      <c r="BO4143" s="4"/>
      <c r="BQ4143" s="4"/>
      <c r="CC4143" s="4"/>
      <c r="CD4143" s="4"/>
      <c r="CF4143" s="4"/>
    </row>
    <row r="4144" spans="66:84">
      <c r="BN4144" s="4"/>
      <c r="BO4144" s="4"/>
      <c r="BQ4144" s="4"/>
      <c r="CC4144" s="4"/>
      <c r="CD4144" s="4"/>
      <c r="CF4144" s="4"/>
    </row>
    <row r="4145" spans="66:84">
      <c r="BN4145" s="4"/>
      <c r="BO4145" s="4"/>
      <c r="BQ4145" s="4"/>
      <c r="CC4145" s="4"/>
      <c r="CD4145" s="4"/>
      <c r="CF4145" s="4"/>
    </row>
    <row r="4146" spans="66:84">
      <c r="BN4146" s="4"/>
      <c r="BO4146" s="4"/>
      <c r="BQ4146" s="4"/>
      <c r="CC4146" s="4"/>
      <c r="CD4146" s="4"/>
      <c r="CF4146" s="4"/>
    </row>
    <row r="4147" spans="66:84">
      <c r="BN4147" s="4"/>
      <c r="BO4147" s="4"/>
      <c r="BQ4147" s="4"/>
      <c r="CC4147" s="4"/>
      <c r="CD4147" s="4"/>
      <c r="CF4147" s="4"/>
    </row>
    <row r="4148" spans="66:84">
      <c r="BN4148" s="4"/>
      <c r="BO4148" s="4"/>
      <c r="BQ4148" s="4"/>
      <c r="CC4148" s="4"/>
      <c r="CD4148" s="4"/>
      <c r="CF4148" s="4"/>
    </row>
    <row r="4149" spans="66:84">
      <c r="BN4149" s="4"/>
      <c r="BO4149" s="4"/>
      <c r="BQ4149" s="4"/>
      <c r="CC4149" s="4"/>
      <c r="CD4149" s="4"/>
      <c r="CF4149" s="4"/>
    </row>
    <row r="4150" spans="66:84">
      <c r="BN4150" s="4"/>
      <c r="BO4150" s="4"/>
      <c r="BQ4150" s="4"/>
      <c r="CC4150" s="4"/>
      <c r="CD4150" s="4"/>
      <c r="CF4150" s="4"/>
    </row>
    <row r="4151" spans="66:84">
      <c r="BN4151" s="4"/>
      <c r="BO4151" s="4"/>
      <c r="BQ4151" s="4"/>
      <c r="CC4151" s="4"/>
      <c r="CD4151" s="4"/>
      <c r="CF4151" s="4"/>
    </row>
    <row r="4152" spans="66:84">
      <c r="BN4152" s="4"/>
      <c r="BO4152" s="4"/>
      <c r="BQ4152" s="4"/>
      <c r="CC4152" s="4"/>
      <c r="CD4152" s="4"/>
      <c r="CF4152" s="4"/>
    </row>
    <row r="4153" spans="66:84">
      <c r="BN4153" s="4"/>
      <c r="BO4153" s="4"/>
      <c r="BQ4153" s="4"/>
      <c r="CC4153" s="4"/>
      <c r="CD4153" s="4"/>
      <c r="CF4153" s="4"/>
    </row>
    <row r="4154" spans="66:84">
      <c r="BN4154" s="4"/>
      <c r="BO4154" s="4"/>
      <c r="BQ4154" s="4"/>
      <c r="CC4154" s="4"/>
      <c r="CD4154" s="4"/>
      <c r="CF4154" s="4"/>
    </row>
    <row r="4155" spans="66:84">
      <c r="BN4155" s="4"/>
      <c r="BO4155" s="4"/>
      <c r="BQ4155" s="4"/>
      <c r="CC4155" s="4"/>
      <c r="CD4155" s="4"/>
      <c r="CF4155" s="4"/>
    </row>
    <row r="4156" spans="66:84">
      <c r="BN4156" s="4"/>
      <c r="BO4156" s="4"/>
      <c r="BQ4156" s="4"/>
      <c r="CC4156" s="4"/>
      <c r="CD4156" s="4"/>
      <c r="CF4156" s="4"/>
    </row>
    <row r="4157" spans="66:84">
      <c r="BN4157" s="4"/>
      <c r="BO4157" s="4"/>
      <c r="BQ4157" s="4"/>
      <c r="CC4157" s="4"/>
      <c r="CD4157" s="4"/>
      <c r="CF4157" s="4"/>
    </row>
    <row r="4158" spans="66:84">
      <c r="BN4158" s="4"/>
      <c r="BO4158" s="4"/>
      <c r="BQ4158" s="4"/>
      <c r="CC4158" s="4"/>
      <c r="CD4158" s="4"/>
      <c r="CF4158" s="4"/>
    </row>
    <row r="4159" spans="66:84">
      <c r="BN4159" s="4"/>
      <c r="BO4159" s="4"/>
      <c r="BQ4159" s="4"/>
      <c r="CC4159" s="4"/>
      <c r="CD4159" s="4"/>
      <c r="CF4159" s="4"/>
    </row>
    <row r="4160" spans="66:84">
      <c r="BN4160" s="4"/>
      <c r="BO4160" s="4"/>
      <c r="BQ4160" s="4"/>
      <c r="CC4160" s="4"/>
      <c r="CD4160" s="4"/>
      <c r="CF4160" s="4"/>
    </row>
    <row r="4161" spans="66:84">
      <c r="BN4161" s="4"/>
      <c r="BO4161" s="4"/>
      <c r="BQ4161" s="4"/>
      <c r="CC4161" s="4"/>
      <c r="CD4161" s="4"/>
      <c r="CF4161" s="4"/>
    </row>
    <row r="4162" spans="66:84">
      <c r="BN4162" s="4"/>
      <c r="BO4162" s="4"/>
      <c r="BQ4162" s="4"/>
      <c r="CC4162" s="4"/>
      <c r="CD4162" s="4"/>
      <c r="CF4162" s="4"/>
    </row>
    <row r="4163" spans="66:84">
      <c r="BN4163" s="4"/>
      <c r="BO4163" s="4"/>
      <c r="BQ4163" s="4"/>
      <c r="CC4163" s="4"/>
      <c r="CD4163" s="4"/>
      <c r="CF4163" s="4"/>
    </row>
    <row r="4164" spans="66:84">
      <c r="BN4164" s="4"/>
      <c r="BO4164" s="4"/>
      <c r="BQ4164" s="4"/>
      <c r="CC4164" s="4"/>
      <c r="CD4164" s="4"/>
      <c r="CF4164" s="4"/>
    </row>
    <row r="4165" spans="66:84">
      <c r="BN4165" s="4"/>
      <c r="BO4165" s="4"/>
      <c r="BQ4165" s="4"/>
      <c r="CC4165" s="4"/>
      <c r="CD4165" s="4"/>
      <c r="CF4165" s="4"/>
    </row>
    <row r="4166" spans="66:84">
      <c r="BN4166" s="4"/>
      <c r="BO4166" s="4"/>
      <c r="BQ4166" s="4"/>
      <c r="CC4166" s="4"/>
      <c r="CD4166" s="4"/>
      <c r="CF4166" s="4"/>
    </row>
    <row r="4167" spans="66:84">
      <c r="BN4167" s="4"/>
      <c r="BO4167" s="4"/>
      <c r="BQ4167" s="4"/>
      <c r="CC4167" s="4"/>
      <c r="CD4167" s="4"/>
      <c r="CF4167" s="4"/>
    </row>
    <row r="4168" spans="66:84">
      <c r="BN4168" s="4"/>
      <c r="BO4168" s="4"/>
      <c r="BQ4168" s="4"/>
      <c r="CC4168" s="4"/>
      <c r="CD4168" s="4"/>
      <c r="CF4168" s="4"/>
    </row>
    <row r="4169" spans="66:84">
      <c r="BN4169" s="4"/>
      <c r="BO4169" s="4"/>
      <c r="BQ4169" s="4"/>
      <c r="CC4169" s="4"/>
      <c r="CD4169" s="4"/>
      <c r="CF4169" s="4"/>
    </row>
    <row r="4170" spans="66:84">
      <c r="BN4170" s="4"/>
      <c r="BO4170" s="4"/>
      <c r="BQ4170" s="4"/>
      <c r="CC4170" s="4"/>
      <c r="CD4170" s="4"/>
      <c r="CF4170" s="4"/>
    </row>
    <row r="4171" spans="66:84">
      <c r="BN4171" s="4"/>
      <c r="BO4171" s="4"/>
      <c r="BQ4171" s="4"/>
      <c r="CC4171" s="4"/>
      <c r="CD4171" s="4"/>
      <c r="CF4171" s="4"/>
    </row>
    <row r="4172" spans="66:84">
      <c r="BN4172" s="4"/>
      <c r="BO4172" s="4"/>
      <c r="BQ4172" s="4"/>
      <c r="CC4172" s="4"/>
      <c r="CD4172" s="4"/>
      <c r="CF4172" s="4"/>
    </row>
    <row r="4173" spans="66:84">
      <c r="BN4173" s="4"/>
      <c r="BO4173" s="4"/>
      <c r="BQ4173" s="4"/>
      <c r="CC4173" s="4"/>
      <c r="CD4173" s="4"/>
      <c r="CF4173" s="4"/>
    </row>
    <row r="4174" spans="66:84">
      <c r="BN4174" s="4"/>
      <c r="BO4174" s="4"/>
      <c r="BQ4174" s="4"/>
      <c r="CC4174" s="4"/>
      <c r="CD4174" s="4"/>
      <c r="CF4174" s="4"/>
    </row>
    <row r="4175" spans="66:84">
      <c r="BN4175" s="4"/>
      <c r="BO4175" s="4"/>
      <c r="BQ4175" s="4"/>
      <c r="CC4175" s="4"/>
      <c r="CD4175" s="4"/>
      <c r="CF4175" s="4"/>
    </row>
    <row r="4176" spans="66:84">
      <c r="BN4176" s="4"/>
      <c r="BO4176" s="4"/>
      <c r="BQ4176" s="4"/>
      <c r="CC4176" s="4"/>
      <c r="CD4176" s="4"/>
      <c r="CF4176" s="4"/>
    </row>
    <row r="4177" spans="66:84">
      <c r="BN4177" s="4"/>
      <c r="BO4177" s="4"/>
      <c r="BQ4177" s="4"/>
      <c r="CC4177" s="4"/>
      <c r="CD4177" s="4"/>
      <c r="CF4177" s="4"/>
    </row>
    <row r="4178" spans="66:84">
      <c r="BN4178" s="4"/>
      <c r="BO4178" s="4"/>
      <c r="BQ4178" s="4"/>
      <c r="CC4178" s="4"/>
      <c r="CD4178" s="4"/>
      <c r="CF4178" s="4"/>
    </row>
    <row r="4179" spans="66:84">
      <c r="BN4179" s="4"/>
      <c r="BO4179" s="4"/>
      <c r="BQ4179" s="4"/>
      <c r="CC4179" s="4"/>
      <c r="CD4179" s="4"/>
      <c r="CF4179" s="4"/>
    </row>
    <row r="4180" spans="66:84">
      <c r="BN4180" s="4"/>
      <c r="BO4180" s="4"/>
      <c r="BQ4180" s="4"/>
      <c r="CC4180" s="4"/>
      <c r="CD4180" s="4"/>
      <c r="CF4180" s="4"/>
    </row>
    <row r="4181" spans="66:84">
      <c r="BN4181" s="4"/>
      <c r="BO4181" s="4"/>
      <c r="BQ4181" s="4"/>
      <c r="CC4181" s="4"/>
      <c r="CD4181" s="4"/>
      <c r="CF4181" s="4"/>
    </row>
    <row r="4182" spans="66:84">
      <c r="BN4182" s="4"/>
      <c r="BO4182" s="4"/>
      <c r="BQ4182" s="4"/>
      <c r="CC4182" s="4"/>
      <c r="CD4182" s="4"/>
      <c r="CF4182" s="4"/>
    </row>
    <row r="4183" spans="66:84">
      <c r="BN4183" s="4"/>
      <c r="BO4183" s="4"/>
      <c r="BQ4183" s="4"/>
      <c r="CC4183" s="4"/>
      <c r="CD4183" s="4"/>
      <c r="CF4183" s="4"/>
    </row>
    <row r="4184" spans="66:84">
      <c r="BN4184" s="4"/>
      <c r="BO4184" s="4"/>
      <c r="BQ4184" s="4"/>
      <c r="CC4184" s="4"/>
      <c r="CD4184" s="4"/>
      <c r="CF4184" s="4"/>
    </row>
    <row r="4185" spans="66:84">
      <c r="BN4185" s="4"/>
      <c r="BO4185" s="4"/>
      <c r="BQ4185" s="4"/>
      <c r="CC4185" s="4"/>
      <c r="CD4185" s="4"/>
      <c r="CF4185" s="4"/>
    </row>
    <row r="4186" spans="66:84">
      <c r="BN4186" s="4"/>
      <c r="BO4186" s="4"/>
      <c r="BQ4186" s="4"/>
      <c r="CC4186" s="4"/>
      <c r="CD4186" s="4"/>
      <c r="CF4186" s="4"/>
    </row>
    <row r="4187" spans="66:84">
      <c r="BN4187" s="4"/>
      <c r="BO4187" s="4"/>
      <c r="BQ4187" s="4"/>
      <c r="CC4187" s="4"/>
      <c r="CD4187" s="4"/>
      <c r="CF4187" s="4"/>
    </row>
    <row r="4188" spans="66:84">
      <c r="BN4188" s="4"/>
      <c r="BO4188" s="4"/>
      <c r="BQ4188" s="4"/>
      <c r="CC4188" s="4"/>
      <c r="CD4188" s="4"/>
      <c r="CF4188" s="4"/>
    </row>
    <row r="4189" spans="66:84">
      <c r="BN4189" s="4"/>
      <c r="BO4189" s="4"/>
      <c r="BQ4189" s="4"/>
      <c r="CC4189" s="4"/>
      <c r="CD4189" s="4"/>
      <c r="CF4189" s="4"/>
    </row>
    <row r="4190" spans="66:84">
      <c r="BN4190" s="4"/>
      <c r="BO4190" s="4"/>
      <c r="BQ4190" s="4"/>
      <c r="CC4190" s="4"/>
      <c r="CD4190" s="4"/>
      <c r="CF4190" s="4"/>
    </row>
    <row r="4191" spans="66:84">
      <c r="BN4191" s="4"/>
      <c r="BO4191" s="4"/>
      <c r="BQ4191" s="4"/>
      <c r="CC4191" s="4"/>
      <c r="CD4191" s="4"/>
      <c r="CF4191" s="4"/>
    </row>
    <row r="4192" spans="66:84">
      <c r="BN4192" s="4"/>
      <c r="BO4192" s="4"/>
      <c r="BQ4192" s="4"/>
      <c r="CC4192" s="4"/>
      <c r="CD4192" s="4"/>
      <c r="CF4192" s="4"/>
    </row>
    <row r="4193" spans="66:84">
      <c r="BN4193" s="4"/>
      <c r="BO4193" s="4"/>
      <c r="BQ4193" s="4"/>
      <c r="CC4193" s="4"/>
      <c r="CD4193" s="4"/>
      <c r="CF4193" s="4"/>
    </row>
    <row r="4194" spans="66:84">
      <c r="BN4194" s="4"/>
      <c r="BO4194" s="4"/>
      <c r="BQ4194" s="4"/>
      <c r="CC4194" s="4"/>
      <c r="CD4194" s="4"/>
      <c r="CF4194" s="4"/>
    </row>
    <row r="4195" spans="66:84">
      <c r="BN4195" s="4"/>
      <c r="BO4195" s="4"/>
      <c r="BQ4195" s="4"/>
      <c r="CC4195" s="4"/>
      <c r="CD4195" s="4"/>
      <c r="CF4195" s="4"/>
    </row>
    <row r="4196" spans="66:84">
      <c r="BN4196" s="4"/>
      <c r="BO4196" s="4"/>
      <c r="BQ4196" s="4"/>
      <c r="CC4196" s="4"/>
      <c r="CD4196" s="4"/>
      <c r="CF4196" s="4"/>
    </row>
    <row r="4197" spans="66:84">
      <c r="BN4197" s="4"/>
      <c r="BO4197" s="4"/>
      <c r="BQ4197" s="4"/>
      <c r="CC4197" s="4"/>
      <c r="CD4197" s="4"/>
      <c r="CF4197" s="4"/>
    </row>
    <row r="4198" spans="66:84">
      <c r="BN4198" s="4"/>
      <c r="BO4198" s="4"/>
      <c r="BQ4198" s="4"/>
      <c r="CC4198" s="4"/>
      <c r="CD4198" s="4"/>
      <c r="CF4198" s="4"/>
    </row>
    <row r="4199" spans="66:84">
      <c r="BN4199" s="4"/>
      <c r="BO4199" s="4"/>
      <c r="BQ4199" s="4"/>
      <c r="CC4199" s="4"/>
      <c r="CD4199" s="4"/>
      <c r="CF4199" s="4"/>
    </row>
    <row r="4200" spans="66:84">
      <c r="BN4200" s="4"/>
      <c r="BO4200" s="4"/>
      <c r="BQ4200" s="4"/>
      <c r="CC4200" s="4"/>
      <c r="CD4200" s="4"/>
      <c r="CF4200" s="4"/>
    </row>
    <row r="4201" spans="66:84">
      <c r="BN4201" s="4"/>
      <c r="BO4201" s="4"/>
      <c r="BQ4201" s="4"/>
      <c r="CC4201" s="4"/>
      <c r="CD4201" s="4"/>
      <c r="CF4201" s="4"/>
    </row>
    <row r="4202" spans="66:84">
      <c r="BN4202" s="4"/>
      <c r="BO4202" s="4"/>
      <c r="BQ4202" s="4"/>
      <c r="CC4202" s="4"/>
      <c r="CD4202" s="4"/>
      <c r="CF4202" s="4"/>
    </row>
    <row r="4203" spans="66:84">
      <c r="BN4203" s="4"/>
      <c r="BO4203" s="4"/>
      <c r="BQ4203" s="4"/>
      <c r="CC4203" s="4"/>
      <c r="CD4203" s="4"/>
      <c r="CF4203" s="4"/>
    </row>
    <row r="4204" spans="66:84">
      <c r="BN4204" s="4"/>
      <c r="BO4204" s="4"/>
      <c r="BQ4204" s="4"/>
      <c r="CC4204" s="4"/>
      <c r="CD4204" s="4"/>
      <c r="CF4204" s="4"/>
    </row>
    <row r="4205" spans="66:84">
      <c r="BN4205" s="4"/>
      <c r="BO4205" s="4"/>
      <c r="BQ4205" s="4"/>
      <c r="CC4205" s="4"/>
      <c r="CD4205" s="4"/>
      <c r="CF4205" s="4"/>
    </row>
    <row r="4206" spans="66:84">
      <c r="BN4206" s="4"/>
      <c r="BO4206" s="4"/>
      <c r="BQ4206" s="4"/>
      <c r="CC4206" s="4"/>
      <c r="CD4206" s="4"/>
      <c r="CF4206" s="4"/>
    </row>
    <row r="4207" spans="66:84">
      <c r="BN4207" s="4"/>
      <c r="BO4207" s="4"/>
      <c r="BQ4207" s="4"/>
      <c r="CC4207" s="4"/>
      <c r="CD4207" s="4"/>
      <c r="CF4207" s="4"/>
    </row>
    <row r="4208" spans="66:84">
      <c r="BN4208" s="4"/>
      <c r="BO4208" s="4"/>
      <c r="BQ4208" s="4"/>
      <c r="CC4208" s="4"/>
      <c r="CD4208" s="4"/>
      <c r="CF4208" s="4"/>
    </row>
    <row r="4209" spans="66:84">
      <c r="BN4209" s="4"/>
      <c r="BO4209" s="4"/>
      <c r="BQ4209" s="4"/>
      <c r="CC4209" s="4"/>
      <c r="CD4209" s="4"/>
      <c r="CF4209" s="4"/>
    </row>
    <row r="4210" spans="66:84">
      <c r="BN4210" s="4"/>
      <c r="BO4210" s="4"/>
      <c r="BQ4210" s="4"/>
      <c r="CC4210" s="4"/>
      <c r="CD4210" s="4"/>
      <c r="CF4210" s="4"/>
    </row>
    <row r="4211" spans="66:84">
      <c r="BN4211" s="4"/>
      <c r="BO4211" s="4"/>
      <c r="BQ4211" s="4"/>
      <c r="CC4211" s="4"/>
      <c r="CD4211" s="4"/>
      <c r="CF4211" s="4"/>
    </row>
    <row r="4212" spans="66:84">
      <c r="BN4212" s="4"/>
      <c r="BO4212" s="4"/>
      <c r="BQ4212" s="4"/>
      <c r="CC4212" s="4"/>
      <c r="CD4212" s="4"/>
      <c r="CF4212" s="4"/>
    </row>
    <row r="4213" spans="66:84">
      <c r="BN4213" s="4"/>
      <c r="BO4213" s="4"/>
      <c r="BQ4213" s="4"/>
      <c r="CC4213" s="4"/>
      <c r="CD4213" s="4"/>
      <c r="CF4213" s="4"/>
    </row>
    <row r="4214" spans="66:84">
      <c r="BN4214" s="4"/>
      <c r="BO4214" s="4"/>
      <c r="BQ4214" s="4"/>
      <c r="CC4214" s="4"/>
      <c r="CD4214" s="4"/>
      <c r="CF4214" s="4"/>
    </row>
    <row r="4215" spans="66:84">
      <c r="BN4215" s="4"/>
      <c r="BO4215" s="4"/>
      <c r="BQ4215" s="4"/>
      <c r="CC4215" s="4"/>
      <c r="CD4215" s="4"/>
      <c r="CF4215" s="4"/>
    </row>
    <row r="4216" spans="66:84">
      <c r="BN4216" s="4"/>
      <c r="BO4216" s="4"/>
      <c r="BQ4216" s="4"/>
      <c r="CC4216" s="4"/>
      <c r="CD4216" s="4"/>
      <c r="CF4216" s="4"/>
    </row>
    <row r="4217" spans="66:84">
      <c r="BN4217" s="4"/>
      <c r="BO4217" s="4"/>
      <c r="BQ4217" s="4"/>
      <c r="CC4217" s="4"/>
      <c r="CD4217" s="4"/>
      <c r="CF4217" s="4"/>
    </row>
    <row r="4218" spans="66:84">
      <c r="BN4218" s="4"/>
      <c r="BO4218" s="4"/>
      <c r="BQ4218" s="4"/>
      <c r="CC4218" s="4"/>
      <c r="CD4218" s="4"/>
      <c r="CF4218" s="4"/>
    </row>
    <row r="4219" spans="66:84">
      <c r="BN4219" s="4"/>
      <c r="BO4219" s="4"/>
      <c r="BQ4219" s="4"/>
      <c r="CC4219" s="4"/>
      <c r="CD4219" s="4"/>
      <c r="CF4219" s="4"/>
    </row>
    <row r="4220" spans="66:84">
      <c r="BN4220" s="4"/>
      <c r="BO4220" s="4"/>
      <c r="BQ4220" s="4"/>
      <c r="CC4220" s="4"/>
      <c r="CD4220" s="4"/>
      <c r="CF4220" s="4"/>
    </row>
    <row r="4221" spans="66:84">
      <c r="BN4221" s="4"/>
      <c r="BO4221" s="4"/>
      <c r="BQ4221" s="4"/>
      <c r="CC4221" s="4"/>
      <c r="CD4221" s="4"/>
      <c r="CF4221" s="4"/>
    </row>
    <row r="4222" spans="66:84">
      <c r="BN4222" s="4"/>
      <c r="BO4222" s="4"/>
      <c r="BQ4222" s="4"/>
      <c r="CC4222" s="4"/>
      <c r="CD4222" s="4"/>
      <c r="CF4222" s="4"/>
    </row>
    <row r="4223" spans="66:84">
      <c r="BN4223" s="4"/>
      <c r="BO4223" s="4"/>
      <c r="BQ4223" s="4"/>
      <c r="CC4223" s="4"/>
      <c r="CD4223" s="4"/>
      <c r="CF4223" s="4"/>
    </row>
    <row r="4224" spans="66:84">
      <c r="BN4224" s="4"/>
      <c r="BO4224" s="4"/>
      <c r="BQ4224" s="4"/>
      <c r="CC4224" s="4"/>
      <c r="CD4224" s="4"/>
      <c r="CF4224" s="4"/>
    </row>
    <row r="4225" spans="66:84">
      <c r="BN4225" s="4"/>
      <c r="BO4225" s="4"/>
      <c r="BQ4225" s="4"/>
      <c r="CC4225" s="4"/>
      <c r="CD4225" s="4"/>
      <c r="CF4225" s="4"/>
    </row>
    <row r="4226" spans="66:84">
      <c r="BN4226" s="4"/>
      <c r="BO4226" s="4"/>
      <c r="BQ4226" s="4"/>
      <c r="CC4226" s="4"/>
      <c r="CD4226" s="4"/>
      <c r="CF4226" s="4"/>
    </row>
    <row r="4227" spans="66:84">
      <c r="BN4227" s="4"/>
      <c r="BO4227" s="4"/>
      <c r="BQ4227" s="4"/>
      <c r="CC4227" s="4"/>
      <c r="CD4227" s="4"/>
      <c r="CF4227" s="4"/>
    </row>
    <row r="4228" spans="66:84">
      <c r="BN4228" s="4"/>
      <c r="BO4228" s="4"/>
      <c r="BQ4228" s="4"/>
      <c r="CC4228" s="4"/>
      <c r="CD4228" s="4"/>
      <c r="CF4228" s="4"/>
    </row>
    <row r="4229" spans="66:84">
      <c r="BN4229" s="4"/>
      <c r="BO4229" s="4"/>
      <c r="BQ4229" s="4"/>
      <c r="CC4229" s="4"/>
      <c r="CD4229" s="4"/>
      <c r="CF4229" s="4"/>
    </row>
    <row r="4230" spans="66:84">
      <c r="BN4230" s="4"/>
      <c r="BO4230" s="4"/>
      <c r="BQ4230" s="4"/>
      <c r="CC4230" s="4"/>
      <c r="CD4230" s="4"/>
      <c r="CF4230" s="4"/>
    </row>
    <row r="4231" spans="66:84">
      <c r="BN4231" s="4"/>
      <c r="BO4231" s="4"/>
      <c r="BQ4231" s="4"/>
      <c r="CC4231" s="4"/>
      <c r="CD4231" s="4"/>
      <c r="CF4231" s="4"/>
    </row>
    <row r="4232" spans="66:84">
      <c r="BN4232" s="4"/>
      <c r="BO4232" s="4"/>
      <c r="BQ4232" s="4"/>
      <c r="CC4232" s="4"/>
      <c r="CD4232" s="4"/>
      <c r="CF4232" s="4"/>
    </row>
    <row r="4233" spans="66:84">
      <c r="BN4233" s="4"/>
      <c r="BO4233" s="4"/>
      <c r="BQ4233" s="4"/>
      <c r="CC4233" s="4"/>
      <c r="CD4233" s="4"/>
      <c r="CF4233" s="4"/>
    </row>
    <row r="4234" spans="66:84">
      <c r="BN4234" s="4"/>
      <c r="BO4234" s="4"/>
      <c r="BQ4234" s="4"/>
      <c r="CC4234" s="4"/>
      <c r="CD4234" s="4"/>
      <c r="CF4234" s="4"/>
    </row>
    <row r="4235" spans="66:84">
      <c r="BN4235" s="4"/>
      <c r="BO4235" s="4"/>
      <c r="BQ4235" s="4"/>
      <c r="CC4235" s="4"/>
      <c r="CD4235" s="4"/>
      <c r="CF4235" s="4"/>
    </row>
    <row r="4236" spans="66:84">
      <c r="BN4236" s="4"/>
      <c r="BO4236" s="4"/>
      <c r="BQ4236" s="4"/>
      <c r="CC4236" s="4"/>
      <c r="CD4236" s="4"/>
      <c r="CF4236" s="4"/>
    </row>
    <row r="4237" spans="66:84">
      <c r="BN4237" s="4"/>
      <c r="BO4237" s="4"/>
      <c r="BQ4237" s="4"/>
      <c r="CC4237" s="4"/>
      <c r="CD4237" s="4"/>
      <c r="CF4237" s="4"/>
    </row>
    <row r="4238" spans="66:84">
      <c r="BN4238" s="4"/>
      <c r="BO4238" s="4"/>
      <c r="BQ4238" s="4"/>
      <c r="CC4238" s="4"/>
      <c r="CD4238" s="4"/>
      <c r="CF4238" s="4"/>
    </row>
    <row r="4239" spans="66:84">
      <c r="BN4239" s="4"/>
      <c r="BO4239" s="4"/>
      <c r="BQ4239" s="4"/>
      <c r="CC4239" s="4"/>
      <c r="CD4239" s="4"/>
      <c r="CF4239" s="4"/>
    </row>
    <row r="4240" spans="66:84">
      <c r="BN4240" s="4"/>
      <c r="BO4240" s="4"/>
      <c r="BQ4240" s="4"/>
      <c r="CC4240" s="4"/>
      <c r="CD4240" s="4"/>
      <c r="CF4240" s="4"/>
    </row>
    <row r="4241" spans="66:84">
      <c r="BN4241" s="4"/>
      <c r="BO4241" s="4"/>
      <c r="BQ4241" s="4"/>
      <c r="CC4241" s="4"/>
      <c r="CD4241" s="4"/>
      <c r="CF4241" s="4"/>
    </row>
    <row r="4242" spans="66:84">
      <c r="BN4242" s="4"/>
      <c r="BO4242" s="4"/>
      <c r="BQ4242" s="4"/>
      <c r="CC4242" s="4"/>
      <c r="CD4242" s="4"/>
      <c r="CF4242" s="4"/>
    </row>
    <row r="4243" spans="66:84">
      <c r="BN4243" s="4"/>
      <c r="BO4243" s="4"/>
      <c r="BQ4243" s="4"/>
      <c r="CC4243" s="4"/>
      <c r="CD4243" s="4"/>
      <c r="CF4243" s="4"/>
    </row>
    <row r="4244" spans="66:84">
      <c r="BN4244" s="4"/>
      <c r="BO4244" s="4"/>
      <c r="BQ4244" s="4"/>
      <c r="CC4244" s="4"/>
      <c r="CD4244" s="4"/>
      <c r="CF4244" s="4"/>
    </row>
    <row r="4245" spans="66:84">
      <c r="BN4245" s="4"/>
      <c r="BO4245" s="4"/>
      <c r="BQ4245" s="4"/>
      <c r="CC4245" s="4"/>
      <c r="CD4245" s="4"/>
      <c r="CF4245" s="4"/>
    </row>
    <row r="4246" spans="66:84">
      <c r="BN4246" s="4"/>
      <c r="BO4246" s="4"/>
      <c r="BQ4246" s="4"/>
      <c r="CC4246" s="4"/>
      <c r="CD4246" s="4"/>
      <c r="CF4246" s="4"/>
    </row>
    <row r="4247" spans="66:84">
      <c r="BN4247" s="4"/>
      <c r="BO4247" s="4"/>
      <c r="BQ4247" s="4"/>
      <c r="CC4247" s="4"/>
      <c r="CD4247" s="4"/>
      <c r="CF4247" s="4"/>
    </row>
    <row r="4248" spans="66:84">
      <c r="BN4248" s="4"/>
      <c r="BO4248" s="4"/>
      <c r="BQ4248" s="4"/>
      <c r="CC4248" s="4"/>
      <c r="CD4248" s="4"/>
      <c r="CF4248" s="4"/>
    </row>
    <row r="4249" spans="66:84">
      <c r="BN4249" s="4"/>
      <c r="BO4249" s="4"/>
      <c r="BQ4249" s="4"/>
      <c r="CC4249" s="4"/>
      <c r="CD4249" s="4"/>
      <c r="CF4249" s="4"/>
    </row>
    <row r="4250" spans="66:84">
      <c r="BN4250" s="4"/>
      <c r="BO4250" s="4"/>
      <c r="BQ4250" s="4"/>
      <c r="CC4250" s="4"/>
      <c r="CD4250" s="4"/>
      <c r="CF4250" s="4"/>
    </row>
    <row r="4251" spans="66:84">
      <c r="BN4251" s="4"/>
      <c r="BO4251" s="4"/>
      <c r="BQ4251" s="4"/>
      <c r="CC4251" s="4"/>
      <c r="CD4251" s="4"/>
      <c r="CF4251" s="4"/>
    </row>
    <row r="4252" spans="66:84">
      <c r="BN4252" s="4"/>
      <c r="BO4252" s="4"/>
      <c r="BQ4252" s="4"/>
      <c r="CC4252" s="4"/>
      <c r="CD4252" s="4"/>
      <c r="CF4252" s="4"/>
    </row>
    <row r="4253" spans="66:84">
      <c r="BN4253" s="4"/>
      <c r="BO4253" s="4"/>
      <c r="BQ4253" s="4"/>
      <c r="CC4253" s="4"/>
      <c r="CD4253" s="4"/>
      <c r="CF4253" s="4"/>
    </row>
    <row r="4254" spans="66:84">
      <c r="BN4254" s="4"/>
      <c r="BO4254" s="4"/>
      <c r="BQ4254" s="4"/>
      <c r="CC4254" s="4"/>
      <c r="CD4254" s="4"/>
      <c r="CF4254" s="4"/>
    </row>
    <row r="4255" spans="66:84">
      <c r="BN4255" s="4"/>
      <c r="BO4255" s="4"/>
      <c r="BQ4255" s="4"/>
      <c r="CC4255" s="4"/>
      <c r="CD4255" s="4"/>
      <c r="CF4255" s="4"/>
    </row>
    <row r="4256" spans="66:84">
      <c r="BN4256" s="4"/>
      <c r="BO4256" s="4"/>
      <c r="BQ4256" s="4"/>
      <c r="CC4256" s="4"/>
      <c r="CD4256" s="4"/>
      <c r="CF4256" s="4"/>
    </row>
    <row r="4257" spans="66:84">
      <c r="BN4257" s="4"/>
      <c r="BO4257" s="4"/>
      <c r="BQ4257" s="4"/>
      <c r="CC4257" s="4"/>
      <c r="CD4257" s="4"/>
      <c r="CF4257" s="4"/>
    </row>
    <row r="4258" spans="66:84">
      <c r="BN4258" s="4"/>
      <c r="BO4258" s="4"/>
      <c r="BQ4258" s="4"/>
      <c r="CC4258" s="4"/>
      <c r="CD4258" s="4"/>
      <c r="CF4258" s="4"/>
    </row>
    <row r="4259" spans="66:84">
      <c r="BN4259" s="4"/>
      <c r="BO4259" s="4"/>
      <c r="BQ4259" s="4"/>
      <c r="CC4259" s="4"/>
      <c r="CD4259" s="4"/>
      <c r="CF4259" s="4"/>
    </row>
    <row r="4260" spans="66:84">
      <c r="BN4260" s="4"/>
      <c r="BO4260" s="4"/>
      <c r="BQ4260" s="4"/>
      <c r="CC4260" s="4"/>
      <c r="CD4260" s="4"/>
      <c r="CF4260" s="4"/>
    </row>
    <row r="4261" spans="66:84">
      <c r="BN4261" s="4"/>
      <c r="BO4261" s="4"/>
      <c r="BQ4261" s="4"/>
      <c r="CC4261" s="4"/>
      <c r="CD4261" s="4"/>
      <c r="CF4261" s="4"/>
    </row>
    <row r="4262" spans="66:84">
      <c r="BN4262" s="4"/>
      <c r="BO4262" s="4"/>
      <c r="BQ4262" s="4"/>
      <c r="CC4262" s="4"/>
      <c r="CD4262" s="4"/>
      <c r="CF4262" s="4"/>
    </row>
    <row r="4263" spans="66:84">
      <c r="BN4263" s="4"/>
      <c r="BO4263" s="4"/>
      <c r="BQ4263" s="4"/>
      <c r="CC4263" s="4"/>
      <c r="CD4263" s="4"/>
      <c r="CF4263" s="4"/>
    </row>
    <row r="4264" spans="66:84">
      <c r="BN4264" s="4"/>
      <c r="BO4264" s="4"/>
      <c r="BQ4264" s="4"/>
      <c r="CC4264" s="4"/>
      <c r="CD4264" s="4"/>
      <c r="CF4264" s="4"/>
    </row>
    <row r="4265" spans="66:84">
      <c r="BN4265" s="4"/>
      <c r="BO4265" s="4"/>
      <c r="BQ4265" s="4"/>
      <c r="CC4265" s="4"/>
      <c r="CD4265" s="4"/>
      <c r="CF4265" s="4"/>
    </row>
    <row r="4266" spans="66:84">
      <c r="BN4266" s="4"/>
      <c r="BO4266" s="4"/>
      <c r="BQ4266" s="4"/>
      <c r="CC4266" s="4"/>
      <c r="CD4266" s="4"/>
      <c r="CF4266" s="4"/>
    </row>
    <row r="4267" spans="66:84">
      <c r="BN4267" s="4"/>
      <c r="BO4267" s="4"/>
      <c r="BQ4267" s="4"/>
      <c r="CC4267" s="4"/>
      <c r="CD4267" s="4"/>
      <c r="CF4267" s="4"/>
    </row>
    <row r="4268" spans="66:84">
      <c r="BN4268" s="4"/>
      <c r="BO4268" s="4"/>
      <c r="BQ4268" s="4"/>
      <c r="CC4268" s="4"/>
      <c r="CD4268" s="4"/>
      <c r="CF4268" s="4"/>
    </row>
    <row r="4269" spans="66:84">
      <c r="BN4269" s="4"/>
      <c r="BO4269" s="4"/>
      <c r="BQ4269" s="4"/>
      <c r="CC4269" s="4"/>
      <c r="CD4269" s="4"/>
      <c r="CF4269" s="4"/>
    </row>
    <row r="4270" spans="66:84">
      <c r="BN4270" s="4"/>
      <c r="BO4270" s="4"/>
      <c r="BQ4270" s="4"/>
      <c r="CC4270" s="4"/>
      <c r="CD4270" s="4"/>
      <c r="CF4270" s="4"/>
    </row>
    <row r="4271" spans="66:84">
      <c r="BN4271" s="4"/>
      <c r="BO4271" s="4"/>
      <c r="BQ4271" s="4"/>
      <c r="CC4271" s="4"/>
      <c r="CD4271" s="4"/>
      <c r="CF4271" s="4"/>
    </row>
    <row r="4272" spans="66:84">
      <c r="BN4272" s="4"/>
      <c r="BO4272" s="4"/>
      <c r="BQ4272" s="4"/>
      <c r="CC4272" s="4"/>
      <c r="CD4272" s="4"/>
      <c r="CF4272" s="4"/>
    </row>
    <row r="4273" spans="66:84">
      <c r="BN4273" s="4"/>
      <c r="BO4273" s="4"/>
      <c r="BQ4273" s="4"/>
      <c r="CC4273" s="4"/>
      <c r="CD4273" s="4"/>
      <c r="CF4273" s="4"/>
    </row>
    <row r="4274" spans="66:84">
      <c r="BN4274" s="4"/>
      <c r="BO4274" s="4"/>
      <c r="BQ4274" s="4"/>
      <c r="CC4274" s="4"/>
      <c r="CD4274" s="4"/>
      <c r="CF4274" s="4"/>
    </row>
    <row r="4275" spans="66:84">
      <c r="BN4275" s="4"/>
      <c r="BO4275" s="4"/>
      <c r="BQ4275" s="4"/>
      <c r="CC4275" s="4"/>
      <c r="CD4275" s="4"/>
      <c r="CF4275" s="4"/>
    </row>
    <row r="4276" spans="66:84">
      <c r="BN4276" s="4"/>
      <c r="BO4276" s="4"/>
      <c r="BQ4276" s="4"/>
      <c r="CC4276" s="4"/>
      <c r="CD4276" s="4"/>
      <c r="CF4276" s="4"/>
    </row>
    <row r="4277" spans="66:84">
      <c r="BN4277" s="4"/>
      <c r="BO4277" s="4"/>
      <c r="BQ4277" s="4"/>
      <c r="CC4277" s="4"/>
      <c r="CD4277" s="4"/>
      <c r="CF4277" s="4"/>
    </row>
    <row r="4278" spans="66:84">
      <c r="BN4278" s="4"/>
      <c r="BO4278" s="4"/>
      <c r="BQ4278" s="4"/>
      <c r="CC4278" s="4"/>
      <c r="CD4278" s="4"/>
      <c r="CF4278" s="4"/>
    </row>
    <row r="4279" spans="66:84">
      <c r="BN4279" s="4"/>
      <c r="BO4279" s="4"/>
      <c r="BQ4279" s="4"/>
      <c r="CC4279" s="4"/>
      <c r="CD4279" s="4"/>
      <c r="CF4279" s="4"/>
    </row>
    <row r="4280" spans="66:84">
      <c r="BN4280" s="4"/>
      <c r="BO4280" s="4"/>
      <c r="BQ4280" s="4"/>
      <c r="CC4280" s="4"/>
      <c r="CD4280" s="4"/>
      <c r="CF4280" s="4"/>
    </row>
    <row r="4281" spans="66:84">
      <c r="BN4281" s="4"/>
      <c r="BO4281" s="4"/>
      <c r="BQ4281" s="4"/>
      <c r="CC4281" s="4"/>
      <c r="CD4281" s="4"/>
      <c r="CF4281" s="4"/>
    </row>
    <row r="4282" spans="66:84">
      <c r="BN4282" s="4"/>
      <c r="BO4282" s="4"/>
      <c r="BQ4282" s="4"/>
      <c r="CC4282" s="4"/>
      <c r="CD4282" s="4"/>
      <c r="CF4282" s="4"/>
    </row>
    <row r="4283" spans="66:84">
      <c r="BN4283" s="4"/>
      <c r="BO4283" s="4"/>
      <c r="BQ4283" s="4"/>
      <c r="CC4283" s="4"/>
      <c r="CD4283" s="4"/>
      <c r="CF4283" s="4"/>
    </row>
    <row r="4284" spans="66:84">
      <c r="BN4284" s="4"/>
      <c r="BO4284" s="4"/>
      <c r="BQ4284" s="4"/>
      <c r="CC4284" s="4"/>
      <c r="CD4284" s="4"/>
      <c r="CF4284" s="4"/>
    </row>
    <row r="4285" spans="66:84">
      <c r="BN4285" s="4"/>
      <c r="BO4285" s="4"/>
      <c r="BQ4285" s="4"/>
      <c r="CC4285" s="4"/>
      <c r="CD4285" s="4"/>
      <c r="CF4285" s="4"/>
    </row>
    <row r="4286" spans="66:84">
      <c r="BN4286" s="4"/>
      <c r="BO4286" s="4"/>
      <c r="BQ4286" s="4"/>
      <c r="CC4286" s="4"/>
      <c r="CD4286" s="4"/>
      <c r="CF4286" s="4"/>
    </row>
    <row r="4287" spans="66:84">
      <c r="BN4287" s="4"/>
      <c r="BO4287" s="4"/>
      <c r="BQ4287" s="4"/>
      <c r="CC4287" s="4"/>
      <c r="CD4287" s="4"/>
      <c r="CF4287" s="4"/>
    </row>
    <row r="4288" spans="66:84">
      <c r="BN4288" s="4"/>
      <c r="BO4288" s="4"/>
      <c r="BQ4288" s="4"/>
      <c r="CC4288" s="4"/>
      <c r="CD4288" s="4"/>
      <c r="CF4288" s="4"/>
    </row>
    <row r="4289" spans="66:84">
      <c r="BN4289" s="4"/>
      <c r="BO4289" s="4"/>
      <c r="BQ4289" s="4"/>
      <c r="CC4289" s="4"/>
      <c r="CD4289" s="4"/>
      <c r="CF4289" s="4"/>
    </row>
    <row r="4290" spans="66:84">
      <c r="BN4290" s="4"/>
      <c r="BO4290" s="4"/>
      <c r="BQ4290" s="4"/>
      <c r="CC4290" s="4"/>
      <c r="CD4290" s="4"/>
      <c r="CF4290" s="4"/>
    </row>
    <row r="4291" spans="66:84">
      <c r="BN4291" s="4"/>
      <c r="BO4291" s="4"/>
      <c r="BQ4291" s="4"/>
      <c r="CC4291" s="4"/>
      <c r="CD4291" s="4"/>
      <c r="CF4291" s="4"/>
    </row>
    <row r="4292" spans="66:84">
      <c r="BN4292" s="4"/>
      <c r="BO4292" s="4"/>
      <c r="BQ4292" s="4"/>
      <c r="CC4292" s="4"/>
      <c r="CD4292" s="4"/>
      <c r="CF4292" s="4"/>
    </row>
    <row r="4293" spans="66:84">
      <c r="BN4293" s="4"/>
      <c r="BO4293" s="4"/>
      <c r="BQ4293" s="4"/>
      <c r="CC4293" s="4"/>
      <c r="CD4293" s="4"/>
      <c r="CF4293" s="4"/>
    </row>
    <row r="4294" spans="66:84">
      <c r="BN4294" s="4"/>
      <c r="BO4294" s="4"/>
      <c r="BQ4294" s="4"/>
      <c r="CC4294" s="4"/>
      <c r="CD4294" s="4"/>
      <c r="CF4294" s="4"/>
    </row>
    <row r="4295" spans="66:84">
      <c r="BN4295" s="4"/>
      <c r="BO4295" s="4"/>
      <c r="BQ4295" s="4"/>
      <c r="CC4295" s="4"/>
      <c r="CD4295" s="4"/>
      <c r="CF4295" s="4"/>
    </row>
    <row r="4296" spans="66:84">
      <c r="BN4296" s="4"/>
      <c r="BO4296" s="4"/>
      <c r="BQ4296" s="4"/>
      <c r="CC4296" s="4"/>
      <c r="CD4296" s="4"/>
      <c r="CF4296" s="4"/>
    </row>
    <row r="4297" spans="66:84">
      <c r="BN4297" s="4"/>
      <c r="BO4297" s="4"/>
      <c r="BQ4297" s="4"/>
      <c r="CC4297" s="4"/>
      <c r="CD4297" s="4"/>
      <c r="CF4297" s="4"/>
    </row>
    <row r="4298" spans="66:84">
      <c r="BN4298" s="4"/>
      <c r="BO4298" s="4"/>
      <c r="BQ4298" s="4"/>
      <c r="CC4298" s="4"/>
      <c r="CD4298" s="4"/>
      <c r="CF4298" s="4"/>
    </row>
    <row r="4299" spans="66:84">
      <c r="BN4299" s="4"/>
      <c r="BO4299" s="4"/>
      <c r="BQ4299" s="4"/>
      <c r="CC4299" s="4"/>
      <c r="CD4299" s="4"/>
      <c r="CF4299" s="4"/>
    </row>
    <row r="4300" spans="66:84">
      <c r="BN4300" s="4"/>
      <c r="BO4300" s="4"/>
      <c r="BQ4300" s="4"/>
      <c r="CC4300" s="4"/>
      <c r="CD4300" s="4"/>
      <c r="CF4300" s="4"/>
    </row>
    <row r="4301" spans="66:84">
      <c r="BN4301" s="4"/>
      <c r="BO4301" s="4"/>
      <c r="BQ4301" s="4"/>
      <c r="CC4301" s="4"/>
      <c r="CD4301" s="4"/>
      <c r="CF4301" s="4"/>
    </row>
    <row r="4302" spans="66:84">
      <c r="BN4302" s="4"/>
      <c r="BO4302" s="4"/>
      <c r="BQ4302" s="4"/>
      <c r="CC4302" s="4"/>
      <c r="CD4302" s="4"/>
      <c r="CF4302" s="4"/>
    </row>
    <row r="4303" spans="66:84">
      <c r="BN4303" s="4"/>
      <c r="BO4303" s="4"/>
      <c r="BQ4303" s="4"/>
      <c r="CC4303" s="4"/>
      <c r="CD4303" s="4"/>
      <c r="CF4303" s="4"/>
    </row>
    <row r="4304" spans="66:84">
      <c r="BN4304" s="4"/>
      <c r="BO4304" s="4"/>
      <c r="BQ4304" s="4"/>
      <c r="CC4304" s="4"/>
      <c r="CD4304" s="4"/>
      <c r="CF4304" s="4"/>
    </row>
    <row r="4305" spans="66:84">
      <c r="BN4305" s="4"/>
      <c r="BO4305" s="4"/>
      <c r="BQ4305" s="4"/>
      <c r="CC4305" s="4"/>
      <c r="CD4305" s="4"/>
      <c r="CF4305" s="4"/>
    </row>
    <row r="4306" spans="66:84">
      <c r="BN4306" s="4"/>
      <c r="BO4306" s="4"/>
      <c r="BQ4306" s="4"/>
      <c r="CC4306" s="4"/>
      <c r="CD4306" s="4"/>
      <c r="CF4306" s="4"/>
    </row>
    <row r="4307" spans="66:84">
      <c r="BN4307" s="4"/>
      <c r="BO4307" s="4"/>
      <c r="BQ4307" s="4"/>
      <c r="CC4307" s="4"/>
      <c r="CD4307" s="4"/>
      <c r="CF4307" s="4"/>
    </row>
    <row r="4308" spans="66:84">
      <c r="BN4308" s="4"/>
      <c r="BO4308" s="4"/>
      <c r="BQ4308" s="4"/>
      <c r="CC4308" s="4"/>
      <c r="CD4308" s="4"/>
      <c r="CF4308" s="4"/>
    </row>
    <row r="4309" spans="66:84">
      <c r="BN4309" s="4"/>
      <c r="BO4309" s="4"/>
      <c r="BQ4309" s="4"/>
      <c r="CC4309" s="4"/>
      <c r="CD4309" s="4"/>
      <c r="CF4309" s="4"/>
    </row>
    <row r="4310" spans="66:84">
      <c r="BN4310" s="4"/>
      <c r="BO4310" s="4"/>
      <c r="BQ4310" s="4"/>
      <c r="CC4310" s="4"/>
      <c r="CD4310" s="4"/>
      <c r="CF4310" s="4"/>
    </row>
    <row r="4311" spans="66:84">
      <c r="BN4311" s="4"/>
      <c r="BO4311" s="4"/>
      <c r="BQ4311" s="4"/>
      <c r="CC4311" s="4"/>
      <c r="CD4311" s="4"/>
      <c r="CF4311" s="4"/>
    </row>
    <row r="4312" spans="66:84">
      <c r="BN4312" s="4"/>
      <c r="BO4312" s="4"/>
      <c r="BQ4312" s="4"/>
      <c r="CC4312" s="4"/>
      <c r="CD4312" s="4"/>
      <c r="CF4312" s="4"/>
    </row>
    <row r="4313" spans="66:84">
      <c r="BN4313" s="4"/>
      <c r="BO4313" s="4"/>
      <c r="BQ4313" s="4"/>
      <c r="CC4313" s="4"/>
      <c r="CD4313" s="4"/>
      <c r="CF4313" s="4"/>
    </row>
    <row r="4314" spans="66:84">
      <c r="BN4314" s="4"/>
      <c r="BO4314" s="4"/>
      <c r="BQ4314" s="4"/>
      <c r="CC4314" s="4"/>
      <c r="CD4314" s="4"/>
      <c r="CF4314" s="4"/>
    </row>
    <row r="4315" spans="66:84">
      <c r="BN4315" s="4"/>
      <c r="BO4315" s="4"/>
      <c r="BQ4315" s="4"/>
      <c r="CC4315" s="4"/>
      <c r="CD4315" s="4"/>
      <c r="CF4315" s="4"/>
    </row>
    <row r="4316" spans="66:84">
      <c r="BN4316" s="4"/>
      <c r="BO4316" s="4"/>
      <c r="BQ4316" s="4"/>
      <c r="CC4316" s="4"/>
      <c r="CD4316" s="4"/>
      <c r="CF4316" s="4"/>
    </row>
    <row r="4317" spans="66:84">
      <c r="BN4317" s="4"/>
      <c r="BO4317" s="4"/>
      <c r="BQ4317" s="4"/>
      <c r="CC4317" s="4"/>
      <c r="CD4317" s="4"/>
      <c r="CF4317" s="4"/>
    </row>
    <row r="4318" spans="66:84">
      <c r="BN4318" s="4"/>
      <c r="BO4318" s="4"/>
      <c r="BQ4318" s="4"/>
      <c r="CC4318" s="4"/>
      <c r="CD4318" s="4"/>
      <c r="CF4318" s="4"/>
    </row>
    <row r="4319" spans="66:84">
      <c r="BN4319" s="4"/>
      <c r="BO4319" s="4"/>
      <c r="BQ4319" s="4"/>
      <c r="CC4319" s="4"/>
      <c r="CD4319" s="4"/>
      <c r="CF4319" s="4"/>
    </row>
    <row r="4320" spans="66:84">
      <c r="BN4320" s="4"/>
      <c r="BO4320" s="4"/>
      <c r="BQ4320" s="4"/>
      <c r="CC4320" s="4"/>
      <c r="CD4320" s="4"/>
      <c r="CF4320" s="4"/>
    </row>
    <row r="4321" spans="66:84">
      <c r="BN4321" s="4"/>
      <c r="BO4321" s="4"/>
      <c r="BQ4321" s="4"/>
      <c r="CC4321" s="4"/>
      <c r="CD4321" s="4"/>
      <c r="CF4321" s="4"/>
    </row>
    <row r="4322" spans="66:84">
      <c r="BN4322" s="4"/>
      <c r="BO4322" s="4"/>
      <c r="BQ4322" s="4"/>
      <c r="CC4322" s="4"/>
      <c r="CD4322" s="4"/>
      <c r="CF4322" s="4"/>
    </row>
    <row r="4323" spans="66:84">
      <c r="BN4323" s="4"/>
      <c r="BO4323" s="4"/>
      <c r="BQ4323" s="4"/>
      <c r="CC4323" s="4"/>
      <c r="CD4323" s="4"/>
      <c r="CF4323" s="4"/>
    </row>
    <row r="4324" spans="66:84">
      <c r="BN4324" s="4"/>
      <c r="BO4324" s="4"/>
      <c r="BQ4324" s="4"/>
      <c r="CC4324" s="4"/>
      <c r="CD4324" s="4"/>
      <c r="CF4324" s="4"/>
    </row>
    <row r="4325" spans="66:84">
      <c r="BN4325" s="4"/>
      <c r="BO4325" s="4"/>
      <c r="BQ4325" s="4"/>
      <c r="CC4325" s="4"/>
      <c r="CD4325" s="4"/>
      <c r="CF4325" s="4"/>
    </row>
    <row r="4326" spans="66:84">
      <c r="BN4326" s="4"/>
      <c r="BO4326" s="4"/>
      <c r="BQ4326" s="4"/>
      <c r="CC4326" s="4"/>
      <c r="CD4326" s="4"/>
      <c r="CF4326" s="4"/>
    </row>
    <row r="4327" spans="66:84">
      <c r="BN4327" s="4"/>
      <c r="BO4327" s="4"/>
      <c r="BQ4327" s="4"/>
      <c r="CC4327" s="4"/>
      <c r="CD4327" s="4"/>
      <c r="CF4327" s="4"/>
    </row>
    <row r="4328" spans="66:84">
      <c r="BN4328" s="4"/>
      <c r="BO4328" s="4"/>
      <c r="BQ4328" s="4"/>
      <c r="CC4328" s="4"/>
      <c r="CD4328" s="4"/>
      <c r="CF4328" s="4"/>
    </row>
    <row r="4329" spans="66:84">
      <c r="BN4329" s="4"/>
      <c r="BO4329" s="4"/>
      <c r="BQ4329" s="4"/>
      <c r="CC4329" s="4"/>
      <c r="CD4329" s="4"/>
      <c r="CF4329" s="4"/>
    </row>
    <row r="4330" spans="66:84">
      <c r="BN4330" s="4"/>
      <c r="BO4330" s="4"/>
      <c r="BQ4330" s="4"/>
      <c r="CC4330" s="4"/>
      <c r="CD4330" s="4"/>
      <c r="CF4330" s="4"/>
    </row>
    <row r="4331" spans="66:84">
      <c r="BN4331" s="4"/>
      <c r="BO4331" s="4"/>
      <c r="BQ4331" s="4"/>
      <c r="CC4331" s="4"/>
      <c r="CD4331" s="4"/>
      <c r="CF4331" s="4"/>
    </row>
    <row r="4332" spans="66:84">
      <c r="BN4332" s="4"/>
      <c r="BO4332" s="4"/>
      <c r="BQ4332" s="4"/>
      <c r="CC4332" s="4"/>
      <c r="CD4332" s="4"/>
      <c r="CF4332" s="4"/>
    </row>
    <row r="4333" spans="66:84">
      <c r="BN4333" s="4"/>
      <c r="BO4333" s="4"/>
      <c r="BQ4333" s="4"/>
      <c r="CC4333" s="4"/>
      <c r="CD4333" s="4"/>
      <c r="CF4333" s="4"/>
    </row>
    <row r="4334" spans="66:84">
      <c r="BN4334" s="4"/>
      <c r="BO4334" s="4"/>
      <c r="BQ4334" s="4"/>
      <c r="CC4334" s="4"/>
      <c r="CD4334" s="4"/>
      <c r="CF4334" s="4"/>
    </row>
    <row r="4335" spans="66:84">
      <c r="BN4335" s="4"/>
      <c r="BO4335" s="4"/>
      <c r="BQ4335" s="4"/>
      <c r="CC4335" s="4"/>
      <c r="CD4335" s="4"/>
      <c r="CF4335" s="4"/>
    </row>
    <row r="4336" spans="66:84">
      <c r="BN4336" s="4"/>
      <c r="BO4336" s="4"/>
      <c r="BQ4336" s="4"/>
      <c r="CC4336" s="4"/>
      <c r="CD4336" s="4"/>
      <c r="CF4336" s="4"/>
    </row>
    <row r="4337" spans="66:84">
      <c r="BN4337" s="4"/>
      <c r="BO4337" s="4"/>
      <c r="BQ4337" s="4"/>
      <c r="CC4337" s="4"/>
      <c r="CD4337" s="4"/>
      <c r="CF4337" s="4"/>
    </row>
    <row r="4338" spans="66:84">
      <c r="BN4338" s="4"/>
      <c r="BO4338" s="4"/>
      <c r="BQ4338" s="4"/>
      <c r="CC4338" s="4"/>
      <c r="CD4338" s="4"/>
      <c r="CF4338" s="4"/>
    </row>
    <row r="4339" spans="66:84">
      <c r="BN4339" s="4"/>
      <c r="BO4339" s="4"/>
      <c r="BQ4339" s="4"/>
      <c r="CC4339" s="4"/>
      <c r="CD4339" s="4"/>
      <c r="CF4339" s="4"/>
    </row>
    <row r="4340" spans="66:84">
      <c r="BN4340" s="4"/>
      <c r="BO4340" s="4"/>
      <c r="BQ4340" s="4"/>
      <c r="CC4340" s="4"/>
      <c r="CD4340" s="4"/>
      <c r="CF4340" s="4"/>
    </row>
    <row r="4341" spans="66:84">
      <c r="BN4341" s="4"/>
      <c r="BO4341" s="4"/>
      <c r="BQ4341" s="4"/>
      <c r="CC4341" s="4"/>
      <c r="CD4341" s="4"/>
      <c r="CF4341" s="4"/>
    </row>
    <row r="4342" spans="66:84">
      <c r="BN4342" s="4"/>
      <c r="BO4342" s="4"/>
      <c r="BQ4342" s="4"/>
      <c r="CC4342" s="4"/>
      <c r="CD4342" s="4"/>
      <c r="CF4342" s="4"/>
    </row>
    <row r="4343" spans="66:84">
      <c r="BN4343" s="4"/>
      <c r="BO4343" s="4"/>
      <c r="BQ4343" s="4"/>
      <c r="CC4343" s="4"/>
      <c r="CD4343" s="4"/>
      <c r="CF4343" s="4"/>
    </row>
    <row r="4344" spans="66:84">
      <c r="BN4344" s="4"/>
      <c r="BO4344" s="4"/>
      <c r="BQ4344" s="4"/>
      <c r="CC4344" s="4"/>
      <c r="CD4344" s="4"/>
      <c r="CF4344" s="4"/>
    </row>
    <row r="4345" spans="66:84">
      <c r="BN4345" s="4"/>
      <c r="BO4345" s="4"/>
      <c r="BQ4345" s="4"/>
      <c r="CC4345" s="4"/>
      <c r="CD4345" s="4"/>
      <c r="CF4345" s="4"/>
    </row>
    <row r="4346" spans="66:84">
      <c r="BN4346" s="4"/>
      <c r="BO4346" s="4"/>
      <c r="BQ4346" s="4"/>
      <c r="CC4346" s="4"/>
      <c r="CD4346" s="4"/>
      <c r="CF4346" s="4"/>
    </row>
    <row r="4347" spans="66:84">
      <c r="BN4347" s="4"/>
      <c r="BO4347" s="4"/>
      <c r="BQ4347" s="4"/>
      <c r="CC4347" s="4"/>
      <c r="CD4347" s="4"/>
      <c r="CF4347" s="4"/>
    </row>
    <row r="4348" spans="66:84">
      <c r="BN4348" s="4"/>
      <c r="BO4348" s="4"/>
      <c r="BQ4348" s="4"/>
      <c r="CC4348" s="4"/>
      <c r="CD4348" s="4"/>
      <c r="CF4348" s="4"/>
    </row>
    <row r="4349" spans="66:84">
      <c r="BN4349" s="4"/>
      <c r="BO4349" s="4"/>
      <c r="BQ4349" s="4"/>
      <c r="CC4349" s="4"/>
      <c r="CD4349" s="4"/>
      <c r="CF4349" s="4"/>
    </row>
    <row r="4350" spans="66:84">
      <c r="BN4350" s="4"/>
      <c r="BO4350" s="4"/>
      <c r="BQ4350" s="4"/>
      <c r="CC4350" s="4"/>
      <c r="CD4350" s="4"/>
      <c r="CF4350" s="4"/>
    </row>
    <row r="4351" spans="66:84">
      <c r="BN4351" s="4"/>
      <c r="BO4351" s="4"/>
      <c r="BQ4351" s="4"/>
      <c r="CC4351" s="4"/>
      <c r="CD4351" s="4"/>
      <c r="CF4351" s="4"/>
    </row>
    <row r="4352" spans="66:84">
      <c r="BN4352" s="4"/>
      <c r="BO4352" s="4"/>
      <c r="BQ4352" s="4"/>
      <c r="CC4352" s="4"/>
      <c r="CD4352" s="4"/>
      <c r="CF4352" s="4"/>
    </row>
    <row r="4353" spans="66:84">
      <c r="BN4353" s="4"/>
      <c r="BO4353" s="4"/>
      <c r="BQ4353" s="4"/>
      <c r="CC4353" s="4"/>
      <c r="CD4353" s="4"/>
      <c r="CF4353" s="4"/>
    </row>
    <row r="4354" spans="66:84">
      <c r="BN4354" s="4"/>
      <c r="BO4354" s="4"/>
      <c r="BQ4354" s="4"/>
      <c r="CC4354" s="4"/>
      <c r="CD4354" s="4"/>
      <c r="CF4354" s="4"/>
    </row>
    <row r="4355" spans="66:84">
      <c r="BN4355" s="4"/>
      <c r="BO4355" s="4"/>
      <c r="BQ4355" s="4"/>
      <c r="CC4355" s="4"/>
      <c r="CD4355" s="4"/>
      <c r="CF4355" s="4"/>
    </row>
    <row r="4356" spans="66:84">
      <c r="BN4356" s="4"/>
      <c r="BO4356" s="4"/>
      <c r="BQ4356" s="4"/>
      <c r="CC4356" s="4"/>
      <c r="CD4356" s="4"/>
      <c r="CF4356" s="4"/>
    </row>
    <row r="4357" spans="66:84">
      <c r="BN4357" s="4"/>
      <c r="BO4357" s="4"/>
      <c r="BQ4357" s="4"/>
      <c r="CC4357" s="4"/>
      <c r="CD4357" s="4"/>
      <c r="CF4357" s="4"/>
    </row>
    <row r="4358" spans="66:84">
      <c r="BN4358" s="4"/>
      <c r="BO4358" s="4"/>
      <c r="BQ4358" s="4"/>
      <c r="CC4358" s="4"/>
      <c r="CD4358" s="4"/>
      <c r="CF4358" s="4"/>
    </row>
    <row r="4359" spans="66:84">
      <c r="BN4359" s="4"/>
      <c r="BO4359" s="4"/>
      <c r="BQ4359" s="4"/>
      <c r="CC4359" s="4"/>
      <c r="CD4359" s="4"/>
      <c r="CF4359" s="4"/>
    </row>
    <row r="4360" spans="66:84">
      <c r="BN4360" s="4"/>
      <c r="BO4360" s="4"/>
      <c r="BQ4360" s="4"/>
      <c r="CC4360" s="4"/>
      <c r="CD4360" s="4"/>
      <c r="CF4360" s="4"/>
    </row>
    <row r="4361" spans="66:84">
      <c r="BN4361" s="4"/>
      <c r="BO4361" s="4"/>
      <c r="BQ4361" s="4"/>
      <c r="CC4361" s="4"/>
      <c r="CD4361" s="4"/>
      <c r="CF4361" s="4"/>
    </row>
    <row r="4362" spans="66:84">
      <c r="BN4362" s="4"/>
      <c r="BO4362" s="4"/>
      <c r="BQ4362" s="4"/>
      <c r="CC4362" s="4"/>
      <c r="CD4362" s="4"/>
      <c r="CF4362" s="4"/>
    </row>
    <row r="4363" spans="66:84">
      <c r="BN4363" s="4"/>
      <c r="BO4363" s="4"/>
      <c r="BQ4363" s="4"/>
      <c r="CC4363" s="4"/>
      <c r="CD4363" s="4"/>
      <c r="CF4363" s="4"/>
    </row>
    <row r="4364" spans="66:84">
      <c r="BN4364" s="4"/>
      <c r="BO4364" s="4"/>
      <c r="BQ4364" s="4"/>
      <c r="CC4364" s="4"/>
      <c r="CD4364" s="4"/>
      <c r="CF4364" s="4"/>
    </row>
    <row r="4365" spans="66:84">
      <c r="BN4365" s="4"/>
      <c r="BO4365" s="4"/>
      <c r="BQ4365" s="4"/>
      <c r="CC4365" s="4"/>
      <c r="CD4365" s="4"/>
      <c r="CF4365" s="4"/>
    </row>
    <row r="4366" spans="66:84">
      <c r="BN4366" s="4"/>
      <c r="BO4366" s="4"/>
      <c r="BQ4366" s="4"/>
      <c r="CC4366" s="4"/>
      <c r="CD4366" s="4"/>
      <c r="CF4366" s="4"/>
    </row>
    <row r="4367" spans="66:84">
      <c r="BN4367" s="4"/>
      <c r="BO4367" s="4"/>
      <c r="BQ4367" s="4"/>
      <c r="CC4367" s="4"/>
      <c r="CD4367" s="4"/>
      <c r="CF4367" s="4"/>
    </row>
    <row r="4368" spans="66:84">
      <c r="BN4368" s="4"/>
      <c r="BO4368" s="4"/>
      <c r="BQ4368" s="4"/>
      <c r="CC4368" s="4"/>
      <c r="CD4368" s="4"/>
      <c r="CF4368" s="4"/>
    </row>
    <row r="4369" spans="66:84">
      <c r="BN4369" s="4"/>
      <c r="BO4369" s="4"/>
      <c r="BQ4369" s="4"/>
      <c r="CC4369" s="4"/>
      <c r="CD4369" s="4"/>
      <c r="CF4369" s="4"/>
    </row>
    <row r="4370" spans="66:84">
      <c r="BN4370" s="4"/>
      <c r="BO4370" s="4"/>
      <c r="BQ4370" s="4"/>
      <c r="CC4370" s="4"/>
      <c r="CD4370" s="4"/>
      <c r="CF4370" s="4"/>
    </row>
    <row r="4371" spans="66:84">
      <c r="BN4371" s="4"/>
      <c r="BO4371" s="4"/>
      <c r="BQ4371" s="4"/>
      <c r="CC4371" s="4"/>
      <c r="CD4371" s="4"/>
      <c r="CF4371" s="4"/>
    </row>
    <row r="4372" spans="66:84">
      <c r="BN4372" s="4"/>
      <c r="BO4372" s="4"/>
      <c r="BQ4372" s="4"/>
      <c r="CC4372" s="4"/>
      <c r="CD4372" s="4"/>
      <c r="CF4372" s="4"/>
    </row>
    <row r="4373" spans="66:84">
      <c r="BN4373" s="4"/>
      <c r="BO4373" s="4"/>
      <c r="BQ4373" s="4"/>
      <c r="CC4373" s="4"/>
      <c r="CD4373" s="4"/>
      <c r="CF4373" s="4"/>
    </row>
    <row r="4374" spans="66:84">
      <c r="BN4374" s="4"/>
      <c r="BO4374" s="4"/>
      <c r="BQ4374" s="4"/>
      <c r="CC4374" s="4"/>
      <c r="CD4374" s="4"/>
      <c r="CF4374" s="4"/>
    </row>
    <row r="4375" spans="66:84">
      <c r="BN4375" s="4"/>
      <c r="BO4375" s="4"/>
      <c r="BQ4375" s="4"/>
      <c r="CC4375" s="4"/>
      <c r="CD4375" s="4"/>
      <c r="CF4375" s="4"/>
    </row>
    <row r="4376" spans="66:84">
      <c r="BN4376" s="4"/>
      <c r="BO4376" s="4"/>
      <c r="BQ4376" s="4"/>
      <c r="CC4376" s="4"/>
      <c r="CD4376" s="4"/>
      <c r="CF4376" s="4"/>
    </row>
    <row r="4377" spans="66:84">
      <c r="BN4377" s="4"/>
      <c r="BO4377" s="4"/>
      <c r="BQ4377" s="4"/>
      <c r="CC4377" s="4"/>
      <c r="CD4377" s="4"/>
      <c r="CF4377" s="4"/>
    </row>
    <row r="4378" spans="66:84">
      <c r="BN4378" s="4"/>
      <c r="BO4378" s="4"/>
      <c r="BQ4378" s="4"/>
      <c r="CC4378" s="4"/>
      <c r="CD4378" s="4"/>
      <c r="CF4378" s="4"/>
    </row>
    <row r="4379" spans="66:84">
      <c r="BN4379" s="4"/>
      <c r="BO4379" s="4"/>
      <c r="BQ4379" s="4"/>
      <c r="CC4379" s="4"/>
      <c r="CD4379" s="4"/>
      <c r="CF4379" s="4"/>
    </row>
    <row r="4380" spans="66:84">
      <c r="BN4380" s="4"/>
      <c r="BO4380" s="4"/>
      <c r="BQ4380" s="4"/>
      <c r="CC4380" s="4"/>
      <c r="CD4380" s="4"/>
      <c r="CF4380" s="4"/>
    </row>
    <row r="4381" spans="66:84">
      <c r="BN4381" s="4"/>
      <c r="BO4381" s="4"/>
      <c r="BQ4381" s="4"/>
      <c r="CC4381" s="4"/>
      <c r="CD4381" s="4"/>
      <c r="CF4381" s="4"/>
    </row>
    <row r="4382" spans="66:84">
      <c r="BN4382" s="4"/>
      <c r="BO4382" s="4"/>
      <c r="BQ4382" s="4"/>
      <c r="CC4382" s="4"/>
      <c r="CD4382" s="4"/>
      <c r="CF4382" s="4"/>
    </row>
    <row r="4383" spans="66:84">
      <c r="BN4383" s="4"/>
      <c r="BO4383" s="4"/>
      <c r="BQ4383" s="4"/>
      <c r="CC4383" s="4"/>
      <c r="CD4383" s="4"/>
      <c r="CF4383" s="4"/>
    </row>
    <row r="4384" spans="66:84">
      <c r="BN4384" s="4"/>
      <c r="BO4384" s="4"/>
      <c r="BQ4384" s="4"/>
      <c r="CC4384" s="4"/>
      <c r="CD4384" s="4"/>
      <c r="CF4384" s="4"/>
    </row>
    <row r="4385" spans="66:84">
      <c r="BN4385" s="4"/>
      <c r="BO4385" s="4"/>
      <c r="BQ4385" s="4"/>
      <c r="CC4385" s="4"/>
      <c r="CD4385" s="4"/>
      <c r="CF4385" s="4"/>
    </row>
    <row r="4386" spans="66:84">
      <c r="BN4386" s="4"/>
      <c r="BO4386" s="4"/>
      <c r="BQ4386" s="4"/>
      <c r="CC4386" s="4"/>
      <c r="CD4386" s="4"/>
      <c r="CF4386" s="4"/>
    </row>
    <row r="4387" spans="66:84">
      <c r="BN4387" s="4"/>
      <c r="BO4387" s="4"/>
      <c r="BQ4387" s="4"/>
      <c r="CC4387" s="4"/>
      <c r="CD4387" s="4"/>
      <c r="CF4387" s="4"/>
    </row>
    <row r="4388" spans="66:84">
      <c r="BN4388" s="4"/>
      <c r="BO4388" s="4"/>
      <c r="BQ4388" s="4"/>
      <c r="CC4388" s="4"/>
      <c r="CD4388" s="4"/>
      <c r="CF4388" s="4"/>
    </row>
    <row r="4389" spans="66:84">
      <c r="BN4389" s="4"/>
      <c r="BO4389" s="4"/>
      <c r="BQ4389" s="4"/>
      <c r="CC4389" s="4"/>
      <c r="CD4389" s="4"/>
      <c r="CF4389" s="4"/>
    </row>
    <row r="4390" spans="66:84">
      <c r="BN4390" s="4"/>
      <c r="BO4390" s="4"/>
      <c r="BQ4390" s="4"/>
      <c r="CC4390" s="4"/>
      <c r="CD4390" s="4"/>
      <c r="CF4390" s="4"/>
    </row>
    <row r="4391" spans="66:84">
      <c r="BN4391" s="4"/>
      <c r="BO4391" s="4"/>
      <c r="BQ4391" s="4"/>
      <c r="CC4391" s="4"/>
      <c r="CD4391" s="4"/>
      <c r="CF4391" s="4"/>
    </row>
    <row r="4392" spans="66:84">
      <c r="BN4392" s="4"/>
      <c r="BO4392" s="4"/>
      <c r="BQ4392" s="4"/>
      <c r="CC4392" s="4"/>
      <c r="CD4392" s="4"/>
      <c r="CF4392" s="4"/>
    </row>
    <row r="4393" spans="66:84">
      <c r="BN4393" s="4"/>
      <c r="BO4393" s="4"/>
      <c r="BQ4393" s="4"/>
      <c r="CC4393" s="4"/>
      <c r="CD4393" s="4"/>
      <c r="CF4393" s="4"/>
    </row>
    <row r="4394" spans="66:84">
      <c r="BN4394" s="4"/>
      <c r="BO4394" s="4"/>
      <c r="BQ4394" s="4"/>
      <c r="CC4394" s="4"/>
      <c r="CD4394" s="4"/>
      <c r="CF4394" s="4"/>
    </row>
    <row r="4395" spans="66:84">
      <c r="BN4395" s="4"/>
      <c r="BO4395" s="4"/>
      <c r="BQ4395" s="4"/>
      <c r="CC4395" s="4"/>
      <c r="CD4395" s="4"/>
      <c r="CF4395" s="4"/>
    </row>
    <row r="4396" spans="66:84">
      <c r="BN4396" s="4"/>
      <c r="BO4396" s="4"/>
      <c r="BQ4396" s="4"/>
      <c r="CC4396" s="4"/>
      <c r="CD4396" s="4"/>
      <c r="CF4396" s="4"/>
    </row>
    <row r="4397" spans="66:84">
      <c r="BN4397" s="4"/>
      <c r="BO4397" s="4"/>
      <c r="BQ4397" s="4"/>
      <c r="CC4397" s="4"/>
      <c r="CD4397" s="4"/>
      <c r="CF4397" s="4"/>
    </row>
    <row r="4398" spans="66:84">
      <c r="BN4398" s="4"/>
      <c r="BO4398" s="4"/>
      <c r="BQ4398" s="4"/>
      <c r="CC4398" s="4"/>
      <c r="CD4398" s="4"/>
      <c r="CF4398" s="4"/>
    </row>
    <row r="4399" spans="66:84">
      <c r="BN4399" s="4"/>
      <c r="BO4399" s="4"/>
      <c r="BQ4399" s="4"/>
      <c r="CC4399" s="4"/>
      <c r="CD4399" s="4"/>
      <c r="CF4399" s="4"/>
    </row>
    <row r="4400" spans="66:84">
      <c r="BN4400" s="4"/>
      <c r="BO4400" s="4"/>
      <c r="BQ4400" s="4"/>
      <c r="CC4400" s="4"/>
      <c r="CD4400" s="4"/>
      <c r="CF4400" s="4"/>
    </row>
    <row r="4401" spans="66:84">
      <c r="BN4401" s="4"/>
      <c r="BO4401" s="4"/>
      <c r="BQ4401" s="4"/>
      <c r="CC4401" s="4"/>
      <c r="CD4401" s="4"/>
      <c r="CF4401" s="4"/>
    </row>
    <row r="4402" spans="66:84">
      <c r="BN4402" s="4"/>
      <c r="BO4402" s="4"/>
      <c r="BQ4402" s="4"/>
      <c r="CC4402" s="4"/>
      <c r="CD4402" s="4"/>
      <c r="CF4402" s="4"/>
    </row>
    <row r="4403" spans="66:84">
      <c r="BN4403" s="4"/>
      <c r="BO4403" s="4"/>
      <c r="BQ4403" s="4"/>
      <c r="CC4403" s="4"/>
      <c r="CD4403" s="4"/>
      <c r="CF4403" s="4"/>
    </row>
    <row r="4404" spans="66:84">
      <c r="BN4404" s="4"/>
      <c r="BO4404" s="4"/>
      <c r="BQ4404" s="4"/>
      <c r="CC4404" s="4"/>
      <c r="CD4404" s="4"/>
      <c r="CF4404" s="4"/>
    </row>
    <row r="4405" spans="66:84">
      <c r="BN4405" s="4"/>
      <c r="BO4405" s="4"/>
      <c r="BQ4405" s="4"/>
      <c r="CC4405" s="4"/>
      <c r="CD4405" s="4"/>
      <c r="CF4405" s="4"/>
    </row>
    <row r="4406" spans="66:84">
      <c r="BN4406" s="4"/>
      <c r="BO4406" s="4"/>
      <c r="BQ4406" s="4"/>
      <c r="CC4406" s="4"/>
      <c r="CD4406" s="4"/>
      <c r="CF4406" s="4"/>
    </row>
    <row r="4407" spans="66:84">
      <c r="BN4407" s="4"/>
      <c r="BO4407" s="4"/>
      <c r="BQ4407" s="4"/>
      <c r="CC4407" s="4"/>
      <c r="CD4407" s="4"/>
      <c r="CF4407" s="4"/>
    </row>
    <row r="4408" spans="66:84">
      <c r="BN4408" s="4"/>
      <c r="BO4408" s="4"/>
      <c r="BQ4408" s="4"/>
      <c r="CC4408" s="4"/>
      <c r="CD4408" s="4"/>
      <c r="CF4408" s="4"/>
    </row>
    <row r="4409" spans="66:84">
      <c r="BN4409" s="4"/>
      <c r="BO4409" s="4"/>
      <c r="BQ4409" s="4"/>
      <c r="CC4409" s="4"/>
      <c r="CD4409" s="4"/>
      <c r="CF4409" s="4"/>
    </row>
    <row r="4410" spans="66:84">
      <c r="BN4410" s="4"/>
      <c r="BO4410" s="4"/>
      <c r="BQ4410" s="4"/>
      <c r="CC4410" s="4"/>
      <c r="CD4410" s="4"/>
      <c r="CF4410" s="4"/>
    </row>
    <row r="4411" spans="66:84">
      <c r="BN4411" s="4"/>
      <c r="BO4411" s="4"/>
      <c r="BQ4411" s="4"/>
      <c r="CC4411" s="4"/>
      <c r="CD4411" s="4"/>
      <c r="CF4411" s="4"/>
    </row>
    <row r="4412" spans="66:84">
      <c r="BN4412" s="4"/>
      <c r="BO4412" s="4"/>
      <c r="BQ4412" s="4"/>
      <c r="CC4412" s="4"/>
      <c r="CD4412" s="4"/>
      <c r="CF4412" s="4"/>
    </row>
    <row r="4413" spans="66:84">
      <c r="BN4413" s="4"/>
      <c r="BO4413" s="4"/>
      <c r="BQ4413" s="4"/>
      <c r="CC4413" s="4"/>
      <c r="CD4413" s="4"/>
      <c r="CF4413" s="4"/>
    </row>
    <row r="4414" spans="66:84">
      <c r="BN4414" s="4"/>
      <c r="BO4414" s="4"/>
      <c r="BQ4414" s="4"/>
      <c r="CC4414" s="4"/>
      <c r="CD4414" s="4"/>
      <c r="CF4414" s="4"/>
    </row>
    <row r="4415" spans="66:84">
      <c r="BN4415" s="4"/>
      <c r="BO4415" s="4"/>
      <c r="BQ4415" s="4"/>
      <c r="CC4415" s="4"/>
      <c r="CD4415" s="4"/>
      <c r="CF4415" s="4"/>
    </row>
    <row r="4416" spans="66:84">
      <c r="BN4416" s="4"/>
      <c r="BO4416" s="4"/>
      <c r="BQ4416" s="4"/>
      <c r="CC4416" s="4"/>
      <c r="CD4416" s="4"/>
      <c r="CF4416" s="4"/>
    </row>
    <row r="4417" spans="66:84">
      <c r="BN4417" s="4"/>
      <c r="BO4417" s="4"/>
      <c r="BQ4417" s="4"/>
      <c r="CC4417" s="4"/>
      <c r="CD4417" s="4"/>
      <c r="CF4417" s="4"/>
    </row>
    <row r="4418" spans="66:84">
      <c r="BN4418" s="4"/>
      <c r="BO4418" s="4"/>
      <c r="BQ4418" s="4"/>
      <c r="CC4418" s="4"/>
      <c r="CD4418" s="4"/>
      <c r="CF4418" s="4"/>
    </row>
    <row r="4419" spans="66:84">
      <c r="BN4419" s="4"/>
      <c r="BO4419" s="4"/>
      <c r="BQ4419" s="4"/>
      <c r="CC4419" s="4"/>
      <c r="CD4419" s="4"/>
      <c r="CF4419" s="4"/>
    </row>
    <row r="4420" spans="66:84">
      <c r="BN4420" s="4"/>
      <c r="BO4420" s="4"/>
      <c r="BQ4420" s="4"/>
      <c r="CC4420" s="4"/>
      <c r="CD4420" s="4"/>
      <c r="CF4420" s="4"/>
    </row>
    <row r="4421" spans="66:84">
      <c r="BN4421" s="4"/>
      <c r="BO4421" s="4"/>
      <c r="BQ4421" s="4"/>
      <c r="CC4421" s="4"/>
      <c r="CD4421" s="4"/>
      <c r="CF4421" s="4"/>
    </row>
    <row r="4422" spans="66:84">
      <c r="BN4422" s="4"/>
      <c r="BO4422" s="4"/>
      <c r="BQ4422" s="4"/>
      <c r="CC4422" s="4"/>
      <c r="CD4422" s="4"/>
      <c r="CF4422" s="4"/>
    </row>
    <row r="4423" spans="66:84">
      <c r="BN4423" s="4"/>
      <c r="BO4423" s="4"/>
      <c r="BQ4423" s="4"/>
      <c r="CC4423" s="4"/>
      <c r="CD4423" s="4"/>
      <c r="CF4423" s="4"/>
    </row>
    <row r="4424" spans="66:84">
      <c r="BN4424" s="4"/>
      <c r="BO4424" s="4"/>
      <c r="BQ4424" s="4"/>
      <c r="CC4424" s="4"/>
      <c r="CD4424" s="4"/>
      <c r="CF4424" s="4"/>
    </row>
    <row r="4425" spans="66:84">
      <c r="BN4425" s="4"/>
      <c r="BO4425" s="4"/>
      <c r="BQ4425" s="4"/>
      <c r="CC4425" s="4"/>
      <c r="CD4425" s="4"/>
      <c r="CF4425" s="4"/>
    </row>
    <row r="4426" spans="66:84">
      <c r="BN4426" s="4"/>
      <c r="BO4426" s="4"/>
      <c r="BQ4426" s="4"/>
      <c r="CC4426" s="4"/>
      <c r="CD4426" s="4"/>
      <c r="CF4426" s="4"/>
    </row>
    <row r="4427" spans="66:84">
      <c r="BN4427" s="4"/>
      <c r="BO4427" s="4"/>
      <c r="BQ4427" s="4"/>
      <c r="CC4427" s="4"/>
      <c r="CD4427" s="4"/>
      <c r="CF4427" s="4"/>
    </row>
    <row r="4428" spans="66:84">
      <c r="BN4428" s="4"/>
      <c r="BO4428" s="4"/>
      <c r="BQ4428" s="4"/>
      <c r="CC4428" s="4"/>
      <c r="CD4428" s="4"/>
      <c r="CF4428" s="4"/>
    </row>
    <row r="4429" spans="66:84">
      <c r="BN4429" s="4"/>
      <c r="BO4429" s="4"/>
      <c r="BQ4429" s="4"/>
      <c r="CC4429" s="4"/>
      <c r="CD4429" s="4"/>
      <c r="CF4429" s="4"/>
    </row>
    <row r="4430" spans="66:84">
      <c r="BN4430" s="4"/>
      <c r="BO4430" s="4"/>
      <c r="BQ4430" s="4"/>
      <c r="CC4430" s="4"/>
      <c r="CD4430" s="4"/>
      <c r="CF4430" s="4"/>
    </row>
    <row r="4431" spans="66:84">
      <c r="BN4431" s="4"/>
      <c r="BO4431" s="4"/>
      <c r="BQ4431" s="4"/>
      <c r="CC4431" s="4"/>
      <c r="CD4431" s="4"/>
      <c r="CF4431" s="4"/>
    </row>
    <row r="4432" spans="66:84">
      <c r="BN4432" s="4"/>
      <c r="BO4432" s="4"/>
      <c r="BQ4432" s="4"/>
      <c r="CC4432" s="4"/>
      <c r="CD4432" s="4"/>
      <c r="CF4432" s="4"/>
    </row>
    <row r="4433" spans="66:84">
      <c r="BN4433" s="4"/>
      <c r="BO4433" s="4"/>
      <c r="BQ4433" s="4"/>
      <c r="CC4433" s="4"/>
      <c r="CD4433" s="4"/>
      <c r="CF4433" s="4"/>
    </row>
    <row r="4434" spans="66:84">
      <c r="BN4434" s="4"/>
      <c r="BO4434" s="4"/>
      <c r="BQ4434" s="4"/>
      <c r="CC4434" s="4"/>
      <c r="CD4434" s="4"/>
      <c r="CF4434" s="4"/>
    </row>
    <row r="4435" spans="66:84">
      <c r="BN4435" s="4"/>
      <c r="BO4435" s="4"/>
      <c r="BQ4435" s="4"/>
      <c r="CC4435" s="4"/>
      <c r="CD4435" s="4"/>
      <c r="CF4435" s="4"/>
    </row>
    <row r="4436" spans="66:84">
      <c r="BN4436" s="4"/>
      <c r="BO4436" s="4"/>
      <c r="BQ4436" s="4"/>
      <c r="CC4436" s="4"/>
      <c r="CD4436" s="4"/>
      <c r="CF4436" s="4"/>
    </row>
    <row r="4437" spans="66:84">
      <c r="BN4437" s="4"/>
      <c r="BO4437" s="4"/>
      <c r="BQ4437" s="4"/>
      <c r="CC4437" s="4"/>
      <c r="CD4437" s="4"/>
      <c r="CF4437" s="4"/>
    </row>
    <row r="4438" spans="66:84">
      <c r="BN4438" s="4"/>
      <c r="BO4438" s="4"/>
      <c r="BQ4438" s="4"/>
      <c r="CC4438" s="4"/>
      <c r="CD4438" s="4"/>
      <c r="CF4438" s="4"/>
    </row>
    <row r="4439" spans="66:84">
      <c r="BN4439" s="4"/>
      <c r="BO4439" s="4"/>
      <c r="BQ4439" s="4"/>
      <c r="CC4439" s="4"/>
      <c r="CD4439" s="4"/>
      <c r="CF4439" s="4"/>
    </row>
    <row r="4440" spans="66:84">
      <c r="BN4440" s="4"/>
      <c r="BO4440" s="4"/>
      <c r="BQ4440" s="4"/>
      <c r="CC4440" s="4"/>
      <c r="CD4440" s="4"/>
      <c r="CF4440" s="4"/>
    </row>
    <row r="4441" spans="66:84">
      <c r="BN4441" s="4"/>
      <c r="BO4441" s="4"/>
      <c r="BQ4441" s="4"/>
      <c r="CC4441" s="4"/>
      <c r="CD4441" s="4"/>
      <c r="CF4441" s="4"/>
    </row>
    <row r="4442" spans="66:84">
      <c r="BN4442" s="4"/>
      <c r="BO4442" s="4"/>
      <c r="BQ4442" s="4"/>
      <c r="CC4442" s="4"/>
      <c r="CD4442" s="4"/>
      <c r="CF4442" s="4"/>
    </row>
    <row r="4443" spans="66:84">
      <c r="BN4443" s="4"/>
      <c r="BO4443" s="4"/>
      <c r="BQ4443" s="4"/>
      <c r="CC4443" s="4"/>
      <c r="CD4443" s="4"/>
      <c r="CF4443" s="4"/>
    </row>
    <row r="4444" spans="66:84">
      <c r="BN4444" s="4"/>
      <c r="BO4444" s="4"/>
      <c r="BQ4444" s="4"/>
      <c r="CC4444" s="4"/>
      <c r="CD4444" s="4"/>
      <c r="CF4444" s="4"/>
    </row>
    <row r="4445" spans="66:84">
      <c r="BN4445" s="4"/>
      <c r="BO4445" s="4"/>
      <c r="BQ4445" s="4"/>
      <c r="CC4445" s="4"/>
      <c r="CD4445" s="4"/>
      <c r="CF4445" s="4"/>
    </row>
    <row r="4446" spans="66:84">
      <c r="BN4446" s="4"/>
      <c r="BO4446" s="4"/>
      <c r="BQ4446" s="4"/>
      <c r="CC4446" s="4"/>
      <c r="CD4446" s="4"/>
      <c r="CF4446" s="4"/>
    </row>
    <row r="4447" spans="66:84">
      <c r="BN4447" s="4"/>
      <c r="BO4447" s="4"/>
      <c r="BQ4447" s="4"/>
      <c r="CC4447" s="4"/>
      <c r="CD4447" s="4"/>
      <c r="CF4447" s="4"/>
    </row>
    <row r="4448" spans="66:84">
      <c r="BN4448" s="4"/>
      <c r="BO4448" s="4"/>
      <c r="BQ4448" s="4"/>
      <c r="CC4448" s="4"/>
      <c r="CD4448" s="4"/>
      <c r="CF4448" s="4"/>
    </row>
    <row r="4449" spans="66:84">
      <c r="BN4449" s="4"/>
      <c r="BO4449" s="4"/>
      <c r="BQ4449" s="4"/>
      <c r="CC4449" s="4"/>
      <c r="CD4449" s="4"/>
      <c r="CF4449" s="4"/>
    </row>
    <row r="4450" spans="66:84">
      <c r="BN4450" s="4"/>
      <c r="BO4450" s="4"/>
      <c r="BQ4450" s="4"/>
      <c r="CC4450" s="4"/>
      <c r="CD4450" s="4"/>
      <c r="CF4450" s="4"/>
    </row>
    <row r="4451" spans="66:84">
      <c r="BN4451" s="4"/>
      <c r="BO4451" s="4"/>
      <c r="BQ4451" s="4"/>
      <c r="CC4451" s="4"/>
      <c r="CD4451" s="4"/>
      <c r="CF4451" s="4"/>
    </row>
    <row r="4452" spans="66:84">
      <c r="BN4452" s="4"/>
      <c r="BO4452" s="4"/>
      <c r="BQ4452" s="4"/>
      <c r="CC4452" s="4"/>
      <c r="CD4452" s="4"/>
      <c r="CF4452" s="4"/>
    </row>
    <row r="4453" spans="66:84">
      <c r="BN4453" s="4"/>
      <c r="BO4453" s="4"/>
      <c r="BQ4453" s="4"/>
      <c r="CC4453" s="4"/>
      <c r="CD4453" s="4"/>
      <c r="CF4453" s="4"/>
    </row>
    <row r="4454" spans="66:84">
      <c r="BN4454" s="4"/>
      <c r="BO4454" s="4"/>
      <c r="BQ4454" s="4"/>
      <c r="CC4454" s="4"/>
      <c r="CD4454" s="4"/>
      <c r="CF4454" s="4"/>
    </row>
    <row r="4455" spans="66:84">
      <c r="BN4455" s="4"/>
      <c r="BO4455" s="4"/>
      <c r="BQ4455" s="4"/>
      <c r="CC4455" s="4"/>
      <c r="CD4455" s="4"/>
      <c r="CF4455" s="4"/>
    </row>
    <row r="4456" spans="66:84">
      <c r="BN4456" s="4"/>
      <c r="BO4456" s="4"/>
      <c r="BQ4456" s="4"/>
      <c r="CC4456" s="4"/>
      <c r="CD4456" s="4"/>
      <c r="CF4456" s="4"/>
    </row>
    <row r="4457" spans="66:84">
      <c r="BN4457" s="4"/>
      <c r="BO4457" s="4"/>
      <c r="BQ4457" s="4"/>
      <c r="CC4457" s="4"/>
      <c r="CD4457" s="4"/>
      <c r="CF4457" s="4"/>
    </row>
    <row r="4458" spans="66:84">
      <c r="BN4458" s="4"/>
      <c r="BO4458" s="4"/>
      <c r="BQ4458" s="4"/>
      <c r="CC4458" s="4"/>
      <c r="CD4458" s="4"/>
      <c r="CF4458" s="4"/>
    </row>
    <row r="4459" spans="66:84">
      <c r="BN4459" s="4"/>
      <c r="BO4459" s="4"/>
      <c r="BQ4459" s="4"/>
      <c r="CC4459" s="4"/>
      <c r="CD4459" s="4"/>
      <c r="CF4459" s="4"/>
    </row>
    <row r="4460" spans="66:84">
      <c r="BN4460" s="4"/>
      <c r="BO4460" s="4"/>
      <c r="BQ4460" s="4"/>
      <c r="CC4460" s="4"/>
      <c r="CD4460" s="4"/>
      <c r="CF4460" s="4"/>
    </row>
    <row r="4461" spans="66:84">
      <c r="BN4461" s="4"/>
      <c r="BO4461" s="4"/>
      <c r="BQ4461" s="4"/>
      <c r="CC4461" s="4"/>
      <c r="CD4461" s="4"/>
      <c r="CF4461" s="4"/>
    </row>
    <row r="4462" spans="66:84">
      <c r="BN4462" s="4"/>
      <c r="BO4462" s="4"/>
      <c r="BQ4462" s="4"/>
      <c r="CC4462" s="4"/>
      <c r="CD4462" s="4"/>
      <c r="CF4462" s="4"/>
    </row>
    <row r="4463" spans="66:84">
      <c r="BN4463" s="4"/>
      <c r="BO4463" s="4"/>
      <c r="BQ4463" s="4"/>
      <c r="CC4463" s="4"/>
      <c r="CD4463" s="4"/>
      <c r="CF4463" s="4"/>
    </row>
    <row r="4464" spans="66:84">
      <c r="BN4464" s="4"/>
      <c r="BO4464" s="4"/>
      <c r="BQ4464" s="4"/>
      <c r="CC4464" s="4"/>
      <c r="CD4464" s="4"/>
      <c r="CF4464" s="4"/>
    </row>
    <row r="4465" spans="66:84">
      <c r="BN4465" s="4"/>
      <c r="BO4465" s="4"/>
      <c r="BQ4465" s="4"/>
      <c r="CC4465" s="4"/>
      <c r="CD4465" s="4"/>
      <c r="CF4465" s="4"/>
    </row>
    <row r="4466" spans="66:84">
      <c r="BN4466" s="4"/>
      <c r="BO4466" s="4"/>
      <c r="BQ4466" s="4"/>
      <c r="CC4466" s="4"/>
      <c r="CD4466" s="4"/>
      <c r="CF4466" s="4"/>
    </row>
    <row r="4467" spans="66:84">
      <c r="BN4467" s="4"/>
      <c r="BO4467" s="4"/>
      <c r="BQ4467" s="4"/>
      <c r="CC4467" s="4"/>
      <c r="CD4467" s="4"/>
      <c r="CF4467" s="4"/>
    </row>
    <row r="4468" spans="66:84">
      <c r="BN4468" s="4"/>
      <c r="BO4468" s="4"/>
      <c r="BQ4468" s="4"/>
      <c r="CC4468" s="4"/>
      <c r="CD4468" s="4"/>
      <c r="CF4468" s="4"/>
    </row>
    <row r="4469" spans="66:84">
      <c r="BN4469" s="4"/>
      <c r="BO4469" s="4"/>
      <c r="BQ4469" s="4"/>
      <c r="CC4469" s="4"/>
      <c r="CD4469" s="4"/>
      <c r="CF4469" s="4"/>
    </row>
    <row r="4470" spans="66:84">
      <c r="BN4470" s="4"/>
      <c r="BO4470" s="4"/>
      <c r="BQ4470" s="4"/>
      <c r="CC4470" s="4"/>
      <c r="CD4470" s="4"/>
      <c r="CF4470" s="4"/>
    </row>
    <row r="4471" spans="66:84">
      <c r="BN4471" s="4"/>
      <c r="BO4471" s="4"/>
      <c r="BQ4471" s="4"/>
      <c r="CC4471" s="4"/>
      <c r="CD4471" s="4"/>
      <c r="CF4471" s="4"/>
    </row>
    <row r="4472" spans="66:84">
      <c r="BN4472" s="4"/>
      <c r="BO4472" s="4"/>
      <c r="BQ4472" s="4"/>
      <c r="CC4472" s="4"/>
      <c r="CD4472" s="4"/>
      <c r="CF4472" s="4"/>
    </row>
    <row r="4473" spans="66:84">
      <c r="BN4473" s="4"/>
      <c r="BO4473" s="4"/>
      <c r="BQ4473" s="4"/>
      <c r="CC4473" s="4"/>
      <c r="CD4473" s="4"/>
      <c r="CF4473" s="4"/>
    </row>
    <row r="4474" spans="66:84">
      <c r="BN4474" s="4"/>
      <c r="BO4474" s="4"/>
      <c r="BQ4474" s="4"/>
      <c r="CC4474" s="4"/>
      <c r="CD4474" s="4"/>
      <c r="CF4474" s="4"/>
    </row>
    <row r="4475" spans="66:84">
      <c r="BN4475" s="4"/>
      <c r="BO4475" s="4"/>
      <c r="BQ4475" s="4"/>
      <c r="CC4475" s="4"/>
      <c r="CD4475" s="4"/>
      <c r="CF4475" s="4"/>
    </row>
    <row r="4476" spans="66:84">
      <c r="BN4476" s="4"/>
      <c r="BO4476" s="4"/>
      <c r="BQ4476" s="4"/>
      <c r="CC4476" s="4"/>
      <c r="CD4476" s="4"/>
      <c r="CF4476" s="4"/>
    </row>
    <row r="4477" spans="66:84">
      <c r="BN4477" s="4"/>
      <c r="BO4477" s="4"/>
      <c r="BQ4477" s="4"/>
      <c r="CC4477" s="4"/>
      <c r="CD4477" s="4"/>
      <c r="CF4477" s="4"/>
    </row>
    <row r="4478" spans="66:84">
      <c r="BN4478" s="4"/>
      <c r="BO4478" s="4"/>
      <c r="BQ4478" s="4"/>
      <c r="CC4478" s="4"/>
      <c r="CD4478" s="4"/>
      <c r="CF4478" s="4"/>
    </row>
    <row r="4479" spans="66:84">
      <c r="BN4479" s="4"/>
      <c r="BO4479" s="4"/>
      <c r="BQ4479" s="4"/>
      <c r="CC4479" s="4"/>
      <c r="CD4479" s="4"/>
      <c r="CF4479" s="4"/>
    </row>
    <row r="4480" spans="66:84">
      <c r="BN4480" s="4"/>
      <c r="BO4480" s="4"/>
      <c r="BQ4480" s="4"/>
      <c r="CC4480" s="4"/>
      <c r="CD4480" s="4"/>
      <c r="CF4480" s="4"/>
    </row>
    <row r="4481" spans="66:84">
      <c r="BN4481" s="4"/>
      <c r="BO4481" s="4"/>
      <c r="BQ4481" s="4"/>
      <c r="CC4481" s="4"/>
      <c r="CD4481" s="4"/>
      <c r="CF4481" s="4"/>
    </row>
    <row r="4482" spans="66:84">
      <c r="BN4482" s="4"/>
      <c r="BO4482" s="4"/>
      <c r="BQ4482" s="4"/>
      <c r="CC4482" s="4"/>
      <c r="CD4482" s="4"/>
      <c r="CF4482" s="4"/>
    </row>
    <row r="4483" spans="66:84">
      <c r="BN4483" s="4"/>
      <c r="BO4483" s="4"/>
      <c r="BQ4483" s="4"/>
      <c r="CC4483" s="4"/>
      <c r="CD4483" s="4"/>
      <c r="CF4483" s="4"/>
    </row>
    <row r="4484" spans="66:84">
      <c r="BN4484" s="4"/>
      <c r="BO4484" s="4"/>
      <c r="BQ4484" s="4"/>
      <c r="CC4484" s="4"/>
      <c r="CD4484" s="4"/>
      <c r="CF4484" s="4"/>
    </row>
    <row r="4485" spans="66:84">
      <c r="BN4485" s="4"/>
      <c r="BO4485" s="4"/>
      <c r="BQ4485" s="4"/>
      <c r="CC4485" s="4"/>
      <c r="CD4485" s="4"/>
      <c r="CF4485" s="4"/>
    </row>
    <row r="4486" spans="66:84">
      <c r="BN4486" s="4"/>
      <c r="BO4486" s="4"/>
      <c r="BQ4486" s="4"/>
      <c r="CC4486" s="4"/>
      <c r="CD4486" s="4"/>
      <c r="CF4486" s="4"/>
    </row>
    <row r="4487" spans="66:84">
      <c r="BN4487" s="4"/>
      <c r="BO4487" s="4"/>
      <c r="BQ4487" s="4"/>
      <c r="CC4487" s="4"/>
      <c r="CD4487" s="4"/>
      <c r="CF4487" s="4"/>
    </row>
    <row r="4488" spans="66:84">
      <c r="BN4488" s="4"/>
      <c r="BO4488" s="4"/>
      <c r="BQ4488" s="4"/>
      <c r="CC4488" s="4"/>
      <c r="CD4488" s="4"/>
      <c r="CF4488" s="4"/>
    </row>
    <row r="4489" spans="66:84">
      <c r="BN4489" s="4"/>
      <c r="BO4489" s="4"/>
      <c r="BQ4489" s="4"/>
      <c r="CC4489" s="4"/>
      <c r="CD4489" s="4"/>
      <c r="CF4489" s="4"/>
    </row>
    <row r="4490" spans="66:84">
      <c r="BN4490" s="4"/>
      <c r="BO4490" s="4"/>
      <c r="BQ4490" s="4"/>
      <c r="CC4490" s="4"/>
      <c r="CD4490" s="4"/>
      <c r="CF4490" s="4"/>
    </row>
    <row r="4491" spans="66:84">
      <c r="BN4491" s="4"/>
      <c r="BO4491" s="4"/>
      <c r="BQ4491" s="4"/>
      <c r="CC4491" s="4"/>
      <c r="CD4491" s="4"/>
      <c r="CF4491" s="4"/>
    </row>
    <row r="4492" spans="66:84">
      <c r="BN4492" s="4"/>
      <c r="BO4492" s="4"/>
      <c r="BQ4492" s="4"/>
      <c r="CC4492" s="4"/>
      <c r="CD4492" s="4"/>
      <c r="CF4492" s="4"/>
    </row>
    <row r="4493" spans="66:84">
      <c r="BN4493" s="4"/>
      <c r="BO4493" s="4"/>
      <c r="BQ4493" s="4"/>
      <c r="CC4493" s="4"/>
      <c r="CD4493" s="4"/>
      <c r="CF4493" s="4"/>
    </row>
    <row r="4494" spans="66:84">
      <c r="BN4494" s="4"/>
      <c r="BO4494" s="4"/>
      <c r="BQ4494" s="4"/>
      <c r="CC4494" s="4"/>
      <c r="CD4494" s="4"/>
      <c r="CF4494" s="4"/>
    </row>
    <row r="4495" spans="66:84">
      <c r="BN4495" s="4"/>
      <c r="BO4495" s="4"/>
      <c r="BQ4495" s="4"/>
      <c r="CC4495" s="4"/>
      <c r="CD4495" s="4"/>
      <c r="CF4495" s="4"/>
    </row>
    <row r="4496" spans="66:84">
      <c r="BN4496" s="4"/>
      <c r="BO4496" s="4"/>
      <c r="BQ4496" s="4"/>
      <c r="CC4496" s="4"/>
      <c r="CD4496" s="4"/>
      <c r="CF4496" s="4"/>
    </row>
    <row r="4497" spans="66:84">
      <c r="BN4497" s="4"/>
      <c r="BO4497" s="4"/>
      <c r="BQ4497" s="4"/>
      <c r="CC4497" s="4"/>
      <c r="CD4497" s="4"/>
      <c r="CF4497" s="4"/>
    </row>
    <row r="4498" spans="66:84">
      <c r="BN4498" s="4"/>
      <c r="BO4498" s="4"/>
      <c r="BQ4498" s="4"/>
      <c r="CC4498" s="4"/>
      <c r="CD4498" s="4"/>
      <c r="CF4498" s="4"/>
    </row>
    <row r="4499" spans="66:84">
      <c r="BN4499" s="4"/>
      <c r="BO4499" s="4"/>
      <c r="BQ4499" s="4"/>
      <c r="CC4499" s="4"/>
      <c r="CD4499" s="4"/>
      <c r="CF4499" s="4"/>
    </row>
    <row r="4500" spans="66:84">
      <c r="BN4500" s="4"/>
      <c r="BO4500" s="4"/>
      <c r="BQ4500" s="4"/>
      <c r="CC4500" s="4"/>
      <c r="CD4500" s="4"/>
      <c r="CF4500" s="4"/>
    </row>
    <row r="4501" spans="66:84">
      <c r="BN4501" s="4"/>
      <c r="BO4501" s="4"/>
      <c r="BQ4501" s="4"/>
      <c r="CC4501" s="4"/>
      <c r="CD4501" s="4"/>
      <c r="CF4501" s="4"/>
    </row>
    <row r="4502" spans="66:84">
      <c r="BN4502" s="4"/>
      <c r="BO4502" s="4"/>
      <c r="BQ4502" s="4"/>
      <c r="CC4502" s="4"/>
      <c r="CD4502" s="4"/>
      <c r="CF4502" s="4"/>
    </row>
    <row r="4503" spans="66:84">
      <c r="BN4503" s="4"/>
      <c r="BO4503" s="4"/>
      <c r="BQ4503" s="4"/>
      <c r="CC4503" s="4"/>
      <c r="CD4503" s="4"/>
      <c r="CF4503" s="4"/>
    </row>
    <row r="4504" spans="66:84">
      <c r="BN4504" s="4"/>
      <c r="BO4504" s="4"/>
      <c r="BQ4504" s="4"/>
      <c r="CC4504" s="4"/>
      <c r="CD4504" s="4"/>
      <c r="CF4504" s="4"/>
    </row>
    <row r="4505" spans="66:84">
      <c r="BN4505" s="4"/>
      <c r="BO4505" s="4"/>
      <c r="BQ4505" s="4"/>
      <c r="CC4505" s="4"/>
      <c r="CD4505" s="4"/>
      <c r="CF4505" s="4"/>
    </row>
    <row r="4506" spans="66:84">
      <c r="BN4506" s="4"/>
      <c r="BO4506" s="4"/>
      <c r="BQ4506" s="4"/>
      <c r="CC4506" s="4"/>
      <c r="CD4506" s="4"/>
      <c r="CF4506" s="4"/>
    </row>
    <row r="4507" spans="66:84">
      <c r="BN4507" s="4"/>
      <c r="BO4507" s="4"/>
      <c r="BQ4507" s="4"/>
      <c r="CC4507" s="4"/>
      <c r="CD4507" s="4"/>
      <c r="CF4507" s="4"/>
    </row>
    <row r="4508" spans="66:84">
      <c r="BN4508" s="4"/>
      <c r="BO4508" s="4"/>
      <c r="BQ4508" s="4"/>
      <c r="CC4508" s="4"/>
      <c r="CD4508" s="4"/>
      <c r="CF4508" s="4"/>
    </row>
    <row r="4509" spans="66:84">
      <c r="BN4509" s="4"/>
      <c r="BO4509" s="4"/>
      <c r="BQ4509" s="4"/>
      <c r="CC4509" s="4"/>
      <c r="CD4509" s="4"/>
      <c r="CF4509" s="4"/>
    </row>
    <row r="4510" spans="66:84">
      <c r="BN4510" s="4"/>
      <c r="BO4510" s="4"/>
      <c r="BQ4510" s="4"/>
      <c r="CC4510" s="4"/>
      <c r="CD4510" s="4"/>
      <c r="CF4510" s="4"/>
    </row>
    <row r="4511" spans="66:84">
      <c r="BN4511" s="4"/>
      <c r="BO4511" s="4"/>
      <c r="BQ4511" s="4"/>
      <c r="CC4511" s="4"/>
      <c r="CD4511" s="4"/>
      <c r="CF4511" s="4"/>
    </row>
    <row r="4512" spans="66:84">
      <c r="BN4512" s="4"/>
      <c r="BO4512" s="4"/>
      <c r="BQ4512" s="4"/>
      <c r="CC4512" s="4"/>
      <c r="CD4512" s="4"/>
      <c r="CF4512" s="4"/>
    </row>
    <row r="4513" spans="66:84">
      <c r="BN4513" s="4"/>
      <c r="BO4513" s="4"/>
      <c r="BQ4513" s="4"/>
      <c r="CC4513" s="4"/>
      <c r="CD4513" s="4"/>
      <c r="CF4513" s="4"/>
    </row>
    <row r="4514" spans="66:84">
      <c r="BN4514" s="4"/>
      <c r="BO4514" s="4"/>
      <c r="BQ4514" s="4"/>
      <c r="CC4514" s="4"/>
      <c r="CD4514" s="4"/>
      <c r="CF4514" s="4"/>
    </row>
    <row r="4515" spans="66:84">
      <c r="BN4515" s="4"/>
      <c r="BO4515" s="4"/>
      <c r="BQ4515" s="4"/>
      <c r="CC4515" s="4"/>
      <c r="CD4515" s="4"/>
      <c r="CF4515" s="4"/>
    </row>
    <row r="4516" spans="66:84">
      <c r="BN4516" s="4"/>
      <c r="BO4516" s="4"/>
      <c r="BQ4516" s="4"/>
      <c r="CC4516" s="4"/>
      <c r="CD4516" s="4"/>
      <c r="CF4516" s="4"/>
    </row>
    <row r="4517" spans="66:84">
      <c r="BN4517" s="4"/>
      <c r="BO4517" s="4"/>
      <c r="BQ4517" s="4"/>
      <c r="CC4517" s="4"/>
      <c r="CD4517" s="4"/>
      <c r="CF4517" s="4"/>
    </row>
    <row r="4518" spans="66:84">
      <c r="BN4518" s="4"/>
      <c r="BO4518" s="4"/>
      <c r="BQ4518" s="4"/>
      <c r="CC4518" s="4"/>
      <c r="CD4518" s="4"/>
      <c r="CF4518" s="4"/>
    </row>
    <row r="4519" spans="66:84">
      <c r="BN4519" s="4"/>
      <c r="BO4519" s="4"/>
      <c r="BQ4519" s="4"/>
      <c r="CC4519" s="4"/>
      <c r="CD4519" s="4"/>
      <c r="CF4519" s="4"/>
    </row>
    <row r="4520" spans="66:84">
      <c r="BN4520" s="4"/>
      <c r="BO4520" s="4"/>
      <c r="BQ4520" s="4"/>
      <c r="CC4520" s="4"/>
      <c r="CD4520" s="4"/>
      <c r="CF4520" s="4"/>
    </row>
    <row r="4521" spans="66:84">
      <c r="BN4521" s="4"/>
      <c r="BO4521" s="4"/>
      <c r="BQ4521" s="4"/>
      <c r="CC4521" s="4"/>
      <c r="CD4521" s="4"/>
      <c r="CF4521" s="4"/>
    </row>
    <row r="4522" spans="66:84">
      <c r="BN4522" s="4"/>
      <c r="BO4522" s="4"/>
      <c r="BQ4522" s="4"/>
      <c r="CC4522" s="4"/>
      <c r="CD4522" s="4"/>
      <c r="CF4522" s="4"/>
    </row>
    <row r="4523" spans="66:84">
      <c r="BN4523" s="4"/>
      <c r="BO4523" s="4"/>
      <c r="BQ4523" s="4"/>
      <c r="CC4523" s="4"/>
      <c r="CD4523" s="4"/>
      <c r="CF4523" s="4"/>
    </row>
    <row r="4524" spans="66:84">
      <c r="BN4524" s="4"/>
      <c r="BO4524" s="4"/>
      <c r="BQ4524" s="4"/>
      <c r="CC4524" s="4"/>
      <c r="CD4524" s="4"/>
      <c r="CF4524" s="4"/>
    </row>
    <row r="4525" spans="66:84">
      <c r="BN4525" s="4"/>
      <c r="BO4525" s="4"/>
      <c r="BQ4525" s="4"/>
      <c r="CC4525" s="4"/>
      <c r="CD4525" s="4"/>
      <c r="CF4525" s="4"/>
    </row>
    <row r="4526" spans="66:84">
      <c r="BN4526" s="4"/>
      <c r="BO4526" s="4"/>
      <c r="BQ4526" s="4"/>
      <c r="CC4526" s="4"/>
      <c r="CD4526" s="4"/>
      <c r="CF4526" s="4"/>
    </row>
    <row r="4527" spans="66:84">
      <c r="BN4527" s="4"/>
      <c r="BO4527" s="4"/>
      <c r="BQ4527" s="4"/>
      <c r="CC4527" s="4"/>
      <c r="CD4527" s="4"/>
      <c r="CF4527" s="4"/>
    </row>
    <row r="4528" spans="66:84">
      <c r="BN4528" s="4"/>
      <c r="BO4528" s="4"/>
      <c r="BQ4528" s="4"/>
      <c r="CC4528" s="4"/>
      <c r="CD4528" s="4"/>
      <c r="CF4528" s="4"/>
    </row>
    <row r="4529" spans="66:84">
      <c r="BN4529" s="4"/>
      <c r="BO4529" s="4"/>
      <c r="BQ4529" s="4"/>
      <c r="CC4529" s="4"/>
      <c r="CD4529" s="4"/>
      <c r="CF4529" s="4"/>
    </row>
    <row r="4530" spans="66:84">
      <c r="BN4530" s="4"/>
      <c r="BO4530" s="4"/>
      <c r="BQ4530" s="4"/>
      <c r="CC4530" s="4"/>
      <c r="CD4530" s="4"/>
      <c r="CF4530" s="4"/>
    </row>
    <row r="4531" spans="66:84">
      <c r="BN4531" s="4"/>
      <c r="BO4531" s="4"/>
      <c r="BQ4531" s="4"/>
      <c r="CC4531" s="4"/>
      <c r="CD4531" s="4"/>
      <c r="CF4531" s="4"/>
    </row>
    <row r="4532" spans="66:84">
      <c r="BN4532" s="4"/>
      <c r="BO4532" s="4"/>
      <c r="BQ4532" s="4"/>
      <c r="CC4532" s="4"/>
      <c r="CD4532" s="4"/>
      <c r="CF4532" s="4"/>
    </row>
    <row r="4533" spans="66:84">
      <c r="BN4533" s="4"/>
      <c r="BO4533" s="4"/>
      <c r="BQ4533" s="4"/>
      <c r="CC4533" s="4"/>
      <c r="CD4533" s="4"/>
      <c r="CF4533" s="4"/>
    </row>
    <row r="4534" spans="66:84">
      <c r="BN4534" s="4"/>
      <c r="BO4534" s="4"/>
      <c r="BQ4534" s="4"/>
      <c r="CC4534" s="4"/>
      <c r="CD4534" s="4"/>
      <c r="CF4534" s="4"/>
    </row>
    <row r="4535" spans="66:84">
      <c r="BN4535" s="4"/>
      <c r="BO4535" s="4"/>
      <c r="BQ4535" s="4"/>
      <c r="CC4535" s="4"/>
      <c r="CD4535" s="4"/>
      <c r="CF4535" s="4"/>
    </row>
    <row r="4536" spans="66:84">
      <c r="BN4536" s="4"/>
      <c r="BO4536" s="4"/>
      <c r="BQ4536" s="4"/>
      <c r="CC4536" s="4"/>
      <c r="CD4536" s="4"/>
      <c r="CF4536" s="4"/>
    </row>
    <row r="4537" spans="66:84">
      <c r="BN4537" s="4"/>
      <c r="BO4537" s="4"/>
      <c r="BQ4537" s="4"/>
      <c r="CC4537" s="4"/>
      <c r="CD4537" s="4"/>
      <c r="CF4537" s="4"/>
    </row>
    <row r="4538" spans="66:84">
      <c r="BN4538" s="4"/>
      <c r="BO4538" s="4"/>
      <c r="BQ4538" s="4"/>
      <c r="CC4538" s="4"/>
      <c r="CD4538" s="4"/>
      <c r="CF4538" s="4"/>
    </row>
    <row r="4539" spans="66:84">
      <c r="BN4539" s="4"/>
      <c r="BO4539" s="4"/>
      <c r="BQ4539" s="4"/>
      <c r="CC4539" s="4"/>
      <c r="CD4539" s="4"/>
      <c r="CF4539" s="4"/>
    </row>
    <row r="4540" spans="66:84">
      <c r="BN4540" s="4"/>
      <c r="BO4540" s="4"/>
      <c r="BQ4540" s="4"/>
      <c r="CC4540" s="4"/>
      <c r="CD4540" s="4"/>
      <c r="CF4540" s="4"/>
    </row>
    <row r="4541" spans="66:84">
      <c r="BN4541" s="4"/>
      <c r="BO4541" s="4"/>
      <c r="BQ4541" s="4"/>
      <c r="CC4541" s="4"/>
      <c r="CD4541" s="4"/>
      <c r="CF4541" s="4"/>
    </row>
    <row r="4542" spans="66:84">
      <c r="BN4542" s="4"/>
      <c r="BO4542" s="4"/>
      <c r="BQ4542" s="4"/>
      <c r="CC4542" s="4"/>
      <c r="CD4542" s="4"/>
      <c r="CF4542" s="4"/>
    </row>
    <row r="4543" spans="66:84">
      <c r="BN4543" s="4"/>
      <c r="BO4543" s="4"/>
      <c r="BQ4543" s="4"/>
      <c r="CC4543" s="4"/>
      <c r="CD4543" s="4"/>
      <c r="CF4543" s="4"/>
    </row>
    <row r="4544" spans="66:84">
      <c r="BN4544" s="4"/>
      <c r="BO4544" s="4"/>
      <c r="BQ4544" s="4"/>
      <c r="CC4544" s="4"/>
      <c r="CD4544" s="4"/>
      <c r="CF4544" s="4"/>
    </row>
    <row r="4545" spans="66:84">
      <c r="BN4545" s="4"/>
      <c r="BO4545" s="4"/>
      <c r="BQ4545" s="4"/>
      <c r="CC4545" s="4"/>
      <c r="CD4545" s="4"/>
      <c r="CF4545" s="4"/>
    </row>
    <row r="4546" spans="66:84">
      <c r="BN4546" s="4"/>
      <c r="BO4546" s="4"/>
      <c r="BQ4546" s="4"/>
      <c r="CC4546" s="4"/>
      <c r="CD4546" s="4"/>
      <c r="CF4546" s="4"/>
    </row>
    <row r="4547" spans="66:84">
      <c r="BN4547" s="4"/>
      <c r="BO4547" s="4"/>
      <c r="BQ4547" s="4"/>
      <c r="CC4547" s="4"/>
      <c r="CD4547" s="4"/>
      <c r="CF4547" s="4"/>
    </row>
    <row r="4548" spans="66:84">
      <c r="BN4548" s="4"/>
      <c r="BO4548" s="4"/>
      <c r="BQ4548" s="4"/>
      <c r="CC4548" s="4"/>
      <c r="CD4548" s="4"/>
      <c r="CF4548" s="4"/>
    </row>
    <row r="4549" spans="66:84">
      <c r="BN4549" s="4"/>
      <c r="BO4549" s="4"/>
      <c r="BQ4549" s="4"/>
      <c r="CC4549" s="4"/>
      <c r="CD4549" s="4"/>
      <c r="CF4549" s="4"/>
    </row>
    <row r="4550" spans="66:84">
      <c r="BN4550" s="4"/>
      <c r="BO4550" s="4"/>
      <c r="BQ4550" s="4"/>
      <c r="CC4550" s="4"/>
      <c r="CD4550" s="4"/>
      <c r="CF4550" s="4"/>
    </row>
    <row r="4551" spans="66:84">
      <c r="BN4551" s="4"/>
      <c r="BO4551" s="4"/>
      <c r="BQ4551" s="4"/>
      <c r="CC4551" s="4"/>
      <c r="CD4551" s="4"/>
      <c r="CF4551" s="4"/>
    </row>
    <row r="4552" spans="66:84">
      <c r="BN4552" s="4"/>
      <c r="BO4552" s="4"/>
      <c r="BQ4552" s="4"/>
      <c r="CC4552" s="4"/>
      <c r="CD4552" s="4"/>
      <c r="CF4552" s="4"/>
    </row>
    <row r="4553" spans="66:84">
      <c r="BN4553" s="4"/>
      <c r="BO4553" s="4"/>
      <c r="BQ4553" s="4"/>
      <c r="CC4553" s="4"/>
      <c r="CD4553" s="4"/>
      <c r="CF4553" s="4"/>
    </row>
    <row r="4554" spans="66:84">
      <c r="BN4554" s="4"/>
      <c r="BO4554" s="4"/>
      <c r="BQ4554" s="4"/>
      <c r="CC4554" s="4"/>
      <c r="CD4554" s="4"/>
      <c r="CF4554" s="4"/>
    </row>
    <row r="4555" spans="66:84">
      <c r="BN4555" s="4"/>
      <c r="BO4555" s="4"/>
      <c r="BQ4555" s="4"/>
      <c r="CC4555" s="4"/>
      <c r="CD4555" s="4"/>
      <c r="CF4555" s="4"/>
    </row>
    <row r="4556" spans="66:84">
      <c r="BN4556" s="4"/>
      <c r="BO4556" s="4"/>
      <c r="BQ4556" s="4"/>
      <c r="CC4556" s="4"/>
      <c r="CD4556" s="4"/>
      <c r="CF4556" s="4"/>
    </row>
    <row r="4557" spans="66:84">
      <c r="BN4557" s="4"/>
      <c r="BO4557" s="4"/>
      <c r="BQ4557" s="4"/>
      <c r="CC4557" s="4"/>
      <c r="CD4557" s="4"/>
      <c r="CF4557" s="4"/>
    </row>
    <row r="4558" spans="66:84">
      <c r="BN4558" s="4"/>
      <c r="BO4558" s="4"/>
      <c r="BQ4558" s="4"/>
      <c r="CC4558" s="4"/>
      <c r="CD4558" s="4"/>
      <c r="CF4558" s="4"/>
    </row>
    <row r="4559" spans="66:84">
      <c r="BN4559" s="4"/>
      <c r="BO4559" s="4"/>
      <c r="BQ4559" s="4"/>
      <c r="CC4559" s="4"/>
      <c r="CD4559" s="4"/>
      <c r="CF4559" s="4"/>
    </row>
    <row r="4560" spans="66:84">
      <c r="BN4560" s="4"/>
      <c r="BO4560" s="4"/>
      <c r="BQ4560" s="4"/>
      <c r="CC4560" s="4"/>
      <c r="CD4560" s="4"/>
      <c r="CF4560" s="4"/>
    </row>
    <row r="4561" spans="66:84">
      <c r="BN4561" s="4"/>
      <c r="BO4561" s="4"/>
      <c r="BQ4561" s="4"/>
      <c r="CC4561" s="4"/>
      <c r="CD4561" s="4"/>
      <c r="CF4561" s="4"/>
    </row>
    <row r="4562" spans="66:84">
      <c r="BN4562" s="4"/>
      <c r="BO4562" s="4"/>
      <c r="BQ4562" s="4"/>
      <c r="CC4562" s="4"/>
      <c r="CD4562" s="4"/>
      <c r="CF4562" s="4"/>
    </row>
    <row r="4563" spans="66:84">
      <c r="BN4563" s="4"/>
      <c r="BO4563" s="4"/>
      <c r="BQ4563" s="4"/>
      <c r="CC4563" s="4"/>
      <c r="CD4563" s="4"/>
      <c r="CF4563" s="4"/>
    </row>
    <row r="4564" spans="66:84">
      <c r="BN4564" s="4"/>
      <c r="BO4564" s="4"/>
      <c r="BQ4564" s="4"/>
      <c r="CC4564" s="4"/>
      <c r="CD4564" s="4"/>
      <c r="CF4564" s="4"/>
    </row>
    <row r="4565" spans="66:84">
      <c r="BN4565" s="4"/>
      <c r="BO4565" s="4"/>
      <c r="BQ4565" s="4"/>
      <c r="CC4565" s="4"/>
      <c r="CD4565" s="4"/>
      <c r="CF4565" s="4"/>
    </row>
    <row r="4566" spans="66:84">
      <c r="BN4566" s="4"/>
      <c r="BO4566" s="4"/>
      <c r="BQ4566" s="4"/>
      <c r="CC4566" s="4"/>
      <c r="CD4566" s="4"/>
      <c r="CF4566" s="4"/>
    </row>
    <row r="4567" spans="66:84">
      <c r="BN4567" s="4"/>
      <c r="BO4567" s="4"/>
      <c r="BQ4567" s="4"/>
      <c r="CC4567" s="4"/>
      <c r="CD4567" s="4"/>
      <c r="CF4567" s="4"/>
    </row>
    <row r="4568" spans="66:84">
      <c r="BN4568" s="4"/>
      <c r="BO4568" s="4"/>
      <c r="BQ4568" s="4"/>
      <c r="CC4568" s="4"/>
      <c r="CD4568" s="4"/>
      <c r="CF4568" s="4"/>
    </row>
    <row r="4569" spans="66:84">
      <c r="BN4569" s="4"/>
      <c r="BO4569" s="4"/>
      <c r="BQ4569" s="4"/>
      <c r="CC4569" s="4"/>
      <c r="CD4569" s="4"/>
      <c r="CF4569" s="4"/>
    </row>
    <row r="4570" spans="66:84">
      <c r="BN4570" s="4"/>
      <c r="BO4570" s="4"/>
      <c r="BQ4570" s="4"/>
      <c r="CC4570" s="4"/>
      <c r="CD4570" s="4"/>
      <c r="CF4570" s="4"/>
    </row>
    <row r="4571" spans="66:84">
      <c r="BN4571" s="4"/>
      <c r="BO4571" s="4"/>
      <c r="BQ4571" s="4"/>
      <c r="CC4571" s="4"/>
      <c r="CD4571" s="4"/>
      <c r="CF4571" s="4"/>
    </row>
    <row r="4572" spans="66:84">
      <c r="BN4572" s="4"/>
      <c r="BO4572" s="4"/>
      <c r="BQ4572" s="4"/>
      <c r="CC4572" s="4"/>
      <c r="CD4572" s="4"/>
      <c r="CF4572" s="4"/>
    </row>
    <row r="4573" spans="66:84">
      <c r="BN4573" s="4"/>
      <c r="BO4573" s="4"/>
      <c r="BQ4573" s="4"/>
      <c r="CC4573" s="4"/>
      <c r="CD4573" s="4"/>
      <c r="CF4573" s="4"/>
    </row>
    <row r="4574" spans="66:84">
      <c r="BN4574" s="4"/>
      <c r="BO4574" s="4"/>
      <c r="BQ4574" s="4"/>
      <c r="CC4574" s="4"/>
      <c r="CD4574" s="4"/>
      <c r="CF4574" s="4"/>
    </row>
    <row r="4575" spans="66:84">
      <c r="BN4575" s="4"/>
      <c r="BO4575" s="4"/>
      <c r="BQ4575" s="4"/>
      <c r="CC4575" s="4"/>
      <c r="CD4575" s="4"/>
      <c r="CF4575" s="4"/>
    </row>
    <row r="4576" spans="66:84">
      <c r="BN4576" s="4"/>
      <c r="BO4576" s="4"/>
      <c r="BQ4576" s="4"/>
      <c r="CC4576" s="4"/>
      <c r="CD4576" s="4"/>
      <c r="CF4576" s="4"/>
    </row>
    <row r="4577" spans="66:84">
      <c r="BN4577" s="4"/>
      <c r="BO4577" s="4"/>
      <c r="BQ4577" s="4"/>
      <c r="CC4577" s="4"/>
      <c r="CD4577" s="4"/>
      <c r="CF4577" s="4"/>
    </row>
    <row r="4578" spans="66:84">
      <c r="BN4578" s="4"/>
      <c r="BO4578" s="4"/>
      <c r="BQ4578" s="4"/>
      <c r="CC4578" s="4"/>
      <c r="CD4578" s="4"/>
      <c r="CF4578" s="4"/>
    </row>
    <row r="4579" spans="66:84">
      <c r="BN4579" s="4"/>
      <c r="BO4579" s="4"/>
      <c r="BQ4579" s="4"/>
      <c r="CC4579" s="4"/>
      <c r="CD4579" s="4"/>
      <c r="CF4579" s="4"/>
    </row>
    <row r="4580" spans="66:84">
      <c r="BN4580" s="4"/>
      <c r="BO4580" s="4"/>
      <c r="BQ4580" s="4"/>
      <c r="CC4580" s="4"/>
      <c r="CD4580" s="4"/>
      <c r="CF4580" s="4"/>
    </row>
    <row r="4581" spans="66:84">
      <c r="BN4581" s="4"/>
      <c r="BO4581" s="4"/>
      <c r="BQ4581" s="4"/>
      <c r="CC4581" s="4"/>
      <c r="CD4581" s="4"/>
      <c r="CF4581" s="4"/>
    </row>
    <row r="4582" spans="66:84">
      <c r="BN4582" s="4"/>
      <c r="BO4582" s="4"/>
      <c r="BQ4582" s="4"/>
      <c r="CC4582" s="4"/>
      <c r="CD4582" s="4"/>
      <c r="CF4582" s="4"/>
    </row>
    <row r="4583" spans="66:84">
      <c r="BN4583" s="4"/>
      <c r="BO4583" s="4"/>
      <c r="BQ4583" s="4"/>
      <c r="CC4583" s="4"/>
      <c r="CD4583" s="4"/>
      <c r="CF4583" s="4"/>
    </row>
    <row r="4584" spans="66:84">
      <c r="BN4584" s="4"/>
      <c r="BO4584" s="4"/>
      <c r="BQ4584" s="4"/>
      <c r="CC4584" s="4"/>
      <c r="CD4584" s="4"/>
      <c r="CF4584" s="4"/>
    </row>
    <row r="4585" spans="66:84">
      <c r="BN4585" s="4"/>
      <c r="BO4585" s="4"/>
      <c r="BQ4585" s="4"/>
      <c r="CC4585" s="4"/>
      <c r="CD4585" s="4"/>
      <c r="CF4585" s="4"/>
    </row>
    <row r="4586" spans="66:84">
      <c r="BN4586" s="4"/>
      <c r="BO4586" s="4"/>
      <c r="BQ4586" s="4"/>
      <c r="CC4586" s="4"/>
      <c r="CD4586" s="4"/>
      <c r="CF4586" s="4"/>
    </row>
    <row r="4587" spans="66:84">
      <c r="BN4587" s="4"/>
      <c r="BO4587" s="4"/>
      <c r="BQ4587" s="4"/>
      <c r="CC4587" s="4"/>
      <c r="CD4587" s="4"/>
      <c r="CF4587" s="4"/>
    </row>
    <row r="4588" spans="66:84">
      <c r="BN4588" s="4"/>
      <c r="BO4588" s="4"/>
      <c r="BQ4588" s="4"/>
      <c r="CC4588" s="4"/>
      <c r="CD4588" s="4"/>
      <c r="CF4588" s="4"/>
    </row>
    <row r="4589" spans="66:84">
      <c r="BN4589" s="4"/>
      <c r="BO4589" s="4"/>
      <c r="BQ4589" s="4"/>
      <c r="CC4589" s="4"/>
      <c r="CD4589" s="4"/>
      <c r="CF4589" s="4"/>
    </row>
    <row r="4590" spans="66:84">
      <c r="BN4590" s="4"/>
      <c r="BO4590" s="4"/>
      <c r="BQ4590" s="4"/>
      <c r="CC4590" s="4"/>
      <c r="CD4590" s="4"/>
      <c r="CF4590" s="4"/>
    </row>
    <row r="4591" spans="66:84">
      <c r="BN4591" s="4"/>
      <c r="BO4591" s="4"/>
      <c r="BQ4591" s="4"/>
      <c r="CC4591" s="4"/>
      <c r="CD4591" s="4"/>
      <c r="CF4591" s="4"/>
    </row>
    <row r="4592" spans="66:84">
      <c r="BN4592" s="4"/>
      <c r="BO4592" s="4"/>
      <c r="BQ4592" s="4"/>
      <c r="CC4592" s="4"/>
      <c r="CD4592" s="4"/>
      <c r="CF4592" s="4"/>
    </row>
    <row r="4593" spans="66:84">
      <c r="BN4593" s="4"/>
      <c r="BO4593" s="4"/>
      <c r="BQ4593" s="4"/>
      <c r="CC4593" s="4"/>
      <c r="CD4593" s="4"/>
      <c r="CF4593" s="4"/>
    </row>
    <row r="4594" spans="66:84">
      <c r="BN4594" s="4"/>
      <c r="BO4594" s="4"/>
      <c r="BQ4594" s="4"/>
      <c r="CC4594" s="4"/>
      <c r="CD4594" s="4"/>
      <c r="CF4594" s="4"/>
    </row>
    <row r="4595" spans="66:84">
      <c r="BN4595" s="4"/>
      <c r="BO4595" s="4"/>
      <c r="BQ4595" s="4"/>
      <c r="CC4595" s="4"/>
      <c r="CD4595" s="4"/>
      <c r="CF4595" s="4"/>
    </row>
    <row r="4596" spans="66:84">
      <c r="BN4596" s="4"/>
      <c r="BO4596" s="4"/>
      <c r="BQ4596" s="4"/>
      <c r="CC4596" s="4"/>
      <c r="CD4596" s="4"/>
      <c r="CF4596" s="4"/>
    </row>
    <row r="4597" spans="66:84">
      <c r="BN4597" s="4"/>
      <c r="BO4597" s="4"/>
      <c r="BQ4597" s="4"/>
      <c r="CC4597" s="4"/>
      <c r="CD4597" s="4"/>
      <c r="CF4597" s="4"/>
    </row>
    <row r="4598" spans="66:84">
      <c r="BN4598" s="4"/>
      <c r="BO4598" s="4"/>
      <c r="BQ4598" s="4"/>
      <c r="CC4598" s="4"/>
      <c r="CD4598" s="4"/>
      <c r="CF4598" s="4"/>
    </row>
    <row r="4599" spans="66:84">
      <c r="BN4599" s="4"/>
      <c r="BO4599" s="4"/>
      <c r="BQ4599" s="4"/>
      <c r="CC4599" s="4"/>
      <c r="CD4599" s="4"/>
      <c r="CF4599" s="4"/>
    </row>
    <row r="4600" spans="66:84">
      <c r="BN4600" s="4"/>
      <c r="BO4600" s="4"/>
      <c r="BQ4600" s="4"/>
      <c r="CC4600" s="4"/>
      <c r="CD4600" s="4"/>
      <c r="CF4600" s="4"/>
    </row>
    <row r="4601" spans="66:84">
      <c r="BN4601" s="4"/>
      <c r="BO4601" s="4"/>
      <c r="BQ4601" s="4"/>
      <c r="CC4601" s="4"/>
      <c r="CD4601" s="4"/>
      <c r="CF4601" s="4"/>
    </row>
    <row r="4602" spans="66:84">
      <c r="BN4602" s="4"/>
      <c r="BO4602" s="4"/>
      <c r="BQ4602" s="4"/>
      <c r="CC4602" s="4"/>
      <c r="CD4602" s="4"/>
      <c r="CF4602" s="4"/>
    </row>
    <row r="4603" spans="66:84">
      <c r="BN4603" s="4"/>
      <c r="BO4603" s="4"/>
      <c r="BQ4603" s="4"/>
      <c r="CC4603" s="4"/>
      <c r="CD4603" s="4"/>
      <c r="CF4603" s="4"/>
    </row>
    <row r="4604" spans="66:84">
      <c r="BN4604" s="4"/>
      <c r="BO4604" s="4"/>
      <c r="BQ4604" s="4"/>
      <c r="CC4604" s="4"/>
      <c r="CD4604" s="4"/>
      <c r="CF4604" s="4"/>
    </row>
    <row r="4605" spans="66:84">
      <c r="BN4605" s="4"/>
      <c r="BO4605" s="4"/>
      <c r="BQ4605" s="4"/>
      <c r="CC4605" s="4"/>
      <c r="CD4605" s="4"/>
      <c r="CF4605" s="4"/>
    </row>
    <row r="4606" spans="66:84">
      <c r="BN4606" s="4"/>
      <c r="BO4606" s="4"/>
      <c r="BQ4606" s="4"/>
      <c r="CC4606" s="4"/>
      <c r="CD4606" s="4"/>
      <c r="CF4606" s="4"/>
    </row>
    <row r="4607" spans="66:84">
      <c r="BN4607" s="4"/>
      <c r="BO4607" s="4"/>
      <c r="BQ4607" s="4"/>
      <c r="CC4607" s="4"/>
      <c r="CD4607" s="4"/>
      <c r="CF4607" s="4"/>
    </row>
    <row r="4608" spans="66:84">
      <c r="BN4608" s="4"/>
      <c r="BO4608" s="4"/>
      <c r="BQ4608" s="4"/>
      <c r="CC4608" s="4"/>
      <c r="CD4608" s="4"/>
      <c r="CF4608" s="4"/>
    </row>
    <row r="4609" spans="66:84">
      <c r="BN4609" s="4"/>
      <c r="BO4609" s="4"/>
      <c r="BQ4609" s="4"/>
      <c r="CC4609" s="4"/>
      <c r="CD4609" s="4"/>
      <c r="CF4609" s="4"/>
    </row>
    <row r="4610" spans="66:84">
      <c r="BN4610" s="4"/>
      <c r="BO4610" s="4"/>
      <c r="BQ4610" s="4"/>
      <c r="CC4610" s="4"/>
      <c r="CD4610" s="4"/>
      <c r="CF4610" s="4"/>
    </row>
    <row r="4611" spans="66:84">
      <c r="BN4611" s="4"/>
      <c r="BO4611" s="4"/>
      <c r="BQ4611" s="4"/>
      <c r="CC4611" s="4"/>
      <c r="CD4611" s="4"/>
      <c r="CF4611" s="4"/>
    </row>
    <row r="4612" spans="66:84">
      <c r="BN4612" s="4"/>
      <c r="BO4612" s="4"/>
      <c r="BQ4612" s="4"/>
      <c r="CC4612" s="4"/>
      <c r="CD4612" s="4"/>
      <c r="CF4612" s="4"/>
    </row>
    <row r="4613" spans="66:84">
      <c r="BN4613" s="4"/>
      <c r="BO4613" s="4"/>
      <c r="BQ4613" s="4"/>
      <c r="CC4613" s="4"/>
      <c r="CD4613" s="4"/>
      <c r="CF4613" s="4"/>
    </row>
    <row r="4614" spans="66:84">
      <c r="BN4614" s="4"/>
      <c r="BO4614" s="4"/>
      <c r="BQ4614" s="4"/>
      <c r="CC4614" s="4"/>
      <c r="CD4614" s="4"/>
      <c r="CF4614" s="4"/>
    </row>
    <row r="4615" spans="66:84">
      <c r="BN4615" s="4"/>
      <c r="BO4615" s="4"/>
      <c r="BQ4615" s="4"/>
      <c r="CC4615" s="4"/>
      <c r="CD4615" s="4"/>
      <c r="CF4615" s="4"/>
    </row>
    <row r="4616" spans="66:84">
      <c r="BN4616" s="4"/>
      <c r="BO4616" s="4"/>
      <c r="BQ4616" s="4"/>
      <c r="CC4616" s="4"/>
      <c r="CD4616" s="4"/>
      <c r="CF4616" s="4"/>
    </row>
    <row r="4617" spans="66:84">
      <c r="BN4617" s="4"/>
      <c r="BO4617" s="4"/>
      <c r="BQ4617" s="4"/>
      <c r="CC4617" s="4"/>
      <c r="CD4617" s="4"/>
      <c r="CF4617" s="4"/>
    </row>
    <row r="4618" spans="66:84">
      <c r="BN4618" s="4"/>
      <c r="BO4618" s="4"/>
      <c r="BQ4618" s="4"/>
      <c r="CC4618" s="4"/>
      <c r="CD4618" s="4"/>
      <c r="CF4618" s="4"/>
    </row>
    <row r="4619" spans="66:84">
      <c r="BN4619" s="4"/>
      <c r="BO4619" s="4"/>
      <c r="BQ4619" s="4"/>
      <c r="CC4619" s="4"/>
      <c r="CD4619" s="4"/>
      <c r="CF4619" s="4"/>
    </row>
    <row r="4620" spans="66:84">
      <c r="BN4620" s="4"/>
      <c r="BO4620" s="4"/>
      <c r="BQ4620" s="4"/>
      <c r="CC4620" s="4"/>
      <c r="CD4620" s="4"/>
      <c r="CF4620" s="4"/>
    </row>
    <row r="4621" spans="66:84">
      <c r="BN4621" s="4"/>
      <c r="BO4621" s="4"/>
      <c r="BQ4621" s="4"/>
      <c r="CC4621" s="4"/>
      <c r="CD4621" s="4"/>
      <c r="CF4621" s="4"/>
    </row>
    <row r="4622" spans="66:84">
      <c r="BN4622" s="4"/>
      <c r="BO4622" s="4"/>
      <c r="BQ4622" s="4"/>
      <c r="CC4622" s="4"/>
      <c r="CD4622" s="4"/>
      <c r="CF4622" s="4"/>
    </row>
    <row r="4623" spans="66:84">
      <c r="BN4623" s="4"/>
      <c r="BO4623" s="4"/>
      <c r="BQ4623" s="4"/>
      <c r="CC4623" s="4"/>
      <c r="CD4623" s="4"/>
      <c r="CF4623" s="4"/>
    </row>
    <row r="4624" spans="66:84">
      <c r="BN4624" s="4"/>
      <c r="BO4624" s="4"/>
      <c r="BQ4624" s="4"/>
      <c r="CC4624" s="4"/>
      <c r="CD4624" s="4"/>
      <c r="CF4624" s="4"/>
    </row>
    <row r="4625" spans="66:84">
      <c r="BN4625" s="4"/>
      <c r="BO4625" s="4"/>
      <c r="BQ4625" s="4"/>
      <c r="CC4625" s="4"/>
      <c r="CD4625" s="4"/>
      <c r="CF4625" s="4"/>
    </row>
    <row r="4626" spans="66:84">
      <c r="BN4626" s="4"/>
      <c r="BO4626" s="4"/>
      <c r="BQ4626" s="4"/>
      <c r="CC4626" s="4"/>
      <c r="CD4626" s="4"/>
      <c r="CF4626" s="4"/>
    </row>
    <row r="4627" spans="66:84">
      <c r="BN4627" s="4"/>
      <c r="BO4627" s="4"/>
      <c r="BQ4627" s="4"/>
      <c r="CC4627" s="4"/>
      <c r="CD4627" s="4"/>
      <c r="CF4627" s="4"/>
    </row>
    <row r="4628" spans="66:84">
      <c r="BN4628" s="4"/>
      <c r="BO4628" s="4"/>
      <c r="BQ4628" s="4"/>
      <c r="CC4628" s="4"/>
      <c r="CD4628" s="4"/>
      <c r="CF4628" s="4"/>
    </row>
    <row r="4629" spans="66:84">
      <c r="BN4629" s="4"/>
      <c r="BO4629" s="4"/>
      <c r="BQ4629" s="4"/>
      <c r="CC4629" s="4"/>
      <c r="CD4629" s="4"/>
      <c r="CF4629" s="4"/>
    </row>
    <row r="4630" spans="66:84">
      <c r="BN4630" s="4"/>
      <c r="BO4630" s="4"/>
      <c r="BQ4630" s="4"/>
      <c r="CC4630" s="4"/>
      <c r="CD4630" s="4"/>
      <c r="CF4630" s="4"/>
    </row>
    <row r="4631" spans="66:84">
      <c r="BN4631" s="4"/>
      <c r="BO4631" s="4"/>
      <c r="BQ4631" s="4"/>
      <c r="CC4631" s="4"/>
      <c r="CD4631" s="4"/>
      <c r="CF4631" s="4"/>
    </row>
    <row r="4632" spans="66:84">
      <c r="BN4632" s="4"/>
      <c r="BO4632" s="4"/>
      <c r="BQ4632" s="4"/>
      <c r="CC4632" s="4"/>
      <c r="CD4632" s="4"/>
      <c r="CF4632" s="4"/>
    </row>
    <row r="4633" spans="66:84">
      <c r="BN4633" s="4"/>
      <c r="BO4633" s="4"/>
      <c r="BQ4633" s="4"/>
      <c r="CC4633" s="4"/>
      <c r="CD4633" s="4"/>
      <c r="CF4633" s="4"/>
    </row>
    <row r="4634" spans="66:84">
      <c r="BN4634" s="4"/>
      <c r="BO4634" s="4"/>
      <c r="BQ4634" s="4"/>
      <c r="CC4634" s="4"/>
      <c r="CD4634" s="4"/>
      <c r="CF4634" s="4"/>
    </row>
    <row r="4635" spans="66:84">
      <c r="BN4635" s="4"/>
      <c r="BO4635" s="4"/>
      <c r="BQ4635" s="4"/>
      <c r="CC4635" s="4"/>
      <c r="CD4635" s="4"/>
      <c r="CF4635" s="4"/>
    </row>
    <row r="4636" spans="66:84">
      <c r="BN4636" s="4"/>
      <c r="BO4636" s="4"/>
      <c r="BQ4636" s="4"/>
      <c r="CC4636" s="4"/>
      <c r="CD4636" s="4"/>
      <c r="CF4636" s="4"/>
    </row>
    <row r="4637" spans="66:84">
      <c r="BN4637" s="4"/>
      <c r="BO4637" s="4"/>
      <c r="BQ4637" s="4"/>
      <c r="CC4637" s="4"/>
      <c r="CD4637" s="4"/>
      <c r="CF4637" s="4"/>
    </row>
    <row r="4638" spans="66:84">
      <c r="BN4638" s="4"/>
      <c r="BO4638" s="4"/>
      <c r="BQ4638" s="4"/>
      <c r="CC4638" s="4"/>
      <c r="CD4638" s="4"/>
      <c r="CF4638" s="4"/>
    </row>
    <row r="4639" spans="66:84">
      <c r="BN4639" s="4"/>
      <c r="BO4639" s="4"/>
      <c r="BQ4639" s="4"/>
      <c r="CC4639" s="4"/>
      <c r="CD4639" s="4"/>
      <c r="CF4639" s="4"/>
    </row>
    <row r="4640" spans="66:84">
      <c r="BN4640" s="4"/>
      <c r="BO4640" s="4"/>
      <c r="BQ4640" s="4"/>
      <c r="CC4640" s="4"/>
      <c r="CD4640" s="4"/>
      <c r="CF4640" s="4"/>
    </row>
    <row r="4641" spans="66:84">
      <c r="BN4641" s="4"/>
      <c r="BO4641" s="4"/>
      <c r="BQ4641" s="4"/>
      <c r="CC4641" s="4"/>
      <c r="CD4641" s="4"/>
      <c r="CF4641" s="4"/>
    </row>
    <row r="4642" spans="66:84">
      <c r="BN4642" s="4"/>
      <c r="BO4642" s="4"/>
      <c r="BQ4642" s="4"/>
      <c r="CC4642" s="4"/>
      <c r="CD4642" s="4"/>
      <c r="CF4642" s="4"/>
    </row>
    <row r="4643" spans="66:84">
      <c r="BN4643" s="4"/>
      <c r="BO4643" s="4"/>
      <c r="BQ4643" s="4"/>
      <c r="CC4643" s="4"/>
      <c r="CD4643" s="4"/>
      <c r="CF4643" s="4"/>
    </row>
    <row r="4644" spans="66:84">
      <c r="BN4644" s="4"/>
      <c r="BO4644" s="4"/>
      <c r="BQ4644" s="4"/>
      <c r="CC4644" s="4"/>
      <c r="CD4644" s="4"/>
      <c r="CF4644" s="4"/>
    </row>
    <row r="4645" spans="66:84">
      <c r="BN4645" s="4"/>
      <c r="BO4645" s="4"/>
      <c r="BQ4645" s="4"/>
      <c r="CC4645" s="4"/>
      <c r="CD4645" s="4"/>
      <c r="CF4645" s="4"/>
    </row>
    <row r="4646" spans="66:84">
      <c r="BN4646" s="4"/>
      <c r="BO4646" s="4"/>
      <c r="BQ4646" s="4"/>
      <c r="CC4646" s="4"/>
      <c r="CD4646" s="4"/>
      <c r="CF4646" s="4"/>
    </row>
    <row r="4647" spans="66:84">
      <c r="BN4647" s="4"/>
      <c r="BO4647" s="4"/>
      <c r="BQ4647" s="4"/>
      <c r="CC4647" s="4"/>
      <c r="CD4647" s="4"/>
      <c r="CF4647" s="4"/>
    </row>
    <row r="4648" spans="66:84">
      <c r="BN4648" s="4"/>
      <c r="BO4648" s="4"/>
      <c r="BQ4648" s="4"/>
      <c r="CC4648" s="4"/>
      <c r="CD4648" s="4"/>
      <c r="CF4648" s="4"/>
    </row>
    <row r="4649" spans="66:84">
      <c r="BN4649" s="4"/>
      <c r="BO4649" s="4"/>
      <c r="BQ4649" s="4"/>
      <c r="CC4649" s="4"/>
      <c r="CD4649" s="4"/>
      <c r="CF4649" s="4"/>
    </row>
    <row r="4650" spans="66:84">
      <c r="BN4650" s="4"/>
      <c r="BO4650" s="4"/>
      <c r="BQ4650" s="4"/>
      <c r="CC4650" s="4"/>
      <c r="CD4650" s="4"/>
      <c r="CF4650" s="4"/>
    </row>
    <row r="4651" spans="66:84">
      <c r="BN4651" s="4"/>
      <c r="BO4651" s="4"/>
      <c r="BQ4651" s="4"/>
      <c r="CC4651" s="4"/>
      <c r="CD4651" s="4"/>
      <c r="CF4651" s="4"/>
    </row>
    <row r="4652" spans="66:84">
      <c r="BN4652" s="4"/>
      <c r="BO4652" s="4"/>
      <c r="BQ4652" s="4"/>
      <c r="CC4652" s="4"/>
      <c r="CD4652" s="4"/>
      <c r="CF4652" s="4"/>
    </row>
    <row r="4653" spans="66:84">
      <c r="BN4653" s="4"/>
      <c r="BO4653" s="4"/>
      <c r="BQ4653" s="4"/>
      <c r="CC4653" s="4"/>
      <c r="CD4653" s="4"/>
      <c r="CF4653" s="4"/>
    </row>
    <row r="4654" spans="66:84">
      <c r="BN4654" s="4"/>
      <c r="BO4654" s="4"/>
      <c r="BQ4654" s="4"/>
      <c r="CC4654" s="4"/>
      <c r="CD4654" s="4"/>
      <c r="CF4654" s="4"/>
    </row>
    <row r="4655" spans="66:84">
      <c r="BN4655" s="4"/>
      <c r="BO4655" s="4"/>
      <c r="BQ4655" s="4"/>
      <c r="CC4655" s="4"/>
      <c r="CD4655" s="4"/>
      <c r="CF4655" s="4"/>
    </row>
    <row r="4656" spans="66:84">
      <c r="BN4656" s="4"/>
      <c r="BO4656" s="4"/>
      <c r="BQ4656" s="4"/>
      <c r="CC4656" s="4"/>
      <c r="CD4656" s="4"/>
      <c r="CF4656" s="4"/>
    </row>
    <row r="4657" spans="66:84">
      <c r="BN4657" s="4"/>
      <c r="BO4657" s="4"/>
      <c r="BQ4657" s="4"/>
      <c r="CC4657" s="4"/>
      <c r="CD4657" s="4"/>
      <c r="CF4657" s="4"/>
    </row>
    <row r="4658" spans="66:84">
      <c r="BN4658" s="4"/>
      <c r="BO4658" s="4"/>
      <c r="BQ4658" s="4"/>
      <c r="CC4658" s="4"/>
      <c r="CD4658" s="4"/>
      <c r="CF4658" s="4"/>
    </row>
    <row r="4659" spans="66:84">
      <c r="BN4659" s="4"/>
      <c r="BO4659" s="4"/>
      <c r="BQ4659" s="4"/>
      <c r="CC4659" s="4"/>
      <c r="CD4659" s="4"/>
      <c r="CF4659" s="4"/>
    </row>
    <row r="4660" spans="66:84">
      <c r="BN4660" s="4"/>
      <c r="BO4660" s="4"/>
      <c r="BQ4660" s="4"/>
      <c r="CC4660" s="4"/>
      <c r="CD4660" s="4"/>
      <c r="CF4660" s="4"/>
    </row>
    <row r="4661" spans="66:84">
      <c r="BN4661" s="4"/>
      <c r="BO4661" s="4"/>
      <c r="BQ4661" s="4"/>
      <c r="CC4661" s="4"/>
      <c r="CD4661" s="4"/>
      <c r="CF4661" s="4"/>
    </row>
    <row r="4662" spans="66:84">
      <c r="BN4662" s="4"/>
      <c r="BO4662" s="4"/>
      <c r="BQ4662" s="4"/>
      <c r="CC4662" s="4"/>
      <c r="CD4662" s="4"/>
      <c r="CF4662" s="4"/>
    </row>
    <row r="4663" spans="66:84">
      <c r="BN4663" s="4"/>
      <c r="BO4663" s="4"/>
      <c r="BQ4663" s="4"/>
      <c r="CC4663" s="4"/>
      <c r="CD4663" s="4"/>
      <c r="CF4663" s="4"/>
    </row>
    <row r="4664" spans="66:84">
      <c r="BN4664" s="4"/>
      <c r="BO4664" s="4"/>
      <c r="BQ4664" s="4"/>
      <c r="CC4664" s="4"/>
      <c r="CD4664" s="4"/>
      <c r="CF4664" s="4"/>
    </row>
    <row r="4665" spans="66:84">
      <c r="BN4665" s="4"/>
      <c r="BO4665" s="4"/>
      <c r="BQ4665" s="4"/>
      <c r="CC4665" s="4"/>
      <c r="CD4665" s="4"/>
      <c r="CF4665" s="4"/>
    </row>
    <row r="4666" spans="66:84">
      <c r="BN4666" s="4"/>
      <c r="BO4666" s="4"/>
      <c r="BQ4666" s="4"/>
      <c r="CC4666" s="4"/>
      <c r="CD4666" s="4"/>
      <c r="CF4666" s="4"/>
    </row>
    <row r="4667" spans="66:84">
      <c r="BN4667" s="4"/>
      <c r="BO4667" s="4"/>
      <c r="BQ4667" s="4"/>
      <c r="CC4667" s="4"/>
      <c r="CD4667" s="4"/>
      <c r="CF4667" s="4"/>
    </row>
    <row r="4668" spans="66:84">
      <c r="BN4668" s="4"/>
      <c r="BO4668" s="4"/>
      <c r="BQ4668" s="4"/>
      <c r="CC4668" s="4"/>
      <c r="CD4668" s="4"/>
      <c r="CF4668" s="4"/>
    </row>
    <row r="4669" spans="66:84">
      <c r="BN4669" s="4"/>
      <c r="BO4669" s="4"/>
      <c r="BQ4669" s="4"/>
      <c r="CC4669" s="4"/>
      <c r="CD4669" s="4"/>
      <c r="CF4669" s="4"/>
    </row>
    <row r="4670" spans="66:84">
      <c r="BN4670" s="4"/>
      <c r="BO4670" s="4"/>
      <c r="BQ4670" s="4"/>
      <c r="CC4670" s="4"/>
      <c r="CD4670" s="4"/>
      <c r="CF4670" s="4"/>
    </row>
    <row r="4671" spans="66:84">
      <c r="BN4671" s="4"/>
      <c r="BO4671" s="4"/>
      <c r="BQ4671" s="4"/>
      <c r="CC4671" s="4"/>
      <c r="CD4671" s="4"/>
      <c r="CF4671" s="4"/>
    </row>
    <row r="4672" spans="66:84">
      <c r="BN4672" s="4"/>
      <c r="BO4672" s="4"/>
      <c r="BQ4672" s="4"/>
      <c r="CC4672" s="4"/>
      <c r="CD4672" s="4"/>
      <c r="CF4672" s="4"/>
    </row>
    <row r="4673" spans="66:84">
      <c r="BN4673" s="4"/>
      <c r="BO4673" s="4"/>
      <c r="BQ4673" s="4"/>
      <c r="CC4673" s="4"/>
      <c r="CD4673" s="4"/>
      <c r="CF4673" s="4"/>
    </row>
    <row r="4674" spans="66:84">
      <c r="BN4674" s="4"/>
      <c r="BO4674" s="4"/>
      <c r="BQ4674" s="4"/>
      <c r="CC4674" s="4"/>
      <c r="CD4674" s="4"/>
      <c r="CF4674" s="4"/>
    </row>
    <row r="4675" spans="66:84">
      <c r="BN4675" s="4"/>
      <c r="BO4675" s="4"/>
      <c r="BQ4675" s="4"/>
      <c r="CC4675" s="4"/>
      <c r="CD4675" s="4"/>
      <c r="CF4675" s="4"/>
    </row>
    <row r="4676" spans="66:84">
      <c r="BN4676" s="4"/>
      <c r="BO4676" s="4"/>
      <c r="BQ4676" s="4"/>
      <c r="CC4676" s="4"/>
      <c r="CD4676" s="4"/>
      <c r="CF4676" s="4"/>
    </row>
    <row r="4677" spans="66:84">
      <c r="BN4677" s="4"/>
      <c r="BO4677" s="4"/>
      <c r="BQ4677" s="4"/>
      <c r="CC4677" s="4"/>
      <c r="CD4677" s="4"/>
      <c r="CF4677" s="4"/>
    </row>
    <row r="4678" spans="66:84">
      <c r="BN4678" s="4"/>
      <c r="BO4678" s="4"/>
      <c r="BQ4678" s="4"/>
      <c r="CC4678" s="4"/>
      <c r="CD4678" s="4"/>
      <c r="CF4678" s="4"/>
    </row>
    <row r="4679" spans="66:84">
      <c r="BN4679" s="4"/>
      <c r="BO4679" s="4"/>
      <c r="BQ4679" s="4"/>
      <c r="CC4679" s="4"/>
      <c r="CD4679" s="4"/>
      <c r="CF4679" s="4"/>
    </row>
    <row r="4680" spans="66:84">
      <c r="BN4680" s="4"/>
      <c r="BO4680" s="4"/>
      <c r="BQ4680" s="4"/>
      <c r="CC4680" s="4"/>
      <c r="CD4680" s="4"/>
      <c r="CF4680" s="4"/>
    </row>
    <row r="4681" spans="66:84">
      <c r="BN4681" s="4"/>
      <c r="BO4681" s="4"/>
      <c r="BQ4681" s="4"/>
      <c r="CC4681" s="4"/>
      <c r="CD4681" s="4"/>
      <c r="CF4681" s="4"/>
    </row>
    <row r="4682" spans="66:84">
      <c r="BN4682" s="4"/>
      <c r="BO4682" s="4"/>
      <c r="BQ4682" s="4"/>
      <c r="CC4682" s="4"/>
      <c r="CD4682" s="4"/>
      <c r="CF4682" s="4"/>
    </row>
    <row r="4683" spans="66:84">
      <c r="BN4683" s="4"/>
      <c r="BO4683" s="4"/>
      <c r="BQ4683" s="4"/>
      <c r="CC4683" s="4"/>
      <c r="CD4683" s="4"/>
      <c r="CF4683" s="4"/>
    </row>
    <row r="4684" spans="66:84">
      <c r="BN4684" s="4"/>
      <c r="BO4684" s="4"/>
      <c r="BQ4684" s="4"/>
      <c r="CC4684" s="4"/>
      <c r="CD4684" s="4"/>
      <c r="CF4684" s="4"/>
    </row>
    <row r="4685" spans="66:84">
      <c r="BN4685" s="4"/>
      <c r="BO4685" s="4"/>
      <c r="BQ4685" s="4"/>
      <c r="CC4685" s="4"/>
      <c r="CD4685" s="4"/>
      <c r="CF4685" s="4"/>
    </row>
    <row r="4686" spans="66:84">
      <c r="BN4686" s="4"/>
      <c r="BO4686" s="4"/>
      <c r="BQ4686" s="4"/>
      <c r="CC4686" s="4"/>
      <c r="CD4686" s="4"/>
      <c r="CF4686" s="4"/>
    </row>
    <row r="4687" spans="66:84">
      <c r="BN4687" s="4"/>
      <c r="BO4687" s="4"/>
      <c r="BQ4687" s="4"/>
      <c r="CC4687" s="4"/>
      <c r="CD4687" s="4"/>
      <c r="CF4687" s="4"/>
    </row>
    <row r="4688" spans="66:84">
      <c r="BN4688" s="4"/>
      <c r="BO4688" s="4"/>
      <c r="BQ4688" s="4"/>
      <c r="CC4688" s="4"/>
      <c r="CD4688" s="4"/>
      <c r="CF4688" s="4"/>
    </row>
    <row r="4689" spans="66:84">
      <c r="BN4689" s="4"/>
      <c r="BO4689" s="4"/>
      <c r="BQ4689" s="4"/>
      <c r="CC4689" s="4"/>
      <c r="CD4689" s="4"/>
      <c r="CF4689" s="4"/>
    </row>
    <row r="4690" spans="66:84">
      <c r="BN4690" s="4"/>
      <c r="BO4690" s="4"/>
      <c r="BQ4690" s="4"/>
      <c r="CC4690" s="4"/>
      <c r="CD4690" s="4"/>
      <c r="CF4690" s="4"/>
    </row>
    <row r="4691" spans="66:84">
      <c r="BN4691" s="4"/>
      <c r="BO4691" s="4"/>
      <c r="BQ4691" s="4"/>
      <c r="CC4691" s="4"/>
      <c r="CD4691" s="4"/>
      <c r="CF4691" s="4"/>
    </row>
    <row r="4692" spans="66:84">
      <c r="BN4692" s="4"/>
      <c r="BO4692" s="4"/>
      <c r="BQ4692" s="4"/>
      <c r="CC4692" s="4"/>
      <c r="CD4692" s="4"/>
      <c r="CF4692" s="4"/>
    </row>
    <row r="4693" spans="66:84">
      <c r="BN4693" s="4"/>
      <c r="BO4693" s="4"/>
      <c r="BQ4693" s="4"/>
      <c r="CC4693" s="4"/>
      <c r="CD4693" s="4"/>
      <c r="CF4693" s="4"/>
    </row>
    <row r="4694" spans="66:84">
      <c r="BN4694" s="4"/>
      <c r="BO4694" s="4"/>
      <c r="BQ4694" s="4"/>
      <c r="CC4694" s="4"/>
      <c r="CD4694" s="4"/>
      <c r="CF4694" s="4"/>
    </row>
    <row r="4695" spans="66:84">
      <c r="BN4695" s="4"/>
      <c r="BO4695" s="4"/>
      <c r="BQ4695" s="4"/>
      <c r="CC4695" s="4"/>
      <c r="CD4695" s="4"/>
      <c r="CF4695" s="4"/>
    </row>
    <row r="4696" spans="66:84">
      <c r="BN4696" s="4"/>
      <c r="BO4696" s="4"/>
      <c r="BQ4696" s="4"/>
      <c r="CC4696" s="4"/>
      <c r="CD4696" s="4"/>
      <c r="CF4696" s="4"/>
    </row>
    <row r="4697" spans="66:84">
      <c r="BN4697" s="4"/>
      <c r="BO4697" s="4"/>
      <c r="BQ4697" s="4"/>
      <c r="CC4697" s="4"/>
      <c r="CD4697" s="4"/>
      <c r="CF4697" s="4"/>
    </row>
    <row r="4698" spans="66:84">
      <c r="BN4698" s="4"/>
      <c r="BO4698" s="4"/>
      <c r="BQ4698" s="4"/>
      <c r="CC4698" s="4"/>
      <c r="CD4698" s="4"/>
      <c r="CF4698" s="4"/>
    </row>
    <row r="4699" spans="66:84">
      <c r="BN4699" s="4"/>
      <c r="BO4699" s="4"/>
      <c r="BQ4699" s="4"/>
      <c r="CC4699" s="4"/>
      <c r="CD4699" s="4"/>
      <c r="CF4699" s="4"/>
    </row>
    <row r="4700" spans="66:84">
      <c r="BN4700" s="4"/>
      <c r="BO4700" s="4"/>
      <c r="BQ4700" s="4"/>
      <c r="CC4700" s="4"/>
      <c r="CD4700" s="4"/>
      <c r="CF4700" s="4"/>
    </row>
    <row r="4701" spans="66:84">
      <c r="BN4701" s="4"/>
      <c r="BO4701" s="4"/>
      <c r="BQ4701" s="4"/>
      <c r="CC4701" s="4"/>
      <c r="CD4701" s="4"/>
      <c r="CF4701" s="4"/>
    </row>
    <row r="4702" spans="66:84">
      <c r="BN4702" s="4"/>
      <c r="BO4702" s="4"/>
      <c r="BQ4702" s="4"/>
      <c r="CC4702" s="4"/>
      <c r="CD4702" s="4"/>
      <c r="CF4702" s="4"/>
    </row>
    <row r="4703" spans="66:84">
      <c r="BN4703" s="4"/>
      <c r="BO4703" s="4"/>
      <c r="BQ4703" s="4"/>
      <c r="CC4703" s="4"/>
      <c r="CD4703" s="4"/>
      <c r="CF4703" s="4"/>
    </row>
    <row r="4704" spans="66:84">
      <c r="BN4704" s="4"/>
      <c r="BO4704" s="4"/>
      <c r="BQ4704" s="4"/>
      <c r="CC4704" s="4"/>
      <c r="CD4704" s="4"/>
      <c r="CF4704" s="4"/>
    </row>
    <row r="4705" spans="66:84">
      <c r="BN4705" s="4"/>
      <c r="BO4705" s="4"/>
      <c r="BQ4705" s="4"/>
      <c r="CC4705" s="4"/>
      <c r="CD4705" s="4"/>
      <c r="CF4705" s="4"/>
    </row>
    <row r="4706" spans="66:84">
      <c r="BN4706" s="4"/>
      <c r="BO4706" s="4"/>
      <c r="BQ4706" s="4"/>
      <c r="CC4706" s="4"/>
      <c r="CD4706" s="4"/>
      <c r="CF4706" s="4"/>
    </row>
    <row r="4707" spans="66:84">
      <c r="BN4707" s="4"/>
      <c r="BO4707" s="4"/>
      <c r="BQ4707" s="4"/>
      <c r="CC4707" s="4"/>
      <c r="CD4707" s="4"/>
      <c r="CF4707" s="4"/>
    </row>
    <row r="4708" spans="66:84">
      <c r="BN4708" s="4"/>
      <c r="BO4708" s="4"/>
      <c r="BQ4708" s="4"/>
      <c r="CC4708" s="4"/>
      <c r="CD4708" s="4"/>
      <c r="CF4708" s="4"/>
    </row>
    <row r="4709" spans="66:84">
      <c r="BN4709" s="4"/>
      <c r="BO4709" s="4"/>
      <c r="BQ4709" s="4"/>
      <c r="CC4709" s="4"/>
      <c r="CD4709" s="4"/>
      <c r="CF4709" s="4"/>
    </row>
    <row r="4710" spans="66:84">
      <c r="BN4710" s="4"/>
      <c r="BO4710" s="4"/>
      <c r="BQ4710" s="4"/>
      <c r="CC4710" s="4"/>
      <c r="CD4710" s="4"/>
      <c r="CF4710" s="4"/>
    </row>
    <row r="4711" spans="66:84">
      <c r="BN4711" s="4"/>
      <c r="BO4711" s="4"/>
      <c r="BQ4711" s="4"/>
      <c r="CC4711" s="4"/>
      <c r="CD4711" s="4"/>
      <c r="CF4711" s="4"/>
    </row>
    <row r="4712" spans="66:84">
      <c r="BN4712" s="4"/>
      <c r="BO4712" s="4"/>
      <c r="BQ4712" s="4"/>
      <c r="CC4712" s="4"/>
      <c r="CD4712" s="4"/>
      <c r="CF4712" s="4"/>
    </row>
    <row r="4713" spans="66:84">
      <c r="BN4713" s="4"/>
      <c r="BO4713" s="4"/>
      <c r="BQ4713" s="4"/>
      <c r="CC4713" s="4"/>
      <c r="CD4713" s="4"/>
      <c r="CF4713" s="4"/>
    </row>
    <row r="4714" spans="66:84">
      <c r="BN4714" s="4"/>
      <c r="BO4714" s="4"/>
      <c r="BQ4714" s="4"/>
      <c r="CC4714" s="4"/>
      <c r="CD4714" s="4"/>
      <c r="CF4714" s="4"/>
    </row>
    <row r="4715" spans="66:84">
      <c r="BN4715" s="4"/>
      <c r="BO4715" s="4"/>
      <c r="BQ4715" s="4"/>
      <c r="CC4715" s="4"/>
      <c r="CD4715" s="4"/>
      <c r="CF4715" s="4"/>
    </row>
    <row r="4716" spans="66:84">
      <c r="BN4716" s="4"/>
      <c r="BO4716" s="4"/>
      <c r="BQ4716" s="4"/>
      <c r="CC4716" s="4"/>
      <c r="CD4716" s="4"/>
      <c r="CF4716" s="4"/>
    </row>
    <row r="4717" spans="66:84">
      <c r="BN4717" s="4"/>
      <c r="BO4717" s="4"/>
      <c r="BQ4717" s="4"/>
      <c r="CC4717" s="4"/>
      <c r="CD4717" s="4"/>
      <c r="CF4717" s="4"/>
    </row>
    <row r="4718" spans="66:84">
      <c r="BN4718" s="4"/>
      <c r="BO4718" s="4"/>
      <c r="BQ4718" s="4"/>
      <c r="CC4718" s="4"/>
      <c r="CD4718" s="4"/>
      <c r="CF4718" s="4"/>
    </row>
    <row r="4719" spans="66:84">
      <c r="BN4719" s="4"/>
      <c r="BO4719" s="4"/>
      <c r="BQ4719" s="4"/>
      <c r="CC4719" s="4"/>
      <c r="CD4719" s="4"/>
      <c r="CF4719" s="4"/>
    </row>
    <row r="4720" spans="66:84">
      <c r="BN4720" s="4"/>
      <c r="BO4720" s="4"/>
      <c r="BQ4720" s="4"/>
      <c r="CC4720" s="4"/>
      <c r="CD4720" s="4"/>
      <c r="CF4720" s="4"/>
    </row>
    <row r="4721" spans="66:84">
      <c r="BN4721" s="4"/>
      <c r="BO4721" s="4"/>
      <c r="BQ4721" s="4"/>
      <c r="CC4721" s="4"/>
      <c r="CD4721" s="4"/>
      <c r="CF4721" s="4"/>
    </row>
    <row r="4722" spans="66:84">
      <c r="BN4722" s="4"/>
      <c r="BO4722" s="4"/>
      <c r="BQ4722" s="4"/>
      <c r="CC4722" s="4"/>
      <c r="CD4722" s="4"/>
      <c r="CF4722" s="4"/>
    </row>
    <row r="4723" spans="66:84">
      <c r="BN4723" s="4"/>
      <c r="BO4723" s="4"/>
      <c r="BQ4723" s="4"/>
      <c r="CC4723" s="4"/>
      <c r="CD4723" s="4"/>
      <c r="CF4723" s="4"/>
    </row>
    <row r="4724" spans="66:84">
      <c r="BN4724" s="4"/>
      <c r="BO4724" s="4"/>
      <c r="BQ4724" s="4"/>
      <c r="CC4724" s="4"/>
      <c r="CD4724" s="4"/>
      <c r="CF4724" s="4"/>
    </row>
    <row r="4725" spans="66:84">
      <c r="BN4725" s="4"/>
      <c r="BO4725" s="4"/>
      <c r="BQ4725" s="4"/>
      <c r="CC4725" s="4"/>
      <c r="CD4725" s="4"/>
      <c r="CF4725" s="4"/>
    </row>
    <row r="4726" spans="66:84">
      <c r="BN4726" s="4"/>
      <c r="BO4726" s="4"/>
      <c r="BQ4726" s="4"/>
      <c r="CC4726" s="4"/>
      <c r="CD4726" s="4"/>
      <c r="CF4726" s="4"/>
    </row>
    <row r="4727" spans="66:84">
      <c r="BN4727" s="4"/>
      <c r="BO4727" s="4"/>
      <c r="BQ4727" s="4"/>
      <c r="CC4727" s="4"/>
      <c r="CD4727" s="4"/>
      <c r="CF4727" s="4"/>
    </row>
    <row r="4728" spans="66:84">
      <c r="BN4728" s="4"/>
      <c r="BO4728" s="4"/>
      <c r="BQ4728" s="4"/>
      <c r="CC4728" s="4"/>
      <c r="CD4728" s="4"/>
      <c r="CF4728" s="4"/>
    </row>
    <row r="4729" spans="66:84">
      <c r="BN4729" s="4"/>
      <c r="BO4729" s="4"/>
      <c r="BQ4729" s="4"/>
      <c r="CC4729" s="4"/>
      <c r="CD4729" s="4"/>
      <c r="CF4729" s="4"/>
    </row>
    <row r="4730" spans="66:84">
      <c r="BN4730" s="4"/>
      <c r="BO4730" s="4"/>
      <c r="BQ4730" s="4"/>
      <c r="CC4730" s="4"/>
      <c r="CD4730" s="4"/>
      <c r="CF4730" s="4"/>
    </row>
    <row r="4731" spans="66:84">
      <c r="BN4731" s="4"/>
      <c r="BO4731" s="4"/>
      <c r="BQ4731" s="4"/>
      <c r="CC4731" s="4"/>
      <c r="CD4731" s="4"/>
      <c r="CF4731" s="4"/>
    </row>
    <row r="4732" spans="66:84">
      <c r="BN4732" s="4"/>
      <c r="BO4732" s="4"/>
      <c r="BQ4732" s="4"/>
      <c r="CC4732" s="4"/>
      <c r="CD4732" s="4"/>
      <c r="CF4732" s="4"/>
    </row>
    <row r="4733" spans="66:84">
      <c r="BN4733" s="4"/>
      <c r="BO4733" s="4"/>
      <c r="BQ4733" s="4"/>
      <c r="CC4733" s="4"/>
      <c r="CD4733" s="4"/>
      <c r="CF4733" s="4"/>
    </row>
    <row r="4734" spans="66:84">
      <c r="BN4734" s="4"/>
      <c r="BO4734" s="4"/>
      <c r="BQ4734" s="4"/>
      <c r="CC4734" s="4"/>
      <c r="CD4734" s="4"/>
      <c r="CF4734" s="4"/>
    </row>
    <row r="4735" spans="66:84">
      <c r="BN4735" s="4"/>
      <c r="BO4735" s="4"/>
      <c r="BQ4735" s="4"/>
      <c r="CC4735" s="4"/>
      <c r="CD4735" s="4"/>
      <c r="CF4735" s="4"/>
    </row>
    <row r="4736" spans="66:84">
      <c r="BN4736" s="4"/>
      <c r="BO4736" s="4"/>
      <c r="BQ4736" s="4"/>
      <c r="CC4736" s="4"/>
      <c r="CD4736" s="4"/>
      <c r="CF4736" s="4"/>
    </row>
    <row r="4737" spans="66:84">
      <c r="BN4737" s="4"/>
      <c r="BO4737" s="4"/>
      <c r="BQ4737" s="4"/>
      <c r="CC4737" s="4"/>
      <c r="CD4737" s="4"/>
      <c r="CF4737" s="4"/>
    </row>
    <row r="4738" spans="66:84">
      <c r="BN4738" s="4"/>
      <c r="BO4738" s="4"/>
      <c r="BQ4738" s="4"/>
      <c r="CC4738" s="4"/>
      <c r="CD4738" s="4"/>
      <c r="CF4738" s="4"/>
    </row>
    <row r="4739" spans="66:84">
      <c r="BN4739" s="4"/>
      <c r="BO4739" s="4"/>
      <c r="BQ4739" s="4"/>
      <c r="CC4739" s="4"/>
      <c r="CD4739" s="4"/>
      <c r="CF4739" s="4"/>
    </row>
    <row r="4740" spans="66:84">
      <c r="BN4740" s="4"/>
      <c r="BO4740" s="4"/>
      <c r="BQ4740" s="4"/>
      <c r="CC4740" s="4"/>
      <c r="CD4740" s="4"/>
      <c r="CF4740" s="4"/>
    </row>
    <row r="4741" spans="66:84">
      <c r="BN4741" s="4"/>
      <c r="BO4741" s="4"/>
      <c r="BQ4741" s="4"/>
      <c r="CC4741" s="4"/>
      <c r="CD4741" s="4"/>
      <c r="CF4741" s="4"/>
    </row>
    <row r="4742" spans="66:84">
      <c r="BN4742" s="4"/>
      <c r="BO4742" s="4"/>
      <c r="BQ4742" s="4"/>
      <c r="CC4742" s="4"/>
      <c r="CD4742" s="4"/>
      <c r="CF4742" s="4"/>
    </row>
    <row r="4743" spans="66:84">
      <c r="BN4743" s="4"/>
      <c r="BO4743" s="4"/>
      <c r="BQ4743" s="4"/>
      <c r="CC4743" s="4"/>
      <c r="CD4743" s="4"/>
      <c r="CF4743" s="4"/>
    </row>
    <row r="4744" spans="66:84">
      <c r="BN4744" s="4"/>
      <c r="BO4744" s="4"/>
      <c r="BQ4744" s="4"/>
      <c r="CC4744" s="4"/>
      <c r="CD4744" s="4"/>
      <c r="CF4744" s="4"/>
    </row>
    <row r="4745" spans="66:84">
      <c r="BN4745" s="4"/>
      <c r="BO4745" s="4"/>
      <c r="BQ4745" s="4"/>
      <c r="CC4745" s="4"/>
      <c r="CD4745" s="4"/>
      <c r="CF4745" s="4"/>
    </row>
    <row r="4746" spans="66:84">
      <c r="BN4746" s="4"/>
      <c r="BO4746" s="4"/>
      <c r="BQ4746" s="4"/>
      <c r="CC4746" s="4"/>
      <c r="CD4746" s="4"/>
      <c r="CF4746" s="4"/>
    </row>
    <row r="4747" spans="66:84">
      <c r="BN4747" s="4"/>
      <c r="BO4747" s="4"/>
      <c r="BQ4747" s="4"/>
      <c r="CC4747" s="4"/>
      <c r="CD4747" s="4"/>
      <c r="CF4747" s="4"/>
    </row>
    <row r="4748" spans="66:84">
      <c r="BN4748" s="4"/>
      <c r="BO4748" s="4"/>
      <c r="BQ4748" s="4"/>
      <c r="CC4748" s="4"/>
      <c r="CD4748" s="4"/>
      <c r="CF4748" s="4"/>
    </row>
    <row r="4749" spans="66:84">
      <c r="BN4749" s="4"/>
      <c r="BO4749" s="4"/>
      <c r="BQ4749" s="4"/>
      <c r="CC4749" s="4"/>
      <c r="CD4749" s="4"/>
      <c r="CF4749" s="4"/>
    </row>
    <row r="4750" spans="66:84">
      <c r="BN4750" s="4"/>
      <c r="BO4750" s="4"/>
      <c r="BQ4750" s="4"/>
      <c r="CC4750" s="4"/>
      <c r="CD4750" s="4"/>
      <c r="CF4750" s="4"/>
    </row>
    <row r="4751" spans="66:84">
      <c r="BN4751" s="4"/>
      <c r="BO4751" s="4"/>
      <c r="BQ4751" s="4"/>
      <c r="CC4751" s="4"/>
      <c r="CD4751" s="4"/>
      <c r="CF4751" s="4"/>
    </row>
    <row r="4752" spans="66:84">
      <c r="BN4752" s="4"/>
      <c r="BO4752" s="4"/>
      <c r="BQ4752" s="4"/>
      <c r="CC4752" s="4"/>
      <c r="CD4752" s="4"/>
      <c r="CF4752" s="4"/>
    </row>
    <row r="4753" spans="66:84">
      <c r="BN4753" s="4"/>
      <c r="BO4753" s="4"/>
      <c r="BQ4753" s="4"/>
      <c r="CC4753" s="4"/>
      <c r="CD4753" s="4"/>
      <c r="CF4753" s="4"/>
    </row>
    <row r="4754" spans="66:84">
      <c r="BN4754" s="4"/>
      <c r="BO4754" s="4"/>
      <c r="BQ4754" s="4"/>
      <c r="CC4754" s="4"/>
      <c r="CD4754" s="4"/>
      <c r="CF4754" s="4"/>
    </row>
    <row r="4755" spans="66:84">
      <c r="BN4755" s="4"/>
      <c r="BO4755" s="4"/>
      <c r="BQ4755" s="4"/>
      <c r="CC4755" s="4"/>
      <c r="CD4755" s="4"/>
      <c r="CF4755" s="4"/>
    </row>
    <row r="4756" spans="66:84">
      <c r="BN4756" s="4"/>
      <c r="BO4756" s="4"/>
      <c r="BQ4756" s="4"/>
      <c r="CC4756" s="4"/>
      <c r="CD4756" s="4"/>
      <c r="CF4756" s="4"/>
    </row>
    <row r="4757" spans="66:84">
      <c r="BN4757" s="4"/>
      <c r="BO4757" s="4"/>
      <c r="BQ4757" s="4"/>
      <c r="CC4757" s="4"/>
      <c r="CD4757" s="4"/>
      <c r="CF4757" s="4"/>
    </row>
    <row r="4758" spans="66:84">
      <c r="BN4758" s="4"/>
      <c r="BO4758" s="4"/>
      <c r="BQ4758" s="4"/>
      <c r="CC4758" s="4"/>
      <c r="CD4758" s="4"/>
      <c r="CF4758" s="4"/>
    </row>
    <row r="4759" spans="66:84">
      <c r="BN4759" s="4"/>
      <c r="BO4759" s="4"/>
      <c r="BQ4759" s="4"/>
      <c r="CC4759" s="4"/>
      <c r="CD4759" s="4"/>
      <c r="CF4759" s="4"/>
    </row>
    <row r="4760" spans="66:84">
      <c r="BN4760" s="4"/>
      <c r="BO4760" s="4"/>
      <c r="BQ4760" s="4"/>
      <c r="CC4760" s="4"/>
      <c r="CD4760" s="4"/>
      <c r="CF4760" s="4"/>
    </row>
    <row r="4761" spans="66:84">
      <c r="BN4761" s="4"/>
      <c r="BO4761" s="4"/>
      <c r="BQ4761" s="4"/>
      <c r="CC4761" s="4"/>
      <c r="CD4761" s="4"/>
      <c r="CF4761" s="4"/>
    </row>
    <row r="4762" spans="66:84">
      <c r="BN4762" s="4"/>
      <c r="BO4762" s="4"/>
      <c r="BQ4762" s="4"/>
      <c r="CC4762" s="4"/>
      <c r="CD4762" s="4"/>
      <c r="CF4762" s="4"/>
    </row>
    <row r="4763" spans="66:84">
      <c r="BN4763" s="4"/>
      <c r="BO4763" s="4"/>
      <c r="BQ4763" s="4"/>
      <c r="CC4763" s="4"/>
      <c r="CD4763" s="4"/>
      <c r="CF4763" s="4"/>
    </row>
    <row r="4764" spans="66:84">
      <c r="BN4764" s="4"/>
      <c r="BO4764" s="4"/>
      <c r="BQ4764" s="4"/>
      <c r="CC4764" s="4"/>
      <c r="CD4764" s="4"/>
      <c r="CF4764" s="4"/>
    </row>
    <row r="4765" spans="66:84">
      <c r="BN4765" s="4"/>
      <c r="BO4765" s="4"/>
      <c r="BQ4765" s="4"/>
      <c r="CC4765" s="4"/>
      <c r="CD4765" s="4"/>
      <c r="CF4765" s="4"/>
    </row>
    <row r="4766" spans="66:84">
      <c r="BN4766" s="4"/>
      <c r="BO4766" s="4"/>
      <c r="BQ4766" s="4"/>
      <c r="CC4766" s="4"/>
      <c r="CD4766" s="4"/>
      <c r="CF4766" s="4"/>
    </row>
    <row r="4767" spans="66:84">
      <c r="BN4767" s="4"/>
      <c r="BO4767" s="4"/>
      <c r="BQ4767" s="4"/>
      <c r="CC4767" s="4"/>
      <c r="CD4767" s="4"/>
      <c r="CF4767" s="4"/>
    </row>
    <row r="4768" spans="66:84">
      <c r="BN4768" s="4"/>
      <c r="BO4768" s="4"/>
      <c r="BQ4768" s="4"/>
      <c r="CC4768" s="4"/>
      <c r="CD4768" s="4"/>
      <c r="CF4768" s="4"/>
    </row>
    <row r="4769" spans="66:84">
      <c r="BN4769" s="4"/>
      <c r="BO4769" s="4"/>
      <c r="BQ4769" s="4"/>
      <c r="CC4769" s="4"/>
      <c r="CD4769" s="4"/>
      <c r="CF4769" s="4"/>
    </row>
    <row r="4770" spans="66:84">
      <c r="BN4770" s="4"/>
      <c r="BO4770" s="4"/>
      <c r="BQ4770" s="4"/>
      <c r="CC4770" s="4"/>
      <c r="CD4770" s="4"/>
      <c r="CF4770" s="4"/>
    </row>
    <row r="4771" spans="66:84">
      <c r="BN4771" s="4"/>
      <c r="BO4771" s="4"/>
      <c r="BQ4771" s="4"/>
      <c r="CC4771" s="4"/>
      <c r="CD4771" s="4"/>
      <c r="CF4771" s="4"/>
    </row>
    <row r="4772" spans="66:84">
      <c r="BN4772" s="4"/>
      <c r="BO4772" s="4"/>
      <c r="BQ4772" s="4"/>
      <c r="CC4772" s="4"/>
      <c r="CD4772" s="4"/>
      <c r="CF4772" s="4"/>
    </row>
    <row r="4773" spans="66:84">
      <c r="BN4773" s="4"/>
      <c r="BO4773" s="4"/>
      <c r="BQ4773" s="4"/>
      <c r="CC4773" s="4"/>
      <c r="CD4773" s="4"/>
      <c r="CF4773" s="4"/>
    </row>
    <row r="4774" spans="66:84">
      <c r="BN4774" s="4"/>
      <c r="BO4774" s="4"/>
      <c r="BQ4774" s="4"/>
      <c r="CC4774" s="4"/>
      <c r="CD4774" s="4"/>
      <c r="CF4774" s="4"/>
    </row>
    <row r="4775" spans="66:84">
      <c r="BN4775" s="4"/>
      <c r="BO4775" s="4"/>
      <c r="BQ4775" s="4"/>
      <c r="CC4775" s="4"/>
      <c r="CD4775" s="4"/>
      <c r="CF4775" s="4"/>
    </row>
    <row r="4776" spans="66:84">
      <c r="BN4776" s="4"/>
      <c r="BO4776" s="4"/>
      <c r="BQ4776" s="4"/>
      <c r="CC4776" s="4"/>
      <c r="CD4776" s="4"/>
      <c r="CF4776" s="4"/>
    </row>
    <row r="4777" spans="66:84">
      <c r="BN4777" s="4"/>
      <c r="BO4777" s="4"/>
      <c r="BQ4777" s="4"/>
      <c r="CC4777" s="4"/>
      <c r="CD4777" s="4"/>
      <c r="CF4777" s="4"/>
    </row>
    <row r="4778" spans="66:84">
      <c r="BN4778" s="4"/>
      <c r="BO4778" s="4"/>
      <c r="BQ4778" s="4"/>
      <c r="CC4778" s="4"/>
      <c r="CD4778" s="4"/>
      <c r="CF4778" s="4"/>
    </row>
    <row r="4779" spans="66:84">
      <c r="BN4779" s="4"/>
      <c r="BO4779" s="4"/>
      <c r="BQ4779" s="4"/>
      <c r="CC4779" s="4"/>
      <c r="CD4779" s="4"/>
      <c r="CF4779" s="4"/>
    </row>
    <row r="4780" spans="66:84">
      <c r="BN4780" s="4"/>
      <c r="BO4780" s="4"/>
      <c r="BQ4780" s="4"/>
      <c r="CC4780" s="4"/>
      <c r="CD4780" s="4"/>
      <c r="CF4780" s="4"/>
    </row>
    <row r="4781" spans="66:84">
      <c r="BN4781" s="4"/>
      <c r="BO4781" s="4"/>
      <c r="BQ4781" s="4"/>
      <c r="CC4781" s="4"/>
      <c r="CD4781" s="4"/>
      <c r="CF4781" s="4"/>
    </row>
    <row r="4782" spans="66:84">
      <c r="BN4782" s="4"/>
      <c r="BO4782" s="4"/>
      <c r="BQ4782" s="4"/>
      <c r="CC4782" s="4"/>
      <c r="CD4782" s="4"/>
      <c r="CF4782" s="4"/>
    </row>
    <row r="4783" spans="66:84">
      <c r="BN4783" s="4"/>
      <c r="BO4783" s="4"/>
      <c r="BQ4783" s="4"/>
      <c r="CC4783" s="4"/>
      <c r="CD4783" s="4"/>
      <c r="CF4783" s="4"/>
    </row>
    <row r="4784" spans="66:84">
      <c r="BN4784" s="4"/>
      <c r="BO4784" s="4"/>
      <c r="BQ4784" s="4"/>
      <c r="CC4784" s="4"/>
      <c r="CD4784" s="4"/>
      <c r="CF4784" s="4"/>
    </row>
    <row r="4785" spans="66:84">
      <c r="BN4785" s="4"/>
      <c r="BO4785" s="4"/>
      <c r="BQ4785" s="4"/>
      <c r="CC4785" s="4"/>
      <c r="CD4785" s="4"/>
      <c r="CF4785" s="4"/>
    </row>
    <row r="4786" spans="66:84">
      <c r="BN4786" s="4"/>
      <c r="BO4786" s="4"/>
      <c r="BQ4786" s="4"/>
      <c r="CC4786" s="4"/>
      <c r="CD4786" s="4"/>
      <c r="CF4786" s="4"/>
    </row>
    <row r="4787" spans="66:84">
      <c r="BN4787" s="4"/>
      <c r="BO4787" s="4"/>
      <c r="BQ4787" s="4"/>
      <c r="CC4787" s="4"/>
      <c r="CD4787" s="4"/>
      <c r="CF4787" s="4"/>
    </row>
    <row r="4788" spans="66:84">
      <c r="BN4788" s="4"/>
      <c r="BO4788" s="4"/>
      <c r="BQ4788" s="4"/>
      <c r="CC4788" s="4"/>
      <c r="CD4788" s="4"/>
      <c r="CF4788" s="4"/>
    </row>
    <row r="4789" spans="66:84">
      <c r="BN4789" s="4"/>
      <c r="BO4789" s="4"/>
      <c r="BQ4789" s="4"/>
      <c r="CC4789" s="4"/>
      <c r="CD4789" s="4"/>
      <c r="CF4789" s="4"/>
    </row>
    <row r="4790" spans="66:84">
      <c r="BN4790" s="4"/>
      <c r="BO4790" s="4"/>
      <c r="BQ4790" s="4"/>
      <c r="CC4790" s="4"/>
      <c r="CD4790" s="4"/>
      <c r="CF4790" s="4"/>
    </row>
    <row r="4791" spans="66:84">
      <c r="BN4791" s="4"/>
      <c r="BO4791" s="4"/>
      <c r="BQ4791" s="4"/>
      <c r="CC4791" s="4"/>
      <c r="CD4791" s="4"/>
      <c r="CF4791" s="4"/>
    </row>
    <row r="4792" spans="66:84">
      <c r="BN4792" s="4"/>
      <c r="BO4792" s="4"/>
      <c r="BQ4792" s="4"/>
      <c r="CC4792" s="4"/>
      <c r="CD4792" s="4"/>
      <c r="CF4792" s="4"/>
    </row>
    <row r="4793" spans="66:84">
      <c r="BN4793" s="4"/>
      <c r="BO4793" s="4"/>
      <c r="BQ4793" s="4"/>
      <c r="CC4793" s="4"/>
      <c r="CD4793" s="4"/>
      <c r="CF4793" s="4"/>
    </row>
    <row r="4794" spans="66:84">
      <c r="BN4794" s="4"/>
      <c r="BO4794" s="4"/>
      <c r="BQ4794" s="4"/>
      <c r="CC4794" s="4"/>
      <c r="CD4794" s="4"/>
      <c r="CF4794" s="4"/>
    </row>
    <row r="4795" spans="66:84">
      <c r="BN4795" s="4"/>
      <c r="BO4795" s="4"/>
      <c r="BQ4795" s="4"/>
      <c r="CC4795" s="4"/>
      <c r="CD4795" s="4"/>
      <c r="CF4795" s="4"/>
    </row>
    <row r="4796" spans="66:84">
      <c r="BN4796" s="4"/>
      <c r="BO4796" s="4"/>
      <c r="BQ4796" s="4"/>
      <c r="CC4796" s="4"/>
      <c r="CD4796" s="4"/>
      <c r="CF4796" s="4"/>
    </row>
    <row r="4797" spans="66:84">
      <c r="BN4797" s="4"/>
      <c r="BO4797" s="4"/>
      <c r="BQ4797" s="4"/>
      <c r="CC4797" s="4"/>
      <c r="CD4797" s="4"/>
      <c r="CF4797" s="4"/>
    </row>
    <row r="4798" spans="66:84">
      <c r="BN4798" s="4"/>
      <c r="BO4798" s="4"/>
      <c r="BQ4798" s="4"/>
      <c r="CC4798" s="4"/>
      <c r="CD4798" s="4"/>
      <c r="CF4798" s="4"/>
    </row>
    <row r="4799" spans="66:84">
      <c r="BN4799" s="4"/>
      <c r="BO4799" s="4"/>
      <c r="BQ4799" s="4"/>
      <c r="CC4799" s="4"/>
      <c r="CD4799" s="4"/>
      <c r="CF4799" s="4"/>
    </row>
    <row r="4800" spans="66:84">
      <c r="BN4800" s="4"/>
      <c r="BO4800" s="4"/>
      <c r="BQ4800" s="4"/>
      <c r="CC4800" s="4"/>
      <c r="CD4800" s="4"/>
      <c r="CF4800" s="4"/>
    </row>
    <row r="4801" spans="66:84">
      <c r="BN4801" s="4"/>
      <c r="BO4801" s="4"/>
      <c r="BQ4801" s="4"/>
      <c r="CC4801" s="4"/>
      <c r="CD4801" s="4"/>
      <c r="CF4801" s="4"/>
    </row>
    <row r="4802" spans="66:84">
      <c r="BN4802" s="4"/>
      <c r="BO4802" s="4"/>
      <c r="BQ4802" s="4"/>
      <c r="CC4802" s="4"/>
      <c r="CD4802" s="4"/>
      <c r="CF4802" s="4"/>
    </row>
    <row r="4803" spans="66:84">
      <c r="BN4803" s="4"/>
      <c r="BO4803" s="4"/>
      <c r="BQ4803" s="4"/>
      <c r="CC4803" s="4"/>
      <c r="CD4803" s="4"/>
      <c r="CF4803" s="4"/>
    </row>
    <row r="4804" spans="66:84">
      <c r="BN4804" s="4"/>
      <c r="BO4804" s="4"/>
      <c r="BQ4804" s="4"/>
      <c r="CC4804" s="4"/>
      <c r="CD4804" s="4"/>
      <c r="CF4804" s="4"/>
    </row>
    <row r="4805" spans="66:84">
      <c r="BN4805" s="4"/>
      <c r="BO4805" s="4"/>
      <c r="BQ4805" s="4"/>
      <c r="CC4805" s="4"/>
      <c r="CD4805" s="4"/>
      <c r="CF4805" s="4"/>
    </row>
    <row r="4806" spans="66:84">
      <c r="BN4806" s="4"/>
      <c r="BO4806" s="4"/>
      <c r="BQ4806" s="4"/>
      <c r="CC4806" s="4"/>
      <c r="CD4806" s="4"/>
      <c r="CF4806" s="4"/>
    </row>
    <row r="4807" spans="66:84">
      <c r="BN4807" s="4"/>
      <c r="BO4807" s="4"/>
      <c r="BQ4807" s="4"/>
      <c r="CC4807" s="4"/>
      <c r="CD4807" s="4"/>
      <c r="CF4807" s="4"/>
    </row>
    <row r="4808" spans="66:84">
      <c r="BN4808" s="4"/>
      <c r="BO4808" s="4"/>
      <c r="BQ4808" s="4"/>
      <c r="CC4808" s="4"/>
      <c r="CD4808" s="4"/>
      <c r="CF4808" s="4"/>
    </row>
    <row r="4809" spans="66:84">
      <c r="BN4809" s="4"/>
      <c r="BO4809" s="4"/>
      <c r="BQ4809" s="4"/>
      <c r="CC4809" s="4"/>
      <c r="CD4809" s="4"/>
      <c r="CF4809" s="4"/>
    </row>
    <row r="4810" spans="66:84">
      <c r="BN4810" s="4"/>
      <c r="BO4810" s="4"/>
      <c r="BQ4810" s="4"/>
      <c r="CC4810" s="4"/>
      <c r="CD4810" s="4"/>
      <c r="CF4810" s="4"/>
    </row>
    <row r="4811" spans="66:84">
      <c r="BN4811" s="4"/>
      <c r="BO4811" s="4"/>
      <c r="BQ4811" s="4"/>
      <c r="CC4811" s="4"/>
      <c r="CD4811" s="4"/>
      <c r="CF4811" s="4"/>
    </row>
    <row r="4812" spans="66:84">
      <c r="BN4812" s="4"/>
      <c r="BO4812" s="4"/>
      <c r="BQ4812" s="4"/>
      <c r="CC4812" s="4"/>
      <c r="CD4812" s="4"/>
      <c r="CF4812" s="4"/>
    </row>
    <row r="4813" spans="66:84">
      <c r="BN4813" s="4"/>
      <c r="BO4813" s="4"/>
      <c r="BQ4813" s="4"/>
      <c r="CC4813" s="4"/>
      <c r="CD4813" s="4"/>
      <c r="CF4813" s="4"/>
    </row>
    <row r="4814" spans="66:84">
      <c r="BN4814" s="4"/>
      <c r="BO4814" s="4"/>
      <c r="BQ4814" s="4"/>
      <c r="CC4814" s="4"/>
      <c r="CD4814" s="4"/>
      <c r="CF4814" s="4"/>
    </row>
    <row r="4815" spans="66:84">
      <c r="BN4815" s="4"/>
      <c r="BO4815" s="4"/>
      <c r="BQ4815" s="4"/>
      <c r="CC4815" s="4"/>
      <c r="CD4815" s="4"/>
      <c r="CF4815" s="4"/>
    </row>
    <row r="4816" spans="66:84">
      <c r="BN4816" s="4"/>
      <c r="BO4816" s="4"/>
      <c r="BQ4816" s="4"/>
      <c r="CC4816" s="4"/>
      <c r="CD4816" s="4"/>
      <c r="CF4816" s="4"/>
    </row>
    <row r="4817" spans="66:84">
      <c r="BN4817" s="4"/>
      <c r="BO4817" s="4"/>
      <c r="BQ4817" s="4"/>
      <c r="CC4817" s="4"/>
      <c r="CD4817" s="4"/>
      <c r="CF4817" s="4"/>
    </row>
    <row r="4818" spans="66:84">
      <c r="BN4818" s="4"/>
      <c r="BO4818" s="4"/>
      <c r="BQ4818" s="4"/>
      <c r="CC4818" s="4"/>
      <c r="CD4818" s="4"/>
      <c r="CF4818" s="4"/>
    </row>
    <row r="4819" spans="66:84">
      <c r="BN4819" s="4"/>
      <c r="BO4819" s="4"/>
      <c r="BQ4819" s="4"/>
      <c r="CC4819" s="4"/>
      <c r="CD4819" s="4"/>
      <c r="CF4819" s="4"/>
    </row>
    <row r="4820" spans="66:84">
      <c r="BN4820" s="4"/>
      <c r="BO4820" s="4"/>
      <c r="BQ4820" s="4"/>
      <c r="CC4820" s="4"/>
      <c r="CD4820" s="4"/>
      <c r="CF4820" s="4"/>
    </row>
    <row r="4821" spans="66:84">
      <c r="BN4821" s="4"/>
      <c r="BO4821" s="4"/>
      <c r="BQ4821" s="4"/>
      <c r="CC4821" s="4"/>
      <c r="CD4821" s="4"/>
      <c r="CF4821" s="4"/>
    </row>
    <row r="4822" spans="66:84">
      <c r="BN4822" s="4"/>
      <c r="BO4822" s="4"/>
      <c r="BQ4822" s="4"/>
      <c r="CC4822" s="4"/>
      <c r="CD4822" s="4"/>
      <c r="CF4822" s="4"/>
    </row>
    <row r="4823" spans="66:84">
      <c r="BN4823" s="4"/>
      <c r="BO4823" s="4"/>
      <c r="BQ4823" s="4"/>
      <c r="CC4823" s="4"/>
      <c r="CD4823" s="4"/>
      <c r="CF4823" s="4"/>
    </row>
    <row r="4824" spans="66:84">
      <c r="BN4824" s="4"/>
      <c r="BO4824" s="4"/>
      <c r="BQ4824" s="4"/>
      <c r="CC4824" s="4"/>
      <c r="CD4824" s="4"/>
      <c r="CF4824" s="4"/>
    </row>
    <row r="4825" spans="66:84">
      <c r="BN4825" s="4"/>
      <c r="BO4825" s="4"/>
      <c r="BQ4825" s="4"/>
      <c r="CC4825" s="4"/>
      <c r="CD4825" s="4"/>
      <c r="CF4825" s="4"/>
    </row>
    <row r="4826" spans="66:84">
      <c r="BN4826" s="4"/>
      <c r="BO4826" s="4"/>
      <c r="BQ4826" s="4"/>
      <c r="CC4826" s="4"/>
      <c r="CD4826" s="4"/>
      <c r="CF4826" s="4"/>
    </row>
    <row r="4827" spans="66:84">
      <c r="BN4827" s="4"/>
      <c r="BO4827" s="4"/>
      <c r="BQ4827" s="4"/>
      <c r="CC4827" s="4"/>
      <c r="CD4827" s="4"/>
      <c r="CF4827" s="4"/>
    </row>
    <row r="4828" spans="66:84">
      <c r="BN4828" s="4"/>
      <c r="BO4828" s="4"/>
      <c r="BQ4828" s="4"/>
      <c r="CC4828" s="4"/>
      <c r="CD4828" s="4"/>
      <c r="CF4828" s="4"/>
    </row>
    <row r="4829" spans="66:84">
      <c r="BN4829" s="4"/>
      <c r="BO4829" s="4"/>
      <c r="BQ4829" s="4"/>
      <c r="CC4829" s="4"/>
      <c r="CD4829" s="4"/>
      <c r="CF4829" s="4"/>
    </row>
    <row r="4830" spans="66:84">
      <c r="BN4830" s="4"/>
      <c r="BO4830" s="4"/>
      <c r="BQ4830" s="4"/>
      <c r="CC4830" s="4"/>
      <c r="CD4830" s="4"/>
      <c r="CF4830" s="4"/>
    </row>
    <row r="4831" spans="66:84">
      <c r="BN4831" s="4"/>
      <c r="BO4831" s="4"/>
      <c r="BQ4831" s="4"/>
      <c r="CC4831" s="4"/>
      <c r="CD4831" s="4"/>
      <c r="CF4831" s="4"/>
    </row>
    <row r="4832" spans="66:84">
      <c r="BN4832" s="4"/>
      <c r="BO4832" s="4"/>
      <c r="BQ4832" s="4"/>
      <c r="CC4832" s="4"/>
      <c r="CD4832" s="4"/>
      <c r="CF4832" s="4"/>
    </row>
    <row r="4833" spans="66:84">
      <c r="BN4833" s="4"/>
      <c r="BO4833" s="4"/>
      <c r="BQ4833" s="4"/>
      <c r="CC4833" s="4"/>
      <c r="CD4833" s="4"/>
      <c r="CF4833" s="4"/>
    </row>
    <row r="4834" spans="66:84">
      <c r="BN4834" s="4"/>
      <c r="BO4834" s="4"/>
      <c r="BQ4834" s="4"/>
      <c r="CC4834" s="4"/>
      <c r="CD4834" s="4"/>
      <c r="CF4834" s="4"/>
    </row>
    <row r="4835" spans="66:84">
      <c r="BN4835" s="4"/>
      <c r="BO4835" s="4"/>
      <c r="BQ4835" s="4"/>
      <c r="CC4835" s="4"/>
      <c r="CD4835" s="4"/>
      <c r="CF4835" s="4"/>
    </row>
    <row r="4836" spans="66:84">
      <c r="BN4836" s="4"/>
      <c r="BO4836" s="4"/>
      <c r="BQ4836" s="4"/>
      <c r="CC4836" s="4"/>
      <c r="CD4836" s="4"/>
      <c r="CF4836" s="4"/>
    </row>
    <row r="4837" spans="66:84">
      <c r="BN4837" s="4"/>
      <c r="BO4837" s="4"/>
      <c r="BQ4837" s="4"/>
      <c r="CC4837" s="4"/>
      <c r="CD4837" s="4"/>
      <c r="CF4837" s="4"/>
    </row>
    <row r="4838" spans="66:84">
      <c r="BN4838" s="4"/>
      <c r="BO4838" s="4"/>
      <c r="BQ4838" s="4"/>
      <c r="CC4838" s="4"/>
      <c r="CD4838" s="4"/>
      <c r="CF4838" s="4"/>
    </row>
    <row r="4839" spans="66:84">
      <c r="BN4839" s="4"/>
      <c r="BO4839" s="4"/>
      <c r="BQ4839" s="4"/>
      <c r="CC4839" s="4"/>
      <c r="CD4839" s="4"/>
      <c r="CF4839" s="4"/>
    </row>
    <row r="4840" spans="66:84">
      <c r="BN4840" s="4"/>
      <c r="BO4840" s="4"/>
      <c r="BQ4840" s="4"/>
      <c r="CC4840" s="4"/>
      <c r="CD4840" s="4"/>
      <c r="CF4840" s="4"/>
    </row>
    <row r="4841" spans="66:84">
      <c r="BN4841" s="4"/>
      <c r="BO4841" s="4"/>
      <c r="BQ4841" s="4"/>
      <c r="CC4841" s="4"/>
      <c r="CD4841" s="4"/>
      <c r="CF4841" s="4"/>
    </row>
    <row r="4842" spans="66:84">
      <c r="BN4842" s="4"/>
      <c r="BO4842" s="4"/>
      <c r="BQ4842" s="4"/>
      <c r="CC4842" s="4"/>
      <c r="CD4842" s="4"/>
      <c r="CF4842" s="4"/>
    </row>
    <row r="4843" spans="66:84">
      <c r="BN4843" s="4"/>
      <c r="BO4843" s="4"/>
      <c r="BQ4843" s="4"/>
      <c r="CC4843" s="4"/>
      <c r="CD4843" s="4"/>
      <c r="CF4843" s="4"/>
    </row>
    <row r="4844" spans="66:84">
      <c r="BN4844" s="4"/>
      <c r="BO4844" s="4"/>
      <c r="BQ4844" s="4"/>
      <c r="CC4844" s="4"/>
      <c r="CD4844" s="4"/>
      <c r="CF4844" s="4"/>
    </row>
    <row r="4845" spans="66:84">
      <c r="BN4845" s="4"/>
      <c r="BO4845" s="4"/>
      <c r="BQ4845" s="4"/>
      <c r="CC4845" s="4"/>
      <c r="CD4845" s="4"/>
      <c r="CF4845" s="4"/>
    </row>
    <row r="4846" spans="66:84">
      <c r="BN4846" s="4"/>
      <c r="BO4846" s="4"/>
      <c r="BQ4846" s="4"/>
      <c r="CC4846" s="4"/>
      <c r="CD4846" s="4"/>
      <c r="CF4846" s="4"/>
    </row>
    <row r="4847" spans="66:84">
      <c r="BN4847" s="4"/>
      <c r="BO4847" s="4"/>
      <c r="BQ4847" s="4"/>
      <c r="CC4847" s="4"/>
      <c r="CD4847" s="4"/>
      <c r="CF4847" s="4"/>
    </row>
    <row r="4848" spans="66:84">
      <c r="BN4848" s="4"/>
      <c r="BO4848" s="4"/>
      <c r="BQ4848" s="4"/>
      <c r="CC4848" s="4"/>
      <c r="CD4848" s="4"/>
      <c r="CF4848" s="4"/>
    </row>
    <row r="4849" spans="66:84">
      <c r="BN4849" s="4"/>
      <c r="BO4849" s="4"/>
      <c r="BQ4849" s="4"/>
      <c r="CC4849" s="4"/>
      <c r="CD4849" s="4"/>
      <c r="CF4849" s="4"/>
    </row>
    <row r="4850" spans="66:84">
      <c r="BN4850" s="4"/>
      <c r="BO4850" s="4"/>
      <c r="BQ4850" s="4"/>
      <c r="CC4850" s="4"/>
      <c r="CD4850" s="4"/>
      <c r="CF4850" s="4"/>
    </row>
    <row r="4851" spans="66:84">
      <c r="BN4851" s="4"/>
      <c r="BO4851" s="4"/>
      <c r="BQ4851" s="4"/>
      <c r="CC4851" s="4"/>
      <c r="CD4851" s="4"/>
      <c r="CF4851" s="4"/>
    </row>
    <row r="4852" spans="66:84">
      <c r="BN4852" s="4"/>
      <c r="BO4852" s="4"/>
      <c r="BQ4852" s="4"/>
      <c r="CC4852" s="4"/>
      <c r="CD4852" s="4"/>
      <c r="CF4852" s="4"/>
    </row>
    <row r="4853" spans="66:84">
      <c r="BN4853" s="4"/>
      <c r="BO4853" s="4"/>
      <c r="BQ4853" s="4"/>
      <c r="CC4853" s="4"/>
      <c r="CD4853" s="4"/>
      <c r="CF4853" s="4"/>
    </row>
    <row r="4854" spans="66:84">
      <c r="BN4854" s="4"/>
      <c r="BO4854" s="4"/>
      <c r="BQ4854" s="4"/>
      <c r="CC4854" s="4"/>
      <c r="CD4854" s="4"/>
      <c r="CF4854" s="4"/>
    </row>
    <row r="4855" spans="66:84">
      <c r="BN4855" s="4"/>
      <c r="BO4855" s="4"/>
      <c r="BQ4855" s="4"/>
      <c r="CC4855" s="4"/>
      <c r="CD4855" s="4"/>
      <c r="CF4855" s="4"/>
    </row>
    <row r="4856" spans="66:84">
      <c r="BN4856" s="4"/>
      <c r="BO4856" s="4"/>
      <c r="BQ4856" s="4"/>
      <c r="CC4856" s="4"/>
      <c r="CD4856" s="4"/>
      <c r="CF4856" s="4"/>
    </row>
    <row r="4857" spans="66:84">
      <c r="BN4857" s="4"/>
      <c r="BO4857" s="4"/>
      <c r="BQ4857" s="4"/>
      <c r="CC4857" s="4"/>
      <c r="CD4857" s="4"/>
      <c r="CF4857" s="4"/>
    </row>
    <row r="4858" spans="66:84">
      <c r="BN4858" s="4"/>
      <c r="BO4858" s="4"/>
      <c r="BQ4858" s="4"/>
      <c r="CC4858" s="4"/>
      <c r="CD4858" s="4"/>
      <c r="CF4858" s="4"/>
    </row>
    <row r="4859" spans="66:84">
      <c r="BN4859" s="4"/>
      <c r="BO4859" s="4"/>
      <c r="BQ4859" s="4"/>
      <c r="CC4859" s="4"/>
      <c r="CD4859" s="4"/>
      <c r="CF4859" s="4"/>
    </row>
    <row r="4860" spans="66:84">
      <c r="BN4860" s="4"/>
      <c r="BO4860" s="4"/>
      <c r="BQ4860" s="4"/>
      <c r="CC4860" s="4"/>
      <c r="CD4860" s="4"/>
      <c r="CF4860" s="4"/>
    </row>
    <row r="4861" spans="66:84">
      <c r="BN4861" s="4"/>
      <c r="BO4861" s="4"/>
      <c r="BQ4861" s="4"/>
      <c r="CC4861" s="4"/>
      <c r="CD4861" s="4"/>
      <c r="CF4861" s="4"/>
    </row>
    <row r="4862" spans="66:84">
      <c r="BN4862" s="4"/>
      <c r="BO4862" s="4"/>
      <c r="BQ4862" s="4"/>
      <c r="CC4862" s="4"/>
      <c r="CD4862" s="4"/>
      <c r="CF4862" s="4"/>
    </row>
    <row r="4863" spans="66:84">
      <c r="BN4863" s="4"/>
      <c r="BO4863" s="4"/>
      <c r="BQ4863" s="4"/>
      <c r="CC4863" s="4"/>
      <c r="CD4863" s="4"/>
      <c r="CF4863" s="4"/>
    </row>
    <row r="4864" spans="66:84">
      <c r="BN4864" s="4"/>
      <c r="BO4864" s="4"/>
      <c r="BQ4864" s="4"/>
      <c r="CC4864" s="4"/>
      <c r="CD4864" s="4"/>
      <c r="CF4864" s="4"/>
    </row>
    <row r="4865" spans="66:84">
      <c r="BN4865" s="4"/>
      <c r="BO4865" s="4"/>
      <c r="BQ4865" s="4"/>
      <c r="CC4865" s="4"/>
      <c r="CD4865" s="4"/>
      <c r="CF4865" s="4"/>
    </row>
    <row r="4866" spans="66:84">
      <c r="BN4866" s="4"/>
      <c r="BO4866" s="4"/>
      <c r="BQ4866" s="4"/>
      <c r="CC4866" s="4"/>
      <c r="CD4866" s="4"/>
      <c r="CF4866" s="4"/>
    </row>
    <row r="4867" spans="66:84">
      <c r="BN4867" s="4"/>
      <c r="BO4867" s="4"/>
      <c r="BQ4867" s="4"/>
      <c r="CC4867" s="4"/>
      <c r="CD4867" s="4"/>
      <c r="CF4867" s="4"/>
    </row>
    <row r="4868" spans="66:84">
      <c r="BN4868" s="4"/>
      <c r="BO4868" s="4"/>
      <c r="BQ4868" s="4"/>
      <c r="CC4868" s="4"/>
      <c r="CD4868" s="4"/>
      <c r="CF4868" s="4"/>
    </row>
    <row r="4869" spans="66:84">
      <c r="BN4869" s="4"/>
      <c r="BO4869" s="4"/>
      <c r="BQ4869" s="4"/>
      <c r="CC4869" s="4"/>
      <c r="CD4869" s="4"/>
      <c r="CF4869" s="4"/>
    </row>
    <row r="4870" spans="66:84">
      <c r="BN4870" s="4"/>
      <c r="BO4870" s="4"/>
      <c r="BQ4870" s="4"/>
      <c r="CC4870" s="4"/>
      <c r="CD4870" s="4"/>
      <c r="CF4870" s="4"/>
    </row>
    <row r="4871" spans="66:84">
      <c r="BN4871" s="4"/>
      <c r="BO4871" s="4"/>
      <c r="BQ4871" s="4"/>
      <c r="CC4871" s="4"/>
      <c r="CD4871" s="4"/>
      <c r="CF4871" s="4"/>
    </row>
    <row r="4872" spans="66:84">
      <c r="BN4872" s="4"/>
      <c r="BO4872" s="4"/>
      <c r="BQ4872" s="4"/>
      <c r="CC4872" s="4"/>
      <c r="CD4872" s="4"/>
      <c r="CF4872" s="4"/>
    </row>
    <row r="4873" spans="66:84">
      <c r="BN4873" s="4"/>
      <c r="BO4873" s="4"/>
      <c r="BQ4873" s="4"/>
      <c r="CC4873" s="4"/>
      <c r="CD4873" s="4"/>
      <c r="CF4873" s="4"/>
    </row>
    <row r="4874" spans="66:84">
      <c r="BN4874" s="4"/>
      <c r="BO4874" s="4"/>
      <c r="BQ4874" s="4"/>
      <c r="CC4874" s="4"/>
      <c r="CD4874" s="4"/>
      <c r="CF4874" s="4"/>
    </row>
    <row r="4875" spans="66:84">
      <c r="BN4875" s="4"/>
      <c r="BO4875" s="4"/>
      <c r="BQ4875" s="4"/>
      <c r="CC4875" s="4"/>
      <c r="CD4875" s="4"/>
      <c r="CF4875" s="4"/>
    </row>
    <row r="4876" spans="66:84">
      <c r="BN4876" s="4"/>
      <c r="BO4876" s="4"/>
      <c r="BQ4876" s="4"/>
      <c r="CC4876" s="4"/>
      <c r="CD4876" s="4"/>
      <c r="CF4876" s="4"/>
    </row>
    <row r="4877" spans="66:84">
      <c r="BN4877" s="4"/>
      <c r="BO4877" s="4"/>
      <c r="BQ4877" s="4"/>
      <c r="CC4877" s="4"/>
      <c r="CD4877" s="4"/>
      <c r="CF4877" s="4"/>
    </row>
    <row r="4878" spans="66:84">
      <c r="BN4878" s="4"/>
      <c r="BO4878" s="4"/>
      <c r="BQ4878" s="4"/>
      <c r="CC4878" s="4"/>
      <c r="CD4878" s="4"/>
      <c r="CF4878" s="4"/>
    </row>
    <row r="4879" spans="66:84">
      <c r="BN4879" s="4"/>
      <c r="BO4879" s="4"/>
      <c r="BQ4879" s="4"/>
      <c r="CC4879" s="4"/>
      <c r="CD4879" s="4"/>
      <c r="CF4879" s="4"/>
    </row>
    <row r="4880" spans="66:84">
      <c r="BN4880" s="4"/>
      <c r="BO4880" s="4"/>
      <c r="BQ4880" s="4"/>
      <c r="CC4880" s="4"/>
      <c r="CD4880" s="4"/>
      <c r="CF4880" s="4"/>
    </row>
    <row r="4881" spans="66:84">
      <c r="BN4881" s="4"/>
      <c r="BO4881" s="4"/>
      <c r="BQ4881" s="4"/>
      <c r="CC4881" s="4"/>
      <c r="CD4881" s="4"/>
      <c r="CF4881" s="4"/>
    </row>
    <row r="4882" spans="66:84">
      <c r="BN4882" s="4"/>
      <c r="BO4882" s="4"/>
      <c r="BQ4882" s="4"/>
      <c r="CC4882" s="4"/>
      <c r="CD4882" s="4"/>
      <c r="CF4882" s="4"/>
    </row>
    <row r="4883" spans="66:84">
      <c r="BN4883" s="4"/>
      <c r="BO4883" s="4"/>
      <c r="BQ4883" s="4"/>
      <c r="CC4883" s="4"/>
      <c r="CD4883" s="4"/>
      <c r="CF4883" s="4"/>
    </row>
    <row r="4884" spans="66:84">
      <c r="BN4884" s="4"/>
      <c r="BO4884" s="4"/>
      <c r="BQ4884" s="4"/>
      <c r="CC4884" s="4"/>
      <c r="CD4884" s="4"/>
      <c r="CF4884" s="4"/>
    </row>
    <row r="4885" spans="66:84">
      <c r="BN4885" s="4"/>
      <c r="BO4885" s="4"/>
      <c r="BQ4885" s="4"/>
      <c r="CC4885" s="4"/>
      <c r="CD4885" s="4"/>
      <c r="CF4885" s="4"/>
    </row>
    <row r="4886" spans="66:84">
      <c r="BN4886" s="4"/>
      <c r="BO4886" s="4"/>
      <c r="BQ4886" s="4"/>
      <c r="CC4886" s="4"/>
      <c r="CD4886" s="4"/>
      <c r="CF4886" s="4"/>
    </row>
    <row r="4887" spans="66:84">
      <c r="BN4887" s="4"/>
      <c r="BO4887" s="4"/>
      <c r="BQ4887" s="4"/>
      <c r="CC4887" s="4"/>
      <c r="CD4887" s="4"/>
      <c r="CF4887" s="4"/>
    </row>
    <row r="4888" spans="66:84">
      <c r="BN4888" s="4"/>
      <c r="BO4888" s="4"/>
      <c r="BQ4888" s="4"/>
      <c r="CC4888" s="4"/>
      <c r="CD4888" s="4"/>
      <c r="CF4888" s="4"/>
    </row>
    <row r="4889" spans="66:84">
      <c r="BN4889" s="4"/>
      <c r="BO4889" s="4"/>
      <c r="BQ4889" s="4"/>
      <c r="CC4889" s="4"/>
      <c r="CD4889" s="4"/>
      <c r="CF4889" s="4"/>
    </row>
    <row r="4890" spans="66:84">
      <c r="BN4890" s="4"/>
      <c r="BO4890" s="4"/>
      <c r="BQ4890" s="4"/>
      <c r="CC4890" s="4"/>
      <c r="CD4890" s="4"/>
      <c r="CF4890" s="4"/>
    </row>
    <row r="4891" spans="66:84">
      <c r="BN4891" s="4"/>
      <c r="BO4891" s="4"/>
      <c r="BQ4891" s="4"/>
      <c r="CC4891" s="4"/>
      <c r="CD4891" s="4"/>
      <c r="CF4891" s="4"/>
    </row>
    <row r="4892" spans="66:84">
      <c r="BN4892" s="4"/>
      <c r="BO4892" s="4"/>
      <c r="BQ4892" s="4"/>
      <c r="CC4892" s="4"/>
      <c r="CD4892" s="4"/>
      <c r="CF4892" s="4"/>
    </row>
    <row r="4893" spans="66:84">
      <c r="BN4893" s="4"/>
      <c r="BO4893" s="4"/>
      <c r="BQ4893" s="4"/>
      <c r="CC4893" s="4"/>
      <c r="CD4893" s="4"/>
      <c r="CF4893" s="4"/>
    </row>
    <row r="4894" spans="66:84">
      <c r="BN4894" s="4"/>
      <c r="BO4894" s="4"/>
      <c r="BQ4894" s="4"/>
      <c r="CC4894" s="4"/>
      <c r="CD4894" s="4"/>
      <c r="CF4894" s="4"/>
    </row>
    <row r="4895" spans="66:84">
      <c r="BN4895" s="4"/>
      <c r="BO4895" s="4"/>
      <c r="BQ4895" s="4"/>
      <c r="CC4895" s="4"/>
      <c r="CD4895" s="4"/>
      <c r="CF4895" s="4"/>
    </row>
    <row r="4896" spans="66:84">
      <c r="BN4896" s="4"/>
      <c r="BO4896" s="4"/>
      <c r="BQ4896" s="4"/>
      <c r="CC4896" s="4"/>
      <c r="CD4896" s="4"/>
      <c r="CF4896" s="4"/>
    </row>
    <row r="4897" spans="66:84">
      <c r="BN4897" s="4"/>
      <c r="BO4897" s="4"/>
      <c r="BQ4897" s="4"/>
      <c r="CC4897" s="4"/>
      <c r="CD4897" s="4"/>
      <c r="CF4897" s="4"/>
    </row>
    <row r="4898" spans="66:84">
      <c r="BN4898" s="4"/>
      <c r="BO4898" s="4"/>
      <c r="BQ4898" s="4"/>
      <c r="CC4898" s="4"/>
      <c r="CD4898" s="4"/>
      <c r="CF4898" s="4"/>
    </row>
    <row r="4899" spans="66:84">
      <c r="BN4899" s="4"/>
      <c r="BO4899" s="4"/>
      <c r="BQ4899" s="4"/>
      <c r="CC4899" s="4"/>
      <c r="CD4899" s="4"/>
      <c r="CF4899" s="4"/>
    </row>
    <row r="4900" spans="66:84">
      <c r="BN4900" s="4"/>
      <c r="BO4900" s="4"/>
      <c r="BQ4900" s="4"/>
      <c r="CC4900" s="4"/>
      <c r="CD4900" s="4"/>
      <c r="CF4900" s="4"/>
    </row>
    <row r="4901" spans="66:84">
      <c r="BN4901" s="4"/>
      <c r="BO4901" s="4"/>
      <c r="BQ4901" s="4"/>
      <c r="CC4901" s="4"/>
      <c r="CD4901" s="4"/>
      <c r="CF4901" s="4"/>
    </row>
    <row r="4902" spans="66:84">
      <c r="BN4902" s="4"/>
      <c r="BO4902" s="4"/>
      <c r="BQ4902" s="4"/>
      <c r="CC4902" s="4"/>
      <c r="CD4902" s="4"/>
      <c r="CF4902" s="4"/>
    </row>
    <row r="4903" spans="66:84">
      <c r="BN4903" s="4"/>
      <c r="BO4903" s="4"/>
      <c r="BQ4903" s="4"/>
      <c r="CC4903" s="4"/>
      <c r="CD4903" s="4"/>
      <c r="CF4903" s="4"/>
    </row>
    <row r="4904" spans="66:84">
      <c r="BN4904" s="4"/>
      <c r="BO4904" s="4"/>
      <c r="BQ4904" s="4"/>
      <c r="CC4904" s="4"/>
      <c r="CD4904" s="4"/>
      <c r="CF4904" s="4"/>
    </row>
    <row r="4905" spans="66:84">
      <c r="BN4905" s="4"/>
      <c r="BO4905" s="4"/>
      <c r="BQ4905" s="4"/>
      <c r="CC4905" s="4"/>
      <c r="CD4905" s="4"/>
      <c r="CF4905" s="4"/>
    </row>
    <row r="4906" spans="66:84">
      <c r="BN4906" s="4"/>
      <c r="BO4906" s="4"/>
      <c r="BQ4906" s="4"/>
      <c r="CC4906" s="4"/>
      <c r="CD4906" s="4"/>
      <c r="CF4906" s="4"/>
    </row>
    <row r="4907" spans="66:84">
      <c r="BN4907" s="4"/>
      <c r="BO4907" s="4"/>
      <c r="BQ4907" s="4"/>
      <c r="CC4907" s="4"/>
      <c r="CD4907" s="4"/>
      <c r="CF4907" s="4"/>
    </row>
    <row r="4908" spans="66:84">
      <c r="BN4908" s="4"/>
      <c r="BO4908" s="4"/>
      <c r="BQ4908" s="4"/>
      <c r="CC4908" s="4"/>
      <c r="CD4908" s="4"/>
      <c r="CF4908" s="4"/>
    </row>
    <row r="4909" spans="66:84">
      <c r="BN4909" s="4"/>
      <c r="BO4909" s="4"/>
      <c r="BQ4909" s="4"/>
      <c r="CC4909" s="4"/>
      <c r="CD4909" s="4"/>
      <c r="CF4909" s="4"/>
    </row>
    <row r="4910" spans="66:84">
      <c r="BN4910" s="4"/>
      <c r="BO4910" s="4"/>
      <c r="BQ4910" s="4"/>
      <c r="CC4910" s="4"/>
      <c r="CD4910" s="4"/>
      <c r="CF4910" s="4"/>
    </row>
    <row r="4911" spans="66:84">
      <c r="BN4911" s="4"/>
      <c r="BO4911" s="4"/>
      <c r="BQ4911" s="4"/>
      <c r="CC4911" s="4"/>
      <c r="CD4911" s="4"/>
      <c r="CF4911" s="4"/>
    </row>
    <row r="4912" spans="66:84">
      <c r="BN4912" s="4"/>
      <c r="BO4912" s="4"/>
      <c r="BQ4912" s="4"/>
      <c r="CC4912" s="4"/>
      <c r="CD4912" s="4"/>
      <c r="CF4912" s="4"/>
    </row>
    <row r="4913" spans="66:84">
      <c r="BN4913" s="4"/>
      <c r="BO4913" s="4"/>
      <c r="BQ4913" s="4"/>
      <c r="CC4913" s="4"/>
      <c r="CD4913" s="4"/>
      <c r="CF4913" s="4"/>
    </row>
    <row r="4914" spans="66:84">
      <c r="BN4914" s="4"/>
      <c r="BO4914" s="4"/>
      <c r="BQ4914" s="4"/>
      <c r="CC4914" s="4"/>
      <c r="CD4914" s="4"/>
      <c r="CF4914" s="4"/>
    </row>
    <row r="4915" spans="66:84">
      <c r="BN4915" s="4"/>
      <c r="BO4915" s="4"/>
      <c r="BQ4915" s="4"/>
      <c r="CC4915" s="4"/>
      <c r="CD4915" s="4"/>
      <c r="CF4915" s="4"/>
    </row>
    <row r="4916" spans="66:84">
      <c r="BN4916" s="4"/>
      <c r="BO4916" s="4"/>
      <c r="BQ4916" s="4"/>
      <c r="CC4916" s="4"/>
      <c r="CD4916" s="4"/>
      <c r="CF4916" s="4"/>
    </row>
    <row r="4917" spans="66:84">
      <c r="BN4917" s="4"/>
      <c r="BO4917" s="4"/>
      <c r="BQ4917" s="4"/>
      <c r="CC4917" s="4"/>
      <c r="CD4917" s="4"/>
      <c r="CF4917" s="4"/>
    </row>
    <row r="4918" spans="66:84">
      <c r="BN4918" s="4"/>
      <c r="BO4918" s="4"/>
      <c r="BQ4918" s="4"/>
      <c r="CC4918" s="4"/>
      <c r="CD4918" s="4"/>
      <c r="CF4918" s="4"/>
    </row>
    <row r="4919" spans="66:84">
      <c r="BN4919" s="4"/>
      <c r="BO4919" s="4"/>
      <c r="BQ4919" s="4"/>
      <c r="CC4919" s="4"/>
      <c r="CD4919" s="4"/>
      <c r="CF4919" s="4"/>
    </row>
    <row r="4920" spans="66:84">
      <c r="BN4920" s="4"/>
      <c r="BO4920" s="4"/>
      <c r="BQ4920" s="4"/>
      <c r="CC4920" s="4"/>
      <c r="CD4920" s="4"/>
      <c r="CF4920" s="4"/>
    </row>
    <row r="4921" spans="66:84">
      <c r="BN4921" s="4"/>
      <c r="BO4921" s="4"/>
      <c r="BQ4921" s="4"/>
      <c r="CC4921" s="4"/>
      <c r="CD4921" s="4"/>
      <c r="CF4921" s="4"/>
    </row>
    <row r="4922" spans="66:84">
      <c r="BN4922" s="4"/>
      <c r="BO4922" s="4"/>
      <c r="BQ4922" s="4"/>
      <c r="CC4922" s="4"/>
      <c r="CD4922" s="4"/>
      <c r="CF4922" s="4"/>
    </row>
    <row r="4923" spans="66:84">
      <c r="BN4923" s="4"/>
      <c r="BO4923" s="4"/>
      <c r="BQ4923" s="4"/>
      <c r="CC4923" s="4"/>
      <c r="CD4923" s="4"/>
      <c r="CF4923" s="4"/>
    </row>
    <row r="4924" spans="66:84">
      <c r="BN4924" s="4"/>
      <c r="BO4924" s="4"/>
      <c r="BQ4924" s="4"/>
      <c r="CC4924" s="4"/>
      <c r="CD4924" s="4"/>
      <c r="CF4924" s="4"/>
    </row>
    <row r="4925" spans="66:84">
      <c r="BN4925" s="4"/>
      <c r="BO4925" s="4"/>
      <c r="BQ4925" s="4"/>
      <c r="CC4925" s="4"/>
      <c r="CD4925" s="4"/>
      <c r="CF4925" s="4"/>
    </row>
    <row r="4926" spans="66:84">
      <c r="BN4926" s="4"/>
      <c r="BO4926" s="4"/>
      <c r="BQ4926" s="4"/>
      <c r="CC4926" s="4"/>
      <c r="CD4926" s="4"/>
      <c r="CF4926" s="4"/>
    </row>
    <row r="4927" spans="66:84">
      <c r="BN4927" s="4"/>
      <c r="BO4927" s="4"/>
      <c r="BQ4927" s="4"/>
      <c r="CC4927" s="4"/>
      <c r="CD4927" s="4"/>
      <c r="CF4927" s="4"/>
    </row>
    <row r="4928" spans="66:84">
      <c r="BN4928" s="4"/>
      <c r="BO4928" s="4"/>
      <c r="BQ4928" s="4"/>
      <c r="CC4928" s="4"/>
      <c r="CD4928" s="4"/>
      <c r="CF4928" s="4"/>
    </row>
    <row r="4929" spans="66:84">
      <c r="BN4929" s="4"/>
      <c r="BO4929" s="4"/>
      <c r="BQ4929" s="4"/>
      <c r="CC4929" s="4"/>
      <c r="CD4929" s="4"/>
      <c r="CF4929" s="4"/>
    </row>
    <row r="4930" spans="66:84">
      <c r="BN4930" s="4"/>
      <c r="BO4930" s="4"/>
      <c r="BQ4930" s="4"/>
      <c r="CC4930" s="4"/>
      <c r="CD4930" s="4"/>
      <c r="CF4930" s="4"/>
    </row>
    <row r="4931" spans="66:84">
      <c r="BN4931" s="4"/>
      <c r="BO4931" s="4"/>
      <c r="BQ4931" s="4"/>
      <c r="CC4931" s="4"/>
      <c r="CD4931" s="4"/>
      <c r="CF4931" s="4"/>
    </row>
    <row r="4932" spans="66:84">
      <c r="BN4932" s="4"/>
      <c r="BO4932" s="4"/>
      <c r="BQ4932" s="4"/>
      <c r="CC4932" s="4"/>
      <c r="CD4932" s="4"/>
      <c r="CF4932" s="4"/>
    </row>
    <row r="4933" spans="66:84">
      <c r="BN4933" s="4"/>
      <c r="BO4933" s="4"/>
      <c r="BQ4933" s="4"/>
      <c r="CC4933" s="4"/>
      <c r="CD4933" s="4"/>
      <c r="CF4933" s="4"/>
    </row>
    <row r="4934" spans="66:84">
      <c r="BN4934" s="4"/>
      <c r="BO4934" s="4"/>
      <c r="BQ4934" s="4"/>
      <c r="CC4934" s="4"/>
      <c r="CD4934" s="4"/>
      <c r="CF4934" s="4"/>
    </row>
    <row r="4935" spans="66:84">
      <c r="BN4935" s="4"/>
      <c r="BO4935" s="4"/>
      <c r="BQ4935" s="4"/>
      <c r="CC4935" s="4"/>
      <c r="CD4935" s="4"/>
      <c r="CF4935" s="4"/>
    </row>
    <row r="4936" spans="66:84">
      <c r="BN4936" s="4"/>
      <c r="BO4936" s="4"/>
      <c r="BQ4936" s="4"/>
      <c r="CC4936" s="4"/>
      <c r="CD4936" s="4"/>
      <c r="CF4936" s="4"/>
    </row>
    <row r="4937" spans="66:84">
      <c r="BN4937" s="4"/>
      <c r="BO4937" s="4"/>
      <c r="BQ4937" s="4"/>
      <c r="CC4937" s="4"/>
      <c r="CD4937" s="4"/>
      <c r="CF4937" s="4"/>
    </row>
    <row r="4938" spans="66:84">
      <c r="BN4938" s="4"/>
      <c r="BO4938" s="4"/>
      <c r="BQ4938" s="4"/>
      <c r="CC4938" s="4"/>
      <c r="CD4938" s="4"/>
      <c r="CF4938" s="4"/>
    </row>
    <row r="4939" spans="66:84">
      <c r="BN4939" s="4"/>
      <c r="BO4939" s="4"/>
      <c r="BQ4939" s="4"/>
      <c r="CC4939" s="4"/>
      <c r="CD4939" s="4"/>
      <c r="CF4939" s="4"/>
    </row>
    <row r="4940" spans="66:84">
      <c r="BN4940" s="4"/>
      <c r="BO4940" s="4"/>
      <c r="BQ4940" s="4"/>
      <c r="CC4940" s="4"/>
      <c r="CD4940" s="4"/>
      <c r="CF4940" s="4"/>
    </row>
    <row r="4941" spans="66:84">
      <c r="BN4941" s="4"/>
      <c r="BO4941" s="4"/>
      <c r="BQ4941" s="4"/>
      <c r="CC4941" s="4"/>
      <c r="CD4941" s="4"/>
      <c r="CF4941" s="4"/>
    </row>
    <row r="4942" spans="66:84">
      <c r="BN4942" s="4"/>
      <c r="BO4942" s="4"/>
      <c r="BQ4942" s="4"/>
      <c r="CC4942" s="4"/>
      <c r="CD4942" s="4"/>
      <c r="CF4942" s="4"/>
    </row>
    <row r="4943" spans="66:84">
      <c r="BN4943" s="4"/>
      <c r="BO4943" s="4"/>
      <c r="BQ4943" s="4"/>
      <c r="CC4943" s="4"/>
      <c r="CD4943" s="4"/>
      <c r="CF4943" s="4"/>
    </row>
    <row r="4944" spans="66:84">
      <c r="BN4944" s="4"/>
      <c r="BO4944" s="4"/>
      <c r="BQ4944" s="4"/>
      <c r="CC4944" s="4"/>
      <c r="CD4944" s="4"/>
      <c r="CF4944" s="4"/>
    </row>
    <row r="4945" spans="66:84">
      <c r="BN4945" s="4"/>
      <c r="BO4945" s="4"/>
      <c r="BQ4945" s="4"/>
      <c r="CC4945" s="4"/>
      <c r="CD4945" s="4"/>
      <c r="CF4945" s="4"/>
    </row>
    <row r="4946" spans="66:84">
      <c r="BN4946" s="4"/>
      <c r="BO4946" s="4"/>
      <c r="BQ4946" s="4"/>
      <c r="CC4946" s="4"/>
      <c r="CD4946" s="4"/>
      <c r="CF4946" s="4"/>
    </row>
    <row r="4947" spans="66:84">
      <c r="BN4947" s="4"/>
      <c r="BO4947" s="4"/>
      <c r="BQ4947" s="4"/>
      <c r="CC4947" s="4"/>
      <c r="CD4947" s="4"/>
      <c r="CF4947" s="4"/>
    </row>
    <row r="4948" spans="66:84">
      <c r="BN4948" s="4"/>
      <c r="BO4948" s="4"/>
      <c r="BQ4948" s="4"/>
      <c r="CC4948" s="4"/>
      <c r="CD4948" s="4"/>
      <c r="CF4948" s="4"/>
    </row>
    <row r="4949" spans="66:84">
      <c r="BN4949" s="4"/>
      <c r="BO4949" s="4"/>
      <c r="BQ4949" s="4"/>
      <c r="CC4949" s="4"/>
      <c r="CD4949" s="4"/>
      <c r="CF4949" s="4"/>
    </row>
    <row r="4950" spans="66:84">
      <c r="BN4950" s="4"/>
      <c r="BO4950" s="4"/>
      <c r="BQ4950" s="4"/>
      <c r="CC4950" s="4"/>
      <c r="CD4950" s="4"/>
      <c r="CF4950" s="4"/>
    </row>
    <row r="4951" spans="66:84">
      <c r="BN4951" s="4"/>
      <c r="BO4951" s="4"/>
      <c r="BQ4951" s="4"/>
      <c r="CC4951" s="4"/>
      <c r="CD4951" s="4"/>
      <c r="CF4951" s="4"/>
    </row>
    <row r="4952" spans="66:84">
      <c r="BN4952" s="4"/>
      <c r="BO4952" s="4"/>
      <c r="BQ4952" s="4"/>
      <c r="CC4952" s="4"/>
      <c r="CD4952" s="4"/>
      <c r="CF4952" s="4"/>
    </row>
    <row r="4953" spans="66:84">
      <c r="BN4953" s="4"/>
      <c r="BO4953" s="4"/>
      <c r="BQ4953" s="4"/>
      <c r="CC4953" s="4"/>
      <c r="CD4953" s="4"/>
      <c r="CF4953" s="4"/>
    </row>
    <row r="4954" spans="66:84">
      <c r="BN4954" s="4"/>
      <c r="BO4954" s="4"/>
      <c r="BQ4954" s="4"/>
      <c r="CC4954" s="4"/>
      <c r="CD4954" s="4"/>
      <c r="CF4954" s="4"/>
    </row>
    <row r="4955" spans="66:84">
      <c r="BN4955" s="4"/>
      <c r="BO4955" s="4"/>
      <c r="BQ4955" s="4"/>
      <c r="CC4955" s="4"/>
      <c r="CD4955" s="4"/>
      <c r="CF4955" s="4"/>
    </row>
    <row r="4956" spans="66:84">
      <c r="BN4956" s="4"/>
      <c r="BO4956" s="4"/>
      <c r="BQ4956" s="4"/>
      <c r="CC4956" s="4"/>
      <c r="CD4956" s="4"/>
      <c r="CF4956" s="4"/>
    </row>
    <row r="4957" spans="66:84">
      <c r="BN4957" s="4"/>
      <c r="BO4957" s="4"/>
      <c r="BQ4957" s="4"/>
      <c r="CC4957" s="4"/>
      <c r="CD4957" s="4"/>
      <c r="CF4957" s="4"/>
    </row>
    <row r="4958" spans="66:84">
      <c r="BN4958" s="4"/>
      <c r="BO4958" s="4"/>
      <c r="BQ4958" s="4"/>
      <c r="CC4958" s="4"/>
      <c r="CD4958" s="4"/>
      <c r="CF4958" s="4"/>
    </row>
    <row r="4959" spans="66:84">
      <c r="BN4959" s="4"/>
      <c r="BO4959" s="4"/>
      <c r="BQ4959" s="4"/>
      <c r="CC4959" s="4"/>
      <c r="CD4959" s="4"/>
      <c r="CF4959" s="4"/>
    </row>
    <row r="4960" spans="66:84">
      <c r="BN4960" s="4"/>
      <c r="BO4960" s="4"/>
      <c r="BQ4960" s="4"/>
      <c r="CC4960" s="4"/>
      <c r="CD4960" s="4"/>
      <c r="CF4960" s="4"/>
    </row>
    <row r="4961" spans="66:84">
      <c r="BN4961" s="4"/>
      <c r="BO4961" s="4"/>
      <c r="BQ4961" s="4"/>
      <c r="CC4961" s="4"/>
      <c r="CD4961" s="4"/>
      <c r="CF4961" s="4"/>
    </row>
    <row r="4962" spans="66:84">
      <c r="BN4962" s="4"/>
      <c r="BO4962" s="4"/>
      <c r="BQ4962" s="4"/>
      <c r="CC4962" s="4"/>
      <c r="CD4962" s="4"/>
      <c r="CF4962" s="4"/>
    </row>
    <row r="4963" spans="66:84">
      <c r="BN4963" s="4"/>
      <c r="BO4963" s="4"/>
      <c r="BQ4963" s="4"/>
      <c r="CC4963" s="4"/>
      <c r="CD4963" s="4"/>
      <c r="CF4963" s="4"/>
    </row>
    <row r="4964" spans="66:84">
      <c r="BN4964" s="4"/>
      <c r="BO4964" s="4"/>
      <c r="BQ4964" s="4"/>
      <c r="CC4964" s="4"/>
      <c r="CD4964" s="4"/>
      <c r="CF4964" s="4"/>
    </row>
    <row r="4965" spans="66:84">
      <c r="BN4965" s="4"/>
      <c r="BO4965" s="4"/>
      <c r="BQ4965" s="4"/>
      <c r="CC4965" s="4"/>
      <c r="CD4965" s="4"/>
      <c r="CF4965" s="4"/>
    </row>
    <row r="4966" spans="66:84">
      <c r="BN4966" s="4"/>
      <c r="BO4966" s="4"/>
      <c r="BQ4966" s="4"/>
      <c r="CC4966" s="4"/>
      <c r="CD4966" s="4"/>
      <c r="CF4966" s="4"/>
    </row>
    <row r="4967" spans="66:84">
      <c r="BN4967" s="4"/>
      <c r="BO4967" s="4"/>
      <c r="BQ4967" s="4"/>
      <c r="CC4967" s="4"/>
      <c r="CD4967" s="4"/>
      <c r="CF4967" s="4"/>
    </row>
    <row r="4968" spans="66:84">
      <c r="BN4968" s="4"/>
      <c r="BO4968" s="4"/>
      <c r="BQ4968" s="4"/>
      <c r="CC4968" s="4"/>
      <c r="CD4968" s="4"/>
      <c r="CF4968" s="4"/>
    </row>
    <row r="4969" spans="66:84">
      <c r="BN4969" s="4"/>
      <c r="BO4969" s="4"/>
      <c r="BQ4969" s="4"/>
      <c r="CC4969" s="4"/>
      <c r="CD4969" s="4"/>
      <c r="CF4969" s="4"/>
    </row>
    <row r="4970" spans="66:84">
      <c r="BN4970" s="4"/>
      <c r="BO4970" s="4"/>
      <c r="BQ4970" s="4"/>
      <c r="CC4970" s="4"/>
      <c r="CD4970" s="4"/>
      <c r="CF4970" s="4"/>
    </row>
    <row r="4971" spans="66:84">
      <c r="BN4971" s="4"/>
      <c r="BO4971" s="4"/>
      <c r="BQ4971" s="4"/>
      <c r="CC4971" s="4"/>
      <c r="CD4971" s="4"/>
      <c r="CF4971" s="4"/>
    </row>
    <row r="4972" spans="66:84">
      <c r="BN4972" s="4"/>
      <c r="BO4972" s="4"/>
      <c r="BQ4972" s="4"/>
      <c r="CC4972" s="4"/>
      <c r="CD4972" s="4"/>
      <c r="CF4972" s="4"/>
    </row>
    <row r="4973" spans="66:84">
      <c r="BN4973" s="4"/>
      <c r="BO4973" s="4"/>
      <c r="BQ4973" s="4"/>
      <c r="CC4973" s="4"/>
      <c r="CD4973" s="4"/>
      <c r="CF4973" s="4"/>
    </row>
    <row r="4974" spans="66:84">
      <c r="BN4974" s="4"/>
      <c r="BO4974" s="4"/>
      <c r="BQ4974" s="4"/>
      <c r="CC4974" s="4"/>
      <c r="CD4974" s="4"/>
      <c r="CF4974" s="4"/>
    </row>
    <row r="4975" spans="66:84">
      <c r="BN4975" s="4"/>
      <c r="BO4975" s="4"/>
      <c r="BQ4975" s="4"/>
      <c r="CC4975" s="4"/>
      <c r="CD4975" s="4"/>
      <c r="CF4975" s="4"/>
    </row>
    <row r="4976" spans="66:84">
      <c r="BN4976" s="4"/>
      <c r="BO4976" s="4"/>
      <c r="BQ4976" s="4"/>
      <c r="CC4976" s="4"/>
      <c r="CD4976" s="4"/>
      <c r="CF4976" s="4"/>
    </row>
    <row r="4977" spans="66:84">
      <c r="BN4977" s="4"/>
      <c r="BO4977" s="4"/>
      <c r="BQ4977" s="4"/>
      <c r="CC4977" s="4"/>
      <c r="CD4977" s="4"/>
      <c r="CF4977" s="4"/>
    </row>
    <row r="4978" spans="66:84">
      <c r="BN4978" s="4"/>
      <c r="BO4978" s="4"/>
      <c r="BQ4978" s="4"/>
      <c r="CC4978" s="4"/>
      <c r="CD4978" s="4"/>
      <c r="CF4978" s="4"/>
    </row>
    <row r="4979" spans="66:84">
      <c r="BN4979" s="4"/>
      <c r="BO4979" s="4"/>
      <c r="BQ4979" s="4"/>
      <c r="CC4979" s="4"/>
      <c r="CD4979" s="4"/>
      <c r="CF4979" s="4"/>
    </row>
    <row r="4980" spans="66:84">
      <c r="BN4980" s="4"/>
      <c r="BO4980" s="4"/>
      <c r="BQ4980" s="4"/>
      <c r="CC4980" s="4"/>
      <c r="CD4980" s="4"/>
      <c r="CF4980" s="4"/>
    </row>
    <row r="4981" spans="66:84">
      <c r="BN4981" s="4"/>
      <c r="BO4981" s="4"/>
      <c r="BQ4981" s="4"/>
      <c r="CC4981" s="4"/>
      <c r="CD4981" s="4"/>
      <c r="CF4981" s="4"/>
    </row>
    <row r="4982" spans="66:84">
      <c r="BN4982" s="4"/>
      <c r="BO4982" s="4"/>
      <c r="BQ4982" s="4"/>
      <c r="CC4982" s="4"/>
      <c r="CD4982" s="4"/>
      <c r="CF4982" s="4"/>
    </row>
    <row r="4983" spans="66:84">
      <c r="BN4983" s="4"/>
      <c r="BO4983" s="4"/>
      <c r="BQ4983" s="4"/>
      <c r="CC4983" s="4"/>
      <c r="CD4983" s="4"/>
      <c r="CF4983" s="4"/>
    </row>
    <row r="4984" spans="66:84">
      <c r="BN4984" s="4"/>
      <c r="BO4984" s="4"/>
      <c r="BQ4984" s="4"/>
      <c r="CC4984" s="4"/>
      <c r="CD4984" s="4"/>
      <c r="CF4984" s="4"/>
    </row>
    <row r="4985" spans="66:84">
      <c r="BN4985" s="4"/>
      <c r="BO4985" s="4"/>
      <c r="BQ4985" s="4"/>
      <c r="CC4985" s="4"/>
      <c r="CD4985" s="4"/>
      <c r="CF4985" s="4"/>
    </row>
    <row r="4986" spans="66:84">
      <c r="BN4986" s="4"/>
      <c r="BO4986" s="4"/>
      <c r="BQ4986" s="4"/>
      <c r="CC4986" s="4"/>
      <c r="CD4986" s="4"/>
      <c r="CF4986" s="4"/>
    </row>
    <row r="4987" spans="66:84">
      <c r="BN4987" s="4"/>
      <c r="BO4987" s="4"/>
      <c r="BQ4987" s="4"/>
      <c r="CC4987" s="4"/>
      <c r="CD4987" s="4"/>
      <c r="CF4987" s="4"/>
    </row>
    <row r="4988" spans="66:84">
      <c r="BN4988" s="4"/>
      <c r="BO4988" s="4"/>
      <c r="BQ4988" s="4"/>
      <c r="CC4988" s="4"/>
      <c r="CD4988" s="4"/>
      <c r="CF4988" s="4"/>
    </row>
    <row r="4989" spans="66:84">
      <c r="BN4989" s="4"/>
      <c r="BO4989" s="4"/>
      <c r="BQ4989" s="4"/>
      <c r="CC4989" s="4"/>
      <c r="CD4989" s="4"/>
      <c r="CF4989" s="4"/>
    </row>
    <row r="4990" spans="66:84">
      <c r="BN4990" s="4"/>
      <c r="BO4990" s="4"/>
      <c r="BQ4990" s="4"/>
      <c r="CC4990" s="4"/>
      <c r="CD4990" s="4"/>
      <c r="CF4990" s="4"/>
    </row>
    <row r="4991" spans="66:84">
      <c r="BN4991" s="4"/>
      <c r="BO4991" s="4"/>
      <c r="BQ4991" s="4"/>
      <c r="CC4991" s="4"/>
      <c r="CD4991" s="4"/>
      <c r="CF4991" s="4"/>
    </row>
    <row r="4992" spans="66:84">
      <c r="BN4992" s="4"/>
      <c r="BO4992" s="4"/>
      <c r="BQ4992" s="4"/>
      <c r="CC4992" s="4"/>
      <c r="CD4992" s="4"/>
      <c r="CF4992" s="4"/>
    </row>
    <row r="4993" spans="66:84">
      <c r="BN4993" s="4"/>
      <c r="BO4993" s="4"/>
      <c r="BQ4993" s="4"/>
      <c r="CC4993" s="4"/>
      <c r="CD4993" s="4"/>
      <c r="CF4993" s="4"/>
    </row>
    <row r="4994" spans="66:84">
      <c r="BN4994" s="4"/>
      <c r="BO4994" s="4"/>
      <c r="BQ4994" s="4"/>
      <c r="CC4994" s="4"/>
      <c r="CD4994" s="4"/>
      <c r="CF4994" s="4"/>
    </row>
    <row r="4995" spans="66:84">
      <c r="BN4995" s="4"/>
      <c r="BO4995" s="4"/>
      <c r="BQ4995" s="4"/>
      <c r="CC4995" s="4"/>
      <c r="CD4995" s="4"/>
      <c r="CF4995" s="4"/>
    </row>
    <row r="4996" spans="66:84">
      <c r="BN4996" s="4"/>
      <c r="BO4996" s="4"/>
      <c r="BQ4996" s="4"/>
      <c r="CC4996" s="4"/>
      <c r="CD4996" s="4"/>
      <c r="CF4996" s="4"/>
    </row>
    <row r="4997" spans="66:84">
      <c r="BN4997" s="4"/>
      <c r="BO4997" s="4"/>
      <c r="BQ4997" s="4"/>
      <c r="CC4997" s="4"/>
      <c r="CD4997" s="4"/>
      <c r="CF4997" s="4"/>
    </row>
    <row r="4998" spans="66:84">
      <c r="BN4998" s="4"/>
      <c r="BO4998" s="4"/>
      <c r="BQ4998" s="4"/>
      <c r="CC4998" s="4"/>
      <c r="CD4998" s="4"/>
      <c r="CF4998" s="4"/>
    </row>
    <row r="4999" spans="66:84">
      <c r="BN4999" s="4"/>
      <c r="BO4999" s="4"/>
      <c r="BQ4999" s="4"/>
      <c r="CC4999" s="4"/>
      <c r="CD4999" s="4"/>
      <c r="CF4999" s="4"/>
    </row>
    <row r="5000" spans="66:84">
      <c r="BN5000" s="4"/>
      <c r="BO5000" s="4"/>
      <c r="BQ5000" s="4"/>
      <c r="CC5000" s="4"/>
      <c r="CD5000" s="4"/>
      <c r="CF5000" s="4"/>
    </row>
    <row r="5001" spans="66:84">
      <c r="BN5001" s="4"/>
      <c r="BO5001" s="4"/>
      <c r="BQ5001" s="4"/>
      <c r="CC5001" s="4"/>
      <c r="CD5001" s="4"/>
      <c r="CF5001" s="4"/>
    </row>
    <row r="5002" spans="66:84">
      <c r="BN5002" s="4"/>
      <c r="BO5002" s="4"/>
      <c r="BQ5002" s="4"/>
      <c r="CC5002" s="4"/>
      <c r="CD5002" s="4"/>
      <c r="CF5002" s="4"/>
    </row>
    <row r="5003" spans="66:84">
      <c r="BN5003" s="4"/>
      <c r="BO5003" s="4"/>
      <c r="BQ5003" s="4"/>
      <c r="CC5003" s="4"/>
      <c r="CD5003" s="4"/>
      <c r="CF5003" s="4"/>
    </row>
    <row r="5004" spans="66:84">
      <c r="BN5004" s="4"/>
      <c r="BO5004" s="4"/>
      <c r="BQ5004" s="4"/>
      <c r="CC5004" s="4"/>
      <c r="CD5004" s="4"/>
      <c r="CF5004" s="4"/>
    </row>
    <row r="5005" spans="66:84">
      <c r="BN5005" s="4"/>
      <c r="BO5005" s="4"/>
      <c r="BQ5005" s="4"/>
      <c r="CC5005" s="4"/>
      <c r="CD5005" s="4"/>
      <c r="CF5005" s="4"/>
    </row>
    <row r="5006" spans="66:84">
      <c r="BN5006" s="4"/>
      <c r="BO5006" s="4"/>
      <c r="BQ5006" s="4"/>
      <c r="CC5006" s="4"/>
      <c r="CD5006" s="4"/>
      <c r="CF5006" s="4"/>
    </row>
    <row r="5007" spans="66:84">
      <c r="BN5007" s="4"/>
      <c r="BO5007" s="4"/>
      <c r="BQ5007" s="4"/>
      <c r="CC5007" s="4"/>
      <c r="CD5007" s="4"/>
      <c r="CF5007" s="4"/>
    </row>
    <row r="5008" spans="66:84">
      <c r="BN5008" s="4"/>
      <c r="BO5008" s="4"/>
      <c r="BQ5008" s="4"/>
      <c r="CC5008" s="4"/>
      <c r="CD5008" s="4"/>
      <c r="CF5008" s="4"/>
    </row>
    <row r="5009" spans="66:84">
      <c r="BN5009" s="4"/>
      <c r="BO5009" s="4"/>
      <c r="BQ5009" s="4"/>
      <c r="CC5009" s="4"/>
      <c r="CD5009" s="4"/>
      <c r="CF5009" s="4"/>
    </row>
    <row r="5010" spans="66:84">
      <c r="BN5010" s="4"/>
      <c r="BO5010" s="4"/>
      <c r="BQ5010" s="4"/>
      <c r="CC5010" s="4"/>
      <c r="CD5010" s="4"/>
      <c r="CF5010" s="4"/>
    </row>
    <row r="5011" spans="66:84">
      <c r="BN5011" s="4"/>
      <c r="BO5011" s="4"/>
      <c r="BQ5011" s="4"/>
      <c r="CC5011" s="4"/>
      <c r="CD5011" s="4"/>
      <c r="CF5011" s="4"/>
    </row>
    <row r="5012" spans="66:84">
      <c r="BN5012" s="4"/>
      <c r="BO5012" s="4"/>
      <c r="BQ5012" s="4"/>
      <c r="CC5012" s="4"/>
      <c r="CD5012" s="4"/>
      <c r="CF5012" s="4"/>
    </row>
    <row r="5013" spans="66:84">
      <c r="BN5013" s="4"/>
      <c r="BO5013" s="4"/>
      <c r="BQ5013" s="4"/>
      <c r="CC5013" s="4"/>
      <c r="CD5013" s="4"/>
      <c r="CF5013" s="4"/>
    </row>
    <row r="5014" spans="66:84">
      <c r="BN5014" s="4"/>
      <c r="BO5014" s="4"/>
      <c r="BQ5014" s="4"/>
      <c r="CC5014" s="4"/>
      <c r="CD5014" s="4"/>
      <c r="CF5014" s="4"/>
    </row>
    <row r="5015" spans="66:84">
      <c r="BN5015" s="4"/>
      <c r="BO5015" s="4"/>
      <c r="BQ5015" s="4"/>
      <c r="CC5015" s="4"/>
      <c r="CD5015" s="4"/>
      <c r="CF5015" s="4"/>
    </row>
    <row r="5016" spans="66:84">
      <c r="BN5016" s="4"/>
      <c r="BO5016" s="4"/>
      <c r="BQ5016" s="4"/>
      <c r="CC5016" s="4"/>
      <c r="CD5016" s="4"/>
      <c r="CF5016" s="4"/>
    </row>
    <row r="5017" spans="66:84">
      <c r="BN5017" s="4"/>
      <c r="BO5017" s="4"/>
      <c r="BQ5017" s="4"/>
      <c r="CC5017" s="4"/>
      <c r="CD5017" s="4"/>
      <c r="CF5017" s="4"/>
    </row>
    <row r="5018" spans="66:84">
      <c r="BN5018" s="4"/>
      <c r="BO5018" s="4"/>
      <c r="BQ5018" s="4"/>
      <c r="CC5018" s="4"/>
      <c r="CD5018" s="4"/>
      <c r="CF5018" s="4"/>
    </row>
    <row r="5019" spans="66:84">
      <c r="BN5019" s="4"/>
      <c r="BO5019" s="4"/>
      <c r="BQ5019" s="4"/>
      <c r="CC5019" s="4"/>
      <c r="CD5019" s="4"/>
      <c r="CF5019" s="4"/>
    </row>
    <row r="5020" spans="66:84">
      <c r="BN5020" s="4"/>
      <c r="BO5020" s="4"/>
      <c r="BQ5020" s="4"/>
      <c r="CC5020" s="4"/>
      <c r="CD5020" s="4"/>
      <c r="CF5020" s="4"/>
    </row>
    <row r="5021" spans="66:84">
      <c r="BN5021" s="4"/>
      <c r="BO5021" s="4"/>
      <c r="BQ5021" s="4"/>
      <c r="CC5021" s="4"/>
      <c r="CD5021" s="4"/>
      <c r="CF5021" s="4"/>
    </row>
    <row r="5022" spans="66:84">
      <c r="BN5022" s="4"/>
      <c r="BO5022" s="4"/>
      <c r="BQ5022" s="4"/>
      <c r="CC5022" s="4"/>
      <c r="CD5022" s="4"/>
      <c r="CF5022" s="4"/>
    </row>
    <row r="5023" spans="66:84">
      <c r="BN5023" s="4"/>
      <c r="BO5023" s="4"/>
      <c r="BQ5023" s="4"/>
      <c r="CC5023" s="4"/>
      <c r="CD5023" s="4"/>
      <c r="CF5023" s="4"/>
    </row>
    <row r="5024" spans="66:84">
      <c r="BN5024" s="4"/>
      <c r="BO5024" s="4"/>
      <c r="BQ5024" s="4"/>
      <c r="CC5024" s="4"/>
      <c r="CD5024" s="4"/>
      <c r="CF5024" s="4"/>
    </row>
    <row r="5025" spans="66:84">
      <c r="BN5025" s="4"/>
      <c r="BO5025" s="4"/>
      <c r="BQ5025" s="4"/>
      <c r="CC5025" s="4"/>
      <c r="CD5025" s="4"/>
      <c r="CF5025" s="4"/>
    </row>
    <row r="5026" spans="66:84">
      <c r="BN5026" s="4"/>
      <c r="BO5026" s="4"/>
      <c r="BQ5026" s="4"/>
      <c r="CC5026" s="4"/>
      <c r="CD5026" s="4"/>
      <c r="CF5026" s="4"/>
    </row>
    <row r="5027" spans="66:84">
      <c r="BN5027" s="4"/>
      <c r="BO5027" s="4"/>
      <c r="BQ5027" s="4"/>
      <c r="CC5027" s="4"/>
      <c r="CD5027" s="4"/>
      <c r="CF5027" s="4"/>
    </row>
    <row r="5028" spans="66:84">
      <c r="BN5028" s="4"/>
      <c r="BO5028" s="4"/>
      <c r="BQ5028" s="4"/>
      <c r="CC5028" s="4"/>
      <c r="CD5028" s="4"/>
      <c r="CF5028" s="4"/>
    </row>
    <row r="5029" spans="66:84">
      <c r="BN5029" s="4"/>
      <c r="BO5029" s="4"/>
      <c r="BQ5029" s="4"/>
      <c r="CC5029" s="4"/>
      <c r="CD5029" s="4"/>
      <c r="CF5029" s="4"/>
    </row>
    <row r="5030" spans="66:84">
      <c r="BN5030" s="4"/>
      <c r="BO5030" s="4"/>
      <c r="BQ5030" s="4"/>
      <c r="CC5030" s="4"/>
      <c r="CD5030" s="4"/>
      <c r="CF5030" s="4"/>
    </row>
    <row r="5031" spans="66:84">
      <c r="BN5031" s="4"/>
      <c r="BO5031" s="4"/>
      <c r="BQ5031" s="4"/>
      <c r="CC5031" s="4"/>
      <c r="CD5031" s="4"/>
      <c r="CF5031" s="4"/>
    </row>
    <row r="5032" spans="66:84">
      <c r="BN5032" s="4"/>
      <c r="BO5032" s="4"/>
      <c r="BQ5032" s="4"/>
      <c r="CC5032" s="4"/>
      <c r="CD5032" s="4"/>
      <c r="CF5032" s="4"/>
    </row>
    <row r="5033" spans="66:84">
      <c r="BN5033" s="4"/>
      <c r="BO5033" s="4"/>
      <c r="BQ5033" s="4"/>
      <c r="CC5033" s="4"/>
      <c r="CD5033" s="4"/>
      <c r="CF5033" s="4"/>
    </row>
    <row r="5034" spans="66:84">
      <c r="BN5034" s="4"/>
      <c r="BO5034" s="4"/>
      <c r="BQ5034" s="4"/>
      <c r="CC5034" s="4"/>
      <c r="CD5034" s="4"/>
      <c r="CF5034" s="4"/>
    </row>
    <row r="5035" spans="66:84">
      <c r="BN5035" s="4"/>
      <c r="BO5035" s="4"/>
      <c r="BQ5035" s="4"/>
      <c r="CC5035" s="4"/>
      <c r="CD5035" s="4"/>
      <c r="CF5035" s="4"/>
    </row>
    <row r="5036" spans="66:84">
      <c r="BN5036" s="4"/>
      <c r="BO5036" s="4"/>
      <c r="BQ5036" s="4"/>
      <c r="CC5036" s="4"/>
      <c r="CD5036" s="4"/>
      <c r="CF5036" s="4"/>
    </row>
    <row r="5037" spans="66:84">
      <c r="BN5037" s="4"/>
      <c r="BO5037" s="4"/>
      <c r="BQ5037" s="4"/>
      <c r="CC5037" s="4"/>
      <c r="CD5037" s="4"/>
      <c r="CF5037" s="4"/>
    </row>
    <row r="5038" spans="66:84">
      <c r="BN5038" s="4"/>
      <c r="BO5038" s="4"/>
      <c r="BQ5038" s="4"/>
      <c r="CC5038" s="4"/>
      <c r="CD5038" s="4"/>
      <c r="CF5038" s="4"/>
    </row>
    <row r="5039" spans="66:84">
      <c r="BN5039" s="4"/>
      <c r="BO5039" s="4"/>
      <c r="BQ5039" s="4"/>
      <c r="CC5039" s="4"/>
      <c r="CD5039" s="4"/>
      <c r="CF5039" s="4"/>
    </row>
    <row r="5040" spans="66:84">
      <c r="BN5040" s="4"/>
      <c r="BO5040" s="4"/>
      <c r="BQ5040" s="4"/>
      <c r="CC5040" s="4"/>
      <c r="CD5040" s="4"/>
      <c r="CF5040" s="4"/>
    </row>
    <row r="5041" spans="66:84">
      <c r="BN5041" s="4"/>
      <c r="BO5041" s="4"/>
      <c r="BQ5041" s="4"/>
      <c r="CC5041" s="4"/>
      <c r="CD5041" s="4"/>
      <c r="CF5041" s="4"/>
    </row>
    <row r="5042" spans="66:84">
      <c r="BN5042" s="4"/>
      <c r="BO5042" s="4"/>
      <c r="BQ5042" s="4"/>
      <c r="CC5042" s="4"/>
      <c r="CD5042" s="4"/>
      <c r="CF5042" s="4"/>
    </row>
    <row r="5043" spans="66:84">
      <c r="BN5043" s="4"/>
      <c r="BO5043" s="4"/>
      <c r="BQ5043" s="4"/>
      <c r="CC5043" s="4"/>
      <c r="CD5043" s="4"/>
      <c r="CF5043" s="4"/>
    </row>
    <row r="5044" spans="66:84">
      <c r="BN5044" s="4"/>
      <c r="BO5044" s="4"/>
      <c r="BQ5044" s="4"/>
      <c r="CC5044" s="4"/>
      <c r="CD5044" s="4"/>
      <c r="CF5044" s="4"/>
    </row>
    <row r="5045" spans="66:84">
      <c r="BN5045" s="4"/>
      <c r="BO5045" s="4"/>
      <c r="BQ5045" s="4"/>
      <c r="CC5045" s="4"/>
      <c r="CD5045" s="4"/>
      <c r="CF5045" s="4"/>
    </row>
    <row r="5046" spans="66:84">
      <c r="BN5046" s="4"/>
      <c r="BO5046" s="4"/>
      <c r="BQ5046" s="4"/>
      <c r="CC5046" s="4"/>
      <c r="CD5046" s="4"/>
      <c r="CF5046" s="4"/>
    </row>
    <row r="5047" spans="66:84">
      <c r="BN5047" s="4"/>
      <c r="BO5047" s="4"/>
      <c r="BQ5047" s="4"/>
      <c r="CC5047" s="4"/>
      <c r="CD5047" s="4"/>
      <c r="CF5047" s="4"/>
    </row>
    <row r="5048" spans="66:84">
      <c r="BN5048" s="4"/>
      <c r="BO5048" s="4"/>
      <c r="BQ5048" s="4"/>
      <c r="CC5048" s="4"/>
      <c r="CD5048" s="4"/>
      <c r="CF5048" s="4"/>
    </row>
    <row r="5049" spans="66:84">
      <c r="BN5049" s="4"/>
      <c r="BO5049" s="4"/>
      <c r="BQ5049" s="4"/>
      <c r="CC5049" s="4"/>
      <c r="CD5049" s="4"/>
      <c r="CF5049" s="4"/>
    </row>
    <row r="5050" spans="66:84">
      <c r="BN5050" s="4"/>
      <c r="BO5050" s="4"/>
      <c r="BQ5050" s="4"/>
      <c r="CC5050" s="4"/>
      <c r="CD5050" s="4"/>
      <c r="CF5050" s="4"/>
    </row>
    <row r="5051" spans="66:84">
      <c r="BN5051" s="4"/>
      <c r="BO5051" s="4"/>
      <c r="BQ5051" s="4"/>
      <c r="CC5051" s="4"/>
      <c r="CD5051" s="4"/>
      <c r="CF5051" s="4"/>
    </row>
    <row r="5052" spans="66:84">
      <c r="BN5052" s="4"/>
      <c r="BO5052" s="4"/>
      <c r="BQ5052" s="4"/>
      <c r="CC5052" s="4"/>
      <c r="CD5052" s="4"/>
      <c r="CF5052" s="4"/>
    </row>
    <row r="5053" spans="66:84">
      <c r="BN5053" s="4"/>
      <c r="BO5053" s="4"/>
      <c r="BQ5053" s="4"/>
      <c r="CC5053" s="4"/>
      <c r="CD5053" s="4"/>
      <c r="CF5053" s="4"/>
    </row>
    <row r="5054" spans="66:84">
      <c r="BN5054" s="4"/>
      <c r="BO5054" s="4"/>
      <c r="BQ5054" s="4"/>
      <c r="CC5054" s="4"/>
      <c r="CD5054" s="4"/>
      <c r="CF5054" s="4"/>
    </row>
    <row r="5055" spans="66:84">
      <c r="BN5055" s="4"/>
      <c r="BO5055" s="4"/>
      <c r="BQ5055" s="4"/>
      <c r="CC5055" s="4"/>
      <c r="CD5055" s="4"/>
      <c r="CF5055" s="4"/>
    </row>
    <row r="5056" spans="66:84">
      <c r="BN5056" s="4"/>
      <c r="BO5056" s="4"/>
      <c r="BQ5056" s="4"/>
      <c r="CC5056" s="4"/>
      <c r="CD5056" s="4"/>
      <c r="CF5056" s="4"/>
    </row>
    <row r="5057" spans="66:84">
      <c r="BN5057" s="4"/>
      <c r="BO5057" s="4"/>
      <c r="BQ5057" s="4"/>
      <c r="CC5057" s="4"/>
      <c r="CD5057" s="4"/>
      <c r="CF5057" s="4"/>
    </row>
    <row r="5058" spans="66:84">
      <c r="BN5058" s="4"/>
      <c r="BO5058" s="4"/>
      <c r="BQ5058" s="4"/>
      <c r="CC5058" s="4"/>
      <c r="CD5058" s="4"/>
      <c r="CF5058" s="4"/>
    </row>
    <row r="5059" spans="66:84">
      <c r="BN5059" s="4"/>
      <c r="BO5059" s="4"/>
      <c r="BQ5059" s="4"/>
      <c r="CC5059" s="4"/>
      <c r="CD5059" s="4"/>
      <c r="CF5059" s="4"/>
    </row>
    <row r="5060" spans="66:84">
      <c r="BN5060" s="4"/>
      <c r="BO5060" s="4"/>
      <c r="BQ5060" s="4"/>
      <c r="CC5060" s="4"/>
      <c r="CD5060" s="4"/>
      <c r="CF5060" s="4"/>
    </row>
    <row r="5061" spans="66:84">
      <c r="BN5061" s="4"/>
      <c r="BO5061" s="4"/>
      <c r="BQ5061" s="4"/>
      <c r="CC5061" s="4"/>
      <c r="CD5061" s="4"/>
      <c r="CF5061" s="4"/>
    </row>
    <row r="5062" spans="66:84">
      <c r="BN5062" s="4"/>
      <c r="BO5062" s="4"/>
      <c r="BQ5062" s="4"/>
      <c r="CC5062" s="4"/>
      <c r="CD5062" s="4"/>
      <c r="CF5062" s="4"/>
    </row>
    <row r="5063" spans="66:84">
      <c r="BN5063" s="4"/>
      <c r="BO5063" s="4"/>
      <c r="BQ5063" s="4"/>
      <c r="CC5063" s="4"/>
      <c r="CD5063" s="4"/>
      <c r="CF5063" s="4"/>
    </row>
    <row r="5064" spans="66:84">
      <c r="BN5064" s="4"/>
      <c r="BO5064" s="4"/>
      <c r="BQ5064" s="4"/>
      <c r="CC5064" s="4"/>
      <c r="CD5064" s="4"/>
      <c r="CF5064" s="4"/>
    </row>
    <row r="5065" spans="66:84">
      <c r="BN5065" s="4"/>
      <c r="BO5065" s="4"/>
      <c r="BQ5065" s="4"/>
      <c r="CC5065" s="4"/>
      <c r="CD5065" s="4"/>
      <c r="CF5065" s="4"/>
    </row>
    <row r="5066" spans="66:84">
      <c r="BN5066" s="4"/>
      <c r="BO5066" s="4"/>
      <c r="BQ5066" s="4"/>
      <c r="CC5066" s="4"/>
      <c r="CD5066" s="4"/>
      <c r="CF5066" s="4"/>
    </row>
    <row r="5067" spans="66:84">
      <c r="BN5067" s="4"/>
      <c r="BO5067" s="4"/>
      <c r="BQ5067" s="4"/>
      <c r="CC5067" s="4"/>
      <c r="CD5067" s="4"/>
      <c r="CF5067" s="4"/>
    </row>
    <row r="5068" spans="66:84">
      <c r="BN5068" s="4"/>
      <c r="BO5068" s="4"/>
      <c r="BQ5068" s="4"/>
      <c r="CC5068" s="4"/>
      <c r="CD5068" s="4"/>
      <c r="CF5068" s="4"/>
    </row>
    <row r="5069" spans="66:84">
      <c r="BN5069" s="4"/>
      <c r="BO5069" s="4"/>
      <c r="BQ5069" s="4"/>
      <c r="CC5069" s="4"/>
      <c r="CD5069" s="4"/>
      <c r="CF5069" s="4"/>
    </row>
    <row r="5070" spans="66:84">
      <c r="BN5070" s="4"/>
      <c r="BO5070" s="4"/>
      <c r="BQ5070" s="4"/>
      <c r="CC5070" s="4"/>
      <c r="CD5070" s="4"/>
      <c r="CF5070" s="4"/>
    </row>
    <row r="5071" spans="66:84">
      <c r="BN5071" s="4"/>
      <c r="BO5071" s="4"/>
      <c r="BQ5071" s="4"/>
      <c r="CC5071" s="4"/>
      <c r="CD5071" s="4"/>
      <c r="CF5071" s="4"/>
    </row>
    <row r="5072" spans="66:84">
      <c r="BN5072" s="4"/>
      <c r="BO5072" s="4"/>
      <c r="BQ5072" s="4"/>
      <c r="CC5072" s="4"/>
      <c r="CD5072" s="4"/>
      <c r="CF5072" s="4"/>
    </row>
    <row r="5073" spans="66:84">
      <c r="BN5073" s="4"/>
      <c r="BO5073" s="4"/>
      <c r="BQ5073" s="4"/>
      <c r="CC5073" s="4"/>
      <c r="CD5073" s="4"/>
      <c r="CF5073" s="4"/>
    </row>
    <row r="5074" spans="66:84">
      <c r="BN5074" s="4"/>
      <c r="BO5074" s="4"/>
      <c r="BQ5074" s="4"/>
      <c r="CC5074" s="4"/>
      <c r="CD5074" s="4"/>
      <c r="CF5074" s="4"/>
    </row>
    <row r="5075" spans="66:84">
      <c r="BN5075" s="4"/>
      <c r="BO5075" s="4"/>
      <c r="BQ5075" s="4"/>
      <c r="CC5075" s="4"/>
      <c r="CD5075" s="4"/>
      <c r="CF5075" s="4"/>
    </row>
    <row r="5076" spans="66:84">
      <c r="BN5076" s="4"/>
      <c r="BO5076" s="4"/>
      <c r="BQ5076" s="4"/>
      <c r="CC5076" s="4"/>
      <c r="CD5076" s="4"/>
      <c r="CF5076" s="4"/>
    </row>
    <row r="5077" spans="66:84">
      <c r="BN5077" s="4"/>
      <c r="BO5077" s="4"/>
      <c r="BQ5077" s="4"/>
      <c r="CC5077" s="4"/>
      <c r="CD5077" s="4"/>
      <c r="CF5077" s="4"/>
    </row>
    <row r="5078" spans="66:84">
      <c r="BN5078" s="4"/>
      <c r="BO5078" s="4"/>
      <c r="BQ5078" s="4"/>
      <c r="CC5078" s="4"/>
      <c r="CD5078" s="4"/>
      <c r="CF5078" s="4"/>
    </row>
    <row r="5079" spans="66:84">
      <c r="BN5079" s="4"/>
      <c r="BO5079" s="4"/>
      <c r="BQ5079" s="4"/>
      <c r="CC5079" s="4"/>
      <c r="CD5079" s="4"/>
      <c r="CF5079" s="4"/>
    </row>
    <row r="5080" spans="66:84">
      <c r="BN5080" s="4"/>
      <c r="BO5080" s="4"/>
      <c r="BQ5080" s="4"/>
      <c r="CC5080" s="4"/>
      <c r="CD5080" s="4"/>
      <c r="CF5080" s="4"/>
    </row>
    <row r="5081" spans="66:84">
      <c r="BN5081" s="4"/>
      <c r="BO5081" s="4"/>
      <c r="BQ5081" s="4"/>
      <c r="CC5081" s="4"/>
      <c r="CD5081" s="4"/>
      <c r="CF5081" s="4"/>
    </row>
    <row r="5082" spans="66:84">
      <c r="BN5082" s="4"/>
      <c r="BO5082" s="4"/>
      <c r="BQ5082" s="4"/>
      <c r="CC5082" s="4"/>
      <c r="CD5082" s="4"/>
      <c r="CF5082" s="4"/>
    </row>
    <row r="5083" spans="66:84">
      <c r="BN5083" s="4"/>
      <c r="BO5083" s="4"/>
      <c r="BQ5083" s="4"/>
      <c r="CC5083" s="4"/>
      <c r="CD5083" s="4"/>
      <c r="CF5083" s="4"/>
    </row>
    <row r="5084" spans="66:84">
      <c r="BN5084" s="4"/>
      <c r="BO5084" s="4"/>
      <c r="BQ5084" s="4"/>
      <c r="CC5084" s="4"/>
      <c r="CD5084" s="4"/>
      <c r="CF5084" s="4"/>
    </row>
    <row r="5085" spans="66:84">
      <c r="BN5085" s="4"/>
      <c r="BO5085" s="4"/>
      <c r="BQ5085" s="4"/>
      <c r="CC5085" s="4"/>
      <c r="CD5085" s="4"/>
      <c r="CF5085" s="4"/>
    </row>
    <row r="5086" spans="66:84">
      <c r="BN5086" s="4"/>
      <c r="BO5086" s="4"/>
      <c r="BQ5086" s="4"/>
      <c r="CC5086" s="4"/>
      <c r="CD5086" s="4"/>
      <c r="CF5086" s="4"/>
    </row>
    <row r="5087" spans="66:84">
      <c r="BN5087" s="4"/>
      <c r="BO5087" s="4"/>
      <c r="BQ5087" s="4"/>
      <c r="CC5087" s="4"/>
      <c r="CD5087" s="4"/>
      <c r="CF5087" s="4"/>
    </row>
    <row r="5088" spans="66:84">
      <c r="BN5088" s="4"/>
      <c r="BO5088" s="4"/>
      <c r="BQ5088" s="4"/>
      <c r="CC5088" s="4"/>
      <c r="CD5088" s="4"/>
      <c r="CF5088" s="4"/>
    </row>
    <row r="5089" spans="66:84">
      <c r="BN5089" s="4"/>
      <c r="BO5089" s="4"/>
      <c r="BQ5089" s="4"/>
      <c r="CC5089" s="4"/>
      <c r="CD5089" s="4"/>
      <c r="CF5089" s="4"/>
    </row>
    <row r="5090" spans="66:84">
      <c r="BN5090" s="4"/>
      <c r="BO5090" s="4"/>
      <c r="BQ5090" s="4"/>
      <c r="CC5090" s="4"/>
      <c r="CD5090" s="4"/>
      <c r="CF5090" s="4"/>
    </row>
    <row r="5091" spans="66:84">
      <c r="BN5091" s="4"/>
      <c r="BO5091" s="4"/>
      <c r="BQ5091" s="4"/>
      <c r="CC5091" s="4"/>
      <c r="CD5091" s="4"/>
      <c r="CF5091" s="4"/>
    </row>
    <row r="5092" spans="66:84">
      <c r="BN5092" s="4"/>
      <c r="BO5092" s="4"/>
      <c r="BQ5092" s="4"/>
      <c r="CC5092" s="4"/>
      <c r="CD5092" s="4"/>
      <c r="CF5092" s="4"/>
    </row>
    <row r="5093" spans="66:84">
      <c r="BN5093" s="4"/>
      <c r="BO5093" s="4"/>
      <c r="BQ5093" s="4"/>
      <c r="CC5093" s="4"/>
      <c r="CD5093" s="4"/>
      <c r="CF5093" s="4"/>
    </row>
    <row r="5094" spans="66:84">
      <c r="BN5094" s="4"/>
      <c r="BO5094" s="4"/>
      <c r="BQ5094" s="4"/>
      <c r="CC5094" s="4"/>
      <c r="CD5094" s="4"/>
      <c r="CF5094" s="4"/>
    </row>
    <row r="5095" spans="66:84">
      <c r="BN5095" s="4"/>
      <c r="BO5095" s="4"/>
      <c r="BQ5095" s="4"/>
      <c r="CC5095" s="4"/>
      <c r="CD5095" s="4"/>
      <c r="CF5095" s="4"/>
    </row>
    <row r="5096" spans="66:84">
      <c r="BN5096" s="4"/>
      <c r="BO5096" s="4"/>
      <c r="BQ5096" s="4"/>
      <c r="CC5096" s="4"/>
      <c r="CD5096" s="4"/>
      <c r="CF5096" s="4"/>
    </row>
    <row r="5097" spans="66:84">
      <c r="BN5097" s="4"/>
      <c r="BO5097" s="4"/>
      <c r="BQ5097" s="4"/>
      <c r="CC5097" s="4"/>
      <c r="CD5097" s="4"/>
      <c r="CF5097" s="4"/>
    </row>
    <row r="5098" spans="66:84">
      <c r="BN5098" s="4"/>
      <c r="BO5098" s="4"/>
      <c r="BQ5098" s="4"/>
      <c r="CC5098" s="4"/>
      <c r="CD5098" s="4"/>
      <c r="CF5098" s="4"/>
    </row>
    <row r="5099" spans="66:84">
      <c r="BN5099" s="4"/>
      <c r="BO5099" s="4"/>
      <c r="BQ5099" s="4"/>
      <c r="CC5099" s="4"/>
      <c r="CD5099" s="4"/>
      <c r="CF5099" s="4"/>
    </row>
    <row r="5100" spans="66:84">
      <c r="BN5100" s="4"/>
      <c r="BO5100" s="4"/>
      <c r="BQ5100" s="4"/>
      <c r="CC5100" s="4"/>
      <c r="CD5100" s="4"/>
      <c r="CF5100" s="4"/>
    </row>
    <row r="5101" spans="66:84">
      <c r="BN5101" s="4"/>
      <c r="BO5101" s="4"/>
      <c r="BQ5101" s="4"/>
      <c r="CC5101" s="4"/>
      <c r="CD5101" s="4"/>
      <c r="CF5101" s="4"/>
    </row>
    <row r="5102" spans="66:84">
      <c r="BN5102" s="4"/>
      <c r="BO5102" s="4"/>
      <c r="BQ5102" s="4"/>
      <c r="CC5102" s="4"/>
      <c r="CD5102" s="4"/>
      <c r="CF5102" s="4"/>
    </row>
    <row r="5103" spans="66:84">
      <c r="BN5103" s="4"/>
      <c r="BO5103" s="4"/>
      <c r="BQ5103" s="4"/>
      <c r="CC5103" s="4"/>
      <c r="CD5103" s="4"/>
      <c r="CF5103" s="4"/>
    </row>
    <row r="5104" spans="66:84">
      <c r="BN5104" s="4"/>
      <c r="BO5104" s="4"/>
      <c r="BQ5104" s="4"/>
      <c r="CC5104" s="4"/>
      <c r="CD5104" s="4"/>
      <c r="CF5104" s="4"/>
    </row>
    <row r="5105" spans="66:84">
      <c r="BN5105" s="4"/>
      <c r="BO5105" s="4"/>
      <c r="BQ5105" s="4"/>
      <c r="CC5105" s="4"/>
      <c r="CD5105" s="4"/>
      <c r="CF5105" s="4"/>
    </row>
    <row r="5106" spans="66:84">
      <c r="BN5106" s="4"/>
      <c r="BO5106" s="4"/>
      <c r="BQ5106" s="4"/>
      <c r="CC5106" s="4"/>
      <c r="CD5106" s="4"/>
      <c r="CF5106" s="4"/>
    </row>
    <row r="5107" spans="66:84">
      <c r="BN5107" s="4"/>
      <c r="BO5107" s="4"/>
      <c r="BQ5107" s="4"/>
      <c r="CC5107" s="4"/>
      <c r="CD5107" s="4"/>
      <c r="CF5107" s="4"/>
    </row>
    <row r="5108" spans="66:84">
      <c r="BN5108" s="4"/>
      <c r="BO5108" s="4"/>
      <c r="BQ5108" s="4"/>
      <c r="CC5108" s="4"/>
      <c r="CD5108" s="4"/>
      <c r="CF5108" s="4"/>
    </row>
    <row r="5109" spans="66:84">
      <c r="BN5109" s="4"/>
      <c r="BO5109" s="4"/>
      <c r="BQ5109" s="4"/>
      <c r="CC5109" s="4"/>
      <c r="CD5109" s="4"/>
      <c r="CF5109" s="4"/>
    </row>
    <row r="5110" spans="66:84">
      <c r="BN5110" s="4"/>
      <c r="BO5110" s="4"/>
      <c r="BQ5110" s="4"/>
      <c r="CC5110" s="4"/>
      <c r="CD5110" s="4"/>
      <c r="CF5110" s="4"/>
    </row>
    <row r="5111" spans="66:84">
      <c r="BN5111" s="4"/>
      <c r="BO5111" s="4"/>
      <c r="BQ5111" s="4"/>
      <c r="CC5111" s="4"/>
      <c r="CD5111" s="4"/>
      <c r="CF5111" s="4"/>
    </row>
    <row r="5112" spans="66:84">
      <c r="BN5112" s="4"/>
      <c r="BO5112" s="4"/>
      <c r="BQ5112" s="4"/>
      <c r="CC5112" s="4"/>
      <c r="CD5112" s="4"/>
      <c r="CF5112" s="4"/>
    </row>
    <row r="5113" spans="66:84">
      <c r="BN5113" s="4"/>
      <c r="BO5113" s="4"/>
      <c r="BQ5113" s="4"/>
      <c r="CC5113" s="4"/>
      <c r="CD5113" s="4"/>
      <c r="CF5113" s="4"/>
    </row>
    <row r="5114" spans="66:84">
      <c r="BN5114" s="4"/>
      <c r="BO5114" s="4"/>
      <c r="BQ5114" s="4"/>
      <c r="CC5114" s="4"/>
      <c r="CD5114" s="4"/>
      <c r="CF5114" s="4"/>
    </row>
    <row r="5115" spans="66:84">
      <c r="BN5115" s="4"/>
      <c r="BO5115" s="4"/>
      <c r="BQ5115" s="4"/>
      <c r="CC5115" s="4"/>
      <c r="CD5115" s="4"/>
      <c r="CF5115" s="4"/>
    </row>
    <row r="5116" spans="66:84">
      <c r="BN5116" s="4"/>
      <c r="BO5116" s="4"/>
      <c r="BQ5116" s="4"/>
      <c r="CC5116" s="4"/>
      <c r="CD5116" s="4"/>
      <c r="CF5116" s="4"/>
    </row>
    <row r="5117" spans="66:84">
      <c r="BN5117" s="4"/>
      <c r="BO5117" s="4"/>
      <c r="BQ5117" s="4"/>
      <c r="CC5117" s="4"/>
      <c r="CD5117" s="4"/>
      <c r="CF5117" s="4"/>
    </row>
    <row r="5118" spans="66:84">
      <c r="BN5118" s="4"/>
      <c r="BO5118" s="4"/>
      <c r="BQ5118" s="4"/>
      <c r="CC5118" s="4"/>
      <c r="CD5118" s="4"/>
      <c r="CF5118" s="4"/>
    </row>
    <row r="5119" spans="66:84">
      <c r="BN5119" s="4"/>
      <c r="BO5119" s="4"/>
      <c r="BQ5119" s="4"/>
      <c r="CC5119" s="4"/>
      <c r="CD5119" s="4"/>
      <c r="CF5119" s="4"/>
    </row>
    <row r="5120" spans="66:84">
      <c r="BN5120" s="4"/>
      <c r="BO5120" s="4"/>
      <c r="BQ5120" s="4"/>
      <c r="CC5120" s="4"/>
      <c r="CD5120" s="4"/>
      <c r="CF5120" s="4"/>
    </row>
    <row r="5121" spans="66:84">
      <c r="BN5121" s="4"/>
      <c r="BO5121" s="4"/>
      <c r="BQ5121" s="4"/>
      <c r="CC5121" s="4"/>
      <c r="CD5121" s="4"/>
      <c r="CF5121" s="4"/>
    </row>
    <row r="5122" spans="66:84">
      <c r="BN5122" s="4"/>
      <c r="BO5122" s="4"/>
      <c r="BQ5122" s="4"/>
      <c r="CC5122" s="4"/>
      <c r="CD5122" s="4"/>
      <c r="CF5122" s="4"/>
    </row>
    <row r="5123" spans="66:84">
      <c r="BN5123" s="4"/>
      <c r="BO5123" s="4"/>
      <c r="BQ5123" s="4"/>
      <c r="CC5123" s="4"/>
      <c r="CD5123" s="4"/>
      <c r="CF5123" s="4"/>
    </row>
    <row r="5124" spans="66:84">
      <c r="BN5124" s="4"/>
      <c r="BO5124" s="4"/>
      <c r="BQ5124" s="4"/>
      <c r="CC5124" s="4"/>
      <c r="CD5124" s="4"/>
      <c r="CF5124" s="4"/>
    </row>
    <row r="5125" spans="66:84">
      <c r="BN5125" s="4"/>
      <c r="BO5125" s="4"/>
      <c r="BQ5125" s="4"/>
      <c r="CC5125" s="4"/>
      <c r="CD5125" s="4"/>
      <c r="CF5125" s="4"/>
    </row>
    <row r="5126" spans="66:84">
      <c r="BN5126" s="4"/>
      <c r="BO5126" s="4"/>
      <c r="BQ5126" s="4"/>
      <c r="CC5126" s="4"/>
      <c r="CD5126" s="4"/>
      <c r="CF5126" s="4"/>
    </row>
    <row r="5127" spans="66:84">
      <c r="BN5127" s="4"/>
      <c r="BO5127" s="4"/>
      <c r="BQ5127" s="4"/>
      <c r="CC5127" s="4"/>
      <c r="CD5127" s="4"/>
      <c r="CF5127" s="4"/>
    </row>
    <row r="5128" spans="66:84">
      <c r="BN5128" s="4"/>
      <c r="BO5128" s="4"/>
      <c r="BQ5128" s="4"/>
      <c r="CC5128" s="4"/>
      <c r="CD5128" s="4"/>
      <c r="CF5128" s="4"/>
    </row>
    <row r="5129" spans="66:84">
      <c r="BN5129" s="4"/>
      <c r="BO5129" s="4"/>
      <c r="BQ5129" s="4"/>
      <c r="CC5129" s="4"/>
      <c r="CD5129" s="4"/>
      <c r="CF5129" s="4"/>
    </row>
    <row r="5130" spans="66:84">
      <c r="BN5130" s="4"/>
      <c r="BO5130" s="4"/>
      <c r="BQ5130" s="4"/>
      <c r="CC5130" s="4"/>
      <c r="CD5130" s="4"/>
      <c r="CF5130" s="4"/>
    </row>
    <row r="5131" spans="66:84">
      <c r="BN5131" s="4"/>
      <c r="BO5131" s="4"/>
      <c r="BQ5131" s="4"/>
      <c r="CC5131" s="4"/>
      <c r="CD5131" s="4"/>
      <c r="CF5131" s="4"/>
    </row>
    <row r="5132" spans="66:84">
      <c r="BN5132" s="4"/>
      <c r="BO5132" s="4"/>
      <c r="BQ5132" s="4"/>
      <c r="CC5132" s="4"/>
      <c r="CD5132" s="4"/>
      <c r="CF5132" s="4"/>
    </row>
    <row r="5133" spans="66:84">
      <c r="BN5133" s="4"/>
      <c r="BO5133" s="4"/>
      <c r="BQ5133" s="4"/>
      <c r="CC5133" s="4"/>
      <c r="CD5133" s="4"/>
      <c r="CF5133" s="4"/>
    </row>
    <row r="5134" spans="66:84">
      <c r="BN5134" s="4"/>
      <c r="BO5134" s="4"/>
      <c r="BQ5134" s="4"/>
      <c r="CC5134" s="4"/>
      <c r="CD5134" s="4"/>
      <c r="CF5134" s="4"/>
    </row>
    <row r="5135" spans="66:84">
      <c r="BN5135" s="4"/>
      <c r="BO5135" s="4"/>
      <c r="BQ5135" s="4"/>
      <c r="CC5135" s="4"/>
      <c r="CD5135" s="4"/>
      <c r="CF5135" s="4"/>
    </row>
    <row r="5136" spans="66:84">
      <c r="BN5136" s="4"/>
      <c r="BO5136" s="4"/>
      <c r="BQ5136" s="4"/>
      <c r="CC5136" s="4"/>
      <c r="CD5136" s="4"/>
      <c r="CF5136" s="4"/>
    </row>
    <row r="5137" spans="66:84">
      <c r="BN5137" s="4"/>
      <c r="BO5137" s="4"/>
      <c r="BQ5137" s="4"/>
      <c r="CC5137" s="4"/>
      <c r="CD5137" s="4"/>
      <c r="CF5137" s="4"/>
    </row>
    <row r="5138" spans="66:84">
      <c r="BN5138" s="4"/>
      <c r="BO5138" s="4"/>
      <c r="BQ5138" s="4"/>
      <c r="CC5138" s="4"/>
      <c r="CD5138" s="4"/>
      <c r="CF5138" s="4"/>
    </row>
    <row r="5139" spans="66:84">
      <c r="BN5139" s="4"/>
      <c r="BO5139" s="4"/>
      <c r="BQ5139" s="4"/>
      <c r="CC5139" s="4"/>
      <c r="CD5139" s="4"/>
      <c r="CF5139" s="4"/>
    </row>
    <row r="5140" spans="66:84">
      <c r="BN5140" s="4"/>
      <c r="BO5140" s="4"/>
      <c r="BQ5140" s="4"/>
      <c r="CC5140" s="4"/>
      <c r="CD5140" s="4"/>
      <c r="CF5140" s="4"/>
    </row>
    <row r="5141" spans="66:84">
      <c r="BN5141" s="4"/>
      <c r="BO5141" s="4"/>
      <c r="BQ5141" s="4"/>
      <c r="CC5141" s="4"/>
      <c r="CD5141" s="4"/>
      <c r="CF5141" s="4"/>
    </row>
    <row r="5142" spans="66:84">
      <c r="BN5142" s="4"/>
      <c r="BO5142" s="4"/>
      <c r="BQ5142" s="4"/>
      <c r="CC5142" s="4"/>
      <c r="CD5142" s="4"/>
      <c r="CF5142" s="4"/>
    </row>
    <row r="5143" spans="66:84">
      <c r="BN5143" s="4"/>
      <c r="BO5143" s="4"/>
      <c r="BQ5143" s="4"/>
      <c r="CC5143" s="4"/>
      <c r="CD5143" s="4"/>
      <c r="CF5143" s="4"/>
    </row>
    <row r="5144" spans="66:84">
      <c r="BN5144" s="4"/>
      <c r="BO5144" s="4"/>
      <c r="BQ5144" s="4"/>
      <c r="CC5144" s="4"/>
      <c r="CD5144" s="4"/>
      <c r="CF5144" s="4"/>
    </row>
    <row r="5145" spans="66:84">
      <c r="BN5145" s="4"/>
      <c r="BO5145" s="4"/>
      <c r="BQ5145" s="4"/>
      <c r="CC5145" s="4"/>
      <c r="CD5145" s="4"/>
      <c r="CF5145" s="4"/>
    </row>
    <row r="5146" spans="66:84">
      <c r="BN5146" s="4"/>
      <c r="BO5146" s="4"/>
      <c r="BQ5146" s="4"/>
      <c r="CC5146" s="4"/>
      <c r="CD5146" s="4"/>
      <c r="CF5146" s="4"/>
    </row>
    <row r="5147" spans="66:84">
      <c r="BN5147" s="4"/>
      <c r="BO5147" s="4"/>
      <c r="BQ5147" s="4"/>
      <c r="CC5147" s="4"/>
      <c r="CD5147" s="4"/>
      <c r="CF5147" s="4"/>
    </row>
    <row r="5148" spans="66:84">
      <c r="BN5148" s="4"/>
      <c r="BO5148" s="4"/>
      <c r="BQ5148" s="4"/>
      <c r="CC5148" s="4"/>
      <c r="CD5148" s="4"/>
      <c r="CF5148" s="4"/>
    </row>
    <row r="5149" spans="66:84">
      <c r="BN5149" s="4"/>
      <c r="BO5149" s="4"/>
      <c r="BQ5149" s="4"/>
      <c r="CC5149" s="4"/>
      <c r="CD5149" s="4"/>
      <c r="CF5149" s="4"/>
    </row>
    <row r="5150" spans="66:84">
      <c r="BN5150" s="4"/>
      <c r="BO5150" s="4"/>
      <c r="BQ5150" s="4"/>
      <c r="CC5150" s="4"/>
      <c r="CD5150" s="4"/>
      <c r="CF5150" s="4"/>
    </row>
    <row r="5151" spans="66:84">
      <c r="BN5151" s="4"/>
      <c r="BO5151" s="4"/>
      <c r="BQ5151" s="4"/>
      <c r="CC5151" s="4"/>
      <c r="CD5151" s="4"/>
      <c r="CF5151" s="4"/>
    </row>
    <row r="5152" spans="66:84">
      <c r="BN5152" s="4"/>
      <c r="BO5152" s="4"/>
      <c r="BQ5152" s="4"/>
      <c r="CC5152" s="4"/>
      <c r="CD5152" s="4"/>
      <c r="CF5152" s="4"/>
    </row>
    <row r="5153" spans="66:84">
      <c r="BN5153" s="4"/>
      <c r="BO5153" s="4"/>
      <c r="BQ5153" s="4"/>
      <c r="CC5153" s="4"/>
      <c r="CD5153" s="4"/>
      <c r="CF5153" s="4"/>
    </row>
    <row r="5154" spans="66:84">
      <c r="BN5154" s="4"/>
      <c r="BO5154" s="4"/>
      <c r="BQ5154" s="4"/>
      <c r="CC5154" s="4"/>
      <c r="CD5154" s="4"/>
      <c r="CF5154" s="4"/>
    </row>
    <row r="5155" spans="66:84">
      <c r="BN5155" s="4"/>
      <c r="BO5155" s="4"/>
      <c r="BQ5155" s="4"/>
      <c r="CC5155" s="4"/>
      <c r="CD5155" s="4"/>
      <c r="CF5155" s="4"/>
    </row>
    <row r="5156" spans="66:84">
      <c r="BN5156" s="4"/>
      <c r="BO5156" s="4"/>
      <c r="BQ5156" s="4"/>
      <c r="CC5156" s="4"/>
      <c r="CD5156" s="4"/>
      <c r="CF5156" s="4"/>
    </row>
    <row r="5157" spans="66:84">
      <c r="BN5157" s="4"/>
      <c r="BO5157" s="4"/>
      <c r="BQ5157" s="4"/>
      <c r="CC5157" s="4"/>
      <c r="CD5157" s="4"/>
      <c r="CF5157" s="4"/>
    </row>
    <row r="5158" spans="66:84">
      <c r="BN5158" s="4"/>
      <c r="BO5158" s="4"/>
      <c r="BQ5158" s="4"/>
      <c r="CC5158" s="4"/>
      <c r="CD5158" s="4"/>
      <c r="CF5158" s="4"/>
    </row>
    <row r="5159" spans="66:84">
      <c r="BN5159" s="4"/>
      <c r="BO5159" s="4"/>
      <c r="BQ5159" s="4"/>
      <c r="CC5159" s="4"/>
      <c r="CD5159" s="4"/>
      <c r="CF5159" s="4"/>
    </row>
    <row r="5160" spans="66:84">
      <c r="BN5160" s="4"/>
      <c r="BO5160" s="4"/>
      <c r="BQ5160" s="4"/>
      <c r="CC5160" s="4"/>
      <c r="CD5160" s="4"/>
      <c r="CF5160" s="4"/>
    </row>
    <row r="5161" spans="66:84">
      <c r="BN5161" s="4"/>
      <c r="BO5161" s="4"/>
      <c r="BQ5161" s="4"/>
      <c r="CC5161" s="4"/>
      <c r="CD5161" s="4"/>
      <c r="CF5161" s="4"/>
    </row>
    <row r="5162" spans="66:84">
      <c r="BN5162" s="4"/>
      <c r="BO5162" s="4"/>
      <c r="BQ5162" s="4"/>
      <c r="CC5162" s="4"/>
      <c r="CD5162" s="4"/>
      <c r="CF5162" s="4"/>
    </row>
    <row r="5163" spans="66:84">
      <c r="BN5163" s="4"/>
      <c r="BO5163" s="4"/>
      <c r="BQ5163" s="4"/>
      <c r="CC5163" s="4"/>
      <c r="CD5163" s="4"/>
      <c r="CF5163" s="4"/>
    </row>
    <row r="5164" spans="66:84">
      <c r="BN5164" s="4"/>
      <c r="BO5164" s="4"/>
      <c r="BQ5164" s="4"/>
      <c r="CC5164" s="4"/>
      <c r="CD5164" s="4"/>
      <c r="CF5164" s="4"/>
    </row>
    <row r="5165" spans="66:84">
      <c r="BN5165" s="4"/>
      <c r="BO5165" s="4"/>
      <c r="BQ5165" s="4"/>
      <c r="CC5165" s="4"/>
      <c r="CD5165" s="4"/>
      <c r="CF5165" s="4"/>
    </row>
    <row r="5166" spans="66:84">
      <c r="BN5166" s="4"/>
      <c r="BO5166" s="4"/>
      <c r="BQ5166" s="4"/>
      <c r="CC5166" s="4"/>
      <c r="CD5166" s="4"/>
      <c r="CF5166" s="4"/>
    </row>
    <row r="5167" spans="66:84">
      <c r="BN5167" s="4"/>
      <c r="BO5167" s="4"/>
      <c r="BQ5167" s="4"/>
      <c r="CC5167" s="4"/>
      <c r="CD5167" s="4"/>
      <c r="CF5167" s="4"/>
    </row>
    <row r="5168" spans="66:84">
      <c r="BN5168" s="4"/>
      <c r="BO5168" s="4"/>
      <c r="BQ5168" s="4"/>
      <c r="CC5168" s="4"/>
      <c r="CD5168" s="4"/>
      <c r="CF5168" s="4"/>
    </row>
    <row r="5169" spans="66:84">
      <c r="BN5169" s="4"/>
      <c r="BO5169" s="4"/>
      <c r="BQ5169" s="4"/>
      <c r="CC5169" s="4"/>
      <c r="CD5169" s="4"/>
      <c r="CF5169" s="4"/>
    </row>
    <row r="5170" spans="66:84">
      <c r="BN5170" s="4"/>
      <c r="BO5170" s="4"/>
      <c r="BQ5170" s="4"/>
      <c r="CC5170" s="4"/>
      <c r="CD5170" s="4"/>
      <c r="CF5170" s="4"/>
    </row>
    <row r="5171" spans="66:84">
      <c r="BN5171" s="4"/>
      <c r="BO5171" s="4"/>
      <c r="BQ5171" s="4"/>
      <c r="CC5171" s="4"/>
      <c r="CD5171" s="4"/>
      <c r="CF5171" s="4"/>
    </row>
    <row r="5172" spans="66:84">
      <c r="BN5172" s="4"/>
      <c r="BO5172" s="4"/>
      <c r="BQ5172" s="4"/>
      <c r="CC5172" s="4"/>
      <c r="CD5172" s="4"/>
      <c r="CF5172" s="4"/>
    </row>
    <row r="5173" spans="66:84">
      <c r="BN5173" s="4"/>
      <c r="BO5173" s="4"/>
      <c r="BQ5173" s="4"/>
      <c r="CC5173" s="4"/>
      <c r="CD5173" s="4"/>
      <c r="CF5173" s="4"/>
    </row>
    <row r="5174" spans="66:84">
      <c r="BN5174" s="4"/>
      <c r="BO5174" s="4"/>
      <c r="BQ5174" s="4"/>
      <c r="CC5174" s="4"/>
      <c r="CD5174" s="4"/>
      <c r="CF5174" s="4"/>
    </row>
    <row r="5175" spans="66:84">
      <c r="BN5175" s="4"/>
      <c r="BO5175" s="4"/>
      <c r="BQ5175" s="4"/>
      <c r="CC5175" s="4"/>
      <c r="CD5175" s="4"/>
      <c r="CF5175" s="4"/>
    </row>
    <row r="5176" spans="66:84">
      <c r="BN5176" s="4"/>
      <c r="BO5176" s="4"/>
      <c r="BQ5176" s="4"/>
      <c r="CC5176" s="4"/>
      <c r="CD5176" s="4"/>
      <c r="CF5176" s="4"/>
    </row>
    <row r="5177" spans="66:84">
      <c r="BN5177" s="4"/>
      <c r="BO5177" s="4"/>
      <c r="BQ5177" s="4"/>
      <c r="CC5177" s="4"/>
      <c r="CD5177" s="4"/>
      <c r="CF5177" s="4"/>
    </row>
    <row r="5178" spans="66:84">
      <c r="BN5178" s="4"/>
      <c r="BO5178" s="4"/>
      <c r="BQ5178" s="4"/>
      <c r="CC5178" s="4"/>
      <c r="CD5178" s="4"/>
      <c r="CF5178" s="4"/>
    </row>
    <row r="5179" spans="66:84">
      <c r="BN5179" s="4"/>
      <c r="BO5179" s="4"/>
      <c r="BQ5179" s="4"/>
      <c r="CC5179" s="4"/>
      <c r="CD5179" s="4"/>
      <c r="CF5179" s="4"/>
    </row>
    <row r="5180" spans="66:84">
      <c r="BN5180" s="4"/>
      <c r="BO5180" s="4"/>
      <c r="BQ5180" s="4"/>
      <c r="CC5180" s="4"/>
      <c r="CD5180" s="4"/>
      <c r="CF5180" s="4"/>
    </row>
    <row r="5181" spans="66:84">
      <c r="BN5181" s="4"/>
      <c r="BO5181" s="4"/>
      <c r="BQ5181" s="4"/>
      <c r="CC5181" s="4"/>
      <c r="CD5181" s="4"/>
      <c r="CF5181" s="4"/>
    </row>
    <row r="5182" spans="66:84">
      <c r="BN5182" s="4"/>
      <c r="BO5182" s="4"/>
      <c r="BQ5182" s="4"/>
      <c r="CC5182" s="4"/>
      <c r="CD5182" s="4"/>
      <c r="CF5182" s="4"/>
    </row>
    <row r="5183" spans="66:84">
      <c r="BN5183" s="4"/>
      <c r="BO5183" s="4"/>
      <c r="BQ5183" s="4"/>
      <c r="CC5183" s="4"/>
      <c r="CD5183" s="4"/>
      <c r="CF5183" s="4"/>
    </row>
    <row r="5184" spans="66:84">
      <c r="BN5184" s="4"/>
      <c r="BO5184" s="4"/>
      <c r="BQ5184" s="4"/>
      <c r="CC5184" s="4"/>
      <c r="CD5184" s="4"/>
      <c r="CF5184" s="4"/>
    </row>
    <row r="5185" spans="66:84">
      <c r="BN5185" s="4"/>
      <c r="BO5185" s="4"/>
      <c r="BQ5185" s="4"/>
      <c r="CC5185" s="4"/>
      <c r="CD5185" s="4"/>
      <c r="CF5185" s="4"/>
    </row>
    <row r="5186" spans="66:84">
      <c r="BN5186" s="4"/>
      <c r="BO5186" s="4"/>
      <c r="BQ5186" s="4"/>
      <c r="CC5186" s="4"/>
      <c r="CD5186" s="4"/>
      <c r="CF5186" s="4"/>
    </row>
    <row r="5187" spans="66:84">
      <c r="BN5187" s="4"/>
      <c r="BO5187" s="4"/>
      <c r="BQ5187" s="4"/>
      <c r="CC5187" s="4"/>
      <c r="CD5187" s="4"/>
      <c r="CF5187" s="4"/>
    </row>
    <row r="5188" spans="66:84">
      <c r="BN5188" s="4"/>
      <c r="BO5188" s="4"/>
      <c r="BQ5188" s="4"/>
      <c r="CC5188" s="4"/>
      <c r="CD5188" s="4"/>
      <c r="CF5188" s="4"/>
    </row>
    <row r="5189" spans="66:84">
      <c r="BN5189" s="4"/>
      <c r="BO5189" s="4"/>
      <c r="BQ5189" s="4"/>
      <c r="CC5189" s="4"/>
      <c r="CD5189" s="4"/>
      <c r="CF5189" s="4"/>
    </row>
    <row r="5190" spans="66:84">
      <c r="BN5190" s="4"/>
      <c r="BO5190" s="4"/>
      <c r="BQ5190" s="4"/>
      <c r="CC5190" s="4"/>
      <c r="CD5190" s="4"/>
      <c r="CF5190" s="4"/>
    </row>
    <row r="5191" spans="66:84">
      <c r="BN5191" s="4"/>
      <c r="BO5191" s="4"/>
      <c r="BQ5191" s="4"/>
      <c r="CC5191" s="4"/>
      <c r="CD5191" s="4"/>
      <c r="CF5191" s="4"/>
    </row>
    <row r="5192" spans="66:84">
      <c r="BN5192" s="4"/>
      <c r="BO5192" s="4"/>
      <c r="BQ5192" s="4"/>
      <c r="CC5192" s="4"/>
      <c r="CD5192" s="4"/>
      <c r="CF5192" s="4"/>
    </row>
    <row r="5193" spans="66:84">
      <c r="BN5193" s="4"/>
      <c r="BO5193" s="4"/>
      <c r="BQ5193" s="4"/>
      <c r="CC5193" s="4"/>
      <c r="CD5193" s="4"/>
      <c r="CF5193" s="4"/>
    </row>
    <row r="5194" spans="66:84">
      <c r="BN5194" s="4"/>
      <c r="BO5194" s="4"/>
      <c r="BQ5194" s="4"/>
      <c r="CC5194" s="4"/>
      <c r="CD5194" s="4"/>
      <c r="CF5194" s="4"/>
    </row>
    <row r="5195" spans="66:84">
      <c r="BN5195" s="4"/>
      <c r="BO5195" s="4"/>
      <c r="BQ5195" s="4"/>
      <c r="CC5195" s="4"/>
      <c r="CD5195" s="4"/>
      <c r="CF5195" s="4"/>
    </row>
    <row r="5196" spans="66:84">
      <c r="BN5196" s="4"/>
      <c r="BO5196" s="4"/>
      <c r="BQ5196" s="4"/>
      <c r="CC5196" s="4"/>
      <c r="CD5196" s="4"/>
      <c r="CF5196" s="4"/>
    </row>
    <row r="5197" spans="66:84">
      <c r="BN5197" s="4"/>
      <c r="BO5197" s="4"/>
      <c r="BQ5197" s="4"/>
      <c r="CC5197" s="4"/>
      <c r="CD5197" s="4"/>
      <c r="CF5197" s="4"/>
    </row>
    <row r="5198" spans="66:84">
      <c r="BN5198" s="4"/>
      <c r="BO5198" s="4"/>
      <c r="BQ5198" s="4"/>
      <c r="CC5198" s="4"/>
      <c r="CD5198" s="4"/>
      <c r="CF5198" s="4"/>
    </row>
    <row r="5199" spans="66:84">
      <c r="BN5199" s="4"/>
      <c r="BO5199" s="4"/>
      <c r="BQ5199" s="4"/>
      <c r="CC5199" s="4"/>
      <c r="CD5199" s="4"/>
      <c r="CF5199" s="4"/>
    </row>
    <row r="5200" spans="66:84">
      <c r="BN5200" s="4"/>
      <c r="BO5200" s="4"/>
      <c r="BQ5200" s="4"/>
      <c r="CC5200" s="4"/>
      <c r="CD5200" s="4"/>
      <c r="CF5200" s="4"/>
    </row>
    <row r="5201" spans="66:84">
      <c r="BN5201" s="4"/>
      <c r="BO5201" s="4"/>
      <c r="BQ5201" s="4"/>
      <c r="CC5201" s="4"/>
      <c r="CD5201" s="4"/>
      <c r="CF5201" s="4"/>
    </row>
    <row r="5202" spans="66:84">
      <c r="BN5202" s="4"/>
      <c r="BO5202" s="4"/>
      <c r="BQ5202" s="4"/>
      <c r="CC5202" s="4"/>
      <c r="CD5202" s="4"/>
      <c r="CF5202" s="4"/>
    </row>
    <row r="5203" spans="66:84">
      <c r="BN5203" s="4"/>
      <c r="BO5203" s="4"/>
      <c r="BQ5203" s="4"/>
      <c r="CC5203" s="4"/>
      <c r="CD5203" s="4"/>
      <c r="CF5203" s="4"/>
    </row>
    <row r="5204" spans="66:84">
      <c r="BN5204" s="4"/>
      <c r="BO5204" s="4"/>
      <c r="BQ5204" s="4"/>
      <c r="CC5204" s="4"/>
      <c r="CD5204" s="4"/>
      <c r="CF5204" s="4"/>
    </row>
    <row r="5205" spans="66:84">
      <c r="BN5205" s="4"/>
      <c r="BO5205" s="4"/>
      <c r="BQ5205" s="4"/>
      <c r="CC5205" s="4"/>
      <c r="CD5205" s="4"/>
      <c r="CF5205" s="4"/>
    </row>
    <row r="5206" spans="66:84">
      <c r="BN5206" s="4"/>
      <c r="BO5206" s="4"/>
      <c r="BQ5206" s="4"/>
      <c r="CC5206" s="4"/>
      <c r="CD5206" s="4"/>
      <c r="CF5206" s="4"/>
    </row>
    <row r="5207" spans="66:84">
      <c r="BN5207" s="4"/>
      <c r="BO5207" s="4"/>
      <c r="BQ5207" s="4"/>
      <c r="CC5207" s="4"/>
      <c r="CD5207" s="4"/>
      <c r="CF5207" s="4"/>
    </row>
    <row r="5208" spans="66:84">
      <c r="BN5208" s="4"/>
      <c r="BO5208" s="4"/>
      <c r="BQ5208" s="4"/>
      <c r="CC5208" s="4"/>
      <c r="CD5208" s="4"/>
      <c r="CF5208" s="4"/>
    </row>
    <row r="5209" spans="66:84">
      <c r="BN5209" s="4"/>
      <c r="BO5209" s="4"/>
      <c r="BQ5209" s="4"/>
      <c r="CC5209" s="4"/>
      <c r="CD5209" s="4"/>
      <c r="CF5209" s="4"/>
    </row>
    <row r="5210" spans="66:84">
      <c r="BN5210" s="4"/>
      <c r="BO5210" s="4"/>
      <c r="BQ5210" s="4"/>
      <c r="CC5210" s="4"/>
      <c r="CD5210" s="4"/>
      <c r="CF5210" s="4"/>
    </row>
    <row r="5211" spans="66:84">
      <c r="BN5211" s="4"/>
      <c r="BO5211" s="4"/>
      <c r="BQ5211" s="4"/>
      <c r="CC5211" s="4"/>
      <c r="CD5211" s="4"/>
      <c r="CF5211" s="4"/>
    </row>
    <row r="5212" spans="66:84">
      <c r="BN5212" s="4"/>
      <c r="BO5212" s="4"/>
      <c r="BQ5212" s="4"/>
      <c r="CC5212" s="4"/>
      <c r="CD5212" s="4"/>
      <c r="CF5212" s="4"/>
    </row>
    <row r="5213" spans="66:84">
      <c r="BN5213" s="4"/>
      <c r="BO5213" s="4"/>
      <c r="BQ5213" s="4"/>
      <c r="CC5213" s="4"/>
      <c r="CD5213" s="4"/>
      <c r="CF5213" s="4"/>
    </row>
    <row r="5214" spans="66:84">
      <c r="BN5214" s="4"/>
      <c r="BO5214" s="4"/>
      <c r="BQ5214" s="4"/>
      <c r="CC5214" s="4"/>
      <c r="CD5214" s="4"/>
      <c r="CF5214" s="4"/>
    </row>
    <row r="5215" spans="66:84">
      <c r="BN5215" s="4"/>
      <c r="BO5215" s="4"/>
      <c r="BQ5215" s="4"/>
      <c r="CC5215" s="4"/>
      <c r="CD5215" s="4"/>
      <c r="CF5215" s="4"/>
    </row>
    <row r="5216" spans="66:84">
      <c r="BN5216" s="4"/>
      <c r="BO5216" s="4"/>
      <c r="BQ5216" s="4"/>
      <c r="CC5216" s="4"/>
      <c r="CD5216" s="4"/>
      <c r="CF5216" s="4"/>
    </row>
    <row r="5217" spans="66:84">
      <c r="BN5217" s="4"/>
      <c r="BO5217" s="4"/>
      <c r="BQ5217" s="4"/>
      <c r="CC5217" s="4"/>
      <c r="CD5217" s="4"/>
      <c r="CF5217" s="4"/>
    </row>
    <row r="5218" spans="66:84">
      <c r="BN5218" s="4"/>
      <c r="BO5218" s="4"/>
      <c r="BQ5218" s="4"/>
      <c r="CC5218" s="4"/>
      <c r="CD5218" s="4"/>
      <c r="CF5218" s="4"/>
    </row>
    <row r="5219" spans="66:84">
      <c r="BN5219" s="4"/>
      <c r="BO5219" s="4"/>
      <c r="BQ5219" s="4"/>
      <c r="CC5219" s="4"/>
      <c r="CD5219" s="4"/>
      <c r="CF5219" s="4"/>
    </row>
    <row r="5220" spans="66:84">
      <c r="BN5220" s="4"/>
      <c r="BO5220" s="4"/>
      <c r="BQ5220" s="4"/>
      <c r="CC5220" s="4"/>
      <c r="CD5220" s="4"/>
      <c r="CF5220" s="4"/>
    </row>
    <row r="5221" spans="66:84">
      <c r="BN5221" s="4"/>
      <c r="BO5221" s="4"/>
      <c r="BQ5221" s="4"/>
      <c r="CC5221" s="4"/>
      <c r="CD5221" s="4"/>
      <c r="CF5221" s="4"/>
    </row>
    <row r="5222" spans="66:84">
      <c r="BN5222" s="4"/>
      <c r="BO5222" s="4"/>
      <c r="BQ5222" s="4"/>
      <c r="CC5222" s="4"/>
      <c r="CD5222" s="4"/>
      <c r="CF5222" s="4"/>
    </row>
    <row r="5223" spans="66:84">
      <c r="BN5223" s="4"/>
      <c r="BO5223" s="4"/>
      <c r="BQ5223" s="4"/>
      <c r="CC5223" s="4"/>
      <c r="CD5223" s="4"/>
      <c r="CF5223" s="4"/>
    </row>
    <row r="5224" spans="66:84">
      <c r="BN5224" s="4"/>
      <c r="BO5224" s="4"/>
      <c r="BQ5224" s="4"/>
      <c r="CC5224" s="4"/>
      <c r="CD5224" s="4"/>
      <c r="CF5224" s="4"/>
    </row>
    <row r="5225" spans="66:84">
      <c r="BN5225" s="4"/>
      <c r="BO5225" s="4"/>
      <c r="BQ5225" s="4"/>
      <c r="CC5225" s="4"/>
      <c r="CD5225" s="4"/>
      <c r="CF5225" s="4"/>
    </row>
    <row r="5226" spans="66:84">
      <c r="BN5226" s="4"/>
      <c r="BO5226" s="4"/>
      <c r="BQ5226" s="4"/>
      <c r="CC5226" s="4"/>
      <c r="CD5226" s="4"/>
      <c r="CF5226" s="4"/>
    </row>
    <row r="5227" spans="66:84">
      <c r="BN5227" s="4"/>
      <c r="BO5227" s="4"/>
      <c r="BQ5227" s="4"/>
      <c r="CC5227" s="4"/>
      <c r="CD5227" s="4"/>
      <c r="CF5227" s="4"/>
    </row>
    <row r="5228" spans="66:84">
      <c r="BN5228" s="4"/>
      <c r="BO5228" s="4"/>
      <c r="BQ5228" s="4"/>
      <c r="CC5228" s="4"/>
      <c r="CD5228" s="4"/>
      <c r="CF5228" s="4"/>
    </row>
    <row r="5229" spans="66:84">
      <c r="BN5229" s="4"/>
      <c r="BO5229" s="4"/>
      <c r="BQ5229" s="4"/>
      <c r="CC5229" s="4"/>
      <c r="CD5229" s="4"/>
      <c r="CF5229" s="4"/>
    </row>
    <row r="5230" spans="66:84">
      <c r="BN5230" s="4"/>
      <c r="BO5230" s="4"/>
      <c r="BQ5230" s="4"/>
      <c r="CC5230" s="4"/>
      <c r="CD5230" s="4"/>
      <c r="CF5230" s="4"/>
    </row>
    <row r="5231" spans="66:84">
      <c r="BN5231" s="4"/>
      <c r="BO5231" s="4"/>
      <c r="BQ5231" s="4"/>
      <c r="CC5231" s="4"/>
      <c r="CD5231" s="4"/>
      <c r="CF5231" s="4"/>
    </row>
    <row r="5232" spans="66:84">
      <c r="BN5232" s="4"/>
      <c r="BO5232" s="4"/>
      <c r="BQ5232" s="4"/>
      <c r="CC5232" s="4"/>
      <c r="CD5232" s="4"/>
      <c r="CF5232" s="4"/>
    </row>
    <row r="5233" spans="66:84">
      <c r="BN5233" s="4"/>
      <c r="BO5233" s="4"/>
      <c r="BQ5233" s="4"/>
      <c r="CC5233" s="4"/>
      <c r="CD5233" s="4"/>
      <c r="CF5233" s="4"/>
    </row>
    <row r="5234" spans="66:84">
      <c r="BN5234" s="4"/>
      <c r="BO5234" s="4"/>
      <c r="BQ5234" s="4"/>
      <c r="CC5234" s="4"/>
      <c r="CD5234" s="4"/>
      <c r="CF5234" s="4"/>
    </row>
    <row r="5235" spans="66:84">
      <c r="BN5235" s="4"/>
      <c r="BO5235" s="4"/>
      <c r="BQ5235" s="4"/>
      <c r="CC5235" s="4"/>
      <c r="CD5235" s="4"/>
      <c r="CF5235" s="4"/>
    </row>
    <row r="5236" spans="66:84">
      <c r="BN5236" s="4"/>
      <c r="BO5236" s="4"/>
      <c r="BQ5236" s="4"/>
      <c r="CC5236" s="4"/>
      <c r="CD5236" s="4"/>
      <c r="CF5236" s="4"/>
    </row>
    <row r="5237" spans="66:84">
      <c r="BN5237" s="4"/>
      <c r="BO5237" s="4"/>
      <c r="BQ5237" s="4"/>
      <c r="CC5237" s="4"/>
      <c r="CD5237" s="4"/>
      <c r="CF5237" s="4"/>
    </row>
    <row r="5238" spans="66:84">
      <c r="BN5238" s="4"/>
      <c r="BO5238" s="4"/>
      <c r="BQ5238" s="4"/>
      <c r="CC5238" s="4"/>
      <c r="CD5238" s="4"/>
      <c r="CF5238" s="4"/>
    </row>
    <row r="5239" spans="66:84">
      <c r="BN5239" s="4"/>
      <c r="BO5239" s="4"/>
      <c r="BQ5239" s="4"/>
      <c r="CC5239" s="4"/>
      <c r="CD5239" s="4"/>
      <c r="CF5239" s="4"/>
    </row>
    <row r="5240" spans="66:84">
      <c r="BN5240" s="4"/>
      <c r="BO5240" s="4"/>
      <c r="BQ5240" s="4"/>
      <c r="CC5240" s="4"/>
      <c r="CD5240" s="4"/>
      <c r="CF5240" s="4"/>
    </row>
    <row r="5241" spans="66:84">
      <c r="BN5241" s="4"/>
      <c r="BO5241" s="4"/>
      <c r="BQ5241" s="4"/>
      <c r="CC5241" s="4"/>
      <c r="CD5241" s="4"/>
      <c r="CF5241" s="4"/>
    </row>
    <row r="5242" spans="66:84">
      <c r="BN5242" s="4"/>
      <c r="BO5242" s="4"/>
      <c r="BQ5242" s="4"/>
      <c r="CC5242" s="4"/>
      <c r="CD5242" s="4"/>
      <c r="CF5242" s="4"/>
    </row>
    <row r="5243" spans="66:84">
      <c r="BN5243" s="4"/>
      <c r="BO5243" s="4"/>
      <c r="BQ5243" s="4"/>
      <c r="CC5243" s="4"/>
      <c r="CD5243" s="4"/>
      <c r="CF5243" s="4"/>
    </row>
    <row r="5244" spans="66:84">
      <c r="BN5244" s="4"/>
      <c r="BO5244" s="4"/>
      <c r="BQ5244" s="4"/>
      <c r="CC5244" s="4"/>
      <c r="CD5244" s="4"/>
      <c r="CF5244" s="4"/>
    </row>
    <row r="5245" spans="66:84">
      <c r="BN5245" s="4"/>
      <c r="BO5245" s="4"/>
      <c r="BQ5245" s="4"/>
      <c r="CC5245" s="4"/>
      <c r="CD5245" s="4"/>
      <c r="CF5245" s="4"/>
    </row>
    <row r="5246" spans="66:84">
      <c r="BN5246" s="4"/>
      <c r="BO5246" s="4"/>
      <c r="BQ5246" s="4"/>
      <c r="CC5246" s="4"/>
      <c r="CD5246" s="4"/>
      <c r="CF5246" s="4"/>
    </row>
    <row r="5247" spans="66:84">
      <c r="BN5247" s="4"/>
      <c r="BO5247" s="4"/>
      <c r="BQ5247" s="4"/>
      <c r="CC5247" s="4"/>
      <c r="CD5247" s="4"/>
      <c r="CF5247" s="4"/>
    </row>
    <row r="5248" spans="66:84">
      <c r="BN5248" s="4"/>
      <c r="BO5248" s="4"/>
      <c r="BQ5248" s="4"/>
      <c r="CC5248" s="4"/>
      <c r="CD5248" s="4"/>
      <c r="CF5248" s="4"/>
    </row>
    <row r="5249" spans="66:84">
      <c r="BN5249" s="4"/>
      <c r="BO5249" s="4"/>
      <c r="BQ5249" s="4"/>
      <c r="CC5249" s="4"/>
      <c r="CD5249" s="4"/>
      <c r="CF5249" s="4"/>
    </row>
    <row r="5250" spans="66:84">
      <c r="BN5250" s="4"/>
      <c r="BO5250" s="4"/>
      <c r="BQ5250" s="4"/>
      <c r="CC5250" s="4"/>
      <c r="CD5250" s="4"/>
      <c r="CF5250" s="4"/>
    </row>
    <row r="5251" spans="66:84">
      <c r="BN5251" s="4"/>
      <c r="BO5251" s="4"/>
      <c r="BQ5251" s="4"/>
      <c r="CC5251" s="4"/>
      <c r="CD5251" s="4"/>
      <c r="CF5251" s="4"/>
    </row>
    <row r="5252" spans="66:84">
      <c r="BN5252" s="4"/>
      <c r="BO5252" s="4"/>
      <c r="BQ5252" s="4"/>
      <c r="CC5252" s="4"/>
      <c r="CD5252" s="4"/>
      <c r="CF5252" s="4"/>
    </row>
    <row r="5253" spans="66:84">
      <c r="BN5253" s="4"/>
      <c r="BO5253" s="4"/>
      <c r="BQ5253" s="4"/>
      <c r="CC5253" s="4"/>
      <c r="CD5253" s="4"/>
      <c r="CF5253" s="4"/>
    </row>
    <row r="5254" spans="66:84">
      <c r="BN5254" s="4"/>
      <c r="BO5254" s="4"/>
      <c r="BQ5254" s="4"/>
      <c r="CC5254" s="4"/>
      <c r="CD5254" s="4"/>
      <c r="CF5254" s="4"/>
    </row>
    <row r="5255" spans="66:84">
      <c r="BN5255" s="4"/>
      <c r="BO5255" s="4"/>
      <c r="BQ5255" s="4"/>
      <c r="CC5255" s="4"/>
      <c r="CD5255" s="4"/>
      <c r="CF5255" s="4"/>
    </row>
    <row r="5256" spans="66:84">
      <c r="BN5256" s="4"/>
      <c r="BO5256" s="4"/>
      <c r="BQ5256" s="4"/>
      <c r="CC5256" s="4"/>
      <c r="CD5256" s="4"/>
      <c r="CF5256" s="4"/>
    </row>
    <row r="5257" spans="66:84">
      <c r="BN5257" s="4"/>
      <c r="BO5257" s="4"/>
      <c r="BQ5257" s="4"/>
      <c r="CC5257" s="4"/>
      <c r="CD5257" s="4"/>
      <c r="CF5257" s="4"/>
    </row>
    <row r="5258" spans="66:84">
      <c r="BN5258" s="4"/>
      <c r="BO5258" s="4"/>
      <c r="BQ5258" s="4"/>
      <c r="CC5258" s="4"/>
      <c r="CD5258" s="4"/>
      <c r="CF5258" s="4"/>
    </row>
    <row r="5259" spans="66:84">
      <c r="BN5259" s="4"/>
      <c r="BO5259" s="4"/>
      <c r="BQ5259" s="4"/>
      <c r="CC5259" s="4"/>
      <c r="CD5259" s="4"/>
      <c r="CF5259" s="4"/>
    </row>
    <row r="5260" spans="66:84">
      <c r="BN5260" s="4"/>
      <c r="BO5260" s="4"/>
      <c r="BQ5260" s="4"/>
      <c r="CC5260" s="4"/>
      <c r="CD5260" s="4"/>
      <c r="CF5260" s="4"/>
    </row>
    <row r="5261" spans="66:84">
      <c r="BN5261" s="4"/>
      <c r="BO5261" s="4"/>
      <c r="BQ5261" s="4"/>
      <c r="CC5261" s="4"/>
      <c r="CD5261" s="4"/>
      <c r="CF5261" s="4"/>
    </row>
    <row r="5262" spans="66:84">
      <c r="BN5262" s="4"/>
      <c r="BO5262" s="4"/>
      <c r="BQ5262" s="4"/>
      <c r="CC5262" s="4"/>
      <c r="CD5262" s="4"/>
      <c r="CF5262" s="4"/>
    </row>
    <row r="5263" spans="66:84">
      <c r="BN5263" s="4"/>
      <c r="BO5263" s="4"/>
      <c r="BQ5263" s="4"/>
      <c r="CC5263" s="4"/>
      <c r="CD5263" s="4"/>
      <c r="CF5263" s="4"/>
    </row>
    <row r="5264" spans="66:84">
      <c r="BN5264" s="4"/>
      <c r="BO5264" s="4"/>
      <c r="BQ5264" s="4"/>
      <c r="CC5264" s="4"/>
      <c r="CD5264" s="4"/>
      <c r="CF5264" s="4"/>
    </row>
    <row r="5265" spans="66:84">
      <c r="BN5265" s="4"/>
      <c r="BO5265" s="4"/>
      <c r="BQ5265" s="4"/>
      <c r="CC5265" s="4"/>
      <c r="CD5265" s="4"/>
      <c r="CF5265" s="4"/>
    </row>
    <row r="5266" spans="66:84">
      <c r="BN5266" s="4"/>
      <c r="BO5266" s="4"/>
      <c r="BQ5266" s="4"/>
      <c r="CC5266" s="4"/>
      <c r="CD5266" s="4"/>
      <c r="CF5266" s="4"/>
    </row>
    <row r="5267" spans="66:84">
      <c r="BN5267" s="4"/>
      <c r="BO5267" s="4"/>
      <c r="BQ5267" s="4"/>
      <c r="CC5267" s="4"/>
      <c r="CD5267" s="4"/>
      <c r="CF5267" s="4"/>
    </row>
    <row r="5268" spans="66:84">
      <c r="BN5268" s="4"/>
      <c r="BO5268" s="4"/>
      <c r="BQ5268" s="4"/>
      <c r="CC5268" s="4"/>
      <c r="CD5268" s="4"/>
      <c r="CF5268" s="4"/>
    </row>
    <row r="5269" spans="66:84">
      <c r="BN5269" s="4"/>
      <c r="BO5269" s="4"/>
      <c r="BQ5269" s="4"/>
      <c r="CC5269" s="4"/>
      <c r="CD5269" s="4"/>
      <c r="CF5269" s="4"/>
    </row>
    <row r="5270" spans="66:84">
      <c r="BN5270" s="4"/>
      <c r="BO5270" s="4"/>
      <c r="BQ5270" s="4"/>
      <c r="CC5270" s="4"/>
      <c r="CD5270" s="4"/>
      <c r="CF5270" s="4"/>
    </row>
    <row r="5271" spans="66:84">
      <c r="BN5271" s="4"/>
      <c r="BO5271" s="4"/>
      <c r="BQ5271" s="4"/>
      <c r="CC5271" s="4"/>
      <c r="CD5271" s="4"/>
      <c r="CF5271" s="4"/>
    </row>
    <row r="5272" spans="66:84">
      <c r="BN5272" s="4"/>
      <c r="BO5272" s="4"/>
      <c r="BQ5272" s="4"/>
      <c r="CC5272" s="4"/>
      <c r="CD5272" s="4"/>
      <c r="CF5272" s="4"/>
    </row>
    <row r="5273" spans="66:84">
      <c r="BN5273" s="4"/>
      <c r="BO5273" s="4"/>
      <c r="BQ5273" s="4"/>
      <c r="CC5273" s="4"/>
      <c r="CD5273" s="4"/>
      <c r="CF5273" s="4"/>
    </row>
    <row r="5274" spans="66:84">
      <c r="BN5274" s="4"/>
      <c r="BO5274" s="4"/>
      <c r="BQ5274" s="4"/>
      <c r="CC5274" s="4"/>
      <c r="CD5274" s="4"/>
      <c r="CF5274" s="4"/>
    </row>
    <row r="5275" spans="66:84">
      <c r="BN5275" s="4"/>
      <c r="BO5275" s="4"/>
      <c r="BQ5275" s="4"/>
      <c r="CC5275" s="4"/>
      <c r="CD5275" s="4"/>
      <c r="CF5275" s="4"/>
    </row>
    <row r="5276" spans="66:84">
      <c r="BN5276" s="4"/>
      <c r="BO5276" s="4"/>
      <c r="BQ5276" s="4"/>
      <c r="CC5276" s="4"/>
      <c r="CD5276" s="4"/>
      <c r="CF5276" s="4"/>
    </row>
    <row r="5277" spans="66:84">
      <c r="BN5277" s="4"/>
      <c r="BO5277" s="4"/>
      <c r="BQ5277" s="4"/>
      <c r="CC5277" s="4"/>
      <c r="CD5277" s="4"/>
      <c r="CF5277" s="4"/>
    </row>
    <row r="5278" spans="66:84">
      <c r="BN5278" s="4"/>
      <c r="BO5278" s="4"/>
      <c r="BQ5278" s="4"/>
      <c r="CC5278" s="4"/>
      <c r="CD5278" s="4"/>
      <c r="CF5278" s="4"/>
    </row>
    <row r="5279" spans="66:84">
      <c r="BN5279" s="4"/>
      <c r="BO5279" s="4"/>
      <c r="BQ5279" s="4"/>
      <c r="CC5279" s="4"/>
      <c r="CD5279" s="4"/>
      <c r="CF5279" s="4"/>
    </row>
    <row r="5280" spans="66:84">
      <c r="BN5280" s="4"/>
      <c r="BO5280" s="4"/>
      <c r="BQ5280" s="4"/>
      <c r="CC5280" s="4"/>
      <c r="CD5280" s="4"/>
      <c r="CF5280" s="4"/>
    </row>
    <row r="5281" spans="66:84">
      <c r="BN5281" s="4"/>
      <c r="BO5281" s="4"/>
      <c r="BQ5281" s="4"/>
      <c r="CC5281" s="4"/>
      <c r="CD5281" s="4"/>
      <c r="CF5281" s="4"/>
    </row>
    <row r="5282" spans="66:84">
      <c r="BN5282" s="4"/>
      <c r="BO5282" s="4"/>
      <c r="BQ5282" s="4"/>
      <c r="CC5282" s="4"/>
      <c r="CD5282" s="4"/>
      <c r="CF5282" s="4"/>
    </row>
    <row r="5283" spans="66:84">
      <c r="BN5283" s="4"/>
      <c r="BO5283" s="4"/>
      <c r="BQ5283" s="4"/>
      <c r="CC5283" s="4"/>
      <c r="CD5283" s="4"/>
      <c r="CF5283" s="4"/>
    </row>
    <row r="5284" spans="66:84">
      <c r="BN5284" s="4"/>
      <c r="BO5284" s="4"/>
      <c r="BQ5284" s="4"/>
      <c r="CC5284" s="4"/>
      <c r="CD5284" s="4"/>
      <c r="CF5284" s="4"/>
    </row>
    <row r="5285" spans="66:84">
      <c r="BN5285" s="4"/>
      <c r="BO5285" s="4"/>
      <c r="BQ5285" s="4"/>
      <c r="CC5285" s="4"/>
      <c r="CD5285" s="4"/>
      <c r="CF5285" s="4"/>
    </row>
    <row r="5286" spans="66:84">
      <c r="BN5286" s="4"/>
      <c r="BO5286" s="4"/>
      <c r="BQ5286" s="4"/>
      <c r="CC5286" s="4"/>
      <c r="CD5286" s="4"/>
      <c r="CF5286" s="4"/>
    </row>
    <row r="5287" spans="66:84">
      <c r="BN5287" s="4"/>
      <c r="BO5287" s="4"/>
      <c r="BQ5287" s="4"/>
      <c r="CC5287" s="4"/>
      <c r="CD5287" s="4"/>
      <c r="CF5287" s="4"/>
    </row>
    <row r="5288" spans="66:84">
      <c r="BN5288" s="4"/>
      <c r="BO5288" s="4"/>
      <c r="BQ5288" s="4"/>
      <c r="CC5288" s="4"/>
      <c r="CD5288" s="4"/>
      <c r="CF5288" s="4"/>
    </row>
    <row r="5289" spans="66:84">
      <c r="BN5289" s="4"/>
      <c r="BO5289" s="4"/>
      <c r="BQ5289" s="4"/>
      <c r="CC5289" s="4"/>
      <c r="CD5289" s="4"/>
      <c r="CF5289" s="4"/>
    </row>
    <row r="5290" spans="66:84">
      <c r="BN5290" s="4"/>
      <c r="BO5290" s="4"/>
      <c r="BQ5290" s="4"/>
      <c r="CC5290" s="4"/>
      <c r="CD5290" s="4"/>
      <c r="CF5290" s="4"/>
    </row>
    <row r="5291" spans="66:84">
      <c r="BN5291" s="4"/>
      <c r="BO5291" s="4"/>
      <c r="BQ5291" s="4"/>
      <c r="CC5291" s="4"/>
      <c r="CD5291" s="4"/>
      <c r="CF5291" s="4"/>
    </row>
    <row r="5292" spans="66:84">
      <c r="BN5292" s="4"/>
      <c r="BO5292" s="4"/>
      <c r="BQ5292" s="4"/>
      <c r="CC5292" s="4"/>
      <c r="CD5292" s="4"/>
      <c r="CF5292" s="4"/>
    </row>
    <row r="5293" spans="66:84">
      <c r="BN5293" s="4"/>
      <c r="BO5293" s="4"/>
      <c r="BQ5293" s="4"/>
      <c r="CC5293" s="4"/>
      <c r="CD5293" s="4"/>
      <c r="CF5293" s="4"/>
    </row>
    <row r="5294" spans="66:84">
      <c r="BN5294" s="4"/>
      <c r="BO5294" s="4"/>
      <c r="BQ5294" s="4"/>
      <c r="CC5294" s="4"/>
      <c r="CD5294" s="4"/>
      <c r="CF5294" s="4"/>
    </row>
    <row r="5295" spans="66:84">
      <c r="BN5295" s="4"/>
      <c r="BO5295" s="4"/>
      <c r="BQ5295" s="4"/>
      <c r="CC5295" s="4"/>
      <c r="CD5295" s="4"/>
      <c r="CF5295" s="4"/>
    </row>
    <row r="5296" spans="66:84">
      <c r="BN5296" s="4"/>
      <c r="BO5296" s="4"/>
      <c r="BQ5296" s="4"/>
      <c r="CC5296" s="4"/>
      <c r="CD5296" s="4"/>
      <c r="CF5296" s="4"/>
    </row>
    <row r="5297" spans="66:84">
      <c r="BN5297" s="4"/>
      <c r="BO5297" s="4"/>
      <c r="BQ5297" s="4"/>
      <c r="CC5297" s="4"/>
      <c r="CD5297" s="4"/>
      <c r="CF5297" s="4"/>
    </row>
    <row r="5298" spans="66:84">
      <c r="BN5298" s="4"/>
      <c r="BO5298" s="4"/>
      <c r="BQ5298" s="4"/>
      <c r="CC5298" s="4"/>
      <c r="CD5298" s="4"/>
      <c r="CF5298" s="4"/>
    </row>
    <row r="5299" spans="66:84">
      <c r="BN5299" s="4"/>
      <c r="BO5299" s="4"/>
      <c r="BQ5299" s="4"/>
      <c r="CC5299" s="4"/>
      <c r="CD5299" s="4"/>
      <c r="CF5299" s="4"/>
    </row>
    <row r="5300" spans="66:84">
      <c r="BN5300" s="4"/>
      <c r="BO5300" s="4"/>
      <c r="BQ5300" s="4"/>
      <c r="CC5300" s="4"/>
      <c r="CD5300" s="4"/>
      <c r="CF5300" s="4"/>
    </row>
    <row r="5301" spans="66:84">
      <c r="BN5301" s="4"/>
      <c r="BO5301" s="4"/>
      <c r="BQ5301" s="4"/>
      <c r="CC5301" s="4"/>
      <c r="CD5301" s="4"/>
      <c r="CF5301" s="4"/>
    </row>
    <row r="5302" spans="66:84">
      <c r="BN5302" s="4"/>
      <c r="BO5302" s="4"/>
      <c r="BQ5302" s="4"/>
      <c r="CC5302" s="4"/>
      <c r="CD5302" s="4"/>
      <c r="CF5302" s="4"/>
    </row>
    <row r="5303" spans="66:84">
      <c r="BN5303" s="4"/>
      <c r="BO5303" s="4"/>
      <c r="BQ5303" s="4"/>
      <c r="CC5303" s="4"/>
      <c r="CD5303" s="4"/>
      <c r="CF5303" s="4"/>
    </row>
    <row r="5304" spans="66:84">
      <c r="BN5304" s="4"/>
      <c r="BO5304" s="4"/>
      <c r="BQ5304" s="4"/>
      <c r="CC5304" s="4"/>
      <c r="CD5304" s="4"/>
      <c r="CF5304" s="4"/>
    </row>
    <row r="5305" spans="66:84">
      <c r="BN5305" s="4"/>
      <c r="BO5305" s="4"/>
      <c r="BQ5305" s="4"/>
      <c r="CC5305" s="4"/>
      <c r="CD5305" s="4"/>
      <c r="CF5305" s="4"/>
    </row>
    <row r="5306" spans="66:84">
      <c r="BN5306" s="4"/>
      <c r="BO5306" s="4"/>
      <c r="BQ5306" s="4"/>
      <c r="CC5306" s="4"/>
      <c r="CD5306" s="4"/>
      <c r="CF5306" s="4"/>
    </row>
    <row r="5307" spans="66:84">
      <c r="BN5307" s="4"/>
      <c r="BO5307" s="4"/>
      <c r="BQ5307" s="4"/>
      <c r="CC5307" s="4"/>
      <c r="CD5307" s="4"/>
      <c r="CF5307" s="4"/>
    </row>
    <row r="5308" spans="66:84">
      <c r="BN5308" s="4"/>
      <c r="BO5308" s="4"/>
      <c r="BQ5308" s="4"/>
      <c r="CC5308" s="4"/>
      <c r="CD5308" s="4"/>
      <c r="CF5308" s="4"/>
    </row>
    <row r="5309" spans="66:84">
      <c r="BN5309" s="4"/>
      <c r="BO5309" s="4"/>
      <c r="BQ5309" s="4"/>
      <c r="CC5309" s="4"/>
      <c r="CD5309" s="4"/>
      <c r="CF5309" s="4"/>
    </row>
    <row r="5310" spans="66:84">
      <c r="BN5310" s="4"/>
      <c r="BO5310" s="4"/>
      <c r="BQ5310" s="4"/>
      <c r="CC5310" s="4"/>
      <c r="CD5310" s="4"/>
      <c r="CF5310" s="4"/>
    </row>
    <row r="5311" spans="66:84">
      <c r="BN5311" s="4"/>
      <c r="BO5311" s="4"/>
      <c r="BQ5311" s="4"/>
      <c r="CC5311" s="4"/>
      <c r="CD5311" s="4"/>
      <c r="CF5311" s="4"/>
    </row>
    <row r="5312" spans="66:84">
      <c r="BN5312" s="4"/>
      <c r="BO5312" s="4"/>
      <c r="BQ5312" s="4"/>
      <c r="CC5312" s="4"/>
      <c r="CD5312" s="4"/>
      <c r="CF5312" s="4"/>
    </row>
    <row r="5313" spans="66:84">
      <c r="BN5313" s="4"/>
      <c r="BO5313" s="4"/>
      <c r="BQ5313" s="4"/>
      <c r="CC5313" s="4"/>
      <c r="CD5313" s="4"/>
      <c r="CF5313" s="4"/>
    </row>
    <row r="5314" spans="66:84">
      <c r="BN5314" s="4"/>
      <c r="BO5314" s="4"/>
      <c r="BQ5314" s="4"/>
      <c r="CC5314" s="4"/>
      <c r="CD5314" s="4"/>
      <c r="CF5314" s="4"/>
    </row>
    <row r="5315" spans="66:84">
      <c r="BN5315" s="4"/>
      <c r="BO5315" s="4"/>
      <c r="BQ5315" s="4"/>
      <c r="CC5315" s="4"/>
      <c r="CD5315" s="4"/>
      <c r="CF5315" s="4"/>
    </row>
    <row r="5316" spans="66:84">
      <c r="BN5316" s="4"/>
      <c r="BO5316" s="4"/>
      <c r="BQ5316" s="4"/>
      <c r="CC5316" s="4"/>
      <c r="CD5316" s="4"/>
      <c r="CF5316" s="4"/>
    </row>
    <row r="5317" spans="66:84">
      <c r="BN5317" s="4"/>
      <c r="BO5317" s="4"/>
      <c r="BQ5317" s="4"/>
      <c r="CC5317" s="4"/>
      <c r="CD5317" s="4"/>
      <c r="CF5317" s="4"/>
    </row>
    <row r="5318" spans="66:84">
      <c r="BN5318" s="4"/>
      <c r="BO5318" s="4"/>
      <c r="BQ5318" s="4"/>
      <c r="CC5318" s="4"/>
      <c r="CD5318" s="4"/>
      <c r="CF5318" s="4"/>
    </row>
    <row r="5319" spans="66:84">
      <c r="BN5319" s="4"/>
      <c r="BO5319" s="4"/>
      <c r="BQ5319" s="4"/>
      <c r="CC5319" s="4"/>
      <c r="CD5319" s="4"/>
      <c r="CF5319" s="4"/>
    </row>
    <row r="5320" spans="66:84">
      <c r="BN5320" s="4"/>
      <c r="BO5320" s="4"/>
      <c r="BQ5320" s="4"/>
      <c r="CC5320" s="4"/>
      <c r="CD5320" s="4"/>
      <c r="CF5320" s="4"/>
    </row>
    <row r="5321" spans="66:84">
      <c r="BN5321" s="4"/>
      <c r="BO5321" s="4"/>
      <c r="BQ5321" s="4"/>
      <c r="CC5321" s="4"/>
      <c r="CD5321" s="4"/>
      <c r="CF5321" s="4"/>
    </row>
    <row r="5322" spans="66:84">
      <c r="BN5322" s="4"/>
      <c r="BO5322" s="4"/>
      <c r="BQ5322" s="4"/>
      <c r="CC5322" s="4"/>
      <c r="CD5322" s="4"/>
      <c r="CF5322" s="4"/>
    </row>
    <row r="5323" spans="66:84">
      <c r="BN5323" s="4"/>
      <c r="BO5323" s="4"/>
      <c r="BQ5323" s="4"/>
      <c r="CC5323" s="4"/>
      <c r="CD5323" s="4"/>
      <c r="CF5323" s="4"/>
    </row>
    <row r="5324" spans="66:84">
      <c r="BN5324" s="4"/>
      <c r="BO5324" s="4"/>
      <c r="BQ5324" s="4"/>
      <c r="CC5324" s="4"/>
      <c r="CD5324" s="4"/>
      <c r="CF5324" s="4"/>
    </row>
    <row r="5325" spans="66:84">
      <c r="BN5325" s="4"/>
      <c r="BO5325" s="4"/>
      <c r="BQ5325" s="4"/>
      <c r="CC5325" s="4"/>
      <c r="CD5325" s="4"/>
      <c r="CF5325" s="4"/>
    </row>
    <row r="5326" spans="66:84">
      <c r="BN5326" s="4"/>
      <c r="BO5326" s="4"/>
      <c r="BQ5326" s="4"/>
      <c r="CC5326" s="4"/>
      <c r="CD5326" s="4"/>
      <c r="CF5326" s="4"/>
    </row>
    <row r="5327" spans="66:84">
      <c r="BN5327" s="4"/>
      <c r="BO5327" s="4"/>
      <c r="BQ5327" s="4"/>
      <c r="CC5327" s="4"/>
      <c r="CD5327" s="4"/>
      <c r="CF5327" s="4"/>
    </row>
    <row r="5328" spans="66:84">
      <c r="BN5328" s="4"/>
      <c r="BO5328" s="4"/>
      <c r="BQ5328" s="4"/>
      <c r="CC5328" s="4"/>
      <c r="CD5328" s="4"/>
      <c r="CF5328" s="4"/>
    </row>
    <row r="5329" spans="66:84">
      <c r="BN5329" s="4"/>
      <c r="BO5329" s="4"/>
      <c r="BQ5329" s="4"/>
      <c r="CC5329" s="4"/>
      <c r="CD5329" s="4"/>
      <c r="CF5329" s="4"/>
    </row>
    <row r="5330" spans="66:84">
      <c r="BN5330" s="4"/>
      <c r="BO5330" s="4"/>
      <c r="BQ5330" s="4"/>
      <c r="CC5330" s="4"/>
      <c r="CD5330" s="4"/>
      <c r="CF5330" s="4"/>
    </row>
    <row r="5331" spans="66:84">
      <c r="BN5331" s="4"/>
      <c r="BO5331" s="4"/>
      <c r="BQ5331" s="4"/>
      <c r="CC5331" s="4"/>
      <c r="CD5331" s="4"/>
      <c r="CF5331" s="4"/>
    </row>
    <row r="5332" spans="66:84">
      <c r="BN5332" s="4"/>
      <c r="BO5332" s="4"/>
      <c r="BQ5332" s="4"/>
      <c r="CC5332" s="4"/>
      <c r="CD5332" s="4"/>
      <c r="CF5332" s="4"/>
    </row>
    <row r="5333" spans="66:84">
      <c r="BN5333" s="4"/>
      <c r="BO5333" s="4"/>
      <c r="BQ5333" s="4"/>
      <c r="CC5333" s="4"/>
      <c r="CD5333" s="4"/>
      <c r="CF5333" s="4"/>
    </row>
    <row r="5334" spans="66:84">
      <c r="BN5334" s="4"/>
      <c r="BO5334" s="4"/>
      <c r="BQ5334" s="4"/>
      <c r="CC5334" s="4"/>
      <c r="CD5334" s="4"/>
      <c r="CF5334" s="4"/>
    </row>
    <row r="5335" spans="66:84">
      <c r="BN5335" s="4"/>
      <c r="BO5335" s="4"/>
      <c r="BQ5335" s="4"/>
      <c r="CC5335" s="4"/>
      <c r="CD5335" s="4"/>
      <c r="CF5335" s="4"/>
    </row>
    <row r="5336" spans="66:84">
      <c r="BN5336" s="4"/>
      <c r="BO5336" s="4"/>
      <c r="BQ5336" s="4"/>
      <c r="CC5336" s="4"/>
      <c r="CD5336" s="4"/>
      <c r="CF5336" s="4"/>
    </row>
    <row r="5337" spans="66:84">
      <c r="BN5337" s="4"/>
      <c r="BO5337" s="4"/>
      <c r="BQ5337" s="4"/>
      <c r="CC5337" s="4"/>
      <c r="CD5337" s="4"/>
      <c r="CF5337" s="4"/>
    </row>
    <row r="5338" spans="66:84">
      <c r="BN5338" s="4"/>
      <c r="BO5338" s="4"/>
      <c r="BQ5338" s="4"/>
      <c r="CC5338" s="4"/>
      <c r="CD5338" s="4"/>
      <c r="CF5338" s="4"/>
    </row>
    <row r="5339" spans="66:84">
      <c r="BN5339" s="4"/>
      <c r="BO5339" s="4"/>
      <c r="BQ5339" s="4"/>
      <c r="CC5339" s="4"/>
      <c r="CD5339" s="4"/>
      <c r="CF5339" s="4"/>
    </row>
    <row r="5340" spans="66:84">
      <c r="BN5340" s="4"/>
      <c r="BO5340" s="4"/>
      <c r="BQ5340" s="4"/>
      <c r="CC5340" s="4"/>
      <c r="CD5340" s="4"/>
      <c r="CF5340" s="4"/>
    </row>
    <row r="5341" spans="66:84">
      <c r="BN5341" s="4"/>
      <c r="BO5341" s="4"/>
      <c r="BQ5341" s="4"/>
      <c r="CC5341" s="4"/>
      <c r="CD5341" s="4"/>
      <c r="CF5341" s="4"/>
    </row>
    <row r="5342" spans="66:84">
      <c r="BN5342" s="4"/>
      <c r="BO5342" s="4"/>
      <c r="BQ5342" s="4"/>
      <c r="CC5342" s="4"/>
      <c r="CD5342" s="4"/>
      <c r="CF5342" s="4"/>
    </row>
    <row r="5343" spans="66:84">
      <c r="BN5343" s="4"/>
      <c r="BO5343" s="4"/>
      <c r="BQ5343" s="4"/>
      <c r="CC5343" s="4"/>
      <c r="CD5343" s="4"/>
      <c r="CF5343" s="4"/>
    </row>
    <row r="5344" spans="66:84">
      <c r="BN5344" s="4"/>
      <c r="BO5344" s="4"/>
      <c r="BQ5344" s="4"/>
      <c r="CC5344" s="4"/>
      <c r="CD5344" s="4"/>
      <c r="CF5344" s="4"/>
    </row>
    <row r="5345" spans="66:84">
      <c r="BN5345" s="4"/>
      <c r="BO5345" s="4"/>
      <c r="BQ5345" s="4"/>
      <c r="CC5345" s="4"/>
      <c r="CD5345" s="4"/>
      <c r="CF5345" s="4"/>
    </row>
    <row r="5346" spans="66:84">
      <c r="BN5346" s="4"/>
      <c r="BO5346" s="4"/>
      <c r="BQ5346" s="4"/>
      <c r="CC5346" s="4"/>
      <c r="CD5346" s="4"/>
      <c r="CF5346" s="4"/>
    </row>
    <row r="5347" spans="66:84">
      <c r="BN5347" s="4"/>
      <c r="BO5347" s="4"/>
      <c r="BQ5347" s="4"/>
      <c r="CC5347" s="4"/>
      <c r="CD5347" s="4"/>
      <c r="CF5347" s="4"/>
    </row>
    <row r="5348" spans="66:84">
      <c r="BN5348" s="4"/>
      <c r="BO5348" s="4"/>
      <c r="BQ5348" s="4"/>
      <c r="CC5348" s="4"/>
      <c r="CD5348" s="4"/>
      <c r="CF5348" s="4"/>
    </row>
    <row r="5349" spans="66:84">
      <c r="BN5349" s="4"/>
      <c r="BO5349" s="4"/>
      <c r="BQ5349" s="4"/>
      <c r="CC5349" s="4"/>
      <c r="CD5349" s="4"/>
      <c r="CF5349" s="4"/>
    </row>
    <row r="5350" spans="66:84">
      <c r="BN5350" s="4"/>
      <c r="BO5350" s="4"/>
      <c r="BQ5350" s="4"/>
      <c r="CC5350" s="4"/>
      <c r="CD5350" s="4"/>
      <c r="CF5350" s="4"/>
    </row>
    <row r="5351" spans="66:84">
      <c r="BN5351" s="4"/>
      <c r="BO5351" s="4"/>
      <c r="BQ5351" s="4"/>
      <c r="CC5351" s="4"/>
      <c r="CD5351" s="4"/>
      <c r="CF5351" s="4"/>
    </row>
    <row r="5352" spans="66:84">
      <c r="BN5352" s="4"/>
      <c r="BO5352" s="4"/>
      <c r="BQ5352" s="4"/>
      <c r="CC5352" s="4"/>
      <c r="CD5352" s="4"/>
      <c r="CF5352" s="4"/>
    </row>
    <row r="5353" spans="66:84">
      <c r="BN5353" s="4"/>
      <c r="BO5353" s="4"/>
      <c r="BQ5353" s="4"/>
      <c r="CC5353" s="4"/>
      <c r="CD5353" s="4"/>
      <c r="CF5353" s="4"/>
    </row>
    <row r="5354" spans="66:84">
      <c r="BN5354" s="4"/>
      <c r="BO5354" s="4"/>
      <c r="BQ5354" s="4"/>
      <c r="CC5354" s="4"/>
      <c r="CD5354" s="4"/>
      <c r="CF5354" s="4"/>
    </row>
    <row r="5355" spans="66:84">
      <c r="BN5355" s="4"/>
      <c r="BO5355" s="4"/>
      <c r="BQ5355" s="4"/>
      <c r="CC5355" s="4"/>
      <c r="CD5355" s="4"/>
      <c r="CF5355" s="4"/>
    </row>
    <row r="5356" spans="66:84">
      <c r="BN5356" s="4"/>
      <c r="BO5356" s="4"/>
      <c r="BQ5356" s="4"/>
      <c r="CC5356" s="4"/>
      <c r="CD5356" s="4"/>
      <c r="CF5356" s="4"/>
    </row>
    <row r="5357" spans="66:84">
      <c r="BN5357" s="4"/>
      <c r="BO5357" s="4"/>
      <c r="BQ5357" s="4"/>
      <c r="CC5357" s="4"/>
      <c r="CD5357" s="4"/>
      <c r="CF5357" s="4"/>
    </row>
    <row r="5358" spans="66:84">
      <c r="BN5358" s="4"/>
      <c r="BO5358" s="4"/>
      <c r="BQ5358" s="4"/>
      <c r="CC5358" s="4"/>
      <c r="CD5358" s="4"/>
      <c r="CF5358" s="4"/>
    </row>
    <row r="5359" spans="66:84">
      <c r="BN5359" s="4"/>
      <c r="BO5359" s="4"/>
      <c r="BQ5359" s="4"/>
      <c r="CC5359" s="4"/>
      <c r="CD5359" s="4"/>
      <c r="CF5359" s="4"/>
    </row>
    <row r="5360" spans="66:84">
      <c r="BN5360" s="4"/>
      <c r="BO5360" s="4"/>
      <c r="BQ5360" s="4"/>
      <c r="CC5360" s="4"/>
      <c r="CD5360" s="4"/>
      <c r="CF5360" s="4"/>
    </row>
    <row r="5361" spans="66:84">
      <c r="BN5361" s="4"/>
      <c r="BO5361" s="4"/>
      <c r="BQ5361" s="4"/>
      <c r="CC5361" s="4"/>
      <c r="CD5361" s="4"/>
      <c r="CF5361" s="4"/>
    </row>
    <row r="5362" spans="66:84">
      <c r="BN5362" s="4"/>
      <c r="BO5362" s="4"/>
      <c r="BQ5362" s="4"/>
      <c r="CC5362" s="4"/>
      <c r="CD5362" s="4"/>
      <c r="CF5362" s="4"/>
    </row>
    <row r="5363" spans="66:84">
      <c r="BN5363" s="4"/>
      <c r="BO5363" s="4"/>
      <c r="BQ5363" s="4"/>
      <c r="CC5363" s="4"/>
      <c r="CD5363" s="4"/>
      <c r="CF5363" s="4"/>
    </row>
    <row r="5364" spans="66:84">
      <c r="BN5364" s="4"/>
      <c r="BO5364" s="4"/>
      <c r="BQ5364" s="4"/>
      <c r="CC5364" s="4"/>
      <c r="CD5364" s="4"/>
      <c r="CF5364" s="4"/>
    </row>
    <row r="5365" spans="66:84">
      <c r="BN5365" s="4"/>
      <c r="BO5365" s="4"/>
      <c r="BQ5365" s="4"/>
      <c r="CC5365" s="4"/>
      <c r="CD5365" s="4"/>
      <c r="CF5365" s="4"/>
    </row>
    <row r="5366" spans="66:84">
      <c r="BN5366" s="4"/>
      <c r="BO5366" s="4"/>
      <c r="BQ5366" s="4"/>
      <c r="CC5366" s="4"/>
      <c r="CD5366" s="4"/>
      <c r="CF5366" s="4"/>
    </row>
    <row r="5367" spans="66:84">
      <c r="BN5367" s="4"/>
      <c r="BO5367" s="4"/>
      <c r="BQ5367" s="4"/>
      <c r="CC5367" s="4"/>
      <c r="CD5367" s="4"/>
      <c r="CF5367" s="4"/>
    </row>
    <row r="5368" spans="66:84">
      <c r="BN5368" s="4"/>
      <c r="BO5368" s="4"/>
      <c r="BQ5368" s="4"/>
      <c r="CC5368" s="4"/>
      <c r="CD5368" s="4"/>
      <c r="CF5368" s="4"/>
    </row>
    <row r="5369" spans="66:84">
      <c r="BN5369" s="4"/>
      <c r="BO5369" s="4"/>
      <c r="BQ5369" s="4"/>
      <c r="CC5369" s="4"/>
      <c r="CD5369" s="4"/>
      <c r="CF5369" s="4"/>
    </row>
    <row r="5370" spans="66:84">
      <c r="BN5370" s="4"/>
      <c r="BO5370" s="4"/>
      <c r="BQ5370" s="4"/>
      <c r="CC5370" s="4"/>
      <c r="CD5370" s="4"/>
      <c r="CF5370" s="4"/>
    </row>
    <row r="5371" spans="66:84">
      <c r="BN5371" s="4"/>
      <c r="BO5371" s="4"/>
      <c r="BQ5371" s="4"/>
      <c r="CC5371" s="4"/>
      <c r="CD5371" s="4"/>
      <c r="CF5371" s="4"/>
    </row>
    <row r="5372" spans="66:84">
      <c r="BN5372" s="4"/>
      <c r="BO5372" s="4"/>
      <c r="BQ5372" s="4"/>
      <c r="CC5372" s="4"/>
      <c r="CD5372" s="4"/>
      <c r="CF5372" s="4"/>
    </row>
    <row r="5373" spans="66:84">
      <c r="BN5373" s="4"/>
      <c r="BO5373" s="4"/>
      <c r="BQ5373" s="4"/>
      <c r="CC5373" s="4"/>
      <c r="CD5373" s="4"/>
      <c r="CF5373" s="4"/>
    </row>
    <row r="5374" spans="66:84">
      <c r="BN5374" s="4"/>
      <c r="BO5374" s="4"/>
      <c r="BQ5374" s="4"/>
      <c r="CC5374" s="4"/>
      <c r="CD5374" s="4"/>
      <c r="CF5374" s="4"/>
    </row>
    <row r="5375" spans="66:84">
      <c r="BN5375" s="4"/>
      <c r="BO5375" s="4"/>
      <c r="BQ5375" s="4"/>
      <c r="CC5375" s="4"/>
      <c r="CD5375" s="4"/>
      <c r="CF5375" s="4"/>
    </row>
    <row r="5376" spans="66:84">
      <c r="BN5376" s="4"/>
      <c r="BO5376" s="4"/>
      <c r="BQ5376" s="4"/>
      <c r="CC5376" s="4"/>
      <c r="CD5376" s="4"/>
      <c r="CF5376" s="4"/>
    </row>
    <row r="5377" spans="66:84">
      <c r="BN5377" s="4"/>
      <c r="BO5377" s="4"/>
      <c r="BQ5377" s="4"/>
      <c r="CC5377" s="4"/>
      <c r="CD5377" s="4"/>
      <c r="CF5377" s="4"/>
    </row>
    <row r="5378" spans="66:84">
      <c r="BN5378" s="4"/>
      <c r="BO5378" s="4"/>
      <c r="BQ5378" s="4"/>
      <c r="CC5378" s="4"/>
      <c r="CD5378" s="4"/>
      <c r="CF5378" s="4"/>
    </row>
    <row r="5379" spans="66:84">
      <c r="BN5379" s="4"/>
      <c r="BO5379" s="4"/>
      <c r="BQ5379" s="4"/>
      <c r="CC5379" s="4"/>
      <c r="CD5379" s="4"/>
      <c r="CF5379" s="4"/>
    </row>
    <row r="5380" spans="66:84">
      <c r="BN5380" s="4"/>
      <c r="BO5380" s="4"/>
      <c r="BQ5380" s="4"/>
      <c r="CC5380" s="4"/>
      <c r="CD5380" s="4"/>
      <c r="CF5380" s="4"/>
    </row>
    <row r="5381" spans="66:84">
      <c r="BN5381" s="4"/>
      <c r="BO5381" s="4"/>
      <c r="BQ5381" s="4"/>
      <c r="CC5381" s="4"/>
      <c r="CD5381" s="4"/>
      <c r="CF5381" s="4"/>
    </row>
    <row r="5382" spans="66:84">
      <c r="BN5382" s="4"/>
      <c r="BO5382" s="4"/>
      <c r="BQ5382" s="4"/>
      <c r="CC5382" s="4"/>
      <c r="CD5382" s="4"/>
      <c r="CF5382" s="4"/>
    </row>
    <row r="5383" spans="66:84">
      <c r="BN5383" s="4"/>
      <c r="BO5383" s="4"/>
      <c r="BQ5383" s="4"/>
      <c r="CC5383" s="4"/>
      <c r="CD5383" s="4"/>
      <c r="CF5383" s="4"/>
    </row>
    <row r="5384" spans="66:84">
      <c r="BN5384" s="4"/>
      <c r="BO5384" s="4"/>
      <c r="BQ5384" s="4"/>
      <c r="CC5384" s="4"/>
      <c r="CD5384" s="4"/>
      <c r="CF5384" s="4"/>
    </row>
    <row r="5385" spans="66:84">
      <c r="BN5385" s="4"/>
      <c r="BO5385" s="4"/>
      <c r="BQ5385" s="4"/>
      <c r="CC5385" s="4"/>
      <c r="CD5385" s="4"/>
      <c r="CF5385" s="4"/>
    </row>
    <row r="5386" spans="66:84">
      <c r="BN5386" s="4"/>
      <c r="BO5386" s="4"/>
      <c r="BQ5386" s="4"/>
      <c r="CC5386" s="4"/>
      <c r="CD5386" s="4"/>
      <c r="CF5386" s="4"/>
    </row>
    <row r="5387" spans="66:84">
      <c r="BN5387" s="4"/>
      <c r="BO5387" s="4"/>
      <c r="BQ5387" s="4"/>
      <c r="CC5387" s="4"/>
      <c r="CD5387" s="4"/>
      <c r="CF5387" s="4"/>
    </row>
    <row r="5388" spans="66:84">
      <c r="BN5388" s="4"/>
      <c r="BO5388" s="4"/>
      <c r="BQ5388" s="4"/>
      <c r="CC5388" s="4"/>
      <c r="CD5388" s="4"/>
      <c r="CF5388" s="4"/>
    </row>
    <row r="5389" spans="66:84">
      <c r="BN5389" s="4"/>
      <c r="BO5389" s="4"/>
      <c r="BQ5389" s="4"/>
      <c r="CC5389" s="4"/>
      <c r="CD5389" s="4"/>
      <c r="CF5389" s="4"/>
    </row>
    <row r="5390" spans="66:84">
      <c r="BN5390" s="4"/>
      <c r="BO5390" s="4"/>
      <c r="BQ5390" s="4"/>
      <c r="CC5390" s="4"/>
      <c r="CD5390" s="4"/>
      <c r="CF5390" s="4"/>
    </row>
    <row r="5391" spans="66:84">
      <c r="BN5391" s="4"/>
      <c r="BO5391" s="4"/>
      <c r="BQ5391" s="4"/>
      <c r="CC5391" s="4"/>
      <c r="CD5391" s="4"/>
      <c r="CF5391" s="4"/>
    </row>
    <row r="5392" spans="66:84">
      <c r="BN5392" s="4"/>
      <c r="BO5392" s="4"/>
      <c r="BQ5392" s="4"/>
      <c r="CC5392" s="4"/>
      <c r="CD5392" s="4"/>
      <c r="CF5392" s="4"/>
    </row>
    <row r="5393" spans="66:84">
      <c r="BN5393" s="4"/>
      <c r="BO5393" s="4"/>
      <c r="BQ5393" s="4"/>
      <c r="CC5393" s="4"/>
      <c r="CD5393" s="4"/>
      <c r="CF5393" s="4"/>
    </row>
    <row r="5394" spans="66:84">
      <c r="BN5394" s="4"/>
      <c r="BO5394" s="4"/>
      <c r="BQ5394" s="4"/>
      <c r="CC5394" s="4"/>
      <c r="CD5394" s="4"/>
      <c r="CF5394" s="4"/>
    </row>
    <row r="5395" spans="66:84">
      <c r="BN5395" s="4"/>
      <c r="BO5395" s="4"/>
      <c r="BQ5395" s="4"/>
      <c r="CC5395" s="4"/>
      <c r="CD5395" s="4"/>
      <c r="CF5395" s="4"/>
    </row>
    <row r="5396" spans="66:84">
      <c r="BN5396" s="4"/>
      <c r="BO5396" s="4"/>
      <c r="BQ5396" s="4"/>
      <c r="CC5396" s="4"/>
      <c r="CD5396" s="4"/>
      <c r="CF5396" s="4"/>
    </row>
    <row r="5397" spans="66:84">
      <c r="BN5397" s="4"/>
      <c r="BO5397" s="4"/>
      <c r="BQ5397" s="4"/>
      <c r="CC5397" s="4"/>
      <c r="CD5397" s="4"/>
      <c r="CF5397" s="4"/>
    </row>
    <row r="5398" spans="66:84">
      <c r="BN5398" s="4"/>
      <c r="BO5398" s="4"/>
      <c r="BQ5398" s="4"/>
      <c r="CC5398" s="4"/>
      <c r="CD5398" s="4"/>
      <c r="CF5398" s="4"/>
    </row>
    <row r="5399" spans="66:84">
      <c r="BN5399" s="4"/>
      <c r="BO5399" s="4"/>
      <c r="BQ5399" s="4"/>
      <c r="CC5399" s="4"/>
      <c r="CD5399" s="4"/>
      <c r="CF5399" s="4"/>
    </row>
    <row r="5400" spans="66:84">
      <c r="BN5400" s="4"/>
      <c r="BO5400" s="4"/>
      <c r="BQ5400" s="4"/>
      <c r="CC5400" s="4"/>
      <c r="CD5400" s="4"/>
      <c r="CF5400" s="4"/>
    </row>
    <row r="5401" spans="66:84">
      <c r="BN5401" s="4"/>
      <c r="BO5401" s="4"/>
      <c r="BQ5401" s="4"/>
      <c r="CC5401" s="4"/>
      <c r="CD5401" s="4"/>
      <c r="CF5401" s="4"/>
    </row>
    <row r="5402" spans="66:84">
      <c r="BN5402" s="4"/>
      <c r="BO5402" s="4"/>
      <c r="BQ5402" s="4"/>
      <c r="CC5402" s="4"/>
      <c r="CD5402" s="4"/>
      <c r="CF5402" s="4"/>
    </row>
    <row r="5403" spans="66:84">
      <c r="BN5403" s="4"/>
      <c r="BO5403" s="4"/>
      <c r="BQ5403" s="4"/>
      <c r="CC5403" s="4"/>
      <c r="CD5403" s="4"/>
      <c r="CF5403" s="4"/>
    </row>
    <row r="5404" spans="66:84">
      <c r="BN5404" s="4"/>
      <c r="BO5404" s="4"/>
      <c r="BQ5404" s="4"/>
      <c r="CC5404" s="4"/>
      <c r="CD5404" s="4"/>
      <c r="CF5404" s="4"/>
    </row>
    <row r="5405" spans="66:84">
      <c r="BN5405" s="4"/>
      <c r="BO5405" s="4"/>
      <c r="BQ5405" s="4"/>
      <c r="CC5405" s="4"/>
      <c r="CD5405" s="4"/>
      <c r="CF5405" s="4"/>
    </row>
    <row r="5406" spans="66:84">
      <c r="BN5406" s="4"/>
      <c r="BO5406" s="4"/>
      <c r="BQ5406" s="4"/>
      <c r="CC5406" s="4"/>
      <c r="CD5406" s="4"/>
      <c r="CF5406" s="4"/>
    </row>
    <row r="5407" spans="66:84">
      <c r="BN5407" s="4"/>
      <c r="BO5407" s="4"/>
      <c r="BQ5407" s="4"/>
      <c r="CC5407" s="4"/>
      <c r="CD5407" s="4"/>
      <c r="CF5407" s="4"/>
    </row>
    <row r="5408" spans="66:84">
      <c r="BN5408" s="4"/>
      <c r="BO5408" s="4"/>
      <c r="BQ5408" s="4"/>
      <c r="CC5408" s="4"/>
      <c r="CD5408" s="4"/>
      <c r="CF5408" s="4"/>
    </row>
    <row r="5409" spans="66:84">
      <c r="BN5409" s="4"/>
      <c r="BO5409" s="4"/>
      <c r="BQ5409" s="4"/>
      <c r="CC5409" s="4"/>
      <c r="CD5409" s="4"/>
      <c r="CF5409" s="4"/>
    </row>
    <row r="5410" spans="66:84">
      <c r="BN5410" s="4"/>
      <c r="BO5410" s="4"/>
      <c r="BQ5410" s="4"/>
      <c r="CC5410" s="4"/>
      <c r="CD5410" s="4"/>
      <c r="CF5410" s="4"/>
    </row>
    <row r="5411" spans="66:84">
      <c r="BN5411" s="4"/>
      <c r="BO5411" s="4"/>
      <c r="BQ5411" s="4"/>
      <c r="CC5411" s="4"/>
      <c r="CD5411" s="4"/>
      <c r="CF5411" s="4"/>
    </row>
    <row r="5412" spans="66:84">
      <c r="BN5412" s="4"/>
      <c r="BO5412" s="4"/>
      <c r="BQ5412" s="4"/>
      <c r="CC5412" s="4"/>
      <c r="CD5412" s="4"/>
      <c r="CF5412" s="4"/>
    </row>
    <row r="5413" spans="66:84">
      <c r="BN5413" s="4"/>
      <c r="BO5413" s="4"/>
      <c r="BQ5413" s="4"/>
      <c r="CC5413" s="4"/>
      <c r="CD5413" s="4"/>
      <c r="CF5413" s="4"/>
    </row>
    <row r="5414" spans="66:84">
      <c r="BN5414" s="4"/>
      <c r="BO5414" s="4"/>
      <c r="BQ5414" s="4"/>
      <c r="CC5414" s="4"/>
      <c r="CD5414" s="4"/>
      <c r="CF5414" s="4"/>
    </row>
    <row r="5415" spans="66:84">
      <c r="BN5415" s="4"/>
      <c r="BO5415" s="4"/>
      <c r="BQ5415" s="4"/>
      <c r="CC5415" s="4"/>
      <c r="CD5415" s="4"/>
      <c r="CF5415" s="4"/>
    </row>
    <row r="5416" spans="66:84">
      <c r="BN5416" s="4"/>
      <c r="BO5416" s="4"/>
      <c r="BQ5416" s="4"/>
      <c r="CC5416" s="4"/>
      <c r="CD5416" s="4"/>
      <c r="CF5416" s="4"/>
    </row>
    <row r="5417" spans="66:84">
      <c r="BN5417" s="4"/>
      <c r="BO5417" s="4"/>
      <c r="BQ5417" s="4"/>
      <c r="CC5417" s="4"/>
      <c r="CD5417" s="4"/>
      <c r="CF5417" s="4"/>
    </row>
    <row r="5418" spans="66:84">
      <c r="BN5418" s="4"/>
      <c r="BO5418" s="4"/>
      <c r="BQ5418" s="4"/>
      <c r="CC5418" s="4"/>
      <c r="CD5418" s="4"/>
      <c r="CF5418" s="4"/>
    </row>
    <row r="5419" spans="66:84">
      <c r="BN5419" s="4"/>
      <c r="BO5419" s="4"/>
      <c r="BQ5419" s="4"/>
      <c r="CC5419" s="4"/>
      <c r="CD5419" s="4"/>
      <c r="CF5419" s="4"/>
    </row>
    <row r="5420" spans="66:84">
      <c r="BN5420" s="4"/>
      <c r="BO5420" s="4"/>
      <c r="BQ5420" s="4"/>
      <c r="CC5420" s="4"/>
      <c r="CD5420" s="4"/>
      <c r="CF5420" s="4"/>
    </row>
    <row r="5421" spans="66:84">
      <c r="BN5421" s="4"/>
      <c r="BO5421" s="4"/>
      <c r="BQ5421" s="4"/>
      <c r="CC5421" s="4"/>
      <c r="CD5421" s="4"/>
      <c r="CF5421" s="4"/>
    </row>
    <row r="5422" spans="66:84">
      <c r="BN5422" s="4"/>
      <c r="BO5422" s="4"/>
      <c r="BQ5422" s="4"/>
      <c r="CC5422" s="4"/>
      <c r="CD5422" s="4"/>
      <c r="CF5422" s="4"/>
    </row>
    <row r="5423" spans="66:84">
      <c r="BN5423" s="4"/>
      <c r="BO5423" s="4"/>
      <c r="BQ5423" s="4"/>
      <c r="CC5423" s="4"/>
      <c r="CD5423" s="4"/>
      <c r="CF5423" s="4"/>
    </row>
    <row r="5424" spans="66:84">
      <c r="BN5424" s="4"/>
      <c r="BO5424" s="4"/>
      <c r="BQ5424" s="4"/>
      <c r="CC5424" s="4"/>
      <c r="CD5424" s="4"/>
      <c r="CF5424" s="4"/>
    </row>
    <row r="5425" spans="66:84">
      <c r="BN5425" s="4"/>
      <c r="BO5425" s="4"/>
      <c r="BQ5425" s="4"/>
      <c r="CC5425" s="4"/>
      <c r="CD5425" s="4"/>
      <c r="CF5425" s="4"/>
    </row>
    <row r="5426" spans="66:84">
      <c r="BN5426" s="4"/>
      <c r="BO5426" s="4"/>
      <c r="BQ5426" s="4"/>
      <c r="CC5426" s="4"/>
      <c r="CD5426" s="4"/>
      <c r="CF5426" s="4"/>
    </row>
    <row r="5427" spans="66:84">
      <c r="BN5427" s="4"/>
      <c r="BO5427" s="4"/>
      <c r="BQ5427" s="4"/>
      <c r="CC5427" s="4"/>
      <c r="CD5427" s="4"/>
      <c r="CF5427" s="4"/>
    </row>
    <row r="5428" spans="66:84">
      <c r="BN5428" s="4"/>
      <c r="BO5428" s="4"/>
      <c r="BQ5428" s="4"/>
      <c r="CC5428" s="4"/>
      <c r="CD5428" s="4"/>
      <c r="CF5428" s="4"/>
    </row>
    <row r="5429" spans="66:84">
      <c r="BN5429" s="4"/>
      <c r="BO5429" s="4"/>
      <c r="BQ5429" s="4"/>
      <c r="CC5429" s="4"/>
      <c r="CD5429" s="4"/>
      <c r="CF5429" s="4"/>
    </row>
    <row r="5430" spans="66:84">
      <c r="BN5430" s="4"/>
      <c r="BO5430" s="4"/>
      <c r="BQ5430" s="4"/>
      <c r="CC5430" s="4"/>
      <c r="CD5430" s="4"/>
      <c r="CF5430" s="4"/>
    </row>
    <row r="5431" spans="66:84">
      <c r="BN5431" s="4"/>
      <c r="BO5431" s="4"/>
      <c r="BQ5431" s="4"/>
      <c r="CC5431" s="4"/>
      <c r="CD5431" s="4"/>
      <c r="CF5431" s="4"/>
    </row>
    <row r="5432" spans="66:84">
      <c r="BN5432" s="4"/>
      <c r="BO5432" s="4"/>
      <c r="BQ5432" s="4"/>
      <c r="CC5432" s="4"/>
      <c r="CD5432" s="4"/>
      <c r="CF5432" s="4"/>
    </row>
    <row r="5433" spans="66:84">
      <c r="BN5433" s="4"/>
      <c r="BO5433" s="4"/>
      <c r="BQ5433" s="4"/>
      <c r="CC5433" s="4"/>
      <c r="CD5433" s="4"/>
      <c r="CF5433" s="4"/>
    </row>
    <row r="5434" spans="66:84">
      <c r="BN5434" s="4"/>
      <c r="BO5434" s="4"/>
      <c r="BQ5434" s="4"/>
      <c r="CC5434" s="4"/>
      <c r="CD5434" s="4"/>
      <c r="CF5434" s="4"/>
    </row>
    <row r="5435" spans="66:84">
      <c r="BN5435" s="4"/>
      <c r="BO5435" s="4"/>
      <c r="BQ5435" s="4"/>
      <c r="CC5435" s="4"/>
      <c r="CD5435" s="4"/>
      <c r="CF5435" s="4"/>
    </row>
    <row r="5436" spans="66:84">
      <c r="BN5436" s="4"/>
      <c r="BO5436" s="4"/>
      <c r="BQ5436" s="4"/>
      <c r="CC5436" s="4"/>
      <c r="CD5436" s="4"/>
      <c r="CF5436" s="4"/>
    </row>
    <row r="5437" spans="66:84">
      <c r="BN5437" s="4"/>
      <c r="BO5437" s="4"/>
      <c r="BQ5437" s="4"/>
      <c r="CC5437" s="4"/>
      <c r="CD5437" s="4"/>
      <c r="CF5437" s="4"/>
    </row>
    <row r="5438" spans="66:84">
      <c r="BN5438" s="4"/>
      <c r="BO5438" s="4"/>
      <c r="BQ5438" s="4"/>
      <c r="CC5438" s="4"/>
      <c r="CD5438" s="4"/>
      <c r="CF5438" s="4"/>
    </row>
    <row r="5439" spans="66:84">
      <c r="BN5439" s="4"/>
      <c r="BO5439" s="4"/>
      <c r="BQ5439" s="4"/>
      <c r="CC5439" s="4"/>
      <c r="CD5439" s="4"/>
      <c r="CF5439" s="4"/>
    </row>
    <row r="5440" spans="66:84">
      <c r="BN5440" s="4"/>
      <c r="BO5440" s="4"/>
      <c r="BQ5440" s="4"/>
      <c r="CC5440" s="4"/>
      <c r="CD5440" s="4"/>
      <c r="CF5440" s="4"/>
    </row>
    <row r="5441" spans="66:84">
      <c r="BN5441" s="4"/>
      <c r="BO5441" s="4"/>
      <c r="BQ5441" s="4"/>
      <c r="CC5441" s="4"/>
      <c r="CD5441" s="4"/>
      <c r="CF5441" s="4"/>
    </row>
    <row r="5442" spans="66:84">
      <c r="BN5442" s="4"/>
      <c r="BO5442" s="4"/>
      <c r="BQ5442" s="4"/>
      <c r="CC5442" s="4"/>
      <c r="CD5442" s="4"/>
      <c r="CF5442" s="4"/>
    </row>
    <row r="5443" spans="66:84">
      <c r="BN5443" s="4"/>
      <c r="BO5443" s="4"/>
      <c r="BQ5443" s="4"/>
      <c r="CC5443" s="4"/>
      <c r="CD5443" s="4"/>
      <c r="CF5443" s="4"/>
    </row>
    <row r="5444" spans="66:84">
      <c r="BN5444" s="4"/>
      <c r="BO5444" s="4"/>
      <c r="BQ5444" s="4"/>
      <c r="CC5444" s="4"/>
      <c r="CD5444" s="4"/>
      <c r="CF5444" s="4"/>
    </row>
    <row r="5445" spans="66:84">
      <c r="BN5445" s="4"/>
      <c r="BO5445" s="4"/>
      <c r="BQ5445" s="4"/>
      <c r="CC5445" s="4"/>
      <c r="CD5445" s="4"/>
      <c r="CF5445" s="4"/>
    </row>
    <row r="5446" spans="66:84">
      <c r="BN5446" s="4"/>
      <c r="BO5446" s="4"/>
      <c r="BQ5446" s="4"/>
      <c r="CC5446" s="4"/>
      <c r="CD5446" s="4"/>
      <c r="CF5446" s="4"/>
    </row>
    <row r="5447" spans="66:84">
      <c r="BN5447" s="4"/>
      <c r="BO5447" s="4"/>
      <c r="BQ5447" s="4"/>
      <c r="CC5447" s="4"/>
      <c r="CD5447" s="4"/>
      <c r="CF5447" s="4"/>
    </row>
    <row r="5448" spans="66:84">
      <c r="BN5448" s="4"/>
      <c r="BO5448" s="4"/>
      <c r="BQ5448" s="4"/>
      <c r="CC5448" s="4"/>
      <c r="CD5448" s="4"/>
      <c r="CF5448" s="4"/>
    </row>
    <row r="5449" spans="66:84">
      <c r="BN5449" s="4"/>
      <c r="BO5449" s="4"/>
      <c r="BQ5449" s="4"/>
      <c r="CC5449" s="4"/>
      <c r="CD5449" s="4"/>
      <c r="CF5449" s="4"/>
    </row>
    <row r="5450" spans="66:84">
      <c r="BN5450" s="4"/>
      <c r="BO5450" s="4"/>
      <c r="BQ5450" s="4"/>
      <c r="CC5450" s="4"/>
      <c r="CD5450" s="4"/>
      <c r="CF5450" s="4"/>
    </row>
    <row r="5451" spans="66:84">
      <c r="BN5451" s="4"/>
      <c r="BO5451" s="4"/>
      <c r="BQ5451" s="4"/>
      <c r="CC5451" s="4"/>
      <c r="CD5451" s="4"/>
      <c r="CF5451" s="4"/>
    </row>
    <row r="5452" spans="66:84">
      <c r="BN5452" s="4"/>
      <c r="BO5452" s="4"/>
      <c r="BQ5452" s="4"/>
      <c r="CC5452" s="4"/>
      <c r="CD5452" s="4"/>
      <c r="CF5452" s="4"/>
    </row>
    <row r="5453" spans="66:84">
      <c r="BN5453" s="4"/>
      <c r="BO5453" s="4"/>
      <c r="BQ5453" s="4"/>
      <c r="CC5453" s="4"/>
      <c r="CD5453" s="4"/>
      <c r="CF5453" s="4"/>
    </row>
    <row r="5454" spans="66:84">
      <c r="BN5454" s="4"/>
      <c r="BO5454" s="4"/>
      <c r="BQ5454" s="4"/>
      <c r="CC5454" s="4"/>
      <c r="CD5454" s="4"/>
      <c r="CF5454" s="4"/>
    </row>
    <row r="5455" spans="66:84">
      <c r="BN5455" s="4"/>
      <c r="BO5455" s="4"/>
      <c r="BQ5455" s="4"/>
      <c r="CC5455" s="4"/>
      <c r="CD5455" s="4"/>
      <c r="CF5455" s="4"/>
    </row>
    <row r="5456" spans="66:84">
      <c r="BN5456" s="4"/>
      <c r="BO5456" s="4"/>
      <c r="BQ5456" s="4"/>
      <c r="CC5456" s="4"/>
      <c r="CD5456" s="4"/>
      <c r="CF5456" s="4"/>
    </row>
    <row r="5457" spans="66:84">
      <c r="BN5457" s="4"/>
      <c r="BO5457" s="4"/>
      <c r="BQ5457" s="4"/>
      <c r="CC5457" s="4"/>
      <c r="CD5457" s="4"/>
      <c r="CF5457" s="4"/>
    </row>
    <row r="5458" spans="66:84">
      <c r="BN5458" s="4"/>
      <c r="BO5458" s="4"/>
      <c r="BQ5458" s="4"/>
      <c r="CC5458" s="4"/>
      <c r="CD5458" s="4"/>
      <c r="CF5458" s="4"/>
    </row>
    <row r="5459" spans="66:84">
      <c r="BN5459" s="4"/>
      <c r="BO5459" s="4"/>
      <c r="BQ5459" s="4"/>
      <c r="CC5459" s="4"/>
      <c r="CD5459" s="4"/>
      <c r="CF5459" s="4"/>
    </row>
    <row r="5460" spans="66:84">
      <c r="BN5460" s="4"/>
      <c r="BO5460" s="4"/>
      <c r="BQ5460" s="4"/>
      <c r="CC5460" s="4"/>
      <c r="CD5460" s="4"/>
      <c r="CF5460" s="4"/>
    </row>
    <row r="5461" spans="66:84">
      <c r="BN5461" s="4"/>
      <c r="BO5461" s="4"/>
      <c r="BQ5461" s="4"/>
      <c r="CC5461" s="4"/>
      <c r="CD5461" s="4"/>
      <c r="CF5461" s="4"/>
    </row>
    <row r="5462" spans="66:84">
      <c r="BN5462" s="4"/>
      <c r="BO5462" s="4"/>
      <c r="BQ5462" s="4"/>
      <c r="CC5462" s="4"/>
      <c r="CD5462" s="4"/>
      <c r="CF5462" s="4"/>
    </row>
    <row r="5463" spans="66:84">
      <c r="BN5463" s="4"/>
      <c r="BO5463" s="4"/>
      <c r="BQ5463" s="4"/>
      <c r="CC5463" s="4"/>
      <c r="CD5463" s="4"/>
      <c r="CF5463" s="4"/>
    </row>
    <row r="5464" spans="66:84">
      <c r="BN5464" s="4"/>
      <c r="BO5464" s="4"/>
      <c r="BQ5464" s="4"/>
      <c r="CC5464" s="4"/>
      <c r="CD5464" s="4"/>
      <c r="CF5464" s="4"/>
    </row>
    <row r="5465" spans="66:84">
      <c r="BN5465" s="4"/>
      <c r="BO5465" s="4"/>
      <c r="BQ5465" s="4"/>
      <c r="CC5465" s="4"/>
      <c r="CD5465" s="4"/>
      <c r="CF5465" s="4"/>
    </row>
    <row r="5466" spans="66:84">
      <c r="BN5466" s="4"/>
      <c r="BO5466" s="4"/>
      <c r="BQ5466" s="4"/>
      <c r="CC5466" s="4"/>
      <c r="CD5466" s="4"/>
      <c r="CF5466" s="4"/>
    </row>
    <row r="5467" spans="66:84">
      <c r="BN5467" s="4"/>
      <c r="BO5467" s="4"/>
      <c r="BQ5467" s="4"/>
      <c r="CC5467" s="4"/>
      <c r="CD5467" s="4"/>
      <c r="CF5467" s="4"/>
    </row>
    <row r="5468" spans="66:84">
      <c r="BN5468" s="4"/>
      <c r="BO5468" s="4"/>
      <c r="BQ5468" s="4"/>
      <c r="CC5468" s="4"/>
      <c r="CD5468" s="4"/>
      <c r="CF5468" s="4"/>
    </row>
    <row r="5469" spans="66:84">
      <c r="BN5469" s="4"/>
      <c r="BO5469" s="4"/>
      <c r="BQ5469" s="4"/>
      <c r="CC5469" s="4"/>
      <c r="CD5469" s="4"/>
      <c r="CF5469" s="4"/>
    </row>
    <row r="5470" spans="66:84">
      <c r="BN5470" s="4"/>
      <c r="BO5470" s="4"/>
      <c r="BQ5470" s="4"/>
      <c r="CC5470" s="4"/>
      <c r="CD5470" s="4"/>
      <c r="CF5470" s="4"/>
    </row>
    <row r="5471" spans="66:84">
      <c r="BN5471" s="4"/>
      <c r="BO5471" s="4"/>
      <c r="BQ5471" s="4"/>
      <c r="CC5471" s="4"/>
      <c r="CD5471" s="4"/>
      <c r="CF5471" s="4"/>
    </row>
    <row r="5472" spans="66:84">
      <c r="BN5472" s="4"/>
      <c r="BO5472" s="4"/>
      <c r="BQ5472" s="4"/>
      <c r="CC5472" s="4"/>
      <c r="CD5472" s="4"/>
      <c r="CF5472" s="4"/>
    </row>
    <row r="5473" spans="66:84">
      <c r="BN5473" s="4"/>
      <c r="BO5473" s="4"/>
      <c r="BQ5473" s="4"/>
      <c r="CC5473" s="4"/>
      <c r="CD5473" s="4"/>
      <c r="CF5473" s="4"/>
    </row>
    <row r="5474" spans="66:84">
      <c r="BN5474" s="4"/>
      <c r="BO5474" s="4"/>
      <c r="BQ5474" s="4"/>
      <c r="CC5474" s="4"/>
      <c r="CD5474" s="4"/>
      <c r="CF5474" s="4"/>
    </row>
    <row r="5475" spans="66:84">
      <c r="BN5475" s="4"/>
      <c r="BO5475" s="4"/>
      <c r="BQ5475" s="4"/>
      <c r="CC5475" s="4"/>
      <c r="CD5475" s="4"/>
      <c r="CF5475" s="4"/>
    </row>
    <row r="5476" spans="66:84">
      <c r="BN5476" s="4"/>
      <c r="BO5476" s="4"/>
      <c r="BQ5476" s="4"/>
      <c r="CC5476" s="4"/>
      <c r="CD5476" s="4"/>
      <c r="CF5476" s="4"/>
    </row>
    <row r="5477" spans="66:84">
      <c r="BN5477" s="4"/>
      <c r="BO5477" s="4"/>
      <c r="BQ5477" s="4"/>
      <c r="CC5477" s="4"/>
      <c r="CD5477" s="4"/>
      <c r="CF5477" s="4"/>
    </row>
    <row r="5478" spans="66:84">
      <c r="BN5478" s="4"/>
      <c r="BO5478" s="4"/>
      <c r="BQ5478" s="4"/>
      <c r="CC5478" s="4"/>
      <c r="CD5478" s="4"/>
      <c r="CF5478" s="4"/>
    </row>
    <row r="5479" spans="66:84">
      <c r="BN5479" s="4"/>
      <c r="BO5479" s="4"/>
      <c r="BQ5479" s="4"/>
      <c r="CC5479" s="4"/>
      <c r="CD5479" s="4"/>
      <c r="CF5479" s="4"/>
    </row>
    <row r="5480" spans="66:84">
      <c r="BN5480" s="4"/>
      <c r="BO5480" s="4"/>
      <c r="BQ5480" s="4"/>
      <c r="CC5480" s="4"/>
      <c r="CD5480" s="4"/>
      <c r="CF5480" s="4"/>
    </row>
    <row r="5481" spans="66:84">
      <c r="BN5481" s="4"/>
      <c r="BO5481" s="4"/>
      <c r="BQ5481" s="4"/>
      <c r="CC5481" s="4"/>
      <c r="CD5481" s="4"/>
      <c r="CF5481" s="4"/>
    </row>
    <row r="5482" spans="66:84">
      <c r="BN5482" s="4"/>
      <c r="BO5482" s="4"/>
      <c r="BQ5482" s="4"/>
      <c r="CC5482" s="4"/>
      <c r="CD5482" s="4"/>
      <c r="CF5482" s="4"/>
    </row>
    <row r="5483" spans="66:84">
      <c r="BN5483" s="4"/>
      <c r="BO5483" s="4"/>
      <c r="BQ5483" s="4"/>
      <c r="CC5483" s="4"/>
      <c r="CD5483" s="4"/>
      <c r="CF5483" s="4"/>
    </row>
    <row r="5484" spans="66:84">
      <c r="BN5484" s="4"/>
      <c r="BO5484" s="4"/>
      <c r="BQ5484" s="4"/>
      <c r="CC5484" s="4"/>
      <c r="CD5484" s="4"/>
      <c r="CF5484" s="4"/>
    </row>
    <row r="5485" spans="66:84">
      <c r="BN5485" s="4"/>
      <c r="BO5485" s="4"/>
      <c r="BQ5485" s="4"/>
      <c r="CC5485" s="4"/>
      <c r="CD5485" s="4"/>
      <c r="CF5485" s="4"/>
    </row>
    <row r="5486" spans="66:84">
      <c r="BN5486" s="4"/>
      <c r="BO5486" s="4"/>
      <c r="BQ5486" s="4"/>
      <c r="CC5486" s="4"/>
      <c r="CD5486" s="4"/>
      <c r="CF5486" s="4"/>
    </row>
    <row r="5487" spans="66:84">
      <c r="BN5487" s="4"/>
      <c r="BO5487" s="4"/>
      <c r="BQ5487" s="4"/>
      <c r="CC5487" s="4"/>
      <c r="CD5487" s="4"/>
      <c r="CF5487" s="4"/>
    </row>
    <row r="5488" spans="66:84">
      <c r="BN5488" s="4"/>
      <c r="BO5488" s="4"/>
      <c r="BQ5488" s="4"/>
      <c r="CC5488" s="4"/>
      <c r="CD5488" s="4"/>
      <c r="CF5488" s="4"/>
    </row>
    <row r="5489" spans="66:84">
      <c r="BN5489" s="4"/>
      <c r="BO5489" s="4"/>
      <c r="BQ5489" s="4"/>
      <c r="CC5489" s="4"/>
      <c r="CD5489" s="4"/>
      <c r="CF5489" s="4"/>
    </row>
    <row r="5490" spans="66:84">
      <c r="BN5490" s="4"/>
      <c r="BO5490" s="4"/>
      <c r="BQ5490" s="4"/>
      <c r="CC5490" s="4"/>
      <c r="CD5490" s="4"/>
      <c r="CF5490" s="4"/>
    </row>
    <row r="5491" spans="66:84">
      <c r="BN5491" s="4"/>
      <c r="BO5491" s="4"/>
      <c r="BQ5491" s="4"/>
      <c r="CC5491" s="4"/>
      <c r="CD5491" s="4"/>
      <c r="CF5491" s="4"/>
    </row>
    <row r="5492" spans="66:84">
      <c r="BN5492" s="4"/>
      <c r="BO5492" s="4"/>
      <c r="BQ5492" s="4"/>
      <c r="CC5492" s="4"/>
      <c r="CD5492" s="4"/>
      <c r="CF5492" s="4"/>
    </row>
    <row r="5493" spans="66:84">
      <c r="BN5493" s="4"/>
      <c r="BO5493" s="4"/>
      <c r="BQ5493" s="4"/>
      <c r="CC5493" s="4"/>
      <c r="CD5493" s="4"/>
      <c r="CF5493" s="4"/>
    </row>
    <row r="5494" spans="66:84">
      <c r="BN5494" s="4"/>
      <c r="BO5494" s="4"/>
      <c r="BQ5494" s="4"/>
      <c r="CC5494" s="4"/>
      <c r="CD5494" s="4"/>
      <c r="CF5494" s="4"/>
    </row>
    <row r="5495" spans="66:84">
      <c r="BN5495" s="4"/>
      <c r="BO5495" s="4"/>
      <c r="BQ5495" s="4"/>
      <c r="CC5495" s="4"/>
      <c r="CD5495" s="4"/>
      <c r="CF5495" s="4"/>
    </row>
    <row r="5496" spans="66:84">
      <c r="BN5496" s="4"/>
      <c r="BO5496" s="4"/>
      <c r="BQ5496" s="4"/>
      <c r="CC5496" s="4"/>
      <c r="CD5496" s="4"/>
      <c r="CF5496" s="4"/>
    </row>
    <row r="5497" spans="66:84">
      <c r="BN5497" s="4"/>
      <c r="BO5497" s="4"/>
      <c r="BQ5497" s="4"/>
      <c r="CC5497" s="4"/>
      <c r="CD5497" s="4"/>
      <c r="CF5497" s="4"/>
    </row>
    <row r="5498" spans="66:84">
      <c r="BN5498" s="4"/>
      <c r="BO5498" s="4"/>
      <c r="BQ5498" s="4"/>
      <c r="CC5498" s="4"/>
      <c r="CD5498" s="4"/>
      <c r="CF5498" s="4"/>
    </row>
    <row r="5499" spans="66:84">
      <c r="BN5499" s="4"/>
      <c r="BO5499" s="4"/>
      <c r="BQ5499" s="4"/>
      <c r="CC5499" s="4"/>
      <c r="CD5499" s="4"/>
      <c r="CF5499" s="4"/>
    </row>
    <row r="5500" spans="66:84">
      <c r="BN5500" s="4"/>
      <c r="BO5500" s="4"/>
      <c r="BQ5500" s="4"/>
      <c r="CC5500" s="4"/>
      <c r="CD5500" s="4"/>
      <c r="CF5500" s="4"/>
    </row>
    <row r="5501" spans="66:84">
      <c r="BN5501" s="4"/>
      <c r="BO5501" s="4"/>
      <c r="BQ5501" s="4"/>
      <c r="CC5501" s="4"/>
      <c r="CD5501" s="4"/>
      <c r="CF5501" s="4"/>
    </row>
    <row r="5502" spans="66:84">
      <c r="BN5502" s="4"/>
      <c r="BO5502" s="4"/>
      <c r="BQ5502" s="4"/>
      <c r="CC5502" s="4"/>
      <c r="CD5502" s="4"/>
      <c r="CF5502" s="4"/>
    </row>
    <row r="5503" spans="66:84">
      <c r="BN5503" s="4"/>
      <c r="BO5503" s="4"/>
      <c r="BQ5503" s="4"/>
      <c r="CC5503" s="4"/>
      <c r="CD5503" s="4"/>
      <c r="CF5503" s="4"/>
    </row>
    <row r="5504" spans="66:84">
      <c r="BN5504" s="4"/>
      <c r="BO5504" s="4"/>
      <c r="BQ5504" s="4"/>
      <c r="CC5504" s="4"/>
      <c r="CD5504" s="4"/>
      <c r="CF5504" s="4"/>
    </row>
    <row r="5505" spans="66:84">
      <c r="BN5505" s="4"/>
      <c r="BO5505" s="4"/>
      <c r="BQ5505" s="4"/>
      <c r="CC5505" s="4"/>
      <c r="CD5505" s="4"/>
      <c r="CF5505" s="4"/>
    </row>
    <row r="5506" spans="66:84">
      <c r="BN5506" s="4"/>
      <c r="BO5506" s="4"/>
      <c r="BQ5506" s="4"/>
      <c r="CC5506" s="4"/>
      <c r="CD5506" s="4"/>
      <c r="CF5506" s="4"/>
    </row>
    <row r="5507" spans="66:84">
      <c r="BN5507" s="4"/>
      <c r="BO5507" s="4"/>
      <c r="BQ5507" s="4"/>
      <c r="CC5507" s="4"/>
      <c r="CD5507" s="4"/>
      <c r="CF5507" s="4"/>
    </row>
    <row r="5508" spans="66:84">
      <c r="BN5508" s="4"/>
      <c r="BO5508" s="4"/>
      <c r="BQ5508" s="4"/>
      <c r="CC5508" s="4"/>
      <c r="CD5508" s="4"/>
      <c r="CF5508" s="4"/>
    </row>
    <row r="5509" spans="66:84">
      <c r="BN5509" s="4"/>
      <c r="BO5509" s="4"/>
      <c r="BQ5509" s="4"/>
      <c r="CC5509" s="4"/>
      <c r="CD5509" s="4"/>
      <c r="CF5509" s="4"/>
    </row>
    <row r="5510" spans="66:84">
      <c r="BN5510" s="4"/>
      <c r="BO5510" s="4"/>
      <c r="BQ5510" s="4"/>
      <c r="CC5510" s="4"/>
      <c r="CD5510" s="4"/>
      <c r="CF5510" s="4"/>
    </row>
    <row r="5511" spans="66:84">
      <c r="BN5511" s="4"/>
      <c r="BO5511" s="4"/>
      <c r="BQ5511" s="4"/>
      <c r="CC5511" s="4"/>
      <c r="CD5511" s="4"/>
      <c r="CF5511" s="4"/>
    </row>
    <row r="5512" spans="66:84">
      <c r="BN5512" s="4"/>
      <c r="BO5512" s="4"/>
      <c r="BQ5512" s="4"/>
      <c r="CC5512" s="4"/>
      <c r="CD5512" s="4"/>
      <c r="CF5512" s="4"/>
    </row>
    <row r="5513" spans="66:84">
      <c r="BN5513" s="4"/>
      <c r="BO5513" s="4"/>
      <c r="BQ5513" s="4"/>
      <c r="CC5513" s="4"/>
      <c r="CD5513" s="4"/>
      <c r="CF5513" s="4"/>
    </row>
    <row r="5514" spans="66:84">
      <c r="BN5514" s="4"/>
      <c r="BO5514" s="4"/>
      <c r="BQ5514" s="4"/>
      <c r="CC5514" s="4"/>
      <c r="CD5514" s="4"/>
      <c r="CF5514" s="4"/>
    </row>
    <row r="5515" spans="66:84">
      <c r="BN5515" s="4"/>
      <c r="BO5515" s="4"/>
      <c r="BQ5515" s="4"/>
      <c r="CC5515" s="4"/>
      <c r="CD5515" s="4"/>
      <c r="CF5515" s="4"/>
    </row>
    <row r="5516" spans="66:84">
      <c r="BN5516" s="4"/>
      <c r="BO5516" s="4"/>
      <c r="BQ5516" s="4"/>
      <c r="CC5516" s="4"/>
      <c r="CD5516" s="4"/>
      <c r="CF5516" s="4"/>
    </row>
    <row r="5517" spans="66:84">
      <c r="BN5517" s="4"/>
      <c r="BO5517" s="4"/>
      <c r="BQ5517" s="4"/>
      <c r="CC5517" s="4"/>
      <c r="CD5517" s="4"/>
      <c r="CF5517" s="4"/>
    </row>
    <row r="5518" spans="66:84">
      <c r="BN5518" s="4"/>
      <c r="BO5518" s="4"/>
      <c r="BQ5518" s="4"/>
      <c r="CC5518" s="4"/>
      <c r="CD5518" s="4"/>
      <c r="CF5518" s="4"/>
    </row>
    <row r="5519" spans="66:84">
      <c r="BN5519" s="4"/>
      <c r="BO5519" s="4"/>
      <c r="BQ5519" s="4"/>
      <c r="CC5519" s="4"/>
      <c r="CD5519" s="4"/>
      <c r="CF5519" s="4"/>
    </row>
    <row r="5520" spans="66:84">
      <c r="BN5520" s="4"/>
      <c r="BO5520" s="4"/>
      <c r="BQ5520" s="4"/>
      <c r="CC5520" s="4"/>
      <c r="CD5520" s="4"/>
      <c r="CF5520" s="4"/>
    </row>
    <row r="5521" spans="66:84">
      <c r="BN5521" s="4"/>
      <c r="BO5521" s="4"/>
      <c r="BQ5521" s="4"/>
      <c r="CC5521" s="4"/>
      <c r="CD5521" s="4"/>
      <c r="CF5521" s="4"/>
    </row>
    <row r="5522" spans="66:84">
      <c r="BN5522" s="4"/>
      <c r="BO5522" s="4"/>
      <c r="BQ5522" s="4"/>
      <c r="CC5522" s="4"/>
      <c r="CD5522" s="4"/>
      <c r="CF5522" s="4"/>
    </row>
    <row r="5523" spans="66:84">
      <c r="BN5523" s="4"/>
      <c r="BO5523" s="4"/>
      <c r="BQ5523" s="4"/>
      <c r="CC5523" s="4"/>
      <c r="CD5523" s="4"/>
      <c r="CF5523" s="4"/>
    </row>
    <row r="5524" spans="66:84">
      <c r="BN5524" s="4"/>
      <c r="BO5524" s="4"/>
      <c r="BQ5524" s="4"/>
      <c r="CC5524" s="4"/>
      <c r="CD5524" s="4"/>
      <c r="CF5524" s="4"/>
    </row>
    <row r="5525" spans="66:84">
      <c r="BN5525" s="4"/>
      <c r="BO5525" s="4"/>
      <c r="BQ5525" s="4"/>
      <c r="CC5525" s="4"/>
      <c r="CD5525" s="4"/>
      <c r="CF5525" s="4"/>
    </row>
    <row r="5526" spans="66:84">
      <c r="BN5526" s="4"/>
      <c r="BO5526" s="4"/>
      <c r="BQ5526" s="4"/>
      <c r="CC5526" s="4"/>
      <c r="CD5526" s="4"/>
      <c r="CF5526" s="4"/>
    </row>
    <row r="5527" spans="66:84">
      <c r="BN5527" s="4"/>
      <c r="BO5527" s="4"/>
      <c r="BQ5527" s="4"/>
      <c r="CC5527" s="4"/>
      <c r="CD5527" s="4"/>
      <c r="CF5527" s="4"/>
    </row>
    <row r="5528" spans="66:84">
      <c r="BN5528" s="4"/>
      <c r="BO5528" s="4"/>
      <c r="BQ5528" s="4"/>
      <c r="CC5528" s="4"/>
      <c r="CD5528" s="4"/>
      <c r="CF5528" s="4"/>
    </row>
    <row r="5529" spans="66:84">
      <c r="BN5529" s="4"/>
      <c r="BO5529" s="4"/>
      <c r="BQ5529" s="4"/>
      <c r="CC5529" s="4"/>
      <c r="CD5529" s="4"/>
      <c r="CF5529" s="4"/>
    </row>
    <row r="5530" spans="66:84">
      <c r="BN5530" s="4"/>
      <c r="BO5530" s="4"/>
      <c r="BQ5530" s="4"/>
      <c r="CC5530" s="4"/>
      <c r="CD5530" s="4"/>
      <c r="CF5530" s="4"/>
    </row>
    <row r="5531" spans="66:84">
      <c r="BN5531" s="4"/>
      <c r="BO5531" s="4"/>
      <c r="BQ5531" s="4"/>
      <c r="CC5531" s="4"/>
      <c r="CD5531" s="4"/>
      <c r="CF5531" s="4"/>
    </row>
    <row r="5532" spans="66:84">
      <c r="BN5532" s="4"/>
      <c r="BO5532" s="4"/>
      <c r="BQ5532" s="4"/>
      <c r="CC5532" s="4"/>
      <c r="CD5532" s="4"/>
      <c r="CF5532" s="4"/>
    </row>
    <row r="5533" spans="66:84">
      <c r="BN5533" s="4"/>
      <c r="BO5533" s="4"/>
      <c r="BQ5533" s="4"/>
      <c r="CC5533" s="4"/>
      <c r="CD5533" s="4"/>
      <c r="CF5533" s="4"/>
    </row>
    <row r="5534" spans="66:84">
      <c r="BN5534" s="4"/>
      <c r="BO5534" s="4"/>
      <c r="BQ5534" s="4"/>
      <c r="CC5534" s="4"/>
      <c r="CD5534" s="4"/>
      <c r="CF5534" s="4"/>
    </row>
    <row r="5535" spans="66:84">
      <c r="BN5535" s="4"/>
      <c r="BO5535" s="4"/>
      <c r="BQ5535" s="4"/>
      <c r="CC5535" s="4"/>
      <c r="CD5535" s="4"/>
      <c r="CF5535" s="4"/>
    </row>
    <row r="5536" spans="66:84">
      <c r="BN5536" s="4"/>
      <c r="BO5536" s="4"/>
      <c r="BQ5536" s="4"/>
      <c r="CC5536" s="4"/>
      <c r="CD5536" s="4"/>
      <c r="CF5536" s="4"/>
    </row>
    <row r="5537" spans="66:84">
      <c r="BN5537" s="4"/>
      <c r="BO5537" s="4"/>
      <c r="BQ5537" s="4"/>
      <c r="CC5537" s="4"/>
      <c r="CD5537" s="4"/>
      <c r="CF5537" s="4"/>
    </row>
    <row r="5538" spans="66:84">
      <c r="BN5538" s="4"/>
      <c r="BO5538" s="4"/>
      <c r="BQ5538" s="4"/>
      <c r="CC5538" s="4"/>
      <c r="CD5538" s="4"/>
      <c r="CF5538" s="4"/>
    </row>
    <row r="5539" spans="66:84">
      <c r="BN5539" s="4"/>
      <c r="BO5539" s="4"/>
      <c r="BQ5539" s="4"/>
      <c r="CC5539" s="4"/>
      <c r="CD5539" s="4"/>
      <c r="CF5539" s="4"/>
    </row>
    <row r="5540" spans="66:84">
      <c r="BN5540" s="4"/>
      <c r="BO5540" s="4"/>
      <c r="BQ5540" s="4"/>
      <c r="CC5540" s="4"/>
      <c r="CD5540" s="4"/>
      <c r="CF5540" s="4"/>
    </row>
    <row r="5541" spans="66:84">
      <c r="BN5541" s="4"/>
      <c r="BO5541" s="4"/>
      <c r="BQ5541" s="4"/>
      <c r="CC5541" s="4"/>
      <c r="CD5541" s="4"/>
      <c r="CF5541" s="4"/>
    </row>
    <row r="5542" spans="66:84">
      <c r="BN5542" s="4"/>
      <c r="BO5542" s="4"/>
      <c r="BQ5542" s="4"/>
      <c r="CC5542" s="4"/>
      <c r="CD5542" s="4"/>
      <c r="CF5542" s="4"/>
    </row>
    <row r="5543" spans="66:84">
      <c r="BN5543" s="4"/>
      <c r="BO5543" s="4"/>
      <c r="BQ5543" s="4"/>
      <c r="CC5543" s="4"/>
      <c r="CD5543" s="4"/>
      <c r="CF5543" s="4"/>
    </row>
    <row r="5544" spans="66:84">
      <c r="BN5544" s="4"/>
      <c r="BO5544" s="4"/>
      <c r="BQ5544" s="4"/>
      <c r="CC5544" s="4"/>
      <c r="CD5544" s="4"/>
      <c r="CF5544" s="4"/>
    </row>
    <row r="5545" spans="66:84">
      <c r="BN5545" s="4"/>
      <c r="BO5545" s="4"/>
      <c r="BQ5545" s="4"/>
      <c r="CC5545" s="4"/>
      <c r="CD5545" s="4"/>
      <c r="CF5545" s="4"/>
    </row>
    <row r="5546" spans="66:84">
      <c r="BN5546" s="4"/>
      <c r="BO5546" s="4"/>
      <c r="BQ5546" s="4"/>
      <c r="CC5546" s="4"/>
      <c r="CD5546" s="4"/>
      <c r="CF5546" s="4"/>
    </row>
    <row r="5547" spans="66:84">
      <c r="BN5547" s="4"/>
      <c r="BO5547" s="4"/>
      <c r="BQ5547" s="4"/>
      <c r="CC5547" s="4"/>
      <c r="CD5547" s="4"/>
      <c r="CF5547" s="4"/>
    </row>
    <row r="5548" spans="66:84">
      <c r="BN5548" s="4"/>
      <c r="BO5548" s="4"/>
      <c r="BQ5548" s="4"/>
      <c r="CC5548" s="4"/>
      <c r="CD5548" s="4"/>
      <c r="CF5548" s="4"/>
    </row>
    <row r="5549" spans="66:84">
      <c r="BN5549" s="4"/>
      <c r="BO5549" s="4"/>
      <c r="BQ5549" s="4"/>
      <c r="CC5549" s="4"/>
      <c r="CD5549" s="4"/>
      <c r="CF5549" s="4"/>
    </row>
    <row r="5550" spans="66:84">
      <c r="BN5550" s="4"/>
      <c r="BO5550" s="4"/>
      <c r="BQ5550" s="4"/>
      <c r="CC5550" s="4"/>
      <c r="CD5550" s="4"/>
      <c r="CF5550" s="4"/>
    </row>
    <row r="5551" spans="66:84">
      <c r="BN5551" s="4"/>
      <c r="BO5551" s="4"/>
      <c r="BQ5551" s="4"/>
      <c r="CC5551" s="4"/>
      <c r="CD5551" s="4"/>
      <c r="CF5551" s="4"/>
    </row>
    <row r="5552" spans="66:84">
      <c r="BN5552" s="4"/>
      <c r="BO5552" s="4"/>
      <c r="BQ5552" s="4"/>
      <c r="CC5552" s="4"/>
      <c r="CD5552" s="4"/>
      <c r="CF5552" s="4"/>
    </row>
    <row r="5553" spans="66:84">
      <c r="BN5553" s="4"/>
      <c r="BO5553" s="4"/>
      <c r="BQ5553" s="4"/>
      <c r="CC5553" s="4"/>
      <c r="CD5553" s="4"/>
      <c r="CF5553" s="4"/>
    </row>
    <row r="5554" spans="66:84">
      <c r="BN5554" s="4"/>
      <c r="BO5554" s="4"/>
      <c r="BQ5554" s="4"/>
      <c r="CC5554" s="4"/>
      <c r="CD5554" s="4"/>
      <c r="CF5554" s="4"/>
    </row>
    <row r="5555" spans="66:84">
      <c r="BN5555" s="4"/>
      <c r="BO5555" s="4"/>
      <c r="BQ5555" s="4"/>
      <c r="CC5555" s="4"/>
      <c r="CD5555" s="4"/>
      <c r="CF5555" s="4"/>
    </row>
    <row r="5556" spans="66:84">
      <c r="BN5556" s="4"/>
      <c r="BO5556" s="4"/>
      <c r="BQ5556" s="4"/>
      <c r="CC5556" s="4"/>
      <c r="CD5556" s="4"/>
      <c r="CF5556" s="4"/>
    </row>
    <row r="5557" spans="66:84">
      <c r="BN5557" s="4"/>
      <c r="BO5557" s="4"/>
      <c r="BQ5557" s="4"/>
      <c r="CC5557" s="4"/>
      <c r="CD5557" s="4"/>
      <c r="CF5557" s="4"/>
    </row>
    <row r="5558" spans="66:84">
      <c r="BN5558" s="4"/>
      <c r="BO5558" s="4"/>
      <c r="BQ5558" s="4"/>
      <c r="CC5558" s="4"/>
      <c r="CD5558" s="4"/>
      <c r="CF5558" s="4"/>
    </row>
    <row r="5559" spans="66:84">
      <c r="BN5559" s="4"/>
      <c r="BO5559" s="4"/>
      <c r="BQ5559" s="4"/>
      <c r="CC5559" s="4"/>
      <c r="CD5559" s="4"/>
      <c r="CF5559" s="4"/>
    </row>
    <row r="5560" spans="66:84">
      <c r="BN5560" s="4"/>
      <c r="BO5560" s="4"/>
      <c r="BQ5560" s="4"/>
      <c r="CC5560" s="4"/>
      <c r="CD5560" s="4"/>
      <c r="CF5560" s="4"/>
    </row>
    <row r="5561" spans="66:84">
      <c r="BN5561" s="4"/>
      <c r="BO5561" s="4"/>
      <c r="BQ5561" s="4"/>
      <c r="CC5561" s="4"/>
      <c r="CD5561" s="4"/>
      <c r="CF5561" s="4"/>
    </row>
    <row r="5562" spans="66:84">
      <c r="BN5562" s="4"/>
      <c r="BO5562" s="4"/>
      <c r="BQ5562" s="4"/>
      <c r="CC5562" s="4"/>
      <c r="CD5562" s="4"/>
      <c r="CF5562" s="4"/>
    </row>
    <row r="5563" spans="66:84">
      <c r="BN5563" s="4"/>
      <c r="BO5563" s="4"/>
      <c r="BQ5563" s="4"/>
      <c r="CC5563" s="4"/>
      <c r="CD5563" s="4"/>
      <c r="CF5563" s="4"/>
    </row>
    <row r="5564" spans="66:84">
      <c r="BN5564" s="4"/>
      <c r="BO5564" s="4"/>
      <c r="BQ5564" s="4"/>
      <c r="CC5564" s="4"/>
      <c r="CD5564" s="4"/>
      <c r="CF5564" s="4"/>
    </row>
    <row r="5565" spans="66:84">
      <c r="BN5565" s="4"/>
      <c r="BO5565" s="4"/>
      <c r="BQ5565" s="4"/>
      <c r="CC5565" s="4"/>
      <c r="CD5565" s="4"/>
      <c r="CF5565" s="4"/>
    </row>
    <row r="5566" spans="66:84">
      <c r="BN5566" s="4"/>
      <c r="BO5566" s="4"/>
      <c r="BQ5566" s="4"/>
      <c r="CC5566" s="4"/>
      <c r="CD5566" s="4"/>
      <c r="CF5566" s="4"/>
    </row>
    <row r="5567" spans="66:84">
      <c r="BN5567" s="4"/>
      <c r="BO5567" s="4"/>
      <c r="BQ5567" s="4"/>
      <c r="CC5567" s="4"/>
      <c r="CD5567" s="4"/>
      <c r="CF5567" s="4"/>
    </row>
    <row r="5568" spans="66:84">
      <c r="BN5568" s="4"/>
      <c r="BO5568" s="4"/>
      <c r="BQ5568" s="4"/>
      <c r="CC5568" s="4"/>
      <c r="CD5568" s="4"/>
      <c r="CF5568" s="4"/>
    </row>
    <row r="5569" spans="66:84">
      <c r="BN5569" s="4"/>
      <c r="BO5569" s="4"/>
      <c r="BQ5569" s="4"/>
      <c r="CC5569" s="4"/>
      <c r="CD5569" s="4"/>
      <c r="CF5569" s="4"/>
    </row>
    <row r="5570" spans="66:84">
      <c r="BN5570" s="4"/>
      <c r="BO5570" s="4"/>
      <c r="BQ5570" s="4"/>
      <c r="CC5570" s="4"/>
      <c r="CD5570" s="4"/>
      <c r="CF5570" s="4"/>
    </row>
    <row r="5571" spans="66:84">
      <c r="BN5571" s="4"/>
      <c r="BO5571" s="4"/>
      <c r="BQ5571" s="4"/>
      <c r="CC5571" s="4"/>
      <c r="CD5571" s="4"/>
      <c r="CF5571" s="4"/>
    </row>
    <row r="5572" spans="66:84">
      <c r="BN5572" s="4"/>
      <c r="BO5572" s="4"/>
      <c r="BQ5572" s="4"/>
      <c r="CC5572" s="4"/>
      <c r="CD5572" s="4"/>
      <c r="CF5572" s="4"/>
    </row>
    <row r="5573" spans="66:84">
      <c r="BN5573" s="4"/>
      <c r="BO5573" s="4"/>
      <c r="BQ5573" s="4"/>
      <c r="CC5573" s="4"/>
      <c r="CD5573" s="4"/>
      <c r="CF5573" s="4"/>
    </row>
    <row r="5574" spans="66:84">
      <c r="BN5574" s="4"/>
      <c r="BO5574" s="4"/>
      <c r="BQ5574" s="4"/>
      <c r="CC5574" s="4"/>
      <c r="CD5574" s="4"/>
      <c r="CF5574" s="4"/>
    </row>
    <row r="5575" spans="66:84">
      <c r="BN5575" s="4"/>
      <c r="BO5575" s="4"/>
      <c r="BQ5575" s="4"/>
      <c r="CC5575" s="4"/>
      <c r="CD5575" s="4"/>
      <c r="CF5575" s="4"/>
    </row>
    <row r="5576" spans="66:84">
      <c r="BN5576" s="4"/>
      <c r="BO5576" s="4"/>
      <c r="BQ5576" s="4"/>
      <c r="CC5576" s="4"/>
      <c r="CD5576" s="4"/>
      <c r="CF5576" s="4"/>
    </row>
    <row r="5577" spans="66:84">
      <c r="BN5577" s="4"/>
      <c r="BO5577" s="4"/>
      <c r="BQ5577" s="4"/>
      <c r="CC5577" s="4"/>
      <c r="CD5577" s="4"/>
      <c r="CF5577" s="4"/>
    </row>
    <row r="5578" spans="66:84">
      <c r="BN5578" s="4"/>
      <c r="BO5578" s="4"/>
      <c r="BQ5578" s="4"/>
      <c r="CC5578" s="4"/>
      <c r="CD5578" s="4"/>
      <c r="CF5578" s="4"/>
    </row>
    <row r="5579" spans="66:84">
      <c r="BN5579" s="4"/>
      <c r="BO5579" s="4"/>
      <c r="BQ5579" s="4"/>
      <c r="CC5579" s="4"/>
      <c r="CD5579" s="4"/>
      <c r="CF5579" s="4"/>
    </row>
    <row r="5580" spans="66:84">
      <c r="BN5580" s="4"/>
      <c r="BO5580" s="4"/>
      <c r="BQ5580" s="4"/>
      <c r="CC5580" s="4"/>
      <c r="CD5580" s="4"/>
      <c r="CF5580" s="4"/>
    </row>
    <row r="5581" spans="66:84">
      <c r="BN5581" s="4"/>
      <c r="BO5581" s="4"/>
      <c r="BQ5581" s="4"/>
      <c r="CC5581" s="4"/>
      <c r="CD5581" s="4"/>
      <c r="CF5581" s="4"/>
    </row>
    <row r="5582" spans="66:84">
      <c r="BN5582" s="4"/>
      <c r="BO5582" s="4"/>
      <c r="BQ5582" s="4"/>
      <c r="CC5582" s="4"/>
      <c r="CD5582" s="4"/>
      <c r="CF5582" s="4"/>
    </row>
    <row r="5583" spans="66:84">
      <c r="BN5583" s="4"/>
      <c r="BO5583" s="4"/>
      <c r="BQ5583" s="4"/>
      <c r="CC5583" s="4"/>
      <c r="CD5583" s="4"/>
      <c r="CF5583" s="4"/>
    </row>
    <row r="5584" spans="66:84">
      <c r="BN5584" s="4"/>
      <c r="BO5584" s="4"/>
      <c r="BQ5584" s="4"/>
      <c r="CC5584" s="4"/>
      <c r="CD5584" s="4"/>
      <c r="CF5584" s="4"/>
    </row>
    <row r="5585" spans="66:84">
      <c r="BN5585" s="4"/>
      <c r="BO5585" s="4"/>
      <c r="BQ5585" s="4"/>
      <c r="CC5585" s="4"/>
      <c r="CD5585" s="4"/>
      <c r="CF5585" s="4"/>
    </row>
    <row r="5586" spans="66:84">
      <c r="BN5586" s="4"/>
      <c r="BO5586" s="4"/>
      <c r="BQ5586" s="4"/>
      <c r="CC5586" s="4"/>
      <c r="CD5586" s="4"/>
      <c r="CF5586" s="4"/>
    </row>
    <row r="5587" spans="66:84">
      <c r="BN5587" s="4"/>
      <c r="BO5587" s="4"/>
      <c r="BQ5587" s="4"/>
      <c r="CC5587" s="4"/>
      <c r="CD5587" s="4"/>
      <c r="CF5587" s="4"/>
    </row>
    <row r="5588" spans="66:84">
      <c r="BN5588" s="4"/>
      <c r="BO5588" s="4"/>
      <c r="BQ5588" s="4"/>
      <c r="CC5588" s="4"/>
      <c r="CD5588" s="4"/>
      <c r="CF5588" s="4"/>
    </row>
    <row r="5589" spans="66:84">
      <c r="BN5589" s="4"/>
      <c r="BO5589" s="4"/>
      <c r="BQ5589" s="4"/>
      <c r="CC5589" s="4"/>
      <c r="CD5589" s="4"/>
      <c r="CF5589" s="4"/>
    </row>
    <row r="5590" spans="66:84">
      <c r="BN5590" s="4"/>
      <c r="BO5590" s="4"/>
      <c r="BQ5590" s="4"/>
      <c r="CC5590" s="4"/>
      <c r="CD5590" s="4"/>
      <c r="CF5590" s="4"/>
    </row>
    <row r="5591" spans="66:84">
      <c r="BN5591" s="4"/>
      <c r="BO5591" s="4"/>
      <c r="BQ5591" s="4"/>
      <c r="CC5591" s="4"/>
      <c r="CD5591" s="4"/>
      <c r="CF5591" s="4"/>
    </row>
    <row r="5592" spans="66:84">
      <c r="BN5592" s="4"/>
      <c r="BO5592" s="4"/>
      <c r="BQ5592" s="4"/>
      <c r="CC5592" s="4"/>
      <c r="CD5592" s="4"/>
      <c r="CF5592" s="4"/>
    </row>
    <row r="5593" spans="66:84">
      <c r="BN5593" s="4"/>
      <c r="BO5593" s="4"/>
      <c r="BQ5593" s="4"/>
      <c r="CC5593" s="4"/>
      <c r="CD5593" s="4"/>
      <c r="CF5593" s="4"/>
    </row>
    <row r="5594" spans="66:84">
      <c r="BN5594" s="4"/>
      <c r="BO5594" s="4"/>
      <c r="BQ5594" s="4"/>
      <c r="CC5594" s="4"/>
      <c r="CD5594" s="4"/>
      <c r="CF5594" s="4"/>
    </row>
    <row r="5595" spans="66:84">
      <c r="BN5595" s="4"/>
      <c r="BO5595" s="4"/>
      <c r="BQ5595" s="4"/>
      <c r="CC5595" s="4"/>
      <c r="CD5595" s="4"/>
      <c r="CF5595" s="4"/>
    </row>
    <row r="5596" spans="66:84">
      <c r="BN5596" s="4"/>
      <c r="BO5596" s="4"/>
      <c r="BQ5596" s="4"/>
      <c r="CC5596" s="4"/>
      <c r="CD5596" s="4"/>
      <c r="CF5596" s="4"/>
    </row>
    <row r="5597" spans="66:84">
      <c r="BN5597" s="4"/>
      <c r="BO5597" s="4"/>
      <c r="BQ5597" s="4"/>
      <c r="CC5597" s="4"/>
      <c r="CD5597" s="4"/>
      <c r="CF5597" s="4"/>
    </row>
    <row r="5598" spans="66:84">
      <c r="BN5598" s="4"/>
      <c r="BO5598" s="4"/>
      <c r="BQ5598" s="4"/>
      <c r="CC5598" s="4"/>
      <c r="CD5598" s="4"/>
      <c r="CF5598" s="4"/>
    </row>
    <row r="5599" spans="66:84">
      <c r="BN5599" s="4"/>
      <c r="BO5599" s="4"/>
      <c r="BQ5599" s="4"/>
      <c r="CC5599" s="4"/>
      <c r="CD5599" s="4"/>
      <c r="CF5599" s="4"/>
    </row>
    <row r="5600" spans="66:84">
      <c r="BN5600" s="4"/>
      <c r="BO5600" s="4"/>
      <c r="BQ5600" s="4"/>
      <c r="CC5600" s="4"/>
      <c r="CD5600" s="4"/>
      <c r="CF5600" s="4"/>
    </row>
    <row r="5601" spans="66:84">
      <c r="BN5601" s="4"/>
      <c r="BO5601" s="4"/>
      <c r="BQ5601" s="4"/>
      <c r="CC5601" s="4"/>
      <c r="CD5601" s="4"/>
      <c r="CF5601" s="4"/>
    </row>
    <row r="5602" spans="66:84">
      <c r="BN5602" s="4"/>
      <c r="BO5602" s="4"/>
      <c r="BQ5602" s="4"/>
      <c r="CC5602" s="4"/>
      <c r="CD5602" s="4"/>
      <c r="CF5602" s="4"/>
    </row>
    <row r="5603" spans="66:84">
      <c r="BN5603" s="4"/>
      <c r="BO5603" s="4"/>
      <c r="BQ5603" s="4"/>
      <c r="CC5603" s="4"/>
      <c r="CD5603" s="4"/>
      <c r="CF5603" s="4"/>
    </row>
    <row r="5604" spans="66:84">
      <c r="BN5604" s="4"/>
      <c r="BO5604" s="4"/>
      <c r="BQ5604" s="4"/>
      <c r="CC5604" s="4"/>
      <c r="CD5604" s="4"/>
      <c r="CF5604" s="4"/>
    </row>
    <row r="5605" spans="66:84">
      <c r="BN5605" s="4"/>
      <c r="BO5605" s="4"/>
      <c r="BQ5605" s="4"/>
      <c r="CC5605" s="4"/>
      <c r="CD5605" s="4"/>
      <c r="CF5605" s="4"/>
    </row>
    <row r="5606" spans="66:84">
      <c r="BN5606" s="4"/>
      <c r="BO5606" s="4"/>
      <c r="BQ5606" s="4"/>
      <c r="CC5606" s="4"/>
      <c r="CD5606" s="4"/>
      <c r="CF5606" s="4"/>
    </row>
    <row r="5607" spans="66:84">
      <c r="BN5607" s="4"/>
      <c r="BO5607" s="4"/>
      <c r="BQ5607" s="4"/>
      <c r="CC5607" s="4"/>
      <c r="CD5607" s="4"/>
      <c r="CF5607" s="4"/>
    </row>
    <row r="5608" spans="66:84">
      <c r="BN5608" s="4"/>
      <c r="BO5608" s="4"/>
      <c r="BQ5608" s="4"/>
      <c r="CC5608" s="4"/>
      <c r="CD5608" s="4"/>
      <c r="CF5608" s="4"/>
    </row>
    <row r="5609" spans="66:84">
      <c r="BN5609" s="4"/>
      <c r="BO5609" s="4"/>
      <c r="BQ5609" s="4"/>
      <c r="CC5609" s="4"/>
      <c r="CD5609" s="4"/>
      <c r="CF5609" s="4"/>
    </row>
    <row r="5610" spans="66:84">
      <c r="BN5610" s="4"/>
      <c r="BO5610" s="4"/>
      <c r="BQ5610" s="4"/>
      <c r="CC5610" s="4"/>
      <c r="CD5610" s="4"/>
      <c r="CF5610" s="4"/>
    </row>
    <row r="5611" spans="66:84">
      <c r="BN5611" s="4"/>
      <c r="BO5611" s="4"/>
      <c r="BQ5611" s="4"/>
      <c r="CC5611" s="4"/>
      <c r="CD5611" s="4"/>
      <c r="CF5611" s="4"/>
    </row>
    <row r="5612" spans="66:84">
      <c r="BN5612" s="4"/>
      <c r="BO5612" s="4"/>
      <c r="BQ5612" s="4"/>
      <c r="CC5612" s="4"/>
      <c r="CD5612" s="4"/>
      <c r="CF5612" s="4"/>
    </row>
    <row r="5613" spans="66:84">
      <c r="BN5613" s="4"/>
      <c r="BO5613" s="4"/>
      <c r="BQ5613" s="4"/>
      <c r="CC5613" s="4"/>
      <c r="CD5613" s="4"/>
      <c r="CF5613" s="4"/>
    </row>
    <row r="5614" spans="66:84">
      <c r="BN5614" s="4"/>
      <c r="BO5614" s="4"/>
      <c r="BQ5614" s="4"/>
      <c r="CC5614" s="4"/>
      <c r="CD5614" s="4"/>
      <c r="CF5614" s="4"/>
    </row>
    <row r="5615" spans="66:84">
      <c r="BN5615" s="4"/>
      <c r="BO5615" s="4"/>
      <c r="BQ5615" s="4"/>
      <c r="CC5615" s="4"/>
      <c r="CD5615" s="4"/>
      <c r="CF5615" s="4"/>
    </row>
    <row r="5616" spans="66:84">
      <c r="BN5616" s="4"/>
      <c r="BO5616" s="4"/>
      <c r="BQ5616" s="4"/>
      <c r="CC5616" s="4"/>
      <c r="CD5616" s="4"/>
      <c r="CF5616" s="4"/>
    </row>
    <row r="5617" spans="66:84">
      <c r="BN5617" s="4"/>
      <c r="BO5617" s="4"/>
      <c r="BQ5617" s="4"/>
      <c r="CC5617" s="4"/>
      <c r="CD5617" s="4"/>
      <c r="CF5617" s="4"/>
    </row>
    <row r="5618" spans="66:84">
      <c r="BN5618" s="4"/>
      <c r="BO5618" s="4"/>
      <c r="BQ5618" s="4"/>
      <c r="CC5618" s="4"/>
      <c r="CD5618" s="4"/>
      <c r="CF5618" s="4"/>
    </row>
    <row r="5619" spans="66:84">
      <c r="BN5619" s="4"/>
      <c r="BO5619" s="4"/>
      <c r="BQ5619" s="4"/>
      <c r="CC5619" s="4"/>
      <c r="CD5619" s="4"/>
      <c r="CF5619" s="4"/>
    </row>
    <row r="5620" spans="66:84">
      <c r="BN5620" s="4"/>
      <c r="BO5620" s="4"/>
      <c r="BQ5620" s="4"/>
      <c r="CC5620" s="4"/>
      <c r="CD5620" s="4"/>
      <c r="CF5620" s="4"/>
    </row>
    <row r="5621" spans="66:84">
      <c r="BN5621" s="4"/>
      <c r="BO5621" s="4"/>
      <c r="BQ5621" s="4"/>
      <c r="CC5621" s="4"/>
      <c r="CD5621" s="4"/>
      <c r="CF5621" s="4"/>
    </row>
    <row r="5622" spans="66:84">
      <c r="BN5622" s="4"/>
      <c r="BO5622" s="4"/>
      <c r="BQ5622" s="4"/>
      <c r="CC5622" s="4"/>
      <c r="CD5622" s="4"/>
      <c r="CF5622" s="4"/>
    </row>
    <row r="5623" spans="66:84">
      <c r="BN5623" s="4"/>
      <c r="BO5623" s="4"/>
      <c r="BQ5623" s="4"/>
      <c r="CC5623" s="4"/>
      <c r="CD5623" s="4"/>
      <c r="CF5623" s="4"/>
    </row>
    <row r="5624" spans="66:84">
      <c r="BN5624" s="4"/>
      <c r="BO5624" s="4"/>
      <c r="BQ5624" s="4"/>
      <c r="CC5624" s="4"/>
      <c r="CD5624" s="4"/>
      <c r="CF5624" s="4"/>
    </row>
    <row r="5625" spans="66:84">
      <c r="BN5625" s="4"/>
      <c r="BO5625" s="4"/>
      <c r="BQ5625" s="4"/>
      <c r="CC5625" s="4"/>
      <c r="CD5625" s="4"/>
      <c r="CF5625" s="4"/>
    </row>
    <row r="5626" spans="66:84">
      <c r="BN5626" s="4"/>
      <c r="BO5626" s="4"/>
      <c r="BQ5626" s="4"/>
      <c r="CC5626" s="4"/>
      <c r="CD5626" s="4"/>
      <c r="CF5626" s="4"/>
    </row>
    <row r="5627" spans="66:84">
      <c r="BN5627" s="4"/>
      <c r="BO5627" s="4"/>
      <c r="BQ5627" s="4"/>
      <c r="CC5627" s="4"/>
      <c r="CD5627" s="4"/>
      <c r="CF5627" s="4"/>
    </row>
    <row r="5628" spans="66:84">
      <c r="BN5628" s="4"/>
      <c r="BO5628" s="4"/>
      <c r="BQ5628" s="4"/>
      <c r="CC5628" s="4"/>
      <c r="CD5628" s="4"/>
      <c r="CF5628" s="4"/>
    </row>
    <row r="5629" spans="66:84">
      <c r="BN5629" s="4"/>
      <c r="BO5629" s="4"/>
      <c r="BQ5629" s="4"/>
      <c r="CC5629" s="4"/>
      <c r="CD5629" s="4"/>
      <c r="CF5629" s="4"/>
    </row>
    <row r="5630" spans="66:84">
      <c r="BN5630" s="4"/>
      <c r="BO5630" s="4"/>
      <c r="BQ5630" s="4"/>
      <c r="CC5630" s="4"/>
      <c r="CD5630" s="4"/>
      <c r="CF5630" s="4"/>
    </row>
    <row r="5631" spans="66:84">
      <c r="BN5631" s="4"/>
      <c r="BO5631" s="4"/>
      <c r="BQ5631" s="4"/>
      <c r="CC5631" s="4"/>
      <c r="CD5631" s="4"/>
      <c r="CF5631" s="4"/>
    </row>
    <row r="5632" spans="66:84">
      <c r="BN5632" s="4"/>
      <c r="BO5632" s="4"/>
      <c r="BQ5632" s="4"/>
      <c r="CC5632" s="4"/>
      <c r="CD5632" s="4"/>
      <c r="CF5632" s="4"/>
    </row>
    <row r="5633" spans="66:84">
      <c r="BN5633" s="4"/>
      <c r="BO5633" s="4"/>
      <c r="BQ5633" s="4"/>
      <c r="CC5633" s="4"/>
      <c r="CD5633" s="4"/>
      <c r="CF5633" s="4"/>
    </row>
    <row r="5634" spans="66:84">
      <c r="BN5634" s="4"/>
      <c r="BO5634" s="4"/>
      <c r="BQ5634" s="4"/>
      <c r="CC5634" s="4"/>
      <c r="CD5634" s="4"/>
      <c r="CF5634" s="4"/>
    </row>
    <row r="5635" spans="66:84">
      <c r="BN5635" s="4"/>
      <c r="BO5635" s="4"/>
      <c r="BQ5635" s="4"/>
      <c r="CC5635" s="4"/>
      <c r="CD5635" s="4"/>
      <c r="CF5635" s="4"/>
    </row>
    <row r="5636" spans="66:84">
      <c r="BN5636" s="4"/>
      <c r="BO5636" s="4"/>
      <c r="BQ5636" s="4"/>
      <c r="CC5636" s="4"/>
      <c r="CD5636" s="4"/>
      <c r="CF5636" s="4"/>
    </row>
    <row r="5637" spans="66:84">
      <c r="BN5637" s="4"/>
      <c r="BO5637" s="4"/>
      <c r="BQ5637" s="4"/>
      <c r="CC5637" s="4"/>
      <c r="CD5637" s="4"/>
      <c r="CF5637" s="4"/>
    </row>
    <row r="5638" spans="66:84">
      <c r="BN5638" s="4"/>
      <c r="BO5638" s="4"/>
      <c r="BQ5638" s="4"/>
      <c r="CC5638" s="4"/>
      <c r="CD5638" s="4"/>
      <c r="CF5638" s="4"/>
    </row>
    <row r="5639" spans="66:84">
      <c r="BN5639" s="4"/>
      <c r="BO5639" s="4"/>
      <c r="BQ5639" s="4"/>
      <c r="CC5639" s="4"/>
      <c r="CD5639" s="4"/>
      <c r="CF5639" s="4"/>
    </row>
    <row r="5640" spans="66:84">
      <c r="BN5640" s="4"/>
      <c r="BO5640" s="4"/>
      <c r="BQ5640" s="4"/>
      <c r="CC5640" s="4"/>
      <c r="CD5640" s="4"/>
      <c r="CF5640" s="4"/>
    </row>
    <row r="5641" spans="66:84">
      <c r="BN5641" s="4"/>
      <c r="BO5641" s="4"/>
      <c r="BQ5641" s="4"/>
      <c r="CC5641" s="4"/>
      <c r="CD5641" s="4"/>
      <c r="CF5641" s="4"/>
    </row>
    <row r="5642" spans="66:84">
      <c r="BN5642" s="4"/>
      <c r="BO5642" s="4"/>
      <c r="BQ5642" s="4"/>
      <c r="CC5642" s="4"/>
      <c r="CD5642" s="4"/>
      <c r="CF5642" s="4"/>
    </row>
    <row r="5643" spans="66:84">
      <c r="BN5643" s="4"/>
      <c r="BO5643" s="4"/>
      <c r="BQ5643" s="4"/>
      <c r="CC5643" s="4"/>
      <c r="CD5643" s="4"/>
      <c r="CF5643" s="4"/>
    </row>
    <row r="5644" spans="66:84">
      <c r="BN5644" s="4"/>
      <c r="BO5644" s="4"/>
      <c r="BQ5644" s="4"/>
      <c r="CC5644" s="4"/>
      <c r="CD5644" s="4"/>
      <c r="CF5644" s="4"/>
    </row>
    <row r="5645" spans="66:84">
      <c r="BN5645" s="4"/>
      <c r="BO5645" s="4"/>
      <c r="BQ5645" s="4"/>
      <c r="CC5645" s="4"/>
      <c r="CD5645" s="4"/>
      <c r="CF5645" s="4"/>
    </row>
    <row r="5646" spans="66:84">
      <c r="BN5646" s="4"/>
      <c r="BO5646" s="4"/>
      <c r="BQ5646" s="4"/>
      <c r="CC5646" s="4"/>
      <c r="CD5646" s="4"/>
      <c r="CF5646" s="4"/>
    </row>
    <row r="5647" spans="66:84">
      <c r="BN5647" s="4"/>
      <c r="BO5647" s="4"/>
      <c r="BQ5647" s="4"/>
      <c r="CC5647" s="4"/>
      <c r="CD5647" s="4"/>
      <c r="CF5647" s="4"/>
    </row>
    <row r="5648" spans="66:84">
      <c r="BN5648" s="4"/>
      <c r="BO5648" s="4"/>
      <c r="BQ5648" s="4"/>
      <c r="CC5648" s="4"/>
      <c r="CD5648" s="4"/>
      <c r="CF5648" s="4"/>
    </row>
    <row r="5649" spans="66:84">
      <c r="BN5649" s="4"/>
      <c r="BO5649" s="4"/>
      <c r="BQ5649" s="4"/>
      <c r="CC5649" s="4"/>
      <c r="CD5649" s="4"/>
      <c r="CF5649" s="4"/>
    </row>
    <row r="5650" spans="66:84">
      <c r="BN5650" s="4"/>
      <c r="BO5650" s="4"/>
      <c r="BQ5650" s="4"/>
      <c r="CC5650" s="4"/>
      <c r="CD5650" s="4"/>
      <c r="CF5650" s="4"/>
    </row>
    <row r="5651" spans="66:84">
      <c r="BN5651" s="4"/>
      <c r="BO5651" s="4"/>
      <c r="BQ5651" s="4"/>
      <c r="CC5651" s="4"/>
      <c r="CD5651" s="4"/>
      <c r="CF5651" s="4"/>
    </row>
    <row r="5652" spans="66:84">
      <c r="BN5652" s="4"/>
      <c r="BO5652" s="4"/>
      <c r="BQ5652" s="4"/>
      <c r="CC5652" s="4"/>
      <c r="CD5652" s="4"/>
      <c r="CF5652" s="4"/>
    </row>
    <row r="5653" spans="66:84">
      <c r="BN5653" s="4"/>
      <c r="BO5653" s="4"/>
      <c r="BQ5653" s="4"/>
      <c r="CC5653" s="4"/>
      <c r="CD5653" s="4"/>
      <c r="CF5653" s="4"/>
    </row>
    <row r="5654" spans="66:84">
      <c r="BN5654" s="4"/>
      <c r="BO5654" s="4"/>
      <c r="BQ5654" s="4"/>
      <c r="CC5654" s="4"/>
      <c r="CD5654" s="4"/>
      <c r="CF5654" s="4"/>
    </row>
    <row r="5655" spans="66:84">
      <c r="BN5655" s="4"/>
      <c r="BO5655" s="4"/>
      <c r="BQ5655" s="4"/>
      <c r="CC5655" s="4"/>
      <c r="CD5655" s="4"/>
      <c r="CF5655" s="4"/>
    </row>
    <row r="5656" spans="66:84">
      <c r="BN5656" s="4"/>
      <c r="BO5656" s="4"/>
      <c r="BQ5656" s="4"/>
      <c r="CC5656" s="4"/>
      <c r="CD5656" s="4"/>
      <c r="CF5656" s="4"/>
    </row>
    <row r="5657" spans="66:84">
      <c r="BN5657" s="4"/>
      <c r="BO5657" s="4"/>
      <c r="BQ5657" s="4"/>
      <c r="CC5657" s="4"/>
      <c r="CD5657" s="4"/>
      <c r="CF5657" s="4"/>
    </row>
    <row r="5658" spans="66:84">
      <c r="BN5658" s="4"/>
      <c r="BO5658" s="4"/>
      <c r="BQ5658" s="4"/>
      <c r="CC5658" s="4"/>
      <c r="CD5658" s="4"/>
      <c r="CF5658" s="4"/>
    </row>
    <row r="5659" spans="66:84">
      <c r="BN5659" s="4"/>
      <c r="BO5659" s="4"/>
      <c r="BQ5659" s="4"/>
      <c r="CC5659" s="4"/>
      <c r="CD5659" s="4"/>
      <c r="CF5659" s="4"/>
    </row>
    <row r="5660" spans="66:84">
      <c r="BN5660" s="4"/>
      <c r="BO5660" s="4"/>
      <c r="BQ5660" s="4"/>
      <c r="CC5660" s="4"/>
      <c r="CD5660" s="4"/>
      <c r="CF5660" s="4"/>
    </row>
    <row r="5661" spans="66:84">
      <c r="BN5661" s="4"/>
      <c r="BO5661" s="4"/>
      <c r="BQ5661" s="4"/>
      <c r="CC5661" s="4"/>
      <c r="CD5661" s="4"/>
      <c r="CF5661" s="4"/>
    </row>
    <row r="5662" spans="66:84">
      <c r="BN5662" s="4"/>
      <c r="BO5662" s="4"/>
      <c r="BQ5662" s="4"/>
      <c r="CC5662" s="4"/>
      <c r="CD5662" s="4"/>
      <c r="CF5662" s="4"/>
    </row>
    <row r="5663" spans="66:84">
      <c r="BN5663" s="4"/>
      <c r="BO5663" s="4"/>
      <c r="BQ5663" s="4"/>
      <c r="CC5663" s="4"/>
      <c r="CD5663" s="4"/>
      <c r="CF5663" s="4"/>
    </row>
    <row r="5664" spans="66:84">
      <c r="BN5664" s="4"/>
      <c r="BO5664" s="4"/>
      <c r="BQ5664" s="4"/>
      <c r="CC5664" s="4"/>
      <c r="CD5664" s="4"/>
      <c r="CF5664" s="4"/>
    </row>
    <row r="5665" spans="66:84">
      <c r="BN5665" s="4"/>
      <c r="BO5665" s="4"/>
      <c r="BQ5665" s="4"/>
      <c r="CC5665" s="4"/>
      <c r="CD5665" s="4"/>
      <c r="CF5665" s="4"/>
    </row>
    <row r="5666" spans="66:84">
      <c r="BN5666" s="4"/>
      <c r="BO5666" s="4"/>
      <c r="BQ5666" s="4"/>
      <c r="CC5666" s="4"/>
      <c r="CD5666" s="4"/>
      <c r="CF5666" s="4"/>
    </row>
    <row r="5667" spans="66:84">
      <c r="BN5667" s="4"/>
      <c r="BO5667" s="4"/>
      <c r="BQ5667" s="4"/>
      <c r="CC5667" s="4"/>
      <c r="CD5667" s="4"/>
      <c r="CF5667" s="4"/>
    </row>
    <row r="5668" spans="66:84">
      <c r="BN5668" s="4"/>
      <c r="BO5668" s="4"/>
      <c r="BQ5668" s="4"/>
      <c r="CC5668" s="4"/>
      <c r="CD5668" s="4"/>
      <c r="CF5668" s="4"/>
    </row>
    <row r="5669" spans="66:84">
      <c r="BN5669" s="4"/>
      <c r="BO5669" s="4"/>
      <c r="BQ5669" s="4"/>
      <c r="CC5669" s="4"/>
      <c r="CD5669" s="4"/>
      <c r="CF5669" s="4"/>
    </row>
    <row r="5670" spans="66:84">
      <c r="BN5670" s="4"/>
      <c r="BO5670" s="4"/>
      <c r="BQ5670" s="4"/>
      <c r="CC5670" s="4"/>
      <c r="CD5670" s="4"/>
      <c r="CF5670" s="4"/>
    </row>
    <row r="5671" spans="66:84">
      <c r="BN5671" s="4"/>
      <c r="BO5671" s="4"/>
      <c r="BQ5671" s="4"/>
      <c r="CC5671" s="4"/>
      <c r="CD5671" s="4"/>
      <c r="CF5671" s="4"/>
    </row>
    <row r="5672" spans="66:84">
      <c r="BN5672" s="4"/>
      <c r="BO5672" s="4"/>
      <c r="BQ5672" s="4"/>
      <c r="CC5672" s="4"/>
      <c r="CD5672" s="4"/>
      <c r="CF5672" s="4"/>
    </row>
    <row r="5673" spans="66:84">
      <c r="BN5673" s="4"/>
      <c r="BO5673" s="4"/>
      <c r="BQ5673" s="4"/>
      <c r="CC5673" s="4"/>
      <c r="CD5673" s="4"/>
      <c r="CF5673" s="4"/>
    </row>
    <row r="5674" spans="66:84">
      <c r="BN5674" s="4"/>
      <c r="BO5674" s="4"/>
      <c r="BQ5674" s="4"/>
      <c r="CC5674" s="4"/>
      <c r="CD5674" s="4"/>
      <c r="CF5674" s="4"/>
    </row>
    <row r="5675" spans="66:84">
      <c r="BN5675" s="4"/>
      <c r="BO5675" s="4"/>
      <c r="BQ5675" s="4"/>
      <c r="CC5675" s="4"/>
      <c r="CD5675" s="4"/>
      <c r="CF5675" s="4"/>
    </row>
    <row r="5676" spans="66:84">
      <c r="BN5676" s="4"/>
      <c r="BO5676" s="4"/>
      <c r="BQ5676" s="4"/>
      <c r="CC5676" s="4"/>
      <c r="CD5676" s="4"/>
      <c r="CF5676" s="4"/>
    </row>
    <row r="5677" spans="66:84">
      <c r="BN5677" s="4"/>
      <c r="BO5677" s="4"/>
      <c r="BQ5677" s="4"/>
      <c r="CC5677" s="4"/>
      <c r="CD5677" s="4"/>
      <c r="CF5677" s="4"/>
    </row>
    <row r="5678" spans="66:84">
      <c r="BN5678" s="4"/>
      <c r="BO5678" s="4"/>
      <c r="BQ5678" s="4"/>
      <c r="CC5678" s="4"/>
      <c r="CD5678" s="4"/>
      <c r="CF5678" s="4"/>
    </row>
    <row r="5679" spans="66:84">
      <c r="BN5679" s="4"/>
      <c r="BO5679" s="4"/>
      <c r="BQ5679" s="4"/>
      <c r="CC5679" s="4"/>
      <c r="CD5679" s="4"/>
      <c r="CF5679" s="4"/>
    </row>
    <row r="5680" spans="66:84">
      <c r="BN5680" s="4"/>
      <c r="BO5680" s="4"/>
      <c r="BQ5680" s="4"/>
      <c r="CC5680" s="4"/>
      <c r="CD5680" s="4"/>
      <c r="CF5680" s="4"/>
    </row>
    <row r="5681" spans="66:84">
      <c r="BN5681" s="4"/>
      <c r="BO5681" s="4"/>
      <c r="BQ5681" s="4"/>
      <c r="CC5681" s="4"/>
      <c r="CD5681" s="4"/>
      <c r="CF5681" s="4"/>
    </row>
    <row r="5682" spans="66:84">
      <c r="BN5682" s="4"/>
      <c r="BO5682" s="4"/>
      <c r="BQ5682" s="4"/>
      <c r="CC5682" s="4"/>
      <c r="CD5682" s="4"/>
      <c r="CF5682" s="4"/>
    </row>
    <row r="5683" spans="66:84">
      <c r="BN5683" s="4"/>
      <c r="BO5683" s="4"/>
      <c r="BQ5683" s="4"/>
      <c r="CC5683" s="4"/>
      <c r="CD5683" s="4"/>
      <c r="CF5683" s="4"/>
    </row>
    <row r="5684" spans="66:84">
      <c r="BN5684" s="4"/>
      <c r="BO5684" s="4"/>
      <c r="BQ5684" s="4"/>
      <c r="CC5684" s="4"/>
      <c r="CD5684" s="4"/>
      <c r="CF5684" s="4"/>
    </row>
    <row r="5685" spans="66:84">
      <c r="BN5685" s="4"/>
      <c r="BO5685" s="4"/>
      <c r="BQ5685" s="4"/>
      <c r="CC5685" s="4"/>
      <c r="CD5685" s="4"/>
      <c r="CF5685" s="4"/>
    </row>
    <row r="5686" spans="66:84">
      <c r="BN5686" s="4"/>
      <c r="BO5686" s="4"/>
      <c r="BQ5686" s="4"/>
      <c r="CC5686" s="4"/>
      <c r="CD5686" s="4"/>
      <c r="CF5686" s="4"/>
    </row>
    <row r="5687" spans="66:84">
      <c r="BN5687" s="4"/>
      <c r="BO5687" s="4"/>
      <c r="BQ5687" s="4"/>
      <c r="CC5687" s="4"/>
      <c r="CD5687" s="4"/>
      <c r="CF5687" s="4"/>
    </row>
    <row r="5688" spans="66:84">
      <c r="BN5688" s="4"/>
      <c r="BO5688" s="4"/>
      <c r="BQ5688" s="4"/>
      <c r="CC5688" s="4"/>
      <c r="CD5688" s="4"/>
      <c r="CF5688" s="4"/>
    </row>
    <row r="5689" spans="66:84">
      <c r="BN5689" s="4"/>
      <c r="BO5689" s="4"/>
      <c r="BQ5689" s="4"/>
      <c r="CC5689" s="4"/>
      <c r="CD5689" s="4"/>
      <c r="CF5689" s="4"/>
    </row>
    <row r="5690" spans="66:84">
      <c r="BN5690" s="4"/>
      <c r="BO5690" s="4"/>
      <c r="BQ5690" s="4"/>
      <c r="CC5690" s="4"/>
      <c r="CD5690" s="4"/>
      <c r="CF5690" s="4"/>
    </row>
    <row r="5691" spans="66:84">
      <c r="BN5691" s="4"/>
      <c r="BO5691" s="4"/>
      <c r="BQ5691" s="4"/>
      <c r="CC5691" s="4"/>
      <c r="CD5691" s="4"/>
      <c r="CF5691" s="4"/>
    </row>
    <row r="5692" spans="66:84">
      <c r="BN5692" s="4"/>
      <c r="BO5692" s="4"/>
      <c r="BQ5692" s="4"/>
      <c r="CC5692" s="4"/>
      <c r="CD5692" s="4"/>
      <c r="CF5692" s="4"/>
    </row>
    <row r="5693" spans="66:84">
      <c r="BN5693" s="4"/>
      <c r="BO5693" s="4"/>
      <c r="BQ5693" s="4"/>
      <c r="CC5693" s="4"/>
      <c r="CD5693" s="4"/>
      <c r="CF5693" s="4"/>
    </row>
    <row r="5694" spans="66:84">
      <c r="BN5694" s="4"/>
      <c r="BO5694" s="4"/>
      <c r="BQ5694" s="4"/>
      <c r="CC5694" s="4"/>
      <c r="CD5694" s="4"/>
      <c r="CF5694" s="4"/>
    </row>
    <row r="5695" spans="66:84">
      <c r="BN5695" s="4"/>
      <c r="BO5695" s="4"/>
      <c r="BQ5695" s="4"/>
      <c r="CC5695" s="4"/>
      <c r="CD5695" s="4"/>
      <c r="CF5695" s="4"/>
    </row>
    <row r="5696" spans="66:84">
      <c r="BN5696" s="4"/>
      <c r="BO5696" s="4"/>
      <c r="BQ5696" s="4"/>
      <c r="CC5696" s="4"/>
      <c r="CD5696" s="4"/>
      <c r="CF5696" s="4"/>
    </row>
    <row r="5697" spans="66:84">
      <c r="BN5697" s="4"/>
      <c r="BO5697" s="4"/>
      <c r="BQ5697" s="4"/>
      <c r="CC5697" s="4"/>
      <c r="CD5697" s="4"/>
      <c r="CF5697" s="4"/>
    </row>
    <row r="5698" spans="66:84">
      <c r="BN5698" s="4"/>
      <c r="BO5698" s="4"/>
      <c r="BQ5698" s="4"/>
      <c r="CC5698" s="4"/>
      <c r="CD5698" s="4"/>
      <c r="CF5698" s="4"/>
    </row>
    <row r="5699" spans="66:84">
      <c r="BN5699" s="4"/>
      <c r="BO5699" s="4"/>
      <c r="BQ5699" s="4"/>
      <c r="CC5699" s="4"/>
      <c r="CD5699" s="4"/>
      <c r="CF5699" s="4"/>
    </row>
    <row r="5700" spans="66:84">
      <c r="BN5700" s="4"/>
      <c r="BO5700" s="4"/>
      <c r="BQ5700" s="4"/>
      <c r="CC5700" s="4"/>
      <c r="CD5700" s="4"/>
      <c r="CF5700" s="4"/>
    </row>
    <row r="5701" spans="66:84">
      <c r="BN5701" s="4"/>
      <c r="BO5701" s="4"/>
      <c r="BQ5701" s="4"/>
      <c r="CC5701" s="4"/>
      <c r="CD5701" s="4"/>
      <c r="CF5701" s="4"/>
    </row>
    <row r="5702" spans="66:84">
      <c r="BN5702" s="4"/>
      <c r="BO5702" s="4"/>
      <c r="BQ5702" s="4"/>
      <c r="CC5702" s="4"/>
      <c r="CD5702" s="4"/>
      <c r="CF5702" s="4"/>
    </row>
    <row r="5703" spans="66:84">
      <c r="BN5703" s="4"/>
      <c r="BO5703" s="4"/>
      <c r="BQ5703" s="4"/>
      <c r="CC5703" s="4"/>
      <c r="CD5703" s="4"/>
      <c r="CF5703" s="4"/>
    </row>
    <row r="5704" spans="66:84">
      <c r="BN5704" s="4"/>
      <c r="BO5704" s="4"/>
      <c r="BQ5704" s="4"/>
      <c r="CC5704" s="4"/>
      <c r="CD5704" s="4"/>
      <c r="CF5704" s="4"/>
    </row>
    <row r="5705" spans="66:84">
      <c r="BN5705" s="4"/>
      <c r="BO5705" s="4"/>
      <c r="BQ5705" s="4"/>
      <c r="CC5705" s="4"/>
      <c r="CD5705" s="4"/>
      <c r="CF5705" s="4"/>
    </row>
    <row r="5706" spans="66:84">
      <c r="BN5706" s="4"/>
      <c r="BO5706" s="4"/>
      <c r="BQ5706" s="4"/>
      <c r="CC5706" s="4"/>
      <c r="CD5706" s="4"/>
      <c r="CF5706" s="4"/>
    </row>
    <row r="5707" spans="66:84">
      <c r="BN5707" s="4"/>
      <c r="BO5707" s="4"/>
      <c r="BQ5707" s="4"/>
      <c r="CC5707" s="4"/>
      <c r="CD5707" s="4"/>
      <c r="CF5707" s="4"/>
    </row>
    <row r="5708" spans="66:84">
      <c r="BN5708" s="4"/>
      <c r="BO5708" s="4"/>
      <c r="BQ5708" s="4"/>
      <c r="CC5708" s="4"/>
      <c r="CD5708" s="4"/>
      <c r="CF5708" s="4"/>
    </row>
    <row r="5709" spans="66:84">
      <c r="BN5709" s="4"/>
      <c r="BO5709" s="4"/>
      <c r="BQ5709" s="4"/>
      <c r="CC5709" s="4"/>
      <c r="CD5709" s="4"/>
      <c r="CF5709" s="4"/>
    </row>
    <row r="5710" spans="66:84">
      <c r="BN5710" s="4"/>
      <c r="BO5710" s="4"/>
      <c r="BQ5710" s="4"/>
      <c r="CC5710" s="4"/>
      <c r="CD5710" s="4"/>
      <c r="CF5710" s="4"/>
    </row>
    <row r="5711" spans="66:84">
      <c r="BN5711" s="4"/>
      <c r="BO5711" s="4"/>
      <c r="BQ5711" s="4"/>
      <c r="CC5711" s="4"/>
      <c r="CD5711" s="4"/>
      <c r="CF5711" s="4"/>
    </row>
    <row r="5712" spans="66:84">
      <c r="BN5712" s="4"/>
      <c r="BO5712" s="4"/>
      <c r="BQ5712" s="4"/>
      <c r="CC5712" s="4"/>
      <c r="CD5712" s="4"/>
      <c r="CF5712" s="4"/>
    </row>
    <row r="5713" spans="66:84">
      <c r="BN5713" s="4"/>
      <c r="BO5713" s="4"/>
      <c r="BQ5713" s="4"/>
      <c r="CC5713" s="4"/>
      <c r="CD5713" s="4"/>
      <c r="CF5713" s="4"/>
    </row>
    <row r="5714" spans="66:84">
      <c r="BN5714" s="4"/>
      <c r="BO5714" s="4"/>
      <c r="BQ5714" s="4"/>
      <c r="CC5714" s="4"/>
      <c r="CD5714" s="4"/>
      <c r="CF5714" s="4"/>
    </row>
    <row r="5715" spans="66:84">
      <c r="BN5715" s="4"/>
      <c r="BO5715" s="4"/>
      <c r="BQ5715" s="4"/>
      <c r="CC5715" s="4"/>
      <c r="CD5715" s="4"/>
      <c r="CF5715" s="4"/>
    </row>
    <row r="5716" spans="66:84">
      <c r="BN5716" s="4"/>
      <c r="BO5716" s="4"/>
      <c r="BQ5716" s="4"/>
      <c r="CC5716" s="4"/>
      <c r="CD5716" s="4"/>
      <c r="CF5716" s="4"/>
    </row>
    <row r="5717" spans="66:84">
      <c r="BN5717" s="4"/>
      <c r="BO5717" s="4"/>
      <c r="BQ5717" s="4"/>
      <c r="CC5717" s="4"/>
      <c r="CD5717" s="4"/>
      <c r="CF5717" s="4"/>
    </row>
    <row r="5718" spans="66:84">
      <c r="BN5718" s="4"/>
      <c r="BO5718" s="4"/>
      <c r="BQ5718" s="4"/>
      <c r="CC5718" s="4"/>
      <c r="CD5718" s="4"/>
      <c r="CF5718" s="4"/>
    </row>
    <row r="5719" spans="66:84">
      <c r="BN5719" s="4"/>
      <c r="BO5719" s="4"/>
      <c r="BQ5719" s="4"/>
      <c r="CC5719" s="4"/>
      <c r="CD5719" s="4"/>
      <c r="CF5719" s="4"/>
    </row>
    <row r="5720" spans="66:84">
      <c r="BN5720" s="4"/>
      <c r="BO5720" s="4"/>
      <c r="BQ5720" s="4"/>
      <c r="CC5720" s="4"/>
      <c r="CD5720" s="4"/>
      <c r="CF5720" s="4"/>
    </row>
    <row r="5721" spans="66:84">
      <c r="BN5721" s="4"/>
      <c r="BO5721" s="4"/>
      <c r="BQ5721" s="4"/>
      <c r="CC5721" s="4"/>
      <c r="CD5721" s="4"/>
      <c r="CF5721" s="4"/>
    </row>
    <row r="5722" spans="66:84">
      <c r="BN5722" s="4"/>
      <c r="BO5722" s="4"/>
      <c r="BQ5722" s="4"/>
      <c r="CC5722" s="4"/>
      <c r="CD5722" s="4"/>
      <c r="CF5722" s="4"/>
    </row>
    <row r="5723" spans="66:84">
      <c r="BN5723" s="4"/>
      <c r="BO5723" s="4"/>
      <c r="BQ5723" s="4"/>
      <c r="CC5723" s="4"/>
      <c r="CD5723" s="4"/>
      <c r="CF5723" s="4"/>
    </row>
    <row r="5724" spans="66:84">
      <c r="BN5724" s="4"/>
      <c r="BO5724" s="4"/>
      <c r="BQ5724" s="4"/>
      <c r="CC5724" s="4"/>
      <c r="CD5724" s="4"/>
      <c r="CF5724" s="4"/>
    </row>
    <row r="5725" spans="66:84">
      <c r="BN5725" s="4"/>
      <c r="BO5725" s="4"/>
      <c r="BQ5725" s="4"/>
      <c r="CC5725" s="4"/>
      <c r="CD5725" s="4"/>
      <c r="CF5725" s="4"/>
    </row>
    <row r="5726" spans="66:84">
      <c r="BN5726" s="4"/>
      <c r="BO5726" s="4"/>
      <c r="BQ5726" s="4"/>
      <c r="CC5726" s="4"/>
      <c r="CD5726" s="4"/>
      <c r="CF5726" s="4"/>
    </row>
    <row r="5727" spans="66:84">
      <c r="BN5727" s="4"/>
      <c r="BO5727" s="4"/>
      <c r="BQ5727" s="4"/>
      <c r="CC5727" s="4"/>
      <c r="CD5727" s="4"/>
      <c r="CF5727" s="4"/>
    </row>
    <row r="5728" spans="66:84">
      <c r="BN5728" s="4"/>
      <c r="BO5728" s="4"/>
      <c r="BQ5728" s="4"/>
      <c r="CC5728" s="4"/>
      <c r="CD5728" s="4"/>
      <c r="CF5728" s="4"/>
    </row>
    <row r="5729" spans="66:84">
      <c r="BN5729" s="4"/>
      <c r="BO5729" s="4"/>
      <c r="BQ5729" s="4"/>
      <c r="CC5729" s="4"/>
      <c r="CD5729" s="4"/>
      <c r="CF5729" s="4"/>
    </row>
    <row r="5730" spans="66:84">
      <c r="BN5730" s="4"/>
      <c r="BO5730" s="4"/>
      <c r="BQ5730" s="4"/>
      <c r="CC5730" s="4"/>
      <c r="CD5730" s="4"/>
      <c r="CF5730" s="4"/>
    </row>
    <row r="5731" spans="66:84">
      <c r="BN5731" s="4"/>
      <c r="BO5731" s="4"/>
      <c r="BQ5731" s="4"/>
      <c r="CC5731" s="4"/>
      <c r="CD5731" s="4"/>
      <c r="CF5731" s="4"/>
    </row>
    <row r="5732" spans="66:84">
      <c r="BN5732" s="4"/>
      <c r="BO5732" s="4"/>
      <c r="BQ5732" s="4"/>
      <c r="CC5732" s="4"/>
      <c r="CD5732" s="4"/>
      <c r="CF5732" s="4"/>
    </row>
    <row r="5733" spans="66:84">
      <c r="BN5733" s="4"/>
      <c r="BO5733" s="4"/>
      <c r="BQ5733" s="4"/>
      <c r="CC5733" s="4"/>
      <c r="CD5733" s="4"/>
      <c r="CF5733" s="4"/>
    </row>
    <row r="5734" spans="66:84">
      <c r="BN5734" s="4"/>
      <c r="BO5734" s="4"/>
      <c r="BQ5734" s="4"/>
      <c r="CC5734" s="4"/>
      <c r="CD5734" s="4"/>
      <c r="CF5734" s="4"/>
    </row>
    <row r="5735" spans="66:84">
      <c r="BN5735" s="4"/>
      <c r="BO5735" s="4"/>
      <c r="BQ5735" s="4"/>
      <c r="CC5735" s="4"/>
      <c r="CD5735" s="4"/>
      <c r="CF5735" s="4"/>
    </row>
    <row r="5736" spans="66:84">
      <c r="BN5736" s="4"/>
      <c r="BO5736" s="4"/>
      <c r="BQ5736" s="4"/>
      <c r="CC5736" s="4"/>
      <c r="CD5736" s="4"/>
      <c r="CF5736" s="4"/>
    </row>
    <row r="5737" spans="66:84">
      <c r="BN5737" s="4"/>
      <c r="BO5737" s="4"/>
      <c r="BQ5737" s="4"/>
      <c r="CC5737" s="4"/>
      <c r="CD5737" s="4"/>
      <c r="CF5737" s="4"/>
    </row>
    <row r="5738" spans="66:84">
      <c r="BN5738" s="4"/>
      <c r="BO5738" s="4"/>
      <c r="BQ5738" s="4"/>
      <c r="CC5738" s="4"/>
      <c r="CD5738" s="4"/>
      <c r="CF5738" s="4"/>
    </row>
    <row r="5739" spans="66:84">
      <c r="BN5739" s="4"/>
      <c r="BO5739" s="4"/>
      <c r="BQ5739" s="4"/>
      <c r="CC5739" s="4"/>
      <c r="CD5739" s="4"/>
      <c r="CF5739" s="4"/>
    </row>
    <row r="5740" spans="66:84">
      <c r="BN5740" s="4"/>
      <c r="BO5740" s="4"/>
      <c r="BQ5740" s="4"/>
      <c r="CC5740" s="4"/>
      <c r="CD5740" s="4"/>
      <c r="CF5740" s="4"/>
    </row>
    <row r="5741" spans="66:84">
      <c r="BN5741" s="4"/>
      <c r="BO5741" s="4"/>
      <c r="BQ5741" s="4"/>
      <c r="CC5741" s="4"/>
      <c r="CD5741" s="4"/>
      <c r="CF5741" s="4"/>
    </row>
    <row r="5742" spans="66:84">
      <c r="BN5742" s="4"/>
      <c r="BO5742" s="4"/>
      <c r="BQ5742" s="4"/>
      <c r="CC5742" s="4"/>
      <c r="CD5742" s="4"/>
      <c r="CF5742" s="4"/>
    </row>
    <row r="5743" spans="66:84">
      <c r="BN5743" s="4"/>
      <c r="BO5743" s="4"/>
      <c r="BQ5743" s="4"/>
      <c r="CC5743" s="4"/>
      <c r="CD5743" s="4"/>
      <c r="CF5743" s="4"/>
    </row>
    <row r="5744" spans="66:84">
      <c r="BN5744" s="4"/>
      <c r="BO5744" s="4"/>
      <c r="BQ5744" s="4"/>
      <c r="CC5744" s="4"/>
      <c r="CD5744" s="4"/>
      <c r="CF5744" s="4"/>
    </row>
    <row r="5745" spans="66:84">
      <c r="BN5745" s="4"/>
      <c r="BO5745" s="4"/>
      <c r="BQ5745" s="4"/>
      <c r="CC5745" s="4"/>
      <c r="CD5745" s="4"/>
      <c r="CF5745" s="4"/>
    </row>
    <row r="5746" spans="66:84">
      <c r="BN5746" s="4"/>
      <c r="BO5746" s="4"/>
      <c r="BQ5746" s="4"/>
      <c r="CC5746" s="4"/>
      <c r="CD5746" s="4"/>
      <c r="CF5746" s="4"/>
    </row>
    <row r="5747" spans="66:84">
      <c r="BN5747" s="4"/>
      <c r="BO5747" s="4"/>
      <c r="BQ5747" s="4"/>
      <c r="CC5747" s="4"/>
      <c r="CD5747" s="4"/>
      <c r="CF5747" s="4"/>
    </row>
    <row r="5748" spans="66:84">
      <c r="BN5748" s="4"/>
      <c r="BO5748" s="4"/>
      <c r="BQ5748" s="4"/>
      <c r="CC5748" s="4"/>
      <c r="CD5748" s="4"/>
      <c r="CF5748" s="4"/>
    </row>
    <row r="5749" spans="66:84">
      <c r="BN5749" s="4"/>
      <c r="BO5749" s="4"/>
      <c r="BQ5749" s="4"/>
      <c r="CC5749" s="4"/>
      <c r="CD5749" s="4"/>
      <c r="CF5749" s="4"/>
    </row>
    <row r="5750" spans="66:84">
      <c r="BN5750" s="4"/>
      <c r="BO5750" s="4"/>
      <c r="BQ5750" s="4"/>
      <c r="CC5750" s="4"/>
      <c r="CD5750" s="4"/>
      <c r="CF5750" s="4"/>
    </row>
    <row r="5751" spans="66:84">
      <c r="BN5751" s="4"/>
      <c r="BO5751" s="4"/>
      <c r="BQ5751" s="4"/>
      <c r="CC5751" s="4"/>
      <c r="CD5751" s="4"/>
      <c r="CF5751" s="4"/>
    </row>
    <row r="5752" spans="66:84">
      <c r="BN5752" s="4"/>
      <c r="BO5752" s="4"/>
      <c r="BQ5752" s="4"/>
      <c r="CC5752" s="4"/>
      <c r="CD5752" s="4"/>
      <c r="CF5752" s="4"/>
    </row>
    <row r="5753" spans="66:84">
      <c r="BN5753" s="4"/>
      <c r="BO5753" s="4"/>
      <c r="BQ5753" s="4"/>
      <c r="CC5753" s="4"/>
      <c r="CD5753" s="4"/>
      <c r="CF5753" s="4"/>
    </row>
    <row r="5754" spans="66:84">
      <c r="BN5754" s="4"/>
      <c r="BO5754" s="4"/>
      <c r="BQ5754" s="4"/>
      <c r="CC5754" s="4"/>
      <c r="CD5754" s="4"/>
      <c r="CF5754" s="4"/>
    </row>
    <row r="5755" spans="66:84">
      <c r="BN5755" s="4"/>
      <c r="BO5755" s="4"/>
      <c r="BQ5755" s="4"/>
      <c r="CC5755" s="4"/>
      <c r="CD5755" s="4"/>
      <c r="CF5755" s="4"/>
    </row>
    <row r="5756" spans="66:84">
      <c r="BN5756" s="4"/>
      <c r="BO5756" s="4"/>
      <c r="BQ5756" s="4"/>
      <c r="CC5756" s="4"/>
      <c r="CD5756" s="4"/>
      <c r="CF5756" s="4"/>
    </row>
    <row r="5757" spans="66:84">
      <c r="BN5757" s="4"/>
      <c r="BO5757" s="4"/>
      <c r="BQ5757" s="4"/>
      <c r="CC5757" s="4"/>
      <c r="CD5757" s="4"/>
      <c r="CF5757" s="4"/>
    </row>
    <row r="5758" spans="66:84">
      <c r="BN5758" s="4"/>
      <c r="BO5758" s="4"/>
      <c r="BQ5758" s="4"/>
      <c r="CC5758" s="4"/>
      <c r="CD5758" s="4"/>
      <c r="CF5758" s="4"/>
    </row>
    <row r="5759" spans="66:84">
      <c r="BN5759" s="4"/>
      <c r="BO5759" s="4"/>
      <c r="BQ5759" s="4"/>
      <c r="CC5759" s="4"/>
      <c r="CD5759" s="4"/>
      <c r="CF5759" s="4"/>
    </row>
    <row r="5760" spans="66:84">
      <c r="BN5760" s="4"/>
      <c r="BO5760" s="4"/>
      <c r="BQ5760" s="4"/>
      <c r="CC5760" s="4"/>
      <c r="CD5760" s="4"/>
      <c r="CF5760" s="4"/>
    </row>
    <row r="5761" spans="66:84">
      <c r="BN5761" s="4"/>
      <c r="BO5761" s="4"/>
      <c r="BQ5761" s="4"/>
      <c r="CC5761" s="4"/>
      <c r="CD5761" s="4"/>
      <c r="CF5761" s="4"/>
    </row>
    <row r="5762" spans="66:84">
      <c r="BN5762" s="4"/>
      <c r="BO5762" s="4"/>
      <c r="BQ5762" s="4"/>
      <c r="CC5762" s="4"/>
      <c r="CD5762" s="4"/>
      <c r="CF5762" s="4"/>
    </row>
    <row r="5763" spans="66:84">
      <c r="BN5763" s="4"/>
      <c r="BO5763" s="4"/>
      <c r="BQ5763" s="4"/>
      <c r="CC5763" s="4"/>
      <c r="CD5763" s="4"/>
      <c r="CF5763" s="4"/>
    </row>
    <row r="5764" spans="66:84">
      <c r="BN5764" s="4"/>
      <c r="BO5764" s="4"/>
      <c r="BQ5764" s="4"/>
      <c r="CC5764" s="4"/>
      <c r="CD5764" s="4"/>
      <c r="CF5764" s="4"/>
    </row>
    <row r="5765" spans="66:84">
      <c r="BN5765" s="4"/>
      <c r="BO5765" s="4"/>
      <c r="BQ5765" s="4"/>
      <c r="CC5765" s="4"/>
      <c r="CD5765" s="4"/>
      <c r="CF5765" s="4"/>
    </row>
    <row r="5766" spans="66:84">
      <c r="BN5766" s="4"/>
      <c r="BO5766" s="4"/>
      <c r="BQ5766" s="4"/>
      <c r="CC5766" s="4"/>
      <c r="CD5766" s="4"/>
      <c r="CF5766" s="4"/>
    </row>
    <row r="5767" spans="66:84">
      <c r="BN5767" s="4"/>
      <c r="BO5767" s="4"/>
      <c r="BQ5767" s="4"/>
      <c r="CC5767" s="4"/>
      <c r="CD5767" s="4"/>
      <c r="CF5767" s="4"/>
    </row>
    <row r="5768" spans="66:84">
      <c r="BN5768" s="4"/>
      <c r="BO5768" s="4"/>
      <c r="BQ5768" s="4"/>
      <c r="CC5768" s="4"/>
      <c r="CD5768" s="4"/>
      <c r="CF5768" s="4"/>
    </row>
    <row r="5769" spans="66:84">
      <c r="BN5769" s="4"/>
      <c r="BO5769" s="4"/>
      <c r="BQ5769" s="4"/>
      <c r="CC5769" s="4"/>
      <c r="CD5769" s="4"/>
      <c r="CF5769" s="4"/>
    </row>
    <row r="5770" spans="66:84">
      <c r="BN5770" s="4"/>
      <c r="BO5770" s="4"/>
      <c r="BQ5770" s="4"/>
      <c r="CC5770" s="4"/>
      <c r="CD5770" s="4"/>
      <c r="CF5770" s="4"/>
    </row>
    <row r="5771" spans="66:84">
      <c r="BN5771" s="4"/>
      <c r="BO5771" s="4"/>
      <c r="BQ5771" s="4"/>
      <c r="CC5771" s="4"/>
      <c r="CD5771" s="4"/>
      <c r="CF5771" s="4"/>
    </row>
    <row r="5772" spans="66:84">
      <c r="BN5772" s="4"/>
      <c r="BO5772" s="4"/>
      <c r="BQ5772" s="4"/>
      <c r="CC5772" s="4"/>
      <c r="CD5772" s="4"/>
      <c r="CF5772" s="4"/>
    </row>
    <row r="5773" spans="66:84">
      <c r="BN5773" s="4"/>
      <c r="BO5773" s="4"/>
      <c r="BQ5773" s="4"/>
      <c r="CC5773" s="4"/>
      <c r="CD5773" s="4"/>
      <c r="CF5773" s="4"/>
    </row>
    <row r="5774" spans="66:84">
      <c r="BN5774" s="4"/>
      <c r="BO5774" s="4"/>
      <c r="BQ5774" s="4"/>
      <c r="CC5774" s="4"/>
      <c r="CD5774" s="4"/>
      <c r="CF5774" s="4"/>
    </row>
    <row r="5775" spans="66:84">
      <c r="BN5775" s="4"/>
      <c r="BO5775" s="4"/>
      <c r="BQ5775" s="4"/>
      <c r="CC5775" s="4"/>
      <c r="CD5775" s="4"/>
      <c r="CF5775" s="4"/>
    </row>
    <row r="5776" spans="66:84">
      <c r="BN5776" s="4"/>
      <c r="BO5776" s="4"/>
      <c r="BQ5776" s="4"/>
      <c r="CC5776" s="4"/>
      <c r="CD5776" s="4"/>
      <c r="CF5776" s="4"/>
    </row>
    <row r="5777" spans="66:84">
      <c r="BN5777" s="4"/>
      <c r="BO5777" s="4"/>
      <c r="BQ5777" s="4"/>
      <c r="CC5777" s="4"/>
      <c r="CD5777" s="4"/>
      <c r="CF5777" s="4"/>
    </row>
    <row r="5778" spans="66:84">
      <c r="BN5778" s="4"/>
      <c r="BO5778" s="4"/>
      <c r="BQ5778" s="4"/>
      <c r="CC5778" s="4"/>
      <c r="CD5778" s="4"/>
      <c r="CF5778" s="4"/>
    </row>
    <row r="5779" spans="66:84">
      <c r="BN5779" s="4"/>
      <c r="BO5779" s="4"/>
      <c r="BQ5779" s="4"/>
      <c r="CC5779" s="4"/>
      <c r="CD5779" s="4"/>
      <c r="CF5779" s="4"/>
    </row>
    <row r="5780" spans="66:84">
      <c r="BN5780" s="4"/>
      <c r="BO5780" s="4"/>
      <c r="BQ5780" s="4"/>
      <c r="CC5780" s="4"/>
      <c r="CD5780" s="4"/>
      <c r="CF5780" s="4"/>
    </row>
    <row r="5781" spans="66:84">
      <c r="BN5781" s="4"/>
      <c r="BO5781" s="4"/>
      <c r="BQ5781" s="4"/>
      <c r="CC5781" s="4"/>
      <c r="CD5781" s="4"/>
      <c r="CF5781" s="4"/>
    </row>
    <row r="5782" spans="66:84">
      <c r="BN5782" s="4"/>
      <c r="BO5782" s="4"/>
      <c r="BQ5782" s="4"/>
      <c r="CC5782" s="4"/>
      <c r="CD5782" s="4"/>
      <c r="CF5782" s="4"/>
    </row>
    <row r="5783" spans="66:84">
      <c r="BN5783" s="4"/>
      <c r="BO5783" s="4"/>
      <c r="BQ5783" s="4"/>
      <c r="CC5783" s="4"/>
      <c r="CD5783" s="4"/>
      <c r="CF5783" s="4"/>
    </row>
    <row r="5784" spans="66:84">
      <c r="BN5784" s="4"/>
      <c r="BO5784" s="4"/>
      <c r="BQ5784" s="4"/>
      <c r="CC5784" s="4"/>
      <c r="CD5784" s="4"/>
      <c r="CF5784" s="4"/>
    </row>
    <row r="5785" spans="66:84">
      <c r="BN5785" s="4"/>
      <c r="BO5785" s="4"/>
      <c r="BQ5785" s="4"/>
      <c r="CC5785" s="4"/>
      <c r="CD5785" s="4"/>
      <c r="CF5785" s="4"/>
    </row>
    <row r="5786" spans="66:84">
      <c r="BN5786" s="4"/>
      <c r="BO5786" s="4"/>
      <c r="BQ5786" s="4"/>
      <c r="CC5786" s="4"/>
      <c r="CD5786" s="4"/>
      <c r="CF5786" s="4"/>
    </row>
    <row r="5787" spans="66:84">
      <c r="BN5787" s="4"/>
      <c r="BO5787" s="4"/>
      <c r="BQ5787" s="4"/>
      <c r="CC5787" s="4"/>
      <c r="CD5787" s="4"/>
      <c r="CF5787" s="4"/>
    </row>
    <row r="5788" spans="66:84">
      <c r="BN5788" s="4"/>
      <c r="BO5788" s="4"/>
      <c r="BQ5788" s="4"/>
      <c r="CC5788" s="4"/>
      <c r="CD5788" s="4"/>
      <c r="CF5788" s="4"/>
    </row>
    <row r="5789" spans="66:84">
      <c r="BN5789" s="4"/>
      <c r="BO5789" s="4"/>
      <c r="BQ5789" s="4"/>
      <c r="CC5789" s="4"/>
      <c r="CD5789" s="4"/>
      <c r="CF5789" s="4"/>
    </row>
    <row r="5790" spans="66:84">
      <c r="BN5790" s="4"/>
      <c r="BO5790" s="4"/>
      <c r="BQ5790" s="4"/>
      <c r="CC5790" s="4"/>
      <c r="CD5790" s="4"/>
      <c r="CF5790" s="4"/>
    </row>
    <row r="5791" spans="66:84">
      <c r="BN5791" s="4"/>
      <c r="BO5791" s="4"/>
      <c r="BQ5791" s="4"/>
      <c r="CC5791" s="4"/>
      <c r="CD5791" s="4"/>
      <c r="CF5791" s="4"/>
    </row>
    <row r="5792" spans="66:84">
      <c r="BN5792" s="4"/>
      <c r="BO5792" s="4"/>
      <c r="BQ5792" s="4"/>
      <c r="CC5792" s="4"/>
      <c r="CD5792" s="4"/>
      <c r="CF5792" s="4"/>
    </row>
    <row r="5793" spans="66:84">
      <c r="BN5793" s="4"/>
      <c r="BO5793" s="4"/>
      <c r="BQ5793" s="4"/>
      <c r="CC5793" s="4"/>
      <c r="CD5793" s="4"/>
      <c r="CF5793" s="4"/>
    </row>
    <row r="5794" spans="66:84">
      <c r="BN5794" s="4"/>
      <c r="BO5794" s="4"/>
      <c r="BQ5794" s="4"/>
      <c r="CC5794" s="4"/>
      <c r="CD5794" s="4"/>
      <c r="CF5794" s="4"/>
    </row>
    <row r="5795" spans="66:84">
      <c r="BN5795" s="4"/>
      <c r="BO5795" s="4"/>
      <c r="BQ5795" s="4"/>
      <c r="CC5795" s="4"/>
      <c r="CD5795" s="4"/>
      <c r="CF5795" s="4"/>
    </row>
    <row r="5796" spans="66:84">
      <c r="BN5796" s="4"/>
      <c r="BO5796" s="4"/>
      <c r="BQ5796" s="4"/>
      <c r="CC5796" s="4"/>
      <c r="CD5796" s="4"/>
      <c r="CF5796" s="4"/>
    </row>
    <row r="5797" spans="66:84">
      <c r="BN5797" s="4"/>
      <c r="BO5797" s="4"/>
      <c r="BQ5797" s="4"/>
      <c r="CC5797" s="4"/>
      <c r="CD5797" s="4"/>
      <c r="CF5797" s="4"/>
    </row>
    <row r="5798" spans="66:84">
      <c r="BN5798" s="4"/>
      <c r="BO5798" s="4"/>
      <c r="BQ5798" s="4"/>
      <c r="CC5798" s="4"/>
      <c r="CD5798" s="4"/>
      <c r="CF5798" s="4"/>
    </row>
    <row r="5799" spans="66:84">
      <c r="BN5799" s="4"/>
      <c r="BO5799" s="4"/>
      <c r="BQ5799" s="4"/>
      <c r="CC5799" s="4"/>
      <c r="CD5799" s="4"/>
      <c r="CF5799" s="4"/>
    </row>
    <row r="5800" spans="66:84">
      <c r="BN5800" s="4"/>
      <c r="BO5800" s="4"/>
      <c r="BQ5800" s="4"/>
      <c r="CC5800" s="4"/>
      <c r="CD5800" s="4"/>
      <c r="CF5800" s="4"/>
    </row>
    <row r="5801" spans="66:84">
      <c r="BN5801" s="4"/>
      <c r="BO5801" s="4"/>
      <c r="BQ5801" s="4"/>
      <c r="CC5801" s="4"/>
      <c r="CD5801" s="4"/>
      <c r="CF5801" s="4"/>
    </row>
    <row r="5802" spans="66:84">
      <c r="BN5802" s="4"/>
      <c r="BO5802" s="4"/>
      <c r="BQ5802" s="4"/>
      <c r="CC5802" s="4"/>
      <c r="CD5802" s="4"/>
      <c r="CF5802" s="4"/>
    </row>
    <row r="5803" spans="66:84">
      <c r="BN5803" s="4"/>
      <c r="BO5803" s="4"/>
      <c r="BQ5803" s="4"/>
      <c r="CC5803" s="4"/>
      <c r="CD5803" s="4"/>
      <c r="CF5803" s="4"/>
    </row>
    <row r="5804" spans="66:84">
      <c r="BN5804" s="4"/>
      <c r="BO5804" s="4"/>
      <c r="BQ5804" s="4"/>
      <c r="CC5804" s="4"/>
      <c r="CD5804" s="4"/>
      <c r="CF5804" s="4"/>
    </row>
    <row r="5805" spans="66:84">
      <c r="BN5805" s="4"/>
      <c r="BO5805" s="4"/>
      <c r="BQ5805" s="4"/>
      <c r="CC5805" s="4"/>
      <c r="CD5805" s="4"/>
      <c r="CF5805" s="4"/>
    </row>
    <row r="5806" spans="66:84">
      <c r="BN5806" s="4"/>
      <c r="BO5806" s="4"/>
      <c r="BQ5806" s="4"/>
      <c r="CC5806" s="4"/>
      <c r="CD5806" s="4"/>
      <c r="CF5806" s="4"/>
    </row>
    <row r="5807" spans="66:84">
      <c r="BN5807" s="4"/>
      <c r="BO5807" s="4"/>
      <c r="BQ5807" s="4"/>
      <c r="CC5807" s="4"/>
      <c r="CD5807" s="4"/>
      <c r="CF5807" s="4"/>
    </row>
    <row r="5808" spans="66:84">
      <c r="BN5808" s="4"/>
      <c r="BO5808" s="4"/>
      <c r="BQ5808" s="4"/>
      <c r="CC5808" s="4"/>
      <c r="CD5808" s="4"/>
      <c r="CF5808" s="4"/>
    </row>
    <row r="5809" spans="66:84">
      <c r="BN5809" s="4"/>
      <c r="BO5809" s="4"/>
      <c r="BQ5809" s="4"/>
      <c r="CC5809" s="4"/>
      <c r="CD5809" s="4"/>
      <c r="CF5809" s="4"/>
    </row>
    <row r="5810" spans="66:84">
      <c r="BN5810" s="4"/>
      <c r="BO5810" s="4"/>
      <c r="BQ5810" s="4"/>
      <c r="CC5810" s="4"/>
      <c r="CD5810" s="4"/>
      <c r="CF5810" s="4"/>
    </row>
    <row r="5811" spans="66:84">
      <c r="BN5811" s="4"/>
      <c r="BO5811" s="4"/>
      <c r="BQ5811" s="4"/>
      <c r="CC5811" s="4"/>
      <c r="CD5811" s="4"/>
      <c r="CF5811" s="4"/>
    </row>
    <row r="5812" spans="66:84">
      <c r="BN5812" s="4"/>
      <c r="BO5812" s="4"/>
      <c r="BQ5812" s="4"/>
      <c r="CC5812" s="4"/>
      <c r="CD5812" s="4"/>
      <c r="CF5812" s="4"/>
    </row>
    <row r="5813" spans="66:84">
      <c r="BN5813" s="4"/>
      <c r="BO5813" s="4"/>
      <c r="BQ5813" s="4"/>
      <c r="CC5813" s="4"/>
      <c r="CD5813" s="4"/>
      <c r="CF5813" s="4"/>
    </row>
    <row r="5814" spans="66:84">
      <c r="BN5814" s="4"/>
      <c r="BO5814" s="4"/>
      <c r="BQ5814" s="4"/>
      <c r="CC5814" s="4"/>
      <c r="CD5814" s="4"/>
      <c r="CF5814" s="4"/>
    </row>
    <row r="5815" spans="66:84">
      <c r="BN5815" s="4"/>
      <c r="BO5815" s="4"/>
      <c r="BQ5815" s="4"/>
      <c r="CC5815" s="4"/>
      <c r="CD5815" s="4"/>
      <c r="CF5815" s="4"/>
    </row>
    <row r="5816" spans="66:84">
      <c r="BN5816" s="4"/>
      <c r="BO5816" s="4"/>
      <c r="BQ5816" s="4"/>
      <c r="CC5816" s="4"/>
      <c r="CD5816" s="4"/>
      <c r="CF5816" s="4"/>
    </row>
    <row r="5817" spans="66:84">
      <c r="BN5817" s="4"/>
      <c r="BO5817" s="4"/>
      <c r="BQ5817" s="4"/>
      <c r="CC5817" s="4"/>
      <c r="CD5817" s="4"/>
      <c r="CF5817" s="4"/>
    </row>
    <row r="5818" spans="66:84">
      <c r="BN5818" s="4"/>
      <c r="BO5818" s="4"/>
      <c r="BQ5818" s="4"/>
      <c r="CC5818" s="4"/>
      <c r="CD5818" s="4"/>
      <c r="CF5818" s="4"/>
    </row>
    <row r="5819" spans="66:84">
      <c r="BN5819" s="4"/>
      <c r="BO5819" s="4"/>
      <c r="BQ5819" s="4"/>
      <c r="CC5819" s="4"/>
      <c r="CD5819" s="4"/>
      <c r="CF5819" s="4"/>
    </row>
    <row r="5820" spans="66:84">
      <c r="BN5820" s="4"/>
      <c r="BO5820" s="4"/>
      <c r="BQ5820" s="4"/>
      <c r="CC5820" s="4"/>
      <c r="CD5820" s="4"/>
      <c r="CF5820" s="4"/>
    </row>
    <row r="5821" spans="66:84">
      <c r="BN5821" s="4"/>
      <c r="BO5821" s="4"/>
      <c r="BQ5821" s="4"/>
      <c r="CC5821" s="4"/>
      <c r="CD5821" s="4"/>
      <c r="CF5821" s="4"/>
    </row>
    <row r="5822" spans="66:84">
      <c r="BN5822" s="4"/>
      <c r="BO5822" s="4"/>
      <c r="BQ5822" s="4"/>
      <c r="CC5822" s="4"/>
      <c r="CD5822" s="4"/>
      <c r="CF5822" s="4"/>
    </row>
    <row r="5823" spans="66:84">
      <c r="BN5823" s="4"/>
      <c r="BO5823" s="4"/>
      <c r="BQ5823" s="4"/>
      <c r="CC5823" s="4"/>
      <c r="CD5823" s="4"/>
      <c r="CF5823" s="4"/>
    </row>
    <row r="5824" spans="66:84">
      <c r="BN5824" s="4"/>
      <c r="BO5824" s="4"/>
      <c r="BQ5824" s="4"/>
      <c r="CC5824" s="4"/>
      <c r="CD5824" s="4"/>
      <c r="CF5824" s="4"/>
    </row>
    <row r="5825" spans="66:84">
      <c r="BN5825" s="4"/>
      <c r="BO5825" s="4"/>
      <c r="BQ5825" s="4"/>
      <c r="CC5825" s="4"/>
      <c r="CD5825" s="4"/>
      <c r="CF5825" s="4"/>
    </row>
    <row r="5826" spans="66:84">
      <c r="BN5826" s="4"/>
      <c r="BO5826" s="4"/>
      <c r="BQ5826" s="4"/>
      <c r="CC5826" s="4"/>
      <c r="CD5826" s="4"/>
      <c r="CF5826" s="4"/>
    </row>
    <row r="5827" spans="66:84">
      <c r="BN5827" s="4"/>
      <c r="BO5827" s="4"/>
      <c r="BQ5827" s="4"/>
      <c r="CC5827" s="4"/>
      <c r="CD5827" s="4"/>
      <c r="CF5827" s="4"/>
    </row>
    <row r="5828" spans="66:84">
      <c r="BN5828" s="4"/>
      <c r="BO5828" s="4"/>
      <c r="BQ5828" s="4"/>
      <c r="CC5828" s="4"/>
      <c r="CD5828" s="4"/>
      <c r="CF5828" s="4"/>
    </row>
    <row r="5829" spans="66:84">
      <c r="BN5829" s="4"/>
      <c r="BO5829" s="4"/>
      <c r="BQ5829" s="4"/>
      <c r="CC5829" s="4"/>
      <c r="CD5829" s="4"/>
      <c r="CF5829" s="4"/>
    </row>
    <row r="5830" spans="66:84">
      <c r="BN5830" s="4"/>
      <c r="BO5830" s="4"/>
      <c r="BQ5830" s="4"/>
      <c r="CC5830" s="4"/>
      <c r="CD5830" s="4"/>
      <c r="CF5830" s="4"/>
    </row>
    <row r="5831" spans="66:84">
      <c r="BN5831" s="4"/>
      <c r="BO5831" s="4"/>
      <c r="BQ5831" s="4"/>
      <c r="CC5831" s="4"/>
      <c r="CD5831" s="4"/>
      <c r="CF5831" s="4"/>
    </row>
    <row r="5832" spans="66:84">
      <c r="BN5832" s="4"/>
      <c r="BO5832" s="4"/>
      <c r="BQ5832" s="4"/>
      <c r="CC5832" s="4"/>
      <c r="CD5832" s="4"/>
      <c r="CF5832" s="4"/>
    </row>
    <row r="5833" spans="66:84">
      <c r="BN5833" s="4"/>
      <c r="BO5833" s="4"/>
      <c r="BQ5833" s="4"/>
      <c r="CC5833" s="4"/>
      <c r="CD5833" s="4"/>
      <c r="CF5833" s="4"/>
    </row>
    <row r="5834" spans="66:84">
      <c r="BN5834" s="4"/>
      <c r="BO5834" s="4"/>
      <c r="BQ5834" s="4"/>
      <c r="CC5834" s="4"/>
      <c r="CD5834" s="4"/>
      <c r="CF5834" s="4"/>
    </row>
    <row r="5835" spans="66:84">
      <c r="BN5835" s="4"/>
      <c r="BO5835" s="4"/>
      <c r="BQ5835" s="4"/>
      <c r="CC5835" s="4"/>
      <c r="CD5835" s="4"/>
      <c r="CF5835" s="4"/>
    </row>
    <row r="5836" spans="66:84">
      <c r="BN5836" s="4"/>
      <c r="BO5836" s="4"/>
      <c r="BQ5836" s="4"/>
      <c r="CC5836" s="4"/>
      <c r="CD5836" s="4"/>
      <c r="CF5836" s="4"/>
    </row>
    <row r="5837" spans="66:84">
      <c r="BN5837" s="4"/>
      <c r="BO5837" s="4"/>
      <c r="BQ5837" s="4"/>
      <c r="CC5837" s="4"/>
      <c r="CD5837" s="4"/>
      <c r="CF5837" s="4"/>
    </row>
    <row r="5838" spans="66:84">
      <c r="BN5838" s="4"/>
      <c r="BO5838" s="4"/>
      <c r="BQ5838" s="4"/>
      <c r="CC5838" s="4"/>
      <c r="CD5838" s="4"/>
      <c r="CF5838" s="4"/>
    </row>
    <row r="5839" spans="66:84">
      <c r="BN5839" s="4"/>
      <c r="BO5839" s="4"/>
      <c r="BQ5839" s="4"/>
      <c r="CC5839" s="4"/>
      <c r="CD5839" s="4"/>
      <c r="CF5839" s="4"/>
    </row>
    <row r="5840" spans="66:84">
      <c r="BN5840" s="4"/>
      <c r="BO5840" s="4"/>
      <c r="BQ5840" s="4"/>
      <c r="CC5840" s="4"/>
      <c r="CD5840" s="4"/>
      <c r="CF5840" s="4"/>
    </row>
    <row r="5841" spans="66:84">
      <c r="BN5841" s="4"/>
      <c r="BO5841" s="4"/>
      <c r="BQ5841" s="4"/>
      <c r="CC5841" s="4"/>
      <c r="CD5841" s="4"/>
      <c r="CF5841" s="4"/>
    </row>
    <row r="5842" spans="66:84">
      <c r="BN5842" s="4"/>
      <c r="BO5842" s="4"/>
      <c r="BQ5842" s="4"/>
      <c r="CC5842" s="4"/>
      <c r="CD5842" s="4"/>
      <c r="CF5842" s="4"/>
    </row>
    <row r="5843" spans="66:84">
      <c r="BN5843" s="4"/>
      <c r="BO5843" s="4"/>
      <c r="BQ5843" s="4"/>
      <c r="CC5843" s="4"/>
      <c r="CD5843" s="4"/>
      <c r="CF5843" s="4"/>
    </row>
    <row r="5844" spans="66:84">
      <c r="BN5844" s="4"/>
      <c r="BO5844" s="4"/>
      <c r="BQ5844" s="4"/>
      <c r="CC5844" s="4"/>
      <c r="CD5844" s="4"/>
      <c r="CF5844" s="4"/>
    </row>
    <row r="5845" spans="66:84">
      <c r="BN5845" s="4"/>
      <c r="BO5845" s="4"/>
      <c r="BQ5845" s="4"/>
      <c r="CC5845" s="4"/>
      <c r="CD5845" s="4"/>
      <c r="CF5845" s="4"/>
    </row>
    <row r="5846" spans="66:84">
      <c r="BN5846" s="4"/>
      <c r="BO5846" s="4"/>
      <c r="BQ5846" s="4"/>
      <c r="CC5846" s="4"/>
      <c r="CD5846" s="4"/>
      <c r="CF5846" s="4"/>
    </row>
    <row r="5847" spans="66:84">
      <c r="BN5847" s="4"/>
      <c r="BO5847" s="4"/>
      <c r="BQ5847" s="4"/>
      <c r="CC5847" s="4"/>
      <c r="CD5847" s="4"/>
      <c r="CF5847" s="4"/>
    </row>
    <row r="5848" spans="66:84">
      <c r="BN5848" s="4"/>
      <c r="BO5848" s="4"/>
      <c r="BQ5848" s="4"/>
      <c r="CC5848" s="4"/>
      <c r="CD5848" s="4"/>
      <c r="CF5848" s="4"/>
    </row>
    <row r="5849" spans="66:84">
      <c r="BN5849" s="4"/>
      <c r="BO5849" s="4"/>
      <c r="BQ5849" s="4"/>
      <c r="CC5849" s="4"/>
      <c r="CD5849" s="4"/>
      <c r="CF5849" s="4"/>
    </row>
    <row r="5850" spans="66:84">
      <c r="BN5850" s="4"/>
      <c r="BO5850" s="4"/>
      <c r="BQ5850" s="4"/>
      <c r="CC5850" s="4"/>
      <c r="CD5850" s="4"/>
      <c r="CF5850" s="4"/>
    </row>
    <row r="5851" spans="66:84">
      <c r="BN5851" s="4"/>
      <c r="BO5851" s="4"/>
      <c r="BQ5851" s="4"/>
      <c r="CC5851" s="4"/>
      <c r="CD5851" s="4"/>
      <c r="CF5851" s="4"/>
    </row>
    <row r="5852" spans="66:84">
      <c r="BN5852" s="4"/>
      <c r="BO5852" s="4"/>
      <c r="BQ5852" s="4"/>
      <c r="CC5852" s="4"/>
      <c r="CD5852" s="4"/>
      <c r="CF5852" s="4"/>
    </row>
    <row r="5853" spans="66:84">
      <c r="BN5853" s="4"/>
      <c r="BO5853" s="4"/>
      <c r="BQ5853" s="4"/>
      <c r="CC5853" s="4"/>
      <c r="CD5853" s="4"/>
      <c r="CF5853" s="4"/>
    </row>
    <row r="5854" spans="66:84">
      <c r="BN5854" s="4"/>
      <c r="BO5854" s="4"/>
      <c r="BQ5854" s="4"/>
      <c r="CC5854" s="4"/>
      <c r="CD5854" s="4"/>
      <c r="CF5854" s="4"/>
    </row>
    <row r="5855" spans="66:84">
      <c r="BN5855" s="4"/>
      <c r="BO5855" s="4"/>
      <c r="BQ5855" s="4"/>
      <c r="CC5855" s="4"/>
      <c r="CD5855" s="4"/>
      <c r="CF5855" s="4"/>
    </row>
    <row r="5856" spans="66:84">
      <c r="BN5856" s="4"/>
      <c r="BO5856" s="4"/>
      <c r="BQ5856" s="4"/>
      <c r="CC5856" s="4"/>
      <c r="CD5856" s="4"/>
      <c r="CF5856" s="4"/>
    </row>
    <row r="5857" spans="66:84">
      <c r="BN5857" s="4"/>
      <c r="BO5857" s="4"/>
      <c r="BQ5857" s="4"/>
      <c r="CC5857" s="4"/>
      <c r="CD5857" s="4"/>
      <c r="CF5857" s="4"/>
    </row>
    <row r="5858" spans="66:84">
      <c r="BN5858" s="4"/>
      <c r="BO5858" s="4"/>
      <c r="BQ5858" s="4"/>
      <c r="CC5858" s="4"/>
      <c r="CD5858" s="4"/>
      <c r="CF5858" s="4"/>
    </row>
    <row r="5859" spans="66:84">
      <c r="BN5859" s="4"/>
      <c r="BO5859" s="4"/>
      <c r="BQ5859" s="4"/>
      <c r="CC5859" s="4"/>
      <c r="CD5859" s="4"/>
      <c r="CF5859" s="4"/>
    </row>
    <row r="5860" spans="66:84">
      <c r="BN5860" s="4"/>
      <c r="BO5860" s="4"/>
      <c r="BQ5860" s="4"/>
      <c r="CC5860" s="4"/>
      <c r="CD5860" s="4"/>
      <c r="CF5860" s="4"/>
    </row>
    <row r="5861" spans="66:84">
      <c r="BN5861" s="4"/>
      <c r="BO5861" s="4"/>
      <c r="BQ5861" s="4"/>
      <c r="CC5861" s="4"/>
      <c r="CD5861" s="4"/>
      <c r="CF5861" s="4"/>
    </row>
    <row r="5862" spans="66:84">
      <c r="BN5862" s="4"/>
      <c r="BO5862" s="4"/>
      <c r="BQ5862" s="4"/>
      <c r="CC5862" s="4"/>
      <c r="CD5862" s="4"/>
      <c r="CF5862" s="4"/>
    </row>
    <row r="5863" spans="66:84">
      <c r="BN5863" s="4"/>
      <c r="BO5863" s="4"/>
      <c r="BQ5863" s="4"/>
      <c r="CC5863" s="4"/>
      <c r="CD5863" s="4"/>
      <c r="CF5863" s="4"/>
    </row>
    <row r="5864" spans="66:84">
      <c r="BN5864" s="4"/>
      <c r="BO5864" s="4"/>
      <c r="BQ5864" s="4"/>
      <c r="CC5864" s="4"/>
      <c r="CD5864" s="4"/>
      <c r="CF5864" s="4"/>
    </row>
    <row r="5865" spans="66:84">
      <c r="BN5865" s="4"/>
      <c r="BO5865" s="4"/>
      <c r="BQ5865" s="4"/>
      <c r="CC5865" s="4"/>
      <c r="CD5865" s="4"/>
      <c r="CF5865" s="4"/>
    </row>
    <row r="5866" spans="66:84">
      <c r="BN5866" s="4"/>
      <c r="BO5866" s="4"/>
      <c r="BQ5866" s="4"/>
      <c r="CC5866" s="4"/>
      <c r="CD5866" s="4"/>
      <c r="CF5866" s="4"/>
    </row>
    <row r="5867" spans="66:84">
      <c r="BN5867" s="4"/>
      <c r="BO5867" s="4"/>
      <c r="BQ5867" s="4"/>
      <c r="CC5867" s="4"/>
      <c r="CD5867" s="4"/>
      <c r="CF5867" s="4"/>
    </row>
    <row r="5868" spans="66:84">
      <c r="BN5868" s="4"/>
      <c r="BO5868" s="4"/>
      <c r="BQ5868" s="4"/>
      <c r="CC5868" s="4"/>
      <c r="CD5868" s="4"/>
      <c r="CF5868" s="4"/>
    </row>
    <row r="5869" spans="66:84">
      <c r="BN5869" s="4"/>
      <c r="BO5869" s="4"/>
      <c r="BQ5869" s="4"/>
      <c r="CC5869" s="4"/>
      <c r="CD5869" s="4"/>
      <c r="CF5869" s="4"/>
    </row>
    <row r="5870" spans="66:84">
      <c r="BN5870" s="4"/>
      <c r="BO5870" s="4"/>
      <c r="BQ5870" s="4"/>
      <c r="CC5870" s="4"/>
      <c r="CD5870" s="4"/>
      <c r="CF5870" s="4"/>
    </row>
    <row r="5871" spans="66:84">
      <c r="BN5871" s="4"/>
      <c r="BO5871" s="4"/>
      <c r="BQ5871" s="4"/>
      <c r="CC5871" s="4"/>
      <c r="CD5871" s="4"/>
      <c r="CF5871" s="4"/>
    </row>
    <row r="5872" spans="66:84">
      <c r="BN5872" s="4"/>
      <c r="BO5872" s="4"/>
      <c r="BQ5872" s="4"/>
      <c r="CC5872" s="4"/>
      <c r="CD5872" s="4"/>
      <c r="CF5872" s="4"/>
    </row>
    <row r="5873" spans="66:84">
      <c r="BN5873" s="4"/>
      <c r="BO5873" s="4"/>
      <c r="BQ5873" s="4"/>
      <c r="CC5873" s="4"/>
      <c r="CD5873" s="4"/>
      <c r="CF5873" s="4"/>
    </row>
    <row r="5874" spans="66:84">
      <c r="BN5874" s="4"/>
      <c r="BO5874" s="4"/>
      <c r="BQ5874" s="4"/>
      <c r="CC5874" s="4"/>
      <c r="CD5874" s="4"/>
      <c r="CF5874" s="4"/>
    </row>
    <row r="5875" spans="66:84">
      <c r="BN5875" s="4"/>
      <c r="BO5875" s="4"/>
      <c r="BQ5875" s="4"/>
      <c r="CC5875" s="4"/>
      <c r="CD5875" s="4"/>
      <c r="CF5875" s="4"/>
    </row>
    <row r="5876" spans="66:84">
      <c r="BN5876" s="4"/>
      <c r="BO5876" s="4"/>
      <c r="BQ5876" s="4"/>
      <c r="CC5876" s="4"/>
      <c r="CD5876" s="4"/>
      <c r="CF5876" s="4"/>
    </row>
    <row r="5877" spans="66:84">
      <c r="BN5877" s="4"/>
      <c r="BO5877" s="4"/>
      <c r="BQ5877" s="4"/>
      <c r="CC5877" s="4"/>
      <c r="CD5877" s="4"/>
      <c r="CF5877" s="4"/>
    </row>
    <row r="5878" spans="66:84">
      <c r="BN5878" s="4"/>
      <c r="BO5878" s="4"/>
      <c r="BQ5878" s="4"/>
      <c r="CC5878" s="4"/>
      <c r="CD5878" s="4"/>
      <c r="CF5878" s="4"/>
    </row>
    <row r="5879" spans="66:84">
      <c r="BN5879" s="4"/>
      <c r="BO5879" s="4"/>
      <c r="BQ5879" s="4"/>
      <c r="CC5879" s="4"/>
      <c r="CD5879" s="4"/>
      <c r="CF5879" s="4"/>
    </row>
    <row r="5880" spans="66:84">
      <c r="BN5880" s="4"/>
      <c r="BO5880" s="4"/>
      <c r="BQ5880" s="4"/>
      <c r="CC5880" s="4"/>
      <c r="CD5880" s="4"/>
      <c r="CF5880" s="4"/>
    </row>
    <row r="5881" spans="66:84">
      <c r="BN5881" s="4"/>
      <c r="BO5881" s="4"/>
      <c r="BQ5881" s="4"/>
      <c r="CC5881" s="4"/>
      <c r="CD5881" s="4"/>
      <c r="CF5881" s="4"/>
    </row>
    <row r="5882" spans="66:84">
      <c r="BN5882" s="4"/>
      <c r="BO5882" s="4"/>
      <c r="BQ5882" s="4"/>
      <c r="CC5882" s="4"/>
      <c r="CD5882" s="4"/>
      <c r="CF5882" s="4"/>
    </row>
    <row r="5883" spans="66:84">
      <c r="BN5883" s="4"/>
      <c r="BO5883" s="4"/>
      <c r="BQ5883" s="4"/>
      <c r="CC5883" s="4"/>
      <c r="CD5883" s="4"/>
      <c r="CF5883" s="4"/>
    </row>
    <row r="5884" spans="66:84">
      <c r="BN5884" s="4"/>
      <c r="BO5884" s="4"/>
      <c r="BQ5884" s="4"/>
      <c r="CC5884" s="4"/>
      <c r="CD5884" s="4"/>
      <c r="CF5884" s="4"/>
    </row>
    <row r="5885" spans="66:84">
      <c r="BN5885" s="4"/>
      <c r="BO5885" s="4"/>
      <c r="BQ5885" s="4"/>
      <c r="CC5885" s="4"/>
      <c r="CD5885" s="4"/>
      <c r="CF5885" s="4"/>
    </row>
    <row r="5886" spans="66:84">
      <c r="BN5886" s="4"/>
      <c r="BO5886" s="4"/>
      <c r="BQ5886" s="4"/>
      <c r="CC5886" s="4"/>
      <c r="CD5886" s="4"/>
      <c r="CF5886" s="4"/>
    </row>
    <row r="5887" spans="66:84">
      <c r="BN5887" s="4"/>
      <c r="BO5887" s="4"/>
      <c r="BQ5887" s="4"/>
      <c r="CC5887" s="4"/>
      <c r="CD5887" s="4"/>
      <c r="CF5887" s="4"/>
    </row>
    <row r="5888" spans="66:84">
      <c r="BN5888" s="4"/>
      <c r="BO5888" s="4"/>
      <c r="BQ5888" s="4"/>
      <c r="CC5888" s="4"/>
      <c r="CD5888" s="4"/>
      <c r="CF5888" s="4"/>
    </row>
    <row r="5889" spans="66:84">
      <c r="BN5889" s="4"/>
      <c r="BO5889" s="4"/>
      <c r="BQ5889" s="4"/>
      <c r="CC5889" s="4"/>
      <c r="CD5889" s="4"/>
      <c r="CF5889" s="4"/>
    </row>
    <row r="5890" spans="66:84">
      <c r="BN5890" s="4"/>
      <c r="BO5890" s="4"/>
      <c r="BQ5890" s="4"/>
      <c r="CC5890" s="4"/>
      <c r="CD5890" s="4"/>
      <c r="CF5890" s="4"/>
    </row>
    <row r="5891" spans="66:84">
      <c r="BN5891" s="4"/>
      <c r="BO5891" s="4"/>
      <c r="BQ5891" s="4"/>
      <c r="CC5891" s="4"/>
      <c r="CD5891" s="4"/>
      <c r="CF5891" s="4"/>
    </row>
    <row r="5892" spans="66:84">
      <c r="BN5892" s="4"/>
      <c r="BO5892" s="4"/>
      <c r="BQ5892" s="4"/>
      <c r="CC5892" s="4"/>
      <c r="CD5892" s="4"/>
      <c r="CF5892" s="4"/>
    </row>
    <row r="5893" spans="66:84">
      <c r="BN5893" s="4"/>
      <c r="BO5893" s="4"/>
      <c r="BQ5893" s="4"/>
      <c r="CC5893" s="4"/>
      <c r="CD5893" s="4"/>
      <c r="CF5893" s="4"/>
    </row>
    <row r="5894" spans="66:84">
      <c r="BN5894" s="4"/>
      <c r="BO5894" s="4"/>
      <c r="BQ5894" s="4"/>
      <c r="CC5894" s="4"/>
      <c r="CD5894" s="4"/>
      <c r="CF5894" s="4"/>
    </row>
    <row r="5895" spans="66:84">
      <c r="BN5895" s="4"/>
      <c r="BO5895" s="4"/>
      <c r="BQ5895" s="4"/>
      <c r="CC5895" s="4"/>
      <c r="CD5895" s="4"/>
      <c r="CF5895" s="4"/>
    </row>
    <row r="5896" spans="66:84">
      <c r="BN5896" s="4"/>
      <c r="BO5896" s="4"/>
      <c r="BQ5896" s="4"/>
      <c r="CC5896" s="4"/>
      <c r="CD5896" s="4"/>
      <c r="CF5896" s="4"/>
    </row>
    <row r="5897" spans="66:84">
      <c r="BN5897" s="4"/>
      <c r="BO5897" s="4"/>
      <c r="BQ5897" s="4"/>
      <c r="CC5897" s="4"/>
      <c r="CD5897" s="4"/>
      <c r="CF5897" s="4"/>
    </row>
    <row r="5898" spans="66:84">
      <c r="BN5898" s="4"/>
      <c r="BO5898" s="4"/>
      <c r="BQ5898" s="4"/>
      <c r="CC5898" s="4"/>
      <c r="CD5898" s="4"/>
      <c r="CF5898" s="4"/>
    </row>
    <row r="5899" spans="66:84">
      <c r="BN5899" s="4"/>
      <c r="BO5899" s="4"/>
      <c r="BQ5899" s="4"/>
      <c r="CC5899" s="4"/>
      <c r="CD5899" s="4"/>
      <c r="CF5899" s="4"/>
    </row>
    <row r="5900" spans="66:84">
      <c r="BN5900" s="4"/>
      <c r="BO5900" s="4"/>
      <c r="BQ5900" s="4"/>
      <c r="CC5900" s="4"/>
      <c r="CD5900" s="4"/>
      <c r="CF5900" s="4"/>
    </row>
    <row r="5901" spans="66:84">
      <c r="BN5901" s="4"/>
      <c r="BO5901" s="4"/>
      <c r="BQ5901" s="4"/>
      <c r="CC5901" s="4"/>
      <c r="CD5901" s="4"/>
      <c r="CF5901" s="4"/>
    </row>
    <row r="5902" spans="66:84">
      <c r="BN5902" s="4"/>
      <c r="BO5902" s="4"/>
      <c r="BQ5902" s="4"/>
      <c r="CC5902" s="4"/>
      <c r="CD5902" s="4"/>
      <c r="CF5902" s="4"/>
    </row>
    <row r="5903" spans="66:84">
      <c r="BN5903" s="4"/>
      <c r="BO5903" s="4"/>
      <c r="BQ5903" s="4"/>
      <c r="CC5903" s="4"/>
      <c r="CD5903" s="4"/>
      <c r="CF5903" s="4"/>
    </row>
    <row r="5904" spans="66:84">
      <c r="BN5904" s="4"/>
      <c r="BO5904" s="4"/>
      <c r="BQ5904" s="4"/>
      <c r="CC5904" s="4"/>
      <c r="CD5904" s="4"/>
      <c r="CF5904" s="4"/>
    </row>
    <row r="5905" spans="66:84">
      <c r="BN5905" s="4"/>
      <c r="BO5905" s="4"/>
      <c r="BQ5905" s="4"/>
      <c r="CC5905" s="4"/>
      <c r="CD5905" s="4"/>
      <c r="CF5905" s="4"/>
    </row>
    <row r="5906" spans="66:84">
      <c r="BN5906" s="4"/>
      <c r="BO5906" s="4"/>
      <c r="BQ5906" s="4"/>
      <c r="CC5906" s="4"/>
      <c r="CD5906" s="4"/>
      <c r="CF5906" s="4"/>
    </row>
    <row r="5907" spans="66:84">
      <c r="BN5907" s="4"/>
      <c r="BO5907" s="4"/>
      <c r="BQ5907" s="4"/>
      <c r="CC5907" s="4"/>
      <c r="CD5907" s="4"/>
      <c r="CF5907" s="4"/>
    </row>
    <row r="5908" spans="66:84">
      <c r="BN5908" s="4"/>
      <c r="BO5908" s="4"/>
      <c r="BQ5908" s="4"/>
      <c r="CC5908" s="4"/>
      <c r="CD5908" s="4"/>
      <c r="CF5908" s="4"/>
    </row>
    <row r="5909" spans="66:84">
      <c r="BN5909" s="4"/>
      <c r="BO5909" s="4"/>
      <c r="BQ5909" s="4"/>
      <c r="CC5909" s="4"/>
      <c r="CD5909" s="4"/>
      <c r="CF5909" s="4"/>
    </row>
    <row r="5910" spans="66:84">
      <c r="BN5910" s="4"/>
      <c r="BO5910" s="4"/>
      <c r="BQ5910" s="4"/>
      <c r="CC5910" s="4"/>
      <c r="CD5910" s="4"/>
      <c r="CF5910" s="4"/>
    </row>
    <row r="5911" spans="66:84">
      <c r="BN5911" s="4"/>
      <c r="BO5911" s="4"/>
      <c r="BQ5911" s="4"/>
      <c r="CC5911" s="4"/>
      <c r="CD5911" s="4"/>
      <c r="CF5911" s="4"/>
    </row>
    <row r="5912" spans="66:84">
      <c r="BN5912" s="4"/>
      <c r="BO5912" s="4"/>
      <c r="BQ5912" s="4"/>
      <c r="CC5912" s="4"/>
      <c r="CD5912" s="4"/>
      <c r="CF5912" s="4"/>
    </row>
    <row r="5913" spans="66:84">
      <c r="BN5913" s="4"/>
      <c r="BO5913" s="4"/>
      <c r="BQ5913" s="4"/>
      <c r="CC5913" s="4"/>
      <c r="CD5913" s="4"/>
      <c r="CF5913" s="4"/>
    </row>
    <row r="5914" spans="66:84">
      <c r="BN5914" s="4"/>
      <c r="BO5914" s="4"/>
      <c r="BQ5914" s="4"/>
      <c r="CC5914" s="4"/>
      <c r="CD5914" s="4"/>
      <c r="CF5914" s="4"/>
    </row>
    <row r="5915" spans="66:84">
      <c r="BN5915" s="4"/>
      <c r="BO5915" s="4"/>
      <c r="BQ5915" s="4"/>
      <c r="CC5915" s="4"/>
      <c r="CD5915" s="4"/>
      <c r="CF5915" s="4"/>
    </row>
    <row r="5916" spans="66:84">
      <c r="BN5916" s="4"/>
      <c r="BO5916" s="4"/>
      <c r="BQ5916" s="4"/>
      <c r="CC5916" s="4"/>
      <c r="CD5916" s="4"/>
      <c r="CF5916" s="4"/>
    </row>
    <row r="5917" spans="66:84">
      <c r="BN5917" s="4"/>
      <c r="BO5917" s="4"/>
      <c r="BQ5917" s="4"/>
      <c r="CC5917" s="4"/>
      <c r="CD5917" s="4"/>
      <c r="CF5917" s="4"/>
    </row>
    <row r="5918" spans="66:84">
      <c r="BN5918" s="4"/>
      <c r="BO5918" s="4"/>
      <c r="BQ5918" s="4"/>
      <c r="CC5918" s="4"/>
      <c r="CD5918" s="4"/>
      <c r="CF5918" s="4"/>
    </row>
    <row r="5919" spans="66:84">
      <c r="BN5919" s="4"/>
      <c r="BO5919" s="4"/>
      <c r="BQ5919" s="4"/>
      <c r="CC5919" s="4"/>
      <c r="CD5919" s="4"/>
      <c r="CF5919" s="4"/>
    </row>
    <row r="5920" spans="66:84">
      <c r="BN5920" s="4"/>
      <c r="BO5920" s="4"/>
      <c r="BQ5920" s="4"/>
      <c r="CC5920" s="4"/>
      <c r="CD5920" s="4"/>
      <c r="CF5920" s="4"/>
    </row>
    <row r="5921" spans="66:84">
      <c r="BN5921" s="4"/>
      <c r="BO5921" s="4"/>
      <c r="BQ5921" s="4"/>
      <c r="CC5921" s="4"/>
      <c r="CD5921" s="4"/>
      <c r="CF5921" s="4"/>
    </row>
    <row r="5922" spans="66:84">
      <c r="BN5922" s="4"/>
      <c r="BO5922" s="4"/>
      <c r="BQ5922" s="4"/>
      <c r="CC5922" s="4"/>
      <c r="CD5922" s="4"/>
      <c r="CF5922" s="4"/>
    </row>
    <row r="5923" spans="66:84">
      <c r="BN5923" s="4"/>
      <c r="BO5923" s="4"/>
      <c r="BQ5923" s="4"/>
      <c r="CC5923" s="4"/>
      <c r="CD5923" s="4"/>
      <c r="CF5923" s="4"/>
    </row>
    <row r="5924" spans="66:84">
      <c r="BN5924" s="4"/>
      <c r="BO5924" s="4"/>
      <c r="BQ5924" s="4"/>
      <c r="CC5924" s="4"/>
      <c r="CD5924" s="4"/>
      <c r="CF5924" s="4"/>
    </row>
    <row r="5925" spans="66:84">
      <c r="BN5925" s="4"/>
      <c r="BO5925" s="4"/>
      <c r="BQ5925" s="4"/>
      <c r="CC5925" s="4"/>
      <c r="CD5925" s="4"/>
      <c r="CF5925" s="4"/>
    </row>
    <row r="5926" spans="66:84">
      <c r="BN5926" s="4"/>
      <c r="BO5926" s="4"/>
      <c r="BQ5926" s="4"/>
      <c r="CC5926" s="4"/>
      <c r="CD5926" s="4"/>
      <c r="CF5926" s="4"/>
    </row>
    <row r="5927" spans="66:84">
      <c r="BN5927" s="4"/>
      <c r="BO5927" s="4"/>
      <c r="BQ5927" s="4"/>
      <c r="CC5927" s="4"/>
      <c r="CD5927" s="4"/>
      <c r="CF5927" s="4"/>
    </row>
    <row r="5928" spans="66:84">
      <c r="BN5928" s="4"/>
      <c r="BO5928" s="4"/>
      <c r="BQ5928" s="4"/>
      <c r="CC5928" s="4"/>
      <c r="CD5928" s="4"/>
      <c r="CF5928" s="4"/>
    </row>
    <row r="5929" spans="66:84">
      <c r="BN5929" s="4"/>
      <c r="BO5929" s="4"/>
      <c r="BQ5929" s="4"/>
      <c r="CC5929" s="4"/>
      <c r="CD5929" s="4"/>
      <c r="CF5929" s="4"/>
    </row>
    <row r="5930" spans="66:84">
      <c r="BN5930" s="4"/>
      <c r="BO5930" s="4"/>
      <c r="BQ5930" s="4"/>
      <c r="CC5930" s="4"/>
      <c r="CD5930" s="4"/>
      <c r="CF5930" s="4"/>
    </row>
    <row r="5931" spans="66:84">
      <c r="BN5931" s="4"/>
      <c r="BO5931" s="4"/>
      <c r="BQ5931" s="4"/>
      <c r="CC5931" s="4"/>
      <c r="CD5931" s="4"/>
      <c r="CF5931" s="4"/>
    </row>
    <row r="5932" spans="66:84">
      <c r="BN5932" s="4"/>
      <c r="BO5932" s="4"/>
      <c r="BQ5932" s="4"/>
      <c r="CC5932" s="4"/>
      <c r="CD5932" s="4"/>
      <c r="CF5932" s="4"/>
    </row>
    <row r="5933" spans="66:84">
      <c r="BN5933" s="4"/>
      <c r="BO5933" s="4"/>
      <c r="BQ5933" s="4"/>
      <c r="CC5933" s="4"/>
      <c r="CD5933" s="4"/>
      <c r="CF5933" s="4"/>
    </row>
    <row r="5934" spans="66:84">
      <c r="BN5934" s="4"/>
      <c r="BO5934" s="4"/>
      <c r="BQ5934" s="4"/>
      <c r="CC5934" s="4"/>
      <c r="CD5934" s="4"/>
      <c r="CF5934" s="4"/>
    </row>
    <row r="5935" spans="66:84">
      <c r="BN5935" s="4"/>
      <c r="BO5935" s="4"/>
      <c r="BQ5935" s="4"/>
      <c r="CC5935" s="4"/>
      <c r="CD5935" s="4"/>
      <c r="CF5935" s="4"/>
    </row>
    <row r="5936" spans="66:84">
      <c r="BN5936" s="4"/>
      <c r="BO5936" s="4"/>
      <c r="BQ5936" s="4"/>
      <c r="CC5936" s="4"/>
      <c r="CD5936" s="4"/>
      <c r="CF5936" s="4"/>
    </row>
    <row r="5937" spans="66:84">
      <c r="BN5937" s="4"/>
      <c r="BO5937" s="4"/>
      <c r="BQ5937" s="4"/>
      <c r="CC5937" s="4"/>
      <c r="CD5937" s="4"/>
      <c r="CF5937" s="4"/>
    </row>
    <row r="5938" spans="66:84">
      <c r="BN5938" s="4"/>
      <c r="BO5938" s="4"/>
      <c r="BQ5938" s="4"/>
      <c r="CC5938" s="4"/>
      <c r="CD5938" s="4"/>
      <c r="CF5938" s="4"/>
    </row>
    <row r="5939" spans="66:84">
      <c r="BN5939" s="4"/>
      <c r="BO5939" s="4"/>
      <c r="BQ5939" s="4"/>
      <c r="CC5939" s="4"/>
      <c r="CD5939" s="4"/>
      <c r="CF5939" s="4"/>
    </row>
    <row r="5940" spans="66:84">
      <c r="BN5940" s="4"/>
      <c r="BO5940" s="4"/>
      <c r="BQ5940" s="4"/>
      <c r="CC5940" s="4"/>
      <c r="CD5940" s="4"/>
      <c r="CF5940" s="4"/>
    </row>
    <row r="5941" spans="66:84">
      <c r="BN5941" s="4"/>
      <c r="BO5941" s="4"/>
      <c r="BQ5941" s="4"/>
      <c r="CC5941" s="4"/>
      <c r="CD5941" s="4"/>
      <c r="CF5941" s="4"/>
    </row>
    <row r="5942" spans="66:84">
      <c r="BN5942" s="4"/>
      <c r="BO5942" s="4"/>
      <c r="BQ5942" s="4"/>
      <c r="CC5942" s="4"/>
      <c r="CD5942" s="4"/>
      <c r="CF5942" s="4"/>
    </row>
    <row r="5943" spans="66:84">
      <c r="BN5943" s="4"/>
      <c r="BO5943" s="4"/>
      <c r="BQ5943" s="4"/>
      <c r="CC5943" s="4"/>
      <c r="CD5943" s="4"/>
      <c r="CF5943" s="4"/>
    </row>
    <row r="5944" spans="66:84">
      <c r="BN5944" s="4"/>
      <c r="BO5944" s="4"/>
      <c r="BQ5944" s="4"/>
      <c r="CC5944" s="4"/>
      <c r="CD5944" s="4"/>
      <c r="CF5944" s="4"/>
    </row>
    <row r="5945" spans="66:84">
      <c r="BN5945" s="4"/>
      <c r="BO5945" s="4"/>
      <c r="BQ5945" s="4"/>
      <c r="CC5945" s="4"/>
      <c r="CD5945" s="4"/>
      <c r="CF5945" s="4"/>
    </row>
    <row r="5946" spans="66:84">
      <c r="BN5946" s="4"/>
      <c r="BO5946" s="4"/>
      <c r="BQ5946" s="4"/>
      <c r="CC5946" s="4"/>
      <c r="CD5946" s="4"/>
      <c r="CF5946" s="4"/>
    </row>
    <row r="5947" spans="66:84">
      <c r="BN5947" s="4"/>
      <c r="BO5947" s="4"/>
      <c r="BQ5947" s="4"/>
      <c r="CC5947" s="4"/>
      <c r="CD5947" s="4"/>
      <c r="CF5947" s="4"/>
    </row>
    <row r="5948" spans="66:84">
      <c r="BN5948" s="4"/>
      <c r="BO5948" s="4"/>
      <c r="BQ5948" s="4"/>
      <c r="CC5948" s="4"/>
      <c r="CD5948" s="4"/>
      <c r="CF5948" s="4"/>
    </row>
    <row r="5949" spans="66:84">
      <c r="BN5949" s="4"/>
      <c r="BO5949" s="4"/>
      <c r="BQ5949" s="4"/>
      <c r="CC5949" s="4"/>
      <c r="CD5949" s="4"/>
      <c r="CF5949" s="4"/>
    </row>
    <row r="5950" spans="66:84">
      <c r="BN5950" s="4"/>
      <c r="BO5950" s="4"/>
      <c r="BQ5950" s="4"/>
      <c r="CC5950" s="4"/>
      <c r="CD5950" s="4"/>
      <c r="CF5950" s="4"/>
    </row>
    <row r="5951" spans="66:84">
      <c r="BN5951" s="4"/>
      <c r="BO5951" s="4"/>
      <c r="BQ5951" s="4"/>
      <c r="CC5951" s="4"/>
      <c r="CD5951" s="4"/>
      <c r="CF5951" s="4"/>
    </row>
    <row r="5952" spans="66:84">
      <c r="BN5952" s="4"/>
      <c r="BO5952" s="4"/>
      <c r="BQ5952" s="4"/>
      <c r="CC5952" s="4"/>
      <c r="CD5952" s="4"/>
      <c r="CF5952" s="4"/>
    </row>
    <row r="5953" spans="66:84">
      <c r="BN5953" s="4"/>
      <c r="BO5953" s="4"/>
      <c r="BQ5953" s="4"/>
      <c r="CC5953" s="4"/>
      <c r="CD5953" s="4"/>
      <c r="CF5953" s="4"/>
    </row>
    <row r="5954" spans="66:84">
      <c r="BN5954" s="4"/>
      <c r="BO5954" s="4"/>
      <c r="BQ5954" s="4"/>
      <c r="CC5954" s="4"/>
      <c r="CD5954" s="4"/>
      <c r="CF5954" s="4"/>
    </row>
    <row r="5955" spans="66:84">
      <c r="BN5955" s="4"/>
      <c r="BO5955" s="4"/>
      <c r="BQ5955" s="4"/>
      <c r="CC5955" s="4"/>
      <c r="CD5955" s="4"/>
      <c r="CF5955" s="4"/>
    </row>
    <row r="5956" spans="66:84">
      <c r="BN5956" s="4"/>
      <c r="BO5956" s="4"/>
      <c r="BQ5956" s="4"/>
      <c r="CC5956" s="4"/>
      <c r="CD5956" s="4"/>
      <c r="CF5956" s="4"/>
    </row>
    <row r="5957" spans="66:84">
      <c r="BN5957" s="4"/>
      <c r="BO5957" s="4"/>
      <c r="BQ5957" s="4"/>
      <c r="CC5957" s="4"/>
      <c r="CD5957" s="4"/>
      <c r="CF5957" s="4"/>
    </row>
    <row r="5958" spans="66:84">
      <c r="BN5958" s="4"/>
      <c r="BO5958" s="4"/>
      <c r="BQ5958" s="4"/>
      <c r="CC5958" s="4"/>
      <c r="CD5958" s="4"/>
      <c r="CF5958" s="4"/>
    </row>
    <row r="5959" spans="66:84">
      <c r="BN5959" s="4"/>
      <c r="BO5959" s="4"/>
      <c r="BQ5959" s="4"/>
      <c r="CC5959" s="4"/>
      <c r="CD5959" s="4"/>
      <c r="CF5959" s="4"/>
    </row>
    <row r="5960" spans="66:84">
      <c r="BN5960" s="4"/>
      <c r="BO5960" s="4"/>
      <c r="BQ5960" s="4"/>
      <c r="CC5960" s="4"/>
      <c r="CD5960" s="4"/>
      <c r="CF5960" s="4"/>
    </row>
    <row r="5961" spans="66:84">
      <c r="BN5961" s="4"/>
      <c r="BO5961" s="4"/>
      <c r="BQ5961" s="4"/>
      <c r="CC5961" s="4"/>
      <c r="CD5961" s="4"/>
      <c r="CF5961" s="4"/>
    </row>
    <row r="5962" spans="66:84">
      <c r="BN5962" s="4"/>
      <c r="BO5962" s="4"/>
      <c r="BQ5962" s="4"/>
      <c r="CC5962" s="4"/>
      <c r="CD5962" s="4"/>
      <c r="CF5962" s="4"/>
    </row>
    <row r="5963" spans="66:84">
      <c r="BN5963" s="4"/>
      <c r="BO5963" s="4"/>
      <c r="BQ5963" s="4"/>
      <c r="CC5963" s="4"/>
      <c r="CD5963" s="4"/>
      <c r="CF5963" s="4"/>
    </row>
    <row r="5964" spans="66:84">
      <c r="BN5964" s="4"/>
      <c r="BO5964" s="4"/>
      <c r="BQ5964" s="4"/>
      <c r="CC5964" s="4"/>
      <c r="CD5964" s="4"/>
      <c r="CF5964" s="4"/>
    </row>
    <row r="5965" spans="66:84">
      <c r="BN5965" s="4"/>
      <c r="BO5965" s="4"/>
      <c r="BQ5965" s="4"/>
      <c r="CC5965" s="4"/>
      <c r="CD5965" s="4"/>
      <c r="CF5965" s="4"/>
    </row>
    <row r="5966" spans="66:84">
      <c r="BN5966" s="4"/>
      <c r="BO5966" s="4"/>
      <c r="BQ5966" s="4"/>
      <c r="CC5966" s="4"/>
      <c r="CD5966" s="4"/>
      <c r="CF5966" s="4"/>
    </row>
    <row r="5967" spans="66:84">
      <c r="BN5967" s="4"/>
      <c r="BO5967" s="4"/>
      <c r="BQ5967" s="4"/>
      <c r="CC5967" s="4"/>
      <c r="CD5967" s="4"/>
      <c r="CF5967" s="4"/>
    </row>
    <row r="5968" spans="66:84">
      <c r="BN5968" s="4"/>
      <c r="BO5968" s="4"/>
      <c r="BQ5968" s="4"/>
      <c r="CC5968" s="4"/>
      <c r="CD5968" s="4"/>
      <c r="CF5968" s="4"/>
    </row>
    <row r="5969" spans="66:84">
      <c r="BN5969" s="4"/>
      <c r="BO5969" s="4"/>
      <c r="BQ5969" s="4"/>
      <c r="CC5969" s="4"/>
      <c r="CD5969" s="4"/>
      <c r="CF5969" s="4"/>
    </row>
    <row r="5970" spans="66:84">
      <c r="BN5970" s="4"/>
      <c r="BO5970" s="4"/>
      <c r="BQ5970" s="4"/>
      <c r="CC5970" s="4"/>
      <c r="CD5970" s="4"/>
      <c r="CF5970" s="4"/>
    </row>
    <row r="5971" spans="66:84">
      <c r="BN5971" s="4"/>
      <c r="BO5971" s="4"/>
      <c r="BQ5971" s="4"/>
      <c r="CC5971" s="4"/>
      <c r="CD5971" s="4"/>
      <c r="CF5971" s="4"/>
    </row>
    <row r="5972" spans="66:84">
      <c r="BN5972" s="4"/>
      <c r="BO5972" s="4"/>
      <c r="BQ5972" s="4"/>
      <c r="CC5972" s="4"/>
      <c r="CD5972" s="4"/>
      <c r="CF5972" s="4"/>
    </row>
    <row r="5973" spans="66:84">
      <c r="BN5973" s="4"/>
      <c r="BO5973" s="4"/>
      <c r="BQ5973" s="4"/>
      <c r="CC5973" s="4"/>
      <c r="CD5973" s="4"/>
      <c r="CF5973" s="4"/>
    </row>
    <row r="5974" spans="66:84">
      <c r="BN5974" s="4"/>
      <c r="BO5974" s="4"/>
      <c r="BQ5974" s="4"/>
      <c r="CC5974" s="4"/>
      <c r="CD5974" s="4"/>
      <c r="CF5974" s="4"/>
    </row>
    <row r="5975" spans="66:84">
      <c r="BN5975" s="4"/>
      <c r="BO5975" s="4"/>
      <c r="BQ5975" s="4"/>
      <c r="CC5975" s="4"/>
      <c r="CD5975" s="4"/>
      <c r="CF5975" s="4"/>
    </row>
    <row r="5976" spans="66:84">
      <c r="BN5976" s="4"/>
      <c r="BO5976" s="4"/>
      <c r="BQ5976" s="4"/>
      <c r="CC5976" s="4"/>
      <c r="CD5976" s="4"/>
      <c r="CF5976" s="4"/>
    </row>
    <row r="5977" spans="66:84">
      <c r="BN5977" s="4"/>
      <c r="BO5977" s="4"/>
      <c r="BQ5977" s="4"/>
      <c r="CC5977" s="4"/>
      <c r="CD5977" s="4"/>
      <c r="CF5977" s="4"/>
    </row>
    <row r="5978" spans="66:84">
      <c r="BN5978" s="4"/>
      <c r="BO5978" s="4"/>
      <c r="BQ5978" s="4"/>
      <c r="CC5978" s="4"/>
      <c r="CD5978" s="4"/>
      <c r="CF5978" s="4"/>
    </row>
    <row r="5979" spans="66:84">
      <c r="BN5979" s="4"/>
      <c r="BO5979" s="4"/>
      <c r="BQ5979" s="4"/>
      <c r="CC5979" s="4"/>
      <c r="CD5979" s="4"/>
      <c r="CF5979" s="4"/>
    </row>
    <row r="5980" spans="66:84">
      <c r="BN5980" s="4"/>
      <c r="BO5980" s="4"/>
      <c r="BQ5980" s="4"/>
      <c r="CC5980" s="4"/>
      <c r="CD5980" s="4"/>
      <c r="CF5980" s="4"/>
    </row>
    <row r="5981" spans="66:84">
      <c r="BN5981" s="4"/>
      <c r="BO5981" s="4"/>
      <c r="BQ5981" s="4"/>
      <c r="CC5981" s="4"/>
      <c r="CD5981" s="4"/>
      <c r="CF5981" s="4"/>
    </row>
    <row r="5982" spans="66:84">
      <c r="BN5982" s="4"/>
      <c r="BO5982" s="4"/>
      <c r="BQ5982" s="4"/>
      <c r="CC5982" s="4"/>
      <c r="CD5982" s="4"/>
      <c r="CF5982" s="4"/>
    </row>
    <row r="5983" spans="66:84">
      <c r="BN5983" s="4"/>
      <c r="BO5983" s="4"/>
      <c r="BQ5983" s="4"/>
      <c r="CC5983" s="4"/>
      <c r="CD5983" s="4"/>
      <c r="CF5983" s="4"/>
    </row>
    <row r="5984" spans="66:84">
      <c r="BN5984" s="4"/>
      <c r="BO5984" s="4"/>
      <c r="BQ5984" s="4"/>
      <c r="CC5984" s="4"/>
      <c r="CD5984" s="4"/>
      <c r="CF5984" s="4"/>
    </row>
    <row r="5985" spans="66:84">
      <c r="BN5985" s="4"/>
      <c r="BO5985" s="4"/>
      <c r="BQ5985" s="4"/>
      <c r="CC5985" s="4"/>
      <c r="CD5985" s="4"/>
      <c r="CF5985" s="4"/>
    </row>
    <row r="5986" spans="66:84">
      <c r="BN5986" s="4"/>
      <c r="BO5986" s="4"/>
      <c r="BQ5986" s="4"/>
      <c r="CC5986" s="4"/>
      <c r="CD5986" s="4"/>
      <c r="CF5986" s="4"/>
    </row>
    <row r="5987" spans="66:84">
      <c r="BN5987" s="4"/>
      <c r="BO5987" s="4"/>
      <c r="BQ5987" s="4"/>
      <c r="CC5987" s="4"/>
      <c r="CD5987" s="4"/>
      <c r="CF5987" s="4"/>
    </row>
    <row r="5988" spans="66:84">
      <c r="BN5988" s="4"/>
      <c r="BO5988" s="4"/>
      <c r="BQ5988" s="4"/>
      <c r="CC5988" s="4"/>
      <c r="CD5988" s="4"/>
      <c r="CF5988" s="4"/>
    </row>
    <row r="5989" spans="66:84">
      <c r="BN5989" s="4"/>
      <c r="BO5989" s="4"/>
      <c r="BQ5989" s="4"/>
      <c r="CC5989" s="4"/>
      <c r="CD5989" s="4"/>
      <c r="CF5989" s="4"/>
    </row>
    <row r="5990" spans="66:84">
      <c r="BN5990" s="4"/>
      <c r="BO5990" s="4"/>
      <c r="BQ5990" s="4"/>
      <c r="CC5990" s="4"/>
      <c r="CD5990" s="4"/>
      <c r="CF5990" s="4"/>
    </row>
    <row r="5991" spans="66:84">
      <c r="BN5991" s="4"/>
      <c r="BO5991" s="4"/>
      <c r="BQ5991" s="4"/>
      <c r="CC5991" s="4"/>
      <c r="CD5991" s="4"/>
      <c r="CF5991" s="4"/>
    </row>
    <row r="5992" spans="66:84">
      <c r="BN5992" s="4"/>
      <c r="BO5992" s="4"/>
      <c r="BQ5992" s="4"/>
      <c r="CC5992" s="4"/>
      <c r="CD5992" s="4"/>
      <c r="CF5992" s="4"/>
    </row>
    <row r="5993" spans="66:84">
      <c r="BN5993" s="4"/>
      <c r="BO5993" s="4"/>
      <c r="BQ5993" s="4"/>
      <c r="CC5993" s="4"/>
      <c r="CD5993" s="4"/>
      <c r="CF5993" s="4"/>
    </row>
    <row r="5994" spans="66:84">
      <c r="BN5994" s="4"/>
      <c r="BO5994" s="4"/>
      <c r="BQ5994" s="4"/>
      <c r="CC5994" s="4"/>
      <c r="CD5994" s="4"/>
      <c r="CF5994" s="4"/>
    </row>
    <row r="5995" spans="66:84">
      <c r="BN5995" s="4"/>
      <c r="BO5995" s="4"/>
      <c r="BQ5995" s="4"/>
      <c r="CC5995" s="4"/>
      <c r="CD5995" s="4"/>
      <c r="CF5995" s="4"/>
    </row>
    <row r="5996" spans="66:84">
      <c r="BN5996" s="4"/>
      <c r="BO5996" s="4"/>
      <c r="BQ5996" s="4"/>
      <c r="CC5996" s="4"/>
      <c r="CD5996" s="4"/>
      <c r="CF5996" s="4"/>
    </row>
    <row r="5997" spans="66:84">
      <c r="BN5997" s="4"/>
      <c r="BO5997" s="4"/>
      <c r="BQ5997" s="4"/>
      <c r="CC5997" s="4"/>
      <c r="CD5997" s="4"/>
      <c r="CF5997" s="4"/>
    </row>
    <row r="5998" spans="66:84">
      <c r="BN5998" s="4"/>
      <c r="BO5998" s="4"/>
      <c r="BQ5998" s="4"/>
      <c r="CC5998" s="4"/>
      <c r="CD5998" s="4"/>
      <c r="CF5998" s="4"/>
    </row>
    <row r="5999" spans="66:84">
      <c r="BN5999" s="4"/>
      <c r="BO5999" s="4"/>
      <c r="BQ5999" s="4"/>
      <c r="CC5999" s="4"/>
      <c r="CD5999" s="4"/>
      <c r="CF5999" s="4"/>
    </row>
    <row r="6000" spans="66:84">
      <c r="BN6000" s="4"/>
      <c r="BO6000" s="4"/>
      <c r="BQ6000" s="4"/>
      <c r="CC6000" s="4"/>
      <c r="CD6000" s="4"/>
      <c r="CF6000" s="4"/>
    </row>
    <row r="6001" spans="66:84">
      <c r="BN6001" s="4"/>
      <c r="BO6001" s="4"/>
      <c r="BQ6001" s="4"/>
      <c r="CC6001" s="4"/>
      <c r="CD6001" s="4"/>
      <c r="CF6001" s="4"/>
    </row>
    <row r="6002" spans="66:84">
      <c r="BN6002" s="4"/>
      <c r="BO6002" s="4"/>
      <c r="BQ6002" s="4"/>
      <c r="CC6002" s="4"/>
      <c r="CD6002" s="4"/>
      <c r="CF6002" s="4"/>
    </row>
    <row r="6003" spans="66:84">
      <c r="BN6003" s="4"/>
      <c r="BO6003" s="4"/>
      <c r="BQ6003" s="4"/>
      <c r="CC6003" s="4"/>
      <c r="CD6003" s="4"/>
      <c r="CF6003" s="4"/>
    </row>
    <row r="6004" spans="66:84">
      <c r="BN6004" s="4"/>
      <c r="BO6004" s="4"/>
      <c r="BQ6004" s="4"/>
      <c r="CC6004" s="4"/>
      <c r="CD6004" s="4"/>
      <c r="CF6004" s="4"/>
    </row>
    <row r="6005" spans="66:84">
      <c r="BN6005" s="4"/>
      <c r="BO6005" s="4"/>
      <c r="BQ6005" s="4"/>
      <c r="CC6005" s="4"/>
      <c r="CD6005" s="4"/>
      <c r="CF6005" s="4"/>
    </row>
    <row r="6006" spans="66:84">
      <c r="BN6006" s="4"/>
      <c r="BO6006" s="4"/>
      <c r="BQ6006" s="4"/>
      <c r="CC6006" s="4"/>
      <c r="CD6006" s="4"/>
      <c r="CF6006" s="4"/>
    </row>
    <row r="6007" spans="66:84">
      <c r="BN6007" s="4"/>
      <c r="BO6007" s="4"/>
      <c r="BQ6007" s="4"/>
      <c r="CC6007" s="4"/>
      <c r="CD6007" s="4"/>
      <c r="CF6007" s="4"/>
    </row>
    <row r="6008" spans="66:84">
      <c r="BN6008" s="4"/>
      <c r="BO6008" s="4"/>
      <c r="BQ6008" s="4"/>
      <c r="CC6008" s="4"/>
      <c r="CD6008" s="4"/>
      <c r="CF6008" s="4"/>
    </row>
    <row r="6009" spans="66:84">
      <c r="BN6009" s="4"/>
      <c r="BO6009" s="4"/>
      <c r="BQ6009" s="4"/>
      <c r="CC6009" s="4"/>
      <c r="CD6009" s="4"/>
      <c r="CF6009" s="4"/>
    </row>
    <row r="6010" spans="66:84">
      <c r="BN6010" s="4"/>
      <c r="BO6010" s="4"/>
      <c r="BQ6010" s="4"/>
      <c r="CC6010" s="4"/>
      <c r="CD6010" s="4"/>
      <c r="CF6010" s="4"/>
    </row>
    <row r="6011" spans="66:84">
      <c r="BN6011" s="4"/>
      <c r="BO6011" s="4"/>
      <c r="BQ6011" s="4"/>
      <c r="CC6011" s="4"/>
      <c r="CD6011" s="4"/>
      <c r="CF6011" s="4"/>
    </row>
    <row r="6012" spans="66:84">
      <c r="BN6012" s="4"/>
      <c r="BO6012" s="4"/>
      <c r="BQ6012" s="4"/>
      <c r="CC6012" s="4"/>
      <c r="CD6012" s="4"/>
      <c r="CF6012" s="4"/>
    </row>
    <row r="6013" spans="66:84">
      <c r="BN6013" s="4"/>
      <c r="BO6013" s="4"/>
      <c r="BQ6013" s="4"/>
      <c r="CC6013" s="4"/>
      <c r="CD6013" s="4"/>
      <c r="CF6013" s="4"/>
    </row>
    <row r="6014" spans="66:84">
      <c r="BN6014" s="4"/>
      <c r="BO6014" s="4"/>
      <c r="BQ6014" s="4"/>
      <c r="CC6014" s="4"/>
      <c r="CD6014" s="4"/>
      <c r="CF6014" s="4"/>
    </row>
    <row r="6015" spans="66:84">
      <c r="BN6015" s="4"/>
      <c r="BO6015" s="4"/>
      <c r="BQ6015" s="4"/>
      <c r="CC6015" s="4"/>
      <c r="CD6015" s="4"/>
      <c r="CF6015" s="4"/>
    </row>
    <row r="6016" spans="66:84">
      <c r="BN6016" s="4"/>
      <c r="BO6016" s="4"/>
      <c r="BQ6016" s="4"/>
      <c r="CC6016" s="4"/>
      <c r="CD6016" s="4"/>
      <c r="CF6016" s="4"/>
    </row>
    <row r="6017" spans="66:84">
      <c r="BN6017" s="4"/>
      <c r="BO6017" s="4"/>
      <c r="BQ6017" s="4"/>
      <c r="CC6017" s="4"/>
      <c r="CD6017" s="4"/>
      <c r="CF6017" s="4"/>
    </row>
    <row r="6018" spans="66:84">
      <c r="BN6018" s="4"/>
      <c r="BO6018" s="4"/>
      <c r="BQ6018" s="4"/>
      <c r="CC6018" s="4"/>
      <c r="CD6018" s="4"/>
      <c r="CF6018" s="4"/>
    </row>
    <row r="6019" spans="66:84">
      <c r="BN6019" s="4"/>
      <c r="BO6019" s="4"/>
      <c r="BQ6019" s="4"/>
      <c r="CC6019" s="4"/>
      <c r="CD6019" s="4"/>
      <c r="CF6019" s="4"/>
    </row>
    <row r="6020" spans="66:84">
      <c r="BN6020" s="4"/>
      <c r="BO6020" s="4"/>
      <c r="BQ6020" s="4"/>
      <c r="CC6020" s="4"/>
      <c r="CD6020" s="4"/>
      <c r="CF6020" s="4"/>
    </row>
    <row r="6021" spans="66:84">
      <c r="BN6021" s="4"/>
      <c r="BO6021" s="4"/>
      <c r="BQ6021" s="4"/>
      <c r="CC6021" s="4"/>
      <c r="CD6021" s="4"/>
      <c r="CF6021" s="4"/>
    </row>
    <row r="6022" spans="66:84">
      <c r="BN6022" s="4"/>
      <c r="BO6022" s="4"/>
      <c r="BQ6022" s="4"/>
      <c r="CC6022" s="4"/>
      <c r="CD6022" s="4"/>
      <c r="CF6022" s="4"/>
    </row>
    <row r="6023" spans="66:84">
      <c r="BN6023" s="4"/>
      <c r="BO6023" s="4"/>
      <c r="BQ6023" s="4"/>
      <c r="CC6023" s="4"/>
      <c r="CD6023" s="4"/>
      <c r="CF6023" s="4"/>
    </row>
    <row r="6024" spans="66:84">
      <c r="BN6024" s="4"/>
      <c r="BO6024" s="4"/>
      <c r="BQ6024" s="4"/>
      <c r="CC6024" s="4"/>
      <c r="CD6024" s="4"/>
      <c r="CF6024" s="4"/>
    </row>
    <row r="6025" spans="66:84">
      <c r="BN6025" s="4"/>
      <c r="BO6025" s="4"/>
      <c r="BQ6025" s="4"/>
      <c r="CC6025" s="4"/>
      <c r="CD6025" s="4"/>
      <c r="CF6025" s="4"/>
    </row>
    <row r="6026" spans="66:84">
      <c r="BN6026" s="4"/>
      <c r="BO6026" s="4"/>
      <c r="BQ6026" s="4"/>
      <c r="CC6026" s="4"/>
      <c r="CD6026" s="4"/>
      <c r="CF6026" s="4"/>
    </row>
    <row r="6027" spans="66:84">
      <c r="BN6027" s="4"/>
      <c r="BO6027" s="4"/>
      <c r="BQ6027" s="4"/>
      <c r="CC6027" s="4"/>
      <c r="CD6027" s="4"/>
      <c r="CF6027" s="4"/>
    </row>
    <row r="6028" spans="66:84">
      <c r="BN6028" s="4"/>
      <c r="BO6028" s="4"/>
      <c r="BQ6028" s="4"/>
      <c r="CC6028" s="4"/>
      <c r="CD6028" s="4"/>
      <c r="CF6028" s="4"/>
    </row>
    <row r="6029" spans="66:84">
      <c r="BN6029" s="4"/>
      <c r="BO6029" s="4"/>
      <c r="BQ6029" s="4"/>
      <c r="CC6029" s="4"/>
      <c r="CD6029" s="4"/>
      <c r="CF6029" s="4"/>
    </row>
    <row r="6030" spans="66:84">
      <c r="BN6030" s="4"/>
      <c r="BO6030" s="4"/>
      <c r="BQ6030" s="4"/>
      <c r="CC6030" s="4"/>
      <c r="CD6030" s="4"/>
      <c r="CF6030" s="4"/>
    </row>
    <row r="6031" spans="66:84">
      <c r="BN6031" s="4"/>
      <c r="BO6031" s="4"/>
      <c r="BQ6031" s="4"/>
      <c r="CC6031" s="4"/>
      <c r="CD6031" s="4"/>
      <c r="CF6031" s="4"/>
    </row>
    <row r="6032" spans="66:84">
      <c r="BN6032" s="4"/>
      <c r="BO6032" s="4"/>
      <c r="BQ6032" s="4"/>
      <c r="CC6032" s="4"/>
      <c r="CD6032" s="4"/>
      <c r="CF6032" s="4"/>
    </row>
    <row r="6033" spans="66:84">
      <c r="BN6033" s="4"/>
      <c r="BO6033" s="4"/>
      <c r="BQ6033" s="4"/>
      <c r="CC6033" s="4"/>
      <c r="CD6033" s="4"/>
      <c r="CF6033" s="4"/>
    </row>
    <row r="6034" spans="66:84">
      <c r="BN6034" s="4"/>
      <c r="BO6034" s="4"/>
      <c r="BQ6034" s="4"/>
      <c r="CC6034" s="4"/>
      <c r="CD6034" s="4"/>
      <c r="CF6034" s="4"/>
    </row>
    <row r="6035" spans="66:84">
      <c r="BN6035" s="4"/>
      <c r="BO6035" s="4"/>
      <c r="BQ6035" s="4"/>
      <c r="CC6035" s="4"/>
      <c r="CD6035" s="4"/>
      <c r="CF6035" s="4"/>
    </row>
    <row r="6036" spans="66:84">
      <c r="BN6036" s="4"/>
      <c r="BO6036" s="4"/>
      <c r="BQ6036" s="4"/>
      <c r="CC6036" s="4"/>
      <c r="CD6036" s="4"/>
      <c r="CF6036" s="4"/>
    </row>
    <row r="6037" spans="66:84">
      <c r="BN6037" s="4"/>
      <c r="BO6037" s="4"/>
      <c r="BQ6037" s="4"/>
      <c r="CC6037" s="4"/>
      <c r="CD6037" s="4"/>
      <c r="CF6037" s="4"/>
    </row>
    <row r="6038" spans="66:84">
      <c r="BN6038" s="4"/>
      <c r="BO6038" s="4"/>
      <c r="BQ6038" s="4"/>
      <c r="CC6038" s="4"/>
      <c r="CD6038" s="4"/>
      <c r="CF6038" s="4"/>
    </row>
    <row r="6039" spans="66:84">
      <c r="BN6039" s="4"/>
      <c r="BO6039" s="4"/>
      <c r="BQ6039" s="4"/>
      <c r="CC6039" s="4"/>
      <c r="CD6039" s="4"/>
      <c r="CF6039" s="4"/>
    </row>
    <row r="6040" spans="66:84">
      <c r="BN6040" s="4"/>
      <c r="BO6040" s="4"/>
      <c r="BQ6040" s="4"/>
      <c r="CC6040" s="4"/>
      <c r="CD6040" s="4"/>
      <c r="CF6040" s="4"/>
    </row>
    <row r="6041" spans="66:84">
      <c r="BN6041" s="4"/>
      <c r="BO6041" s="4"/>
      <c r="BQ6041" s="4"/>
      <c r="CC6041" s="4"/>
      <c r="CD6041" s="4"/>
      <c r="CF6041" s="4"/>
    </row>
    <row r="6042" spans="66:84">
      <c r="BN6042" s="4"/>
      <c r="BO6042" s="4"/>
      <c r="BQ6042" s="4"/>
      <c r="CC6042" s="4"/>
      <c r="CD6042" s="4"/>
      <c r="CF6042" s="4"/>
    </row>
    <row r="6043" spans="66:84">
      <c r="BN6043" s="4"/>
      <c r="BO6043" s="4"/>
      <c r="BQ6043" s="4"/>
      <c r="CC6043" s="4"/>
      <c r="CD6043" s="4"/>
      <c r="CF6043" s="4"/>
    </row>
    <row r="6044" spans="66:84">
      <c r="BN6044" s="4"/>
      <c r="BO6044" s="4"/>
      <c r="BQ6044" s="4"/>
      <c r="CC6044" s="4"/>
      <c r="CD6044" s="4"/>
      <c r="CF6044" s="4"/>
    </row>
    <row r="6045" spans="66:84">
      <c r="BN6045" s="4"/>
      <c r="BO6045" s="4"/>
      <c r="BQ6045" s="4"/>
      <c r="CC6045" s="4"/>
      <c r="CD6045" s="4"/>
      <c r="CF6045" s="4"/>
    </row>
    <row r="6046" spans="66:84">
      <c r="BN6046" s="4"/>
      <c r="BO6046" s="4"/>
      <c r="BQ6046" s="4"/>
      <c r="CC6046" s="4"/>
      <c r="CD6046" s="4"/>
      <c r="CF6046" s="4"/>
    </row>
    <row r="6047" spans="66:84">
      <c r="BN6047" s="4"/>
      <c r="BO6047" s="4"/>
      <c r="BQ6047" s="4"/>
      <c r="CC6047" s="4"/>
      <c r="CD6047" s="4"/>
      <c r="CF6047" s="4"/>
    </row>
    <row r="6048" spans="66:84">
      <c r="BN6048" s="4"/>
      <c r="BO6048" s="4"/>
      <c r="BQ6048" s="4"/>
      <c r="CC6048" s="4"/>
      <c r="CD6048" s="4"/>
      <c r="CF6048" s="4"/>
    </row>
    <row r="6049" spans="66:84">
      <c r="BN6049" s="4"/>
      <c r="BO6049" s="4"/>
      <c r="BQ6049" s="4"/>
      <c r="CC6049" s="4"/>
      <c r="CD6049" s="4"/>
      <c r="CF6049" s="4"/>
    </row>
    <row r="6050" spans="66:84">
      <c r="BN6050" s="4"/>
      <c r="BO6050" s="4"/>
      <c r="BQ6050" s="4"/>
      <c r="CC6050" s="4"/>
      <c r="CD6050" s="4"/>
      <c r="CF6050" s="4"/>
    </row>
    <row r="6051" spans="66:84">
      <c r="BN6051" s="4"/>
      <c r="BO6051" s="4"/>
      <c r="BQ6051" s="4"/>
      <c r="CC6051" s="4"/>
      <c r="CD6051" s="4"/>
      <c r="CF6051" s="4"/>
    </row>
    <row r="6052" spans="66:84">
      <c r="BN6052" s="4"/>
      <c r="BO6052" s="4"/>
      <c r="BQ6052" s="4"/>
      <c r="CC6052" s="4"/>
      <c r="CD6052" s="4"/>
      <c r="CF6052" s="4"/>
    </row>
    <row r="6053" spans="66:84">
      <c r="BN6053" s="4"/>
      <c r="BO6053" s="4"/>
      <c r="BQ6053" s="4"/>
      <c r="CC6053" s="4"/>
      <c r="CD6053" s="4"/>
      <c r="CF6053" s="4"/>
    </row>
    <row r="6054" spans="66:84">
      <c r="BN6054" s="4"/>
      <c r="BO6054" s="4"/>
      <c r="BQ6054" s="4"/>
      <c r="CC6054" s="4"/>
      <c r="CD6054" s="4"/>
      <c r="CF6054" s="4"/>
    </row>
    <row r="6055" spans="66:84">
      <c r="BN6055" s="4"/>
      <c r="BO6055" s="4"/>
      <c r="BQ6055" s="4"/>
      <c r="CC6055" s="4"/>
      <c r="CD6055" s="4"/>
      <c r="CF6055" s="4"/>
    </row>
    <row r="6056" spans="66:84">
      <c r="BN6056" s="4"/>
      <c r="BO6056" s="4"/>
      <c r="BQ6056" s="4"/>
      <c r="CC6056" s="4"/>
      <c r="CD6056" s="4"/>
      <c r="CF6056" s="4"/>
    </row>
    <row r="6057" spans="66:84">
      <c r="BN6057" s="4"/>
      <c r="BO6057" s="4"/>
      <c r="BQ6057" s="4"/>
      <c r="CC6057" s="4"/>
      <c r="CD6057" s="4"/>
      <c r="CF6057" s="4"/>
    </row>
    <row r="6058" spans="66:84">
      <c r="BN6058" s="4"/>
      <c r="BO6058" s="4"/>
      <c r="BQ6058" s="4"/>
      <c r="CC6058" s="4"/>
      <c r="CD6058" s="4"/>
      <c r="CF6058" s="4"/>
    </row>
    <row r="6059" spans="66:84">
      <c r="BN6059" s="4"/>
      <c r="BO6059" s="4"/>
      <c r="BQ6059" s="4"/>
      <c r="CC6059" s="4"/>
      <c r="CD6059" s="4"/>
      <c r="CF6059" s="4"/>
    </row>
    <row r="6060" spans="66:84">
      <c r="BN6060" s="4"/>
      <c r="BO6060" s="4"/>
      <c r="BQ6060" s="4"/>
      <c r="CC6060" s="4"/>
      <c r="CD6060" s="4"/>
      <c r="CF6060" s="4"/>
    </row>
    <row r="6061" spans="66:84">
      <c r="BN6061" s="4"/>
      <c r="BO6061" s="4"/>
      <c r="BQ6061" s="4"/>
      <c r="CC6061" s="4"/>
      <c r="CD6061" s="4"/>
      <c r="CF6061" s="4"/>
    </row>
    <row r="6062" spans="66:84">
      <c r="BN6062" s="4"/>
      <c r="BO6062" s="4"/>
      <c r="BQ6062" s="4"/>
      <c r="CC6062" s="4"/>
      <c r="CD6062" s="4"/>
      <c r="CF6062" s="4"/>
    </row>
    <row r="6063" spans="66:84">
      <c r="BN6063" s="4"/>
      <c r="BO6063" s="4"/>
      <c r="BQ6063" s="4"/>
      <c r="CC6063" s="4"/>
      <c r="CD6063" s="4"/>
      <c r="CF6063" s="4"/>
    </row>
    <row r="6064" spans="66:84">
      <c r="BN6064" s="4"/>
      <c r="BO6064" s="4"/>
      <c r="BQ6064" s="4"/>
      <c r="CC6064" s="4"/>
      <c r="CD6064" s="4"/>
      <c r="CF6064" s="4"/>
    </row>
    <row r="6065" spans="66:84">
      <c r="BN6065" s="4"/>
      <c r="BO6065" s="4"/>
      <c r="BQ6065" s="4"/>
      <c r="CC6065" s="4"/>
      <c r="CD6065" s="4"/>
      <c r="CF6065" s="4"/>
    </row>
    <row r="6066" spans="66:84">
      <c r="BN6066" s="4"/>
      <c r="BO6066" s="4"/>
      <c r="BQ6066" s="4"/>
      <c r="CC6066" s="4"/>
      <c r="CD6066" s="4"/>
      <c r="CF6066" s="4"/>
    </row>
    <row r="6067" spans="66:84">
      <c r="BN6067" s="4"/>
      <c r="BO6067" s="4"/>
      <c r="BQ6067" s="4"/>
      <c r="CC6067" s="4"/>
      <c r="CD6067" s="4"/>
      <c r="CF6067" s="4"/>
    </row>
    <row r="6068" spans="66:84">
      <c r="BN6068" s="4"/>
      <c r="BO6068" s="4"/>
      <c r="BQ6068" s="4"/>
      <c r="CC6068" s="4"/>
      <c r="CD6068" s="4"/>
      <c r="CF6068" s="4"/>
    </row>
    <row r="6069" spans="66:84">
      <c r="BN6069" s="4"/>
      <c r="BO6069" s="4"/>
      <c r="BQ6069" s="4"/>
      <c r="CC6069" s="4"/>
      <c r="CD6069" s="4"/>
      <c r="CF6069" s="4"/>
    </row>
    <row r="6070" spans="66:84">
      <c r="BN6070" s="4"/>
      <c r="BO6070" s="4"/>
      <c r="BQ6070" s="4"/>
      <c r="CC6070" s="4"/>
      <c r="CD6070" s="4"/>
      <c r="CF6070" s="4"/>
    </row>
    <row r="6071" spans="66:84">
      <c r="BN6071" s="4"/>
      <c r="BO6071" s="4"/>
      <c r="BQ6071" s="4"/>
      <c r="CC6071" s="4"/>
      <c r="CD6071" s="4"/>
      <c r="CF6071" s="4"/>
    </row>
    <row r="6072" spans="66:84">
      <c r="BN6072" s="4"/>
      <c r="BO6072" s="4"/>
      <c r="BQ6072" s="4"/>
      <c r="CC6072" s="4"/>
      <c r="CD6072" s="4"/>
      <c r="CF6072" s="4"/>
    </row>
    <row r="6073" spans="66:84">
      <c r="BN6073" s="4"/>
      <c r="BO6073" s="4"/>
      <c r="BQ6073" s="4"/>
      <c r="CC6073" s="4"/>
      <c r="CD6073" s="4"/>
      <c r="CF6073" s="4"/>
    </row>
    <row r="6074" spans="66:84">
      <c r="BN6074" s="4"/>
      <c r="BO6074" s="4"/>
      <c r="BQ6074" s="4"/>
      <c r="CC6074" s="4"/>
      <c r="CD6074" s="4"/>
      <c r="CF6074" s="4"/>
    </row>
    <row r="6075" spans="66:84">
      <c r="BN6075" s="4"/>
      <c r="BO6075" s="4"/>
      <c r="BQ6075" s="4"/>
      <c r="CC6075" s="4"/>
      <c r="CD6075" s="4"/>
      <c r="CF6075" s="4"/>
    </row>
    <row r="6076" spans="66:84">
      <c r="BN6076" s="4"/>
      <c r="BO6076" s="4"/>
      <c r="BQ6076" s="4"/>
      <c r="CC6076" s="4"/>
      <c r="CD6076" s="4"/>
      <c r="CF6076" s="4"/>
    </row>
    <row r="6077" spans="66:84">
      <c r="BN6077" s="4"/>
      <c r="BO6077" s="4"/>
      <c r="BQ6077" s="4"/>
      <c r="CC6077" s="4"/>
      <c r="CD6077" s="4"/>
      <c r="CF6077" s="4"/>
    </row>
    <row r="6078" spans="66:84">
      <c r="BN6078" s="4"/>
      <c r="BO6078" s="4"/>
      <c r="BQ6078" s="4"/>
      <c r="CC6078" s="4"/>
      <c r="CD6078" s="4"/>
      <c r="CF6078" s="4"/>
    </row>
    <row r="6079" spans="66:84">
      <c r="BN6079" s="4"/>
      <c r="BO6079" s="4"/>
      <c r="BQ6079" s="4"/>
      <c r="CC6079" s="4"/>
      <c r="CD6079" s="4"/>
      <c r="CF6079" s="4"/>
    </row>
    <row r="6080" spans="66:84">
      <c r="BN6080" s="4"/>
      <c r="BO6080" s="4"/>
      <c r="BQ6080" s="4"/>
      <c r="CC6080" s="4"/>
      <c r="CD6080" s="4"/>
      <c r="CF6080" s="4"/>
    </row>
    <row r="6081" spans="66:84">
      <c r="BN6081" s="4"/>
      <c r="BO6081" s="4"/>
      <c r="BQ6081" s="4"/>
      <c r="CC6081" s="4"/>
      <c r="CD6081" s="4"/>
      <c r="CF6081" s="4"/>
    </row>
    <row r="6082" spans="66:84">
      <c r="BN6082" s="4"/>
      <c r="BO6082" s="4"/>
      <c r="BQ6082" s="4"/>
      <c r="CC6082" s="4"/>
      <c r="CD6082" s="4"/>
      <c r="CF6082" s="4"/>
    </row>
    <row r="6083" spans="66:84">
      <c r="BN6083" s="4"/>
      <c r="BO6083" s="4"/>
      <c r="BQ6083" s="4"/>
      <c r="CC6083" s="4"/>
      <c r="CD6083" s="4"/>
      <c r="CF6083" s="4"/>
    </row>
    <row r="6084" spans="66:84">
      <c r="BN6084" s="4"/>
      <c r="BO6084" s="4"/>
      <c r="BQ6084" s="4"/>
      <c r="CC6084" s="4"/>
      <c r="CD6084" s="4"/>
      <c r="CF6084" s="4"/>
    </row>
    <row r="6085" spans="66:84">
      <c r="BN6085" s="4"/>
      <c r="BO6085" s="4"/>
      <c r="BQ6085" s="4"/>
      <c r="CC6085" s="4"/>
      <c r="CD6085" s="4"/>
      <c r="CF6085" s="4"/>
    </row>
    <row r="6086" spans="66:84">
      <c r="BN6086" s="4"/>
      <c r="BO6086" s="4"/>
      <c r="BQ6086" s="4"/>
      <c r="CC6086" s="4"/>
      <c r="CD6086" s="4"/>
      <c r="CF6086" s="4"/>
    </row>
    <row r="6087" spans="66:84">
      <c r="BN6087" s="4"/>
      <c r="BO6087" s="4"/>
      <c r="BQ6087" s="4"/>
      <c r="CC6087" s="4"/>
      <c r="CD6087" s="4"/>
      <c r="CF6087" s="4"/>
    </row>
    <row r="6088" spans="66:84">
      <c r="BN6088" s="4"/>
      <c r="BO6088" s="4"/>
      <c r="BQ6088" s="4"/>
      <c r="CC6088" s="4"/>
      <c r="CD6088" s="4"/>
      <c r="CF6088" s="4"/>
    </row>
    <row r="6089" spans="66:84">
      <c r="BN6089" s="4"/>
      <c r="BO6089" s="4"/>
      <c r="BQ6089" s="4"/>
      <c r="CC6089" s="4"/>
      <c r="CD6089" s="4"/>
      <c r="CF6089" s="4"/>
    </row>
    <row r="6090" spans="66:84">
      <c r="BN6090" s="4"/>
      <c r="BO6090" s="4"/>
      <c r="BQ6090" s="4"/>
      <c r="CC6090" s="4"/>
      <c r="CD6090" s="4"/>
      <c r="CF6090" s="4"/>
    </row>
    <row r="6091" spans="66:84">
      <c r="BN6091" s="4"/>
      <c r="BO6091" s="4"/>
      <c r="BQ6091" s="4"/>
      <c r="CC6091" s="4"/>
      <c r="CD6091" s="4"/>
      <c r="CF6091" s="4"/>
    </row>
    <row r="6092" spans="66:84">
      <c r="BN6092" s="4"/>
      <c r="BO6092" s="4"/>
      <c r="BQ6092" s="4"/>
      <c r="CC6092" s="4"/>
      <c r="CD6092" s="4"/>
      <c r="CF6092" s="4"/>
    </row>
    <row r="6093" spans="66:84">
      <c r="BN6093" s="4"/>
      <c r="BO6093" s="4"/>
      <c r="BQ6093" s="4"/>
      <c r="CC6093" s="4"/>
      <c r="CD6093" s="4"/>
      <c r="CF6093" s="4"/>
    </row>
    <row r="6094" spans="66:84">
      <c r="BN6094" s="4"/>
      <c r="BO6094" s="4"/>
      <c r="BQ6094" s="4"/>
      <c r="CC6094" s="4"/>
      <c r="CD6094" s="4"/>
      <c r="CF6094" s="4"/>
    </row>
    <row r="6095" spans="66:84">
      <c r="BN6095" s="4"/>
      <c r="BO6095" s="4"/>
      <c r="BQ6095" s="4"/>
      <c r="CC6095" s="4"/>
      <c r="CD6095" s="4"/>
      <c r="CF6095" s="4"/>
    </row>
    <row r="6096" spans="66:84">
      <c r="BN6096" s="4"/>
      <c r="BO6096" s="4"/>
      <c r="BQ6096" s="4"/>
      <c r="CC6096" s="4"/>
      <c r="CD6096" s="4"/>
      <c r="CF6096" s="4"/>
    </row>
    <row r="6097" spans="66:84">
      <c r="BN6097" s="4"/>
      <c r="BO6097" s="4"/>
      <c r="BQ6097" s="4"/>
      <c r="CC6097" s="4"/>
      <c r="CD6097" s="4"/>
      <c r="CF6097" s="4"/>
    </row>
    <row r="6098" spans="66:84">
      <c r="BN6098" s="4"/>
      <c r="BO6098" s="4"/>
      <c r="BQ6098" s="4"/>
      <c r="CC6098" s="4"/>
      <c r="CD6098" s="4"/>
      <c r="CF6098" s="4"/>
    </row>
    <row r="6099" spans="66:84">
      <c r="BN6099" s="4"/>
      <c r="BO6099" s="4"/>
      <c r="BQ6099" s="4"/>
      <c r="CC6099" s="4"/>
      <c r="CD6099" s="4"/>
      <c r="CF6099" s="4"/>
    </row>
    <row r="6100" spans="66:84">
      <c r="BN6100" s="4"/>
      <c r="BO6100" s="4"/>
      <c r="BQ6100" s="4"/>
      <c r="CC6100" s="4"/>
      <c r="CD6100" s="4"/>
      <c r="CF6100" s="4"/>
    </row>
    <row r="6101" spans="66:84">
      <c r="BN6101" s="4"/>
      <c r="BO6101" s="4"/>
      <c r="BQ6101" s="4"/>
      <c r="CC6101" s="4"/>
      <c r="CD6101" s="4"/>
      <c r="CF6101" s="4"/>
    </row>
    <row r="6102" spans="66:84">
      <c r="BN6102" s="4"/>
      <c r="BO6102" s="4"/>
      <c r="BQ6102" s="4"/>
      <c r="CC6102" s="4"/>
      <c r="CD6102" s="4"/>
      <c r="CF6102" s="4"/>
    </row>
    <row r="6103" spans="66:84">
      <c r="BN6103" s="4"/>
      <c r="BO6103" s="4"/>
      <c r="BQ6103" s="4"/>
      <c r="CC6103" s="4"/>
      <c r="CD6103" s="4"/>
      <c r="CF6103" s="4"/>
    </row>
    <row r="6104" spans="66:84">
      <c r="BN6104" s="4"/>
      <c r="BO6104" s="4"/>
      <c r="BQ6104" s="4"/>
      <c r="CC6104" s="4"/>
      <c r="CD6104" s="4"/>
      <c r="CF6104" s="4"/>
    </row>
    <row r="6105" spans="66:84">
      <c r="BN6105" s="4"/>
      <c r="BO6105" s="4"/>
      <c r="BQ6105" s="4"/>
      <c r="CC6105" s="4"/>
      <c r="CD6105" s="4"/>
      <c r="CF6105" s="4"/>
    </row>
    <row r="6106" spans="66:84">
      <c r="BN6106" s="4"/>
      <c r="BO6106" s="4"/>
      <c r="BQ6106" s="4"/>
      <c r="CC6106" s="4"/>
      <c r="CD6106" s="4"/>
      <c r="CF6106" s="4"/>
    </row>
    <row r="6107" spans="66:84">
      <c r="BN6107" s="4"/>
      <c r="BO6107" s="4"/>
      <c r="BQ6107" s="4"/>
      <c r="CC6107" s="4"/>
      <c r="CD6107" s="4"/>
      <c r="CF6107" s="4"/>
    </row>
    <row r="6108" spans="66:84">
      <c r="BN6108" s="4"/>
      <c r="BO6108" s="4"/>
      <c r="BQ6108" s="4"/>
      <c r="CC6108" s="4"/>
      <c r="CD6108" s="4"/>
      <c r="CF6108" s="4"/>
    </row>
    <row r="6109" spans="66:84">
      <c r="BN6109" s="4"/>
      <c r="BO6109" s="4"/>
      <c r="BQ6109" s="4"/>
      <c r="CC6109" s="4"/>
      <c r="CD6109" s="4"/>
      <c r="CF6109" s="4"/>
    </row>
    <row r="6110" spans="66:84">
      <c r="BN6110" s="4"/>
      <c r="BO6110" s="4"/>
      <c r="BQ6110" s="4"/>
      <c r="CC6110" s="4"/>
      <c r="CD6110" s="4"/>
      <c r="CF6110" s="4"/>
    </row>
    <row r="6111" spans="66:84">
      <c r="BN6111" s="4"/>
      <c r="BO6111" s="4"/>
      <c r="BQ6111" s="4"/>
      <c r="CC6111" s="4"/>
      <c r="CD6111" s="4"/>
      <c r="CF6111" s="4"/>
    </row>
    <row r="6112" spans="66:84">
      <c r="BN6112" s="4"/>
      <c r="BO6112" s="4"/>
      <c r="BQ6112" s="4"/>
      <c r="CC6112" s="4"/>
      <c r="CD6112" s="4"/>
      <c r="CF6112" s="4"/>
    </row>
    <row r="6113" spans="66:84">
      <c r="BN6113" s="4"/>
      <c r="BO6113" s="4"/>
      <c r="BQ6113" s="4"/>
      <c r="CC6113" s="4"/>
      <c r="CD6113" s="4"/>
      <c r="CF6113" s="4"/>
    </row>
    <row r="6114" spans="66:84">
      <c r="BN6114" s="4"/>
      <c r="BO6114" s="4"/>
      <c r="BQ6114" s="4"/>
      <c r="CC6114" s="4"/>
      <c r="CD6114" s="4"/>
      <c r="CF6114" s="4"/>
    </row>
    <row r="6115" spans="66:84">
      <c r="BN6115" s="4"/>
      <c r="BO6115" s="4"/>
      <c r="BQ6115" s="4"/>
      <c r="CC6115" s="4"/>
      <c r="CD6115" s="4"/>
      <c r="CF6115" s="4"/>
    </row>
    <row r="6116" spans="66:84">
      <c r="BN6116" s="4"/>
      <c r="BO6116" s="4"/>
      <c r="BQ6116" s="4"/>
      <c r="CC6116" s="4"/>
      <c r="CD6116" s="4"/>
      <c r="CF6116" s="4"/>
    </row>
    <row r="6117" spans="66:84">
      <c r="BN6117" s="4"/>
      <c r="BO6117" s="4"/>
      <c r="BQ6117" s="4"/>
      <c r="CC6117" s="4"/>
      <c r="CD6117" s="4"/>
      <c r="CF6117" s="4"/>
    </row>
    <row r="6118" spans="66:84">
      <c r="BN6118" s="4"/>
      <c r="BO6118" s="4"/>
      <c r="BQ6118" s="4"/>
      <c r="CC6118" s="4"/>
      <c r="CD6118" s="4"/>
      <c r="CF6118" s="4"/>
    </row>
    <row r="6119" spans="66:84">
      <c r="BN6119" s="4"/>
      <c r="BO6119" s="4"/>
      <c r="BQ6119" s="4"/>
      <c r="CC6119" s="4"/>
      <c r="CD6119" s="4"/>
      <c r="CF6119" s="4"/>
    </row>
    <row r="6120" spans="66:84">
      <c r="BN6120" s="4"/>
      <c r="BO6120" s="4"/>
      <c r="BQ6120" s="4"/>
      <c r="CC6120" s="4"/>
      <c r="CD6120" s="4"/>
      <c r="CF6120" s="4"/>
    </row>
    <row r="6121" spans="66:84">
      <c r="BN6121" s="4"/>
      <c r="BO6121" s="4"/>
      <c r="BQ6121" s="4"/>
      <c r="CC6121" s="4"/>
      <c r="CD6121" s="4"/>
      <c r="CF6121" s="4"/>
    </row>
    <row r="6122" spans="66:84">
      <c r="BN6122" s="4"/>
      <c r="BO6122" s="4"/>
      <c r="BQ6122" s="4"/>
      <c r="CC6122" s="4"/>
      <c r="CD6122" s="4"/>
      <c r="CF6122" s="4"/>
    </row>
    <row r="6123" spans="66:84">
      <c r="BN6123" s="4"/>
      <c r="BO6123" s="4"/>
      <c r="BQ6123" s="4"/>
      <c r="CC6123" s="4"/>
      <c r="CD6123" s="4"/>
      <c r="CF6123" s="4"/>
    </row>
    <row r="6124" spans="66:84">
      <c r="BN6124" s="4"/>
      <c r="BO6124" s="4"/>
      <c r="BQ6124" s="4"/>
      <c r="CC6124" s="4"/>
      <c r="CD6124" s="4"/>
      <c r="CF6124" s="4"/>
    </row>
    <row r="6125" spans="66:84">
      <c r="BN6125" s="4"/>
      <c r="BO6125" s="4"/>
      <c r="BQ6125" s="4"/>
      <c r="CC6125" s="4"/>
      <c r="CD6125" s="4"/>
      <c r="CF6125" s="4"/>
    </row>
    <row r="6126" spans="66:84">
      <c r="BN6126" s="4"/>
      <c r="BO6126" s="4"/>
      <c r="BQ6126" s="4"/>
      <c r="CC6126" s="4"/>
      <c r="CD6126" s="4"/>
      <c r="CF6126" s="4"/>
    </row>
    <row r="6127" spans="66:84">
      <c r="BN6127" s="4"/>
      <c r="BO6127" s="4"/>
      <c r="BQ6127" s="4"/>
      <c r="CC6127" s="4"/>
      <c r="CD6127" s="4"/>
      <c r="CF6127" s="4"/>
    </row>
    <row r="6128" spans="66:84">
      <c r="BN6128" s="4"/>
      <c r="BO6128" s="4"/>
      <c r="BQ6128" s="4"/>
      <c r="CC6128" s="4"/>
      <c r="CD6128" s="4"/>
      <c r="CF6128" s="4"/>
    </row>
    <row r="6129" spans="66:84">
      <c r="BN6129" s="4"/>
      <c r="BO6129" s="4"/>
      <c r="BQ6129" s="4"/>
      <c r="CC6129" s="4"/>
      <c r="CD6129" s="4"/>
      <c r="CF6129" s="4"/>
    </row>
    <row r="6130" spans="66:84">
      <c r="BN6130" s="4"/>
      <c r="BO6130" s="4"/>
      <c r="BQ6130" s="4"/>
      <c r="CC6130" s="4"/>
      <c r="CD6130" s="4"/>
      <c r="CF6130" s="4"/>
    </row>
    <row r="6131" spans="66:84">
      <c r="BN6131" s="4"/>
      <c r="BO6131" s="4"/>
      <c r="BQ6131" s="4"/>
      <c r="CC6131" s="4"/>
      <c r="CD6131" s="4"/>
      <c r="CF6131" s="4"/>
    </row>
    <row r="6132" spans="66:84">
      <c r="BN6132" s="4"/>
      <c r="BO6132" s="4"/>
      <c r="BQ6132" s="4"/>
      <c r="CC6132" s="4"/>
      <c r="CD6132" s="4"/>
      <c r="CF6132" s="4"/>
    </row>
    <row r="6133" spans="66:84">
      <c r="BN6133" s="4"/>
      <c r="BO6133" s="4"/>
      <c r="BQ6133" s="4"/>
      <c r="CC6133" s="4"/>
      <c r="CD6133" s="4"/>
      <c r="CF6133" s="4"/>
    </row>
    <row r="6134" spans="66:84">
      <c r="BN6134" s="4"/>
      <c r="BO6134" s="4"/>
      <c r="BQ6134" s="4"/>
      <c r="CC6134" s="4"/>
      <c r="CD6134" s="4"/>
      <c r="CF6134" s="4"/>
    </row>
    <row r="6135" spans="66:84">
      <c r="BN6135" s="4"/>
      <c r="BO6135" s="4"/>
      <c r="BQ6135" s="4"/>
      <c r="CC6135" s="4"/>
      <c r="CD6135" s="4"/>
      <c r="CF6135" s="4"/>
    </row>
    <row r="6136" spans="66:84">
      <c r="BN6136" s="4"/>
      <c r="BO6136" s="4"/>
      <c r="BQ6136" s="4"/>
      <c r="CC6136" s="4"/>
      <c r="CD6136" s="4"/>
      <c r="CF6136" s="4"/>
    </row>
    <row r="6137" spans="66:84">
      <c r="BN6137" s="4"/>
      <c r="BO6137" s="4"/>
      <c r="BQ6137" s="4"/>
      <c r="CC6137" s="4"/>
      <c r="CD6137" s="4"/>
      <c r="CF6137" s="4"/>
    </row>
    <row r="6138" spans="66:84">
      <c r="BN6138" s="4"/>
      <c r="BO6138" s="4"/>
      <c r="BQ6138" s="4"/>
      <c r="CC6138" s="4"/>
      <c r="CD6138" s="4"/>
      <c r="CF6138" s="4"/>
    </row>
    <row r="6139" spans="66:84">
      <c r="BN6139" s="4"/>
      <c r="BO6139" s="4"/>
      <c r="BQ6139" s="4"/>
      <c r="CC6139" s="4"/>
      <c r="CD6139" s="4"/>
      <c r="CF6139" s="4"/>
    </row>
    <row r="6140" spans="66:84">
      <c r="BN6140" s="4"/>
      <c r="BO6140" s="4"/>
      <c r="BQ6140" s="4"/>
      <c r="CC6140" s="4"/>
      <c r="CD6140" s="4"/>
      <c r="CF6140" s="4"/>
    </row>
    <row r="6141" spans="66:84">
      <c r="BN6141" s="4"/>
      <c r="BO6141" s="4"/>
      <c r="BQ6141" s="4"/>
      <c r="CC6141" s="4"/>
      <c r="CD6141" s="4"/>
      <c r="CF6141" s="4"/>
    </row>
    <row r="6142" spans="66:84">
      <c r="BN6142" s="4"/>
      <c r="BO6142" s="4"/>
      <c r="BQ6142" s="4"/>
      <c r="CC6142" s="4"/>
      <c r="CD6142" s="4"/>
      <c r="CF6142" s="4"/>
    </row>
    <row r="6143" spans="66:84">
      <c r="BN6143" s="4"/>
      <c r="BO6143" s="4"/>
      <c r="BQ6143" s="4"/>
      <c r="CC6143" s="4"/>
      <c r="CD6143" s="4"/>
      <c r="CF6143" s="4"/>
    </row>
    <row r="6144" spans="66:84">
      <c r="BN6144" s="4"/>
      <c r="BO6144" s="4"/>
      <c r="BQ6144" s="4"/>
      <c r="CC6144" s="4"/>
      <c r="CD6144" s="4"/>
      <c r="CF6144" s="4"/>
    </row>
    <row r="6145" spans="66:84">
      <c r="BN6145" s="4"/>
      <c r="BO6145" s="4"/>
      <c r="BQ6145" s="4"/>
      <c r="CC6145" s="4"/>
      <c r="CD6145" s="4"/>
      <c r="CF6145" s="4"/>
    </row>
    <row r="6146" spans="66:84">
      <c r="BN6146" s="4"/>
      <c r="BO6146" s="4"/>
      <c r="BQ6146" s="4"/>
      <c r="CC6146" s="4"/>
      <c r="CD6146" s="4"/>
      <c r="CF6146" s="4"/>
    </row>
    <row r="6147" spans="66:84">
      <c r="BN6147" s="4"/>
      <c r="BO6147" s="4"/>
      <c r="BQ6147" s="4"/>
      <c r="CC6147" s="4"/>
      <c r="CD6147" s="4"/>
      <c r="CF6147" s="4"/>
    </row>
    <row r="6148" spans="66:84">
      <c r="BN6148" s="4"/>
      <c r="BO6148" s="4"/>
      <c r="BQ6148" s="4"/>
      <c r="CC6148" s="4"/>
      <c r="CD6148" s="4"/>
      <c r="CF6148" s="4"/>
    </row>
    <row r="6149" spans="66:84">
      <c r="BN6149" s="4"/>
      <c r="BO6149" s="4"/>
      <c r="BQ6149" s="4"/>
      <c r="CC6149" s="4"/>
      <c r="CD6149" s="4"/>
      <c r="CF6149" s="4"/>
    </row>
    <row r="6150" spans="66:84">
      <c r="BN6150" s="4"/>
      <c r="BO6150" s="4"/>
      <c r="BQ6150" s="4"/>
      <c r="CC6150" s="4"/>
      <c r="CD6150" s="4"/>
      <c r="CF6150" s="4"/>
    </row>
    <row r="6151" spans="66:84">
      <c r="BN6151" s="4"/>
      <c r="BO6151" s="4"/>
      <c r="BQ6151" s="4"/>
      <c r="CC6151" s="4"/>
      <c r="CD6151" s="4"/>
      <c r="CF6151" s="4"/>
    </row>
    <row r="6152" spans="66:84">
      <c r="BN6152" s="4"/>
      <c r="BO6152" s="4"/>
      <c r="BQ6152" s="4"/>
      <c r="CC6152" s="4"/>
      <c r="CD6152" s="4"/>
      <c r="CF6152" s="4"/>
    </row>
    <row r="6153" spans="66:84">
      <c r="BN6153" s="4"/>
      <c r="BO6153" s="4"/>
      <c r="BQ6153" s="4"/>
      <c r="CC6153" s="4"/>
      <c r="CD6153" s="4"/>
      <c r="CF6153" s="4"/>
    </row>
    <row r="6154" spans="66:84">
      <c r="BN6154" s="4"/>
      <c r="BO6154" s="4"/>
      <c r="BQ6154" s="4"/>
      <c r="CC6154" s="4"/>
      <c r="CD6154" s="4"/>
      <c r="CF6154" s="4"/>
    </row>
    <row r="6155" spans="66:84">
      <c r="BN6155" s="4"/>
      <c r="BO6155" s="4"/>
      <c r="BQ6155" s="4"/>
      <c r="CC6155" s="4"/>
      <c r="CD6155" s="4"/>
      <c r="CF6155" s="4"/>
    </row>
    <row r="6156" spans="66:84">
      <c r="BN6156" s="4"/>
      <c r="BO6156" s="4"/>
      <c r="BQ6156" s="4"/>
      <c r="CC6156" s="4"/>
      <c r="CD6156" s="4"/>
      <c r="CF6156" s="4"/>
    </row>
    <row r="6157" spans="66:84">
      <c r="BN6157" s="4"/>
      <c r="BO6157" s="4"/>
      <c r="BQ6157" s="4"/>
      <c r="CC6157" s="4"/>
      <c r="CD6157" s="4"/>
      <c r="CF6157" s="4"/>
    </row>
    <row r="6158" spans="66:84">
      <c r="BN6158" s="4"/>
      <c r="BO6158" s="4"/>
      <c r="BQ6158" s="4"/>
      <c r="CC6158" s="4"/>
      <c r="CD6158" s="4"/>
      <c r="CF6158" s="4"/>
    </row>
    <row r="6159" spans="66:84">
      <c r="BN6159" s="4"/>
      <c r="BO6159" s="4"/>
      <c r="BQ6159" s="4"/>
      <c r="CC6159" s="4"/>
      <c r="CD6159" s="4"/>
      <c r="CF6159" s="4"/>
    </row>
    <row r="6160" spans="66:84">
      <c r="BN6160" s="4"/>
      <c r="BO6160" s="4"/>
      <c r="BQ6160" s="4"/>
      <c r="CC6160" s="4"/>
      <c r="CD6160" s="4"/>
      <c r="CF6160" s="4"/>
    </row>
    <row r="6161" spans="66:84">
      <c r="BN6161" s="4"/>
      <c r="BO6161" s="4"/>
      <c r="BQ6161" s="4"/>
      <c r="CC6161" s="4"/>
      <c r="CD6161" s="4"/>
      <c r="CF6161" s="4"/>
    </row>
    <row r="6162" spans="66:84">
      <c r="BN6162" s="4"/>
      <c r="BO6162" s="4"/>
      <c r="BQ6162" s="4"/>
      <c r="CC6162" s="4"/>
      <c r="CD6162" s="4"/>
      <c r="CF6162" s="4"/>
    </row>
    <row r="6163" spans="66:84">
      <c r="BN6163" s="4"/>
      <c r="BO6163" s="4"/>
      <c r="BQ6163" s="4"/>
      <c r="CC6163" s="4"/>
      <c r="CD6163" s="4"/>
      <c r="CF6163" s="4"/>
    </row>
    <row r="6164" spans="66:84">
      <c r="BN6164" s="4"/>
      <c r="BO6164" s="4"/>
      <c r="BQ6164" s="4"/>
      <c r="CC6164" s="4"/>
      <c r="CD6164" s="4"/>
      <c r="CF6164" s="4"/>
    </row>
    <row r="6165" spans="66:84">
      <c r="BN6165" s="4"/>
      <c r="BO6165" s="4"/>
      <c r="BQ6165" s="4"/>
      <c r="CC6165" s="4"/>
      <c r="CD6165" s="4"/>
      <c r="CF6165" s="4"/>
    </row>
    <row r="6166" spans="66:84">
      <c r="BN6166" s="4"/>
      <c r="BO6166" s="4"/>
      <c r="BQ6166" s="4"/>
      <c r="CC6166" s="4"/>
      <c r="CD6166" s="4"/>
      <c r="CF6166" s="4"/>
    </row>
    <row r="6167" spans="66:84">
      <c r="BN6167" s="4"/>
      <c r="BO6167" s="4"/>
      <c r="BQ6167" s="4"/>
      <c r="CC6167" s="4"/>
      <c r="CD6167" s="4"/>
      <c r="CF6167" s="4"/>
    </row>
    <row r="6168" spans="66:84">
      <c r="BN6168" s="4"/>
      <c r="BO6168" s="4"/>
      <c r="BQ6168" s="4"/>
      <c r="CC6168" s="4"/>
      <c r="CD6168" s="4"/>
      <c r="CF6168" s="4"/>
    </row>
    <row r="6169" spans="66:84">
      <c r="BN6169" s="4"/>
      <c r="BO6169" s="4"/>
      <c r="BQ6169" s="4"/>
      <c r="CC6169" s="4"/>
      <c r="CD6169" s="4"/>
      <c r="CF6169" s="4"/>
    </row>
    <row r="6170" spans="66:84">
      <c r="BN6170" s="4"/>
      <c r="BO6170" s="4"/>
      <c r="BQ6170" s="4"/>
      <c r="CC6170" s="4"/>
      <c r="CD6170" s="4"/>
      <c r="CF6170" s="4"/>
    </row>
    <row r="6171" spans="66:84">
      <c r="BN6171" s="4"/>
      <c r="BO6171" s="4"/>
      <c r="BQ6171" s="4"/>
      <c r="CC6171" s="4"/>
      <c r="CD6171" s="4"/>
      <c r="CF6171" s="4"/>
    </row>
    <row r="6172" spans="66:84">
      <c r="BN6172" s="4"/>
      <c r="BO6172" s="4"/>
      <c r="BQ6172" s="4"/>
      <c r="CC6172" s="4"/>
      <c r="CD6172" s="4"/>
      <c r="CF6172" s="4"/>
    </row>
    <row r="6173" spans="66:84">
      <c r="BN6173" s="4"/>
      <c r="BO6173" s="4"/>
      <c r="BQ6173" s="4"/>
      <c r="CC6173" s="4"/>
      <c r="CD6173" s="4"/>
      <c r="CF6173" s="4"/>
    </row>
    <row r="6174" spans="66:84">
      <c r="BN6174" s="4"/>
      <c r="BO6174" s="4"/>
      <c r="BQ6174" s="4"/>
      <c r="CC6174" s="4"/>
      <c r="CD6174" s="4"/>
      <c r="CF6174" s="4"/>
    </row>
    <row r="6175" spans="66:84">
      <c r="BN6175" s="4"/>
      <c r="BO6175" s="4"/>
      <c r="BQ6175" s="4"/>
      <c r="CC6175" s="4"/>
      <c r="CD6175" s="4"/>
      <c r="CF6175" s="4"/>
    </row>
    <row r="6176" spans="66:84">
      <c r="BN6176" s="4"/>
      <c r="BO6176" s="4"/>
      <c r="BQ6176" s="4"/>
      <c r="CC6176" s="4"/>
      <c r="CD6176" s="4"/>
      <c r="CF6176" s="4"/>
    </row>
    <row r="6177" spans="66:84">
      <c r="BN6177" s="4"/>
      <c r="BO6177" s="4"/>
      <c r="BQ6177" s="4"/>
      <c r="CC6177" s="4"/>
      <c r="CD6177" s="4"/>
      <c r="CF6177" s="4"/>
    </row>
    <row r="6178" spans="66:84">
      <c r="BN6178" s="4"/>
      <c r="BO6178" s="4"/>
      <c r="BQ6178" s="4"/>
      <c r="CC6178" s="4"/>
      <c r="CD6178" s="4"/>
      <c r="CF6178" s="4"/>
    </row>
    <row r="6179" spans="66:84">
      <c r="BN6179" s="4"/>
      <c r="BO6179" s="4"/>
      <c r="BQ6179" s="4"/>
      <c r="CC6179" s="4"/>
      <c r="CD6179" s="4"/>
      <c r="CF6179" s="4"/>
    </row>
    <row r="6180" spans="66:84">
      <c r="BN6180" s="4"/>
      <c r="BO6180" s="4"/>
      <c r="BQ6180" s="4"/>
      <c r="CC6180" s="4"/>
      <c r="CD6180" s="4"/>
      <c r="CF6180" s="4"/>
    </row>
    <row r="6181" spans="66:84">
      <c r="BN6181" s="4"/>
      <c r="BO6181" s="4"/>
      <c r="BQ6181" s="4"/>
      <c r="CC6181" s="4"/>
      <c r="CD6181" s="4"/>
      <c r="CF6181" s="4"/>
    </row>
    <row r="6182" spans="66:84">
      <c r="BN6182" s="4"/>
      <c r="BO6182" s="4"/>
      <c r="BQ6182" s="4"/>
      <c r="CC6182" s="4"/>
      <c r="CD6182" s="4"/>
      <c r="CF6182" s="4"/>
    </row>
    <row r="6183" spans="66:84">
      <c r="BN6183" s="4"/>
      <c r="BO6183" s="4"/>
      <c r="BQ6183" s="4"/>
      <c r="CC6183" s="4"/>
      <c r="CD6183" s="4"/>
      <c r="CF6183" s="4"/>
    </row>
    <row r="6184" spans="66:84">
      <c r="BN6184" s="4"/>
      <c r="BO6184" s="4"/>
      <c r="BQ6184" s="4"/>
      <c r="CC6184" s="4"/>
      <c r="CD6184" s="4"/>
      <c r="CF6184" s="4"/>
    </row>
    <row r="6185" spans="66:84">
      <c r="BN6185" s="4"/>
      <c r="BO6185" s="4"/>
      <c r="BQ6185" s="4"/>
      <c r="CC6185" s="4"/>
      <c r="CD6185" s="4"/>
      <c r="CF6185" s="4"/>
    </row>
    <row r="6186" spans="66:84">
      <c r="BN6186" s="4"/>
      <c r="BO6186" s="4"/>
      <c r="BQ6186" s="4"/>
      <c r="CC6186" s="4"/>
      <c r="CD6186" s="4"/>
      <c r="CF6186" s="4"/>
    </row>
    <row r="6187" spans="66:84">
      <c r="BN6187" s="4"/>
      <c r="BO6187" s="4"/>
      <c r="BQ6187" s="4"/>
      <c r="CC6187" s="4"/>
      <c r="CD6187" s="4"/>
      <c r="CF6187" s="4"/>
    </row>
    <row r="6188" spans="66:84">
      <c r="BN6188" s="4"/>
      <c r="BO6188" s="4"/>
      <c r="BQ6188" s="4"/>
      <c r="CC6188" s="4"/>
      <c r="CD6188" s="4"/>
      <c r="CF6188" s="4"/>
    </row>
    <row r="6189" spans="66:84">
      <c r="BN6189" s="4"/>
      <c r="BO6189" s="4"/>
      <c r="BQ6189" s="4"/>
      <c r="CC6189" s="4"/>
      <c r="CD6189" s="4"/>
      <c r="CF6189" s="4"/>
    </row>
    <row r="6190" spans="66:84">
      <c r="BN6190" s="4"/>
      <c r="BO6190" s="4"/>
      <c r="BQ6190" s="4"/>
      <c r="CC6190" s="4"/>
      <c r="CD6190" s="4"/>
      <c r="CF6190" s="4"/>
    </row>
    <row r="6191" spans="66:84">
      <c r="BN6191" s="4"/>
      <c r="BO6191" s="4"/>
      <c r="BQ6191" s="4"/>
      <c r="CC6191" s="4"/>
      <c r="CD6191" s="4"/>
      <c r="CF6191" s="4"/>
    </row>
    <row r="6192" spans="66:84">
      <c r="BN6192" s="4"/>
      <c r="BO6192" s="4"/>
      <c r="BQ6192" s="4"/>
      <c r="CC6192" s="4"/>
      <c r="CD6192" s="4"/>
      <c r="CF6192" s="4"/>
    </row>
    <row r="6193" spans="66:84">
      <c r="BN6193" s="4"/>
      <c r="BO6193" s="4"/>
      <c r="BQ6193" s="4"/>
      <c r="CC6193" s="4"/>
      <c r="CD6193" s="4"/>
      <c r="CF6193" s="4"/>
    </row>
    <row r="6194" spans="66:84">
      <c r="BN6194" s="4"/>
      <c r="BO6194" s="4"/>
      <c r="BQ6194" s="4"/>
      <c r="CC6194" s="4"/>
      <c r="CD6194" s="4"/>
      <c r="CF6194" s="4"/>
    </row>
    <row r="6195" spans="66:84">
      <c r="BN6195" s="4"/>
      <c r="BO6195" s="4"/>
      <c r="BQ6195" s="4"/>
      <c r="CC6195" s="4"/>
      <c r="CD6195" s="4"/>
      <c r="CF6195" s="4"/>
    </row>
    <row r="6196" spans="66:84">
      <c r="BN6196" s="4"/>
      <c r="BO6196" s="4"/>
      <c r="BQ6196" s="4"/>
      <c r="CC6196" s="4"/>
      <c r="CD6196" s="4"/>
      <c r="CF6196" s="4"/>
    </row>
    <row r="6197" spans="66:84">
      <c r="BN6197" s="4"/>
      <c r="BO6197" s="4"/>
      <c r="BQ6197" s="4"/>
      <c r="CC6197" s="4"/>
      <c r="CD6197" s="4"/>
      <c r="CF6197" s="4"/>
    </row>
    <row r="6198" spans="66:84">
      <c r="BN6198" s="4"/>
      <c r="BO6198" s="4"/>
      <c r="BQ6198" s="4"/>
      <c r="CC6198" s="4"/>
      <c r="CD6198" s="4"/>
      <c r="CF6198" s="4"/>
    </row>
    <row r="6199" spans="66:84">
      <c r="BN6199" s="4"/>
      <c r="BO6199" s="4"/>
      <c r="BQ6199" s="4"/>
      <c r="CC6199" s="4"/>
      <c r="CD6199" s="4"/>
      <c r="CF6199" s="4"/>
    </row>
    <row r="6200" spans="66:84">
      <c r="BN6200" s="4"/>
      <c r="BO6200" s="4"/>
      <c r="BQ6200" s="4"/>
      <c r="CC6200" s="4"/>
      <c r="CD6200" s="4"/>
      <c r="CF6200" s="4"/>
    </row>
    <row r="6201" spans="66:84">
      <c r="BN6201" s="4"/>
      <c r="BO6201" s="4"/>
      <c r="BQ6201" s="4"/>
      <c r="CC6201" s="4"/>
      <c r="CD6201" s="4"/>
      <c r="CF6201" s="4"/>
    </row>
    <row r="6202" spans="66:84">
      <c r="BN6202" s="4"/>
      <c r="BO6202" s="4"/>
      <c r="BQ6202" s="4"/>
      <c r="CC6202" s="4"/>
      <c r="CD6202" s="4"/>
      <c r="CF6202" s="4"/>
    </row>
    <row r="6203" spans="66:84">
      <c r="BN6203" s="4"/>
      <c r="BO6203" s="4"/>
      <c r="BQ6203" s="4"/>
      <c r="CC6203" s="4"/>
      <c r="CD6203" s="4"/>
      <c r="CF6203" s="4"/>
    </row>
    <row r="6204" spans="66:84">
      <c r="BN6204" s="4"/>
      <c r="BO6204" s="4"/>
      <c r="BQ6204" s="4"/>
      <c r="CC6204" s="4"/>
      <c r="CD6204" s="4"/>
      <c r="CF6204" s="4"/>
    </row>
    <row r="6205" spans="66:84">
      <c r="BN6205" s="4"/>
      <c r="BO6205" s="4"/>
      <c r="BQ6205" s="4"/>
      <c r="CC6205" s="4"/>
      <c r="CD6205" s="4"/>
      <c r="CF6205" s="4"/>
    </row>
    <row r="6206" spans="66:84">
      <c r="BN6206" s="4"/>
      <c r="BO6206" s="4"/>
      <c r="BQ6206" s="4"/>
      <c r="CC6206" s="4"/>
      <c r="CD6206" s="4"/>
      <c r="CF6206" s="4"/>
    </row>
    <row r="6207" spans="66:84">
      <c r="BN6207" s="4"/>
      <c r="BO6207" s="4"/>
      <c r="BQ6207" s="4"/>
      <c r="CC6207" s="4"/>
      <c r="CD6207" s="4"/>
      <c r="CF6207" s="4"/>
    </row>
    <row r="6208" spans="66:84">
      <c r="BN6208" s="4"/>
      <c r="BO6208" s="4"/>
      <c r="BQ6208" s="4"/>
      <c r="CC6208" s="4"/>
      <c r="CD6208" s="4"/>
      <c r="CF6208" s="4"/>
    </row>
    <row r="6209" spans="66:84">
      <c r="BN6209" s="4"/>
      <c r="BO6209" s="4"/>
      <c r="BQ6209" s="4"/>
      <c r="CC6209" s="4"/>
      <c r="CD6209" s="4"/>
      <c r="CF6209" s="4"/>
    </row>
    <row r="6210" spans="66:84">
      <c r="BN6210" s="4"/>
      <c r="BO6210" s="4"/>
      <c r="BQ6210" s="4"/>
      <c r="CC6210" s="4"/>
      <c r="CD6210" s="4"/>
      <c r="CF6210" s="4"/>
    </row>
    <row r="6211" spans="66:84">
      <c r="BN6211" s="4"/>
      <c r="BO6211" s="4"/>
      <c r="BQ6211" s="4"/>
      <c r="CC6211" s="4"/>
      <c r="CD6211" s="4"/>
      <c r="CF6211" s="4"/>
    </row>
    <row r="6212" spans="66:84">
      <c r="BN6212" s="4"/>
      <c r="BO6212" s="4"/>
      <c r="BQ6212" s="4"/>
      <c r="CC6212" s="4"/>
      <c r="CD6212" s="4"/>
      <c r="CF6212" s="4"/>
    </row>
    <row r="6213" spans="66:84">
      <c r="BN6213" s="4"/>
      <c r="BO6213" s="4"/>
      <c r="BQ6213" s="4"/>
      <c r="CC6213" s="4"/>
      <c r="CD6213" s="4"/>
      <c r="CF6213" s="4"/>
    </row>
    <row r="6214" spans="66:84">
      <c r="BN6214" s="4"/>
      <c r="BO6214" s="4"/>
      <c r="BQ6214" s="4"/>
      <c r="CC6214" s="4"/>
      <c r="CD6214" s="4"/>
      <c r="CF6214" s="4"/>
    </row>
    <row r="6215" spans="66:84">
      <c r="BN6215" s="4"/>
      <c r="BO6215" s="4"/>
      <c r="BQ6215" s="4"/>
      <c r="CC6215" s="4"/>
      <c r="CD6215" s="4"/>
      <c r="CF6215" s="4"/>
    </row>
    <row r="6216" spans="66:84">
      <c r="BN6216" s="4"/>
      <c r="BO6216" s="4"/>
      <c r="BQ6216" s="4"/>
      <c r="CC6216" s="4"/>
      <c r="CD6216" s="4"/>
      <c r="CF6216" s="4"/>
    </row>
    <row r="6217" spans="66:84">
      <c r="BN6217" s="4"/>
      <c r="BO6217" s="4"/>
      <c r="BQ6217" s="4"/>
      <c r="CC6217" s="4"/>
      <c r="CD6217" s="4"/>
      <c r="CF6217" s="4"/>
    </row>
    <row r="6218" spans="66:84">
      <c r="BN6218" s="4"/>
      <c r="BO6218" s="4"/>
      <c r="BQ6218" s="4"/>
      <c r="CC6218" s="4"/>
      <c r="CD6218" s="4"/>
      <c r="CF6218" s="4"/>
    </row>
    <row r="6219" spans="66:84">
      <c r="BN6219" s="4"/>
      <c r="BO6219" s="4"/>
      <c r="BQ6219" s="4"/>
      <c r="CC6219" s="4"/>
      <c r="CD6219" s="4"/>
      <c r="CF6219" s="4"/>
    </row>
    <row r="6220" spans="66:84">
      <c r="BN6220" s="4"/>
      <c r="BO6220" s="4"/>
      <c r="BQ6220" s="4"/>
      <c r="CC6220" s="4"/>
      <c r="CD6220" s="4"/>
      <c r="CF6220" s="4"/>
    </row>
    <row r="6221" spans="66:84">
      <c r="BN6221" s="4"/>
      <c r="BO6221" s="4"/>
      <c r="BQ6221" s="4"/>
      <c r="CC6221" s="4"/>
      <c r="CD6221" s="4"/>
      <c r="CF6221" s="4"/>
    </row>
    <row r="6222" spans="66:84">
      <c r="BN6222" s="4"/>
      <c r="BO6222" s="4"/>
      <c r="BQ6222" s="4"/>
      <c r="CC6222" s="4"/>
      <c r="CD6222" s="4"/>
      <c r="CF6222" s="4"/>
    </row>
    <row r="6223" spans="66:84">
      <c r="BN6223" s="4"/>
      <c r="BO6223" s="4"/>
      <c r="BQ6223" s="4"/>
      <c r="CC6223" s="4"/>
      <c r="CD6223" s="4"/>
      <c r="CF6223" s="4"/>
    </row>
    <row r="6224" spans="66:84">
      <c r="BN6224" s="4"/>
      <c r="BO6224" s="4"/>
      <c r="BQ6224" s="4"/>
      <c r="CC6224" s="4"/>
      <c r="CD6224" s="4"/>
      <c r="CF6224" s="4"/>
    </row>
    <row r="6225" spans="66:84">
      <c r="BN6225" s="4"/>
      <c r="BO6225" s="4"/>
      <c r="BQ6225" s="4"/>
      <c r="CC6225" s="4"/>
      <c r="CD6225" s="4"/>
      <c r="CF6225" s="4"/>
    </row>
    <row r="6226" spans="66:84">
      <c r="BN6226" s="4"/>
      <c r="BO6226" s="4"/>
      <c r="BQ6226" s="4"/>
      <c r="CC6226" s="4"/>
      <c r="CD6226" s="4"/>
      <c r="CF6226" s="4"/>
    </row>
    <row r="6227" spans="66:84">
      <c r="BN6227" s="4"/>
      <c r="BO6227" s="4"/>
      <c r="BQ6227" s="4"/>
      <c r="CC6227" s="4"/>
      <c r="CD6227" s="4"/>
      <c r="CF6227" s="4"/>
    </row>
    <row r="6228" spans="66:84">
      <c r="BN6228" s="4"/>
      <c r="BO6228" s="4"/>
      <c r="BQ6228" s="4"/>
      <c r="CC6228" s="4"/>
      <c r="CD6228" s="4"/>
      <c r="CF6228" s="4"/>
    </row>
    <row r="6229" spans="66:84">
      <c r="BN6229" s="4"/>
      <c r="BO6229" s="4"/>
      <c r="BQ6229" s="4"/>
      <c r="CC6229" s="4"/>
      <c r="CD6229" s="4"/>
      <c r="CF6229" s="4"/>
    </row>
    <row r="6230" spans="66:84">
      <c r="BN6230" s="4"/>
      <c r="BO6230" s="4"/>
      <c r="BQ6230" s="4"/>
      <c r="CC6230" s="4"/>
      <c r="CD6230" s="4"/>
      <c r="CF6230" s="4"/>
    </row>
    <row r="6231" spans="66:84">
      <c r="BN6231" s="4"/>
      <c r="BO6231" s="4"/>
      <c r="BQ6231" s="4"/>
      <c r="CC6231" s="4"/>
      <c r="CD6231" s="4"/>
      <c r="CF6231" s="4"/>
    </row>
    <row r="6232" spans="66:84">
      <c r="BN6232" s="4"/>
      <c r="BO6232" s="4"/>
      <c r="BQ6232" s="4"/>
      <c r="CC6232" s="4"/>
      <c r="CD6232" s="4"/>
      <c r="CF6232" s="4"/>
    </row>
    <row r="6233" spans="66:84">
      <c r="BN6233" s="4"/>
      <c r="BO6233" s="4"/>
      <c r="BQ6233" s="4"/>
      <c r="CC6233" s="4"/>
      <c r="CD6233" s="4"/>
      <c r="CF6233" s="4"/>
    </row>
    <row r="6234" spans="66:84">
      <c r="BN6234" s="4"/>
      <c r="BO6234" s="4"/>
      <c r="BQ6234" s="4"/>
      <c r="CC6234" s="4"/>
      <c r="CD6234" s="4"/>
      <c r="CF6234" s="4"/>
    </row>
    <row r="6235" spans="66:84">
      <c r="BN6235" s="4"/>
      <c r="BO6235" s="4"/>
      <c r="BQ6235" s="4"/>
      <c r="CC6235" s="4"/>
      <c r="CD6235" s="4"/>
      <c r="CF6235" s="4"/>
    </row>
    <row r="6236" spans="66:84">
      <c r="BN6236" s="4"/>
      <c r="BO6236" s="4"/>
      <c r="BQ6236" s="4"/>
      <c r="CC6236" s="4"/>
      <c r="CD6236" s="4"/>
      <c r="CF6236" s="4"/>
    </row>
    <row r="6237" spans="66:84">
      <c r="BN6237" s="4"/>
      <c r="BO6237" s="4"/>
      <c r="BQ6237" s="4"/>
      <c r="CC6237" s="4"/>
      <c r="CD6237" s="4"/>
      <c r="CF6237" s="4"/>
    </row>
    <row r="6238" spans="66:84">
      <c r="BN6238" s="4"/>
      <c r="BO6238" s="4"/>
      <c r="BQ6238" s="4"/>
      <c r="CC6238" s="4"/>
      <c r="CD6238" s="4"/>
      <c r="CF6238" s="4"/>
    </row>
    <row r="6239" spans="66:84">
      <c r="BN6239" s="4"/>
      <c r="BO6239" s="4"/>
      <c r="BQ6239" s="4"/>
      <c r="CC6239" s="4"/>
      <c r="CD6239" s="4"/>
      <c r="CF6239" s="4"/>
    </row>
    <row r="6240" spans="66:84">
      <c r="BN6240" s="4"/>
      <c r="BO6240" s="4"/>
      <c r="BQ6240" s="4"/>
      <c r="CC6240" s="4"/>
      <c r="CD6240" s="4"/>
      <c r="CF6240" s="4"/>
    </row>
    <row r="6241" spans="66:84">
      <c r="BN6241" s="4"/>
      <c r="BO6241" s="4"/>
      <c r="BQ6241" s="4"/>
      <c r="CC6241" s="4"/>
      <c r="CD6241" s="4"/>
      <c r="CF6241" s="4"/>
    </row>
    <row r="6242" spans="66:84">
      <c r="BN6242" s="4"/>
      <c r="BO6242" s="4"/>
      <c r="BQ6242" s="4"/>
      <c r="CC6242" s="4"/>
      <c r="CD6242" s="4"/>
      <c r="CF6242" s="4"/>
    </row>
    <row r="6243" spans="66:84">
      <c r="BN6243" s="4"/>
      <c r="BO6243" s="4"/>
      <c r="BQ6243" s="4"/>
      <c r="CC6243" s="4"/>
      <c r="CD6243" s="4"/>
      <c r="CF6243" s="4"/>
    </row>
    <row r="6244" spans="66:84">
      <c r="BN6244" s="4"/>
      <c r="BO6244" s="4"/>
      <c r="BQ6244" s="4"/>
      <c r="CC6244" s="4"/>
      <c r="CD6244" s="4"/>
      <c r="CF6244" s="4"/>
    </row>
    <row r="6245" spans="66:84">
      <c r="BN6245" s="4"/>
      <c r="BO6245" s="4"/>
      <c r="BQ6245" s="4"/>
      <c r="CC6245" s="4"/>
      <c r="CD6245" s="4"/>
      <c r="CF6245" s="4"/>
    </row>
    <row r="6246" spans="66:84">
      <c r="BN6246" s="4"/>
      <c r="BO6246" s="4"/>
      <c r="BQ6246" s="4"/>
      <c r="CC6246" s="4"/>
      <c r="CD6246" s="4"/>
      <c r="CF6246" s="4"/>
    </row>
    <row r="6247" spans="66:84">
      <c r="BN6247" s="4"/>
      <c r="BO6247" s="4"/>
      <c r="BQ6247" s="4"/>
      <c r="CC6247" s="4"/>
      <c r="CD6247" s="4"/>
      <c r="CF6247" s="4"/>
    </row>
    <row r="6248" spans="66:84">
      <c r="BN6248" s="4"/>
      <c r="BO6248" s="4"/>
      <c r="BQ6248" s="4"/>
      <c r="CC6248" s="4"/>
      <c r="CD6248" s="4"/>
      <c r="CF6248" s="4"/>
    </row>
    <row r="6249" spans="66:84">
      <c r="BN6249" s="4"/>
      <c r="BO6249" s="4"/>
      <c r="BQ6249" s="4"/>
      <c r="CC6249" s="4"/>
      <c r="CD6249" s="4"/>
      <c r="CF6249" s="4"/>
    </row>
    <row r="6250" spans="66:84">
      <c r="BN6250" s="4"/>
      <c r="BO6250" s="4"/>
      <c r="BQ6250" s="4"/>
      <c r="CC6250" s="4"/>
      <c r="CD6250" s="4"/>
      <c r="CF6250" s="4"/>
    </row>
    <row r="6251" spans="66:84">
      <c r="BN6251" s="4"/>
      <c r="BO6251" s="4"/>
      <c r="BQ6251" s="4"/>
      <c r="CC6251" s="4"/>
      <c r="CD6251" s="4"/>
      <c r="CF6251" s="4"/>
    </row>
    <row r="6252" spans="66:84">
      <c r="BN6252" s="4"/>
      <c r="BO6252" s="4"/>
      <c r="BQ6252" s="4"/>
      <c r="CC6252" s="4"/>
      <c r="CD6252" s="4"/>
      <c r="CF6252" s="4"/>
    </row>
    <row r="6253" spans="66:84">
      <c r="BN6253" s="4"/>
      <c r="BO6253" s="4"/>
      <c r="BQ6253" s="4"/>
      <c r="CC6253" s="4"/>
      <c r="CD6253" s="4"/>
      <c r="CF6253" s="4"/>
    </row>
    <row r="6254" spans="66:84">
      <c r="BN6254" s="4"/>
      <c r="BO6254" s="4"/>
      <c r="BQ6254" s="4"/>
      <c r="CC6254" s="4"/>
      <c r="CD6254" s="4"/>
      <c r="CF6254" s="4"/>
    </row>
    <row r="6255" spans="66:84">
      <c r="BN6255" s="4"/>
      <c r="BO6255" s="4"/>
      <c r="BQ6255" s="4"/>
      <c r="CC6255" s="4"/>
      <c r="CD6255" s="4"/>
      <c r="CF6255" s="4"/>
    </row>
    <row r="6256" spans="66:84">
      <c r="BN6256" s="4"/>
      <c r="BO6256" s="4"/>
      <c r="BQ6256" s="4"/>
      <c r="CC6256" s="4"/>
      <c r="CD6256" s="4"/>
      <c r="CF6256" s="4"/>
    </row>
    <row r="6257" spans="66:84">
      <c r="BN6257" s="4"/>
      <c r="BO6257" s="4"/>
      <c r="BQ6257" s="4"/>
      <c r="CC6257" s="4"/>
      <c r="CD6257" s="4"/>
      <c r="CF6257" s="4"/>
    </row>
    <row r="6258" spans="66:84">
      <c r="BN6258" s="4"/>
      <c r="BO6258" s="4"/>
      <c r="BQ6258" s="4"/>
      <c r="CC6258" s="4"/>
      <c r="CD6258" s="4"/>
      <c r="CF6258" s="4"/>
    </row>
    <row r="6259" spans="66:84">
      <c r="BN6259" s="4"/>
      <c r="BO6259" s="4"/>
      <c r="BQ6259" s="4"/>
      <c r="CC6259" s="4"/>
      <c r="CD6259" s="4"/>
      <c r="CF6259" s="4"/>
    </row>
    <row r="6260" spans="66:84">
      <c r="BN6260" s="4"/>
      <c r="BO6260" s="4"/>
      <c r="BQ6260" s="4"/>
      <c r="CC6260" s="4"/>
      <c r="CD6260" s="4"/>
      <c r="CF6260" s="4"/>
    </row>
    <row r="6261" spans="66:84">
      <c r="BN6261" s="4"/>
      <c r="BO6261" s="4"/>
      <c r="BQ6261" s="4"/>
      <c r="CC6261" s="4"/>
      <c r="CD6261" s="4"/>
      <c r="CF6261" s="4"/>
    </row>
    <row r="6262" spans="66:84">
      <c r="BN6262" s="4"/>
      <c r="BO6262" s="4"/>
      <c r="BQ6262" s="4"/>
      <c r="CC6262" s="4"/>
      <c r="CD6262" s="4"/>
      <c r="CF6262" s="4"/>
    </row>
    <row r="6263" spans="66:84">
      <c r="BN6263" s="4"/>
      <c r="BO6263" s="4"/>
      <c r="BQ6263" s="4"/>
      <c r="CC6263" s="4"/>
      <c r="CD6263" s="4"/>
      <c r="CF6263" s="4"/>
    </row>
    <row r="6264" spans="66:84">
      <c r="BN6264" s="4"/>
      <c r="BO6264" s="4"/>
      <c r="BQ6264" s="4"/>
      <c r="CC6264" s="4"/>
      <c r="CD6264" s="4"/>
      <c r="CF6264" s="4"/>
    </row>
    <row r="6265" spans="66:84">
      <c r="BN6265" s="4"/>
      <c r="BO6265" s="4"/>
      <c r="BQ6265" s="4"/>
      <c r="CC6265" s="4"/>
      <c r="CD6265" s="4"/>
      <c r="CF6265" s="4"/>
    </row>
    <row r="6266" spans="66:84">
      <c r="BN6266" s="4"/>
      <c r="BO6266" s="4"/>
      <c r="BQ6266" s="4"/>
      <c r="CC6266" s="4"/>
      <c r="CD6266" s="4"/>
      <c r="CF6266" s="4"/>
    </row>
    <row r="6267" spans="66:84">
      <c r="BN6267" s="4"/>
      <c r="BO6267" s="4"/>
      <c r="BQ6267" s="4"/>
      <c r="CC6267" s="4"/>
      <c r="CD6267" s="4"/>
      <c r="CF6267" s="4"/>
    </row>
    <row r="6268" spans="66:84">
      <c r="BN6268" s="4"/>
      <c r="BO6268" s="4"/>
      <c r="BQ6268" s="4"/>
      <c r="CC6268" s="4"/>
      <c r="CD6268" s="4"/>
      <c r="CF6268" s="4"/>
    </row>
    <row r="6269" spans="66:84">
      <c r="BN6269" s="4"/>
      <c r="BO6269" s="4"/>
      <c r="BQ6269" s="4"/>
      <c r="CC6269" s="4"/>
      <c r="CD6269" s="4"/>
      <c r="CF6269" s="4"/>
    </row>
    <row r="6270" spans="66:84">
      <c r="BN6270" s="4"/>
      <c r="BO6270" s="4"/>
      <c r="BQ6270" s="4"/>
      <c r="CC6270" s="4"/>
      <c r="CD6270" s="4"/>
      <c r="CF6270" s="4"/>
    </row>
    <row r="6271" spans="66:84">
      <c r="BN6271" s="4"/>
      <c r="BO6271" s="4"/>
      <c r="BQ6271" s="4"/>
      <c r="CC6271" s="4"/>
      <c r="CD6271" s="4"/>
      <c r="CF6271" s="4"/>
    </row>
    <row r="6272" spans="66:84">
      <c r="BN6272" s="4"/>
      <c r="BO6272" s="4"/>
      <c r="BQ6272" s="4"/>
      <c r="CC6272" s="4"/>
      <c r="CD6272" s="4"/>
      <c r="CF6272" s="4"/>
    </row>
    <row r="6273" spans="66:84">
      <c r="BN6273" s="4"/>
      <c r="BO6273" s="4"/>
      <c r="BQ6273" s="4"/>
      <c r="CC6273" s="4"/>
      <c r="CD6273" s="4"/>
      <c r="CF6273" s="4"/>
    </row>
    <row r="6274" spans="66:84">
      <c r="BN6274" s="4"/>
      <c r="BO6274" s="4"/>
      <c r="BQ6274" s="4"/>
      <c r="CC6274" s="4"/>
      <c r="CD6274" s="4"/>
      <c r="CF6274" s="4"/>
    </row>
    <row r="6275" spans="66:84">
      <c r="BN6275" s="4"/>
      <c r="BO6275" s="4"/>
      <c r="BQ6275" s="4"/>
      <c r="CC6275" s="4"/>
      <c r="CD6275" s="4"/>
      <c r="CF6275" s="4"/>
    </row>
    <row r="6276" spans="66:84">
      <c r="BN6276" s="4"/>
      <c r="BO6276" s="4"/>
      <c r="BQ6276" s="4"/>
      <c r="CC6276" s="4"/>
      <c r="CD6276" s="4"/>
      <c r="CF6276" s="4"/>
    </row>
    <row r="6277" spans="66:84">
      <c r="BN6277" s="4"/>
      <c r="BO6277" s="4"/>
      <c r="BQ6277" s="4"/>
      <c r="CC6277" s="4"/>
      <c r="CD6277" s="4"/>
      <c r="CF6277" s="4"/>
    </row>
    <row r="6278" spans="66:84">
      <c r="BN6278" s="4"/>
      <c r="BO6278" s="4"/>
      <c r="BQ6278" s="4"/>
      <c r="CC6278" s="4"/>
      <c r="CD6278" s="4"/>
      <c r="CF6278" s="4"/>
    </row>
    <row r="6279" spans="66:84">
      <c r="BN6279" s="4"/>
      <c r="BO6279" s="4"/>
      <c r="BQ6279" s="4"/>
      <c r="CC6279" s="4"/>
      <c r="CD6279" s="4"/>
      <c r="CF6279" s="4"/>
    </row>
    <row r="6280" spans="66:84">
      <c r="BN6280" s="4"/>
      <c r="BO6280" s="4"/>
      <c r="BQ6280" s="4"/>
      <c r="CC6280" s="4"/>
      <c r="CD6280" s="4"/>
      <c r="CF6280" s="4"/>
    </row>
    <row r="6281" spans="66:84">
      <c r="BN6281" s="4"/>
      <c r="BO6281" s="4"/>
      <c r="BQ6281" s="4"/>
      <c r="CC6281" s="4"/>
      <c r="CD6281" s="4"/>
      <c r="CF6281" s="4"/>
    </row>
    <row r="6282" spans="66:84">
      <c r="BN6282" s="4"/>
      <c r="BO6282" s="4"/>
      <c r="BQ6282" s="4"/>
      <c r="CC6282" s="4"/>
      <c r="CD6282" s="4"/>
      <c r="CF6282" s="4"/>
    </row>
    <row r="6283" spans="66:84">
      <c r="BN6283" s="4"/>
      <c r="BO6283" s="4"/>
      <c r="BQ6283" s="4"/>
      <c r="CC6283" s="4"/>
      <c r="CD6283" s="4"/>
      <c r="CF6283" s="4"/>
    </row>
    <row r="6284" spans="66:84">
      <c r="BN6284" s="4"/>
      <c r="BO6284" s="4"/>
      <c r="BQ6284" s="4"/>
      <c r="CC6284" s="4"/>
      <c r="CD6284" s="4"/>
      <c r="CF6284" s="4"/>
    </row>
    <row r="6285" spans="66:84">
      <c r="BN6285" s="4"/>
      <c r="BO6285" s="4"/>
      <c r="BQ6285" s="4"/>
      <c r="CC6285" s="4"/>
      <c r="CD6285" s="4"/>
      <c r="CF6285" s="4"/>
    </row>
    <row r="6286" spans="66:84">
      <c r="BN6286" s="4"/>
      <c r="BO6286" s="4"/>
      <c r="BQ6286" s="4"/>
      <c r="CC6286" s="4"/>
      <c r="CD6286" s="4"/>
      <c r="CF6286" s="4"/>
    </row>
    <row r="6287" spans="66:84">
      <c r="BN6287" s="4"/>
      <c r="BO6287" s="4"/>
      <c r="BQ6287" s="4"/>
      <c r="CC6287" s="4"/>
      <c r="CD6287" s="4"/>
      <c r="CF6287" s="4"/>
    </row>
    <row r="6288" spans="66:84">
      <c r="BN6288" s="4"/>
      <c r="BO6288" s="4"/>
      <c r="BQ6288" s="4"/>
      <c r="CC6288" s="4"/>
      <c r="CD6288" s="4"/>
      <c r="CF6288" s="4"/>
    </row>
    <row r="6289" spans="66:84">
      <c r="BN6289" s="4"/>
      <c r="BO6289" s="4"/>
      <c r="BQ6289" s="4"/>
      <c r="CC6289" s="4"/>
      <c r="CD6289" s="4"/>
      <c r="CF6289" s="4"/>
    </row>
    <row r="6290" spans="66:84">
      <c r="BN6290" s="4"/>
      <c r="BO6290" s="4"/>
      <c r="BQ6290" s="4"/>
      <c r="CC6290" s="4"/>
      <c r="CD6290" s="4"/>
      <c r="CF6290" s="4"/>
    </row>
    <row r="6291" spans="66:84">
      <c r="BN6291" s="4"/>
      <c r="BO6291" s="4"/>
      <c r="BQ6291" s="4"/>
      <c r="CC6291" s="4"/>
      <c r="CD6291" s="4"/>
      <c r="CF6291" s="4"/>
    </row>
    <row r="6292" spans="66:84">
      <c r="BN6292" s="4"/>
      <c r="BO6292" s="4"/>
      <c r="BQ6292" s="4"/>
      <c r="CC6292" s="4"/>
      <c r="CD6292" s="4"/>
      <c r="CF6292" s="4"/>
    </row>
    <row r="6293" spans="66:84">
      <c r="BN6293" s="4"/>
      <c r="BO6293" s="4"/>
      <c r="BQ6293" s="4"/>
      <c r="CC6293" s="4"/>
      <c r="CD6293" s="4"/>
      <c r="CF6293" s="4"/>
    </row>
    <row r="6294" spans="66:84">
      <c r="BN6294" s="4"/>
      <c r="BO6294" s="4"/>
      <c r="BQ6294" s="4"/>
      <c r="CC6294" s="4"/>
      <c r="CD6294" s="4"/>
      <c r="CF6294" s="4"/>
    </row>
    <row r="6295" spans="66:84">
      <c r="BN6295" s="4"/>
      <c r="BO6295" s="4"/>
      <c r="BQ6295" s="4"/>
      <c r="CC6295" s="4"/>
      <c r="CD6295" s="4"/>
      <c r="CF6295" s="4"/>
    </row>
    <row r="6296" spans="66:84">
      <c r="BN6296" s="4"/>
      <c r="BO6296" s="4"/>
      <c r="BQ6296" s="4"/>
      <c r="CC6296" s="4"/>
      <c r="CD6296" s="4"/>
      <c r="CF6296" s="4"/>
    </row>
    <row r="6297" spans="66:84">
      <c r="BN6297" s="4"/>
      <c r="BO6297" s="4"/>
      <c r="BQ6297" s="4"/>
      <c r="CC6297" s="4"/>
      <c r="CD6297" s="4"/>
      <c r="CF6297" s="4"/>
    </row>
    <row r="6298" spans="66:84">
      <c r="BN6298" s="4"/>
      <c r="BO6298" s="4"/>
      <c r="BQ6298" s="4"/>
      <c r="CC6298" s="4"/>
      <c r="CD6298" s="4"/>
      <c r="CF6298" s="4"/>
    </row>
    <row r="6299" spans="66:84">
      <c r="BN6299" s="4"/>
      <c r="BO6299" s="4"/>
      <c r="BQ6299" s="4"/>
      <c r="CC6299" s="4"/>
      <c r="CD6299" s="4"/>
      <c r="CF6299" s="4"/>
    </row>
    <row r="6300" spans="66:84">
      <c r="BN6300" s="4"/>
      <c r="BO6300" s="4"/>
      <c r="BQ6300" s="4"/>
      <c r="CC6300" s="4"/>
      <c r="CD6300" s="4"/>
      <c r="CF6300" s="4"/>
    </row>
    <row r="6301" spans="66:84">
      <c r="BN6301" s="4"/>
      <c r="BO6301" s="4"/>
      <c r="BQ6301" s="4"/>
      <c r="CC6301" s="4"/>
      <c r="CD6301" s="4"/>
      <c r="CF6301" s="4"/>
    </row>
    <row r="6302" spans="66:84">
      <c r="BN6302" s="4"/>
      <c r="BO6302" s="4"/>
      <c r="BQ6302" s="4"/>
      <c r="CC6302" s="4"/>
      <c r="CD6302" s="4"/>
      <c r="CF6302" s="4"/>
    </row>
    <row r="6303" spans="66:84">
      <c r="BN6303" s="4"/>
      <c r="BO6303" s="4"/>
      <c r="BQ6303" s="4"/>
      <c r="CC6303" s="4"/>
      <c r="CD6303" s="4"/>
      <c r="CF6303" s="4"/>
    </row>
    <row r="6304" spans="66:84">
      <c r="BN6304" s="4"/>
      <c r="BO6304" s="4"/>
      <c r="BQ6304" s="4"/>
      <c r="CC6304" s="4"/>
      <c r="CD6304" s="4"/>
      <c r="CF6304" s="4"/>
    </row>
    <row r="6305" spans="66:84">
      <c r="BN6305" s="4"/>
      <c r="BO6305" s="4"/>
      <c r="BQ6305" s="4"/>
      <c r="CC6305" s="4"/>
      <c r="CD6305" s="4"/>
      <c r="CF6305" s="4"/>
    </row>
    <row r="6306" spans="66:84">
      <c r="BN6306" s="4"/>
      <c r="BO6306" s="4"/>
      <c r="BQ6306" s="4"/>
      <c r="CC6306" s="4"/>
      <c r="CD6306" s="4"/>
      <c r="CF6306" s="4"/>
    </row>
    <row r="6307" spans="66:84">
      <c r="BN6307" s="4"/>
      <c r="BO6307" s="4"/>
      <c r="BQ6307" s="4"/>
      <c r="CC6307" s="4"/>
      <c r="CD6307" s="4"/>
      <c r="CF6307" s="4"/>
    </row>
    <row r="6308" spans="66:84">
      <c r="BN6308" s="4"/>
      <c r="BO6308" s="4"/>
      <c r="BQ6308" s="4"/>
      <c r="CC6308" s="4"/>
      <c r="CD6308" s="4"/>
      <c r="CF6308" s="4"/>
    </row>
    <row r="6309" spans="66:84">
      <c r="BN6309" s="4"/>
      <c r="BO6309" s="4"/>
      <c r="BQ6309" s="4"/>
      <c r="CC6309" s="4"/>
      <c r="CD6309" s="4"/>
      <c r="CF6309" s="4"/>
    </row>
    <row r="6310" spans="66:84">
      <c r="BN6310" s="4"/>
      <c r="BO6310" s="4"/>
      <c r="BQ6310" s="4"/>
      <c r="CC6310" s="4"/>
      <c r="CD6310" s="4"/>
      <c r="CF6310" s="4"/>
    </row>
    <row r="6311" spans="66:84">
      <c r="BN6311" s="4"/>
      <c r="BO6311" s="4"/>
      <c r="BQ6311" s="4"/>
      <c r="CC6311" s="4"/>
      <c r="CD6311" s="4"/>
      <c r="CF6311" s="4"/>
    </row>
    <row r="6312" spans="66:84">
      <c r="BN6312" s="4"/>
      <c r="BO6312" s="4"/>
      <c r="BQ6312" s="4"/>
      <c r="CC6312" s="4"/>
      <c r="CD6312" s="4"/>
      <c r="CF6312" s="4"/>
    </row>
    <row r="6313" spans="66:84">
      <c r="BN6313" s="4"/>
      <c r="BO6313" s="4"/>
      <c r="BQ6313" s="4"/>
      <c r="CC6313" s="4"/>
      <c r="CD6313" s="4"/>
      <c r="CF6313" s="4"/>
    </row>
    <row r="6314" spans="66:84">
      <c r="BN6314" s="4"/>
      <c r="BO6314" s="4"/>
      <c r="BQ6314" s="4"/>
      <c r="CC6314" s="4"/>
      <c r="CD6314" s="4"/>
      <c r="CF6314" s="4"/>
    </row>
    <row r="6315" spans="66:84">
      <c r="BN6315" s="4"/>
      <c r="BO6315" s="4"/>
      <c r="BQ6315" s="4"/>
      <c r="CC6315" s="4"/>
      <c r="CD6315" s="4"/>
      <c r="CF6315" s="4"/>
    </row>
    <row r="6316" spans="66:84">
      <c r="BN6316" s="4"/>
      <c r="BO6316" s="4"/>
      <c r="BQ6316" s="4"/>
      <c r="CC6316" s="4"/>
      <c r="CD6316" s="4"/>
      <c r="CF6316" s="4"/>
    </row>
    <row r="6317" spans="66:84">
      <c r="BN6317" s="4"/>
      <c r="BO6317" s="4"/>
      <c r="BQ6317" s="4"/>
      <c r="CC6317" s="4"/>
      <c r="CD6317" s="4"/>
      <c r="CF6317" s="4"/>
    </row>
    <row r="6318" spans="66:84">
      <c r="BN6318" s="4"/>
      <c r="BO6318" s="4"/>
      <c r="BQ6318" s="4"/>
      <c r="CC6318" s="4"/>
      <c r="CD6318" s="4"/>
      <c r="CF6318" s="4"/>
    </row>
    <row r="6319" spans="66:84">
      <c r="BN6319" s="4"/>
      <c r="BO6319" s="4"/>
      <c r="BQ6319" s="4"/>
      <c r="CC6319" s="4"/>
      <c r="CD6319" s="4"/>
      <c r="CF6319" s="4"/>
    </row>
    <row r="6320" spans="66:84">
      <c r="BN6320" s="4"/>
      <c r="BO6320" s="4"/>
      <c r="BQ6320" s="4"/>
      <c r="CC6320" s="4"/>
      <c r="CD6320" s="4"/>
      <c r="CF6320" s="4"/>
    </row>
    <row r="6321" spans="66:84">
      <c r="BN6321" s="4"/>
      <c r="BO6321" s="4"/>
      <c r="BQ6321" s="4"/>
      <c r="CC6321" s="4"/>
      <c r="CD6321" s="4"/>
      <c r="CF6321" s="4"/>
    </row>
    <row r="6322" spans="66:84">
      <c r="BN6322" s="4"/>
      <c r="BO6322" s="4"/>
      <c r="BQ6322" s="4"/>
      <c r="CC6322" s="4"/>
      <c r="CD6322" s="4"/>
      <c r="CF6322" s="4"/>
    </row>
    <row r="6323" spans="66:84">
      <c r="BN6323" s="4"/>
      <c r="BO6323" s="4"/>
      <c r="BQ6323" s="4"/>
      <c r="CC6323" s="4"/>
      <c r="CD6323" s="4"/>
      <c r="CF6323" s="4"/>
    </row>
    <row r="6324" spans="66:84">
      <c r="BN6324" s="4"/>
      <c r="BO6324" s="4"/>
      <c r="BQ6324" s="4"/>
      <c r="CC6324" s="4"/>
      <c r="CD6324" s="4"/>
      <c r="CF6324" s="4"/>
    </row>
    <row r="6325" spans="66:84">
      <c r="BN6325" s="4"/>
      <c r="BO6325" s="4"/>
      <c r="BQ6325" s="4"/>
      <c r="CC6325" s="4"/>
      <c r="CD6325" s="4"/>
      <c r="CF6325" s="4"/>
    </row>
    <row r="6326" spans="66:84">
      <c r="BN6326" s="4"/>
      <c r="BO6326" s="4"/>
      <c r="BQ6326" s="4"/>
      <c r="CC6326" s="4"/>
      <c r="CD6326" s="4"/>
      <c r="CF6326" s="4"/>
    </row>
    <row r="6327" spans="66:84">
      <c r="BN6327" s="4"/>
      <c r="BO6327" s="4"/>
      <c r="BQ6327" s="4"/>
      <c r="CC6327" s="4"/>
      <c r="CD6327" s="4"/>
      <c r="CF6327" s="4"/>
    </row>
    <row r="6328" spans="66:84">
      <c r="BN6328" s="4"/>
      <c r="BO6328" s="4"/>
      <c r="BQ6328" s="4"/>
      <c r="CC6328" s="4"/>
      <c r="CD6328" s="4"/>
      <c r="CF6328" s="4"/>
    </row>
    <row r="6329" spans="66:84">
      <c r="BN6329" s="4"/>
      <c r="BO6329" s="4"/>
      <c r="BQ6329" s="4"/>
      <c r="CC6329" s="4"/>
      <c r="CD6329" s="4"/>
      <c r="CF6329" s="4"/>
    </row>
    <row r="6330" spans="66:84">
      <c r="BN6330" s="4"/>
      <c r="BO6330" s="4"/>
      <c r="BQ6330" s="4"/>
      <c r="CC6330" s="4"/>
      <c r="CD6330" s="4"/>
      <c r="CF6330" s="4"/>
    </row>
    <row r="6331" spans="66:84">
      <c r="BN6331" s="4"/>
      <c r="BO6331" s="4"/>
      <c r="BQ6331" s="4"/>
      <c r="CC6331" s="4"/>
      <c r="CD6331" s="4"/>
      <c r="CF6331" s="4"/>
    </row>
    <row r="6332" spans="66:84">
      <c r="BN6332" s="4"/>
      <c r="BO6332" s="4"/>
      <c r="BQ6332" s="4"/>
      <c r="CC6332" s="4"/>
      <c r="CD6332" s="4"/>
      <c r="CF6332" s="4"/>
    </row>
    <row r="6333" spans="66:84">
      <c r="BN6333" s="4"/>
      <c r="BO6333" s="4"/>
      <c r="BQ6333" s="4"/>
      <c r="CC6333" s="4"/>
      <c r="CD6333" s="4"/>
      <c r="CF6333" s="4"/>
    </row>
    <row r="6334" spans="66:84">
      <c r="BN6334" s="4"/>
      <c r="BO6334" s="4"/>
      <c r="BQ6334" s="4"/>
      <c r="CC6334" s="4"/>
      <c r="CD6334" s="4"/>
      <c r="CF6334" s="4"/>
    </row>
    <row r="6335" spans="66:84">
      <c r="BN6335" s="4"/>
      <c r="BO6335" s="4"/>
      <c r="BQ6335" s="4"/>
      <c r="CC6335" s="4"/>
      <c r="CD6335" s="4"/>
      <c r="CF6335" s="4"/>
    </row>
    <row r="6336" spans="66:84">
      <c r="BN6336" s="4"/>
      <c r="BO6336" s="4"/>
      <c r="BQ6336" s="4"/>
      <c r="CC6336" s="4"/>
      <c r="CD6336" s="4"/>
      <c r="CF6336" s="4"/>
    </row>
    <row r="6337" spans="66:84">
      <c r="BN6337" s="4"/>
      <c r="BO6337" s="4"/>
      <c r="BQ6337" s="4"/>
      <c r="CC6337" s="4"/>
      <c r="CD6337" s="4"/>
      <c r="CF6337" s="4"/>
    </row>
    <row r="6338" spans="66:84">
      <c r="BN6338" s="4"/>
      <c r="BO6338" s="4"/>
      <c r="BQ6338" s="4"/>
      <c r="CC6338" s="4"/>
      <c r="CD6338" s="4"/>
      <c r="CF6338" s="4"/>
    </row>
    <row r="6339" spans="66:84">
      <c r="BN6339" s="4"/>
      <c r="BO6339" s="4"/>
      <c r="BQ6339" s="4"/>
      <c r="CC6339" s="4"/>
      <c r="CD6339" s="4"/>
      <c r="CF6339" s="4"/>
    </row>
    <row r="6340" spans="66:84">
      <c r="BN6340" s="4"/>
      <c r="BO6340" s="4"/>
      <c r="BQ6340" s="4"/>
      <c r="CC6340" s="4"/>
      <c r="CD6340" s="4"/>
      <c r="CF6340" s="4"/>
    </row>
    <row r="6341" spans="66:84">
      <c r="BN6341" s="4"/>
      <c r="BO6341" s="4"/>
      <c r="BQ6341" s="4"/>
      <c r="CC6341" s="4"/>
      <c r="CD6341" s="4"/>
      <c r="CF6341" s="4"/>
    </row>
    <row r="6342" spans="66:84">
      <c r="BN6342" s="4"/>
      <c r="BO6342" s="4"/>
      <c r="BQ6342" s="4"/>
      <c r="CC6342" s="4"/>
      <c r="CD6342" s="4"/>
      <c r="CF6342" s="4"/>
    </row>
    <row r="6343" spans="66:84">
      <c r="BN6343" s="4"/>
      <c r="BO6343" s="4"/>
      <c r="BQ6343" s="4"/>
      <c r="CC6343" s="4"/>
      <c r="CD6343" s="4"/>
      <c r="CF6343" s="4"/>
    </row>
    <row r="6344" spans="66:84">
      <c r="BN6344" s="4"/>
      <c r="BO6344" s="4"/>
      <c r="BQ6344" s="4"/>
      <c r="CC6344" s="4"/>
      <c r="CD6344" s="4"/>
      <c r="CF6344" s="4"/>
    </row>
    <row r="6345" spans="66:84">
      <c r="BN6345" s="4"/>
      <c r="BO6345" s="4"/>
      <c r="BQ6345" s="4"/>
      <c r="CC6345" s="4"/>
      <c r="CD6345" s="4"/>
      <c r="CF6345" s="4"/>
    </row>
    <row r="6346" spans="66:84">
      <c r="BN6346" s="4"/>
      <c r="BO6346" s="4"/>
      <c r="BQ6346" s="4"/>
      <c r="CC6346" s="4"/>
      <c r="CD6346" s="4"/>
      <c r="CF6346" s="4"/>
    </row>
    <row r="6347" spans="66:84">
      <c r="BN6347" s="4"/>
      <c r="BO6347" s="4"/>
      <c r="BQ6347" s="4"/>
      <c r="CC6347" s="4"/>
      <c r="CD6347" s="4"/>
      <c r="CF6347" s="4"/>
    </row>
    <row r="6348" spans="66:84">
      <c r="BN6348" s="4"/>
      <c r="BO6348" s="4"/>
      <c r="BQ6348" s="4"/>
      <c r="CC6348" s="4"/>
      <c r="CD6348" s="4"/>
      <c r="CF6348" s="4"/>
    </row>
    <row r="6349" spans="66:84">
      <c r="BN6349" s="4"/>
      <c r="BO6349" s="4"/>
      <c r="BQ6349" s="4"/>
      <c r="CC6349" s="4"/>
      <c r="CD6349" s="4"/>
      <c r="CF6349" s="4"/>
    </row>
    <row r="6350" spans="66:84">
      <c r="BN6350" s="4"/>
      <c r="BO6350" s="4"/>
      <c r="BQ6350" s="4"/>
      <c r="CC6350" s="4"/>
      <c r="CD6350" s="4"/>
      <c r="CF6350" s="4"/>
    </row>
    <row r="6351" spans="66:84">
      <c r="BN6351" s="4"/>
      <c r="BO6351" s="4"/>
      <c r="BQ6351" s="4"/>
      <c r="CC6351" s="4"/>
      <c r="CD6351" s="4"/>
      <c r="CF6351" s="4"/>
    </row>
    <row r="6352" spans="66:84">
      <c r="BN6352" s="4"/>
      <c r="BO6352" s="4"/>
      <c r="BQ6352" s="4"/>
      <c r="CC6352" s="4"/>
      <c r="CD6352" s="4"/>
      <c r="CF6352" s="4"/>
    </row>
    <row r="6353" spans="66:84">
      <c r="BN6353" s="4"/>
      <c r="BO6353" s="4"/>
      <c r="BQ6353" s="4"/>
      <c r="CC6353" s="4"/>
      <c r="CD6353" s="4"/>
      <c r="CF6353" s="4"/>
    </row>
    <row r="6354" spans="66:84">
      <c r="BN6354" s="4"/>
      <c r="BO6354" s="4"/>
      <c r="BQ6354" s="4"/>
      <c r="CC6354" s="4"/>
      <c r="CD6354" s="4"/>
      <c r="CF6354" s="4"/>
    </row>
    <row r="6355" spans="66:84">
      <c r="BN6355" s="4"/>
      <c r="BO6355" s="4"/>
      <c r="BQ6355" s="4"/>
      <c r="CC6355" s="4"/>
      <c r="CD6355" s="4"/>
      <c r="CF6355" s="4"/>
    </row>
    <row r="6356" spans="66:84">
      <c r="BN6356" s="4"/>
      <c r="BO6356" s="4"/>
      <c r="BQ6356" s="4"/>
      <c r="CC6356" s="4"/>
      <c r="CD6356" s="4"/>
      <c r="CF6356" s="4"/>
    </row>
    <row r="6357" spans="66:84">
      <c r="BN6357" s="4"/>
      <c r="BO6357" s="4"/>
      <c r="BQ6357" s="4"/>
      <c r="CC6357" s="4"/>
      <c r="CD6357" s="4"/>
      <c r="CF6357" s="4"/>
    </row>
    <row r="6358" spans="66:84">
      <c r="BN6358" s="4"/>
      <c r="BO6358" s="4"/>
      <c r="BQ6358" s="4"/>
      <c r="CC6358" s="4"/>
      <c r="CD6358" s="4"/>
      <c r="CF6358" s="4"/>
    </row>
    <row r="6359" spans="66:84">
      <c r="BN6359" s="4"/>
      <c r="BO6359" s="4"/>
      <c r="BQ6359" s="4"/>
      <c r="CC6359" s="4"/>
      <c r="CD6359" s="4"/>
      <c r="CF6359" s="4"/>
    </row>
    <row r="6360" spans="66:84">
      <c r="BN6360" s="4"/>
      <c r="BO6360" s="4"/>
      <c r="BQ6360" s="4"/>
      <c r="CC6360" s="4"/>
      <c r="CD6360" s="4"/>
      <c r="CF6360" s="4"/>
    </row>
    <row r="6361" spans="66:84">
      <c r="BN6361" s="4"/>
      <c r="BO6361" s="4"/>
      <c r="BQ6361" s="4"/>
      <c r="CC6361" s="4"/>
      <c r="CD6361" s="4"/>
      <c r="CF6361" s="4"/>
    </row>
    <row r="6362" spans="66:84">
      <c r="BN6362" s="4"/>
      <c r="BO6362" s="4"/>
      <c r="BQ6362" s="4"/>
      <c r="CC6362" s="4"/>
      <c r="CD6362" s="4"/>
      <c r="CF6362" s="4"/>
    </row>
    <row r="6363" spans="66:84">
      <c r="BN6363" s="4"/>
      <c r="BO6363" s="4"/>
      <c r="BQ6363" s="4"/>
      <c r="CC6363" s="4"/>
      <c r="CD6363" s="4"/>
      <c r="CF6363" s="4"/>
    </row>
    <row r="6364" spans="66:84">
      <c r="BN6364" s="4"/>
      <c r="BO6364" s="4"/>
      <c r="BQ6364" s="4"/>
      <c r="CC6364" s="4"/>
      <c r="CD6364" s="4"/>
      <c r="CF6364" s="4"/>
    </row>
    <row r="6365" spans="66:84">
      <c r="BN6365" s="4"/>
      <c r="BO6365" s="4"/>
      <c r="BQ6365" s="4"/>
      <c r="CC6365" s="4"/>
      <c r="CD6365" s="4"/>
      <c r="CF6365" s="4"/>
    </row>
    <row r="6366" spans="66:84">
      <c r="BN6366" s="4"/>
      <c r="BO6366" s="4"/>
      <c r="BQ6366" s="4"/>
      <c r="CC6366" s="4"/>
      <c r="CD6366" s="4"/>
      <c r="CF6366" s="4"/>
    </row>
    <row r="6367" spans="66:84">
      <c r="BN6367" s="4"/>
      <c r="BO6367" s="4"/>
      <c r="BQ6367" s="4"/>
      <c r="CC6367" s="4"/>
      <c r="CD6367" s="4"/>
      <c r="CF6367" s="4"/>
    </row>
    <row r="6368" spans="66:84">
      <c r="BN6368" s="4"/>
      <c r="BO6368" s="4"/>
      <c r="BQ6368" s="4"/>
      <c r="CC6368" s="4"/>
      <c r="CD6368" s="4"/>
      <c r="CF6368" s="4"/>
    </row>
    <row r="6369" spans="66:84">
      <c r="BN6369" s="4"/>
      <c r="BO6369" s="4"/>
      <c r="BQ6369" s="4"/>
      <c r="CC6369" s="4"/>
      <c r="CD6369" s="4"/>
      <c r="CF6369" s="4"/>
    </row>
    <row r="6370" spans="66:84">
      <c r="BN6370" s="4"/>
      <c r="BO6370" s="4"/>
      <c r="BQ6370" s="4"/>
      <c r="CC6370" s="4"/>
      <c r="CD6370" s="4"/>
      <c r="CF6370" s="4"/>
    </row>
    <row r="6371" spans="66:84">
      <c r="BN6371" s="4"/>
      <c r="BO6371" s="4"/>
      <c r="BQ6371" s="4"/>
      <c r="CC6371" s="4"/>
      <c r="CD6371" s="4"/>
      <c r="CF6371" s="4"/>
    </row>
    <row r="6372" spans="66:84">
      <c r="BN6372" s="4"/>
      <c r="BO6372" s="4"/>
      <c r="BQ6372" s="4"/>
      <c r="CC6372" s="4"/>
      <c r="CD6372" s="4"/>
      <c r="CF6372" s="4"/>
    </row>
    <row r="6373" spans="66:84">
      <c r="BN6373" s="4"/>
      <c r="BO6373" s="4"/>
      <c r="BQ6373" s="4"/>
      <c r="CC6373" s="4"/>
      <c r="CD6373" s="4"/>
      <c r="CF6373" s="4"/>
    </row>
    <row r="6374" spans="66:84">
      <c r="BN6374" s="4"/>
      <c r="BO6374" s="4"/>
      <c r="BQ6374" s="4"/>
      <c r="CC6374" s="4"/>
      <c r="CD6374" s="4"/>
      <c r="CF6374" s="4"/>
    </row>
    <row r="6375" spans="66:84">
      <c r="BN6375" s="4"/>
      <c r="BO6375" s="4"/>
      <c r="BQ6375" s="4"/>
      <c r="CC6375" s="4"/>
      <c r="CD6375" s="4"/>
      <c r="CF6375" s="4"/>
    </row>
    <row r="6376" spans="66:84">
      <c r="BN6376" s="4"/>
      <c r="BO6376" s="4"/>
      <c r="BQ6376" s="4"/>
      <c r="CC6376" s="4"/>
      <c r="CD6376" s="4"/>
      <c r="CF6376" s="4"/>
    </row>
    <row r="6377" spans="66:84">
      <c r="BN6377" s="4"/>
      <c r="BO6377" s="4"/>
      <c r="BQ6377" s="4"/>
      <c r="CC6377" s="4"/>
      <c r="CD6377" s="4"/>
      <c r="CF6377" s="4"/>
    </row>
    <row r="6378" spans="66:84">
      <c r="BN6378" s="4"/>
      <c r="BO6378" s="4"/>
      <c r="BQ6378" s="4"/>
      <c r="CC6378" s="4"/>
      <c r="CD6378" s="4"/>
      <c r="CF6378" s="4"/>
    </row>
    <row r="6379" spans="66:84">
      <c r="BN6379" s="4"/>
      <c r="BO6379" s="4"/>
      <c r="BQ6379" s="4"/>
      <c r="CC6379" s="4"/>
      <c r="CD6379" s="4"/>
      <c r="CF6379" s="4"/>
    </row>
    <row r="6380" spans="66:84">
      <c r="BN6380" s="4"/>
      <c r="BO6380" s="4"/>
      <c r="BQ6380" s="4"/>
      <c r="CC6380" s="4"/>
      <c r="CD6380" s="4"/>
      <c r="CF6380" s="4"/>
    </row>
    <row r="6381" spans="66:84">
      <c r="BN6381" s="4"/>
      <c r="BO6381" s="4"/>
      <c r="BQ6381" s="4"/>
      <c r="CC6381" s="4"/>
      <c r="CD6381" s="4"/>
      <c r="CF6381" s="4"/>
    </row>
    <row r="6382" spans="66:84">
      <c r="BN6382" s="4"/>
      <c r="BO6382" s="4"/>
      <c r="BQ6382" s="4"/>
      <c r="CC6382" s="4"/>
      <c r="CD6382" s="4"/>
      <c r="CF6382" s="4"/>
    </row>
    <row r="6383" spans="66:84">
      <c r="BN6383" s="4"/>
      <c r="BO6383" s="4"/>
      <c r="BQ6383" s="4"/>
      <c r="CC6383" s="4"/>
      <c r="CD6383" s="4"/>
      <c r="CF6383" s="4"/>
    </row>
    <row r="6384" spans="66:84">
      <c r="BN6384" s="4"/>
      <c r="BO6384" s="4"/>
      <c r="BQ6384" s="4"/>
      <c r="CC6384" s="4"/>
      <c r="CD6384" s="4"/>
      <c r="CF6384" s="4"/>
    </row>
    <row r="6385" spans="66:84">
      <c r="BN6385" s="4"/>
      <c r="BO6385" s="4"/>
      <c r="BQ6385" s="4"/>
      <c r="CC6385" s="4"/>
      <c r="CD6385" s="4"/>
      <c r="CF6385" s="4"/>
    </row>
    <row r="6386" spans="66:84">
      <c r="BN6386" s="4"/>
      <c r="BO6386" s="4"/>
      <c r="BQ6386" s="4"/>
      <c r="CC6386" s="4"/>
      <c r="CD6386" s="4"/>
      <c r="CF6386" s="4"/>
    </row>
    <row r="6387" spans="66:84">
      <c r="BN6387" s="4"/>
      <c r="BO6387" s="4"/>
      <c r="BQ6387" s="4"/>
      <c r="CC6387" s="4"/>
      <c r="CD6387" s="4"/>
      <c r="CF6387" s="4"/>
    </row>
    <row r="6388" spans="66:84">
      <c r="BN6388" s="4"/>
      <c r="BO6388" s="4"/>
      <c r="BQ6388" s="4"/>
      <c r="CC6388" s="4"/>
      <c r="CD6388" s="4"/>
      <c r="CF6388" s="4"/>
    </row>
    <row r="6389" spans="66:84">
      <c r="BN6389" s="4"/>
      <c r="BO6389" s="4"/>
      <c r="BQ6389" s="4"/>
      <c r="CC6389" s="4"/>
      <c r="CD6389" s="4"/>
      <c r="CF6389" s="4"/>
    </row>
    <row r="6390" spans="66:84">
      <c r="BN6390" s="4"/>
      <c r="BO6390" s="4"/>
      <c r="BQ6390" s="4"/>
      <c r="CC6390" s="4"/>
      <c r="CD6390" s="4"/>
      <c r="CF6390" s="4"/>
    </row>
    <row r="6391" spans="66:84">
      <c r="BN6391" s="4"/>
      <c r="BO6391" s="4"/>
      <c r="BQ6391" s="4"/>
      <c r="CC6391" s="4"/>
      <c r="CD6391" s="4"/>
      <c r="CF6391" s="4"/>
    </row>
    <row r="6392" spans="66:84">
      <c r="BN6392" s="4"/>
      <c r="BO6392" s="4"/>
      <c r="BQ6392" s="4"/>
      <c r="CC6392" s="4"/>
      <c r="CD6392" s="4"/>
      <c r="CF6392" s="4"/>
    </row>
    <row r="6393" spans="66:84">
      <c r="BN6393" s="4"/>
      <c r="BO6393" s="4"/>
      <c r="BQ6393" s="4"/>
      <c r="CC6393" s="4"/>
      <c r="CD6393" s="4"/>
      <c r="CF6393" s="4"/>
    </row>
    <row r="6394" spans="66:84">
      <c r="BN6394" s="4"/>
      <c r="BO6394" s="4"/>
      <c r="BQ6394" s="4"/>
      <c r="CC6394" s="4"/>
      <c r="CD6394" s="4"/>
      <c r="CF6394" s="4"/>
    </row>
    <row r="6395" spans="66:84">
      <c r="BN6395" s="4"/>
      <c r="BO6395" s="4"/>
      <c r="BQ6395" s="4"/>
      <c r="CC6395" s="4"/>
      <c r="CD6395" s="4"/>
      <c r="CF6395" s="4"/>
    </row>
    <row r="6396" spans="66:84">
      <c r="BN6396" s="4"/>
      <c r="BO6396" s="4"/>
      <c r="BQ6396" s="4"/>
      <c r="CC6396" s="4"/>
      <c r="CD6396" s="4"/>
      <c r="CF6396" s="4"/>
    </row>
    <row r="6397" spans="66:84">
      <c r="BN6397" s="4"/>
      <c r="BO6397" s="4"/>
      <c r="BQ6397" s="4"/>
      <c r="CC6397" s="4"/>
      <c r="CD6397" s="4"/>
      <c r="CF6397" s="4"/>
    </row>
    <row r="6398" spans="66:84">
      <c r="BN6398" s="4"/>
      <c r="BO6398" s="4"/>
      <c r="BQ6398" s="4"/>
      <c r="CC6398" s="4"/>
      <c r="CD6398" s="4"/>
      <c r="CF6398" s="4"/>
    </row>
    <row r="6399" spans="66:84">
      <c r="BN6399" s="4"/>
      <c r="BO6399" s="4"/>
      <c r="BQ6399" s="4"/>
      <c r="CC6399" s="4"/>
      <c r="CD6399" s="4"/>
      <c r="CF6399" s="4"/>
    </row>
    <row r="6400" spans="66:84">
      <c r="BN6400" s="4"/>
      <c r="BO6400" s="4"/>
      <c r="BQ6400" s="4"/>
      <c r="CC6400" s="4"/>
      <c r="CD6400" s="4"/>
      <c r="CF6400" s="4"/>
    </row>
    <row r="6401" spans="66:84">
      <c r="BN6401" s="4"/>
      <c r="BO6401" s="4"/>
      <c r="BQ6401" s="4"/>
      <c r="CC6401" s="4"/>
      <c r="CD6401" s="4"/>
      <c r="CF6401" s="4"/>
    </row>
    <row r="6402" spans="66:84">
      <c r="BN6402" s="4"/>
      <c r="BO6402" s="4"/>
      <c r="BQ6402" s="4"/>
      <c r="CC6402" s="4"/>
      <c r="CD6402" s="4"/>
      <c r="CF6402" s="4"/>
    </row>
    <row r="6403" spans="66:84">
      <c r="BN6403" s="4"/>
      <c r="BO6403" s="4"/>
      <c r="BQ6403" s="4"/>
      <c r="CC6403" s="4"/>
      <c r="CD6403" s="4"/>
      <c r="CF6403" s="4"/>
    </row>
    <row r="6404" spans="66:84">
      <c r="BN6404" s="4"/>
      <c r="BO6404" s="4"/>
      <c r="BQ6404" s="4"/>
      <c r="CC6404" s="4"/>
      <c r="CD6404" s="4"/>
      <c r="CF6404" s="4"/>
    </row>
    <row r="6405" spans="66:84">
      <c r="BN6405" s="4"/>
      <c r="BO6405" s="4"/>
      <c r="BQ6405" s="4"/>
      <c r="CC6405" s="4"/>
      <c r="CD6405" s="4"/>
      <c r="CF6405" s="4"/>
    </row>
    <row r="6406" spans="66:84">
      <c r="BN6406" s="4"/>
      <c r="BO6406" s="4"/>
      <c r="BQ6406" s="4"/>
      <c r="CC6406" s="4"/>
      <c r="CD6406" s="4"/>
      <c r="CF6406" s="4"/>
    </row>
    <row r="6407" spans="66:84">
      <c r="BN6407" s="4"/>
      <c r="BO6407" s="4"/>
      <c r="BQ6407" s="4"/>
      <c r="CC6407" s="4"/>
      <c r="CD6407" s="4"/>
      <c r="CF6407" s="4"/>
    </row>
    <row r="6408" spans="66:84">
      <c r="BN6408" s="4"/>
      <c r="BO6408" s="4"/>
      <c r="BQ6408" s="4"/>
      <c r="CC6408" s="4"/>
      <c r="CD6408" s="4"/>
      <c r="CF6408" s="4"/>
    </row>
    <row r="6409" spans="66:84">
      <c r="BN6409" s="4"/>
      <c r="BO6409" s="4"/>
      <c r="BQ6409" s="4"/>
      <c r="CC6409" s="4"/>
      <c r="CD6409" s="4"/>
      <c r="CF6409" s="4"/>
    </row>
    <row r="6410" spans="66:84">
      <c r="BN6410" s="4"/>
      <c r="BO6410" s="4"/>
      <c r="BQ6410" s="4"/>
      <c r="CC6410" s="4"/>
      <c r="CD6410" s="4"/>
      <c r="CF6410" s="4"/>
    </row>
    <row r="6411" spans="66:84">
      <c r="BN6411" s="4"/>
      <c r="BO6411" s="4"/>
      <c r="BQ6411" s="4"/>
      <c r="CC6411" s="4"/>
      <c r="CD6411" s="4"/>
      <c r="CF6411" s="4"/>
    </row>
    <row r="6412" spans="66:84">
      <c r="BN6412" s="4"/>
      <c r="BO6412" s="4"/>
      <c r="BQ6412" s="4"/>
      <c r="CC6412" s="4"/>
      <c r="CD6412" s="4"/>
      <c r="CF6412" s="4"/>
    </row>
    <row r="6413" spans="66:84">
      <c r="BN6413" s="4"/>
      <c r="BO6413" s="4"/>
      <c r="BQ6413" s="4"/>
      <c r="CC6413" s="4"/>
      <c r="CD6413" s="4"/>
      <c r="CF6413" s="4"/>
    </row>
    <row r="6414" spans="66:84">
      <c r="BN6414" s="4"/>
      <c r="BO6414" s="4"/>
      <c r="BQ6414" s="4"/>
      <c r="CC6414" s="4"/>
      <c r="CD6414" s="4"/>
      <c r="CF6414" s="4"/>
    </row>
    <row r="6415" spans="66:84">
      <c r="BN6415" s="4"/>
      <c r="BO6415" s="4"/>
      <c r="BQ6415" s="4"/>
      <c r="CC6415" s="4"/>
      <c r="CD6415" s="4"/>
      <c r="CF6415" s="4"/>
    </row>
    <row r="6416" spans="66:84">
      <c r="BN6416" s="4"/>
      <c r="BO6416" s="4"/>
      <c r="BQ6416" s="4"/>
      <c r="CC6416" s="4"/>
      <c r="CD6416" s="4"/>
      <c r="CF6416" s="4"/>
    </row>
    <row r="6417" spans="66:84">
      <c r="BN6417" s="4"/>
      <c r="BO6417" s="4"/>
      <c r="BQ6417" s="4"/>
      <c r="CC6417" s="4"/>
      <c r="CD6417" s="4"/>
      <c r="CF6417" s="4"/>
    </row>
    <row r="6418" spans="66:84">
      <c r="BN6418" s="4"/>
      <c r="BO6418" s="4"/>
      <c r="BQ6418" s="4"/>
      <c r="CC6418" s="4"/>
      <c r="CD6418" s="4"/>
      <c r="CF6418" s="4"/>
    </row>
    <row r="6419" spans="66:84">
      <c r="BN6419" s="4"/>
      <c r="BO6419" s="4"/>
      <c r="BQ6419" s="4"/>
      <c r="CC6419" s="4"/>
      <c r="CD6419" s="4"/>
      <c r="CF6419" s="4"/>
    </row>
    <row r="6420" spans="66:84">
      <c r="BN6420" s="4"/>
      <c r="BO6420" s="4"/>
      <c r="BQ6420" s="4"/>
      <c r="CC6420" s="4"/>
      <c r="CD6420" s="4"/>
      <c r="CF6420" s="4"/>
    </row>
    <row r="6421" spans="66:84">
      <c r="BN6421" s="4"/>
      <c r="BO6421" s="4"/>
      <c r="BQ6421" s="4"/>
      <c r="CC6421" s="4"/>
      <c r="CD6421" s="4"/>
      <c r="CF6421" s="4"/>
    </row>
    <row r="6422" spans="66:84">
      <c r="BN6422" s="4"/>
      <c r="BO6422" s="4"/>
      <c r="BQ6422" s="4"/>
      <c r="CC6422" s="4"/>
      <c r="CD6422" s="4"/>
      <c r="CF6422" s="4"/>
    </row>
    <row r="6423" spans="66:84">
      <c r="BN6423" s="4"/>
      <c r="BO6423" s="4"/>
      <c r="BQ6423" s="4"/>
      <c r="CC6423" s="4"/>
      <c r="CD6423" s="4"/>
      <c r="CF6423" s="4"/>
    </row>
    <row r="6424" spans="66:84">
      <c r="BN6424" s="4"/>
      <c r="BO6424" s="4"/>
      <c r="BQ6424" s="4"/>
      <c r="CC6424" s="4"/>
      <c r="CD6424" s="4"/>
      <c r="CF6424" s="4"/>
    </row>
    <row r="6425" spans="66:84">
      <c r="BN6425" s="4"/>
      <c r="BO6425" s="4"/>
      <c r="BQ6425" s="4"/>
      <c r="CC6425" s="4"/>
      <c r="CD6425" s="4"/>
      <c r="CF6425" s="4"/>
    </row>
    <row r="6426" spans="66:84">
      <c r="BN6426" s="4"/>
      <c r="BO6426" s="4"/>
      <c r="BQ6426" s="4"/>
      <c r="CC6426" s="4"/>
      <c r="CD6426" s="4"/>
      <c r="CF6426" s="4"/>
    </row>
    <row r="6427" spans="66:84">
      <c r="BN6427" s="4"/>
      <c r="BO6427" s="4"/>
      <c r="BQ6427" s="4"/>
      <c r="CC6427" s="4"/>
      <c r="CD6427" s="4"/>
      <c r="CF6427" s="4"/>
    </row>
    <row r="6428" spans="66:84">
      <c r="BN6428" s="4"/>
      <c r="BO6428" s="4"/>
      <c r="BQ6428" s="4"/>
      <c r="CC6428" s="4"/>
      <c r="CD6428" s="4"/>
      <c r="CF6428" s="4"/>
    </row>
    <row r="6429" spans="66:84">
      <c r="BN6429" s="4"/>
      <c r="BO6429" s="4"/>
      <c r="BQ6429" s="4"/>
      <c r="CC6429" s="4"/>
      <c r="CD6429" s="4"/>
      <c r="CF6429" s="4"/>
    </row>
    <row r="6430" spans="66:84">
      <c r="BN6430" s="4"/>
      <c r="BO6430" s="4"/>
      <c r="BQ6430" s="4"/>
      <c r="CC6430" s="4"/>
      <c r="CD6430" s="4"/>
      <c r="CF6430" s="4"/>
    </row>
    <row r="6431" spans="66:84">
      <c r="BN6431" s="4"/>
      <c r="BO6431" s="4"/>
      <c r="BQ6431" s="4"/>
      <c r="CC6431" s="4"/>
      <c r="CD6431" s="4"/>
      <c r="CF6431" s="4"/>
    </row>
    <row r="6432" spans="66:84">
      <c r="BN6432" s="4"/>
      <c r="BO6432" s="4"/>
      <c r="BQ6432" s="4"/>
      <c r="CC6432" s="4"/>
      <c r="CD6432" s="4"/>
      <c r="CF6432" s="4"/>
    </row>
    <row r="6433" spans="66:84">
      <c r="BN6433" s="4"/>
      <c r="BO6433" s="4"/>
      <c r="BQ6433" s="4"/>
      <c r="CC6433" s="4"/>
      <c r="CD6433" s="4"/>
      <c r="CF6433" s="4"/>
    </row>
    <row r="6434" spans="66:84">
      <c r="BN6434" s="4"/>
      <c r="BO6434" s="4"/>
      <c r="BQ6434" s="4"/>
      <c r="CC6434" s="4"/>
      <c r="CD6434" s="4"/>
      <c r="CF6434" s="4"/>
    </row>
    <row r="6435" spans="66:84">
      <c r="BN6435" s="4"/>
      <c r="BO6435" s="4"/>
      <c r="BQ6435" s="4"/>
      <c r="CC6435" s="4"/>
      <c r="CD6435" s="4"/>
      <c r="CF6435" s="4"/>
    </row>
    <row r="6436" spans="66:84">
      <c r="BN6436" s="4"/>
      <c r="BO6436" s="4"/>
      <c r="BQ6436" s="4"/>
      <c r="CC6436" s="4"/>
      <c r="CD6436" s="4"/>
      <c r="CF6436" s="4"/>
    </row>
    <row r="6437" spans="66:84">
      <c r="BN6437" s="4"/>
      <c r="BO6437" s="4"/>
      <c r="BQ6437" s="4"/>
      <c r="CC6437" s="4"/>
      <c r="CD6437" s="4"/>
      <c r="CF6437" s="4"/>
    </row>
    <row r="6438" spans="66:84">
      <c r="BN6438" s="4"/>
      <c r="BO6438" s="4"/>
      <c r="BQ6438" s="4"/>
      <c r="CC6438" s="4"/>
      <c r="CD6438" s="4"/>
      <c r="CF6438" s="4"/>
    </row>
    <row r="6439" spans="66:84">
      <c r="BN6439" s="4"/>
      <c r="BO6439" s="4"/>
      <c r="BQ6439" s="4"/>
      <c r="CC6439" s="4"/>
      <c r="CD6439" s="4"/>
      <c r="CF6439" s="4"/>
    </row>
    <row r="6440" spans="66:84">
      <c r="BN6440" s="4"/>
      <c r="BO6440" s="4"/>
      <c r="BQ6440" s="4"/>
      <c r="CC6440" s="4"/>
      <c r="CD6440" s="4"/>
      <c r="CF6440" s="4"/>
    </row>
    <row r="6441" spans="66:84">
      <c r="BN6441" s="4"/>
      <c r="BO6441" s="4"/>
      <c r="BQ6441" s="4"/>
      <c r="CC6441" s="4"/>
      <c r="CD6441" s="4"/>
      <c r="CF6441" s="4"/>
    </row>
    <row r="6442" spans="66:84">
      <c r="BN6442" s="4"/>
      <c r="BO6442" s="4"/>
      <c r="BQ6442" s="4"/>
      <c r="CC6442" s="4"/>
      <c r="CD6442" s="4"/>
      <c r="CF6442" s="4"/>
    </row>
    <row r="6443" spans="66:84">
      <c r="BN6443" s="4"/>
      <c r="BO6443" s="4"/>
      <c r="BQ6443" s="4"/>
      <c r="CC6443" s="4"/>
      <c r="CD6443" s="4"/>
      <c r="CF6443" s="4"/>
    </row>
    <row r="6444" spans="66:84">
      <c r="BN6444" s="4"/>
      <c r="BO6444" s="4"/>
      <c r="BQ6444" s="4"/>
      <c r="CC6444" s="4"/>
      <c r="CD6444" s="4"/>
      <c r="CF6444" s="4"/>
    </row>
    <row r="6445" spans="66:84">
      <c r="BN6445" s="4"/>
      <c r="BO6445" s="4"/>
      <c r="BQ6445" s="4"/>
      <c r="CC6445" s="4"/>
      <c r="CD6445" s="4"/>
      <c r="CF6445" s="4"/>
    </row>
    <row r="6446" spans="66:84">
      <c r="BN6446" s="4"/>
      <c r="BO6446" s="4"/>
      <c r="BQ6446" s="4"/>
      <c r="CC6446" s="4"/>
      <c r="CD6446" s="4"/>
      <c r="CF6446" s="4"/>
    </row>
    <row r="6447" spans="66:84">
      <c r="BN6447" s="4"/>
      <c r="BO6447" s="4"/>
      <c r="BQ6447" s="4"/>
      <c r="CC6447" s="4"/>
      <c r="CD6447" s="4"/>
      <c r="CF6447" s="4"/>
    </row>
    <row r="6448" spans="66:84">
      <c r="BN6448" s="4"/>
      <c r="BO6448" s="4"/>
      <c r="BQ6448" s="4"/>
      <c r="CC6448" s="4"/>
      <c r="CD6448" s="4"/>
      <c r="CF6448" s="4"/>
    </row>
    <row r="6449" spans="66:84">
      <c r="BN6449" s="4"/>
      <c r="BO6449" s="4"/>
      <c r="BQ6449" s="4"/>
      <c r="CC6449" s="4"/>
      <c r="CD6449" s="4"/>
      <c r="CF6449" s="4"/>
    </row>
    <row r="6450" spans="66:84">
      <c r="BN6450" s="4"/>
      <c r="BO6450" s="4"/>
      <c r="BQ6450" s="4"/>
      <c r="CC6450" s="4"/>
      <c r="CD6450" s="4"/>
      <c r="CF6450" s="4"/>
    </row>
    <row r="6451" spans="66:84">
      <c r="BN6451" s="4"/>
      <c r="BO6451" s="4"/>
      <c r="BQ6451" s="4"/>
      <c r="CC6451" s="4"/>
      <c r="CD6451" s="4"/>
      <c r="CF6451" s="4"/>
    </row>
    <row r="6452" spans="66:84">
      <c r="BN6452" s="4"/>
      <c r="BO6452" s="4"/>
      <c r="BQ6452" s="4"/>
      <c r="CC6452" s="4"/>
      <c r="CD6452" s="4"/>
      <c r="CF6452" s="4"/>
    </row>
    <row r="6453" spans="66:84">
      <c r="BN6453" s="4"/>
      <c r="BO6453" s="4"/>
      <c r="BQ6453" s="4"/>
      <c r="CC6453" s="4"/>
      <c r="CD6453" s="4"/>
      <c r="CF6453" s="4"/>
    </row>
    <row r="6454" spans="66:84">
      <c r="BN6454" s="4"/>
      <c r="BO6454" s="4"/>
      <c r="BQ6454" s="4"/>
      <c r="CC6454" s="4"/>
      <c r="CD6454" s="4"/>
      <c r="CF6454" s="4"/>
    </row>
    <row r="6455" spans="66:84">
      <c r="BN6455" s="4"/>
      <c r="BO6455" s="4"/>
      <c r="BQ6455" s="4"/>
      <c r="CC6455" s="4"/>
      <c r="CD6455" s="4"/>
      <c r="CF6455" s="4"/>
    </row>
    <row r="6456" spans="66:84">
      <c r="BN6456" s="4"/>
      <c r="BO6456" s="4"/>
      <c r="BQ6456" s="4"/>
      <c r="CC6456" s="4"/>
      <c r="CD6456" s="4"/>
      <c r="CF6456" s="4"/>
    </row>
    <row r="6457" spans="66:84">
      <c r="BN6457" s="4"/>
      <c r="BO6457" s="4"/>
      <c r="BQ6457" s="4"/>
      <c r="CC6457" s="4"/>
      <c r="CD6457" s="4"/>
      <c r="CF6457" s="4"/>
    </row>
    <row r="6458" spans="66:84">
      <c r="BN6458" s="4"/>
      <c r="BO6458" s="4"/>
      <c r="BQ6458" s="4"/>
      <c r="CC6458" s="4"/>
      <c r="CD6458" s="4"/>
      <c r="CF6458" s="4"/>
    </row>
    <row r="6459" spans="66:84">
      <c r="BN6459" s="4"/>
      <c r="BO6459" s="4"/>
      <c r="BQ6459" s="4"/>
      <c r="CC6459" s="4"/>
      <c r="CD6459" s="4"/>
      <c r="CF6459" s="4"/>
    </row>
    <row r="6460" spans="66:84">
      <c r="BN6460" s="4"/>
      <c r="BO6460" s="4"/>
      <c r="BQ6460" s="4"/>
      <c r="CC6460" s="4"/>
      <c r="CD6460" s="4"/>
      <c r="CF6460" s="4"/>
    </row>
    <row r="6461" spans="66:84">
      <c r="BN6461" s="4"/>
      <c r="BO6461" s="4"/>
      <c r="BQ6461" s="4"/>
      <c r="CC6461" s="4"/>
      <c r="CD6461" s="4"/>
      <c r="CF6461" s="4"/>
    </row>
    <row r="6462" spans="66:84">
      <c r="BN6462" s="4"/>
      <c r="BO6462" s="4"/>
      <c r="BQ6462" s="4"/>
      <c r="CC6462" s="4"/>
      <c r="CD6462" s="4"/>
      <c r="CF6462" s="4"/>
    </row>
    <row r="6463" spans="66:84">
      <c r="BN6463" s="4"/>
      <c r="BO6463" s="4"/>
      <c r="BQ6463" s="4"/>
      <c r="CC6463" s="4"/>
      <c r="CD6463" s="4"/>
      <c r="CF6463" s="4"/>
    </row>
    <row r="6464" spans="66:84">
      <c r="BN6464" s="4"/>
      <c r="BO6464" s="4"/>
      <c r="BQ6464" s="4"/>
      <c r="CC6464" s="4"/>
      <c r="CD6464" s="4"/>
      <c r="CF6464" s="4"/>
    </row>
    <row r="6465" spans="66:84">
      <c r="BN6465" s="4"/>
      <c r="BO6465" s="4"/>
      <c r="BQ6465" s="4"/>
      <c r="CC6465" s="4"/>
      <c r="CD6465" s="4"/>
      <c r="CF6465" s="4"/>
    </row>
    <row r="6466" spans="66:84">
      <c r="BN6466" s="4"/>
      <c r="BO6466" s="4"/>
      <c r="BQ6466" s="4"/>
      <c r="CC6466" s="4"/>
      <c r="CD6466" s="4"/>
      <c r="CF6466" s="4"/>
    </row>
    <row r="6467" spans="66:84">
      <c r="BN6467" s="4"/>
      <c r="BO6467" s="4"/>
      <c r="BQ6467" s="4"/>
      <c r="CC6467" s="4"/>
      <c r="CD6467" s="4"/>
      <c r="CF6467" s="4"/>
    </row>
    <row r="6468" spans="66:84">
      <c r="BN6468" s="4"/>
      <c r="BO6468" s="4"/>
      <c r="BQ6468" s="4"/>
      <c r="CC6468" s="4"/>
      <c r="CD6468" s="4"/>
      <c r="CF6468" s="4"/>
    </row>
    <row r="6469" spans="66:84">
      <c r="BN6469" s="4"/>
      <c r="BO6469" s="4"/>
      <c r="BQ6469" s="4"/>
      <c r="CC6469" s="4"/>
      <c r="CD6469" s="4"/>
      <c r="CF6469" s="4"/>
    </row>
    <row r="6470" spans="66:84">
      <c r="BN6470" s="4"/>
      <c r="BO6470" s="4"/>
      <c r="BQ6470" s="4"/>
      <c r="CC6470" s="4"/>
      <c r="CD6470" s="4"/>
      <c r="CF6470" s="4"/>
    </row>
    <row r="6471" spans="66:84">
      <c r="BN6471" s="4"/>
      <c r="BO6471" s="4"/>
      <c r="BQ6471" s="4"/>
      <c r="CC6471" s="4"/>
      <c r="CD6471" s="4"/>
      <c r="CF6471" s="4"/>
    </row>
    <row r="6472" spans="66:84">
      <c r="BN6472" s="4"/>
      <c r="BO6472" s="4"/>
      <c r="BQ6472" s="4"/>
      <c r="CC6472" s="4"/>
      <c r="CD6472" s="4"/>
      <c r="CF6472" s="4"/>
    </row>
    <row r="6473" spans="66:84">
      <c r="BN6473" s="4"/>
      <c r="BO6473" s="4"/>
      <c r="BQ6473" s="4"/>
      <c r="CC6473" s="4"/>
      <c r="CD6473" s="4"/>
      <c r="CF6473" s="4"/>
    </row>
    <row r="6474" spans="66:84">
      <c r="BN6474" s="4"/>
      <c r="BO6474" s="4"/>
      <c r="BQ6474" s="4"/>
      <c r="CC6474" s="4"/>
      <c r="CD6474" s="4"/>
      <c r="CF6474" s="4"/>
    </row>
    <row r="6475" spans="66:84">
      <c r="BN6475" s="4"/>
      <c r="BO6475" s="4"/>
      <c r="BQ6475" s="4"/>
      <c r="CC6475" s="4"/>
      <c r="CD6475" s="4"/>
      <c r="CF6475" s="4"/>
    </row>
    <row r="6476" spans="66:84">
      <c r="BN6476" s="4"/>
      <c r="BO6476" s="4"/>
      <c r="BQ6476" s="4"/>
      <c r="CC6476" s="4"/>
      <c r="CD6476" s="4"/>
      <c r="CF6476" s="4"/>
    </row>
    <row r="6477" spans="66:84">
      <c r="BN6477" s="4"/>
      <c r="BO6477" s="4"/>
      <c r="BQ6477" s="4"/>
      <c r="CC6477" s="4"/>
      <c r="CD6477" s="4"/>
      <c r="CF6477" s="4"/>
    </row>
    <row r="6478" spans="66:84">
      <c r="BN6478" s="4"/>
      <c r="BO6478" s="4"/>
      <c r="BQ6478" s="4"/>
      <c r="CC6478" s="4"/>
      <c r="CD6478" s="4"/>
      <c r="CF6478" s="4"/>
    </row>
    <row r="6479" spans="66:84">
      <c r="BN6479" s="4"/>
      <c r="BO6479" s="4"/>
      <c r="BQ6479" s="4"/>
      <c r="CC6479" s="4"/>
      <c r="CD6479" s="4"/>
      <c r="CF6479" s="4"/>
    </row>
    <row r="6480" spans="66:84">
      <c r="BN6480" s="4"/>
      <c r="BO6480" s="4"/>
      <c r="BQ6480" s="4"/>
      <c r="CC6480" s="4"/>
      <c r="CD6480" s="4"/>
      <c r="CF6480" s="4"/>
    </row>
    <row r="6481" spans="66:84">
      <c r="BN6481" s="4"/>
      <c r="BO6481" s="4"/>
      <c r="BQ6481" s="4"/>
      <c r="CC6481" s="4"/>
      <c r="CD6481" s="4"/>
      <c r="CF6481" s="4"/>
    </row>
    <row r="6482" spans="66:84">
      <c r="BN6482" s="4"/>
      <c r="BO6482" s="4"/>
      <c r="BQ6482" s="4"/>
      <c r="CC6482" s="4"/>
      <c r="CD6482" s="4"/>
      <c r="CF6482" s="4"/>
    </row>
    <row r="6483" spans="66:84">
      <c r="BN6483" s="4"/>
      <c r="BO6483" s="4"/>
      <c r="BQ6483" s="4"/>
      <c r="CC6483" s="4"/>
      <c r="CD6483" s="4"/>
      <c r="CF6483" s="4"/>
    </row>
    <row r="6484" spans="66:84">
      <c r="BN6484" s="4"/>
      <c r="BO6484" s="4"/>
      <c r="BQ6484" s="4"/>
      <c r="CC6484" s="4"/>
      <c r="CD6484" s="4"/>
      <c r="CF6484" s="4"/>
    </row>
    <row r="6485" spans="66:84">
      <c r="BN6485" s="4"/>
      <c r="BO6485" s="4"/>
      <c r="BQ6485" s="4"/>
      <c r="CC6485" s="4"/>
      <c r="CD6485" s="4"/>
      <c r="CF6485" s="4"/>
    </row>
    <row r="6486" spans="66:84">
      <c r="BN6486" s="4"/>
      <c r="BO6486" s="4"/>
      <c r="BQ6486" s="4"/>
      <c r="CC6486" s="4"/>
      <c r="CD6486" s="4"/>
      <c r="CF6486" s="4"/>
    </row>
    <row r="6487" spans="66:84">
      <c r="BN6487" s="4"/>
      <c r="BO6487" s="4"/>
      <c r="BQ6487" s="4"/>
      <c r="CC6487" s="4"/>
      <c r="CD6487" s="4"/>
      <c r="CF6487" s="4"/>
    </row>
    <row r="6488" spans="66:84">
      <c r="BN6488" s="4"/>
      <c r="BO6488" s="4"/>
      <c r="BQ6488" s="4"/>
      <c r="CC6488" s="4"/>
      <c r="CD6488" s="4"/>
      <c r="CF6488" s="4"/>
    </row>
    <row r="6489" spans="66:84">
      <c r="BN6489" s="4"/>
      <c r="BO6489" s="4"/>
      <c r="BQ6489" s="4"/>
      <c r="CC6489" s="4"/>
      <c r="CD6489" s="4"/>
      <c r="CF6489" s="4"/>
    </row>
    <row r="6490" spans="66:84">
      <c r="BN6490" s="4"/>
      <c r="BO6490" s="4"/>
      <c r="BQ6490" s="4"/>
      <c r="CC6490" s="4"/>
      <c r="CD6490" s="4"/>
      <c r="CF6490" s="4"/>
    </row>
    <row r="6491" spans="66:84">
      <c r="BN6491" s="4"/>
      <c r="BO6491" s="4"/>
      <c r="BQ6491" s="4"/>
      <c r="CC6491" s="4"/>
      <c r="CD6491" s="4"/>
      <c r="CF6491" s="4"/>
    </row>
    <row r="6492" spans="66:84">
      <c r="BN6492" s="4"/>
      <c r="BO6492" s="4"/>
      <c r="BQ6492" s="4"/>
      <c r="CC6492" s="4"/>
      <c r="CD6492" s="4"/>
      <c r="CF6492" s="4"/>
    </row>
    <row r="6493" spans="66:84">
      <c r="BN6493" s="4"/>
      <c r="BO6493" s="4"/>
      <c r="BQ6493" s="4"/>
      <c r="CC6493" s="4"/>
      <c r="CD6493" s="4"/>
      <c r="CF6493" s="4"/>
    </row>
    <row r="6494" spans="66:84">
      <c r="BN6494" s="4"/>
      <c r="BO6494" s="4"/>
      <c r="BQ6494" s="4"/>
      <c r="CC6494" s="4"/>
      <c r="CD6494" s="4"/>
      <c r="CF6494" s="4"/>
    </row>
    <row r="6495" spans="66:84">
      <c r="BN6495" s="4"/>
      <c r="BO6495" s="4"/>
      <c r="BQ6495" s="4"/>
      <c r="CC6495" s="4"/>
      <c r="CD6495" s="4"/>
      <c r="CF6495" s="4"/>
    </row>
    <row r="6496" spans="66:84">
      <c r="BN6496" s="4"/>
      <c r="BO6496" s="4"/>
      <c r="BQ6496" s="4"/>
      <c r="CC6496" s="4"/>
      <c r="CD6496" s="4"/>
      <c r="CF6496" s="4"/>
    </row>
    <row r="6497" spans="66:84">
      <c r="BN6497" s="4"/>
      <c r="BO6497" s="4"/>
      <c r="BQ6497" s="4"/>
      <c r="CC6497" s="4"/>
      <c r="CD6497" s="4"/>
      <c r="CF6497" s="4"/>
    </row>
    <row r="6498" spans="66:84">
      <c r="BN6498" s="4"/>
      <c r="BO6498" s="4"/>
      <c r="BQ6498" s="4"/>
      <c r="CC6498" s="4"/>
      <c r="CD6498" s="4"/>
      <c r="CF6498" s="4"/>
    </row>
    <row r="6499" spans="66:84">
      <c r="BN6499" s="4"/>
      <c r="BO6499" s="4"/>
      <c r="BQ6499" s="4"/>
      <c r="CC6499" s="4"/>
      <c r="CD6499" s="4"/>
      <c r="CF6499" s="4"/>
    </row>
    <row r="6500" spans="66:84">
      <c r="BN6500" s="4"/>
      <c r="BO6500" s="4"/>
      <c r="BQ6500" s="4"/>
      <c r="CC6500" s="4"/>
      <c r="CD6500" s="4"/>
      <c r="CF6500" s="4"/>
    </row>
    <row r="6501" spans="66:84">
      <c r="BN6501" s="4"/>
      <c r="BO6501" s="4"/>
      <c r="BQ6501" s="4"/>
      <c r="CC6501" s="4"/>
      <c r="CD6501" s="4"/>
      <c r="CF6501" s="4"/>
    </row>
    <row r="6502" spans="66:84">
      <c r="BN6502" s="4"/>
      <c r="BO6502" s="4"/>
      <c r="BQ6502" s="4"/>
      <c r="CC6502" s="4"/>
      <c r="CD6502" s="4"/>
      <c r="CF6502" s="4"/>
    </row>
    <row r="6503" spans="66:84">
      <c r="BN6503" s="4"/>
      <c r="BO6503" s="4"/>
      <c r="BQ6503" s="4"/>
      <c r="CC6503" s="4"/>
      <c r="CD6503" s="4"/>
      <c r="CF6503" s="4"/>
    </row>
    <row r="6504" spans="66:84">
      <c r="BN6504" s="4"/>
      <c r="BO6504" s="4"/>
      <c r="BQ6504" s="4"/>
      <c r="CC6504" s="4"/>
      <c r="CD6504" s="4"/>
      <c r="CF6504" s="4"/>
    </row>
    <row r="6505" spans="66:84">
      <c r="BN6505" s="4"/>
      <c r="BO6505" s="4"/>
      <c r="BQ6505" s="4"/>
      <c r="CC6505" s="4"/>
      <c r="CD6505" s="4"/>
      <c r="CF6505" s="4"/>
    </row>
    <row r="6506" spans="66:84">
      <c r="BN6506" s="4"/>
      <c r="BO6506" s="4"/>
      <c r="BQ6506" s="4"/>
      <c r="CC6506" s="4"/>
      <c r="CD6506" s="4"/>
      <c r="CF6506" s="4"/>
    </row>
    <row r="6507" spans="66:84">
      <c r="BN6507" s="4"/>
      <c r="BO6507" s="4"/>
      <c r="BQ6507" s="4"/>
      <c r="CC6507" s="4"/>
      <c r="CD6507" s="4"/>
      <c r="CF6507" s="4"/>
    </row>
    <row r="6508" spans="66:84">
      <c r="BN6508" s="4"/>
      <c r="BO6508" s="4"/>
      <c r="BQ6508" s="4"/>
      <c r="CC6508" s="4"/>
      <c r="CD6508" s="4"/>
      <c r="CF6508" s="4"/>
    </row>
    <row r="6509" spans="66:84">
      <c r="BN6509" s="4"/>
      <c r="BO6509" s="4"/>
      <c r="BQ6509" s="4"/>
      <c r="CC6509" s="4"/>
      <c r="CD6509" s="4"/>
      <c r="CF6509" s="4"/>
    </row>
    <row r="6510" spans="66:84">
      <c r="BN6510" s="4"/>
      <c r="BO6510" s="4"/>
      <c r="BQ6510" s="4"/>
      <c r="CC6510" s="4"/>
      <c r="CD6510" s="4"/>
      <c r="CF6510" s="4"/>
    </row>
    <row r="6511" spans="66:84">
      <c r="BN6511" s="4"/>
      <c r="BO6511" s="4"/>
      <c r="BQ6511" s="4"/>
      <c r="CC6511" s="4"/>
      <c r="CD6511" s="4"/>
      <c r="CF6511" s="4"/>
    </row>
    <row r="6512" spans="66:84">
      <c r="BN6512" s="4"/>
      <c r="BO6512" s="4"/>
      <c r="BQ6512" s="4"/>
      <c r="CC6512" s="4"/>
      <c r="CD6512" s="4"/>
      <c r="CF6512" s="4"/>
    </row>
    <row r="6513" spans="66:84">
      <c r="BN6513" s="4"/>
      <c r="BO6513" s="4"/>
      <c r="BQ6513" s="4"/>
      <c r="CC6513" s="4"/>
      <c r="CD6513" s="4"/>
      <c r="CF6513" s="4"/>
    </row>
    <row r="6514" spans="66:84">
      <c r="BN6514" s="4"/>
      <c r="BO6514" s="4"/>
      <c r="BQ6514" s="4"/>
      <c r="CC6514" s="4"/>
      <c r="CD6514" s="4"/>
      <c r="CF6514" s="4"/>
    </row>
    <row r="6515" spans="66:84">
      <c r="BN6515" s="4"/>
      <c r="BO6515" s="4"/>
      <c r="BQ6515" s="4"/>
      <c r="CC6515" s="4"/>
      <c r="CD6515" s="4"/>
      <c r="CF6515" s="4"/>
    </row>
    <row r="6516" spans="66:84">
      <c r="BN6516" s="4"/>
      <c r="BO6516" s="4"/>
      <c r="BQ6516" s="4"/>
      <c r="CC6516" s="4"/>
      <c r="CD6516" s="4"/>
      <c r="CF6516" s="4"/>
    </row>
    <row r="6517" spans="66:84">
      <c r="BN6517" s="4"/>
      <c r="BO6517" s="4"/>
      <c r="BQ6517" s="4"/>
      <c r="CC6517" s="4"/>
      <c r="CD6517" s="4"/>
      <c r="CF6517" s="4"/>
    </row>
    <row r="6518" spans="66:84">
      <c r="BN6518" s="4"/>
      <c r="BO6518" s="4"/>
      <c r="BQ6518" s="4"/>
      <c r="CC6518" s="4"/>
      <c r="CD6518" s="4"/>
      <c r="CF6518" s="4"/>
    </row>
    <row r="6519" spans="66:84">
      <c r="BN6519" s="4"/>
      <c r="BO6519" s="4"/>
      <c r="BQ6519" s="4"/>
      <c r="CC6519" s="4"/>
      <c r="CD6519" s="4"/>
      <c r="CF6519" s="4"/>
    </row>
    <row r="6520" spans="66:84">
      <c r="BN6520" s="4"/>
      <c r="BO6520" s="4"/>
      <c r="BQ6520" s="4"/>
      <c r="CC6520" s="4"/>
      <c r="CD6520" s="4"/>
      <c r="CF6520" s="4"/>
    </row>
    <row r="6521" spans="66:84">
      <c r="BN6521" s="4"/>
      <c r="BO6521" s="4"/>
      <c r="BQ6521" s="4"/>
      <c r="CC6521" s="4"/>
      <c r="CD6521" s="4"/>
      <c r="CF6521" s="4"/>
    </row>
    <row r="6522" spans="66:84">
      <c r="BN6522" s="4"/>
      <c r="BO6522" s="4"/>
      <c r="BQ6522" s="4"/>
      <c r="CC6522" s="4"/>
      <c r="CD6522" s="4"/>
      <c r="CF6522" s="4"/>
    </row>
    <row r="6523" spans="66:84">
      <c r="BN6523" s="4"/>
      <c r="BO6523" s="4"/>
      <c r="BQ6523" s="4"/>
      <c r="CC6523" s="4"/>
      <c r="CD6523" s="4"/>
      <c r="CF6523" s="4"/>
    </row>
    <row r="6524" spans="66:84">
      <c r="BN6524" s="4"/>
      <c r="BO6524" s="4"/>
      <c r="BQ6524" s="4"/>
      <c r="CC6524" s="4"/>
      <c r="CD6524" s="4"/>
      <c r="CF6524" s="4"/>
    </row>
    <row r="6525" spans="66:84">
      <c r="BN6525" s="4"/>
      <c r="BO6525" s="4"/>
      <c r="BQ6525" s="4"/>
      <c r="CC6525" s="4"/>
      <c r="CD6525" s="4"/>
      <c r="CF6525" s="4"/>
    </row>
    <row r="6526" spans="66:84">
      <c r="BN6526" s="4"/>
      <c r="BO6526" s="4"/>
      <c r="BQ6526" s="4"/>
      <c r="CC6526" s="4"/>
      <c r="CD6526" s="4"/>
      <c r="CF6526" s="4"/>
    </row>
    <row r="6527" spans="66:84">
      <c r="BN6527" s="4"/>
      <c r="BO6527" s="4"/>
      <c r="BQ6527" s="4"/>
      <c r="CC6527" s="4"/>
      <c r="CD6527" s="4"/>
      <c r="CF6527" s="4"/>
    </row>
    <row r="6528" spans="66:84">
      <c r="BN6528" s="4"/>
      <c r="BO6528" s="4"/>
      <c r="BQ6528" s="4"/>
      <c r="CC6528" s="4"/>
      <c r="CD6528" s="4"/>
      <c r="CF6528" s="4"/>
    </row>
    <row r="6529" spans="66:84">
      <c r="BN6529" s="4"/>
      <c r="BO6529" s="4"/>
      <c r="BQ6529" s="4"/>
      <c r="CC6529" s="4"/>
      <c r="CD6529" s="4"/>
      <c r="CF6529" s="4"/>
    </row>
    <row r="6530" spans="66:84">
      <c r="BN6530" s="4"/>
      <c r="BO6530" s="4"/>
      <c r="BQ6530" s="4"/>
      <c r="CC6530" s="4"/>
      <c r="CD6530" s="4"/>
      <c r="CF6530" s="4"/>
    </row>
    <row r="6531" spans="66:84">
      <c r="BN6531" s="4"/>
      <c r="BO6531" s="4"/>
      <c r="BQ6531" s="4"/>
      <c r="CC6531" s="4"/>
      <c r="CD6531" s="4"/>
      <c r="CF6531" s="4"/>
    </row>
    <row r="6532" spans="66:84">
      <c r="BN6532" s="4"/>
      <c r="BO6532" s="4"/>
      <c r="BQ6532" s="4"/>
      <c r="CC6532" s="4"/>
      <c r="CD6532" s="4"/>
      <c r="CF6532" s="4"/>
    </row>
    <row r="6533" spans="66:84">
      <c r="BN6533" s="4"/>
      <c r="BO6533" s="4"/>
      <c r="BQ6533" s="4"/>
      <c r="CC6533" s="4"/>
      <c r="CD6533" s="4"/>
      <c r="CF6533" s="4"/>
    </row>
    <row r="6534" spans="66:84">
      <c r="BN6534" s="4"/>
      <c r="BO6534" s="4"/>
      <c r="BQ6534" s="4"/>
      <c r="CC6534" s="4"/>
      <c r="CD6534" s="4"/>
      <c r="CF6534" s="4"/>
    </row>
    <row r="6535" spans="66:84">
      <c r="BN6535" s="4"/>
      <c r="BO6535" s="4"/>
      <c r="BQ6535" s="4"/>
      <c r="CC6535" s="4"/>
      <c r="CD6535" s="4"/>
      <c r="CF6535" s="4"/>
    </row>
    <row r="6536" spans="66:84">
      <c r="BN6536" s="4"/>
      <c r="BO6536" s="4"/>
      <c r="BQ6536" s="4"/>
      <c r="CC6536" s="4"/>
      <c r="CD6536" s="4"/>
      <c r="CF6536" s="4"/>
    </row>
    <row r="6537" spans="66:84">
      <c r="BN6537" s="4"/>
      <c r="BO6537" s="4"/>
      <c r="BQ6537" s="4"/>
      <c r="CC6537" s="4"/>
      <c r="CD6537" s="4"/>
      <c r="CF6537" s="4"/>
    </row>
    <row r="6538" spans="66:84">
      <c r="BN6538" s="4"/>
      <c r="BO6538" s="4"/>
      <c r="BQ6538" s="4"/>
      <c r="CC6538" s="4"/>
      <c r="CD6538" s="4"/>
      <c r="CF6538" s="4"/>
    </row>
    <row r="6539" spans="66:84">
      <c r="BN6539" s="4"/>
      <c r="BO6539" s="4"/>
      <c r="BQ6539" s="4"/>
      <c r="CC6539" s="4"/>
      <c r="CD6539" s="4"/>
      <c r="CF6539" s="4"/>
    </row>
    <row r="6540" spans="66:84">
      <c r="BN6540" s="4"/>
      <c r="BO6540" s="4"/>
      <c r="BQ6540" s="4"/>
      <c r="CC6540" s="4"/>
      <c r="CD6540" s="4"/>
      <c r="CF6540" s="4"/>
    </row>
    <row r="6541" spans="66:84">
      <c r="BN6541" s="4"/>
      <c r="BO6541" s="4"/>
      <c r="BQ6541" s="4"/>
      <c r="CC6541" s="4"/>
      <c r="CD6541" s="4"/>
      <c r="CF6541" s="4"/>
    </row>
    <row r="6542" spans="66:84">
      <c r="BN6542" s="4"/>
      <c r="BO6542" s="4"/>
      <c r="BQ6542" s="4"/>
      <c r="CC6542" s="4"/>
      <c r="CD6542" s="4"/>
      <c r="CF6542" s="4"/>
    </row>
    <row r="6543" spans="66:84">
      <c r="BN6543" s="4"/>
      <c r="BO6543" s="4"/>
      <c r="BQ6543" s="4"/>
      <c r="CC6543" s="4"/>
      <c r="CD6543" s="4"/>
      <c r="CF6543" s="4"/>
    </row>
    <row r="6544" spans="66:84">
      <c r="BN6544" s="4"/>
      <c r="BO6544" s="4"/>
      <c r="BQ6544" s="4"/>
      <c r="CC6544" s="4"/>
      <c r="CD6544" s="4"/>
      <c r="CF6544" s="4"/>
    </row>
    <row r="6545" spans="66:84">
      <c r="BN6545" s="4"/>
      <c r="BO6545" s="4"/>
      <c r="BQ6545" s="4"/>
      <c r="CC6545" s="4"/>
      <c r="CD6545" s="4"/>
      <c r="CF6545" s="4"/>
    </row>
    <row r="6546" spans="66:84">
      <c r="BN6546" s="4"/>
      <c r="BO6546" s="4"/>
      <c r="BQ6546" s="4"/>
      <c r="CC6546" s="4"/>
      <c r="CD6546" s="4"/>
      <c r="CF6546" s="4"/>
    </row>
    <row r="6547" spans="66:84">
      <c r="BN6547" s="4"/>
      <c r="BO6547" s="4"/>
      <c r="BQ6547" s="4"/>
      <c r="CC6547" s="4"/>
      <c r="CD6547" s="4"/>
      <c r="CF6547" s="4"/>
    </row>
    <row r="6548" spans="66:84">
      <c r="BN6548" s="4"/>
      <c r="BO6548" s="4"/>
      <c r="BQ6548" s="4"/>
      <c r="CC6548" s="4"/>
      <c r="CD6548" s="4"/>
      <c r="CF6548" s="4"/>
    </row>
    <row r="6549" spans="66:84">
      <c r="BN6549" s="4"/>
      <c r="BO6549" s="4"/>
      <c r="BQ6549" s="4"/>
      <c r="CC6549" s="4"/>
      <c r="CD6549" s="4"/>
      <c r="CF6549" s="4"/>
    </row>
    <row r="6550" spans="66:84">
      <c r="BN6550" s="4"/>
      <c r="BO6550" s="4"/>
      <c r="BQ6550" s="4"/>
      <c r="CC6550" s="4"/>
      <c r="CD6550" s="4"/>
      <c r="CF6550" s="4"/>
    </row>
    <row r="6551" spans="66:84">
      <c r="BN6551" s="4"/>
      <c r="BO6551" s="4"/>
      <c r="BQ6551" s="4"/>
      <c r="CC6551" s="4"/>
      <c r="CD6551" s="4"/>
      <c r="CF6551" s="4"/>
    </row>
    <row r="6552" spans="66:84">
      <c r="BN6552" s="4"/>
      <c r="BO6552" s="4"/>
      <c r="BQ6552" s="4"/>
      <c r="CC6552" s="4"/>
      <c r="CD6552" s="4"/>
      <c r="CF6552" s="4"/>
    </row>
    <row r="6553" spans="66:84">
      <c r="BN6553" s="4"/>
      <c r="BO6553" s="4"/>
      <c r="BQ6553" s="4"/>
      <c r="CC6553" s="4"/>
      <c r="CD6553" s="4"/>
      <c r="CF6553" s="4"/>
    </row>
    <row r="6554" spans="66:84">
      <c r="BN6554" s="4"/>
      <c r="BO6554" s="4"/>
      <c r="BQ6554" s="4"/>
      <c r="CC6554" s="4"/>
      <c r="CD6554" s="4"/>
      <c r="CF6554" s="4"/>
    </row>
    <row r="6555" spans="66:84">
      <c r="BN6555" s="4"/>
      <c r="BO6555" s="4"/>
      <c r="BQ6555" s="4"/>
      <c r="CC6555" s="4"/>
      <c r="CD6555" s="4"/>
      <c r="CF6555" s="4"/>
    </row>
    <row r="6556" spans="66:84">
      <c r="BN6556" s="4"/>
      <c r="BO6556" s="4"/>
      <c r="BQ6556" s="4"/>
      <c r="CC6556" s="4"/>
      <c r="CD6556" s="4"/>
      <c r="CF6556" s="4"/>
    </row>
    <row r="6557" spans="66:84">
      <c r="BN6557" s="4"/>
      <c r="BO6557" s="4"/>
      <c r="BQ6557" s="4"/>
      <c r="CC6557" s="4"/>
      <c r="CD6557" s="4"/>
      <c r="CF6557" s="4"/>
    </row>
    <row r="6558" spans="66:84">
      <c r="BN6558" s="4"/>
      <c r="BO6558" s="4"/>
      <c r="BQ6558" s="4"/>
      <c r="CC6558" s="4"/>
      <c r="CD6558" s="4"/>
      <c r="CF6558" s="4"/>
    </row>
    <row r="6559" spans="66:84">
      <c r="BN6559" s="4"/>
      <c r="BO6559" s="4"/>
      <c r="BQ6559" s="4"/>
      <c r="CC6559" s="4"/>
      <c r="CD6559" s="4"/>
      <c r="CF6559" s="4"/>
    </row>
    <row r="6560" spans="66:84">
      <c r="BN6560" s="4"/>
      <c r="BO6560" s="4"/>
      <c r="BQ6560" s="4"/>
      <c r="CC6560" s="4"/>
      <c r="CD6560" s="4"/>
      <c r="CF6560" s="4"/>
    </row>
    <row r="6561" spans="66:84">
      <c r="BN6561" s="4"/>
      <c r="BO6561" s="4"/>
      <c r="BQ6561" s="4"/>
      <c r="CC6561" s="4"/>
      <c r="CD6561" s="4"/>
      <c r="CF6561" s="4"/>
    </row>
    <row r="6562" spans="66:84">
      <c r="BN6562" s="4"/>
      <c r="BO6562" s="4"/>
      <c r="BQ6562" s="4"/>
      <c r="CC6562" s="4"/>
      <c r="CD6562" s="4"/>
      <c r="CF6562" s="4"/>
    </row>
    <row r="6563" spans="66:84">
      <c r="BN6563" s="4"/>
      <c r="BO6563" s="4"/>
      <c r="BQ6563" s="4"/>
      <c r="CC6563" s="4"/>
      <c r="CD6563" s="4"/>
      <c r="CF6563" s="4"/>
    </row>
    <row r="6564" spans="66:84">
      <c r="BN6564" s="4"/>
      <c r="BO6564" s="4"/>
      <c r="BQ6564" s="4"/>
      <c r="CC6564" s="4"/>
      <c r="CD6564" s="4"/>
      <c r="CF6564" s="4"/>
    </row>
    <row r="6565" spans="66:84">
      <c r="BN6565" s="4"/>
      <c r="BO6565" s="4"/>
      <c r="BQ6565" s="4"/>
      <c r="CC6565" s="4"/>
      <c r="CD6565" s="4"/>
      <c r="CF6565" s="4"/>
    </row>
    <row r="6566" spans="66:84">
      <c r="BN6566" s="4"/>
      <c r="BO6566" s="4"/>
      <c r="BQ6566" s="4"/>
      <c r="CC6566" s="4"/>
      <c r="CD6566" s="4"/>
      <c r="CF6566" s="4"/>
    </row>
    <row r="6567" spans="66:84">
      <c r="BN6567" s="4"/>
      <c r="BO6567" s="4"/>
      <c r="BQ6567" s="4"/>
      <c r="CC6567" s="4"/>
      <c r="CD6567" s="4"/>
      <c r="CF6567" s="4"/>
    </row>
    <row r="6568" spans="66:84">
      <c r="BN6568" s="4"/>
      <c r="BO6568" s="4"/>
      <c r="BQ6568" s="4"/>
      <c r="CC6568" s="4"/>
      <c r="CD6568" s="4"/>
      <c r="CF6568" s="4"/>
    </row>
    <row r="6569" spans="66:84">
      <c r="BN6569" s="4"/>
      <c r="BO6569" s="4"/>
      <c r="BQ6569" s="4"/>
      <c r="CC6569" s="4"/>
      <c r="CD6569" s="4"/>
      <c r="CF6569" s="4"/>
    </row>
    <row r="6570" spans="66:84">
      <c r="BN6570" s="4"/>
      <c r="BO6570" s="4"/>
      <c r="BQ6570" s="4"/>
      <c r="CC6570" s="4"/>
      <c r="CD6570" s="4"/>
      <c r="CF6570" s="4"/>
    </row>
    <row r="6571" spans="66:84">
      <c r="BN6571" s="4"/>
      <c r="BO6571" s="4"/>
      <c r="BQ6571" s="4"/>
      <c r="CC6571" s="4"/>
      <c r="CD6571" s="4"/>
      <c r="CF6571" s="4"/>
    </row>
    <row r="6572" spans="66:84">
      <c r="BN6572" s="4"/>
      <c r="BO6572" s="4"/>
      <c r="BQ6572" s="4"/>
      <c r="CC6572" s="4"/>
      <c r="CD6572" s="4"/>
      <c r="CF6572" s="4"/>
    </row>
    <row r="6573" spans="66:84">
      <c r="BN6573" s="4"/>
      <c r="BO6573" s="4"/>
      <c r="BQ6573" s="4"/>
      <c r="CC6573" s="4"/>
      <c r="CD6573" s="4"/>
      <c r="CF6573" s="4"/>
    </row>
    <row r="6574" spans="66:84">
      <c r="BN6574" s="4"/>
      <c r="BO6574" s="4"/>
      <c r="BQ6574" s="4"/>
      <c r="CC6574" s="4"/>
      <c r="CD6574" s="4"/>
      <c r="CF6574" s="4"/>
    </row>
    <row r="6575" spans="66:84">
      <c r="BN6575" s="4"/>
      <c r="BO6575" s="4"/>
      <c r="BQ6575" s="4"/>
      <c r="CC6575" s="4"/>
      <c r="CD6575" s="4"/>
      <c r="CF6575" s="4"/>
    </row>
    <row r="6576" spans="66:84">
      <c r="BN6576" s="4"/>
      <c r="BO6576" s="4"/>
      <c r="BQ6576" s="4"/>
      <c r="CC6576" s="4"/>
      <c r="CD6576" s="4"/>
      <c r="CF6576" s="4"/>
    </row>
    <row r="6577" spans="66:84">
      <c r="BN6577" s="4"/>
      <c r="BO6577" s="4"/>
      <c r="BQ6577" s="4"/>
      <c r="CC6577" s="4"/>
      <c r="CD6577" s="4"/>
      <c r="CF6577" s="4"/>
    </row>
    <row r="6578" spans="66:84">
      <c r="BN6578" s="4"/>
      <c r="BO6578" s="4"/>
      <c r="BQ6578" s="4"/>
      <c r="CC6578" s="4"/>
      <c r="CD6578" s="4"/>
      <c r="CF6578" s="4"/>
    </row>
    <row r="6579" spans="66:84">
      <c r="BN6579" s="4"/>
      <c r="BO6579" s="4"/>
      <c r="BQ6579" s="4"/>
      <c r="CC6579" s="4"/>
      <c r="CD6579" s="4"/>
      <c r="CF6579" s="4"/>
    </row>
    <row r="6580" spans="66:84">
      <c r="BN6580" s="4"/>
      <c r="BO6580" s="4"/>
      <c r="BQ6580" s="4"/>
      <c r="CC6580" s="4"/>
      <c r="CD6580" s="4"/>
      <c r="CF6580" s="4"/>
    </row>
    <row r="6581" spans="66:84">
      <c r="BN6581" s="4"/>
      <c r="BO6581" s="4"/>
      <c r="BQ6581" s="4"/>
      <c r="CC6581" s="4"/>
      <c r="CD6581" s="4"/>
      <c r="CF6581" s="4"/>
    </row>
    <row r="6582" spans="66:84">
      <c r="BN6582" s="4"/>
      <c r="BO6582" s="4"/>
      <c r="BQ6582" s="4"/>
      <c r="CC6582" s="4"/>
      <c r="CD6582" s="4"/>
      <c r="CF6582" s="4"/>
    </row>
    <row r="6583" spans="66:84">
      <c r="BN6583" s="4"/>
      <c r="BO6583" s="4"/>
      <c r="BQ6583" s="4"/>
      <c r="CC6583" s="4"/>
      <c r="CD6583" s="4"/>
      <c r="CF6583" s="4"/>
    </row>
    <row r="6584" spans="66:84">
      <c r="BN6584" s="4"/>
      <c r="BO6584" s="4"/>
      <c r="BQ6584" s="4"/>
      <c r="CC6584" s="4"/>
      <c r="CD6584" s="4"/>
      <c r="CF6584" s="4"/>
    </row>
    <row r="6585" spans="66:84">
      <c r="BN6585" s="4"/>
      <c r="BO6585" s="4"/>
      <c r="BQ6585" s="4"/>
      <c r="CC6585" s="4"/>
      <c r="CD6585" s="4"/>
      <c r="CF6585" s="4"/>
    </row>
    <row r="6586" spans="66:84">
      <c r="BN6586" s="4"/>
      <c r="BO6586" s="4"/>
      <c r="BQ6586" s="4"/>
      <c r="CC6586" s="4"/>
      <c r="CD6586" s="4"/>
      <c r="CF6586" s="4"/>
    </row>
    <row r="6587" spans="66:84">
      <c r="BN6587" s="4"/>
      <c r="BO6587" s="4"/>
      <c r="BQ6587" s="4"/>
      <c r="CC6587" s="4"/>
      <c r="CD6587" s="4"/>
      <c r="CF6587" s="4"/>
    </row>
    <row r="6588" spans="66:84">
      <c r="BN6588" s="4"/>
      <c r="BO6588" s="4"/>
      <c r="BQ6588" s="4"/>
      <c r="CC6588" s="4"/>
      <c r="CD6588" s="4"/>
      <c r="CF6588" s="4"/>
    </row>
    <row r="6589" spans="66:84">
      <c r="BN6589" s="4"/>
      <c r="BO6589" s="4"/>
      <c r="BQ6589" s="4"/>
      <c r="CC6589" s="4"/>
      <c r="CD6589" s="4"/>
      <c r="CF6589" s="4"/>
    </row>
    <row r="6590" spans="66:84">
      <c r="BN6590" s="4"/>
      <c r="BO6590" s="4"/>
      <c r="BQ6590" s="4"/>
      <c r="CC6590" s="4"/>
      <c r="CD6590" s="4"/>
      <c r="CF6590" s="4"/>
    </row>
    <row r="6591" spans="66:84">
      <c r="BN6591" s="4"/>
      <c r="BO6591" s="4"/>
      <c r="BQ6591" s="4"/>
      <c r="CC6591" s="4"/>
      <c r="CD6591" s="4"/>
      <c r="CF6591" s="4"/>
    </row>
    <row r="6592" spans="66:84">
      <c r="BN6592" s="4"/>
      <c r="BO6592" s="4"/>
      <c r="BQ6592" s="4"/>
      <c r="CC6592" s="4"/>
      <c r="CD6592" s="4"/>
      <c r="CF6592" s="4"/>
    </row>
    <row r="6593" spans="66:84">
      <c r="BN6593" s="4"/>
      <c r="BO6593" s="4"/>
      <c r="BQ6593" s="4"/>
      <c r="CC6593" s="4"/>
      <c r="CD6593" s="4"/>
      <c r="CF6593" s="4"/>
    </row>
    <row r="6594" spans="66:84">
      <c r="BN6594" s="4"/>
      <c r="BO6594" s="4"/>
      <c r="BQ6594" s="4"/>
      <c r="CC6594" s="4"/>
      <c r="CD6594" s="4"/>
      <c r="CF6594" s="4"/>
    </row>
    <row r="6595" spans="66:84">
      <c r="BN6595" s="4"/>
      <c r="BO6595" s="4"/>
      <c r="BQ6595" s="4"/>
      <c r="CC6595" s="4"/>
      <c r="CD6595" s="4"/>
      <c r="CF6595" s="4"/>
    </row>
    <row r="6596" spans="66:84">
      <c r="BN6596" s="4"/>
      <c r="BO6596" s="4"/>
      <c r="BQ6596" s="4"/>
      <c r="CC6596" s="4"/>
      <c r="CD6596" s="4"/>
      <c r="CF6596" s="4"/>
    </row>
    <row r="6597" spans="66:84">
      <c r="BN6597" s="4"/>
      <c r="BO6597" s="4"/>
      <c r="BQ6597" s="4"/>
      <c r="CC6597" s="4"/>
      <c r="CD6597" s="4"/>
      <c r="CF6597" s="4"/>
    </row>
    <row r="6598" spans="66:84">
      <c r="BN6598" s="4"/>
      <c r="BO6598" s="4"/>
      <c r="BQ6598" s="4"/>
      <c r="CC6598" s="4"/>
      <c r="CD6598" s="4"/>
      <c r="CF6598" s="4"/>
    </row>
    <row r="6599" spans="66:84">
      <c r="BN6599" s="4"/>
      <c r="BO6599" s="4"/>
      <c r="BQ6599" s="4"/>
      <c r="CC6599" s="4"/>
      <c r="CD6599" s="4"/>
      <c r="CF6599" s="4"/>
    </row>
    <row r="6600" spans="66:84">
      <c r="BN6600" s="4"/>
      <c r="BO6600" s="4"/>
      <c r="BQ6600" s="4"/>
      <c r="CC6600" s="4"/>
      <c r="CD6600" s="4"/>
      <c r="CF6600" s="4"/>
    </row>
    <row r="6601" spans="66:84">
      <c r="BN6601" s="4"/>
      <c r="BO6601" s="4"/>
      <c r="BQ6601" s="4"/>
      <c r="CC6601" s="4"/>
      <c r="CD6601" s="4"/>
      <c r="CF6601" s="4"/>
    </row>
    <row r="6602" spans="66:84">
      <c r="BN6602" s="4"/>
      <c r="BO6602" s="4"/>
      <c r="BQ6602" s="4"/>
      <c r="CC6602" s="4"/>
      <c r="CD6602" s="4"/>
      <c r="CF6602" s="4"/>
    </row>
    <row r="6603" spans="66:84">
      <c r="BN6603" s="4"/>
      <c r="BO6603" s="4"/>
      <c r="BQ6603" s="4"/>
      <c r="CC6603" s="4"/>
      <c r="CD6603" s="4"/>
      <c r="CF6603" s="4"/>
    </row>
    <row r="6604" spans="66:84">
      <c r="BN6604" s="4"/>
      <c r="BO6604" s="4"/>
      <c r="BQ6604" s="4"/>
      <c r="CC6604" s="4"/>
      <c r="CD6604" s="4"/>
      <c r="CF6604" s="4"/>
    </row>
    <row r="6605" spans="66:84">
      <c r="BN6605" s="4"/>
      <c r="BO6605" s="4"/>
      <c r="BQ6605" s="4"/>
      <c r="CC6605" s="4"/>
      <c r="CD6605" s="4"/>
      <c r="CF6605" s="4"/>
    </row>
    <row r="6606" spans="66:84">
      <c r="BN6606" s="4"/>
      <c r="BO6606" s="4"/>
      <c r="BQ6606" s="4"/>
      <c r="CC6606" s="4"/>
      <c r="CD6606" s="4"/>
      <c r="CF6606" s="4"/>
    </row>
    <row r="6607" spans="66:84">
      <c r="BN6607" s="4"/>
      <c r="BO6607" s="4"/>
      <c r="BQ6607" s="4"/>
      <c r="CC6607" s="4"/>
      <c r="CD6607" s="4"/>
      <c r="CF6607" s="4"/>
    </row>
    <row r="6608" spans="66:84">
      <c r="BN6608" s="4"/>
      <c r="BO6608" s="4"/>
      <c r="BQ6608" s="4"/>
      <c r="CC6608" s="4"/>
      <c r="CD6608" s="4"/>
      <c r="CF6608" s="4"/>
    </row>
    <row r="6609" spans="66:84">
      <c r="BN6609" s="4"/>
      <c r="BO6609" s="4"/>
      <c r="BQ6609" s="4"/>
      <c r="CC6609" s="4"/>
      <c r="CD6609" s="4"/>
      <c r="CF6609" s="4"/>
    </row>
    <row r="6610" spans="66:84">
      <c r="BN6610" s="4"/>
      <c r="BO6610" s="4"/>
      <c r="BQ6610" s="4"/>
      <c r="CC6610" s="4"/>
      <c r="CD6610" s="4"/>
      <c r="CF6610" s="4"/>
    </row>
    <row r="6611" spans="66:84">
      <c r="BN6611" s="4"/>
      <c r="BO6611" s="4"/>
      <c r="BQ6611" s="4"/>
      <c r="CC6611" s="4"/>
      <c r="CD6611" s="4"/>
      <c r="CF6611" s="4"/>
    </row>
    <row r="6612" spans="66:84">
      <c r="BN6612" s="4"/>
      <c r="BO6612" s="4"/>
      <c r="BQ6612" s="4"/>
      <c r="CC6612" s="4"/>
      <c r="CD6612" s="4"/>
      <c r="CF6612" s="4"/>
    </row>
    <row r="6613" spans="66:84">
      <c r="BN6613" s="4"/>
      <c r="BO6613" s="4"/>
      <c r="BQ6613" s="4"/>
      <c r="CC6613" s="4"/>
      <c r="CD6613" s="4"/>
      <c r="CF6613" s="4"/>
    </row>
    <row r="6614" spans="66:84">
      <c r="BN6614" s="4"/>
      <c r="BO6614" s="4"/>
      <c r="BQ6614" s="4"/>
      <c r="CC6614" s="4"/>
      <c r="CD6614" s="4"/>
      <c r="CF6614" s="4"/>
    </row>
    <row r="6615" spans="66:84">
      <c r="BN6615" s="4"/>
      <c r="BO6615" s="4"/>
      <c r="BQ6615" s="4"/>
      <c r="CC6615" s="4"/>
      <c r="CD6615" s="4"/>
      <c r="CF6615" s="4"/>
    </row>
    <row r="6616" spans="66:84">
      <c r="BN6616" s="4"/>
      <c r="BO6616" s="4"/>
      <c r="BQ6616" s="4"/>
      <c r="CC6616" s="4"/>
      <c r="CD6616" s="4"/>
      <c r="CF6616" s="4"/>
    </row>
    <row r="6617" spans="66:84">
      <c r="BN6617" s="4"/>
      <c r="BO6617" s="4"/>
      <c r="BQ6617" s="4"/>
      <c r="CC6617" s="4"/>
      <c r="CD6617" s="4"/>
      <c r="CF6617" s="4"/>
    </row>
    <row r="6618" spans="66:84">
      <c r="BN6618" s="4"/>
      <c r="BO6618" s="4"/>
      <c r="BQ6618" s="4"/>
      <c r="CC6618" s="4"/>
      <c r="CD6618" s="4"/>
      <c r="CF6618" s="4"/>
    </row>
    <row r="6619" spans="66:84">
      <c r="BN6619" s="4"/>
      <c r="BO6619" s="4"/>
      <c r="BQ6619" s="4"/>
      <c r="CC6619" s="4"/>
      <c r="CD6619" s="4"/>
      <c r="CF6619" s="4"/>
    </row>
    <row r="6620" spans="66:84">
      <c r="BN6620" s="4"/>
      <c r="BO6620" s="4"/>
      <c r="BQ6620" s="4"/>
      <c r="CC6620" s="4"/>
      <c r="CD6620" s="4"/>
      <c r="CF6620" s="4"/>
    </row>
    <row r="6621" spans="66:84">
      <c r="BN6621" s="4"/>
      <c r="BO6621" s="4"/>
      <c r="BQ6621" s="4"/>
      <c r="CC6621" s="4"/>
      <c r="CD6621" s="4"/>
      <c r="CF6621" s="4"/>
    </row>
    <row r="6622" spans="66:84">
      <c r="BN6622" s="4"/>
      <c r="BO6622" s="4"/>
      <c r="BQ6622" s="4"/>
      <c r="CC6622" s="4"/>
      <c r="CD6622" s="4"/>
      <c r="CF6622" s="4"/>
    </row>
    <row r="6623" spans="66:84">
      <c r="BN6623" s="4"/>
      <c r="BO6623" s="4"/>
      <c r="BQ6623" s="4"/>
      <c r="CC6623" s="4"/>
      <c r="CD6623" s="4"/>
      <c r="CF6623" s="4"/>
    </row>
    <row r="6624" spans="66:84">
      <c r="BN6624" s="4"/>
      <c r="BO6624" s="4"/>
      <c r="BQ6624" s="4"/>
      <c r="CC6624" s="4"/>
      <c r="CD6624" s="4"/>
      <c r="CF6624" s="4"/>
    </row>
    <row r="6625" spans="66:84">
      <c r="BN6625" s="4"/>
      <c r="BO6625" s="4"/>
      <c r="BQ6625" s="4"/>
      <c r="CC6625" s="4"/>
      <c r="CD6625" s="4"/>
      <c r="CF6625" s="4"/>
    </row>
    <row r="6626" spans="66:84">
      <c r="BN6626" s="4"/>
      <c r="BO6626" s="4"/>
      <c r="BQ6626" s="4"/>
      <c r="CC6626" s="4"/>
      <c r="CD6626" s="4"/>
      <c r="CF6626" s="4"/>
    </row>
    <row r="6627" spans="66:84">
      <c r="BN6627" s="4"/>
      <c r="BO6627" s="4"/>
      <c r="BQ6627" s="4"/>
      <c r="CC6627" s="4"/>
      <c r="CD6627" s="4"/>
      <c r="CF6627" s="4"/>
    </row>
    <row r="6628" spans="66:84">
      <c r="BN6628" s="4"/>
      <c r="BO6628" s="4"/>
      <c r="BQ6628" s="4"/>
      <c r="CC6628" s="4"/>
      <c r="CD6628" s="4"/>
      <c r="CF6628" s="4"/>
    </row>
    <row r="6629" spans="66:84">
      <c r="BN6629" s="4"/>
      <c r="BO6629" s="4"/>
      <c r="BQ6629" s="4"/>
      <c r="CC6629" s="4"/>
      <c r="CD6629" s="4"/>
      <c r="CF6629" s="4"/>
    </row>
    <row r="6630" spans="66:84">
      <c r="BN6630" s="4"/>
      <c r="BO6630" s="4"/>
      <c r="BQ6630" s="4"/>
      <c r="CC6630" s="4"/>
      <c r="CD6630" s="4"/>
      <c r="CF6630" s="4"/>
    </row>
    <row r="6631" spans="66:84">
      <c r="BN6631" s="4"/>
      <c r="BO6631" s="4"/>
      <c r="BQ6631" s="4"/>
      <c r="CC6631" s="4"/>
      <c r="CD6631" s="4"/>
      <c r="CF6631" s="4"/>
    </row>
    <row r="6632" spans="66:84">
      <c r="BN6632" s="4"/>
      <c r="BO6632" s="4"/>
      <c r="BQ6632" s="4"/>
      <c r="CC6632" s="4"/>
      <c r="CD6632" s="4"/>
      <c r="CF6632" s="4"/>
    </row>
    <row r="6633" spans="66:84">
      <c r="BN6633" s="4"/>
      <c r="BO6633" s="4"/>
      <c r="BQ6633" s="4"/>
      <c r="CC6633" s="4"/>
      <c r="CD6633" s="4"/>
      <c r="CF6633" s="4"/>
    </row>
    <row r="6634" spans="66:84">
      <c r="BN6634" s="4"/>
      <c r="BO6634" s="4"/>
      <c r="BQ6634" s="4"/>
      <c r="CC6634" s="4"/>
      <c r="CD6634" s="4"/>
      <c r="CF6634" s="4"/>
    </row>
    <row r="6635" spans="66:84">
      <c r="BN6635" s="4"/>
      <c r="BO6635" s="4"/>
      <c r="BQ6635" s="4"/>
      <c r="CC6635" s="4"/>
      <c r="CD6635" s="4"/>
      <c r="CF6635" s="4"/>
    </row>
    <row r="6636" spans="66:84">
      <c r="BN6636" s="4"/>
      <c r="BO6636" s="4"/>
      <c r="BQ6636" s="4"/>
      <c r="CC6636" s="4"/>
      <c r="CD6636" s="4"/>
      <c r="CF6636" s="4"/>
    </row>
    <row r="6637" spans="66:84">
      <c r="BN6637" s="4"/>
      <c r="BO6637" s="4"/>
      <c r="BQ6637" s="4"/>
      <c r="CC6637" s="4"/>
      <c r="CD6637" s="4"/>
      <c r="CF6637" s="4"/>
    </row>
    <row r="6638" spans="66:84">
      <c r="BN6638" s="4"/>
      <c r="BO6638" s="4"/>
      <c r="BQ6638" s="4"/>
      <c r="CC6638" s="4"/>
      <c r="CD6638" s="4"/>
      <c r="CF6638" s="4"/>
    </row>
    <row r="6639" spans="66:84">
      <c r="BN6639" s="4"/>
      <c r="BO6639" s="4"/>
      <c r="BQ6639" s="4"/>
      <c r="CC6639" s="4"/>
      <c r="CD6639" s="4"/>
      <c r="CF6639" s="4"/>
    </row>
    <row r="6640" spans="66:84">
      <c r="BN6640" s="4"/>
      <c r="BO6640" s="4"/>
      <c r="BQ6640" s="4"/>
      <c r="CC6640" s="4"/>
      <c r="CD6640" s="4"/>
      <c r="CF6640" s="4"/>
    </row>
    <row r="6641" spans="66:84">
      <c r="BN6641" s="4"/>
      <c r="BO6641" s="4"/>
      <c r="BQ6641" s="4"/>
      <c r="CC6641" s="4"/>
      <c r="CD6641" s="4"/>
      <c r="CF6641" s="4"/>
    </row>
    <row r="6642" spans="66:84">
      <c r="BN6642" s="4"/>
      <c r="BO6642" s="4"/>
      <c r="BQ6642" s="4"/>
      <c r="CC6642" s="4"/>
      <c r="CD6642" s="4"/>
      <c r="CF6642" s="4"/>
    </row>
    <row r="6643" spans="66:84">
      <c r="BN6643" s="4"/>
      <c r="BO6643" s="4"/>
      <c r="BQ6643" s="4"/>
      <c r="CC6643" s="4"/>
      <c r="CD6643" s="4"/>
      <c r="CF6643" s="4"/>
    </row>
    <row r="6644" spans="66:84">
      <c r="BN6644" s="4"/>
      <c r="BO6644" s="4"/>
      <c r="BQ6644" s="4"/>
      <c r="CC6644" s="4"/>
      <c r="CD6644" s="4"/>
      <c r="CF6644" s="4"/>
    </row>
    <row r="6645" spans="66:84">
      <c r="BN6645" s="4"/>
      <c r="BO6645" s="4"/>
      <c r="BQ6645" s="4"/>
      <c r="CC6645" s="4"/>
      <c r="CD6645" s="4"/>
      <c r="CF6645" s="4"/>
    </row>
    <row r="6646" spans="66:84">
      <c r="BN6646" s="4"/>
      <c r="BO6646" s="4"/>
      <c r="BQ6646" s="4"/>
      <c r="CC6646" s="4"/>
      <c r="CD6646" s="4"/>
      <c r="CF6646" s="4"/>
    </row>
    <row r="6647" spans="66:84">
      <c r="BN6647" s="4"/>
      <c r="BO6647" s="4"/>
      <c r="BQ6647" s="4"/>
      <c r="CC6647" s="4"/>
      <c r="CD6647" s="4"/>
      <c r="CF6647" s="4"/>
    </row>
    <row r="6648" spans="66:84">
      <c r="BN6648" s="4"/>
      <c r="BO6648" s="4"/>
      <c r="BQ6648" s="4"/>
      <c r="CC6648" s="4"/>
      <c r="CD6648" s="4"/>
      <c r="CF6648" s="4"/>
    </row>
    <row r="6649" spans="66:84">
      <c r="BN6649" s="4"/>
      <c r="BO6649" s="4"/>
      <c r="BQ6649" s="4"/>
      <c r="CC6649" s="4"/>
      <c r="CD6649" s="4"/>
      <c r="CF6649" s="4"/>
    </row>
    <row r="6650" spans="66:84">
      <c r="BN6650" s="4"/>
      <c r="BO6650" s="4"/>
      <c r="BQ6650" s="4"/>
      <c r="CC6650" s="4"/>
      <c r="CD6650" s="4"/>
      <c r="CF6650" s="4"/>
    </row>
    <row r="6651" spans="66:84">
      <c r="BN6651" s="4"/>
      <c r="BO6651" s="4"/>
      <c r="BQ6651" s="4"/>
      <c r="CC6651" s="4"/>
      <c r="CD6651" s="4"/>
      <c r="CF6651" s="4"/>
    </row>
    <row r="6652" spans="66:84">
      <c r="BN6652" s="4"/>
      <c r="BO6652" s="4"/>
      <c r="BQ6652" s="4"/>
      <c r="CC6652" s="4"/>
      <c r="CD6652" s="4"/>
      <c r="CF6652" s="4"/>
    </row>
    <row r="6653" spans="66:84">
      <c r="BN6653" s="4"/>
      <c r="BO6653" s="4"/>
      <c r="BQ6653" s="4"/>
      <c r="CC6653" s="4"/>
      <c r="CD6653" s="4"/>
      <c r="CF6653" s="4"/>
    </row>
    <row r="6654" spans="66:84">
      <c r="BN6654" s="4"/>
      <c r="BO6654" s="4"/>
      <c r="BQ6654" s="4"/>
      <c r="CC6654" s="4"/>
      <c r="CD6654" s="4"/>
      <c r="CF6654" s="4"/>
    </row>
    <row r="6655" spans="66:84">
      <c r="BN6655" s="4"/>
      <c r="BO6655" s="4"/>
      <c r="BQ6655" s="4"/>
      <c r="CC6655" s="4"/>
      <c r="CD6655" s="4"/>
      <c r="CF6655" s="4"/>
    </row>
    <row r="6656" spans="66:84">
      <c r="BN6656" s="4"/>
      <c r="BO6656" s="4"/>
      <c r="BQ6656" s="4"/>
      <c r="CC6656" s="4"/>
      <c r="CD6656" s="4"/>
      <c r="CF6656" s="4"/>
    </row>
    <row r="6657" spans="66:84">
      <c r="BN6657" s="4"/>
      <c r="BO6657" s="4"/>
      <c r="BQ6657" s="4"/>
      <c r="CC6657" s="4"/>
      <c r="CD6657" s="4"/>
      <c r="CF6657" s="4"/>
    </row>
    <row r="6658" spans="66:84">
      <c r="BN6658" s="4"/>
      <c r="BO6658" s="4"/>
      <c r="BQ6658" s="4"/>
      <c r="CC6658" s="4"/>
      <c r="CD6658" s="4"/>
      <c r="CF6658" s="4"/>
    </row>
    <row r="6659" spans="66:84">
      <c r="BN6659" s="4"/>
      <c r="BO6659" s="4"/>
      <c r="BQ6659" s="4"/>
      <c r="CC6659" s="4"/>
      <c r="CD6659" s="4"/>
      <c r="CF6659" s="4"/>
    </row>
    <row r="6660" spans="66:84">
      <c r="BN6660" s="4"/>
      <c r="BO6660" s="4"/>
      <c r="BQ6660" s="4"/>
      <c r="CC6660" s="4"/>
      <c r="CD6660" s="4"/>
      <c r="CF6660" s="4"/>
    </row>
    <row r="6661" spans="66:84">
      <c r="BN6661" s="4"/>
      <c r="BO6661" s="4"/>
      <c r="BQ6661" s="4"/>
      <c r="CC6661" s="4"/>
      <c r="CD6661" s="4"/>
      <c r="CF6661" s="4"/>
    </row>
    <row r="6662" spans="66:84">
      <c r="BN6662" s="4"/>
      <c r="BO6662" s="4"/>
      <c r="BQ6662" s="4"/>
      <c r="CC6662" s="4"/>
      <c r="CD6662" s="4"/>
      <c r="CF6662" s="4"/>
    </row>
    <row r="6663" spans="66:84">
      <c r="BN6663" s="4"/>
      <c r="BO6663" s="4"/>
      <c r="BQ6663" s="4"/>
      <c r="CC6663" s="4"/>
      <c r="CD6663" s="4"/>
      <c r="CF6663" s="4"/>
    </row>
    <row r="6664" spans="66:84">
      <c r="BN6664" s="4"/>
      <c r="BO6664" s="4"/>
      <c r="BQ6664" s="4"/>
      <c r="CC6664" s="4"/>
      <c r="CD6664" s="4"/>
      <c r="CF6664" s="4"/>
    </row>
    <row r="6665" spans="66:84">
      <c r="BN6665" s="4"/>
      <c r="BO6665" s="4"/>
      <c r="BQ6665" s="4"/>
      <c r="CC6665" s="4"/>
      <c r="CD6665" s="4"/>
      <c r="CF6665" s="4"/>
    </row>
    <row r="6666" spans="66:84">
      <c r="BN6666" s="4"/>
      <c r="BO6666" s="4"/>
      <c r="BQ6666" s="4"/>
      <c r="CC6666" s="4"/>
      <c r="CD6666" s="4"/>
      <c r="CF6666" s="4"/>
    </row>
    <row r="6667" spans="66:84">
      <c r="BN6667" s="4"/>
      <c r="BO6667" s="4"/>
      <c r="BQ6667" s="4"/>
      <c r="CC6667" s="4"/>
      <c r="CD6667" s="4"/>
      <c r="CF6667" s="4"/>
    </row>
    <row r="6668" spans="66:84">
      <c r="BN6668" s="4"/>
      <c r="BO6668" s="4"/>
      <c r="BQ6668" s="4"/>
      <c r="CC6668" s="4"/>
      <c r="CD6668" s="4"/>
      <c r="CF6668" s="4"/>
    </row>
    <row r="6669" spans="66:84">
      <c r="BN6669" s="4"/>
      <c r="BO6669" s="4"/>
      <c r="BQ6669" s="4"/>
      <c r="CC6669" s="4"/>
      <c r="CD6669" s="4"/>
      <c r="CF6669" s="4"/>
    </row>
    <row r="6670" spans="66:84">
      <c r="BN6670" s="4"/>
      <c r="BO6670" s="4"/>
      <c r="BQ6670" s="4"/>
      <c r="CC6670" s="4"/>
      <c r="CD6670" s="4"/>
      <c r="CF6670" s="4"/>
    </row>
    <row r="6671" spans="66:84">
      <c r="BN6671" s="4"/>
      <c r="BO6671" s="4"/>
      <c r="BQ6671" s="4"/>
      <c r="CC6671" s="4"/>
      <c r="CD6671" s="4"/>
      <c r="CF6671" s="4"/>
    </row>
    <row r="6672" spans="66:84">
      <c r="BN6672" s="4"/>
      <c r="BO6672" s="4"/>
      <c r="BQ6672" s="4"/>
      <c r="CC6672" s="4"/>
      <c r="CD6672" s="4"/>
      <c r="CF6672" s="4"/>
    </row>
    <row r="6673" spans="66:84">
      <c r="BN6673" s="4"/>
      <c r="BO6673" s="4"/>
      <c r="BQ6673" s="4"/>
      <c r="CC6673" s="4"/>
      <c r="CD6673" s="4"/>
      <c r="CF6673" s="4"/>
    </row>
    <row r="6674" spans="66:84">
      <c r="BN6674" s="4"/>
      <c r="BO6674" s="4"/>
      <c r="BQ6674" s="4"/>
      <c r="CC6674" s="4"/>
      <c r="CD6674" s="4"/>
      <c r="CF6674" s="4"/>
    </row>
    <row r="6675" spans="66:84">
      <c r="BN6675" s="4"/>
      <c r="BO6675" s="4"/>
      <c r="BQ6675" s="4"/>
      <c r="CC6675" s="4"/>
      <c r="CD6675" s="4"/>
      <c r="CF6675" s="4"/>
    </row>
    <row r="6676" spans="66:84">
      <c r="BN6676" s="4"/>
      <c r="BO6676" s="4"/>
      <c r="BQ6676" s="4"/>
      <c r="CC6676" s="4"/>
      <c r="CD6676" s="4"/>
      <c r="CF6676" s="4"/>
    </row>
    <row r="6677" spans="66:84">
      <c r="BN6677" s="4"/>
      <c r="BO6677" s="4"/>
      <c r="BQ6677" s="4"/>
      <c r="CC6677" s="4"/>
      <c r="CD6677" s="4"/>
      <c r="CF6677" s="4"/>
    </row>
    <row r="6678" spans="66:84">
      <c r="BN6678" s="4"/>
      <c r="BO6678" s="4"/>
      <c r="BQ6678" s="4"/>
      <c r="CC6678" s="4"/>
      <c r="CD6678" s="4"/>
      <c r="CF6678" s="4"/>
    </row>
    <row r="6679" spans="66:84">
      <c r="BN6679" s="4"/>
      <c r="BO6679" s="4"/>
      <c r="BQ6679" s="4"/>
      <c r="CC6679" s="4"/>
      <c r="CD6679" s="4"/>
      <c r="CF6679" s="4"/>
    </row>
    <row r="6680" spans="66:84">
      <c r="BN6680" s="4"/>
      <c r="BO6680" s="4"/>
      <c r="BQ6680" s="4"/>
      <c r="CC6680" s="4"/>
      <c r="CD6680" s="4"/>
      <c r="CF6680" s="4"/>
    </row>
    <row r="6681" spans="66:84">
      <c r="BN6681" s="4"/>
      <c r="BO6681" s="4"/>
      <c r="BQ6681" s="4"/>
      <c r="CC6681" s="4"/>
      <c r="CD6681" s="4"/>
      <c r="CF6681" s="4"/>
    </row>
    <row r="6682" spans="66:84">
      <c r="BN6682" s="4"/>
      <c r="BO6682" s="4"/>
      <c r="BQ6682" s="4"/>
      <c r="CC6682" s="4"/>
      <c r="CD6682" s="4"/>
      <c r="CF6682" s="4"/>
    </row>
    <row r="6683" spans="66:84">
      <c r="BN6683" s="4"/>
      <c r="BO6683" s="4"/>
      <c r="BQ6683" s="4"/>
      <c r="CC6683" s="4"/>
      <c r="CD6683" s="4"/>
      <c r="CF6683" s="4"/>
    </row>
    <row r="6684" spans="66:84">
      <c r="BN6684" s="4"/>
      <c r="BO6684" s="4"/>
      <c r="BQ6684" s="4"/>
      <c r="CC6684" s="4"/>
      <c r="CD6684" s="4"/>
      <c r="CF6684" s="4"/>
    </row>
    <row r="6685" spans="66:84">
      <c r="BN6685" s="4"/>
      <c r="BO6685" s="4"/>
      <c r="BQ6685" s="4"/>
      <c r="CC6685" s="4"/>
      <c r="CD6685" s="4"/>
      <c r="CF6685" s="4"/>
    </row>
    <row r="6686" spans="66:84">
      <c r="BN6686" s="4"/>
      <c r="BO6686" s="4"/>
      <c r="BQ6686" s="4"/>
      <c r="CC6686" s="4"/>
      <c r="CD6686" s="4"/>
      <c r="CF6686" s="4"/>
    </row>
    <row r="6687" spans="66:84">
      <c r="BN6687" s="4"/>
      <c r="BO6687" s="4"/>
      <c r="BQ6687" s="4"/>
      <c r="CC6687" s="4"/>
      <c r="CD6687" s="4"/>
      <c r="CF6687" s="4"/>
    </row>
    <row r="6688" spans="66:84">
      <c r="BN6688" s="4"/>
      <c r="BO6688" s="4"/>
      <c r="BQ6688" s="4"/>
      <c r="CC6688" s="4"/>
      <c r="CD6688" s="4"/>
      <c r="CF6688" s="4"/>
    </row>
    <row r="6689" spans="66:84">
      <c r="BN6689" s="4"/>
      <c r="BO6689" s="4"/>
      <c r="BQ6689" s="4"/>
      <c r="CC6689" s="4"/>
      <c r="CD6689" s="4"/>
      <c r="CF6689" s="4"/>
    </row>
    <row r="6690" spans="66:84">
      <c r="BN6690" s="4"/>
      <c r="BO6690" s="4"/>
      <c r="BQ6690" s="4"/>
      <c r="CC6690" s="4"/>
      <c r="CD6690" s="4"/>
      <c r="CF6690" s="4"/>
    </row>
    <row r="6691" spans="66:84">
      <c r="BN6691" s="4"/>
      <c r="BO6691" s="4"/>
      <c r="BQ6691" s="4"/>
      <c r="CC6691" s="4"/>
      <c r="CD6691" s="4"/>
      <c r="CF6691" s="4"/>
    </row>
    <row r="6692" spans="66:84">
      <c r="BN6692" s="4"/>
      <c r="BO6692" s="4"/>
      <c r="BQ6692" s="4"/>
      <c r="CC6692" s="4"/>
      <c r="CD6692" s="4"/>
      <c r="CF6692" s="4"/>
    </row>
    <row r="6693" spans="66:84">
      <c r="BN6693" s="4"/>
      <c r="BO6693" s="4"/>
      <c r="BQ6693" s="4"/>
      <c r="CC6693" s="4"/>
      <c r="CD6693" s="4"/>
      <c r="CF6693" s="4"/>
    </row>
    <row r="6694" spans="66:84">
      <c r="BN6694" s="4"/>
      <c r="BO6694" s="4"/>
      <c r="BQ6694" s="4"/>
      <c r="CC6694" s="4"/>
      <c r="CD6694" s="4"/>
      <c r="CF6694" s="4"/>
    </row>
    <row r="6695" spans="66:84">
      <c r="BN6695" s="4"/>
      <c r="BO6695" s="4"/>
      <c r="BQ6695" s="4"/>
      <c r="CC6695" s="4"/>
      <c r="CD6695" s="4"/>
      <c r="CF6695" s="4"/>
    </row>
    <row r="6696" spans="66:84">
      <c r="BN6696" s="4"/>
      <c r="BO6696" s="4"/>
      <c r="BQ6696" s="4"/>
      <c r="CC6696" s="4"/>
      <c r="CD6696" s="4"/>
      <c r="CF6696" s="4"/>
    </row>
    <row r="6697" spans="66:84">
      <c r="BN6697" s="4"/>
      <c r="BO6697" s="4"/>
      <c r="BQ6697" s="4"/>
      <c r="CC6697" s="4"/>
      <c r="CD6697" s="4"/>
      <c r="CF6697" s="4"/>
    </row>
    <row r="6698" spans="66:84">
      <c r="BN6698" s="4"/>
      <c r="BO6698" s="4"/>
      <c r="BQ6698" s="4"/>
      <c r="CC6698" s="4"/>
      <c r="CD6698" s="4"/>
      <c r="CF6698" s="4"/>
    </row>
    <row r="6699" spans="66:84">
      <c r="BN6699" s="4"/>
      <c r="BO6699" s="4"/>
      <c r="BQ6699" s="4"/>
      <c r="CC6699" s="4"/>
      <c r="CD6699" s="4"/>
      <c r="CF6699" s="4"/>
    </row>
    <row r="6700" spans="66:84">
      <c r="BN6700" s="4"/>
      <c r="BO6700" s="4"/>
      <c r="BQ6700" s="4"/>
      <c r="CC6700" s="4"/>
      <c r="CD6700" s="4"/>
      <c r="CF6700" s="4"/>
    </row>
    <row r="6701" spans="66:84">
      <c r="BN6701" s="4"/>
      <c r="BO6701" s="4"/>
      <c r="BQ6701" s="4"/>
      <c r="CC6701" s="4"/>
      <c r="CD6701" s="4"/>
      <c r="CF6701" s="4"/>
    </row>
    <row r="6702" spans="66:84">
      <c r="BN6702" s="4"/>
      <c r="BO6702" s="4"/>
      <c r="BQ6702" s="4"/>
      <c r="CC6702" s="4"/>
      <c r="CD6702" s="4"/>
      <c r="CF6702" s="4"/>
    </row>
    <row r="6703" spans="66:84">
      <c r="BN6703" s="4"/>
      <c r="BO6703" s="4"/>
      <c r="BQ6703" s="4"/>
      <c r="CC6703" s="4"/>
      <c r="CD6703" s="4"/>
      <c r="CF6703" s="4"/>
    </row>
    <row r="6704" spans="66:84">
      <c r="BN6704" s="4"/>
      <c r="BO6704" s="4"/>
      <c r="BQ6704" s="4"/>
      <c r="CC6704" s="4"/>
      <c r="CD6704" s="4"/>
      <c r="CF6704" s="4"/>
    </row>
    <row r="6705" spans="66:84">
      <c r="BN6705" s="4"/>
      <c r="BO6705" s="4"/>
      <c r="BQ6705" s="4"/>
      <c r="CC6705" s="4"/>
      <c r="CD6705" s="4"/>
      <c r="CF6705" s="4"/>
    </row>
    <row r="6706" spans="66:84">
      <c r="BN6706" s="4"/>
      <c r="BO6706" s="4"/>
      <c r="BQ6706" s="4"/>
      <c r="CC6706" s="4"/>
      <c r="CD6706" s="4"/>
      <c r="CF6706" s="4"/>
    </row>
    <row r="6707" spans="66:84">
      <c r="BN6707" s="4"/>
      <c r="BO6707" s="4"/>
      <c r="BQ6707" s="4"/>
      <c r="CC6707" s="4"/>
      <c r="CD6707" s="4"/>
      <c r="CF6707" s="4"/>
    </row>
    <row r="6708" spans="66:84">
      <c r="BN6708" s="4"/>
      <c r="BO6708" s="4"/>
      <c r="BQ6708" s="4"/>
      <c r="CC6708" s="4"/>
      <c r="CD6708" s="4"/>
      <c r="CF6708" s="4"/>
    </row>
    <row r="6709" spans="66:84">
      <c r="BN6709" s="4"/>
      <c r="BO6709" s="4"/>
      <c r="BQ6709" s="4"/>
      <c r="CC6709" s="4"/>
      <c r="CD6709" s="4"/>
      <c r="CF6709" s="4"/>
    </row>
    <row r="6710" spans="66:84">
      <c r="BN6710" s="4"/>
      <c r="BO6710" s="4"/>
      <c r="BQ6710" s="4"/>
      <c r="CC6710" s="4"/>
      <c r="CD6710" s="4"/>
      <c r="CF6710" s="4"/>
    </row>
    <row r="6711" spans="66:84">
      <c r="BN6711" s="4"/>
      <c r="BO6711" s="4"/>
      <c r="BQ6711" s="4"/>
      <c r="CC6711" s="4"/>
      <c r="CD6711" s="4"/>
      <c r="CF6711" s="4"/>
    </row>
    <row r="6712" spans="66:84">
      <c r="BN6712" s="4"/>
      <c r="BO6712" s="4"/>
      <c r="BQ6712" s="4"/>
      <c r="CC6712" s="4"/>
      <c r="CD6712" s="4"/>
      <c r="CF6712" s="4"/>
    </row>
    <row r="6713" spans="66:84">
      <c r="BN6713" s="4"/>
      <c r="BO6713" s="4"/>
      <c r="BQ6713" s="4"/>
      <c r="CC6713" s="4"/>
      <c r="CD6713" s="4"/>
      <c r="CF6713" s="4"/>
    </row>
    <row r="6714" spans="66:84">
      <c r="BN6714" s="4"/>
      <c r="BO6714" s="4"/>
      <c r="BQ6714" s="4"/>
      <c r="CC6714" s="4"/>
      <c r="CD6714" s="4"/>
      <c r="CF6714" s="4"/>
    </row>
    <row r="6715" spans="66:84">
      <c r="BN6715" s="4"/>
      <c r="BO6715" s="4"/>
      <c r="BQ6715" s="4"/>
      <c r="CC6715" s="4"/>
      <c r="CD6715" s="4"/>
      <c r="CF6715" s="4"/>
    </row>
    <row r="6716" spans="66:84">
      <c r="BN6716" s="4"/>
      <c r="BO6716" s="4"/>
      <c r="BQ6716" s="4"/>
      <c r="CC6716" s="4"/>
      <c r="CD6716" s="4"/>
      <c r="CF6716" s="4"/>
    </row>
    <row r="6717" spans="66:84">
      <c r="BN6717" s="4"/>
      <c r="BO6717" s="4"/>
      <c r="BQ6717" s="4"/>
      <c r="CC6717" s="4"/>
      <c r="CD6717" s="4"/>
      <c r="CF6717" s="4"/>
    </row>
    <row r="6718" spans="66:84">
      <c r="BN6718" s="4"/>
      <c r="BO6718" s="4"/>
      <c r="BQ6718" s="4"/>
      <c r="CC6718" s="4"/>
      <c r="CD6718" s="4"/>
      <c r="CF6718" s="4"/>
    </row>
    <row r="6719" spans="66:84">
      <c r="BN6719" s="4"/>
      <c r="BO6719" s="4"/>
      <c r="BQ6719" s="4"/>
      <c r="CC6719" s="4"/>
      <c r="CD6719" s="4"/>
      <c r="CF6719" s="4"/>
    </row>
    <row r="6720" spans="66:84">
      <c r="BN6720" s="4"/>
      <c r="BO6720" s="4"/>
      <c r="BQ6720" s="4"/>
      <c r="CC6720" s="4"/>
      <c r="CD6720" s="4"/>
      <c r="CF6720" s="4"/>
    </row>
    <row r="6721" spans="66:84">
      <c r="BN6721" s="4"/>
      <c r="BO6721" s="4"/>
      <c r="BQ6721" s="4"/>
      <c r="CC6721" s="4"/>
      <c r="CD6721" s="4"/>
      <c r="CF6721" s="4"/>
    </row>
    <row r="6722" spans="66:84">
      <c r="BN6722" s="4"/>
      <c r="BO6722" s="4"/>
      <c r="BQ6722" s="4"/>
      <c r="CC6722" s="4"/>
      <c r="CD6722" s="4"/>
      <c r="CF6722" s="4"/>
    </row>
    <row r="6723" spans="66:84">
      <c r="BN6723" s="4"/>
      <c r="BO6723" s="4"/>
      <c r="BQ6723" s="4"/>
      <c r="CC6723" s="4"/>
      <c r="CD6723" s="4"/>
      <c r="CF6723" s="4"/>
    </row>
    <row r="6724" spans="66:84">
      <c r="BN6724" s="4"/>
      <c r="BO6724" s="4"/>
      <c r="BQ6724" s="4"/>
      <c r="CC6724" s="4"/>
      <c r="CD6724" s="4"/>
      <c r="CF6724" s="4"/>
    </row>
    <row r="6725" spans="66:84">
      <c r="BN6725" s="4"/>
      <c r="BO6725" s="4"/>
      <c r="BQ6725" s="4"/>
      <c r="CC6725" s="4"/>
      <c r="CD6725" s="4"/>
      <c r="CF6725" s="4"/>
    </row>
    <row r="6726" spans="66:84">
      <c r="BN6726" s="4"/>
      <c r="BO6726" s="4"/>
      <c r="BQ6726" s="4"/>
      <c r="CC6726" s="4"/>
      <c r="CD6726" s="4"/>
      <c r="CF6726" s="4"/>
    </row>
    <row r="6727" spans="66:84">
      <c r="BN6727" s="4"/>
      <c r="BO6727" s="4"/>
      <c r="BQ6727" s="4"/>
      <c r="CC6727" s="4"/>
      <c r="CD6727" s="4"/>
      <c r="CF6727" s="4"/>
    </row>
    <row r="6728" spans="66:84">
      <c r="BN6728" s="4"/>
      <c r="BO6728" s="4"/>
      <c r="BQ6728" s="4"/>
      <c r="CC6728" s="4"/>
      <c r="CD6728" s="4"/>
      <c r="CF6728" s="4"/>
    </row>
    <row r="6729" spans="66:84">
      <c r="BN6729" s="4"/>
      <c r="BO6729" s="4"/>
      <c r="BQ6729" s="4"/>
      <c r="CC6729" s="4"/>
      <c r="CD6729" s="4"/>
      <c r="CF6729" s="4"/>
    </row>
    <row r="6730" spans="66:84">
      <c r="BN6730" s="4"/>
      <c r="BO6730" s="4"/>
      <c r="BQ6730" s="4"/>
      <c r="CC6730" s="4"/>
      <c r="CD6730" s="4"/>
      <c r="CF6730" s="4"/>
    </row>
    <row r="6731" spans="66:84">
      <c r="BN6731" s="4"/>
      <c r="BO6731" s="4"/>
      <c r="BQ6731" s="4"/>
      <c r="CC6731" s="4"/>
      <c r="CD6731" s="4"/>
      <c r="CF6731" s="4"/>
    </row>
    <row r="6732" spans="66:84">
      <c r="BN6732" s="4"/>
      <c r="BO6732" s="4"/>
      <c r="BQ6732" s="4"/>
      <c r="CC6732" s="4"/>
      <c r="CD6732" s="4"/>
      <c r="CF6732" s="4"/>
    </row>
    <row r="6733" spans="66:84">
      <c r="BN6733" s="4"/>
      <c r="BO6733" s="4"/>
      <c r="BQ6733" s="4"/>
      <c r="CC6733" s="4"/>
      <c r="CD6733" s="4"/>
      <c r="CF6733" s="4"/>
    </row>
    <row r="6734" spans="66:84">
      <c r="BN6734" s="4"/>
      <c r="BO6734" s="4"/>
      <c r="BQ6734" s="4"/>
      <c r="CC6734" s="4"/>
      <c r="CD6734" s="4"/>
      <c r="CF6734" s="4"/>
    </row>
    <row r="6735" spans="66:84">
      <c r="BN6735" s="4"/>
      <c r="BO6735" s="4"/>
      <c r="BQ6735" s="4"/>
      <c r="CC6735" s="4"/>
      <c r="CD6735" s="4"/>
      <c r="CF6735" s="4"/>
    </row>
    <row r="6736" spans="66:84">
      <c r="BN6736" s="4"/>
      <c r="BO6736" s="4"/>
      <c r="BQ6736" s="4"/>
      <c r="CC6736" s="4"/>
      <c r="CD6736" s="4"/>
      <c r="CF6736" s="4"/>
    </row>
    <row r="6737" spans="66:84">
      <c r="BN6737" s="4"/>
      <c r="BO6737" s="4"/>
      <c r="BQ6737" s="4"/>
      <c r="CC6737" s="4"/>
      <c r="CD6737" s="4"/>
      <c r="CF6737" s="4"/>
    </row>
    <row r="6738" spans="66:84">
      <c r="BN6738" s="4"/>
      <c r="BO6738" s="4"/>
      <c r="BQ6738" s="4"/>
      <c r="CC6738" s="4"/>
      <c r="CD6738" s="4"/>
      <c r="CF6738" s="4"/>
    </row>
    <row r="6739" spans="66:84">
      <c r="BN6739" s="4"/>
      <c r="BO6739" s="4"/>
      <c r="BQ6739" s="4"/>
      <c r="CC6739" s="4"/>
      <c r="CD6739" s="4"/>
      <c r="CF6739" s="4"/>
    </row>
    <row r="6740" spans="66:84">
      <c r="BN6740" s="4"/>
      <c r="BO6740" s="4"/>
      <c r="BQ6740" s="4"/>
      <c r="CC6740" s="4"/>
      <c r="CD6740" s="4"/>
      <c r="CF6740" s="4"/>
    </row>
    <row r="6741" spans="66:84">
      <c r="BN6741" s="4"/>
      <c r="BO6741" s="4"/>
      <c r="BQ6741" s="4"/>
      <c r="CC6741" s="4"/>
      <c r="CD6741" s="4"/>
      <c r="CF6741" s="4"/>
    </row>
    <row r="6742" spans="66:84">
      <c r="BN6742" s="4"/>
      <c r="BO6742" s="4"/>
      <c r="BQ6742" s="4"/>
      <c r="CC6742" s="4"/>
      <c r="CD6742" s="4"/>
      <c r="CF6742" s="4"/>
    </row>
    <row r="6743" spans="66:84">
      <c r="BN6743" s="4"/>
      <c r="BO6743" s="4"/>
      <c r="BQ6743" s="4"/>
      <c r="CC6743" s="4"/>
      <c r="CD6743" s="4"/>
      <c r="CF6743" s="4"/>
    </row>
    <row r="6744" spans="66:84">
      <c r="BN6744" s="4"/>
      <c r="BO6744" s="4"/>
      <c r="BQ6744" s="4"/>
      <c r="CC6744" s="4"/>
      <c r="CD6744" s="4"/>
      <c r="CF6744" s="4"/>
    </row>
    <row r="6745" spans="66:84">
      <c r="BN6745" s="4"/>
      <c r="BO6745" s="4"/>
      <c r="BQ6745" s="4"/>
      <c r="CC6745" s="4"/>
      <c r="CD6745" s="4"/>
      <c r="CF6745" s="4"/>
    </row>
    <row r="6746" spans="66:84">
      <c r="BN6746" s="4"/>
      <c r="BO6746" s="4"/>
      <c r="BQ6746" s="4"/>
      <c r="CC6746" s="4"/>
      <c r="CD6746" s="4"/>
      <c r="CF6746" s="4"/>
    </row>
    <row r="6747" spans="66:84">
      <c r="BN6747" s="4"/>
      <c r="BO6747" s="4"/>
      <c r="BQ6747" s="4"/>
      <c r="CC6747" s="4"/>
      <c r="CD6747" s="4"/>
      <c r="CF6747" s="4"/>
    </row>
    <row r="6748" spans="66:84">
      <c r="BN6748" s="4"/>
      <c r="BO6748" s="4"/>
      <c r="BQ6748" s="4"/>
      <c r="CC6748" s="4"/>
      <c r="CD6748" s="4"/>
      <c r="CF6748" s="4"/>
    </row>
    <row r="6749" spans="66:84">
      <c r="BN6749" s="4"/>
      <c r="BO6749" s="4"/>
      <c r="BQ6749" s="4"/>
      <c r="CC6749" s="4"/>
      <c r="CD6749" s="4"/>
      <c r="CF6749" s="4"/>
    </row>
    <row r="6750" spans="66:84">
      <c r="BN6750" s="4"/>
      <c r="BO6750" s="4"/>
      <c r="BQ6750" s="4"/>
      <c r="CC6750" s="4"/>
      <c r="CD6750" s="4"/>
      <c r="CF6750" s="4"/>
    </row>
    <row r="6751" spans="66:84">
      <c r="BN6751" s="4"/>
      <c r="BO6751" s="4"/>
      <c r="BQ6751" s="4"/>
      <c r="CC6751" s="4"/>
      <c r="CD6751" s="4"/>
      <c r="CF6751" s="4"/>
    </row>
    <row r="6752" spans="66:84">
      <c r="BN6752" s="4"/>
      <c r="BO6752" s="4"/>
      <c r="BQ6752" s="4"/>
      <c r="CC6752" s="4"/>
      <c r="CD6752" s="4"/>
      <c r="CF6752" s="4"/>
    </row>
    <row r="6753" spans="66:84">
      <c r="BN6753" s="4"/>
      <c r="BO6753" s="4"/>
      <c r="BQ6753" s="4"/>
      <c r="CC6753" s="4"/>
      <c r="CD6753" s="4"/>
      <c r="CF6753" s="4"/>
    </row>
    <row r="6754" spans="66:84">
      <c r="BN6754" s="4"/>
      <c r="BO6754" s="4"/>
      <c r="BQ6754" s="4"/>
      <c r="CC6754" s="4"/>
      <c r="CD6754" s="4"/>
      <c r="CF6754" s="4"/>
    </row>
    <row r="6755" spans="66:84">
      <c r="BN6755" s="4"/>
      <c r="BO6755" s="4"/>
      <c r="BQ6755" s="4"/>
      <c r="CC6755" s="4"/>
      <c r="CD6755" s="4"/>
      <c r="CF6755" s="4"/>
    </row>
    <row r="6756" spans="66:84">
      <c r="BN6756" s="4"/>
      <c r="BO6756" s="4"/>
      <c r="BQ6756" s="4"/>
      <c r="CC6756" s="4"/>
      <c r="CD6756" s="4"/>
      <c r="CF6756" s="4"/>
    </row>
    <row r="6757" spans="66:84">
      <c r="BN6757" s="4"/>
      <c r="BO6757" s="4"/>
      <c r="BQ6757" s="4"/>
      <c r="CC6757" s="4"/>
      <c r="CD6757" s="4"/>
      <c r="CF6757" s="4"/>
    </row>
    <row r="6758" spans="66:84">
      <c r="BN6758" s="4"/>
      <c r="BO6758" s="4"/>
      <c r="BQ6758" s="4"/>
      <c r="CC6758" s="4"/>
      <c r="CD6758" s="4"/>
      <c r="CF6758" s="4"/>
    </row>
    <row r="6759" spans="66:84">
      <c r="BN6759" s="4"/>
      <c r="BO6759" s="4"/>
      <c r="BQ6759" s="4"/>
      <c r="CC6759" s="4"/>
      <c r="CD6759" s="4"/>
      <c r="CF6759" s="4"/>
    </row>
    <row r="6760" spans="66:84">
      <c r="BN6760" s="4"/>
      <c r="BO6760" s="4"/>
      <c r="BQ6760" s="4"/>
      <c r="CC6760" s="4"/>
      <c r="CD6760" s="4"/>
      <c r="CF6760" s="4"/>
    </row>
    <row r="6761" spans="66:84">
      <c r="BN6761" s="4"/>
      <c r="BO6761" s="4"/>
      <c r="BQ6761" s="4"/>
      <c r="CC6761" s="4"/>
      <c r="CD6761" s="4"/>
      <c r="CF6761" s="4"/>
    </row>
    <row r="6762" spans="66:84">
      <c r="BN6762" s="4"/>
      <c r="BO6762" s="4"/>
      <c r="BQ6762" s="4"/>
      <c r="CC6762" s="4"/>
      <c r="CD6762" s="4"/>
      <c r="CF6762" s="4"/>
    </row>
    <row r="6763" spans="66:84">
      <c r="BN6763" s="4"/>
      <c r="BO6763" s="4"/>
      <c r="BQ6763" s="4"/>
      <c r="CC6763" s="4"/>
      <c r="CD6763" s="4"/>
      <c r="CF6763" s="4"/>
    </row>
    <row r="6764" spans="66:84">
      <c r="BN6764" s="4"/>
      <c r="BO6764" s="4"/>
      <c r="BQ6764" s="4"/>
      <c r="CC6764" s="4"/>
      <c r="CD6764" s="4"/>
      <c r="CF6764" s="4"/>
    </row>
    <row r="6765" spans="66:84">
      <c r="BN6765" s="4"/>
      <c r="BO6765" s="4"/>
      <c r="BQ6765" s="4"/>
      <c r="CC6765" s="4"/>
      <c r="CD6765" s="4"/>
      <c r="CF6765" s="4"/>
    </row>
    <row r="6766" spans="66:84">
      <c r="BN6766" s="4"/>
      <c r="BO6766" s="4"/>
      <c r="BQ6766" s="4"/>
      <c r="CC6766" s="4"/>
      <c r="CD6766" s="4"/>
      <c r="CF6766" s="4"/>
    </row>
    <row r="6767" spans="66:84">
      <c r="BN6767" s="4"/>
      <c r="BO6767" s="4"/>
      <c r="BQ6767" s="4"/>
      <c r="CC6767" s="4"/>
      <c r="CD6767" s="4"/>
      <c r="CF6767" s="4"/>
    </row>
    <row r="6768" spans="66:84">
      <c r="BN6768" s="4"/>
      <c r="BO6768" s="4"/>
      <c r="BQ6768" s="4"/>
      <c r="CC6768" s="4"/>
      <c r="CD6768" s="4"/>
      <c r="CF6768" s="4"/>
    </row>
    <row r="6769" spans="66:84">
      <c r="BN6769" s="4"/>
      <c r="BO6769" s="4"/>
      <c r="BQ6769" s="4"/>
      <c r="CC6769" s="4"/>
      <c r="CD6769" s="4"/>
      <c r="CF6769" s="4"/>
    </row>
    <row r="6770" spans="66:84">
      <c r="BN6770" s="4"/>
      <c r="BO6770" s="4"/>
      <c r="BQ6770" s="4"/>
      <c r="CC6770" s="4"/>
      <c r="CD6770" s="4"/>
      <c r="CF6770" s="4"/>
    </row>
    <row r="6771" spans="66:84">
      <c r="BN6771" s="4"/>
      <c r="BO6771" s="4"/>
      <c r="BQ6771" s="4"/>
      <c r="CC6771" s="4"/>
      <c r="CD6771" s="4"/>
      <c r="CF6771" s="4"/>
    </row>
    <row r="6772" spans="66:84">
      <c r="BN6772" s="4"/>
      <c r="BO6772" s="4"/>
      <c r="BQ6772" s="4"/>
      <c r="CC6772" s="4"/>
      <c r="CD6772" s="4"/>
      <c r="CF6772" s="4"/>
    </row>
    <row r="6773" spans="66:84">
      <c r="BN6773" s="4"/>
      <c r="BO6773" s="4"/>
      <c r="BQ6773" s="4"/>
      <c r="CC6773" s="4"/>
      <c r="CD6773" s="4"/>
      <c r="CF6773" s="4"/>
    </row>
    <row r="6774" spans="66:84">
      <c r="BN6774" s="4"/>
      <c r="BO6774" s="4"/>
      <c r="BQ6774" s="4"/>
      <c r="CC6774" s="4"/>
      <c r="CD6774" s="4"/>
      <c r="CF6774" s="4"/>
    </row>
    <row r="6775" spans="66:84">
      <c r="BN6775" s="4"/>
      <c r="BO6775" s="4"/>
      <c r="BQ6775" s="4"/>
      <c r="CC6775" s="4"/>
      <c r="CD6775" s="4"/>
      <c r="CF6775" s="4"/>
    </row>
    <row r="6776" spans="66:84">
      <c r="BN6776" s="4"/>
      <c r="BO6776" s="4"/>
      <c r="BQ6776" s="4"/>
      <c r="CC6776" s="4"/>
      <c r="CD6776" s="4"/>
      <c r="CF6776" s="4"/>
    </row>
    <row r="6777" spans="66:84">
      <c r="BN6777" s="4"/>
      <c r="BO6777" s="4"/>
      <c r="BQ6777" s="4"/>
      <c r="CC6777" s="4"/>
      <c r="CD6777" s="4"/>
      <c r="CF6777" s="4"/>
    </row>
    <row r="6778" spans="66:84">
      <c r="BN6778" s="4"/>
      <c r="BO6778" s="4"/>
      <c r="BQ6778" s="4"/>
      <c r="CC6778" s="4"/>
      <c r="CD6778" s="4"/>
      <c r="CF6778" s="4"/>
    </row>
    <row r="6779" spans="66:84">
      <c r="BN6779" s="4"/>
      <c r="BO6779" s="4"/>
      <c r="BQ6779" s="4"/>
      <c r="CC6779" s="4"/>
      <c r="CD6779" s="4"/>
      <c r="CF6779" s="4"/>
    </row>
    <row r="6780" spans="66:84">
      <c r="BN6780" s="4"/>
      <c r="BO6780" s="4"/>
      <c r="BQ6780" s="4"/>
      <c r="CC6780" s="4"/>
      <c r="CD6780" s="4"/>
      <c r="CF6780" s="4"/>
    </row>
    <row r="6781" spans="66:84">
      <c r="BN6781" s="4"/>
      <c r="BO6781" s="4"/>
      <c r="BQ6781" s="4"/>
      <c r="CC6781" s="4"/>
      <c r="CD6781" s="4"/>
      <c r="CF6781" s="4"/>
    </row>
    <row r="6782" spans="66:84">
      <c r="BN6782" s="4"/>
      <c r="BO6782" s="4"/>
      <c r="BQ6782" s="4"/>
      <c r="CC6782" s="4"/>
      <c r="CD6782" s="4"/>
      <c r="CF6782" s="4"/>
    </row>
    <row r="6783" spans="66:84">
      <c r="BN6783" s="4"/>
      <c r="BO6783" s="4"/>
      <c r="BQ6783" s="4"/>
      <c r="CC6783" s="4"/>
      <c r="CD6783" s="4"/>
      <c r="CF6783" s="4"/>
    </row>
    <row r="6784" spans="66:84">
      <c r="BN6784" s="4"/>
      <c r="BO6784" s="4"/>
      <c r="BQ6784" s="4"/>
      <c r="CC6784" s="4"/>
      <c r="CD6784" s="4"/>
      <c r="CF6784" s="4"/>
    </row>
    <row r="6785" spans="66:84">
      <c r="BN6785" s="4"/>
      <c r="BO6785" s="4"/>
      <c r="BQ6785" s="4"/>
      <c r="CC6785" s="4"/>
      <c r="CD6785" s="4"/>
      <c r="CF6785" s="4"/>
    </row>
    <row r="6786" spans="66:84">
      <c r="BN6786" s="4"/>
      <c r="BO6786" s="4"/>
      <c r="BQ6786" s="4"/>
      <c r="CC6786" s="4"/>
      <c r="CD6786" s="4"/>
      <c r="CF6786" s="4"/>
    </row>
    <row r="6787" spans="66:84">
      <c r="BN6787" s="4"/>
      <c r="BO6787" s="4"/>
      <c r="BQ6787" s="4"/>
      <c r="CC6787" s="4"/>
      <c r="CD6787" s="4"/>
      <c r="CF6787" s="4"/>
    </row>
    <row r="6788" spans="66:84">
      <c r="BN6788" s="4"/>
      <c r="BO6788" s="4"/>
      <c r="BQ6788" s="4"/>
      <c r="CC6788" s="4"/>
      <c r="CD6788" s="4"/>
      <c r="CF6788" s="4"/>
    </row>
    <row r="6789" spans="66:84">
      <c r="BN6789" s="4"/>
      <c r="BO6789" s="4"/>
      <c r="BQ6789" s="4"/>
      <c r="CC6789" s="4"/>
      <c r="CD6789" s="4"/>
      <c r="CF6789" s="4"/>
    </row>
    <row r="6790" spans="66:84">
      <c r="BN6790" s="4"/>
      <c r="BO6790" s="4"/>
      <c r="BQ6790" s="4"/>
      <c r="CC6790" s="4"/>
      <c r="CD6790" s="4"/>
      <c r="CF6790" s="4"/>
    </row>
    <row r="6791" spans="66:84">
      <c r="BN6791" s="4"/>
      <c r="BO6791" s="4"/>
      <c r="BQ6791" s="4"/>
      <c r="CC6791" s="4"/>
      <c r="CD6791" s="4"/>
      <c r="CF6791" s="4"/>
    </row>
    <row r="6792" spans="66:84">
      <c r="BN6792" s="4"/>
      <c r="BO6792" s="4"/>
      <c r="BQ6792" s="4"/>
      <c r="CC6792" s="4"/>
      <c r="CD6792" s="4"/>
      <c r="CF6792" s="4"/>
    </row>
    <row r="6793" spans="66:84">
      <c r="BN6793" s="4"/>
      <c r="BO6793" s="4"/>
      <c r="BQ6793" s="4"/>
      <c r="CC6793" s="4"/>
      <c r="CD6793" s="4"/>
      <c r="CF6793" s="4"/>
    </row>
    <row r="6794" spans="66:84">
      <c r="BN6794" s="4"/>
      <c r="BO6794" s="4"/>
      <c r="BQ6794" s="4"/>
      <c r="CC6794" s="4"/>
      <c r="CD6794" s="4"/>
      <c r="CF6794" s="4"/>
    </row>
    <row r="6795" spans="66:84">
      <c r="BN6795" s="4"/>
      <c r="BO6795" s="4"/>
      <c r="BQ6795" s="4"/>
      <c r="CC6795" s="4"/>
      <c r="CD6795" s="4"/>
      <c r="CF6795" s="4"/>
    </row>
    <row r="6796" spans="66:84">
      <c r="BN6796" s="4"/>
      <c r="BO6796" s="4"/>
      <c r="BQ6796" s="4"/>
      <c r="CC6796" s="4"/>
      <c r="CD6796" s="4"/>
      <c r="CF6796" s="4"/>
    </row>
    <row r="6797" spans="66:84">
      <c r="BN6797" s="4"/>
      <c r="BO6797" s="4"/>
      <c r="BQ6797" s="4"/>
      <c r="CC6797" s="4"/>
      <c r="CD6797" s="4"/>
      <c r="CF6797" s="4"/>
    </row>
    <row r="6798" spans="66:84">
      <c r="BN6798" s="4"/>
      <c r="BO6798" s="4"/>
      <c r="BQ6798" s="4"/>
      <c r="CC6798" s="4"/>
      <c r="CD6798" s="4"/>
      <c r="CF6798" s="4"/>
    </row>
    <row r="6799" spans="66:84">
      <c r="BN6799" s="4"/>
      <c r="BO6799" s="4"/>
      <c r="BQ6799" s="4"/>
      <c r="CC6799" s="4"/>
      <c r="CD6799" s="4"/>
      <c r="CF6799" s="4"/>
    </row>
    <row r="6800" spans="66:84">
      <c r="BN6800" s="4"/>
      <c r="BO6800" s="4"/>
      <c r="BQ6800" s="4"/>
      <c r="CC6800" s="4"/>
      <c r="CD6800" s="4"/>
      <c r="CF6800" s="4"/>
    </row>
    <row r="6801" spans="66:84">
      <c r="BN6801" s="4"/>
      <c r="BO6801" s="4"/>
      <c r="BQ6801" s="4"/>
      <c r="CC6801" s="4"/>
      <c r="CD6801" s="4"/>
      <c r="CF6801" s="4"/>
    </row>
    <row r="6802" spans="66:84">
      <c r="BN6802" s="4"/>
      <c r="BO6802" s="4"/>
      <c r="BQ6802" s="4"/>
      <c r="CC6802" s="4"/>
      <c r="CD6802" s="4"/>
      <c r="CF6802" s="4"/>
    </row>
    <row r="6803" spans="66:84">
      <c r="BN6803" s="4"/>
      <c r="BO6803" s="4"/>
      <c r="BQ6803" s="4"/>
      <c r="CC6803" s="4"/>
      <c r="CD6803" s="4"/>
      <c r="CF6803" s="4"/>
    </row>
    <row r="6804" spans="66:84">
      <c r="BN6804" s="4"/>
      <c r="BO6804" s="4"/>
      <c r="BQ6804" s="4"/>
      <c r="CC6804" s="4"/>
      <c r="CD6804" s="4"/>
      <c r="CF6804" s="4"/>
    </row>
    <row r="6805" spans="66:84">
      <c r="BN6805" s="4"/>
      <c r="BO6805" s="4"/>
      <c r="BQ6805" s="4"/>
      <c r="CC6805" s="4"/>
      <c r="CD6805" s="4"/>
      <c r="CF6805" s="4"/>
    </row>
    <row r="6806" spans="66:84">
      <c r="BN6806" s="4"/>
      <c r="BO6806" s="4"/>
      <c r="BQ6806" s="4"/>
      <c r="CC6806" s="4"/>
      <c r="CD6806" s="4"/>
      <c r="CF6806" s="4"/>
    </row>
    <row r="6807" spans="66:84">
      <c r="BN6807" s="4"/>
      <c r="BO6807" s="4"/>
      <c r="BQ6807" s="4"/>
      <c r="CC6807" s="4"/>
      <c r="CD6807" s="4"/>
      <c r="CF6807" s="4"/>
    </row>
    <row r="6808" spans="66:84">
      <c r="BN6808" s="4"/>
      <c r="BO6808" s="4"/>
      <c r="BQ6808" s="4"/>
      <c r="CC6808" s="4"/>
      <c r="CD6808" s="4"/>
      <c r="CF6808" s="4"/>
    </row>
    <row r="6809" spans="66:84">
      <c r="BN6809" s="4"/>
      <c r="BO6809" s="4"/>
      <c r="BQ6809" s="4"/>
      <c r="CC6809" s="4"/>
      <c r="CD6809" s="4"/>
      <c r="CF6809" s="4"/>
    </row>
    <row r="6810" spans="66:84">
      <c r="BN6810" s="4"/>
      <c r="BO6810" s="4"/>
      <c r="BQ6810" s="4"/>
      <c r="CC6810" s="4"/>
      <c r="CD6810" s="4"/>
      <c r="CF6810" s="4"/>
    </row>
    <row r="6811" spans="66:84">
      <c r="BN6811" s="4"/>
      <c r="BO6811" s="4"/>
      <c r="BQ6811" s="4"/>
      <c r="CC6811" s="4"/>
      <c r="CD6811" s="4"/>
      <c r="CF6811" s="4"/>
    </row>
    <row r="6812" spans="66:84">
      <c r="BN6812" s="4"/>
      <c r="BO6812" s="4"/>
      <c r="BQ6812" s="4"/>
      <c r="CC6812" s="4"/>
      <c r="CD6812" s="4"/>
      <c r="CF6812" s="4"/>
    </row>
    <row r="6813" spans="66:84">
      <c r="BN6813" s="4"/>
      <c r="BO6813" s="4"/>
      <c r="BQ6813" s="4"/>
      <c r="CC6813" s="4"/>
      <c r="CD6813" s="4"/>
      <c r="CF6813" s="4"/>
    </row>
    <row r="6814" spans="66:84">
      <c r="BN6814" s="4"/>
      <c r="BO6814" s="4"/>
      <c r="BQ6814" s="4"/>
      <c r="CC6814" s="4"/>
      <c r="CD6814" s="4"/>
      <c r="CF6814" s="4"/>
    </row>
    <row r="6815" spans="66:84">
      <c r="BN6815" s="4"/>
      <c r="BO6815" s="4"/>
      <c r="BQ6815" s="4"/>
      <c r="CC6815" s="4"/>
      <c r="CD6815" s="4"/>
      <c r="CF6815" s="4"/>
    </row>
    <row r="6816" spans="66:84">
      <c r="BN6816" s="4"/>
      <c r="BO6816" s="4"/>
      <c r="BQ6816" s="4"/>
      <c r="CC6816" s="4"/>
      <c r="CD6816" s="4"/>
      <c r="CF6816" s="4"/>
    </row>
    <row r="6817" spans="66:84">
      <c r="BN6817" s="4"/>
      <c r="BO6817" s="4"/>
      <c r="BQ6817" s="4"/>
      <c r="CC6817" s="4"/>
      <c r="CD6817" s="4"/>
      <c r="CF6817" s="4"/>
    </row>
    <row r="6818" spans="66:84">
      <c r="BN6818" s="4"/>
      <c r="BO6818" s="4"/>
      <c r="BQ6818" s="4"/>
      <c r="CC6818" s="4"/>
      <c r="CD6818" s="4"/>
      <c r="CF6818" s="4"/>
    </row>
    <row r="6819" spans="66:84">
      <c r="BN6819" s="4"/>
      <c r="BO6819" s="4"/>
      <c r="BQ6819" s="4"/>
      <c r="CC6819" s="4"/>
      <c r="CD6819" s="4"/>
      <c r="CF6819" s="4"/>
    </row>
    <row r="6820" spans="66:84">
      <c r="BN6820" s="4"/>
      <c r="BO6820" s="4"/>
      <c r="BQ6820" s="4"/>
      <c r="CC6820" s="4"/>
      <c r="CD6820" s="4"/>
      <c r="CF6820" s="4"/>
    </row>
    <row r="6821" spans="66:84">
      <c r="BN6821" s="4"/>
      <c r="BO6821" s="4"/>
      <c r="BQ6821" s="4"/>
      <c r="CC6821" s="4"/>
      <c r="CD6821" s="4"/>
      <c r="CF6821" s="4"/>
    </row>
    <row r="6822" spans="66:84">
      <c r="BN6822" s="4"/>
      <c r="BO6822" s="4"/>
      <c r="BQ6822" s="4"/>
      <c r="CC6822" s="4"/>
      <c r="CD6822" s="4"/>
      <c r="CF6822" s="4"/>
    </row>
    <row r="6823" spans="66:84">
      <c r="BN6823" s="4"/>
      <c r="BO6823" s="4"/>
      <c r="BQ6823" s="4"/>
      <c r="CC6823" s="4"/>
      <c r="CD6823" s="4"/>
      <c r="CF6823" s="4"/>
    </row>
    <row r="6824" spans="66:84">
      <c r="BN6824" s="4"/>
      <c r="BO6824" s="4"/>
      <c r="BQ6824" s="4"/>
      <c r="CC6824" s="4"/>
      <c r="CD6824" s="4"/>
      <c r="CF6824" s="4"/>
    </row>
    <row r="6825" spans="66:84">
      <c r="BN6825" s="4"/>
      <c r="BO6825" s="4"/>
      <c r="BQ6825" s="4"/>
      <c r="CC6825" s="4"/>
      <c r="CD6825" s="4"/>
      <c r="CF6825" s="4"/>
    </row>
    <row r="6826" spans="66:84">
      <c r="BN6826" s="4"/>
      <c r="BO6826" s="4"/>
      <c r="BQ6826" s="4"/>
      <c r="CC6826" s="4"/>
      <c r="CD6826" s="4"/>
      <c r="CF6826" s="4"/>
    </row>
    <row r="6827" spans="66:84">
      <c r="BN6827" s="4"/>
      <c r="BO6827" s="4"/>
      <c r="BQ6827" s="4"/>
      <c r="CC6827" s="4"/>
      <c r="CD6827" s="4"/>
      <c r="CF6827" s="4"/>
    </row>
    <row r="6828" spans="66:84">
      <c r="BN6828" s="4"/>
      <c r="BO6828" s="4"/>
      <c r="BQ6828" s="4"/>
      <c r="CC6828" s="4"/>
      <c r="CD6828" s="4"/>
      <c r="CF6828" s="4"/>
    </row>
    <row r="6829" spans="66:84">
      <c r="BN6829" s="4"/>
      <c r="BO6829" s="4"/>
      <c r="BQ6829" s="4"/>
      <c r="CC6829" s="4"/>
      <c r="CD6829" s="4"/>
      <c r="CF6829" s="4"/>
    </row>
    <row r="6830" spans="66:84">
      <c r="BN6830" s="4"/>
      <c r="BO6830" s="4"/>
      <c r="BQ6830" s="4"/>
      <c r="CC6830" s="4"/>
      <c r="CD6830" s="4"/>
      <c r="CF6830" s="4"/>
    </row>
    <row r="6831" spans="66:84">
      <c r="BN6831" s="4"/>
      <c r="BO6831" s="4"/>
      <c r="BQ6831" s="4"/>
      <c r="CC6831" s="4"/>
      <c r="CD6831" s="4"/>
      <c r="CF6831" s="4"/>
    </row>
    <row r="6832" spans="66:84">
      <c r="BN6832" s="4"/>
      <c r="BO6832" s="4"/>
      <c r="BQ6832" s="4"/>
      <c r="CC6832" s="4"/>
      <c r="CD6832" s="4"/>
      <c r="CF6832" s="4"/>
    </row>
    <row r="6833" spans="66:84">
      <c r="BN6833" s="4"/>
      <c r="BO6833" s="4"/>
      <c r="BQ6833" s="4"/>
      <c r="CC6833" s="4"/>
      <c r="CD6833" s="4"/>
      <c r="CF6833" s="4"/>
    </row>
    <row r="6834" spans="66:84">
      <c r="BN6834" s="4"/>
      <c r="BO6834" s="4"/>
      <c r="BQ6834" s="4"/>
      <c r="CC6834" s="4"/>
      <c r="CD6834" s="4"/>
      <c r="CF6834" s="4"/>
    </row>
    <row r="6835" spans="66:84">
      <c r="BN6835" s="4"/>
      <c r="BO6835" s="4"/>
      <c r="BQ6835" s="4"/>
      <c r="CC6835" s="4"/>
      <c r="CD6835" s="4"/>
      <c r="CF6835" s="4"/>
    </row>
    <row r="6836" spans="66:84">
      <c r="BN6836" s="4"/>
      <c r="BO6836" s="4"/>
      <c r="BQ6836" s="4"/>
      <c r="CC6836" s="4"/>
      <c r="CD6836" s="4"/>
      <c r="CF6836" s="4"/>
    </row>
    <row r="6837" spans="66:84">
      <c r="BN6837" s="4"/>
      <c r="BO6837" s="4"/>
      <c r="BQ6837" s="4"/>
      <c r="CC6837" s="4"/>
      <c r="CD6837" s="4"/>
      <c r="CF6837" s="4"/>
    </row>
    <row r="6838" spans="66:84">
      <c r="BN6838" s="4"/>
      <c r="BO6838" s="4"/>
      <c r="BQ6838" s="4"/>
      <c r="CC6838" s="4"/>
      <c r="CD6838" s="4"/>
      <c r="CF6838" s="4"/>
    </row>
    <row r="6839" spans="66:84">
      <c r="BN6839" s="4"/>
      <c r="BO6839" s="4"/>
      <c r="BQ6839" s="4"/>
      <c r="CC6839" s="4"/>
      <c r="CD6839" s="4"/>
      <c r="CF6839" s="4"/>
    </row>
    <row r="6840" spans="66:84">
      <c r="BN6840" s="4"/>
      <c r="BO6840" s="4"/>
      <c r="BQ6840" s="4"/>
      <c r="CC6840" s="4"/>
      <c r="CD6840" s="4"/>
      <c r="CF6840" s="4"/>
    </row>
    <row r="6841" spans="66:84">
      <c r="BN6841" s="4"/>
      <c r="BO6841" s="4"/>
      <c r="BQ6841" s="4"/>
      <c r="CC6841" s="4"/>
      <c r="CD6841" s="4"/>
      <c r="CF6841" s="4"/>
    </row>
    <row r="6842" spans="66:84">
      <c r="BN6842" s="4"/>
      <c r="BO6842" s="4"/>
      <c r="BQ6842" s="4"/>
      <c r="CC6842" s="4"/>
      <c r="CD6842" s="4"/>
      <c r="CF6842" s="4"/>
    </row>
    <row r="6843" spans="66:84">
      <c r="BN6843" s="4"/>
      <c r="BO6843" s="4"/>
      <c r="BQ6843" s="4"/>
      <c r="CC6843" s="4"/>
      <c r="CD6843" s="4"/>
      <c r="CF6843" s="4"/>
    </row>
    <row r="6844" spans="66:84">
      <c r="BN6844" s="4"/>
      <c r="BO6844" s="4"/>
      <c r="BQ6844" s="4"/>
      <c r="CC6844" s="4"/>
      <c r="CD6844" s="4"/>
      <c r="CF6844" s="4"/>
    </row>
    <row r="6845" spans="66:84">
      <c r="BN6845" s="4"/>
      <c r="BO6845" s="4"/>
      <c r="BQ6845" s="4"/>
      <c r="CC6845" s="4"/>
      <c r="CD6845" s="4"/>
      <c r="CF6845" s="4"/>
    </row>
    <row r="6846" spans="66:84">
      <c r="BN6846" s="4"/>
      <c r="BO6846" s="4"/>
      <c r="BQ6846" s="4"/>
      <c r="CC6846" s="4"/>
      <c r="CD6846" s="4"/>
      <c r="CF6846" s="4"/>
    </row>
    <row r="6847" spans="66:84">
      <c r="BN6847" s="4"/>
      <c r="BO6847" s="4"/>
      <c r="BQ6847" s="4"/>
      <c r="CC6847" s="4"/>
      <c r="CD6847" s="4"/>
      <c r="CF6847" s="4"/>
    </row>
    <row r="6848" spans="66:84">
      <c r="BN6848" s="4"/>
      <c r="BO6848" s="4"/>
      <c r="BQ6848" s="4"/>
      <c r="CC6848" s="4"/>
      <c r="CD6848" s="4"/>
      <c r="CF6848" s="4"/>
    </row>
    <row r="6849" spans="66:84">
      <c r="BN6849" s="4"/>
      <c r="BO6849" s="4"/>
      <c r="BQ6849" s="4"/>
      <c r="CC6849" s="4"/>
      <c r="CD6849" s="4"/>
      <c r="CF6849" s="4"/>
    </row>
    <row r="6850" spans="66:84">
      <c r="BN6850" s="4"/>
      <c r="BO6850" s="4"/>
      <c r="BQ6850" s="4"/>
      <c r="CC6850" s="4"/>
      <c r="CD6850" s="4"/>
      <c r="CF6850" s="4"/>
    </row>
    <row r="6851" spans="66:84">
      <c r="BN6851" s="4"/>
      <c r="BO6851" s="4"/>
      <c r="BQ6851" s="4"/>
      <c r="CC6851" s="4"/>
      <c r="CD6851" s="4"/>
      <c r="CF6851" s="4"/>
    </row>
    <row r="6852" spans="66:84">
      <c r="BN6852" s="4"/>
      <c r="BO6852" s="4"/>
      <c r="BQ6852" s="4"/>
      <c r="CC6852" s="4"/>
      <c r="CD6852" s="4"/>
      <c r="CF6852" s="4"/>
    </row>
    <row r="6853" spans="66:84">
      <c r="BN6853" s="4"/>
      <c r="BO6853" s="4"/>
      <c r="BQ6853" s="4"/>
      <c r="CC6853" s="4"/>
      <c r="CD6853" s="4"/>
      <c r="CF6853" s="4"/>
    </row>
    <row r="6854" spans="66:84">
      <c r="BN6854" s="4"/>
      <c r="BO6854" s="4"/>
      <c r="BQ6854" s="4"/>
      <c r="CC6854" s="4"/>
      <c r="CD6854" s="4"/>
      <c r="CF6854" s="4"/>
    </row>
    <row r="6855" spans="66:84">
      <c r="BN6855" s="4"/>
      <c r="BO6855" s="4"/>
      <c r="BQ6855" s="4"/>
      <c r="CC6855" s="4"/>
      <c r="CD6855" s="4"/>
      <c r="CF6855" s="4"/>
    </row>
    <row r="6856" spans="66:84">
      <c r="BN6856" s="4"/>
      <c r="BO6856" s="4"/>
      <c r="BQ6856" s="4"/>
      <c r="CC6856" s="4"/>
      <c r="CD6856" s="4"/>
      <c r="CF6856" s="4"/>
    </row>
    <row r="6857" spans="66:84">
      <c r="BN6857" s="4"/>
      <c r="BO6857" s="4"/>
      <c r="BQ6857" s="4"/>
      <c r="CC6857" s="4"/>
      <c r="CD6857" s="4"/>
      <c r="CF6857" s="4"/>
    </row>
    <row r="6858" spans="66:84">
      <c r="BN6858" s="4"/>
      <c r="BO6858" s="4"/>
      <c r="BQ6858" s="4"/>
      <c r="CC6858" s="4"/>
      <c r="CD6858" s="4"/>
      <c r="CF6858" s="4"/>
    </row>
    <row r="6859" spans="66:84">
      <c r="BN6859" s="4"/>
      <c r="BO6859" s="4"/>
      <c r="BQ6859" s="4"/>
      <c r="CC6859" s="4"/>
      <c r="CD6859" s="4"/>
      <c r="CF6859" s="4"/>
    </row>
    <row r="6860" spans="66:84">
      <c r="BN6860" s="4"/>
      <c r="BO6860" s="4"/>
      <c r="BQ6860" s="4"/>
      <c r="CC6860" s="4"/>
      <c r="CD6860" s="4"/>
      <c r="CF6860" s="4"/>
    </row>
    <row r="6861" spans="66:84">
      <c r="BN6861" s="4"/>
      <c r="BO6861" s="4"/>
      <c r="BQ6861" s="4"/>
      <c r="CC6861" s="4"/>
      <c r="CD6861" s="4"/>
      <c r="CF6861" s="4"/>
    </row>
    <row r="6862" spans="66:84">
      <c r="BN6862" s="4"/>
      <c r="BO6862" s="4"/>
      <c r="BQ6862" s="4"/>
      <c r="CC6862" s="4"/>
      <c r="CD6862" s="4"/>
      <c r="CF6862" s="4"/>
    </row>
    <row r="6863" spans="66:84">
      <c r="BN6863" s="4"/>
      <c r="BO6863" s="4"/>
      <c r="BQ6863" s="4"/>
      <c r="CC6863" s="4"/>
      <c r="CD6863" s="4"/>
      <c r="CF6863" s="4"/>
    </row>
    <row r="6864" spans="66:84">
      <c r="BN6864" s="4"/>
      <c r="BO6864" s="4"/>
      <c r="BQ6864" s="4"/>
      <c r="CC6864" s="4"/>
      <c r="CD6864" s="4"/>
      <c r="CF6864" s="4"/>
    </row>
    <row r="6865" spans="66:84">
      <c r="BN6865" s="4"/>
      <c r="BO6865" s="4"/>
      <c r="BQ6865" s="4"/>
      <c r="CC6865" s="4"/>
      <c r="CD6865" s="4"/>
      <c r="CF6865" s="4"/>
    </row>
    <row r="6866" spans="66:84">
      <c r="BN6866" s="4"/>
      <c r="BO6866" s="4"/>
      <c r="BQ6866" s="4"/>
      <c r="CC6866" s="4"/>
      <c r="CD6866" s="4"/>
      <c r="CF6866" s="4"/>
    </row>
    <row r="6867" spans="66:84">
      <c r="BN6867" s="4"/>
      <c r="BO6867" s="4"/>
      <c r="BQ6867" s="4"/>
      <c r="CC6867" s="4"/>
      <c r="CD6867" s="4"/>
      <c r="CF6867" s="4"/>
    </row>
    <row r="6868" spans="66:84">
      <c r="BN6868" s="4"/>
      <c r="BO6868" s="4"/>
      <c r="BQ6868" s="4"/>
      <c r="CC6868" s="4"/>
      <c r="CD6868" s="4"/>
      <c r="CF6868" s="4"/>
    </row>
    <row r="6869" spans="66:84">
      <c r="BN6869" s="4"/>
      <c r="BO6869" s="4"/>
      <c r="BQ6869" s="4"/>
      <c r="CC6869" s="4"/>
      <c r="CD6869" s="4"/>
      <c r="CF6869" s="4"/>
    </row>
    <row r="6870" spans="66:84">
      <c r="BN6870" s="4"/>
      <c r="BO6870" s="4"/>
      <c r="BQ6870" s="4"/>
      <c r="CC6870" s="4"/>
      <c r="CD6870" s="4"/>
      <c r="CF6870" s="4"/>
    </row>
    <row r="6871" spans="66:84">
      <c r="BN6871" s="4"/>
      <c r="BO6871" s="4"/>
      <c r="BQ6871" s="4"/>
      <c r="CC6871" s="4"/>
      <c r="CD6871" s="4"/>
      <c r="CF6871" s="4"/>
    </row>
    <row r="6872" spans="66:84">
      <c r="BN6872" s="4"/>
      <c r="BO6872" s="4"/>
      <c r="BQ6872" s="4"/>
      <c r="CC6872" s="4"/>
      <c r="CD6872" s="4"/>
      <c r="CF6872" s="4"/>
    </row>
    <row r="6873" spans="66:84">
      <c r="BN6873" s="4"/>
      <c r="BO6873" s="4"/>
      <c r="BQ6873" s="4"/>
      <c r="CC6873" s="4"/>
      <c r="CD6873" s="4"/>
      <c r="CF6873" s="4"/>
    </row>
    <row r="6874" spans="66:84">
      <c r="BN6874" s="4"/>
      <c r="BO6874" s="4"/>
      <c r="BQ6874" s="4"/>
      <c r="CC6874" s="4"/>
      <c r="CD6874" s="4"/>
      <c r="CF6874" s="4"/>
    </row>
    <row r="6875" spans="66:84">
      <c r="BN6875" s="4"/>
      <c r="BO6875" s="4"/>
      <c r="BQ6875" s="4"/>
      <c r="CC6875" s="4"/>
      <c r="CD6875" s="4"/>
      <c r="CF6875" s="4"/>
    </row>
    <row r="6876" spans="66:84">
      <c r="BN6876" s="4"/>
      <c r="BO6876" s="4"/>
      <c r="BQ6876" s="4"/>
      <c r="CC6876" s="4"/>
      <c r="CD6876" s="4"/>
      <c r="CF6876" s="4"/>
    </row>
    <row r="6877" spans="66:84">
      <c r="BN6877" s="4"/>
      <c r="BO6877" s="4"/>
      <c r="BQ6877" s="4"/>
      <c r="CC6877" s="4"/>
      <c r="CD6877" s="4"/>
      <c r="CF6877" s="4"/>
    </row>
    <row r="6878" spans="66:84">
      <c r="BN6878" s="4"/>
      <c r="BO6878" s="4"/>
      <c r="BQ6878" s="4"/>
      <c r="CC6878" s="4"/>
      <c r="CD6878" s="4"/>
      <c r="CF6878" s="4"/>
    </row>
    <row r="6879" spans="66:84">
      <c r="BN6879" s="4"/>
      <c r="BO6879" s="4"/>
      <c r="BQ6879" s="4"/>
      <c r="CC6879" s="4"/>
      <c r="CD6879" s="4"/>
      <c r="CF6879" s="4"/>
    </row>
    <row r="6880" spans="66:84">
      <c r="BN6880" s="4"/>
      <c r="BO6880" s="4"/>
      <c r="BQ6880" s="4"/>
      <c r="CC6880" s="4"/>
      <c r="CD6880" s="4"/>
      <c r="CF6880" s="4"/>
    </row>
    <row r="6881" spans="66:84">
      <c r="BN6881" s="4"/>
      <c r="BO6881" s="4"/>
      <c r="BQ6881" s="4"/>
      <c r="CC6881" s="4"/>
      <c r="CD6881" s="4"/>
      <c r="CF6881" s="4"/>
    </row>
    <row r="6882" spans="66:84">
      <c r="BN6882" s="4"/>
      <c r="BO6882" s="4"/>
      <c r="BQ6882" s="4"/>
      <c r="CC6882" s="4"/>
      <c r="CD6882" s="4"/>
      <c r="CF6882" s="4"/>
    </row>
    <row r="6883" spans="66:84">
      <c r="BN6883" s="4"/>
      <c r="BO6883" s="4"/>
      <c r="BQ6883" s="4"/>
      <c r="CC6883" s="4"/>
      <c r="CD6883" s="4"/>
      <c r="CF6883" s="4"/>
    </row>
    <row r="6884" spans="66:84">
      <c r="BN6884" s="4"/>
      <c r="BO6884" s="4"/>
      <c r="BQ6884" s="4"/>
      <c r="CC6884" s="4"/>
      <c r="CD6884" s="4"/>
      <c r="CF6884" s="4"/>
    </row>
    <row r="6885" spans="66:84">
      <c r="BN6885" s="4"/>
      <c r="BO6885" s="4"/>
      <c r="BQ6885" s="4"/>
      <c r="CC6885" s="4"/>
      <c r="CD6885" s="4"/>
      <c r="CF6885" s="4"/>
    </row>
    <row r="6886" spans="66:84">
      <c r="BN6886" s="4"/>
      <c r="BO6886" s="4"/>
      <c r="BQ6886" s="4"/>
      <c r="CC6886" s="4"/>
      <c r="CD6886" s="4"/>
      <c r="CF6886" s="4"/>
    </row>
    <row r="6887" spans="66:84">
      <c r="BN6887" s="4"/>
      <c r="BO6887" s="4"/>
      <c r="BQ6887" s="4"/>
      <c r="CC6887" s="4"/>
      <c r="CD6887" s="4"/>
      <c r="CF6887" s="4"/>
    </row>
    <row r="6888" spans="66:84">
      <c r="BN6888" s="4"/>
      <c r="BO6888" s="4"/>
      <c r="BQ6888" s="4"/>
      <c r="CC6888" s="4"/>
      <c r="CD6888" s="4"/>
      <c r="CF6888" s="4"/>
    </row>
    <row r="6889" spans="66:84">
      <c r="BN6889" s="4"/>
      <c r="BO6889" s="4"/>
      <c r="BQ6889" s="4"/>
      <c r="CC6889" s="4"/>
      <c r="CD6889" s="4"/>
      <c r="CF6889" s="4"/>
    </row>
    <row r="6890" spans="66:84">
      <c r="BN6890" s="4"/>
      <c r="BO6890" s="4"/>
      <c r="BQ6890" s="4"/>
      <c r="CC6890" s="4"/>
      <c r="CD6890" s="4"/>
      <c r="CF6890" s="4"/>
    </row>
    <row r="6891" spans="66:84">
      <c r="BN6891" s="4"/>
      <c r="BO6891" s="4"/>
      <c r="BQ6891" s="4"/>
      <c r="CC6891" s="4"/>
      <c r="CD6891" s="4"/>
      <c r="CF6891" s="4"/>
    </row>
    <row r="6892" spans="66:84">
      <c r="BN6892" s="4"/>
      <c r="BO6892" s="4"/>
      <c r="BQ6892" s="4"/>
      <c r="CC6892" s="4"/>
      <c r="CD6892" s="4"/>
      <c r="CF6892" s="4"/>
    </row>
    <row r="6893" spans="66:84">
      <c r="BN6893" s="4"/>
      <c r="BO6893" s="4"/>
      <c r="BQ6893" s="4"/>
      <c r="CC6893" s="4"/>
      <c r="CD6893" s="4"/>
      <c r="CF6893" s="4"/>
    </row>
    <row r="6894" spans="66:84">
      <c r="BN6894" s="4"/>
      <c r="BO6894" s="4"/>
      <c r="BQ6894" s="4"/>
      <c r="CC6894" s="4"/>
      <c r="CD6894" s="4"/>
      <c r="CF6894" s="4"/>
    </row>
    <row r="6895" spans="66:84">
      <c r="BN6895" s="4"/>
      <c r="BO6895" s="4"/>
      <c r="BQ6895" s="4"/>
      <c r="CC6895" s="4"/>
      <c r="CD6895" s="4"/>
      <c r="CF6895" s="4"/>
    </row>
    <row r="6896" spans="66:84">
      <c r="BN6896" s="4"/>
      <c r="BO6896" s="4"/>
      <c r="BQ6896" s="4"/>
      <c r="CC6896" s="4"/>
      <c r="CD6896" s="4"/>
      <c r="CF6896" s="4"/>
    </row>
    <row r="6897" spans="66:84">
      <c r="BN6897" s="4"/>
      <c r="BO6897" s="4"/>
      <c r="BQ6897" s="4"/>
      <c r="CC6897" s="4"/>
      <c r="CD6897" s="4"/>
      <c r="CF6897" s="4"/>
    </row>
    <row r="6898" spans="66:84">
      <c r="BN6898" s="4"/>
      <c r="BO6898" s="4"/>
      <c r="BQ6898" s="4"/>
      <c r="CC6898" s="4"/>
      <c r="CD6898" s="4"/>
      <c r="CF6898" s="4"/>
    </row>
    <row r="6899" spans="66:84">
      <c r="BN6899" s="4"/>
      <c r="BO6899" s="4"/>
      <c r="BQ6899" s="4"/>
      <c r="CC6899" s="4"/>
      <c r="CD6899" s="4"/>
      <c r="CF6899" s="4"/>
    </row>
    <row r="6900" spans="66:84">
      <c r="BN6900" s="4"/>
      <c r="BO6900" s="4"/>
      <c r="BQ6900" s="4"/>
      <c r="CC6900" s="4"/>
      <c r="CD6900" s="4"/>
      <c r="CF6900" s="4"/>
    </row>
    <row r="6901" spans="66:84">
      <c r="BN6901" s="4"/>
      <c r="BO6901" s="4"/>
      <c r="BQ6901" s="4"/>
      <c r="CC6901" s="4"/>
      <c r="CD6901" s="4"/>
      <c r="CF6901" s="4"/>
    </row>
    <row r="6902" spans="66:84">
      <c r="BN6902" s="4"/>
      <c r="BO6902" s="4"/>
      <c r="BQ6902" s="4"/>
      <c r="CC6902" s="4"/>
      <c r="CD6902" s="4"/>
      <c r="CF6902" s="4"/>
    </row>
    <row r="6903" spans="66:84">
      <c r="BN6903" s="4"/>
      <c r="BO6903" s="4"/>
      <c r="BQ6903" s="4"/>
      <c r="CC6903" s="4"/>
      <c r="CD6903" s="4"/>
      <c r="CF6903" s="4"/>
    </row>
    <row r="6904" spans="66:84">
      <c r="BN6904" s="4"/>
      <c r="BO6904" s="4"/>
      <c r="BQ6904" s="4"/>
      <c r="CC6904" s="4"/>
      <c r="CD6904" s="4"/>
      <c r="CF6904" s="4"/>
    </row>
    <row r="6905" spans="66:84">
      <c r="BN6905" s="4"/>
      <c r="BO6905" s="4"/>
      <c r="BQ6905" s="4"/>
      <c r="CC6905" s="4"/>
      <c r="CD6905" s="4"/>
      <c r="CF6905" s="4"/>
    </row>
    <row r="6906" spans="66:84">
      <c r="BN6906" s="4"/>
      <c r="BO6906" s="4"/>
      <c r="BQ6906" s="4"/>
      <c r="CC6906" s="4"/>
      <c r="CD6906" s="4"/>
      <c r="CF6906" s="4"/>
    </row>
    <row r="6907" spans="66:84">
      <c r="BN6907" s="4"/>
      <c r="BO6907" s="4"/>
      <c r="BQ6907" s="4"/>
      <c r="CC6907" s="4"/>
      <c r="CD6907" s="4"/>
      <c r="CF6907" s="4"/>
    </row>
    <row r="6908" spans="66:84">
      <c r="BN6908" s="4"/>
      <c r="BO6908" s="4"/>
      <c r="BQ6908" s="4"/>
      <c r="CC6908" s="4"/>
      <c r="CD6908" s="4"/>
      <c r="CF6908" s="4"/>
    </row>
    <row r="6909" spans="66:84">
      <c r="BN6909" s="4"/>
      <c r="BO6909" s="4"/>
      <c r="BQ6909" s="4"/>
      <c r="CC6909" s="4"/>
      <c r="CD6909" s="4"/>
      <c r="CF6909" s="4"/>
    </row>
    <row r="6910" spans="66:84">
      <c r="BN6910" s="4"/>
      <c r="BO6910" s="4"/>
      <c r="BQ6910" s="4"/>
      <c r="CC6910" s="4"/>
      <c r="CD6910" s="4"/>
      <c r="CF6910" s="4"/>
    </row>
    <row r="6911" spans="66:84">
      <c r="BN6911" s="4"/>
      <c r="BO6911" s="4"/>
      <c r="BQ6911" s="4"/>
      <c r="CC6911" s="4"/>
      <c r="CD6911" s="4"/>
      <c r="CF6911" s="4"/>
    </row>
    <row r="6912" spans="66:84">
      <c r="BN6912" s="4"/>
      <c r="BO6912" s="4"/>
      <c r="BQ6912" s="4"/>
      <c r="CC6912" s="4"/>
      <c r="CD6912" s="4"/>
      <c r="CF6912" s="4"/>
    </row>
    <row r="6913" spans="66:84">
      <c r="BN6913" s="4"/>
      <c r="BO6913" s="4"/>
      <c r="BQ6913" s="4"/>
      <c r="CC6913" s="4"/>
      <c r="CD6913" s="4"/>
      <c r="CF6913" s="4"/>
    </row>
    <row r="6914" spans="66:84">
      <c r="BN6914" s="4"/>
      <c r="BO6914" s="4"/>
      <c r="BQ6914" s="4"/>
      <c r="CC6914" s="4"/>
      <c r="CD6914" s="4"/>
      <c r="CF6914" s="4"/>
    </row>
    <row r="6915" spans="66:84">
      <c r="BN6915" s="4"/>
      <c r="BO6915" s="4"/>
      <c r="BQ6915" s="4"/>
      <c r="CC6915" s="4"/>
      <c r="CD6915" s="4"/>
      <c r="CF6915" s="4"/>
    </row>
    <row r="6916" spans="66:84">
      <c r="BN6916" s="4"/>
      <c r="BO6916" s="4"/>
      <c r="BQ6916" s="4"/>
      <c r="CC6916" s="4"/>
      <c r="CD6916" s="4"/>
      <c r="CF6916" s="4"/>
    </row>
    <row r="6917" spans="66:84">
      <c r="BN6917" s="4"/>
      <c r="BO6917" s="4"/>
      <c r="BQ6917" s="4"/>
      <c r="CC6917" s="4"/>
      <c r="CD6917" s="4"/>
      <c r="CF6917" s="4"/>
    </row>
    <row r="6918" spans="66:84">
      <c r="BN6918" s="4"/>
      <c r="BO6918" s="4"/>
      <c r="BQ6918" s="4"/>
      <c r="CC6918" s="4"/>
      <c r="CD6918" s="4"/>
      <c r="CF6918" s="4"/>
    </row>
    <row r="6919" spans="66:84">
      <c r="BN6919" s="4"/>
      <c r="BO6919" s="4"/>
      <c r="BQ6919" s="4"/>
      <c r="CC6919" s="4"/>
      <c r="CD6919" s="4"/>
      <c r="CF6919" s="4"/>
    </row>
    <row r="6920" spans="66:84">
      <c r="BN6920" s="4"/>
      <c r="BO6920" s="4"/>
      <c r="BQ6920" s="4"/>
      <c r="CC6920" s="4"/>
      <c r="CD6920" s="4"/>
      <c r="CF6920" s="4"/>
    </row>
    <row r="6921" spans="66:84">
      <c r="BN6921" s="4"/>
      <c r="BO6921" s="4"/>
      <c r="BQ6921" s="4"/>
      <c r="CC6921" s="4"/>
      <c r="CD6921" s="4"/>
      <c r="CF6921" s="4"/>
    </row>
    <row r="6922" spans="66:84">
      <c r="BN6922" s="4"/>
      <c r="BO6922" s="4"/>
      <c r="BQ6922" s="4"/>
      <c r="CC6922" s="4"/>
      <c r="CD6922" s="4"/>
      <c r="CF6922" s="4"/>
    </row>
    <row r="6923" spans="66:84">
      <c r="BN6923" s="4"/>
      <c r="BO6923" s="4"/>
      <c r="BQ6923" s="4"/>
      <c r="CC6923" s="4"/>
      <c r="CD6923" s="4"/>
      <c r="CF6923" s="4"/>
    </row>
    <row r="6924" spans="66:84">
      <c r="BN6924" s="4"/>
      <c r="BO6924" s="4"/>
      <c r="BQ6924" s="4"/>
      <c r="CC6924" s="4"/>
      <c r="CD6924" s="4"/>
      <c r="CF6924" s="4"/>
    </row>
    <row r="6925" spans="66:84">
      <c r="BN6925" s="4"/>
      <c r="BO6925" s="4"/>
      <c r="BQ6925" s="4"/>
      <c r="CC6925" s="4"/>
      <c r="CD6925" s="4"/>
      <c r="CF6925" s="4"/>
    </row>
    <row r="6926" spans="66:84">
      <c r="BN6926" s="4"/>
      <c r="BO6926" s="4"/>
      <c r="BQ6926" s="4"/>
      <c r="CC6926" s="4"/>
      <c r="CD6926" s="4"/>
      <c r="CF6926" s="4"/>
    </row>
    <row r="6927" spans="66:84">
      <c r="BN6927" s="4"/>
      <c r="BO6927" s="4"/>
      <c r="BQ6927" s="4"/>
      <c r="CC6927" s="4"/>
      <c r="CD6927" s="4"/>
      <c r="CF6927" s="4"/>
    </row>
    <row r="6928" spans="66:84">
      <c r="BN6928" s="4"/>
      <c r="BO6928" s="4"/>
      <c r="BQ6928" s="4"/>
      <c r="CC6928" s="4"/>
      <c r="CD6928" s="4"/>
      <c r="CF6928" s="4"/>
    </row>
    <row r="6929" spans="66:84">
      <c r="BN6929" s="4"/>
      <c r="BO6929" s="4"/>
      <c r="BQ6929" s="4"/>
      <c r="CC6929" s="4"/>
      <c r="CD6929" s="4"/>
      <c r="CF6929" s="4"/>
    </row>
    <row r="6930" spans="66:84">
      <c r="BN6930" s="4"/>
      <c r="BO6930" s="4"/>
      <c r="BQ6930" s="4"/>
      <c r="CC6930" s="4"/>
      <c r="CD6930" s="4"/>
      <c r="CF6930" s="4"/>
    </row>
    <row r="6931" spans="66:84">
      <c r="BN6931" s="4"/>
      <c r="BO6931" s="4"/>
      <c r="BQ6931" s="4"/>
      <c r="CC6931" s="4"/>
      <c r="CD6931" s="4"/>
      <c r="CF6931" s="4"/>
    </row>
    <row r="6932" spans="66:84">
      <c r="BN6932" s="4"/>
      <c r="BO6932" s="4"/>
      <c r="BQ6932" s="4"/>
      <c r="CC6932" s="4"/>
      <c r="CD6932" s="4"/>
      <c r="CF6932" s="4"/>
    </row>
    <row r="6933" spans="66:84">
      <c r="BN6933" s="4"/>
      <c r="BO6933" s="4"/>
      <c r="BQ6933" s="4"/>
      <c r="CC6933" s="4"/>
      <c r="CD6933" s="4"/>
      <c r="CF6933" s="4"/>
    </row>
    <row r="6934" spans="66:84">
      <c r="BN6934" s="4"/>
      <c r="BO6934" s="4"/>
      <c r="BQ6934" s="4"/>
      <c r="CC6934" s="4"/>
      <c r="CD6934" s="4"/>
      <c r="CF6934" s="4"/>
    </row>
    <row r="6935" spans="66:84">
      <c r="BN6935" s="4"/>
      <c r="BO6935" s="4"/>
      <c r="BQ6935" s="4"/>
      <c r="CC6935" s="4"/>
      <c r="CD6935" s="4"/>
      <c r="CF6935" s="4"/>
    </row>
    <row r="6936" spans="66:84">
      <c r="BN6936" s="4"/>
      <c r="BO6936" s="4"/>
      <c r="BQ6936" s="4"/>
      <c r="CC6936" s="4"/>
      <c r="CD6936" s="4"/>
      <c r="CF6936" s="4"/>
    </row>
    <row r="6937" spans="66:84">
      <c r="BN6937" s="4"/>
      <c r="BO6937" s="4"/>
      <c r="BQ6937" s="4"/>
      <c r="CC6937" s="4"/>
      <c r="CD6937" s="4"/>
      <c r="CF6937" s="4"/>
    </row>
    <row r="6938" spans="66:84">
      <c r="BN6938" s="4"/>
      <c r="BO6938" s="4"/>
      <c r="BQ6938" s="4"/>
      <c r="CC6938" s="4"/>
      <c r="CD6938" s="4"/>
      <c r="CF6938" s="4"/>
    </row>
    <row r="6939" spans="66:84">
      <c r="BN6939" s="4"/>
      <c r="BO6939" s="4"/>
      <c r="BQ6939" s="4"/>
      <c r="CC6939" s="4"/>
      <c r="CD6939" s="4"/>
      <c r="CF6939" s="4"/>
    </row>
    <row r="6940" spans="66:84">
      <c r="BN6940" s="4"/>
      <c r="BO6940" s="4"/>
      <c r="BQ6940" s="4"/>
      <c r="CC6940" s="4"/>
      <c r="CD6940" s="4"/>
      <c r="CF6940" s="4"/>
    </row>
    <row r="6941" spans="66:84">
      <c r="BN6941" s="4"/>
      <c r="BO6941" s="4"/>
      <c r="BQ6941" s="4"/>
      <c r="CC6941" s="4"/>
      <c r="CD6941" s="4"/>
      <c r="CF6941" s="4"/>
    </row>
    <row r="6942" spans="66:84">
      <c r="BN6942" s="4"/>
      <c r="BO6942" s="4"/>
      <c r="BQ6942" s="4"/>
      <c r="CC6942" s="4"/>
      <c r="CD6942" s="4"/>
      <c r="CF6942" s="4"/>
    </row>
    <row r="6943" spans="66:84">
      <c r="BN6943" s="4"/>
      <c r="BO6943" s="4"/>
      <c r="BQ6943" s="4"/>
      <c r="CC6943" s="4"/>
      <c r="CD6943" s="4"/>
      <c r="CF6943" s="4"/>
    </row>
    <row r="6944" spans="66:84">
      <c r="BN6944" s="4"/>
      <c r="BO6944" s="4"/>
      <c r="BQ6944" s="4"/>
      <c r="CC6944" s="4"/>
      <c r="CD6944" s="4"/>
      <c r="CF6944" s="4"/>
    </row>
    <row r="6945" spans="66:84">
      <c r="BN6945" s="4"/>
      <c r="BO6945" s="4"/>
      <c r="BQ6945" s="4"/>
      <c r="CC6945" s="4"/>
      <c r="CD6945" s="4"/>
      <c r="CF6945" s="4"/>
    </row>
    <row r="6946" spans="66:84">
      <c r="BN6946" s="4"/>
      <c r="BO6946" s="4"/>
      <c r="BQ6946" s="4"/>
      <c r="CC6946" s="4"/>
      <c r="CD6946" s="4"/>
      <c r="CF6946" s="4"/>
    </row>
    <row r="6947" spans="66:84">
      <c r="BN6947" s="4"/>
      <c r="BO6947" s="4"/>
      <c r="BQ6947" s="4"/>
      <c r="CC6947" s="4"/>
      <c r="CD6947" s="4"/>
      <c r="CF6947" s="4"/>
    </row>
    <row r="6948" spans="66:84">
      <c r="BN6948" s="4"/>
      <c r="BO6948" s="4"/>
      <c r="BQ6948" s="4"/>
      <c r="CC6948" s="4"/>
      <c r="CD6948" s="4"/>
      <c r="CF6948" s="4"/>
    </row>
    <row r="6949" spans="66:84">
      <c r="BN6949" s="4"/>
      <c r="BO6949" s="4"/>
      <c r="BQ6949" s="4"/>
      <c r="CC6949" s="4"/>
      <c r="CD6949" s="4"/>
      <c r="CF6949" s="4"/>
    </row>
    <row r="6950" spans="66:84">
      <c r="BN6950" s="4"/>
      <c r="BO6950" s="4"/>
      <c r="BQ6950" s="4"/>
      <c r="CC6950" s="4"/>
      <c r="CD6950" s="4"/>
      <c r="CF6950" s="4"/>
    </row>
    <row r="6951" spans="66:84">
      <c r="BN6951" s="4"/>
      <c r="BO6951" s="4"/>
      <c r="BQ6951" s="4"/>
      <c r="CC6951" s="4"/>
      <c r="CD6951" s="4"/>
      <c r="CF6951" s="4"/>
    </row>
    <row r="6952" spans="66:84">
      <c r="BN6952" s="4"/>
      <c r="BO6952" s="4"/>
      <c r="BQ6952" s="4"/>
      <c r="CC6952" s="4"/>
      <c r="CD6952" s="4"/>
      <c r="CF6952" s="4"/>
    </row>
    <row r="6953" spans="66:84">
      <c r="BN6953" s="4"/>
      <c r="BO6953" s="4"/>
      <c r="BQ6953" s="4"/>
      <c r="CC6953" s="4"/>
      <c r="CD6953" s="4"/>
      <c r="CF6953" s="4"/>
    </row>
    <row r="6954" spans="66:84">
      <c r="BN6954" s="4"/>
      <c r="BO6954" s="4"/>
      <c r="BQ6954" s="4"/>
      <c r="CC6954" s="4"/>
      <c r="CD6954" s="4"/>
      <c r="CF6954" s="4"/>
    </row>
    <row r="6955" spans="66:84">
      <c r="BN6955" s="4"/>
      <c r="BO6955" s="4"/>
      <c r="BQ6955" s="4"/>
      <c r="CC6955" s="4"/>
      <c r="CD6955" s="4"/>
      <c r="CF6955" s="4"/>
    </row>
    <row r="6956" spans="66:84">
      <c r="BN6956" s="4"/>
      <c r="BO6956" s="4"/>
      <c r="BQ6956" s="4"/>
      <c r="CC6956" s="4"/>
      <c r="CD6956" s="4"/>
      <c r="CF6956" s="4"/>
    </row>
    <row r="6957" spans="66:84">
      <c r="BN6957" s="4"/>
      <c r="BO6957" s="4"/>
      <c r="BQ6957" s="4"/>
      <c r="CC6957" s="4"/>
      <c r="CD6957" s="4"/>
      <c r="CF6957" s="4"/>
    </row>
    <row r="6958" spans="66:84">
      <c r="BN6958" s="4"/>
      <c r="BO6958" s="4"/>
      <c r="BQ6958" s="4"/>
      <c r="CC6958" s="4"/>
      <c r="CD6958" s="4"/>
      <c r="CF6958" s="4"/>
    </row>
    <row r="6959" spans="66:84">
      <c r="BN6959" s="4"/>
      <c r="BO6959" s="4"/>
      <c r="BQ6959" s="4"/>
      <c r="CC6959" s="4"/>
      <c r="CD6959" s="4"/>
      <c r="CF6959" s="4"/>
    </row>
    <row r="6960" spans="66:84">
      <c r="BN6960" s="4"/>
      <c r="BO6960" s="4"/>
      <c r="BQ6960" s="4"/>
      <c r="CC6960" s="4"/>
      <c r="CD6960" s="4"/>
      <c r="CF6960" s="4"/>
    </row>
    <row r="6961" spans="66:84">
      <c r="BN6961" s="4"/>
      <c r="BO6961" s="4"/>
      <c r="BQ6961" s="4"/>
      <c r="CC6961" s="4"/>
      <c r="CD6961" s="4"/>
      <c r="CF6961" s="4"/>
    </row>
    <row r="6962" spans="66:84">
      <c r="BN6962" s="4"/>
      <c r="BO6962" s="4"/>
      <c r="BQ6962" s="4"/>
      <c r="CC6962" s="4"/>
      <c r="CD6962" s="4"/>
      <c r="CF6962" s="4"/>
    </row>
    <row r="6963" spans="66:84">
      <c r="BN6963" s="4"/>
      <c r="BO6963" s="4"/>
      <c r="BQ6963" s="4"/>
      <c r="CC6963" s="4"/>
      <c r="CD6963" s="4"/>
      <c r="CF6963" s="4"/>
    </row>
    <row r="6964" spans="66:84">
      <c r="BN6964" s="4"/>
      <c r="BO6964" s="4"/>
      <c r="BQ6964" s="4"/>
      <c r="CC6964" s="4"/>
      <c r="CD6964" s="4"/>
      <c r="CF6964" s="4"/>
    </row>
    <row r="6965" spans="66:84">
      <c r="BN6965" s="4"/>
      <c r="BO6965" s="4"/>
      <c r="BQ6965" s="4"/>
      <c r="CC6965" s="4"/>
      <c r="CD6965" s="4"/>
      <c r="CF6965" s="4"/>
    </row>
    <row r="6966" spans="66:84">
      <c r="BN6966" s="4"/>
      <c r="BO6966" s="4"/>
      <c r="BQ6966" s="4"/>
      <c r="CC6966" s="4"/>
      <c r="CD6966" s="4"/>
      <c r="CF6966" s="4"/>
    </row>
    <row r="6967" spans="66:84">
      <c r="BN6967" s="4"/>
      <c r="BO6967" s="4"/>
      <c r="BQ6967" s="4"/>
      <c r="CC6967" s="4"/>
      <c r="CD6967" s="4"/>
      <c r="CF6967" s="4"/>
    </row>
    <row r="6968" spans="66:84">
      <c r="BN6968" s="4"/>
      <c r="BO6968" s="4"/>
      <c r="BQ6968" s="4"/>
      <c r="CC6968" s="4"/>
      <c r="CD6968" s="4"/>
      <c r="CF6968" s="4"/>
    </row>
    <row r="6969" spans="66:84">
      <c r="BN6969" s="4"/>
      <c r="BO6969" s="4"/>
      <c r="BQ6969" s="4"/>
      <c r="CC6969" s="4"/>
      <c r="CD6969" s="4"/>
      <c r="CF6969" s="4"/>
    </row>
    <row r="6970" spans="66:84">
      <c r="BN6970" s="4"/>
      <c r="BO6970" s="4"/>
      <c r="BQ6970" s="4"/>
      <c r="CC6970" s="4"/>
      <c r="CD6970" s="4"/>
      <c r="CF6970" s="4"/>
    </row>
    <row r="6971" spans="66:84">
      <c r="BN6971" s="4"/>
      <c r="BO6971" s="4"/>
      <c r="BQ6971" s="4"/>
      <c r="CC6971" s="4"/>
      <c r="CD6971" s="4"/>
      <c r="CF6971" s="4"/>
    </row>
    <row r="6972" spans="66:84">
      <c r="BN6972" s="4"/>
      <c r="BO6972" s="4"/>
      <c r="BQ6972" s="4"/>
      <c r="CC6972" s="4"/>
      <c r="CD6972" s="4"/>
      <c r="CF6972" s="4"/>
    </row>
    <row r="6973" spans="66:84">
      <c r="BN6973" s="4"/>
      <c r="BO6973" s="4"/>
      <c r="BQ6973" s="4"/>
      <c r="CC6973" s="4"/>
      <c r="CD6973" s="4"/>
      <c r="CF6973" s="4"/>
    </row>
    <row r="6974" spans="66:84">
      <c r="BN6974" s="4"/>
      <c r="BO6974" s="4"/>
      <c r="BQ6974" s="4"/>
      <c r="CC6974" s="4"/>
      <c r="CD6974" s="4"/>
      <c r="CF6974" s="4"/>
    </row>
    <row r="6975" spans="66:84">
      <c r="BN6975" s="4"/>
      <c r="BO6975" s="4"/>
      <c r="BQ6975" s="4"/>
      <c r="CC6975" s="4"/>
      <c r="CD6975" s="4"/>
      <c r="CF6975" s="4"/>
    </row>
    <row r="6976" spans="66:84">
      <c r="BN6976" s="4"/>
      <c r="BO6976" s="4"/>
      <c r="BQ6976" s="4"/>
      <c r="CC6976" s="4"/>
      <c r="CD6976" s="4"/>
      <c r="CF6976" s="4"/>
    </row>
    <row r="6977" spans="66:84">
      <c r="BN6977" s="4"/>
      <c r="BO6977" s="4"/>
      <c r="BQ6977" s="4"/>
      <c r="CC6977" s="4"/>
      <c r="CD6977" s="4"/>
      <c r="CF6977" s="4"/>
    </row>
    <row r="6978" spans="66:84">
      <c r="BN6978" s="4"/>
      <c r="BO6978" s="4"/>
      <c r="BQ6978" s="4"/>
      <c r="CC6978" s="4"/>
      <c r="CD6978" s="4"/>
      <c r="CF6978" s="4"/>
    </row>
    <row r="6979" spans="66:84">
      <c r="BN6979" s="4"/>
      <c r="BO6979" s="4"/>
      <c r="BQ6979" s="4"/>
      <c r="CC6979" s="4"/>
      <c r="CD6979" s="4"/>
      <c r="CF6979" s="4"/>
    </row>
    <row r="6980" spans="66:84">
      <c r="BN6980" s="4"/>
      <c r="BO6980" s="4"/>
      <c r="BQ6980" s="4"/>
      <c r="CC6980" s="4"/>
      <c r="CD6980" s="4"/>
      <c r="CF6980" s="4"/>
    </row>
    <row r="6981" spans="66:84">
      <c r="BN6981" s="4"/>
      <c r="BO6981" s="4"/>
      <c r="BQ6981" s="4"/>
      <c r="CC6981" s="4"/>
      <c r="CD6981" s="4"/>
      <c r="CF6981" s="4"/>
    </row>
    <row r="6982" spans="66:84">
      <c r="BN6982" s="4"/>
      <c r="BO6982" s="4"/>
      <c r="BQ6982" s="4"/>
      <c r="CC6982" s="4"/>
      <c r="CD6982" s="4"/>
      <c r="CF6982" s="4"/>
    </row>
    <row r="6983" spans="66:84">
      <c r="BN6983" s="4"/>
      <c r="BO6983" s="4"/>
      <c r="BQ6983" s="4"/>
      <c r="CC6983" s="4"/>
      <c r="CD6983" s="4"/>
      <c r="CF6983" s="4"/>
    </row>
    <row r="6984" spans="66:84">
      <c r="BN6984" s="4"/>
      <c r="BO6984" s="4"/>
      <c r="BQ6984" s="4"/>
      <c r="CC6984" s="4"/>
      <c r="CD6984" s="4"/>
      <c r="CF6984" s="4"/>
    </row>
    <row r="6985" spans="66:84">
      <c r="BN6985" s="4"/>
      <c r="BO6985" s="4"/>
      <c r="BQ6985" s="4"/>
      <c r="CC6985" s="4"/>
      <c r="CD6985" s="4"/>
      <c r="CF6985" s="4"/>
    </row>
    <row r="6986" spans="66:84">
      <c r="BN6986" s="4"/>
      <c r="BO6986" s="4"/>
      <c r="BQ6986" s="4"/>
      <c r="CC6986" s="4"/>
      <c r="CD6986" s="4"/>
      <c r="CF6986" s="4"/>
    </row>
    <row r="6987" spans="66:84">
      <c r="BN6987" s="4"/>
      <c r="BO6987" s="4"/>
      <c r="BQ6987" s="4"/>
      <c r="CC6987" s="4"/>
      <c r="CD6987" s="4"/>
      <c r="CF6987" s="4"/>
    </row>
    <row r="6988" spans="66:84">
      <c r="BN6988" s="4"/>
      <c r="BO6988" s="4"/>
      <c r="BQ6988" s="4"/>
      <c r="CC6988" s="4"/>
      <c r="CD6988" s="4"/>
      <c r="CF6988" s="4"/>
    </row>
    <row r="6989" spans="66:84">
      <c r="BN6989" s="4"/>
      <c r="BO6989" s="4"/>
      <c r="BQ6989" s="4"/>
      <c r="CC6989" s="4"/>
      <c r="CD6989" s="4"/>
      <c r="CF6989" s="4"/>
    </row>
    <row r="6990" spans="66:84">
      <c r="BN6990" s="4"/>
      <c r="BO6990" s="4"/>
      <c r="BQ6990" s="4"/>
      <c r="CC6990" s="4"/>
      <c r="CD6990" s="4"/>
      <c r="CF6990" s="4"/>
    </row>
    <row r="6991" spans="66:84">
      <c r="BN6991" s="4"/>
      <c r="BO6991" s="4"/>
      <c r="BQ6991" s="4"/>
      <c r="CC6991" s="4"/>
      <c r="CD6991" s="4"/>
      <c r="CF6991" s="4"/>
    </row>
    <row r="6992" spans="66:84">
      <c r="BN6992" s="4"/>
      <c r="BO6992" s="4"/>
      <c r="BQ6992" s="4"/>
      <c r="CC6992" s="4"/>
      <c r="CD6992" s="4"/>
      <c r="CF6992" s="4"/>
    </row>
    <row r="6993" spans="66:84">
      <c r="BN6993" s="4"/>
      <c r="BO6993" s="4"/>
      <c r="BQ6993" s="4"/>
      <c r="CC6993" s="4"/>
      <c r="CD6993" s="4"/>
      <c r="CF6993" s="4"/>
    </row>
    <row r="6994" spans="66:84">
      <c r="BN6994" s="4"/>
      <c r="BO6994" s="4"/>
      <c r="BQ6994" s="4"/>
      <c r="CC6994" s="4"/>
      <c r="CD6994" s="4"/>
      <c r="CF6994" s="4"/>
    </row>
    <row r="6995" spans="66:84">
      <c r="BN6995" s="4"/>
      <c r="BO6995" s="4"/>
      <c r="BQ6995" s="4"/>
      <c r="CC6995" s="4"/>
      <c r="CD6995" s="4"/>
      <c r="CF6995" s="4"/>
    </row>
    <row r="6996" spans="66:84">
      <c r="BN6996" s="4"/>
      <c r="BO6996" s="4"/>
      <c r="BQ6996" s="4"/>
      <c r="CC6996" s="4"/>
      <c r="CD6996" s="4"/>
      <c r="CF6996" s="4"/>
    </row>
    <row r="6997" spans="66:84">
      <c r="BN6997" s="4"/>
      <c r="BO6997" s="4"/>
      <c r="BQ6997" s="4"/>
      <c r="CC6997" s="4"/>
      <c r="CD6997" s="4"/>
      <c r="CF6997" s="4"/>
    </row>
    <row r="6998" spans="66:84">
      <c r="BN6998" s="4"/>
      <c r="BO6998" s="4"/>
      <c r="BQ6998" s="4"/>
      <c r="CC6998" s="4"/>
      <c r="CD6998" s="4"/>
      <c r="CF6998" s="4"/>
    </row>
    <row r="6999" spans="66:84">
      <c r="BN6999" s="4"/>
      <c r="BO6999" s="4"/>
      <c r="BQ6999" s="4"/>
      <c r="CC6999" s="4"/>
      <c r="CD6999" s="4"/>
      <c r="CF6999" s="4"/>
    </row>
    <row r="7000" spans="66:84">
      <c r="BN7000" s="4"/>
      <c r="BO7000" s="4"/>
      <c r="BQ7000" s="4"/>
      <c r="CC7000" s="4"/>
      <c r="CD7000" s="4"/>
      <c r="CF7000" s="4"/>
    </row>
    <row r="7001" spans="66:84">
      <c r="BN7001" s="4"/>
      <c r="BO7001" s="4"/>
      <c r="BQ7001" s="4"/>
      <c r="CC7001" s="4"/>
      <c r="CD7001" s="4"/>
      <c r="CF7001" s="4"/>
    </row>
    <row r="7002" spans="66:84">
      <c r="BN7002" s="4"/>
      <c r="BO7002" s="4"/>
      <c r="BQ7002" s="4"/>
      <c r="CC7002" s="4"/>
      <c r="CD7002" s="4"/>
      <c r="CF7002" s="4"/>
    </row>
    <row r="7003" spans="66:84">
      <c r="BN7003" s="4"/>
      <c r="BO7003" s="4"/>
      <c r="BQ7003" s="4"/>
      <c r="CC7003" s="4"/>
      <c r="CD7003" s="4"/>
      <c r="CF7003" s="4"/>
    </row>
    <row r="7004" spans="66:84">
      <c r="BN7004" s="4"/>
      <c r="BO7004" s="4"/>
      <c r="BQ7004" s="4"/>
      <c r="CC7004" s="4"/>
      <c r="CD7004" s="4"/>
      <c r="CF7004" s="4"/>
    </row>
    <row r="7005" spans="66:84">
      <c r="BN7005" s="4"/>
      <c r="BO7005" s="4"/>
      <c r="BQ7005" s="4"/>
      <c r="CC7005" s="4"/>
      <c r="CD7005" s="4"/>
      <c r="CF7005" s="4"/>
    </row>
    <row r="7006" spans="66:84">
      <c r="BN7006" s="4"/>
      <c r="BO7006" s="4"/>
      <c r="BQ7006" s="4"/>
      <c r="CC7006" s="4"/>
      <c r="CD7006" s="4"/>
      <c r="CF7006" s="4"/>
    </row>
    <row r="7007" spans="66:84">
      <c r="BN7007" s="4"/>
      <c r="BO7007" s="4"/>
      <c r="BQ7007" s="4"/>
      <c r="CC7007" s="4"/>
      <c r="CD7007" s="4"/>
      <c r="CF7007" s="4"/>
    </row>
    <row r="7008" spans="66:84">
      <c r="BN7008" s="4"/>
      <c r="BO7008" s="4"/>
      <c r="BQ7008" s="4"/>
      <c r="CC7008" s="4"/>
      <c r="CD7008" s="4"/>
      <c r="CF7008" s="4"/>
    </row>
    <row r="7009" spans="66:84">
      <c r="BN7009" s="4"/>
      <c r="BO7009" s="4"/>
      <c r="BQ7009" s="4"/>
      <c r="CC7009" s="4"/>
      <c r="CD7009" s="4"/>
      <c r="CF7009" s="4"/>
    </row>
    <row r="7010" spans="66:84">
      <c r="BN7010" s="4"/>
      <c r="BO7010" s="4"/>
      <c r="BQ7010" s="4"/>
      <c r="CC7010" s="4"/>
      <c r="CD7010" s="4"/>
      <c r="CF7010" s="4"/>
    </row>
    <row r="7011" spans="66:84">
      <c r="BN7011" s="4"/>
      <c r="BO7011" s="4"/>
      <c r="BQ7011" s="4"/>
      <c r="CC7011" s="4"/>
      <c r="CD7011" s="4"/>
      <c r="CF7011" s="4"/>
    </row>
    <row r="7012" spans="66:84">
      <c r="BN7012" s="4"/>
      <c r="BO7012" s="4"/>
      <c r="BQ7012" s="4"/>
      <c r="CC7012" s="4"/>
      <c r="CD7012" s="4"/>
      <c r="CF7012" s="4"/>
    </row>
    <row r="7013" spans="66:84">
      <c r="BN7013" s="4"/>
      <c r="BO7013" s="4"/>
      <c r="BQ7013" s="4"/>
      <c r="CC7013" s="4"/>
      <c r="CD7013" s="4"/>
      <c r="CF7013" s="4"/>
    </row>
    <row r="7014" spans="66:84">
      <c r="BN7014" s="4"/>
      <c r="BO7014" s="4"/>
      <c r="BQ7014" s="4"/>
      <c r="CC7014" s="4"/>
      <c r="CD7014" s="4"/>
      <c r="CF7014" s="4"/>
    </row>
    <row r="7015" spans="66:84">
      <c r="BN7015" s="4"/>
      <c r="BO7015" s="4"/>
      <c r="BQ7015" s="4"/>
      <c r="CC7015" s="4"/>
      <c r="CD7015" s="4"/>
      <c r="CF7015" s="4"/>
    </row>
    <row r="7016" spans="66:84">
      <c r="BN7016" s="4"/>
      <c r="BO7016" s="4"/>
      <c r="BQ7016" s="4"/>
      <c r="CC7016" s="4"/>
      <c r="CD7016" s="4"/>
      <c r="CF7016" s="4"/>
    </row>
    <row r="7017" spans="66:84">
      <c r="BN7017" s="4"/>
      <c r="BO7017" s="4"/>
      <c r="BQ7017" s="4"/>
      <c r="CC7017" s="4"/>
      <c r="CD7017" s="4"/>
      <c r="CF7017" s="4"/>
    </row>
    <row r="7018" spans="66:84">
      <c r="BN7018" s="4"/>
      <c r="BO7018" s="4"/>
      <c r="BQ7018" s="4"/>
      <c r="CC7018" s="4"/>
      <c r="CD7018" s="4"/>
      <c r="CF7018" s="4"/>
    </row>
    <row r="7019" spans="66:84">
      <c r="BN7019" s="4"/>
      <c r="BO7019" s="4"/>
      <c r="BQ7019" s="4"/>
      <c r="CC7019" s="4"/>
      <c r="CD7019" s="4"/>
      <c r="CF7019" s="4"/>
    </row>
    <row r="7020" spans="66:84">
      <c r="BN7020" s="4"/>
      <c r="BO7020" s="4"/>
      <c r="BQ7020" s="4"/>
      <c r="CC7020" s="4"/>
      <c r="CD7020" s="4"/>
      <c r="CF7020" s="4"/>
    </row>
    <row r="7021" spans="66:84">
      <c r="BN7021" s="4"/>
      <c r="BO7021" s="4"/>
      <c r="BQ7021" s="4"/>
      <c r="CC7021" s="4"/>
      <c r="CD7021" s="4"/>
      <c r="CF7021" s="4"/>
    </row>
    <row r="7022" spans="66:84">
      <c r="BN7022" s="4"/>
      <c r="BO7022" s="4"/>
      <c r="BQ7022" s="4"/>
      <c r="CC7022" s="4"/>
      <c r="CD7022" s="4"/>
      <c r="CF7022" s="4"/>
    </row>
    <row r="7023" spans="66:84">
      <c r="BN7023" s="4"/>
      <c r="BO7023" s="4"/>
      <c r="BQ7023" s="4"/>
      <c r="CC7023" s="4"/>
      <c r="CD7023" s="4"/>
      <c r="CF7023" s="4"/>
    </row>
    <row r="7024" spans="66:84">
      <c r="BN7024" s="4"/>
      <c r="BO7024" s="4"/>
      <c r="BQ7024" s="4"/>
      <c r="CC7024" s="4"/>
      <c r="CD7024" s="4"/>
      <c r="CF7024" s="4"/>
    </row>
    <row r="7025" spans="66:84">
      <c r="BN7025" s="4"/>
      <c r="BO7025" s="4"/>
      <c r="BQ7025" s="4"/>
      <c r="CC7025" s="4"/>
      <c r="CD7025" s="4"/>
      <c r="CF7025" s="4"/>
    </row>
    <row r="7026" spans="66:84">
      <c r="BN7026" s="4"/>
      <c r="BO7026" s="4"/>
      <c r="BQ7026" s="4"/>
      <c r="CC7026" s="4"/>
      <c r="CD7026" s="4"/>
      <c r="CF7026" s="4"/>
    </row>
    <row r="7027" spans="66:84">
      <c r="BN7027" s="4"/>
      <c r="BO7027" s="4"/>
      <c r="BQ7027" s="4"/>
      <c r="CC7027" s="4"/>
      <c r="CD7027" s="4"/>
      <c r="CF7027" s="4"/>
    </row>
    <row r="7028" spans="66:84">
      <c r="BN7028" s="4"/>
      <c r="BO7028" s="4"/>
      <c r="BQ7028" s="4"/>
      <c r="CC7028" s="4"/>
      <c r="CD7028" s="4"/>
      <c r="CF7028" s="4"/>
    </row>
    <row r="7029" spans="66:84">
      <c r="BN7029" s="4"/>
      <c r="BO7029" s="4"/>
      <c r="BQ7029" s="4"/>
      <c r="CC7029" s="4"/>
      <c r="CD7029" s="4"/>
      <c r="CF7029" s="4"/>
    </row>
    <row r="7030" spans="66:84">
      <c r="BN7030" s="4"/>
      <c r="BO7030" s="4"/>
      <c r="BQ7030" s="4"/>
      <c r="CC7030" s="4"/>
      <c r="CD7030" s="4"/>
      <c r="CF7030" s="4"/>
    </row>
    <row r="7031" spans="66:84">
      <c r="BN7031" s="4"/>
      <c r="BO7031" s="4"/>
      <c r="BQ7031" s="4"/>
      <c r="CC7031" s="4"/>
      <c r="CD7031" s="4"/>
      <c r="CF7031" s="4"/>
    </row>
    <row r="7032" spans="66:84">
      <c r="BN7032" s="4"/>
      <c r="BO7032" s="4"/>
      <c r="BQ7032" s="4"/>
      <c r="CC7032" s="4"/>
      <c r="CD7032" s="4"/>
      <c r="CF7032" s="4"/>
    </row>
    <row r="7033" spans="66:84">
      <c r="BN7033" s="4"/>
      <c r="BO7033" s="4"/>
      <c r="BQ7033" s="4"/>
      <c r="CC7033" s="4"/>
      <c r="CD7033" s="4"/>
      <c r="CF7033" s="4"/>
    </row>
    <row r="7034" spans="66:84">
      <c r="BN7034" s="4"/>
      <c r="BO7034" s="4"/>
      <c r="BQ7034" s="4"/>
      <c r="CC7034" s="4"/>
      <c r="CD7034" s="4"/>
      <c r="CF7034" s="4"/>
    </row>
    <row r="7035" spans="66:84">
      <c r="BN7035" s="4"/>
      <c r="BO7035" s="4"/>
      <c r="BQ7035" s="4"/>
      <c r="CC7035" s="4"/>
      <c r="CD7035" s="4"/>
      <c r="CF7035" s="4"/>
    </row>
    <row r="7036" spans="66:84">
      <c r="BN7036" s="4"/>
      <c r="BO7036" s="4"/>
      <c r="BQ7036" s="4"/>
      <c r="CC7036" s="4"/>
      <c r="CD7036" s="4"/>
      <c r="CF7036" s="4"/>
    </row>
    <row r="7037" spans="66:84">
      <c r="BN7037" s="4"/>
      <c r="BO7037" s="4"/>
      <c r="BQ7037" s="4"/>
      <c r="CC7037" s="4"/>
      <c r="CD7037" s="4"/>
      <c r="CF7037" s="4"/>
    </row>
    <row r="7038" spans="66:84">
      <c r="BN7038" s="4"/>
      <c r="BO7038" s="4"/>
      <c r="BQ7038" s="4"/>
      <c r="CC7038" s="4"/>
      <c r="CD7038" s="4"/>
      <c r="CF7038" s="4"/>
    </row>
    <row r="7039" spans="66:84">
      <c r="BN7039" s="4"/>
      <c r="BO7039" s="4"/>
      <c r="BQ7039" s="4"/>
      <c r="CC7039" s="4"/>
      <c r="CD7039" s="4"/>
      <c r="CF7039" s="4"/>
    </row>
    <row r="7040" spans="66:84">
      <c r="BN7040" s="4"/>
      <c r="BO7040" s="4"/>
      <c r="BQ7040" s="4"/>
      <c r="CC7040" s="4"/>
      <c r="CD7040" s="4"/>
      <c r="CF7040" s="4"/>
    </row>
    <row r="7041" spans="66:84">
      <c r="BN7041" s="4"/>
      <c r="BO7041" s="4"/>
      <c r="BQ7041" s="4"/>
      <c r="CC7041" s="4"/>
      <c r="CD7041" s="4"/>
      <c r="CF7041" s="4"/>
    </row>
    <row r="7042" spans="66:84">
      <c r="BN7042" s="4"/>
      <c r="BO7042" s="4"/>
      <c r="BQ7042" s="4"/>
      <c r="CC7042" s="4"/>
      <c r="CD7042" s="4"/>
      <c r="CF7042" s="4"/>
    </row>
    <row r="7043" spans="66:84">
      <c r="BN7043" s="4"/>
      <c r="BO7043" s="4"/>
      <c r="BQ7043" s="4"/>
      <c r="CC7043" s="4"/>
      <c r="CD7043" s="4"/>
      <c r="CF7043" s="4"/>
    </row>
    <row r="7044" spans="66:84">
      <c r="BN7044" s="4"/>
      <c r="BO7044" s="4"/>
      <c r="BQ7044" s="4"/>
      <c r="CC7044" s="4"/>
      <c r="CD7044" s="4"/>
      <c r="CF7044" s="4"/>
    </row>
    <row r="7045" spans="66:84">
      <c r="BN7045" s="4"/>
      <c r="BO7045" s="4"/>
      <c r="BQ7045" s="4"/>
      <c r="CC7045" s="4"/>
      <c r="CD7045" s="4"/>
      <c r="CF7045" s="4"/>
    </row>
    <row r="7046" spans="66:84">
      <c r="BN7046" s="4"/>
      <c r="BO7046" s="4"/>
      <c r="BQ7046" s="4"/>
      <c r="CC7046" s="4"/>
      <c r="CD7046" s="4"/>
      <c r="CF7046" s="4"/>
    </row>
    <row r="7047" spans="66:84">
      <c r="BN7047" s="4"/>
      <c r="BO7047" s="4"/>
      <c r="BQ7047" s="4"/>
      <c r="CC7047" s="4"/>
      <c r="CD7047" s="4"/>
      <c r="CF7047" s="4"/>
    </row>
    <row r="7048" spans="66:84">
      <c r="BN7048" s="4"/>
      <c r="BO7048" s="4"/>
      <c r="BQ7048" s="4"/>
      <c r="CC7048" s="4"/>
      <c r="CD7048" s="4"/>
      <c r="CF7048" s="4"/>
    </row>
    <row r="7049" spans="66:84">
      <c r="BN7049" s="4"/>
      <c r="BO7049" s="4"/>
      <c r="BQ7049" s="4"/>
      <c r="CC7049" s="4"/>
      <c r="CD7049" s="4"/>
      <c r="CF7049" s="4"/>
    </row>
    <row r="7050" spans="66:84">
      <c r="BN7050" s="4"/>
      <c r="BO7050" s="4"/>
      <c r="BQ7050" s="4"/>
      <c r="CC7050" s="4"/>
      <c r="CD7050" s="4"/>
      <c r="CF7050" s="4"/>
    </row>
    <row r="7051" spans="66:84">
      <c r="BN7051" s="4"/>
      <c r="BO7051" s="4"/>
      <c r="BQ7051" s="4"/>
      <c r="CC7051" s="4"/>
      <c r="CD7051" s="4"/>
      <c r="CF7051" s="4"/>
    </row>
    <row r="7052" spans="66:84">
      <c r="BN7052" s="4"/>
      <c r="BO7052" s="4"/>
      <c r="BQ7052" s="4"/>
      <c r="CC7052" s="4"/>
      <c r="CD7052" s="4"/>
      <c r="CF7052" s="4"/>
    </row>
    <row r="7053" spans="66:84">
      <c r="BN7053" s="4"/>
      <c r="BO7053" s="4"/>
      <c r="BQ7053" s="4"/>
      <c r="CC7053" s="4"/>
      <c r="CD7053" s="4"/>
      <c r="CF7053" s="4"/>
    </row>
    <row r="7054" spans="66:84">
      <c r="BN7054" s="4"/>
      <c r="BO7054" s="4"/>
      <c r="BQ7054" s="4"/>
      <c r="CC7054" s="4"/>
      <c r="CD7054" s="4"/>
      <c r="CF7054" s="4"/>
    </row>
    <row r="7055" spans="66:84">
      <c r="BN7055" s="4"/>
      <c r="BO7055" s="4"/>
      <c r="BQ7055" s="4"/>
      <c r="CC7055" s="4"/>
      <c r="CD7055" s="4"/>
      <c r="CF7055" s="4"/>
    </row>
    <row r="7056" spans="66:84">
      <c r="BN7056" s="4"/>
      <c r="BO7056" s="4"/>
      <c r="BQ7056" s="4"/>
      <c r="CC7056" s="4"/>
      <c r="CD7056" s="4"/>
      <c r="CF7056" s="4"/>
    </row>
    <row r="7057" spans="66:84">
      <c r="BN7057" s="4"/>
      <c r="BO7057" s="4"/>
      <c r="BQ7057" s="4"/>
      <c r="CC7057" s="4"/>
      <c r="CD7057" s="4"/>
      <c r="CF7057" s="4"/>
    </row>
    <row r="7058" spans="66:84">
      <c r="BN7058" s="4"/>
      <c r="BO7058" s="4"/>
      <c r="BQ7058" s="4"/>
      <c r="CC7058" s="4"/>
      <c r="CD7058" s="4"/>
      <c r="CF7058" s="4"/>
    </row>
    <row r="7059" spans="66:84">
      <c r="BN7059" s="4"/>
      <c r="BO7059" s="4"/>
      <c r="BQ7059" s="4"/>
      <c r="CC7059" s="4"/>
      <c r="CD7059" s="4"/>
      <c r="CF7059" s="4"/>
    </row>
    <row r="7060" spans="66:84">
      <c r="BN7060" s="4"/>
      <c r="BO7060" s="4"/>
      <c r="BQ7060" s="4"/>
      <c r="CC7060" s="4"/>
      <c r="CD7060" s="4"/>
      <c r="CF7060" s="4"/>
    </row>
    <row r="7061" spans="66:84">
      <c r="BN7061" s="4"/>
      <c r="BO7061" s="4"/>
      <c r="BQ7061" s="4"/>
      <c r="CC7061" s="4"/>
      <c r="CD7061" s="4"/>
      <c r="CF7061" s="4"/>
    </row>
    <row r="7062" spans="66:84">
      <c r="BN7062" s="4"/>
      <c r="BO7062" s="4"/>
      <c r="BQ7062" s="4"/>
      <c r="CC7062" s="4"/>
      <c r="CD7062" s="4"/>
      <c r="CF7062" s="4"/>
    </row>
    <row r="7063" spans="66:84">
      <c r="BN7063" s="4"/>
      <c r="BO7063" s="4"/>
      <c r="BQ7063" s="4"/>
      <c r="CC7063" s="4"/>
      <c r="CD7063" s="4"/>
      <c r="CF7063" s="4"/>
    </row>
    <row r="7064" spans="66:84">
      <c r="BN7064" s="4"/>
      <c r="BO7064" s="4"/>
      <c r="BQ7064" s="4"/>
      <c r="CC7064" s="4"/>
      <c r="CD7064" s="4"/>
      <c r="CF7064" s="4"/>
    </row>
    <row r="7065" spans="66:84">
      <c r="BN7065" s="4"/>
      <c r="BO7065" s="4"/>
      <c r="BQ7065" s="4"/>
      <c r="CC7065" s="4"/>
      <c r="CD7065" s="4"/>
      <c r="CF7065" s="4"/>
    </row>
    <row r="7066" spans="66:84">
      <c r="BN7066" s="4"/>
      <c r="BO7066" s="4"/>
      <c r="BQ7066" s="4"/>
      <c r="CC7066" s="4"/>
      <c r="CD7066" s="4"/>
      <c r="CF7066" s="4"/>
    </row>
    <row r="7067" spans="66:84">
      <c r="BN7067" s="4"/>
      <c r="BO7067" s="4"/>
      <c r="BQ7067" s="4"/>
      <c r="CC7067" s="4"/>
      <c r="CD7067" s="4"/>
      <c r="CF7067" s="4"/>
    </row>
    <row r="7068" spans="66:84">
      <c r="BN7068" s="4"/>
      <c r="BO7068" s="4"/>
      <c r="BQ7068" s="4"/>
      <c r="CC7068" s="4"/>
      <c r="CD7068" s="4"/>
      <c r="CF7068" s="4"/>
    </row>
    <row r="7069" spans="66:84">
      <c r="BN7069" s="4"/>
      <c r="BO7069" s="4"/>
      <c r="BQ7069" s="4"/>
      <c r="CC7069" s="4"/>
      <c r="CD7069" s="4"/>
      <c r="CF7069" s="4"/>
    </row>
    <row r="7070" spans="66:84">
      <c r="BN7070" s="4"/>
      <c r="BO7070" s="4"/>
      <c r="BQ7070" s="4"/>
      <c r="CC7070" s="4"/>
      <c r="CD7070" s="4"/>
      <c r="CF7070" s="4"/>
    </row>
    <row r="7071" spans="66:84">
      <c r="BN7071" s="4"/>
      <c r="BO7071" s="4"/>
      <c r="BQ7071" s="4"/>
      <c r="CC7071" s="4"/>
      <c r="CD7071" s="4"/>
      <c r="CF7071" s="4"/>
    </row>
    <row r="7072" spans="66:84">
      <c r="BN7072" s="4"/>
      <c r="BO7072" s="4"/>
      <c r="BQ7072" s="4"/>
      <c r="CC7072" s="4"/>
      <c r="CD7072" s="4"/>
      <c r="CF7072" s="4"/>
    </row>
    <row r="7073" spans="66:84">
      <c r="BN7073" s="4"/>
      <c r="BO7073" s="4"/>
      <c r="BQ7073" s="4"/>
      <c r="CC7073" s="4"/>
      <c r="CD7073" s="4"/>
      <c r="CF7073" s="4"/>
    </row>
    <row r="7074" spans="66:84">
      <c r="BN7074" s="4"/>
      <c r="BO7074" s="4"/>
      <c r="BQ7074" s="4"/>
      <c r="CC7074" s="4"/>
      <c r="CD7074" s="4"/>
      <c r="CF7074" s="4"/>
    </row>
    <row r="7075" spans="66:84">
      <c r="BN7075" s="4"/>
      <c r="BO7075" s="4"/>
      <c r="BQ7075" s="4"/>
      <c r="CC7075" s="4"/>
      <c r="CD7075" s="4"/>
      <c r="CF7075" s="4"/>
    </row>
    <row r="7076" spans="66:84">
      <c r="BN7076" s="4"/>
      <c r="BO7076" s="4"/>
      <c r="BQ7076" s="4"/>
      <c r="CC7076" s="4"/>
      <c r="CD7076" s="4"/>
      <c r="CF7076" s="4"/>
    </row>
    <row r="7077" spans="66:84">
      <c r="BN7077" s="4"/>
      <c r="BO7077" s="4"/>
      <c r="BQ7077" s="4"/>
      <c r="CC7077" s="4"/>
      <c r="CD7077" s="4"/>
      <c r="CF7077" s="4"/>
    </row>
    <row r="7078" spans="66:84">
      <c r="BN7078" s="4"/>
      <c r="BO7078" s="4"/>
      <c r="BQ7078" s="4"/>
      <c r="CC7078" s="4"/>
      <c r="CD7078" s="4"/>
      <c r="CF7078" s="4"/>
    </row>
    <row r="7079" spans="66:84">
      <c r="BN7079" s="4"/>
      <c r="BO7079" s="4"/>
      <c r="BQ7079" s="4"/>
      <c r="CC7079" s="4"/>
      <c r="CD7079" s="4"/>
      <c r="CF7079" s="4"/>
    </row>
    <row r="7080" spans="66:84">
      <c r="BN7080" s="4"/>
      <c r="BO7080" s="4"/>
      <c r="BQ7080" s="4"/>
      <c r="CC7080" s="4"/>
      <c r="CD7080" s="4"/>
      <c r="CF7080" s="4"/>
    </row>
    <row r="7081" spans="66:84">
      <c r="BN7081" s="4"/>
      <c r="BO7081" s="4"/>
      <c r="BQ7081" s="4"/>
      <c r="CC7081" s="4"/>
      <c r="CD7081" s="4"/>
      <c r="CF7081" s="4"/>
    </row>
    <row r="7082" spans="66:84">
      <c r="BN7082" s="4"/>
      <c r="BO7082" s="4"/>
      <c r="BQ7082" s="4"/>
      <c r="CC7082" s="4"/>
      <c r="CD7082" s="4"/>
      <c r="CF7082" s="4"/>
    </row>
    <row r="7083" spans="66:84">
      <c r="BN7083" s="4"/>
      <c r="BO7083" s="4"/>
      <c r="BQ7083" s="4"/>
      <c r="CC7083" s="4"/>
      <c r="CD7083" s="4"/>
      <c r="CF7083" s="4"/>
    </row>
    <row r="7084" spans="66:84">
      <c r="BN7084" s="4"/>
      <c r="BO7084" s="4"/>
      <c r="BQ7084" s="4"/>
      <c r="CC7084" s="4"/>
      <c r="CD7084" s="4"/>
      <c r="CF7084" s="4"/>
    </row>
    <row r="7085" spans="66:84">
      <c r="BN7085" s="4"/>
      <c r="BO7085" s="4"/>
      <c r="BQ7085" s="4"/>
      <c r="CC7085" s="4"/>
      <c r="CD7085" s="4"/>
      <c r="CF7085" s="4"/>
    </row>
    <row r="7086" spans="66:84">
      <c r="BN7086" s="4"/>
      <c r="BO7086" s="4"/>
      <c r="BQ7086" s="4"/>
      <c r="CC7086" s="4"/>
      <c r="CD7086" s="4"/>
      <c r="CF7086" s="4"/>
    </row>
    <row r="7087" spans="66:84">
      <c r="BN7087" s="4"/>
      <c r="BO7087" s="4"/>
      <c r="BQ7087" s="4"/>
      <c r="CC7087" s="4"/>
      <c r="CD7087" s="4"/>
      <c r="CF7087" s="4"/>
    </row>
    <row r="7088" spans="66:84">
      <c r="BN7088" s="4"/>
      <c r="BO7088" s="4"/>
      <c r="BQ7088" s="4"/>
      <c r="CC7088" s="4"/>
      <c r="CD7088" s="4"/>
      <c r="CF7088" s="4"/>
    </row>
    <row r="7089" spans="66:84">
      <c r="BN7089" s="4"/>
      <c r="BO7089" s="4"/>
      <c r="BQ7089" s="4"/>
      <c r="CC7089" s="4"/>
      <c r="CD7089" s="4"/>
      <c r="CF7089" s="4"/>
    </row>
    <row r="7090" spans="66:84">
      <c r="BN7090" s="4"/>
      <c r="BO7090" s="4"/>
      <c r="BQ7090" s="4"/>
      <c r="CC7090" s="4"/>
      <c r="CD7090" s="4"/>
      <c r="CF7090" s="4"/>
    </row>
    <row r="7091" spans="66:84">
      <c r="BN7091" s="4"/>
      <c r="BO7091" s="4"/>
      <c r="BQ7091" s="4"/>
      <c r="CC7091" s="4"/>
      <c r="CD7091" s="4"/>
      <c r="CF7091" s="4"/>
    </row>
    <row r="7092" spans="66:84">
      <c r="BN7092" s="4"/>
      <c r="BO7092" s="4"/>
      <c r="BQ7092" s="4"/>
      <c r="CC7092" s="4"/>
      <c r="CD7092" s="4"/>
      <c r="CF7092" s="4"/>
    </row>
    <row r="7093" spans="66:84">
      <c r="BN7093" s="4"/>
      <c r="BO7093" s="4"/>
      <c r="BQ7093" s="4"/>
      <c r="CC7093" s="4"/>
      <c r="CD7093" s="4"/>
      <c r="CF7093" s="4"/>
    </row>
    <row r="7094" spans="66:84">
      <c r="BN7094" s="4"/>
      <c r="BO7094" s="4"/>
      <c r="BQ7094" s="4"/>
      <c r="CC7094" s="4"/>
      <c r="CD7094" s="4"/>
      <c r="CF7094" s="4"/>
    </row>
    <row r="7095" spans="66:84">
      <c r="BN7095" s="4"/>
      <c r="BO7095" s="4"/>
      <c r="BQ7095" s="4"/>
      <c r="CC7095" s="4"/>
      <c r="CD7095" s="4"/>
      <c r="CF7095" s="4"/>
    </row>
    <row r="7096" spans="66:84">
      <c r="BN7096" s="4"/>
      <c r="BO7096" s="4"/>
      <c r="BQ7096" s="4"/>
      <c r="CC7096" s="4"/>
      <c r="CD7096" s="4"/>
      <c r="CF7096" s="4"/>
    </row>
    <row r="7097" spans="66:84">
      <c r="BN7097" s="4"/>
      <c r="BO7097" s="4"/>
      <c r="BQ7097" s="4"/>
      <c r="CC7097" s="4"/>
      <c r="CD7097" s="4"/>
      <c r="CF7097" s="4"/>
    </row>
    <row r="7098" spans="66:84">
      <c r="BN7098" s="4"/>
      <c r="BO7098" s="4"/>
      <c r="BQ7098" s="4"/>
      <c r="CC7098" s="4"/>
      <c r="CD7098" s="4"/>
      <c r="CF7098" s="4"/>
    </row>
    <row r="7099" spans="66:84">
      <c r="BN7099" s="4"/>
      <c r="BO7099" s="4"/>
      <c r="BQ7099" s="4"/>
      <c r="CC7099" s="4"/>
      <c r="CD7099" s="4"/>
      <c r="CF7099" s="4"/>
    </row>
    <row r="7100" spans="66:84">
      <c r="BN7100" s="4"/>
      <c r="BO7100" s="4"/>
      <c r="BQ7100" s="4"/>
      <c r="CC7100" s="4"/>
      <c r="CD7100" s="4"/>
      <c r="CF7100" s="4"/>
    </row>
    <row r="7101" spans="66:84">
      <c r="BN7101" s="4"/>
      <c r="BO7101" s="4"/>
      <c r="BQ7101" s="4"/>
      <c r="CC7101" s="4"/>
      <c r="CD7101" s="4"/>
      <c r="CF7101" s="4"/>
    </row>
    <row r="7102" spans="66:84">
      <c r="BN7102" s="4"/>
      <c r="BO7102" s="4"/>
      <c r="BQ7102" s="4"/>
      <c r="CC7102" s="4"/>
      <c r="CD7102" s="4"/>
      <c r="CF7102" s="4"/>
    </row>
    <row r="7103" spans="66:84">
      <c r="BN7103" s="4"/>
      <c r="BO7103" s="4"/>
      <c r="BQ7103" s="4"/>
      <c r="CC7103" s="4"/>
      <c r="CD7103" s="4"/>
      <c r="CF7103" s="4"/>
    </row>
    <row r="7104" spans="66:84">
      <c r="BN7104" s="4"/>
      <c r="BO7104" s="4"/>
      <c r="BQ7104" s="4"/>
      <c r="CC7104" s="4"/>
      <c r="CD7104" s="4"/>
      <c r="CF7104" s="4"/>
    </row>
    <row r="7105" spans="66:84">
      <c r="BN7105" s="4"/>
      <c r="BO7105" s="4"/>
      <c r="BQ7105" s="4"/>
      <c r="CC7105" s="4"/>
      <c r="CD7105" s="4"/>
      <c r="CF7105" s="4"/>
    </row>
    <row r="7106" spans="66:84">
      <c r="BN7106" s="4"/>
      <c r="BO7106" s="4"/>
      <c r="BQ7106" s="4"/>
      <c r="CC7106" s="4"/>
      <c r="CD7106" s="4"/>
      <c r="CF7106" s="4"/>
    </row>
    <row r="7107" spans="66:84">
      <c r="BN7107" s="4"/>
      <c r="BO7107" s="4"/>
      <c r="BQ7107" s="4"/>
      <c r="CC7107" s="4"/>
      <c r="CD7107" s="4"/>
      <c r="CF7107" s="4"/>
    </row>
    <row r="7108" spans="66:84">
      <c r="BN7108" s="4"/>
      <c r="BO7108" s="4"/>
      <c r="BQ7108" s="4"/>
      <c r="CC7108" s="4"/>
      <c r="CD7108" s="4"/>
      <c r="CF7108" s="4"/>
    </row>
    <row r="7109" spans="66:84">
      <c r="BN7109" s="4"/>
      <c r="BO7109" s="4"/>
      <c r="BQ7109" s="4"/>
      <c r="CC7109" s="4"/>
      <c r="CD7109" s="4"/>
      <c r="CF7109" s="4"/>
    </row>
    <row r="7110" spans="66:84">
      <c r="BN7110" s="4"/>
      <c r="BO7110" s="4"/>
      <c r="BQ7110" s="4"/>
      <c r="CC7110" s="4"/>
      <c r="CD7110" s="4"/>
      <c r="CF7110" s="4"/>
    </row>
    <row r="7111" spans="66:84">
      <c r="BN7111" s="4"/>
      <c r="BO7111" s="4"/>
      <c r="BQ7111" s="4"/>
      <c r="CC7111" s="4"/>
      <c r="CD7111" s="4"/>
      <c r="CF7111" s="4"/>
    </row>
    <row r="7112" spans="66:84">
      <c r="BN7112" s="4"/>
      <c r="BO7112" s="4"/>
      <c r="BQ7112" s="4"/>
      <c r="CC7112" s="4"/>
      <c r="CD7112" s="4"/>
      <c r="CF7112" s="4"/>
    </row>
    <row r="7113" spans="66:84">
      <c r="BN7113" s="4"/>
      <c r="BO7113" s="4"/>
      <c r="BQ7113" s="4"/>
      <c r="CC7113" s="4"/>
      <c r="CD7113" s="4"/>
      <c r="CF7113" s="4"/>
    </row>
    <row r="7114" spans="66:84">
      <c r="BN7114" s="4"/>
      <c r="BO7114" s="4"/>
      <c r="BQ7114" s="4"/>
      <c r="CC7114" s="4"/>
      <c r="CD7114" s="4"/>
      <c r="CF7114" s="4"/>
    </row>
    <row r="7115" spans="66:84">
      <c r="BN7115" s="4"/>
      <c r="BO7115" s="4"/>
      <c r="BQ7115" s="4"/>
      <c r="CC7115" s="4"/>
      <c r="CD7115" s="4"/>
      <c r="CF7115" s="4"/>
    </row>
    <row r="7116" spans="66:84">
      <c r="BN7116" s="4"/>
      <c r="BO7116" s="4"/>
      <c r="BQ7116" s="4"/>
      <c r="CC7116" s="4"/>
      <c r="CD7116" s="4"/>
      <c r="CF7116" s="4"/>
    </row>
    <row r="7117" spans="66:84">
      <c r="BN7117" s="4"/>
      <c r="BO7117" s="4"/>
      <c r="BQ7117" s="4"/>
      <c r="CC7117" s="4"/>
      <c r="CD7117" s="4"/>
      <c r="CF7117" s="4"/>
    </row>
    <row r="7118" spans="66:84">
      <c r="BN7118" s="4"/>
      <c r="BO7118" s="4"/>
      <c r="BQ7118" s="4"/>
      <c r="CC7118" s="4"/>
      <c r="CD7118" s="4"/>
      <c r="CF7118" s="4"/>
    </row>
    <row r="7119" spans="66:84">
      <c r="BN7119" s="4"/>
      <c r="BO7119" s="4"/>
      <c r="BQ7119" s="4"/>
      <c r="CC7119" s="4"/>
      <c r="CD7119" s="4"/>
      <c r="CF7119" s="4"/>
    </row>
    <row r="7120" spans="66:84">
      <c r="BN7120" s="4"/>
      <c r="BO7120" s="4"/>
      <c r="BQ7120" s="4"/>
      <c r="CC7120" s="4"/>
      <c r="CD7120" s="4"/>
      <c r="CF7120" s="4"/>
    </row>
    <row r="7121" spans="66:84">
      <c r="BN7121" s="4"/>
      <c r="BO7121" s="4"/>
      <c r="BQ7121" s="4"/>
      <c r="CC7121" s="4"/>
      <c r="CD7121" s="4"/>
      <c r="CF7121" s="4"/>
    </row>
    <row r="7122" spans="66:84">
      <c r="BN7122" s="4"/>
      <c r="BO7122" s="4"/>
      <c r="BQ7122" s="4"/>
      <c r="CC7122" s="4"/>
      <c r="CD7122" s="4"/>
      <c r="CF7122" s="4"/>
    </row>
    <row r="7123" spans="66:84">
      <c r="BN7123" s="4"/>
      <c r="BO7123" s="4"/>
      <c r="BQ7123" s="4"/>
      <c r="CC7123" s="4"/>
      <c r="CD7123" s="4"/>
      <c r="CF7123" s="4"/>
    </row>
    <row r="7124" spans="66:84">
      <c r="BN7124" s="4"/>
      <c r="BO7124" s="4"/>
      <c r="BQ7124" s="4"/>
      <c r="CC7124" s="4"/>
      <c r="CD7124" s="4"/>
      <c r="CF7124" s="4"/>
    </row>
    <row r="7125" spans="66:84">
      <c r="BN7125" s="4"/>
      <c r="BO7125" s="4"/>
      <c r="BQ7125" s="4"/>
      <c r="CC7125" s="4"/>
      <c r="CD7125" s="4"/>
      <c r="CF7125" s="4"/>
    </row>
    <row r="7126" spans="66:84">
      <c r="BN7126" s="4"/>
      <c r="BO7126" s="4"/>
      <c r="BQ7126" s="4"/>
      <c r="CC7126" s="4"/>
      <c r="CD7126" s="4"/>
      <c r="CF7126" s="4"/>
    </row>
    <row r="7127" spans="66:84">
      <c r="BN7127" s="4"/>
      <c r="BO7127" s="4"/>
      <c r="BQ7127" s="4"/>
      <c r="CC7127" s="4"/>
      <c r="CD7127" s="4"/>
      <c r="CF7127" s="4"/>
    </row>
    <row r="7128" spans="66:84">
      <c r="BN7128" s="4"/>
      <c r="BO7128" s="4"/>
      <c r="BQ7128" s="4"/>
      <c r="CC7128" s="4"/>
      <c r="CD7128" s="4"/>
      <c r="CF7128" s="4"/>
    </row>
    <row r="7129" spans="66:84">
      <c r="BN7129" s="4"/>
      <c r="BO7129" s="4"/>
      <c r="BQ7129" s="4"/>
      <c r="CC7129" s="4"/>
      <c r="CD7129" s="4"/>
      <c r="CF7129" s="4"/>
    </row>
    <row r="7130" spans="66:84">
      <c r="BN7130" s="4"/>
      <c r="BO7130" s="4"/>
      <c r="BQ7130" s="4"/>
      <c r="CC7130" s="4"/>
      <c r="CD7130" s="4"/>
      <c r="CF7130" s="4"/>
    </row>
    <row r="7131" spans="66:84">
      <c r="BN7131" s="4"/>
      <c r="BO7131" s="4"/>
      <c r="BQ7131" s="4"/>
      <c r="CC7131" s="4"/>
      <c r="CD7131" s="4"/>
      <c r="CF7131" s="4"/>
    </row>
    <row r="7132" spans="66:84">
      <c r="BN7132" s="4"/>
      <c r="BO7132" s="4"/>
      <c r="BQ7132" s="4"/>
      <c r="CC7132" s="4"/>
      <c r="CD7132" s="4"/>
      <c r="CF7132" s="4"/>
    </row>
    <row r="7133" spans="66:84">
      <c r="BN7133" s="4"/>
      <c r="BO7133" s="4"/>
      <c r="BQ7133" s="4"/>
      <c r="CC7133" s="4"/>
      <c r="CD7133" s="4"/>
      <c r="CF7133" s="4"/>
    </row>
    <row r="7134" spans="66:84">
      <c r="BN7134" s="4"/>
      <c r="BO7134" s="4"/>
      <c r="BQ7134" s="4"/>
      <c r="CC7134" s="4"/>
      <c r="CD7134" s="4"/>
      <c r="CF7134" s="4"/>
    </row>
    <row r="7135" spans="66:84">
      <c r="BN7135" s="4"/>
      <c r="BO7135" s="4"/>
      <c r="BQ7135" s="4"/>
      <c r="CC7135" s="4"/>
      <c r="CD7135" s="4"/>
      <c r="CF7135" s="4"/>
    </row>
    <row r="7136" spans="66:84">
      <c r="BN7136" s="4"/>
      <c r="BO7136" s="4"/>
      <c r="BQ7136" s="4"/>
      <c r="CC7136" s="4"/>
      <c r="CD7136" s="4"/>
      <c r="CF7136" s="4"/>
    </row>
    <row r="7137" spans="66:84">
      <c r="BN7137" s="4"/>
      <c r="BO7137" s="4"/>
      <c r="BQ7137" s="4"/>
      <c r="CC7137" s="4"/>
      <c r="CD7137" s="4"/>
      <c r="CF7137" s="4"/>
    </row>
    <row r="7138" spans="66:84">
      <c r="BN7138" s="4"/>
      <c r="BO7138" s="4"/>
      <c r="BQ7138" s="4"/>
      <c r="CC7138" s="4"/>
      <c r="CD7138" s="4"/>
      <c r="CF7138" s="4"/>
    </row>
    <row r="7139" spans="66:84">
      <c r="BN7139" s="4"/>
      <c r="BO7139" s="4"/>
      <c r="BQ7139" s="4"/>
      <c r="CC7139" s="4"/>
      <c r="CD7139" s="4"/>
      <c r="CF7139" s="4"/>
    </row>
    <row r="7140" spans="66:84">
      <c r="BN7140" s="4"/>
      <c r="BO7140" s="4"/>
      <c r="BQ7140" s="4"/>
      <c r="CC7140" s="4"/>
      <c r="CD7140" s="4"/>
      <c r="CF7140" s="4"/>
    </row>
    <row r="7141" spans="66:84">
      <c r="BN7141" s="4"/>
      <c r="BO7141" s="4"/>
      <c r="BQ7141" s="4"/>
      <c r="CC7141" s="4"/>
      <c r="CD7141" s="4"/>
      <c r="CF7141" s="4"/>
    </row>
    <row r="7142" spans="66:84">
      <c r="BN7142" s="4"/>
      <c r="BO7142" s="4"/>
      <c r="BQ7142" s="4"/>
      <c r="CC7142" s="4"/>
      <c r="CD7142" s="4"/>
      <c r="CF7142" s="4"/>
    </row>
    <row r="7143" spans="66:84">
      <c r="BN7143" s="4"/>
      <c r="BO7143" s="4"/>
      <c r="BQ7143" s="4"/>
      <c r="CC7143" s="4"/>
      <c r="CD7143" s="4"/>
      <c r="CF7143" s="4"/>
    </row>
    <row r="7144" spans="66:84">
      <c r="BN7144" s="4"/>
      <c r="BO7144" s="4"/>
      <c r="BQ7144" s="4"/>
      <c r="CC7144" s="4"/>
      <c r="CD7144" s="4"/>
      <c r="CF7144" s="4"/>
    </row>
    <row r="7145" spans="66:84">
      <c r="BN7145" s="4"/>
      <c r="BO7145" s="4"/>
      <c r="BQ7145" s="4"/>
      <c r="CC7145" s="4"/>
      <c r="CD7145" s="4"/>
      <c r="CF7145" s="4"/>
    </row>
    <row r="7146" spans="66:84">
      <c r="BN7146" s="4"/>
      <c r="BO7146" s="4"/>
      <c r="BQ7146" s="4"/>
      <c r="CC7146" s="4"/>
      <c r="CD7146" s="4"/>
      <c r="CF7146" s="4"/>
    </row>
    <row r="7147" spans="66:84">
      <c r="BN7147" s="4"/>
      <c r="BO7147" s="4"/>
      <c r="BQ7147" s="4"/>
      <c r="CC7147" s="4"/>
      <c r="CD7147" s="4"/>
      <c r="CF7147" s="4"/>
    </row>
    <row r="7148" spans="66:84">
      <c r="BN7148" s="4"/>
      <c r="BO7148" s="4"/>
      <c r="BQ7148" s="4"/>
      <c r="CC7148" s="4"/>
      <c r="CD7148" s="4"/>
      <c r="CF7148" s="4"/>
    </row>
    <row r="7149" spans="66:84">
      <c r="BN7149" s="4"/>
      <c r="BO7149" s="4"/>
      <c r="BQ7149" s="4"/>
      <c r="CC7149" s="4"/>
      <c r="CD7149" s="4"/>
      <c r="CF7149" s="4"/>
    </row>
    <row r="7150" spans="66:84">
      <c r="BN7150" s="4"/>
      <c r="BO7150" s="4"/>
      <c r="BQ7150" s="4"/>
      <c r="CC7150" s="4"/>
      <c r="CD7150" s="4"/>
      <c r="CF7150" s="4"/>
    </row>
    <row r="7151" spans="66:84">
      <c r="BN7151" s="4"/>
      <c r="BO7151" s="4"/>
      <c r="BQ7151" s="4"/>
      <c r="CC7151" s="4"/>
      <c r="CD7151" s="4"/>
      <c r="CF7151" s="4"/>
    </row>
    <row r="7152" spans="66:84">
      <c r="BN7152" s="4"/>
      <c r="BO7152" s="4"/>
      <c r="BQ7152" s="4"/>
      <c r="CC7152" s="4"/>
      <c r="CD7152" s="4"/>
      <c r="CF7152" s="4"/>
    </row>
    <row r="7153" spans="66:84">
      <c r="BN7153" s="4"/>
      <c r="BO7153" s="4"/>
      <c r="BQ7153" s="4"/>
      <c r="CC7153" s="4"/>
      <c r="CD7153" s="4"/>
      <c r="CF7153" s="4"/>
    </row>
    <row r="7154" spans="66:84">
      <c r="BN7154" s="4"/>
      <c r="BO7154" s="4"/>
      <c r="BQ7154" s="4"/>
      <c r="CC7154" s="4"/>
      <c r="CD7154" s="4"/>
      <c r="CF7154" s="4"/>
    </row>
    <row r="7155" spans="66:84">
      <c r="BN7155" s="4"/>
      <c r="BO7155" s="4"/>
      <c r="BQ7155" s="4"/>
      <c r="CC7155" s="4"/>
      <c r="CD7155" s="4"/>
      <c r="CF7155" s="4"/>
    </row>
    <row r="7156" spans="66:84">
      <c r="BN7156" s="4"/>
      <c r="BO7156" s="4"/>
      <c r="BQ7156" s="4"/>
      <c r="CC7156" s="4"/>
      <c r="CD7156" s="4"/>
      <c r="CF7156" s="4"/>
    </row>
    <row r="7157" spans="66:84">
      <c r="BN7157" s="4"/>
      <c r="BO7157" s="4"/>
      <c r="BQ7157" s="4"/>
      <c r="CC7157" s="4"/>
      <c r="CD7157" s="4"/>
      <c r="CF7157" s="4"/>
    </row>
    <row r="7158" spans="66:84">
      <c r="BN7158" s="4"/>
      <c r="BO7158" s="4"/>
      <c r="BQ7158" s="4"/>
      <c r="CC7158" s="4"/>
      <c r="CD7158" s="4"/>
      <c r="CF7158" s="4"/>
    </row>
    <row r="7159" spans="66:84">
      <c r="BN7159" s="4"/>
      <c r="BO7159" s="4"/>
      <c r="BQ7159" s="4"/>
      <c r="CC7159" s="4"/>
      <c r="CD7159" s="4"/>
      <c r="CF7159" s="4"/>
    </row>
    <row r="7160" spans="66:84">
      <c r="BN7160" s="4"/>
      <c r="BO7160" s="4"/>
      <c r="BQ7160" s="4"/>
      <c r="CC7160" s="4"/>
      <c r="CD7160" s="4"/>
      <c r="CF7160" s="4"/>
    </row>
    <row r="7161" spans="66:84">
      <c r="BN7161" s="4"/>
      <c r="BO7161" s="4"/>
      <c r="BQ7161" s="4"/>
      <c r="CC7161" s="4"/>
      <c r="CD7161" s="4"/>
      <c r="CF7161" s="4"/>
    </row>
    <row r="7162" spans="66:84">
      <c r="BN7162" s="4"/>
      <c r="BO7162" s="4"/>
      <c r="BQ7162" s="4"/>
      <c r="CC7162" s="4"/>
      <c r="CD7162" s="4"/>
      <c r="CF7162" s="4"/>
    </row>
    <row r="7163" spans="66:84">
      <c r="BN7163" s="4"/>
      <c r="BO7163" s="4"/>
      <c r="BQ7163" s="4"/>
      <c r="CC7163" s="4"/>
      <c r="CD7163" s="4"/>
      <c r="CF7163" s="4"/>
    </row>
    <row r="7164" spans="66:84">
      <c r="BN7164" s="4"/>
      <c r="BO7164" s="4"/>
      <c r="BQ7164" s="4"/>
      <c r="CC7164" s="4"/>
      <c r="CD7164" s="4"/>
      <c r="CF7164" s="4"/>
    </row>
    <row r="7165" spans="66:84">
      <c r="BN7165" s="4"/>
      <c r="BO7165" s="4"/>
      <c r="BQ7165" s="4"/>
      <c r="CC7165" s="4"/>
      <c r="CD7165" s="4"/>
      <c r="CF7165" s="4"/>
    </row>
    <row r="7166" spans="66:84">
      <c r="BN7166" s="4"/>
      <c r="BO7166" s="4"/>
      <c r="BQ7166" s="4"/>
      <c r="CC7166" s="4"/>
      <c r="CD7166" s="4"/>
      <c r="CF7166" s="4"/>
    </row>
    <row r="7167" spans="66:84">
      <c r="BN7167" s="4"/>
      <c r="BO7167" s="4"/>
      <c r="BQ7167" s="4"/>
      <c r="CC7167" s="4"/>
      <c r="CD7167" s="4"/>
      <c r="CF7167" s="4"/>
    </row>
    <row r="7168" spans="66:84">
      <c r="BN7168" s="4"/>
      <c r="BO7168" s="4"/>
      <c r="BQ7168" s="4"/>
      <c r="CC7168" s="4"/>
      <c r="CD7168" s="4"/>
      <c r="CF7168" s="4"/>
    </row>
    <row r="7169" spans="66:84">
      <c r="BN7169" s="4"/>
      <c r="BO7169" s="4"/>
      <c r="BQ7169" s="4"/>
      <c r="CC7169" s="4"/>
      <c r="CD7169" s="4"/>
      <c r="CF7169" s="4"/>
    </row>
    <row r="7170" spans="66:84">
      <c r="BN7170" s="4"/>
      <c r="BO7170" s="4"/>
      <c r="BQ7170" s="4"/>
      <c r="CC7170" s="4"/>
      <c r="CD7170" s="4"/>
      <c r="CF7170" s="4"/>
    </row>
    <row r="7171" spans="66:84">
      <c r="BN7171" s="4"/>
      <c r="BO7171" s="4"/>
      <c r="BQ7171" s="4"/>
      <c r="CC7171" s="4"/>
      <c r="CD7171" s="4"/>
      <c r="CF7171" s="4"/>
    </row>
    <row r="7172" spans="66:84">
      <c r="BN7172" s="4"/>
      <c r="BO7172" s="4"/>
      <c r="BQ7172" s="4"/>
      <c r="CC7172" s="4"/>
      <c r="CD7172" s="4"/>
      <c r="CF7172" s="4"/>
    </row>
    <row r="7173" spans="66:84">
      <c r="BN7173" s="4"/>
      <c r="BO7173" s="4"/>
      <c r="BQ7173" s="4"/>
      <c r="CC7173" s="4"/>
      <c r="CD7173" s="4"/>
      <c r="CF7173" s="4"/>
    </row>
    <row r="7174" spans="66:84">
      <c r="BN7174" s="4"/>
      <c r="BO7174" s="4"/>
      <c r="BQ7174" s="4"/>
      <c r="CC7174" s="4"/>
      <c r="CD7174" s="4"/>
      <c r="CF7174" s="4"/>
    </row>
    <row r="7175" spans="66:84">
      <c r="BN7175" s="4"/>
      <c r="BO7175" s="4"/>
      <c r="BQ7175" s="4"/>
      <c r="CC7175" s="4"/>
      <c r="CD7175" s="4"/>
      <c r="CF7175" s="4"/>
    </row>
    <row r="7176" spans="66:84">
      <c r="BN7176" s="4"/>
      <c r="BO7176" s="4"/>
      <c r="BQ7176" s="4"/>
      <c r="CC7176" s="4"/>
      <c r="CD7176" s="4"/>
      <c r="CF7176" s="4"/>
    </row>
    <row r="7177" spans="66:84">
      <c r="BN7177" s="4"/>
      <c r="BO7177" s="4"/>
      <c r="BQ7177" s="4"/>
      <c r="CC7177" s="4"/>
      <c r="CD7177" s="4"/>
      <c r="CF7177" s="4"/>
    </row>
    <row r="7178" spans="66:84">
      <c r="BN7178" s="4"/>
      <c r="BO7178" s="4"/>
      <c r="BQ7178" s="4"/>
      <c r="CC7178" s="4"/>
      <c r="CD7178" s="4"/>
      <c r="CF7178" s="4"/>
    </row>
    <row r="7179" spans="66:84">
      <c r="BN7179" s="4"/>
      <c r="BO7179" s="4"/>
      <c r="BQ7179" s="4"/>
      <c r="CC7179" s="4"/>
      <c r="CD7179" s="4"/>
      <c r="CF7179" s="4"/>
    </row>
    <row r="7180" spans="66:84">
      <c r="BN7180" s="4"/>
      <c r="BO7180" s="4"/>
      <c r="BQ7180" s="4"/>
      <c r="CC7180" s="4"/>
      <c r="CD7180" s="4"/>
      <c r="CF7180" s="4"/>
    </row>
    <row r="7181" spans="66:84">
      <c r="BN7181" s="4"/>
      <c r="BO7181" s="4"/>
      <c r="BQ7181" s="4"/>
      <c r="CC7181" s="4"/>
      <c r="CD7181" s="4"/>
      <c r="CF7181" s="4"/>
    </row>
    <row r="7182" spans="66:84">
      <c r="BN7182" s="4"/>
      <c r="BO7182" s="4"/>
      <c r="BQ7182" s="4"/>
      <c r="CC7182" s="4"/>
      <c r="CD7182" s="4"/>
      <c r="CF7182" s="4"/>
    </row>
    <row r="7183" spans="66:84">
      <c r="BN7183" s="4"/>
      <c r="BO7183" s="4"/>
      <c r="BQ7183" s="4"/>
      <c r="CC7183" s="4"/>
      <c r="CD7183" s="4"/>
      <c r="CF7183" s="4"/>
    </row>
    <row r="7184" spans="66:84">
      <c r="BN7184" s="4"/>
      <c r="BO7184" s="4"/>
      <c r="BQ7184" s="4"/>
      <c r="CC7184" s="4"/>
      <c r="CD7184" s="4"/>
      <c r="CF7184" s="4"/>
    </row>
    <row r="7185" spans="66:84">
      <c r="BN7185" s="4"/>
      <c r="BO7185" s="4"/>
      <c r="BQ7185" s="4"/>
      <c r="CC7185" s="4"/>
      <c r="CD7185" s="4"/>
      <c r="CF7185" s="4"/>
    </row>
    <row r="7186" spans="66:84">
      <c r="BN7186" s="4"/>
      <c r="BO7186" s="4"/>
      <c r="BQ7186" s="4"/>
      <c r="CC7186" s="4"/>
      <c r="CD7186" s="4"/>
      <c r="CF7186" s="4"/>
    </row>
    <row r="7187" spans="66:84">
      <c r="BN7187" s="4"/>
      <c r="BO7187" s="4"/>
      <c r="BQ7187" s="4"/>
      <c r="CC7187" s="4"/>
      <c r="CD7187" s="4"/>
      <c r="CF7187" s="4"/>
    </row>
    <row r="7188" spans="66:84">
      <c r="BN7188" s="4"/>
      <c r="BO7188" s="4"/>
      <c r="BQ7188" s="4"/>
      <c r="CC7188" s="4"/>
      <c r="CD7188" s="4"/>
      <c r="CF7188" s="4"/>
    </row>
    <row r="7189" spans="66:84">
      <c r="BN7189" s="4"/>
      <c r="BO7189" s="4"/>
      <c r="BQ7189" s="4"/>
      <c r="CC7189" s="4"/>
      <c r="CD7189" s="4"/>
      <c r="CF7189" s="4"/>
    </row>
    <row r="7190" spans="66:84">
      <c r="BN7190" s="4"/>
      <c r="BO7190" s="4"/>
      <c r="BQ7190" s="4"/>
      <c r="CC7190" s="4"/>
      <c r="CD7190" s="4"/>
      <c r="CF7190" s="4"/>
    </row>
    <row r="7191" spans="66:84">
      <c r="BN7191" s="4"/>
      <c r="BO7191" s="4"/>
      <c r="BQ7191" s="4"/>
      <c r="CC7191" s="4"/>
      <c r="CD7191" s="4"/>
      <c r="CF7191" s="4"/>
    </row>
    <row r="7192" spans="66:84">
      <c r="BN7192" s="4"/>
      <c r="BO7192" s="4"/>
      <c r="BQ7192" s="4"/>
      <c r="CC7192" s="4"/>
      <c r="CD7192" s="4"/>
      <c r="CF7192" s="4"/>
    </row>
    <row r="7193" spans="66:84">
      <c r="BN7193" s="4"/>
      <c r="BO7193" s="4"/>
      <c r="BQ7193" s="4"/>
      <c r="CC7193" s="4"/>
      <c r="CD7193" s="4"/>
      <c r="CF7193" s="4"/>
    </row>
    <row r="7194" spans="66:84">
      <c r="BN7194" s="4"/>
      <c r="BO7194" s="4"/>
      <c r="BQ7194" s="4"/>
      <c r="CC7194" s="4"/>
      <c r="CD7194" s="4"/>
      <c r="CF7194" s="4"/>
    </row>
    <row r="7195" spans="66:84">
      <c r="BN7195" s="4"/>
      <c r="BO7195" s="4"/>
      <c r="BQ7195" s="4"/>
      <c r="CC7195" s="4"/>
      <c r="CD7195" s="4"/>
      <c r="CF7195" s="4"/>
    </row>
    <row r="7196" spans="66:84">
      <c r="BN7196" s="4"/>
      <c r="BO7196" s="4"/>
      <c r="BQ7196" s="4"/>
      <c r="CC7196" s="4"/>
      <c r="CD7196" s="4"/>
      <c r="CF7196" s="4"/>
    </row>
    <row r="7197" spans="66:84">
      <c r="BN7197" s="4"/>
      <c r="BO7197" s="4"/>
      <c r="BQ7197" s="4"/>
      <c r="CC7197" s="4"/>
      <c r="CD7197" s="4"/>
      <c r="CF7197" s="4"/>
    </row>
    <row r="7198" spans="66:84">
      <c r="BN7198" s="4"/>
      <c r="BO7198" s="4"/>
      <c r="BQ7198" s="4"/>
      <c r="CC7198" s="4"/>
      <c r="CD7198" s="4"/>
      <c r="CF7198" s="4"/>
    </row>
    <row r="7199" spans="66:84">
      <c r="BN7199" s="4"/>
      <c r="BO7199" s="4"/>
      <c r="BQ7199" s="4"/>
      <c r="CC7199" s="4"/>
      <c r="CD7199" s="4"/>
      <c r="CF7199" s="4"/>
    </row>
    <row r="7200" spans="66:84">
      <c r="BN7200" s="4"/>
      <c r="BO7200" s="4"/>
      <c r="BQ7200" s="4"/>
      <c r="CC7200" s="4"/>
      <c r="CD7200" s="4"/>
      <c r="CF7200" s="4"/>
    </row>
    <row r="7201" spans="66:84">
      <c r="BN7201" s="4"/>
      <c r="BO7201" s="4"/>
      <c r="BQ7201" s="4"/>
      <c r="CC7201" s="4"/>
      <c r="CD7201" s="4"/>
      <c r="CF7201" s="4"/>
    </row>
    <row r="7202" spans="66:84">
      <c r="BN7202" s="4"/>
      <c r="BO7202" s="4"/>
      <c r="BQ7202" s="4"/>
      <c r="CC7202" s="4"/>
      <c r="CD7202" s="4"/>
      <c r="CF7202" s="4"/>
    </row>
    <row r="7203" spans="66:84">
      <c r="BN7203" s="4"/>
      <c r="BO7203" s="4"/>
      <c r="BQ7203" s="4"/>
      <c r="CC7203" s="4"/>
      <c r="CD7203" s="4"/>
      <c r="CF7203" s="4"/>
    </row>
    <row r="7204" spans="66:84">
      <c r="BN7204" s="4"/>
      <c r="BO7204" s="4"/>
      <c r="BQ7204" s="4"/>
      <c r="CC7204" s="4"/>
      <c r="CD7204" s="4"/>
      <c r="CF7204" s="4"/>
    </row>
    <row r="7205" spans="66:84">
      <c r="BN7205" s="4"/>
      <c r="BO7205" s="4"/>
      <c r="BQ7205" s="4"/>
      <c r="CC7205" s="4"/>
      <c r="CD7205" s="4"/>
      <c r="CF7205" s="4"/>
    </row>
    <row r="7206" spans="66:84">
      <c r="BN7206" s="4"/>
      <c r="BO7206" s="4"/>
      <c r="BQ7206" s="4"/>
      <c r="CC7206" s="4"/>
      <c r="CD7206" s="4"/>
      <c r="CF7206" s="4"/>
    </row>
    <row r="7207" spans="66:84">
      <c r="BN7207" s="4"/>
      <c r="BO7207" s="4"/>
      <c r="BQ7207" s="4"/>
      <c r="CC7207" s="4"/>
      <c r="CD7207" s="4"/>
      <c r="CF7207" s="4"/>
    </row>
    <row r="7208" spans="66:84">
      <c r="BN7208" s="4"/>
      <c r="BO7208" s="4"/>
      <c r="BQ7208" s="4"/>
      <c r="CC7208" s="4"/>
      <c r="CD7208" s="4"/>
      <c r="CF7208" s="4"/>
    </row>
    <row r="7209" spans="66:84">
      <c r="BN7209" s="4"/>
      <c r="BO7209" s="4"/>
      <c r="BQ7209" s="4"/>
      <c r="CC7209" s="4"/>
      <c r="CD7209" s="4"/>
      <c r="CF7209" s="4"/>
    </row>
    <row r="7210" spans="66:84">
      <c r="BN7210" s="4"/>
      <c r="BO7210" s="4"/>
      <c r="BQ7210" s="4"/>
      <c r="CC7210" s="4"/>
      <c r="CD7210" s="4"/>
      <c r="CF7210" s="4"/>
    </row>
    <row r="7211" spans="66:84">
      <c r="BN7211" s="4"/>
      <c r="BO7211" s="4"/>
      <c r="BQ7211" s="4"/>
      <c r="CC7211" s="4"/>
      <c r="CD7211" s="4"/>
      <c r="CF7211" s="4"/>
    </row>
    <row r="7212" spans="66:84">
      <c r="BN7212" s="4"/>
      <c r="BO7212" s="4"/>
      <c r="BQ7212" s="4"/>
      <c r="CC7212" s="4"/>
      <c r="CD7212" s="4"/>
      <c r="CF7212" s="4"/>
    </row>
    <row r="7213" spans="66:84">
      <c r="BN7213" s="4"/>
      <c r="BO7213" s="4"/>
      <c r="BQ7213" s="4"/>
      <c r="CC7213" s="4"/>
      <c r="CD7213" s="4"/>
      <c r="CF7213" s="4"/>
    </row>
    <row r="7214" spans="66:84">
      <c r="BN7214" s="4"/>
      <c r="BO7214" s="4"/>
      <c r="BQ7214" s="4"/>
      <c r="CC7214" s="4"/>
      <c r="CD7214" s="4"/>
      <c r="CF7214" s="4"/>
    </row>
    <row r="7215" spans="66:84">
      <c r="BN7215" s="4"/>
      <c r="BO7215" s="4"/>
      <c r="BQ7215" s="4"/>
      <c r="CC7215" s="4"/>
      <c r="CD7215" s="4"/>
      <c r="CF7215" s="4"/>
    </row>
    <row r="7216" spans="66:84">
      <c r="BN7216" s="4"/>
      <c r="BO7216" s="4"/>
      <c r="BQ7216" s="4"/>
      <c r="CC7216" s="4"/>
      <c r="CD7216" s="4"/>
      <c r="CF7216" s="4"/>
    </row>
    <row r="7217" spans="66:84">
      <c r="BN7217" s="4"/>
      <c r="BO7217" s="4"/>
      <c r="BQ7217" s="4"/>
      <c r="CC7217" s="4"/>
      <c r="CD7217" s="4"/>
      <c r="CF7217" s="4"/>
    </row>
    <row r="7218" spans="66:84">
      <c r="BN7218" s="4"/>
      <c r="BO7218" s="4"/>
      <c r="BQ7218" s="4"/>
      <c r="CC7218" s="4"/>
      <c r="CD7218" s="4"/>
      <c r="CF7218" s="4"/>
    </row>
    <row r="7219" spans="66:84">
      <c r="BN7219" s="4"/>
      <c r="BO7219" s="4"/>
      <c r="BQ7219" s="4"/>
      <c r="CC7219" s="4"/>
      <c r="CD7219" s="4"/>
      <c r="CF7219" s="4"/>
    </row>
    <row r="7220" spans="66:84">
      <c r="BN7220" s="4"/>
      <c r="BO7220" s="4"/>
      <c r="BQ7220" s="4"/>
      <c r="CC7220" s="4"/>
      <c r="CD7220" s="4"/>
      <c r="CF7220" s="4"/>
    </row>
    <row r="7221" spans="66:84">
      <c r="BN7221" s="4"/>
      <c r="BO7221" s="4"/>
      <c r="BQ7221" s="4"/>
      <c r="CC7221" s="4"/>
      <c r="CD7221" s="4"/>
      <c r="CF7221" s="4"/>
    </row>
    <row r="7222" spans="66:84">
      <c r="BN7222" s="4"/>
      <c r="BO7222" s="4"/>
      <c r="BQ7222" s="4"/>
      <c r="CC7222" s="4"/>
      <c r="CD7222" s="4"/>
      <c r="CF7222" s="4"/>
    </row>
    <row r="7223" spans="66:84">
      <c r="BN7223" s="4"/>
      <c r="BO7223" s="4"/>
      <c r="BQ7223" s="4"/>
      <c r="CC7223" s="4"/>
      <c r="CD7223" s="4"/>
      <c r="CF7223" s="4"/>
    </row>
    <row r="7224" spans="66:84">
      <c r="BN7224" s="4"/>
      <c r="BO7224" s="4"/>
      <c r="BQ7224" s="4"/>
      <c r="CC7224" s="4"/>
      <c r="CD7224" s="4"/>
      <c r="CF7224" s="4"/>
    </row>
    <row r="7225" spans="66:84">
      <c r="BN7225" s="4"/>
      <c r="BO7225" s="4"/>
      <c r="BQ7225" s="4"/>
      <c r="CC7225" s="4"/>
      <c r="CD7225" s="4"/>
      <c r="CF7225" s="4"/>
    </row>
    <row r="7226" spans="66:84">
      <c r="BN7226" s="4"/>
      <c r="BO7226" s="4"/>
      <c r="BQ7226" s="4"/>
      <c r="CC7226" s="4"/>
      <c r="CD7226" s="4"/>
      <c r="CF7226" s="4"/>
    </row>
    <row r="7227" spans="66:84">
      <c r="BN7227" s="4"/>
      <c r="BO7227" s="4"/>
      <c r="BQ7227" s="4"/>
      <c r="CC7227" s="4"/>
      <c r="CD7227" s="4"/>
      <c r="CF7227" s="4"/>
    </row>
    <row r="7228" spans="66:84">
      <c r="BN7228" s="4"/>
      <c r="BO7228" s="4"/>
      <c r="BQ7228" s="4"/>
      <c r="CC7228" s="4"/>
      <c r="CD7228" s="4"/>
      <c r="CF7228" s="4"/>
    </row>
    <row r="7229" spans="66:84">
      <c r="BN7229" s="4"/>
      <c r="BO7229" s="4"/>
      <c r="BQ7229" s="4"/>
      <c r="CC7229" s="4"/>
      <c r="CD7229" s="4"/>
      <c r="CF7229" s="4"/>
    </row>
    <row r="7230" spans="66:84">
      <c r="BN7230" s="4"/>
      <c r="BO7230" s="4"/>
      <c r="BQ7230" s="4"/>
      <c r="CC7230" s="4"/>
      <c r="CD7230" s="4"/>
      <c r="CF7230" s="4"/>
    </row>
    <row r="7231" spans="66:84">
      <c r="BN7231" s="4"/>
      <c r="BO7231" s="4"/>
      <c r="BQ7231" s="4"/>
      <c r="CC7231" s="4"/>
      <c r="CD7231" s="4"/>
      <c r="CF7231" s="4"/>
    </row>
    <row r="7232" spans="66:84">
      <c r="BN7232" s="4"/>
      <c r="BO7232" s="4"/>
      <c r="BQ7232" s="4"/>
      <c r="CC7232" s="4"/>
      <c r="CD7232" s="4"/>
      <c r="CF7232" s="4"/>
    </row>
    <row r="7233" spans="66:84">
      <c r="BN7233" s="4"/>
      <c r="BO7233" s="4"/>
      <c r="BQ7233" s="4"/>
      <c r="CC7233" s="4"/>
      <c r="CD7233" s="4"/>
      <c r="CF7233" s="4"/>
    </row>
    <row r="7234" spans="66:84">
      <c r="BN7234" s="4"/>
      <c r="BO7234" s="4"/>
      <c r="BQ7234" s="4"/>
      <c r="CC7234" s="4"/>
      <c r="CD7234" s="4"/>
      <c r="CF7234" s="4"/>
    </row>
    <row r="7235" spans="66:84">
      <c r="BN7235" s="4"/>
      <c r="BO7235" s="4"/>
      <c r="BQ7235" s="4"/>
      <c r="CC7235" s="4"/>
      <c r="CD7235" s="4"/>
      <c r="CF7235" s="4"/>
    </row>
    <row r="7236" spans="66:84">
      <c r="BN7236" s="4"/>
      <c r="BO7236" s="4"/>
      <c r="BQ7236" s="4"/>
      <c r="CC7236" s="4"/>
      <c r="CD7236" s="4"/>
      <c r="CF7236" s="4"/>
    </row>
    <row r="7237" spans="66:84">
      <c r="BN7237" s="4"/>
      <c r="BO7237" s="4"/>
      <c r="BQ7237" s="4"/>
      <c r="CC7237" s="4"/>
      <c r="CD7237" s="4"/>
      <c r="CF7237" s="4"/>
    </row>
    <row r="7238" spans="66:84">
      <c r="BN7238" s="4"/>
      <c r="BO7238" s="4"/>
      <c r="BQ7238" s="4"/>
      <c r="CC7238" s="4"/>
      <c r="CD7238" s="4"/>
      <c r="CF7238" s="4"/>
    </row>
    <row r="7239" spans="66:84">
      <c r="BN7239" s="4"/>
      <c r="BO7239" s="4"/>
      <c r="BQ7239" s="4"/>
      <c r="CC7239" s="4"/>
      <c r="CD7239" s="4"/>
      <c r="CF7239" s="4"/>
    </row>
    <row r="7240" spans="66:84">
      <c r="BN7240" s="4"/>
      <c r="BO7240" s="4"/>
      <c r="BQ7240" s="4"/>
      <c r="CC7240" s="4"/>
      <c r="CD7240" s="4"/>
      <c r="CF7240" s="4"/>
    </row>
    <row r="7241" spans="66:84">
      <c r="BN7241" s="4"/>
      <c r="BO7241" s="4"/>
      <c r="BQ7241" s="4"/>
      <c r="CC7241" s="4"/>
      <c r="CD7241" s="4"/>
      <c r="CF7241" s="4"/>
    </row>
    <row r="7242" spans="66:84">
      <c r="BN7242" s="4"/>
      <c r="BO7242" s="4"/>
      <c r="BQ7242" s="4"/>
      <c r="CC7242" s="4"/>
      <c r="CD7242" s="4"/>
      <c r="CF7242" s="4"/>
    </row>
    <row r="7243" spans="66:84">
      <c r="BN7243" s="4"/>
      <c r="BO7243" s="4"/>
      <c r="BQ7243" s="4"/>
      <c r="CC7243" s="4"/>
      <c r="CD7243" s="4"/>
      <c r="CF7243" s="4"/>
    </row>
    <row r="7244" spans="66:84">
      <c r="BN7244" s="4"/>
      <c r="BO7244" s="4"/>
      <c r="BQ7244" s="4"/>
      <c r="CC7244" s="4"/>
      <c r="CD7244" s="4"/>
      <c r="CF7244" s="4"/>
    </row>
    <row r="7245" spans="66:84">
      <c r="BN7245" s="4"/>
      <c r="BO7245" s="4"/>
      <c r="BQ7245" s="4"/>
      <c r="CC7245" s="4"/>
      <c r="CD7245" s="4"/>
      <c r="CF7245" s="4"/>
    </row>
    <row r="7246" spans="66:84">
      <c r="BN7246" s="4"/>
      <c r="BO7246" s="4"/>
      <c r="BQ7246" s="4"/>
      <c r="CC7246" s="4"/>
      <c r="CD7246" s="4"/>
      <c r="CF7246" s="4"/>
    </row>
    <row r="7247" spans="66:84">
      <c r="BN7247" s="4"/>
      <c r="BO7247" s="4"/>
      <c r="BQ7247" s="4"/>
      <c r="CC7247" s="4"/>
      <c r="CD7247" s="4"/>
      <c r="CF7247" s="4"/>
    </row>
    <row r="7248" spans="66:84">
      <c r="BN7248" s="4"/>
      <c r="BO7248" s="4"/>
      <c r="BQ7248" s="4"/>
      <c r="CC7248" s="4"/>
      <c r="CD7248" s="4"/>
      <c r="CF7248" s="4"/>
    </row>
    <row r="7249" spans="66:84">
      <c r="BN7249" s="4"/>
      <c r="BO7249" s="4"/>
      <c r="BQ7249" s="4"/>
      <c r="CC7249" s="4"/>
      <c r="CD7249" s="4"/>
      <c r="CF7249" s="4"/>
    </row>
    <row r="7250" spans="66:84">
      <c r="BN7250" s="4"/>
      <c r="BO7250" s="4"/>
      <c r="BQ7250" s="4"/>
      <c r="CC7250" s="4"/>
      <c r="CD7250" s="4"/>
      <c r="CF7250" s="4"/>
    </row>
    <row r="7251" spans="66:84">
      <c r="BN7251" s="4"/>
      <c r="BO7251" s="4"/>
      <c r="BQ7251" s="4"/>
      <c r="CC7251" s="4"/>
      <c r="CD7251" s="4"/>
      <c r="CF7251" s="4"/>
    </row>
    <row r="7252" spans="66:84">
      <c r="BN7252" s="4"/>
      <c r="BO7252" s="4"/>
      <c r="BQ7252" s="4"/>
      <c r="CC7252" s="4"/>
      <c r="CD7252" s="4"/>
      <c r="CF7252" s="4"/>
    </row>
    <row r="7253" spans="66:84">
      <c r="BN7253" s="4"/>
      <c r="BO7253" s="4"/>
      <c r="BQ7253" s="4"/>
      <c r="CC7253" s="4"/>
      <c r="CD7253" s="4"/>
      <c r="CF7253" s="4"/>
    </row>
    <row r="7254" spans="66:84">
      <c r="BN7254" s="4"/>
      <c r="BO7254" s="4"/>
      <c r="BQ7254" s="4"/>
      <c r="CC7254" s="4"/>
      <c r="CD7254" s="4"/>
      <c r="CF7254" s="4"/>
    </row>
    <row r="7255" spans="66:84">
      <c r="BN7255" s="4"/>
      <c r="BO7255" s="4"/>
      <c r="BQ7255" s="4"/>
      <c r="CC7255" s="4"/>
      <c r="CD7255" s="4"/>
      <c r="CF7255" s="4"/>
    </row>
    <row r="7256" spans="66:84">
      <c r="BN7256" s="4"/>
      <c r="BO7256" s="4"/>
      <c r="BQ7256" s="4"/>
      <c r="CC7256" s="4"/>
      <c r="CD7256" s="4"/>
      <c r="CF7256" s="4"/>
    </row>
    <row r="7257" spans="66:84">
      <c r="BN7257" s="4"/>
      <c r="BO7257" s="4"/>
      <c r="BQ7257" s="4"/>
      <c r="CC7257" s="4"/>
      <c r="CD7257" s="4"/>
      <c r="CF7257" s="4"/>
    </row>
    <row r="7258" spans="66:84">
      <c r="BN7258" s="4"/>
      <c r="BO7258" s="4"/>
      <c r="BQ7258" s="4"/>
      <c r="CC7258" s="4"/>
      <c r="CD7258" s="4"/>
      <c r="CF7258" s="4"/>
    </row>
    <row r="7259" spans="66:84">
      <c r="BN7259" s="4"/>
      <c r="BO7259" s="4"/>
      <c r="BQ7259" s="4"/>
      <c r="CC7259" s="4"/>
      <c r="CD7259" s="4"/>
      <c r="CF7259" s="4"/>
    </row>
    <row r="7260" spans="66:84">
      <c r="BN7260" s="4"/>
      <c r="BO7260" s="4"/>
      <c r="BQ7260" s="4"/>
      <c r="CC7260" s="4"/>
      <c r="CD7260" s="4"/>
      <c r="CF7260" s="4"/>
    </row>
    <row r="7261" spans="66:84">
      <c r="BN7261" s="4"/>
      <c r="BO7261" s="4"/>
      <c r="BQ7261" s="4"/>
      <c r="CC7261" s="4"/>
      <c r="CD7261" s="4"/>
      <c r="CF7261" s="4"/>
    </row>
    <row r="7262" spans="66:84">
      <c r="BN7262" s="4"/>
      <c r="BO7262" s="4"/>
      <c r="BQ7262" s="4"/>
      <c r="CC7262" s="4"/>
      <c r="CD7262" s="4"/>
      <c r="CF7262" s="4"/>
    </row>
    <row r="7263" spans="66:84">
      <c r="BN7263" s="4"/>
      <c r="BO7263" s="4"/>
      <c r="BQ7263" s="4"/>
      <c r="CC7263" s="4"/>
      <c r="CD7263" s="4"/>
      <c r="CF7263" s="4"/>
    </row>
    <row r="7264" spans="66:84">
      <c r="BN7264" s="4"/>
      <c r="BO7264" s="4"/>
      <c r="BQ7264" s="4"/>
      <c r="CC7264" s="4"/>
      <c r="CD7264" s="4"/>
      <c r="CF7264" s="4"/>
    </row>
    <row r="7265" spans="66:84">
      <c r="BN7265" s="4"/>
      <c r="BO7265" s="4"/>
      <c r="BQ7265" s="4"/>
      <c r="CC7265" s="4"/>
      <c r="CD7265" s="4"/>
      <c r="CF7265" s="4"/>
    </row>
    <row r="7266" spans="66:84">
      <c r="BN7266" s="4"/>
      <c r="BO7266" s="4"/>
      <c r="BQ7266" s="4"/>
      <c r="CC7266" s="4"/>
      <c r="CD7266" s="4"/>
      <c r="CF7266" s="4"/>
    </row>
    <row r="7267" spans="66:84">
      <c r="BN7267" s="4"/>
      <c r="BO7267" s="4"/>
      <c r="BQ7267" s="4"/>
      <c r="CC7267" s="4"/>
      <c r="CD7267" s="4"/>
      <c r="CF7267" s="4"/>
    </row>
    <row r="7268" spans="66:84">
      <c r="BN7268" s="4"/>
      <c r="BO7268" s="4"/>
      <c r="BQ7268" s="4"/>
      <c r="CC7268" s="4"/>
      <c r="CD7268" s="4"/>
      <c r="CF7268" s="4"/>
    </row>
    <row r="7269" spans="66:84">
      <c r="BN7269" s="4"/>
      <c r="BO7269" s="4"/>
      <c r="BQ7269" s="4"/>
      <c r="CC7269" s="4"/>
      <c r="CD7269" s="4"/>
      <c r="CF7269" s="4"/>
    </row>
    <row r="7270" spans="66:84">
      <c r="BN7270" s="4"/>
      <c r="BO7270" s="4"/>
      <c r="BQ7270" s="4"/>
      <c r="CC7270" s="4"/>
      <c r="CD7270" s="4"/>
      <c r="CF7270" s="4"/>
    </row>
    <row r="7271" spans="66:84">
      <c r="BN7271" s="4"/>
      <c r="BO7271" s="4"/>
      <c r="BQ7271" s="4"/>
      <c r="CC7271" s="4"/>
      <c r="CD7271" s="4"/>
      <c r="CF7271" s="4"/>
    </row>
    <row r="7272" spans="66:84">
      <c r="BN7272" s="4"/>
      <c r="BO7272" s="4"/>
      <c r="BQ7272" s="4"/>
      <c r="CC7272" s="4"/>
      <c r="CD7272" s="4"/>
      <c r="CF7272" s="4"/>
    </row>
    <row r="7273" spans="66:84">
      <c r="BN7273" s="4"/>
      <c r="BO7273" s="4"/>
      <c r="BQ7273" s="4"/>
      <c r="CC7273" s="4"/>
      <c r="CD7273" s="4"/>
      <c r="CF7273" s="4"/>
    </row>
    <row r="7274" spans="66:84">
      <c r="BN7274" s="4"/>
      <c r="BO7274" s="4"/>
      <c r="BQ7274" s="4"/>
      <c r="CC7274" s="4"/>
      <c r="CD7274" s="4"/>
      <c r="CF7274" s="4"/>
    </row>
    <row r="7275" spans="66:84">
      <c r="BN7275" s="4"/>
      <c r="BO7275" s="4"/>
      <c r="BQ7275" s="4"/>
      <c r="CC7275" s="4"/>
      <c r="CD7275" s="4"/>
      <c r="CF7275" s="4"/>
    </row>
    <row r="7276" spans="66:84">
      <c r="BN7276" s="4"/>
      <c r="BO7276" s="4"/>
      <c r="BQ7276" s="4"/>
      <c r="CC7276" s="4"/>
      <c r="CD7276" s="4"/>
      <c r="CF7276" s="4"/>
    </row>
    <row r="7277" spans="66:84">
      <c r="BN7277" s="4"/>
      <c r="BO7277" s="4"/>
      <c r="BQ7277" s="4"/>
      <c r="CC7277" s="4"/>
      <c r="CD7277" s="4"/>
      <c r="CF7277" s="4"/>
    </row>
    <row r="7278" spans="66:84">
      <c r="BN7278" s="4"/>
      <c r="BO7278" s="4"/>
      <c r="BQ7278" s="4"/>
      <c r="CC7278" s="4"/>
      <c r="CD7278" s="4"/>
      <c r="CF7278" s="4"/>
    </row>
    <row r="7279" spans="66:84">
      <c r="BN7279" s="4"/>
      <c r="BO7279" s="4"/>
      <c r="BQ7279" s="4"/>
      <c r="CC7279" s="4"/>
      <c r="CD7279" s="4"/>
      <c r="CF7279" s="4"/>
    </row>
    <row r="7280" spans="66:84">
      <c r="BN7280" s="4"/>
      <c r="BO7280" s="4"/>
      <c r="BQ7280" s="4"/>
      <c r="CC7280" s="4"/>
      <c r="CD7280" s="4"/>
      <c r="CF7280" s="4"/>
    </row>
    <row r="7281" spans="66:84">
      <c r="BN7281" s="4"/>
      <c r="BO7281" s="4"/>
      <c r="BQ7281" s="4"/>
      <c r="CC7281" s="4"/>
      <c r="CD7281" s="4"/>
      <c r="CF7281" s="4"/>
    </row>
    <row r="7282" spans="66:84">
      <c r="BN7282" s="4"/>
      <c r="BO7282" s="4"/>
      <c r="BQ7282" s="4"/>
      <c r="CC7282" s="4"/>
      <c r="CD7282" s="4"/>
      <c r="CF7282" s="4"/>
    </row>
    <row r="7283" spans="66:84">
      <c r="BN7283" s="4"/>
      <c r="BO7283" s="4"/>
      <c r="BQ7283" s="4"/>
      <c r="CC7283" s="4"/>
      <c r="CD7283" s="4"/>
      <c r="CF7283" s="4"/>
    </row>
    <row r="7284" spans="66:84">
      <c r="BN7284" s="4"/>
      <c r="BO7284" s="4"/>
      <c r="BQ7284" s="4"/>
      <c r="CC7284" s="4"/>
      <c r="CD7284" s="4"/>
      <c r="CF7284" s="4"/>
    </row>
    <row r="7285" spans="66:84">
      <c r="BN7285" s="4"/>
      <c r="BO7285" s="4"/>
      <c r="BQ7285" s="4"/>
      <c r="CC7285" s="4"/>
      <c r="CD7285" s="4"/>
      <c r="CF7285" s="4"/>
    </row>
    <row r="7286" spans="66:84">
      <c r="BN7286" s="4"/>
      <c r="BO7286" s="4"/>
      <c r="BQ7286" s="4"/>
      <c r="CC7286" s="4"/>
      <c r="CD7286" s="4"/>
      <c r="CF7286" s="4"/>
    </row>
    <row r="7287" spans="66:84">
      <c r="BN7287" s="4"/>
      <c r="BO7287" s="4"/>
      <c r="BQ7287" s="4"/>
      <c r="CC7287" s="4"/>
      <c r="CD7287" s="4"/>
      <c r="CF7287" s="4"/>
    </row>
    <row r="7288" spans="66:84">
      <c r="BN7288" s="4"/>
      <c r="BO7288" s="4"/>
      <c r="BQ7288" s="4"/>
      <c r="CC7288" s="4"/>
      <c r="CD7288" s="4"/>
      <c r="CF7288" s="4"/>
    </row>
    <row r="7289" spans="66:84">
      <c r="BN7289" s="4"/>
      <c r="BO7289" s="4"/>
      <c r="BQ7289" s="4"/>
      <c r="CC7289" s="4"/>
      <c r="CD7289" s="4"/>
      <c r="CF7289" s="4"/>
    </row>
    <row r="7290" spans="66:84">
      <c r="BN7290" s="4"/>
      <c r="BO7290" s="4"/>
      <c r="BQ7290" s="4"/>
      <c r="CC7290" s="4"/>
      <c r="CD7290" s="4"/>
      <c r="CF7290" s="4"/>
    </row>
    <row r="7291" spans="66:84">
      <c r="BN7291" s="4"/>
      <c r="BO7291" s="4"/>
      <c r="BQ7291" s="4"/>
      <c r="CC7291" s="4"/>
      <c r="CD7291" s="4"/>
      <c r="CF7291" s="4"/>
    </row>
    <row r="7292" spans="66:84">
      <c r="BN7292" s="4"/>
      <c r="BO7292" s="4"/>
      <c r="BQ7292" s="4"/>
      <c r="CC7292" s="4"/>
      <c r="CD7292" s="4"/>
      <c r="CF7292" s="4"/>
    </row>
    <row r="7293" spans="66:84">
      <c r="BN7293" s="4"/>
      <c r="BO7293" s="4"/>
      <c r="BQ7293" s="4"/>
      <c r="CC7293" s="4"/>
      <c r="CD7293" s="4"/>
      <c r="CF7293" s="4"/>
    </row>
    <row r="7294" spans="66:84">
      <c r="BN7294" s="4"/>
      <c r="BO7294" s="4"/>
      <c r="BQ7294" s="4"/>
      <c r="CC7294" s="4"/>
      <c r="CD7294" s="4"/>
      <c r="CF7294" s="4"/>
    </row>
    <row r="7295" spans="66:84">
      <c r="BN7295" s="4"/>
      <c r="BO7295" s="4"/>
      <c r="BQ7295" s="4"/>
      <c r="CC7295" s="4"/>
      <c r="CD7295" s="4"/>
      <c r="CF7295" s="4"/>
    </row>
    <row r="7296" spans="66:84">
      <c r="BN7296" s="4"/>
      <c r="BO7296" s="4"/>
      <c r="BQ7296" s="4"/>
      <c r="CC7296" s="4"/>
      <c r="CD7296" s="4"/>
      <c r="CF7296" s="4"/>
    </row>
    <row r="7297" spans="66:84">
      <c r="BN7297" s="4"/>
      <c r="BO7297" s="4"/>
      <c r="BQ7297" s="4"/>
      <c r="CC7297" s="4"/>
      <c r="CD7297" s="4"/>
      <c r="CF7297" s="4"/>
    </row>
    <row r="7298" spans="66:84">
      <c r="BN7298" s="4"/>
      <c r="BO7298" s="4"/>
      <c r="BQ7298" s="4"/>
      <c r="CC7298" s="4"/>
      <c r="CD7298" s="4"/>
      <c r="CF7298" s="4"/>
    </row>
    <row r="7299" spans="66:84">
      <c r="BN7299" s="4"/>
      <c r="BO7299" s="4"/>
      <c r="BQ7299" s="4"/>
      <c r="CC7299" s="4"/>
      <c r="CD7299" s="4"/>
      <c r="CF7299" s="4"/>
    </row>
    <row r="7300" spans="66:84">
      <c r="BN7300" s="4"/>
      <c r="BO7300" s="4"/>
      <c r="BQ7300" s="4"/>
      <c r="CC7300" s="4"/>
      <c r="CD7300" s="4"/>
      <c r="CF7300" s="4"/>
    </row>
    <row r="7301" spans="66:84">
      <c r="BN7301" s="4"/>
      <c r="BO7301" s="4"/>
      <c r="BQ7301" s="4"/>
      <c r="CC7301" s="4"/>
      <c r="CD7301" s="4"/>
      <c r="CF7301" s="4"/>
    </row>
    <row r="7302" spans="66:84">
      <c r="BN7302" s="4"/>
      <c r="BO7302" s="4"/>
      <c r="BQ7302" s="4"/>
      <c r="CC7302" s="4"/>
      <c r="CD7302" s="4"/>
      <c r="CF7302" s="4"/>
    </row>
    <row r="7303" spans="66:84">
      <c r="BN7303" s="4"/>
      <c r="BO7303" s="4"/>
      <c r="BQ7303" s="4"/>
      <c r="CC7303" s="4"/>
      <c r="CD7303" s="4"/>
      <c r="CF7303" s="4"/>
    </row>
    <row r="7304" spans="66:84">
      <c r="BN7304" s="4"/>
      <c r="BO7304" s="4"/>
      <c r="BQ7304" s="4"/>
      <c r="CC7304" s="4"/>
      <c r="CD7304" s="4"/>
      <c r="CF7304" s="4"/>
    </row>
    <row r="7305" spans="66:84">
      <c r="BN7305" s="4"/>
      <c r="BO7305" s="4"/>
      <c r="BQ7305" s="4"/>
      <c r="CC7305" s="4"/>
      <c r="CD7305" s="4"/>
      <c r="CF7305" s="4"/>
    </row>
    <row r="7306" spans="66:84">
      <c r="BN7306" s="4"/>
      <c r="BO7306" s="4"/>
      <c r="BQ7306" s="4"/>
      <c r="CC7306" s="4"/>
      <c r="CD7306" s="4"/>
      <c r="CF7306" s="4"/>
    </row>
    <row r="7307" spans="66:84">
      <c r="BN7307" s="4"/>
      <c r="BO7307" s="4"/>
      <c r="BQ7307" s="4"/>
      <c r="CC7307" s="4"/>
      <c r="CD7307" s="4"/>
      <c r="CF7307" s="4"/>
    </row>
    <row r="7308" spans="66:84">
      <c r="BN7308" s="4"/>
      <c r="BO7308" s="4"/>
      <c r="BQ7308" s="4"/>
      <c r="CC7308" s="4"/>
      <c r="CD7308" s="4"/>
      <c r="CF7308" s="4"/>
    </row>
    <row r="7309" spans="66:84">
      <c r="BN7309" s="4"/>
      <c r="BO7309" s="4"/>
      <c r="BQ7309" s="4"/>
      <c r="CC7309" s="4"/>
      <c r="CD7309" s="4"/>
      <c r="CF7309" s="4"/>
    </row>
    <row r="7310" spans="66:84">
      <c r="BN7310" s="4"/>
      <c r="BO7310" s="4"/>
      <c r="BQ7310" s="4"/>
      <c r="CC7310" s="4"/>
      <c r="CD7310" s="4"/>
      <c r="CF7310" s="4"/>
    </row>
    <row r="7311" spans="66:84">
      <c r="BN7311" s="4"/>
      <c r="BO7311" s="4"/>
      <c r="BQ7311" s="4"/>
      <c r="CC7311" s="4"/>
      <c r="CD7311" s="4"/>
      <c r="CF7311" s="4"/>
    </row>
    <row r="7312" spans="66:84">
      <c r="BN7312" s="4"/>
      <c r="BO7312" s="4"/>
      <c r="BQ7312" s="4"/>
      <c r="CC7312" s="4"/>
      <c r="CD7312" s="4"/>
      <c r="CF7312" s="4"/>
    </row>
    <row r="7313" spans="66:84">
      <c r="BN7313" s="4"/>
      <c r="BO7313" s="4"/>
      <c r="BQ7313" s="4"/>
      <c r="CC7313" s="4"/>
      <c r="CD7313" s="4"/>
      <c r="CF7313" s="4"/>
    </row>
    <row r="7314" spans="66:84">
      <c r="BN7314" s="4"/>
      <c r="BO7314" s="4"/>
      <c r="BQ7314" s="4"/>
      <c r="CC7314" s="4"/>
      <c r="CD7314" s="4"/>
      <c r="CF7314" s="4"/>
    </row>
    <row r="7315" spans="66:84">
      <c r="BN7315" s="4"/>
      <c r="BO7315" s="4"/>
      <c r="BQ7315" s="4"/>
      <c r="CC7315" s="4"/>
      <c r="CD7315" s="4"/>
      <c r="CF7315" s="4"/>
    </row>
    <row r="7316" spans="66:84">
      <c r="BN7316" s="4"/>
      <c r="BO7316" s="4"/>
      <c r="BQ7316" s="4"/>
      <c r="CC7316" s="4"/>
      <c r="CD7316" s="4"/>
      <c r="CF7316" s="4"/>
    </row>
    <row r="7317" spans="66:84">
      <c r="BN7317" s="4"/>
      <c r="BO7317" s="4"/>
      <c r="BQ7317" s="4"/>
      <c r="CC7317" s="4"/>
      <c r="CD7317" s="4"/>
      <c r="CF7317" s="4"/>
    </row>
    <row r="7318" spans="66:84">
      <c r="BN7318" s="4"/>
      <c r="BO7318" s="4"/>
      <c r="BQ7318" s="4"/>
      <c r="CC7318" s="4"/>
      <c r="CD7318" s="4"/>
      <c r="CF7318" s="4"/>
    </row>
    <row r="7319" spans="66:84">
      <c r="BN7319" s="4"/>
      <c r="BO7319" s="4"/>
      <c r="BQ7319" s="4"/>
      <c r="CC7319" s="4"/>
      <c r="CD7319" s="4"/>
      <c r="CF7319" s="4"/>
    </row>
    <row r="7320" spans="66:84">
      <c r="BN7320" s="4"/>
      <c r="BO7320" s="4"/>
      <c r="BQ7320" s="4"/>
      <c r="CC7320" s="4"/>
      <c r="CD7320" s="4"/>
      <c r="CF7320" s="4"/>
    </row>
    <row r="7321" spans="66:84">
      <c r="BN7321" s="4"/>
      <c r="BO7321" s="4"/>
      <c r="BQ7321" s="4"/>
      <c r="CC7321" s="4"/>
      <c r="CD7321" s="4"/>
      <c r="CF7321" s="4"/>
    </row>
    <row r="7322" spans="66:84">
      <c r="BN7322" s="4"/>
      <c r="BO7322" s="4"/>
      <c r="BQ7322" s="4"/>
      <c r="CC7322" s="4"/>
      <c r="CD7322" s="4"/>
      <c r="CF7322" s="4"/>
    </row>
    <row r="7323" spans="66:84">
      <c r="BN7323" s="4"/>
      <c r="BO7323" s="4"/>
      <c r="BQ7323" s="4"/>
      <c r="CC7323" s="4"/>
      <c r="CD7323" s="4"/>
      <c r="CF7323" s="4"/>
    </row>
    <row r="7324" spans="66:84">
      <c r="BN7324" s="4"/>
      <c r="BO7324" s="4"/>
      <c r="BQ7324" s="4"/>
      <c r="CC7324" s="4"/>
      <c r="CD7324" s="4"/>
      <c r="CF7324" s="4"/>
    </row>
    <row r="7325" spans="66:84">
      <c r="BN7325" s="4"/>
      <c r="BO7325" s="4"/>
      <c r="BQ7325" s="4"/>
      <c r="CC7325" s="4"/>
      <c r="CD7325" s="4"/>
      <c r="CF7325" s="4"/>
    </row>
    <row r="7326" spans="66:84">
      <c r="BN7326" s="4"/>
      <c r="BO7326" s="4"/>
      <c r="BQ7326" s="4"/>
      <c r="CC7326" s="4"/>
      <c r="CD7326" s="4"/>
      <c r="CF7326" s="4"/>
    </row>
    <row r="7327" spans="66:84">
      <c r="BN7327" s="4"/>
      <c r="BO7327" s="4"/>
      <c r="BQ7327" s="4"/>
      <c r="CC7327" s="4"/>
      <c r="CD7327" s="4"/>
      <c r="CF7327" s="4"/>
    </row>
    <row r="7328" spans="66:84">
      <c r="BN7328" s="4"/>
      <c r="BO7328" s="4"/>
      <c r="BQ7328" s="4"/>
      <c r="CC7328" s="4"/>
      <c r="CD7328" s="4"/>
      <c r="CF7328" s="4"/>
    </row>
    <row r="7329" spans="66:84">
      <c r="BN7329" s="4"/>
      <c r="BO7329" s="4"/>
      <c r="BQ7329" s="4"/>
      <c r="CC7329" s="4"/>
      <c r="CD7329" s="4"/>
      <c r="CF7329" s="4"/>
    </row>
    <row r="7330" spans="66:84">
      <c r="BN7330" s="4"/>
      <c r="BO7330" s="4"/>
      <c r="BQ7330" s="4"/>
      <c r="CC7330" s="4"/>
      <c r="CD7330" s="4"/>
      <c r="CF7330" s="4"/>
    </row>
    <row r="7331" spans="66:84">
      <c r="BN7331" s="4"/>
      <c r="BO7331" s="4"/>
      <c r="BQ7331" s="4"/>
      <c r="CC7331" s="4"/>
      <c r="CD7331" s="4"/>
      <c r="CF7331" s="4"/>
    </row>
    <row r="7332" spans="66:84">
      <c r="BN7332" s="4"/>
      <c r="BO7332" s="4"/>
      <c r="BQ7332" s="4"/>
      <c r="CC7332" s="4"/>
      <c r="CD7332" s="4"/>
      <c r="CF7332" s="4"/>
    </row>
    <row r="7333" spans="66:84">
      <c r="BN7333" s="4"/>
      <c r="BO7333" s="4"/>
      <c r="BQ7333" s="4"/>
      <c r="CC7333" s="4"/>
      <c r="CD7333" s="4"/>
      <c r="CF7333" s="4"/>
    </row>
    <row r="7334" spans="66:84">
      <c r="BN7334" s="4"/>
      <c r="BO7334" s="4"/>
      <c r="BQ7334" s="4"/>
      <c r="CC7334" s="4"/>
      <c r="CD7334" s="4"/>
      <c r="CF7334" s="4"/>
    </row>
    <row r="7335" spans="66:84">
      <c r="BN7335" s="4"/>
      <c r="BO7335" s="4"/>
      <c r="BQ7335" s="4"/>
      <c r="CC7335" s="4"/>
      <c r="CD7335" s="4"/>
      <c r="CF7335" s="4"/>
    </row>
    <row r="7336" spans="66:84">
      <c r="BN7336" s="4"/>
      <c r="BO7336" s="4"/>
      <c r="BQ7336" s="4"/>
      <c r="CC7336" s="4"/>
      <c r="CD7336" s="4"/>
      <c r="CF7336" s="4"/>
    </row>
    <row r="7337" spans="66:84">
      <c r="BN7337" s="4"/>
      <c r="BO7337" s="4"/>
      <c r="BQ7337" s="4"/>
      <c r="CC7337" s="4"/>
      <c r="CD7337" s="4"/>
      <c r="CF7337" s="4"/>
    </row>
    <row r="7338" spans="66:84">
      <c r="BN7338" s="4"/>
      <c r="BO7338" s="4"/>
      <c r="BQ7338" s="4"/>
      <c r="CC7338" s="4"/>
      <c r="CD7338" s="4"/>
      <c r="CF7338" s="4"/>
    </row>
    <row r="7339" spans="66:84">
      <c r="BN7339" s="4"/>
      <c r="BO7339" s="4"/>
      <c r="BQ7339" s="4"/>
      <c r="CC7339" s="4"/>
      <c r="CD7339" s="4"/>
      <c r="CF7339" s="4"/>
    </row>
    <row r="7340" spans="66:84">
      <c r="BN7340" s="4"/>
      <c r="BO7340" s="4"/>
      <c r="BQ7340" s="4"/>
      <c r="CC7340" s="4"/>
      <c r="CD7340" s="4"/>
      <c r="CF7340" s="4"/>
    </row>
    <row r="7341" spans="66:84">
      <c r="BN7341" s="4"/>
      <c r="BO7341" s="4"/>
      <c r="BQ7341" s="4"/>
      <c r="CC7341" s="4"/>
      <c r="CD7341" s="4"/>
      <c r="CF7341" s="4"/>
    </row>
    <row r="7342" spans="66:84">
      <c r="BN7342" s="4"/>
      <c r="BO7342" s="4"/>
      <c r="BQ7342" s="4"/>
      <c r="CC7342" s="4"/>
      <c r="CD7342" s="4"/>
      <c r="CF7342" s="4"/>
    </row>
    <row r="7343" spans="66:84">
      <c r="BN7343" s="4"/>
      <c r="BO7343" s="4"/>
      <c r="BQ7343" s="4"/>
      <c r="CC7343" s="4"/>
      <c r="CD7343" s="4"/>
      <c r="CF7343" s="4"/>
    </row>
    <row r="7344" spans="66:84">
      <c r="BN7344" s="4"/>
      <c r="BO7344" s="4"/>
      <c r="BQ7344" s="4"/>
      <c r="CC7344" s="4"/>
      <c r="CD7344" s="4"/>
      <c r="CF7344" s="4"/>
    </row>
    <row r="7345" spans="66:84">
      <c r="BN7345" s="4"/>
      <c r="BO7345" s="4"/>
      <c r="BQ7345" s="4"/>
      <c r="CC7345" s="4"/>
      <c r="CD7345" s="4"/>
      <c r="CF7345" s="4"/>
    </row>
    <row r="7346" spans="66:84">
      <c r="BN7346" s="4"/>
      <c r="BO7346" s="4"/>
      <c r="BQ7346" s="4"/>
      <c r="CC7346" s="4"/>
      <c r="CD7346" s="4"/>
      <c r="CF7346" s="4"/>
    </row>
    <row r="7347" spans="66:84">
      <c r="BN7347" s="4"/>
      <c r="BO7347" s="4"/>
      <c r="BQ7347" s="4"/>
      <c r="CC7347" s="4"/>
      <c r="CD7347" s="4"/>
      <c r="CF7347" s="4"/>
    </row>
    <row r="7348" spans="66:84">
      <c r="BN7348" s="4"/>
      <c r="BO7348" s="4"/>
      <c r="BQ7348" s="4"/>
      <c r="CC7348" s="4"/>
      <c r="CD7348" s="4"/>
      <c r="CF7348" s="4"/>
    </row>
    <row r="7349" spans="66:84">
      <c r="BN7349" s="4"/>
      <c r="BO7349" s="4"/>
      <c r="BQ7349" s="4"/>
      <c r="CC7349" s="4"/>
      <c r="CD7349" s="4"/>
      <c r="CF7349" s="4"/>
    </row>
    <row r="7350" spans="66:84">
      <c r="BN7350" s="4"/>
      <c r="BO7350" s="4"/>
      <c r="BQ7350" s="4"/>
      <c r="CC7350" s="4"/>
      <c r="CD7350" s="4"/>
      <c r="CF7350" s="4"/>
    </row>
    <row r="7351" spans="66:84">
      <c r="BN7351" s="4"/>
      <c r="BO7351" s="4"/>
      <c r="BQ7351" s="4"/>
      <c r="CC7351" s="4"/>
      <c r="CD7351" s="4"/>
      <c r="CF7351" s="4"/>
    </row>
    <row r="7352" spans="66:84">
      <c r="BN7352" s="4"/>
      <c r="BO7352" s="4"/>
      <c r="BQ7352" s="4"/>
      <c r="CC7352" s="4"/>
      <c r="CD7352" s="4"/>
      <c r="CF7352" s="4"/>
    </row>
    <row r="7353" spans="66:84">
      <c r="BN7353" s="4"/>
      <c r="BO7353" s="4"/>
      <c r="BQ7353" s="4"/>
      <c r="CC7353" s="4"/>
      <c r="CD7353" s="4"/>
      <c r="CF7353" s="4"/>
    </row>
    <row r="7354" spans="66:84">
      <c r="BN7354" s="4"/>
      <c r="BO7354" s="4"/>
      <c r="BQ7354" s="4"/>
      <c r="CC7354" s="4"/>
      <c r="CD7354" s="4"/>
      <c r="CF7354" s="4"/>
    </row>
    <row r="7355" spans="66:84">
      <c r="BN7355" s="4"/>
      <c r="BO7355" s="4"/>
      <c r="BQ7355" s="4"/>
      <c r="CC7355" s="4"/>
      <c r="CD7355" s="4"/>
      <c r="CF7355" s="4"/>
    </row>
    <row r="7356" spans="66:84">
      <c r="BN7356" s="4"/>
      <c r="BO7356" s="4"/>
      <c r="BQ7356" s="4"/>
      <c r="CC7356" s="4"/>
      <c r="CD7356" s="4"/>
      <c r="CF7356" s="4"/>
    </row>
    <row r="7357" spans="66:84">
      <c r="BN7357" s="4"/>
      <c r="BO7357" s="4"/>
      <c r="BQ7357" s="4"/>
      <c r="CC7357" s="4"/>
      <c r="CD7357" s="4"/>
      <c r="CF7357" s="4"/>
    </row>
    <row r="7358" spans="66:84">
      <c r="BN7358" s="4"/>
      <c r="BO7358" s="4"/>
      <c r="BQ7358" s="4"/>
      <c r="CC7358" s="4"/>
      <c r="CD7358" s="4"/>
      <c r="CF7358" s="4"/>
    </row>
    <row r="7359" spans="66:84">
      <c r="BN7359" s="4"/>
      <c r="BO7359" s="4"/>
      <c r="BQ7359" s="4"/>
      <c r="CC7359" s="4"/>
      <c r="CD7359" s="4"/>
      <c r="CF7359" s="4"/>
    </row>
    <row r="7360" spans="66:84">
      <c r="BN7360" s="4"/>
      <c r="BO7360" s="4"/>
      <c r="BQ7360" s="4"/>
      <c r="CC7360" s="4"/>
      <c r="CD7360" s="4"/>
      <c r="CF7360" s="4"/>
    </row>
    <row r="7361" spans="66:84">
      <c r="BN7361" s="4"/>
      <c r="BO7361" s="4"/>
      <c r="BQ7361" s="4"/>
      <c r="CC7361" s="4"/>
      <c r="CD7361" s="4"/>
      <c r="CF7361" s="4"/>
    </row>
    <row r="7362" spans="66:84">
      <c r="BN7362" s="4"/>
      <c r="BO7362" s="4"/>
      <c r="BQ7362" s="4"/>
      <c r="CC7362" s="4"/>
      <c r="CD7362" s="4"/>
      <c r="CF7362" s="4"/>
    </row>
    <row r="7363" spans="66:84">
      <c r="BN7363" s="4"/>
      <c r="BO7363" s="4"/>
      <c r="BQ7363" s="4"/>
      <c r="CC7363" s="4"/>
      <c r="CD7363" s="4"/>
      <c r="CF7363" s="4"/>
    </row>
    <row r="7364" spans="66:84">
      <c r="BN7364" s="4"/>
      <c r="BO7364" s="4"/>
      <c r="BQ7364" s="4"/>
      <c r="CC7364" s="4"/>
      <c r="CD7364" s="4"/>
      <c r="CF7364" s="4"/>
    </row>
    <row r="7365" spans="66:84">
      <c r="BN7365" s="4"/>
      <c r="BO7365" s="4"/>
      <c r="BQ7365" s="4"/>
      <c r="CC7365" s="4"/>
      <c r="CD7365" s="4"/>
      <c r="CF7365" s="4"/>
    </row>
    <row r="7366" spans="66:84">
      <c r="BN7366" s="4"/>
      <c r="BO7366" s="4"/>
      <c r="BQ7366" s="4"/>
      <c r="CC7366" s="4"/>
      <c r="CD7366" s="4"/>
      <c r="CF7366" s="4"/>
    </row>
    <row r="7367" spans="66:84">
      <c r="BN7367" s="4"/>
      <c r="BO7367" s="4"/>
      <c r="BQ7367" s="4"/>
      <c r="CC7367" s="4"/>
      <c r="CD7367" s="4"/>
      <c r="CF7367" s="4"/>
    </row>
    <row r="7368" spans="66:84">
      <c r="BN7368" s="4"/>
      <c r="BO7368" s="4"/>
      <c r="BQ7368" s="4"/>
      <c r="CC7368" s="4"/>
      <c r="CD7368" s="4"/>
      <c r="CF7368" s="4"/>
    </row>
    <row r="7369" spans="66:84">
      <c r="BN7369" s="4"/>
      <c r="BO7369" s="4"/>
      <c r="BQ7369" s="4"/>
      <c r="CC7369" s="4"/>
      <c r="CD7369" s="4"/>
      <c r="CF7369" s="4"/>
    </row>
    <row r="7370" spans="66:84">
      <c r="BN7370" s="4"/>
      <c r="BO7370" s="4"/>
      <c r="BQ7370" s="4"/>
      <c r="CC7370" s="4"/>
      <c r="CD7370" s="4"/>
      <c r="CF7370" s="4"/>
    </row>
    <row r="7371" spans="66:84">
      <c r="BN7371" s="4"/>
      <c r="BO7371" s="4"/>
      <c r="BQ7371" s="4"/>
      <c r="CC7371" s="4"/>
      <c r="CD7371" s="4"/>
      <c r="CF7371" s="4"/>
    </row>
    <row r="7372" spans="66:84">
      <c r="BN7372" s="4"/>
      <c r="BO7372" s="4"/>
      <c r="BQ7372" s="4"/>
      <c r="CC7372" s="4"/>
      <c r="CD7372" s="4"/>
      <c r="CF7372" s="4"/>
    </row>
    <row r="7373" spans="66:84">
      <c r="BN7373" s="4"/>
      <c r="BO7373" s="4"/>
      <c r="BQ7373" s="4"/>
      <c r="CC7373" s="4"/>
      <c r="CD7373" s="4"/>
      <c r="CF7373" s="4"/>
    </row>
    <row r="7374" spans="66:84">
      <c r="BN7374" s="4"/>
      <c r="BO7374" s="4"/>
      <c r="BQ7374" s="4"/>
      <c r="CC7374" s="4"/>
      <c r="CD7374" s="4"/>
      <c r="CF7374" s="4"/>
    </row>
    <row r="7375" spans="66:84">
      <c r="BN7375" s="4"/>
      <c r="BO7375" s="4"/>
      <c r="BQ7375" s="4"/>
      <c r="CC7375" s="4"/>
      <c r="CD7375" s="4"/>
      <c r="CF7375" s="4"/>
    </row>
    <row r="7376" spans="66:84">
      <c r="BN7376" s="4"/>
      <c r="BO7376" s="4"/>
      <c r="BQ7376" s="4"/>
      <c r="CC7376" s="4"/>
      <c r="CD7376" s="4"/>
      <c r="CF7376" s="4"/>
    </row>
    <row r="7377" spans="66:84">
      <c r="BN7377" s="4"/>
      <c r="BO7377" s="4"/>
      <c r="BQ7377" s="4"/>
      <c r="CC7377" s="4"/>
      <c r="CD7377" s="4"/>
      <c r="CF7377" s="4"/>
    </row>
    <row r="7378" spans="66:84">
      <c r="BN7378" s="4"/>
      <c r="BO7378" s="4"/>
      <c r="BQ7378" s="4"/>
      <c r="CC7378" s="4"/>
      <c r="CD7378" s="4"/>
      <c r="CF7378" s="4"/>
    </row>
    <row r="7379" spans="66:84">
      <c r="BN7379" s="4"/>
      <c r="BO7379" s="4"/>
      <c r="BQ7379" s="4"/>
      <c r="CC7379" s="4"/>
      <c r="CD7379" s="4"/>
      <c r="CF7379" s="4"/>
    </row>
    <row r="7380" spans="66:84">
      <c r="BN7380" s="4"/>
      <c r="BO7380" s="4"/>
      <c r="BQ7380" s="4"/>
      <c r="CC7380" s="4"/>
      <c r="CD7380" s="4"/>
      <c r="CF7380" s="4"/>
    </row>
    <row r="7381" spans="66:84">
      <c r="BN7381" s="4"/>
      <c r="BO7381" s="4"/>
      <c r="BQ7381" s="4"/>
      <c r="CC7381" s="4"/>
      <c r="CD7381" s="4"/>
      <c r="CF7381" s="4"/>
    </row>
    <row r="7382" spans="66:84">
      <c r="BN7382" s="4"/>
      <c r="BO7382" s="4"/>
      <c r="BQ7382" s="4"/>
      <c r="CC7382" s="4"/>
      <c r="CD7382" s="4"/>
      <c r="CF7382" s="4"/>
    </row>
    <row r="7383" spans="66:84">
      <c r="BN7383" s="4"/>
      <c r="BO7383" s="4"/>
      <c r="BQ7383" s="4"/>
      <c r="CC7383" s="4"/>
      <c r="CD7383" s="4"/>
      <c r="CF7383" s="4"/>
    </row>
    <row r="7384" spans="66:84">
      <c r="BN7384" s="4"/>
      <c r="BO7384" s="4"/>
      <c r="BQ7384" s="4"/>
      <c r="CC7384" s="4"/>
      <c r="CD7384" s="4"/>
      <c r="CF7384" s="4"/>
    </row>
    <row r="7385" spans="66:84">
      <c r="BN7385" s="4"/>
      <c r="BO7385" s="4"/>
      <c r="BQ7385" s="4"/>
      <c r="CC7385" s="4"/>
      <c r="CD7385" s="4"/>
      <c r="CF7385" s="4"/>
    </row>
    <row r="7386" spans="66:84">
      <c r="BN7386" s="4"/>
      <c r="BO7386" s="4"/>
      <c r="BQ7386" s="4"/>
      <c r="CC7386" s="4"/>
      <c r="CD7386" s="4"/>
      <c r="CF7386" s="4"/>
    </row>
    <row r="7387" spans="66:84">
      <c r="BN7387" s="4"/>
      <c r="BO7387" s="4"/>
      <c r="BQ7387" s="4"/>
      <c r="CC7387" s="4"/>
      <c r="CD7387" s="4"/>
      <c r="CF7387" s="4"/>
    </row>
    <row r="7388" spans="66:84">
      <c r="BN7388" s="4"/>
      <c r="BO7388" s="4"/>
      <c r="BQ7388" s="4"/>
      <c r="CC7388" s="4"/>
      <c r="CD7388" s="4"/>
      <c r="CF7388" s="4"/>
    </row>
    <row r="7389" spans="66:84">
      <c r="BN7389" s="4"/>
      <c r="BO7389" s="4"/>
      <c r="BQ7389" s="4"/>
      <c r="CC7389" s="4"/>
      <c r="CD7389" s="4"/>
      <c r="CF7389" s="4"/>
    </row>
    <row r="7390" spans="66:84">
      <c r="BN7390" s="4"/>
      <c r="BO7390" s="4"/>
      <c r="BQ7390" s="4"/>
      <c r="CC7390" s="4"/>
      <c r="CD7390" s="4"/>
      <c r="CF7390" s="4"/>
    </row>
    <row r="7391" spans="66:84">
      <c r="BN7391" s="4"/>
      <c r="BO7391" s="4"/>
      <c r="BQ7391" s="4"/>
      <c r="CC7391" s="4"/>
      <c r="CD7391" s="4"/>
      <c r="CF7391" s="4"/>
    </row>
    <row r="7392" spans="66:84">
      <c r="BN7392" s="4"/>
      <c r="BO7392" s="4"/>
      <c r="BQ7392" s="4"/>
      <c r="CC7392" s="4"/>
      <c r="CD7392" s="4"/>
      <c r="CF7392" s="4"/>
    </row>
    <row r="7393" spans="66:84">
      <c r="BN7393" s="4"/>
      <c r="BO7393" s="4"/>
      <c r="BQ7393" s="4"/>
      <c r="CC7393" s="4"/>
      <c r="CD7393" s="4"/>
      <c r="CF7393" s="4"/>
    </row>
    <row r="7394" spans="66:84">
      <c r="BN7394" s="4"/>
      <c r="BO7394" s="4"/>
      <c r="BQ7394" s="4"/>
      <c r="CC7394" s="4"/>
      <c r="CD7394" s="4"/>
      <c r="CF7394" s="4"/>
    </row>
    <row r="7395" spans="66:84">
      <c r="BN7395" s="4"/>
      <c r="BO7395" s="4"/>
      <c r="BQ7395" s="4"/>
      <c r="CC7395" s="4"/>
      <c r="CD7395" s="4"/>
      <c r="CF7395" s="4"/>
    </row>
    <row r="7396" spans="66:84">
      <c r="BN7396" s="4"/>
      <c r="BO7396" s="4"/>
      <c r="BQ7396" s="4"/>
      <c r="CC7396" s="4"/>
      <c r="CD7396" s="4"/>
      <c r="CF7396" s="4"/>
    </row>
    <row r="7397" spans="66:84">
      <c r="BN7397" s="4"/>
      <c r="BO7397" s="4"/>
      <c r="BQ7397" s="4"/>
      <c r="CC7397" s="4"/>
      <c r="CD7397" s="4"/>
      <c r="CF7397" s="4"/>
    </row>
    <row r="7398" spans="66:84">
      <c r="BN7398" s="4"/>
      <c r="BO7398" s="4"/>
      <c r="BQ7398" s="4"/>
      <c r="CC7398" s="4"/>
      <c r="CD7398" s="4"/>
      <c r="CF7398" s="4"/>
    </row>
    <row r="7399" spans="66:84">
      <c r="BN7399" s="4"/>
      <c r="BO7399" s="4"/>
      <c r="BQ7399" s="4"/>
      <c r="CC7399" s="4"/>
      <c r="CD7399" s="4"/>
      <c r="CF7399" s="4"/>
    </row>
    <row r="7400" spans="66:84">
      <c r="BN7400" s="4"/>
      <c r="BO7400" s="4"/>
      <c r="BQ7400" s="4"/>
      <c r="CC7400" s="4"/>
      <c r="CD7400" s="4"/>
      <c r="CF7400" s="4"/>
    </row>
    <row r="7401" spans="66:84">
      <c r="BN7401" s="4"/>
      <c r="BO7401" s="4"/>
      <c r="BQ7401" s="4"/>
      <c r="CC7401" s="4"/>
      <c r="CD7401" s="4"/>
      <c r="CF7401" s="4"/>
    </row>
    <row r="7402" spans="66:84">
      <c r="BN7402" s="4"/>
      <c r="BO7402" s="4"/>
      <c r="BQ7402" s="4"/>
      <c r="CC7402" s="4"/>
      <c r="CD7402" s="4"/>
      <c r="CF7402" s="4"/>
    </row>
    <row r="7403" spans="66:84">
      <c r="BN7403" s="4"/>
      <c r="BO7403" s="4"/>
      <c r="BQ7403" s="4"/>
      <c r="CC7403" s="4"/>
      <c r="CD7403" s="4"/>
      <c r="CF7403" s="4"/>
    </row>
    <row r="7404" spans="66:84">
      <c r="BN7404" s="4"/>
      <c r="BO7404" s="4"/>
      <c r="BQ7404" s="4"/>
      <c r="CC7404" s="4"/>
      <c r="CD7404" s="4"/>
      <c r="CF7404" s="4"/>
    </row>
    <row r="7405" spans="66:84">
      <c r="BN7405" s="4"/>
      <c r="BO7405" s="4"/>
      <c r="BQ7405" s="4"/>
      <c r="CC7405" s="4"/>
      <c r="CD7405" s="4"/>
      <c r="CF7405" s="4"/>
    </row>
    <row r="7406" spans="66:84">
      <c r="BN7406" s="4"/>
      <c r="BO7406" s="4"/>
      <c r="BQ7406" s="4"/>
      <c r="CC7406" s="4"/>
      <c r="CD7406" s="4"/>
      <c r="CF7406" s="4"/>
    </row>
    <row r="7407" spans="66:84">
      <c r="BN7407" s="4"/>
      <c r="BO7407" s="4"/>
      <c r="BQ7407" s="4"/>
      <c r="CC7407" s="4"/>
      <c r="CD7407" s="4"/>
      <c r="CF7407" s="4"/>
    </row>
    <row r="7408" spans="66:84">
      <c r="BN7408" s="4"/>
      <c r="BO7408" s="4"/>
      <c r="BQ7408" s="4"/>
      <c r="CC7408" s="4"/>
      <c r="CD7408" s="4"/>
      <c r="CF7408" s="4"/>
    </row>
    <row r="7409" spans="66:84">
      <c r="BN7409" s="4"/>
      <c r="BO7409" s="4"/>
      <c r="BQ7409" s="4"/>
      <c r="CC7409" s="4"/>
      <c r="CD7409" s="4"/>
      <c r="CF7409" s="4"/>
    </row>
    <row r="7410" spans="66:84">
      <c r="BN7410" s="4"/>
      <c r="BO7410" s="4"/>
      <c r="BQ7410" s="4"/>
      <c r="CC7410" s="4"/>
      <c r="CD7410" s="4"/>
      <c r="CF7410" s="4"/>
    </row>
    <row r="7411" spans="66:84">
      <c r="BN7411" s="4"/>
      <c r="BO7411" s="4"/>
      <c r="BQ7411" s="4"/>
      <c r="CC7411" s="4"/>
      <c r="CD7411" s="4"/>
      <c r="CF7411" s="4"/>
    </row>
    <row r="7412" spans="66:84">
      <c r="BN7412" s="4"/>
      <c r="BO7412" s="4"/>
      <c r="BQ7412" s="4"/>
      <c r="CC7412" s="4"/>
      <c r="CD7412" s="4"/>
      <c r="CF7412" s="4"/>
    </row>
    <row r="7413" spans="66:84">
      <c r="BN7413" s="4"/>
      <c r="BO7413" s="4"/>
      <c r="BQ7413" s="4"/>
      <c r="CC7413" s="4"/>
      <c r="CD7413" s="4"/>
      <c r="CF7413" s="4"/>
    </row>
    <row r="7414" spans="66:84">
      <c r="BN7414" s="4"/>
      <c r="BO7414" s="4"/>
      <c r="BQ7414" s="4"/>
      <c r="CC7414" s="4"/>
      <c r="CD7414" s="4"/>
      <c r="CF7414" s="4"/>
    </row>
    <row r="7415" spans="66:84">
      <c r="BN7415" s="4"/>
      <c r="BO7415" s="4"/>
      <c r="BQ7415" s="4"/>
      <c r="CC7415" s="4"/>
      <c r="CD7415" s="4"/>
      <c r="CF7415" s="4"/>
    </row>
    <row r="7416" spans="66:84">
      <c r="BN7416" s="4"/>
      <c r="BO7416" s="4"/>
      <c r="BQ7416" s="4"/>
      <c r="CC7416" s="4"/>
      <c r="CD7416" s="4"/>
      <c r="CF7416" s="4"/>
    </row>
    <row r="7417" spans="66:84">
      <c r="BN7417" s="4"/>
      <c r="BO7417" s="4"/>
      <c r="BQ7417" s="4"/>
      <c r="CC7417" s="4"/>
      <c r="CD7417" s="4"/>
      <c r="CF7417" s="4"/>
    </row>
    <row r="7418" spans="66:84">
      <c r="BN7418" s="4"/>
      <c r="BO7418" s="4"/>
      <c r="BQ7418" s="4"/>
      <c r="CC7418" s="4"/>
      <c r="CD7418" s="4"/>
      <c r="CF7418" s="4"/>
    </row>
    <row r="7419" spans="66:84">
      <c r="BN7419" s="4"/>
      <c r="BO7419" s="4"/>
      <c r="BQ7419" s="4"/>
      <c r="CC7419" s="4"/>
      <c r="CD7419" s="4"/>
      <c r="CF7419" s="4"/>
    </row>
    <row r="7420" spans="66:84">
      <c r="BN7420" s="4"/>
      <c r="BO7420" s="4"/>
      <c r="BQ7420" s="4"/>
      <c r="CC7420" s="4"/>
      <c r="CD7420" s="4"/>
      <c r="CF7420" s="4"/>
    </row>
    <row r="7421" spans="66:84">
      <c r="BN7421" s="4"/>
      <c r="BO7421" s="4"/>
      <c r="BQ7421" s="4"/>
      <c r="CC7421" s="4"/>
      <c r="CD7421" s="4"/>
      <c r="CF7421" s="4"/>
    </row>
    <row r="7422" spans="66:84">
      <c r="BN7422" s="4"/>
      <c r="BO7422" s="4"/>
      <c r="BQ7422" s="4"/>
      <c r="CC7422" s="4"/>
      <c r="CD7422" s="4"/>
      <c r="CF7422" s="4"/>
    </row>
    <row r="7423" spans="66:84">
      <c r="BN7423" s="4"/>
      <c r="BO7423" s="4"/>
      <c r="BQ7423" s="4"/>
      <c r="CC7423" s="4"/>
      <c r="CD7423" s="4"/>
      <c r="CF7423" s="4"/>
    </row>
    <row r="7424" spans="66:84">
      <c r="BN7424" s="4"/>
      <c r="BO7424" s="4"/>
      <c r="BQ7424" s="4"/>
      <c r="CC7424" s="4"/>
      <c r="CD7424" s="4"/>
      <c r="CF7424" s="4"/>
    </row>
    <row r="7425" spans="66:84">
      <c r="BN7425" s="4"/>
      <c r="BO7425" s="4"/>
      <c r="BQ7425" s="4"/>
      <c r="CC7425" s="4"/>
      <c r="CD7425" s="4"/>
      <c r="CF7425" s="4"/>
    </row>
    <row r="7426" spans="66:84">
      <c r="BN7426" s="4"/>
      <c r="BO7426" s="4"/>
      <c r="BQ7426" s="4"/>
      <c r="CC7426" s="4"/>
      <c r="CD7426" s="4"/>
      <c r="CF7426" s="4"/>
    </row>
    <row r="7427" spans="66:84">
      <c r="BN7427" s="4"/>
      <c r="BO7427" s="4"/>
      <c r="BQ7427" s="4"/>
      <c r="CC7427" s="4"/>
      <c r="CD7427" s="4"/>
      <c r="CF7427" s="4"/>
    </row>
    <row r="7428" spans="66:84">
      <c r="BN7428" s="4"/>
      <c r="BO7428" s="4"/>
      <c r="BQ7428" s="4"/>
      <c r="CC7428" s="4"/>
      <c r="CD7428" s="4"/>
      <c r="CF7428" s="4"/>
    </row>
    <row r="7429" spans="66:84">
      <c r="BN7429" s="4"/>
      <c r="BO7429" s="4"/>
      <c r="BQ7429" s="4"/>
      <c r="CC7429" s="4"/>
      <c r="CD7429" s="4"/>
      <c r="CF7429" s="4"/>
    </row>
    <row r="7430" spans="66:84">
      <c r="BN7430" s="4"/>
      <c r="BO7430" s="4"/>
      <c r="BQ7430" s="4"/>
      <c r="CC7430" s="4"/>
      <c r="CD7430" s="4"/>
      <c r="CF7430" s="4"/>
    </row>
    <row r="7431" spans="66:84">
      <c r="BN7431" s="4"/>
      <c r="BO7431" s="4"/>
      <c r="BQ7431" s="4"/>
      <c r="CC7431" s="4"/>
      <c r="CD7431" s="4"/>
      <c r="CF7431" s="4"/>
    </row>
    <row r="7432" spans="66:84">
      <c r="BN7432" s="4"/>
      <c r="BO7432" s="4"/>
      <c r="BQ7432" s="4"/>
      <c r="CC7432" s="4"/>
      <c r="CD7432" s="4"/>
      <c r="CF7432" s="4"/>
    </row>
    <row r="7433" spans="66:84">
      <c r="BN7433" s="4"/>
      <c r="BO7433" s="4"/>
      <c r="BQ7433" s="4"/>
      <c r="CC7433" s="4"/>
      <c r="CD7433" s="4"/>
      <c r="CF7433" s="4"/>
    </row>
    <row r="7434" spans="66:84">
      <c r="BN7434" s="4"/>
      <c r="BO7434" s="4"/>
      <c r="BQ7434" s="4"/>
      <c r="CC7434" s="4"/>
      <c r="CD7434" s="4"/>
      <c r="CF7434" s="4"/>
    </row>
    <row r="7435" spans="66:84">
      <c r="BN7435" s="4"/>
      <c r="BO7435" s="4"/>
      <c r="BQ7435" s="4"/>
      <c r="CC7435" s="4"/>
      <c r="CD7435" s="4"/>
      <c r="CF7435" s="4"/>
    </row>
    <row r="7436" spans="66:84">
      <c r="BN7436" s="4"/>
      <c r="BO7436" s="4"/>
      <c r="BQ7436" s="4"/>
      <c r="CC7436" s="4"/>
      <c r="CD7436" s="4"/>
      <c r="CF7436" s="4"/>
    </row>
    <row r="7437" spans="66:84">
      <c r="BN7437" s="4"/>
      <c r="BO7437" s="4"/>
      <c r="BQ7437" s="4"/>
      <c r="CC7437" s="4"/>
      <c r="CD7437" s="4"/>
      <c r="CF7437" s="4"/>
    </row>
    <row r="7438" spans="66:84">
      <c r="BN7438" s="4"/>
      <c r="BO7438" s="4"/>
      <c r="BQ7438" s="4"/>
      <c r="CC7438" s="4"/>
      <c r="CD7438" s="4"/>
      <c r="CF7438" s="4"/>
    </row>
    <row r="7439" spans="66:84">
      <c r="BN7439" s="4"/>
      <c r="BO7439" s="4"/>
      <c r="BQ7439" s="4"/>
      <c r="CC7439" s="4"/>
      <c r="CD7439" s="4"/>
      <c r="CF7439" s="4"/>
    </row>
    <row r="7440" spans="66:84">
      <c r="BN7440" s="4"/>
      <c r="BO7440" s="4"/>
      <c r="BQ7440" s="4"/>
      <c r="CC7440" s="4"/>
      <c r="CD7440" s="4"/>
      <c r="CF7440" s="4"/>
    </row>
    <row r="7441" spans="66:84">
      <c r="BN7441" s="4"/>
      <c r="BO7441" s="4"/>
      <c r="BQ7441" s="4"/>
      <c r="CC7441" s="4"/>
      <c r="CD7441" s="4"/>
      <c r="CF7441" s="4"/>
    </row>
    <row r="7442" spans="66:84">
      <c r="BN7442" s="4"/>
      <c r="BO7442" s="4"/>
      <c r="BQ7442" s="4"/>
      <c r="CC7442" s="4"/>
      <c r="CD7442" s="4"/>
      <c r="CF7442" s="4"/>
    </row>
    <row r="7443" spans="66:84">
      <c r="BN7443" s="4"/>
      <c r="BO7443" s="4"/>
      <c r="BQ7443" s="4"/>
      <c r="CC7443" s="4"/>
      <c r="CD7443" s="4"/>
      <c r="CF7443" s="4"/>
    </row>
    <row r="7444" spans="66:84">
      <c r="BN7444" s="4"/>
      <c r="BO7444" s="4"/>
      <c r="BQ7444" s="4"/>
      <c r="CC7444" s="4"/>
      <c r="CD7444" s="4"/>
      <c r="CF7444" s="4"/>
    </row>
    <row r="7445" spans="66:84">
      <c r="BN7445" s="4"/>
      <c r="BO7445" s="4"/>
      <c r="BQ7445" s="4"/>
      <c r="CC7445" s="4"/>
      <c r="CD7445" s="4"/>
      <c r="CF7445" s="4"/>
    </row>
    <row r="7446" spans="66:84">
      <c r="BN7446" s="4"/>
      <c r="BO7446" s="4"/>
      <c r="BQ7446" s="4"/>
      <c r="CC7446" s="4"/>
      <c r="CD7446" s="4"/>
      <c r="CF7446" s="4"/>
    </row>
    <row r="7447" spans="66:84">
      <c r="BN7447" s="4"/>
      <c r="BO7447" s="4"/>
      <c r="BQ7447" s="4"/>
      <c r="CC7447" s="4"/>
      <c r="CD7447" s="4"/>
      <c r="CF7447" s="4"/>
    </row>
    <row r="7448" spans="66:84">
      <c r="BN7448" s="4"/>
      <c r="BO7448" s="4"/>
      <c r="BQ7448" s="4"/>
      <c r="CC7448" s="4"/>
      <c r="CD7448" s="4"/>
      <c r="CF7448" s="4"/>
    </row>
    <row r="7449" spans="66:84">
      <c r="BN7449" s="4"/>
      <c r="BO7449" s="4"/>
      <c r="BQ7449" s="4"/>
      <c r="CC7449" s="4"/>
      <c r="CD7449" s="4"/>
      <c r="CF7449" s="4"/>
    </row>
    <row r="7450" spans="66:84">
      <c r="BN7450" s="4"/>
      <c r="BO7450" s="4"/>
      <c r="BQ7450" s="4"/>
      <c r="CC7450" s="4"/>
      <c r="CD7450" s="4"/>
      <c r="CF7450" s="4"/>
    </row>
    <row r="7451" spans="66:84">
      <c r="BN7451" s="4"/>
      <c r="BO7451" s="4"/>
      <c r="BQ7451" s="4"/>
      <c r="CC7451" s="4"/>
      <c r="CD7451" s="4"/>
      <c r="CF7451" s="4"/>
    </row>
    <row r="7452" spans="66:84">
      <c r="BN7452" s="4"/>
      <c r="BO7452" s="4"/>
      <c r="BQ7452" s="4"/>
      <c r="CC7452" s="4"/>
      <c r="CD7452" s="4"/>
      <c r="CF7452" s="4"/>
    </row>
    <row r="7453" spans="66:84">
      <c r="BN7453" s="4"/>
      <c r="BO7453" s="4"/>
      <c r="BQ7453" s="4"/>
      <c r="CC7453" s="4"/>
      <c r="CD7453" s="4"/>
      <c r="CF7453" s="4"/>
    </row>
    <row r="7454" spans="66:84">
      <c r="BN7454" s="4"/>
      <c r="BO7454" s="4"/>
      <c r="BQ7454" s="4"/>
      <c r="CC7454" s="4"/>
      <c r="CD7454" s="4"/>
      <c r="CF7454" s="4"/>
    </row>
    <row r="7455" spans="66:84">
      <c r="BN7455" s="4"/>
      <c r="BO7455" s="4"/>
      <c r="BQ7455" s="4"/>
      <c r="CC7455" s="4"/>
      <c r="CD7455" s="4"/>
      <c r="CF7455" s="4"/>
    </row>
    <row r="7456" spans="66:84">
      <c r="BN7456" s="4"/>
      <c r="BO7456" s="4"/>
      <c r="BQ7456" s="4"/>
      <c r="CC7456" s="4"/>
      <c r="CD7456" s="4"/>
      <c r="CF7456" s="4"/>
    </row>
    <row r="7457" spans="66:84">
      <c r="BN7457" s="4"/>
      <c r="BO7457" s="4"/>
      <c r="BQ7457" s="4"/>
      <c r="CC7457" s="4"/>
      <c r="CD7457" s="4"/>
      <c r="CF7457" s="4"/>
    </row>
    <row r="7458" spans="66:84">
      <c r="BN7458" s="4"/>
      <c r="BO7458" s="4"/>
      <c r="BQ7458" s="4"/>
      <c r="CC7458" s="4"/>
      <c r="CD7458" s="4"/>
      <c r="CF7458" s="4"/>
    </row>
    <row r="7459" spans="66:84">
      <c r="BN7459" s="4"/>
      <c r="BO7459" s="4"/>
      <c r="BQ7459" s="4"/>
      <c r="CC7459" s="4"/>
      <c r="CD7459" s="4"/>
      <c r="CF7459" s="4"/>
    </row>
    <row r="7460" spans="66:84">
      <c r="BN7460" s="4"/>
      <c r="BO7460" s="4"/>
      <c r="BQ7460" s="4"/>
      <c r="CC7460" s="4"/>
      <c r="CD7460" s="4"/>
      <c r="CF7460" s="4"/>
    </row>
    <row r="7461" spans="66:84">
      <c r="BN7461" s="4"/>
      <c r="BO7461" s="4"/>
      <c r="BQ7461" s="4"/>
      <c r="CC7461" s="4"/>
      <c r="CD7461" s="4"/>
      <c r="CF7461" s="4"/>
    </row>
    <row r="7462" spans="66:84">
      <c r="BN7462" s="4"/>
      <c r="BO7462" s="4"/>
      <c r="BQ7462" s="4"/>
      <c r="CC7462" s="4"/>
      <c r="CD7462" s="4"/>
      <c r="CF7462" s="4"/>
    </row>
    <row r="7463" spans="66:84">
      <c r="BN7463" s="4"/>
      <c r="BO7463" s="4"/>
      <c r="BQ7463" s="4"/>
      <c r="CC7463" s="4"/>
      <c r="CD7463" s="4"/>
      <c r="CF7463" s="4"/>
    </row>
    <row r="7464" spans="66:84">
      <c r="BN7464" s="4"/>
      <c r="BO7464" s="4"/>
      <c r="BQ7464" s="4"/>
      <c r="CC7464" s="4"/>
      <c r="CD7464" s="4"/>
      <c r="CF7464" s="4"/>
    </row>
    <row r="7465" spans="66:84">
      <c r="BN7465" s="4"/>
      <c r="BO7465" s="4"/>
      <c r="BQ7465" s="4"/>
      <c r="CC7465" s="4"/>
      <c r="CD7465" s="4"/>
      <c r="CF7465" s="4"/>
    </row>
    <row r="7466" spans="66:84">
      <c r="BN7466" s="4"/>
      <c r="BO7466" s="4"/>
      <c r="BQ7466" s="4"/>
      <c r="CC7466" s="4"/>
      <c r="CD7466" s="4"/>
      <c r="CF7466" s="4"/>
    </row>
    <row r="7467" spans="66:84">
      <c r="BN7467" s="4"/>
      <c r="BO7467" s="4"/>
      <c r="BQ7467" s="4"/>
      <c r="CC7467" s="4"/>
      <c r="CD7467" s="4"/>
      <c r="CF7467" s="4"/>
    </row>
    <row r="7468" spans="66:84">
      <c r="BN7468" s="4"/>
      <c r="BO7468" s="4"/>
      <c r="BQ7468" s="4"/>
      <c r="CC7468" s="4"/>
      <c r="CD7468" s="4"/>
      <c r="CF7468" s="4"/>
    </row>
    <row r="7469" spans="66:84">
      <c r="BN7469" s="4"/>
      <c r="BO7469" s="4"/>
      <c r="BQ7469" s="4"/>
      <c r="CC7469" s="4"/>
      <c r="CD7469" s="4"/>
      <c r="CF7469" s="4"/>
    </row>
    <row r="7470" spans="66:84">
      <c r="BN7470" s="4"/>
      <c r="BO7470" s="4"/>
      <c r="BQ7470" s="4"/>
      <c r="CC7470" s="4"/>
      <c r="CD7470" s="4"/>
      <c r="CF7470" s="4"/>
    </row>
    <row r="7471" spans="66:84">
      <c r="BN7471" s="4"/>
      <c r="BO7471" s="4"/>
      <c r="BQ7471" s="4"/>
      <c r="CC7471" s="4"/>
      <c r="CD7471" s="4"/>
      <c r="CF7471" s="4"/>
    </row>
    <row r="7472" spans="66:84">
      <c r="BN7472" s="4"/>
      <c r="BO7472" s="4"/>
      <c r="BQ7472" s="4"/>
      <c r="CC7472" s="4"/>
      <c r="CD7472" s="4"/>
      <c r="CF7472" s="4"/>
    </row>
    <row r="7473" spans="66:84">
      <c r="BN7473" s="4"/>
      <c r="BO7473" s="4"/>
      <c r="BQ7473" s="4"/>
      <c r="CC7473" s="4"/>
      <c r="CD7473" s="4"/>
      <c r="CF7473" s="4"/>
    </row>
    <row r="7474" spans="66:84">
      <c r="BN7474" s="4"/>
      <c r="BO7474" s="4"/>
      <c r="BQ7474" s="4"/>
      <c r="CC7474" s="4"/>
      <c r="CD7474" s="4"/>
      <c r="CF7474" s="4"/>
    </row>
    <row r="7475" spans="66:84">
      <c r="BN7475" s="4"/>
      <c r="BO7475" s="4"/>
      <c r="BQ7475" s="4"/>
      <c r="CC7475" s="4"/>
      <c r="CD7475" s="4"/>
      <c r="CF7475" s="4"/>
    </row>
    <row r="7476" spans="66:84">
      <c r="BN7476" s="4"/>
      <c r="BO7476" s="4"/>
      <c r="BQ7476" s="4"/>
      <c r="CC7476" s="4"/>
      <c r="CD7476" s="4"/>
      <c r="CF7476" s="4"/>
    </row>
    <row r="7477" spans="66:84">
      <c r="BN7477" s="4"/>
      <c r="BO7477" s="4"/>
      <c r="BQ7477" s="4"/>
      <c r="CC7477" s="4"/>
      <c r="CD7477" s="4"/>
      <c r="CF7477" s="4"/>
    </row>
    <row r="7478" spans="66:84">
      <c r="BN7478" s="4"/>
      <c r="BO7478" s="4"/>
      <c r="BQ7478" s="4"/>
      <c r="CC7478" s="4"/>
      <c r="CD7478" s="4"/>
      <c r="CF7478" s="4"/>
    </row>
    <row r="7479" spans="66:84">
      <c r="BN7479" s="4"/>
      <c r="BO7479" s="4"/>
      <c r="BQ7479" s="4"/>
      <c r="CC7479" s="4"/>
      <c r="CD7479" s="4"/>
      <c r="CF7479" s="4"/>
    </row>
    <row r="7480" spans="66:84">
      <c r="BN7480" s="4"/>
      <c r="BO7480" s="4"/>
      <c r="BQ7480" s="4"/>
      <c r="CC7480" s="4"/>
      <c r="CD7480" s="4"/>
      <c r="CF7480" s="4"/>
    </row>
    <row r="7481" spans="66:84">
      <c r="BN7481" s="4"/>
      <c r="BO7481" s="4"/>
      <c r="BQ7481" s="4"/>
      <c r="CC7481" s="4"/>
      <c r="CD7481" s="4"/>
      <c r="CF7481" s="4"/>
    </row>
    <row r="7482" spans="66:84">
      <c r="BN7482" s="4"/>
      <c r="BO7482" s="4"/>
      <c r="BQ7482" s="4"/>
      <c r="CC7482" s="4"/>
      <c r="CD7482" s="4"/>
      <c r="CF7482" s="4"/>
    </row>
    <row r="7483" spans="66:84">
      <c r="BN7483" s="4"/>
      <c r="BO7483" s="4"/>
      <c r="BQ7483" s="4"/>
      <c r="CC7483" s="4"/>
      <c r="CD7483" s="4"/>
      <c r="CF7483" s="4"/>
    </row>
    <row r="7484" spans="66:84">
      <c r="BN7484" s="4"/>
      <c r="BO7484" s="4"/>
      <c r="BQ7484" s="4"/>
      <c r="CC7484" s="4"/>
      <c r="CD7484" s="4"/>
      <c r="CF7484" s="4"/>
    </row>
    <row r="7485" spans="66:84">
      <c r="BN7485" s="4"/>
      <c r="BO7485" s="4"/>
      <c r="BQ7485" s="4"/>
      <c r="CC7485" s="4"/>
      <c r="CD7485" s="4"/>
      <c r="CF7485" s="4"/>
    </row>
    <row r="7486" spans="66:84">
      <c r="BN7486" s="4"/>
      <c r="BO7486" s="4"/>
      <c r="BQ7486" s="4"/>
      <c r="CC7486" s="4"/>
      <c r="CD7486" s="4"/>
      <c r="CF7486" s="4"/>
    </row>
    <row r="7487" spans="66:84">
      <c r="BN7487" s="4"/>
      <c r="BO7487" s="4"/>
      <c r="BQ7487" s="4"/>
      <c r="CC7487" s="4"/>
      <c r="CD7487" s="4"/>
      <c r="CF7487" s="4"/>
    </row>
    <row r="7488" spans="66:84">
      <c r="BN7488" s="4"/>
      <c r="BO7488" s="4"/>
      <c r="BQ7488" s="4"/>
      <c r="CC7488" s="4"/>
      <c r="CD7488" s="4"/>
      <c r="CF7488" s="4"/>
    </row>
    <row r="7489" spans="66:84">
      <c r="BN7489" s="4"/>
      <c r="BO7489" s="4"/>
      <c r="BQ7489" s="4"/>
      <c r="CC7489" s="4"/>
      <c r="CD7489" s="4"/>
      <c r="CF7489" s="4"/>
    </row>
    <row r="7490" spans="66:84">
      <c r="BN7490" s="4"/>
      <c r="BO7490" s="4"/>
      <c r="BQ7490" s="4"/>
      <c r="CC7490" s="4"/>
      <c r="CD7490" s="4"/>
      <c r="CF7490" s="4"/>
    </row>
    <row r="7491" spans="66:84">
      <c r="BN7491" s="4"/>
      <c r="BO7491" s="4"/>
      <c r="BQ7491" s="4"/>
      <c r="CC7491" s="4"/>
      <c r="CD7491" s="4"/>
      <c r="CF7491" s="4"/>
    </row>
    <row r="7492" spans="66:84">
      <c r="BN7492" s="4"/>
      <c r="BO7492" s="4"/>
      <c r="BQ7492" s="4"/>
      <c r="CC7492" s="4"/>
      <c r="CD7492" s="4"/>
      <c r="CF7492" s="4"/>
    </row>
    <row r="7493" spans="66:84">
      <c r="BN7493" s="4"/>
      <c r="BO7493" s="4"/>
      <c r="BQ7493" s="4"/>
      <c r="CC7493" s="4"/>
      <c r="CD7493" s="4"/>
      <c r="CF7493" s="4"/>
    </row>
    <row r="7494" spans="66:84">
      <c r="BN7494" s="4"/>
      <c r="BO7494" s="4"/>
      <c r="BQ7494" s="4"/>
      <c r="CC7494" s="4"/>
      <c r="CD7494" s="4"/>
      <c r="CF7494" s="4"/>
    </row>
    <row r="7495" spans="66:84">
      <c r="BN7495" s="4"/>
      <c r="BO7495" s="4"/>
      <c r="BQ7495" s="4"/>
      <c r="CC7495" s="4"/>
      <c r="CD7495" s="4"/>
      <c r="CF7495" s="4"/>
    </row>
    <row r="7496" spans="66:84">
      <c r="BN7496" s="4"/>
      <c r="BO7496" s="4"/>
      <c r="BQ7496" s="4"/>
      <c r="CC7496" s="4"/>
      <c r="CD7496" s="4"/>
      <c r="CF7496" s="4"/>
    </row>
    <row r="7497" spans="66:84">
      <c r="BN7497" s="4"/>
      <c r="BO7497" s="4"/>
      <c r="BQ7497" s="4"/>
      <c r="CC7497" s="4"/>
      <c r="CD7497" s="4"/>
      <c r="CF7497" s="4"/>
    </row>
    <row r="7498" spans="66:84">
      <c r="BN7498" s="4"/>
      <c r="BO7498" s="4"/>
      <c r="BQ7498" s="4"/>
      <c r="CC7498" s="4"/>
      <c r="CD7498" s="4"/>
      <c r="CF7498" s="4"/>
    </row>
    <row r="7499" spans="66:84">
      <c r="BN7499" s="4"/>
      <c r="BO7499" s="4"/>
      <c r="BQ7499" s="4"/>
      <c r="CC7499" s="4"/>
      <c r="CD7499" s="4"/>
      <c r="CF7499" s="4"/>
    </row>
    <row r="7500" spans="66:84">
      <c r="BN7500" s="4"/>
      <c r="BO7500" s="4"/>
      <c r="BQ7500" s="4"/>
      <c r="CC7500" s="4"/>
      <c r="CD7500" s="4"/>
      <c r="CF7500" s="4"/>
    </row>
    <row r="7501" spans="66:84">
      <c r="BN7501" s="4"/>
      <c r="BO7501" s="4"/>
      <c r="BQ7501" s="4"/>
      <c r="CC7501" s="4"/>
      <c r="CD7501" s="4"/>
      <c r="CF7501" s="4"/>
    </row>
    <row r="7502" spans="66:84">
      <c r="BN7502" s="4"/>
      <c r="BO7502" s="4"/>
      <c r="BQ7502" s="4"/>
      <c r="CC7502" s="4"/>
      <c r="CD7502" s="4"/>
      <c r="CF7502" s="4"/>
    </row>
    <row r="7503" spans="66:84">
      <c r="BN7503" s="4"/>
      <c r="BO7503" s="4"/>
      <c r="BQ7503" s="4"/>
      <c r="CC7503" s="4"/>
      <c r="CD7503" s="4"/>
      <c r="CF7503" s="4"/>
    </row>
    <row r="7504" spans="66:84">
      <c r="BN7504" s="4"/>
      <c r="BO7504" s="4"/>
      <c r="BQ7504" s="4"/>
      <c r="CC7504" s="4"/>
      <c r="CD7504" s="4"/>
      <c r="CF7504" s="4"/>
    </row>
    <row r="7505" spans="66:84">
      <c r="BN7505" s="4"/>
      <c r="BO7505" s="4"/>
      <c r="BQ7505" s="4"/>
      <c r="CC7505" s="4"/>
      <c r="CD7505" s="4"/>
      <c r="CF7505" s="4"/>
    </row>
    <row r="7506" spans="66:84">
      <c r="BN7506" s="4"/>
      <c r="BO7506" s="4"/>
      <c r="BQ7506" s="4"/>
      <c r="CC7506" s="4"/>
      <c r="CD7506" s="4"/>
      <c r="CF7506" s="4"/>
    </row>
    <row r="7507" spans="66:84">
      <c r="BN7507" s="4"/>
      <c r="BO7507" s="4"/>
      <c r="BQ7507" s="4"/>
      <c r="CC7507" s="4"/>
      <c r="CD7507" s="4"/>
      <c r="CF7507" s="4"/>
    </row>
    <row r="7508" spans="66:84">
      <c r="BN7508" s="4"/>
      <c r="BO7508" s="4"/>
      <c r="BQ7508" s="4"/>
      <c r="CC7508" s="4"/>
      <c r="CD7508" s="4"/>
      <c r="CF7508" s="4"/>
    </row>
    <row r="7509" spans="66:84">
      <c r="BN7509" s="4"/>
      <c r="BO7509" s="4"/>
      <c r="BQ7509" s="4"/>
      <c r="CC7509" s="4"/>
      <c r="CD7509" s="4"/>
      <c r="CF7509" s="4"/>
    </row>
    <row r="7510" spans="66:84">
      <c r="BN7510" s="4"/>
      <c r="BO7510" s="4"/>
      <c r="BQ7510" s="4"/>
      <c r="CC7510" s="4"/>
      <c r="CD7510" s="4"/>
      <c r="CF7510" s="4"/>
    </row>
    <row r="7511" spans="66:84">
      <c r="BN7511" s="4"/>
      <c r="BO7511" s="4"/>
      <c r="BQ7511" s="4"/>
      <c r="CC7511" s="4"/>
      <c r="CD7511" s="4"/>
      <c r="CF7511" s="4"/>
    </row>
    <row r="7512" spans="66:84">
      <c r="BN7512" s="4"/>
      <c r="BO7512" s="4"/>
      <c r="BQ7512" s="4"/>
      <c r="CC7512" s="4"/>
      <c r="CD7512" s="4"/>
      <c r="CF7512" s="4"/>
    </row>
    <row r="7513" spans="66:84">
      <c r="BN7513" s="4"/>
      <c r="BO7513" s="4"/>
      <c r="BQ7513" s="4"/>
      <c r="CC7513" s="4"/>
      <c r="CD7513" s="4"/>
      <c r="CF7513" s="4"/>
    </row>
    <row r="7514" spans="66:84">
      <c r="BN7514" s="4"/>
      <c r="BO7514" s="4"/>
      <c r="BQ7514" s="4"/>
      <c r="CC7514" s="4"/>
      <c r="CD7514" s="4"/>
      <c r="CF7514" s="4"/>
    </row>
    <row r="7515" spans="66:84">
      <c r="BN7515" s="4"/>
      <c r="BO7515" s="4"/>
      <c r="BQ7515" s="4"/>
      <c r="CC7515" s="4"/>
      <c r="CD7515" s="4"/>
      <c r="CF7515" s="4"/>
    </row>
    <row r="7516" spans="66:84">
      <c r="BN7516" s="4"/>
      <c r="BO7516" s="4"/>
      <c r="BQ7516" s="4"/>
      <c r="CC7516" s="4"/>
      <c r="CD7516" s="4"/>
      <c r="CF7516" s="4"/>
    </row>
    <row r="7517" spans="66:84">
      <c r="BN7517" s="4"/>
      <c r="BO7517" s="4"/>
      <c r="BQ7517" s="4"/>
      <c r="CC7517" s="4"/>
      <c r="CD7517" s="4"/>
      <c r="CF7517" s="4"/>
    </row>
    <row r="7518" spans="66:84">
      <c r="BN7518" s="4"/>
      <c r="BO7518" s="4"/>
      <c r="BQ7518" s="4"/>
      <c r="CC7518" s="4"/>
      <c r="CD7518" s="4"/>
      <c r="CF7518" s="4"/>
    </row>
    <row r="7519" spans="66:84">
      <c r="BN7519" s="4"/>
      <c r="BO7519" s="4"/>
      <c r="BQ7519" s="4"/>
      <c r="CC7519" s="4"/>
      <c r="CD7519" s="4"/>
      <c r="CF7519" s="4"/>
    </row>
    <row r="7520" spans="66:84">
      <c r="BN7520" s="4"/>
      <c r="BO7520" s="4"/>
      <c r="BQ7520" s="4"/>
      <c r="CC7520" s="4"/>
      <c r="CD7520" s="4"/>
      <c r="CF7520" s="4"/>
    </row>
    <row r="7521" spans="66:84">
      <c r="BN7521" s="4"/>
      <c r="BO7521" s="4"/>
      <c r="BQ7521" s="4"/>
      <c r="CC7521" s="4"/>
      <c r="CD7521" s="4"/>
      <c r="CF7521" s="4"/>
    </row>
    <row r="7522" spans="66:84">
      <c r="BN7522" s="4"/>
      <c r="BO7522" s="4"/>
      <c r="BQ7522" s="4"/>
      <c r="CC7522" s="4"/>
      <c r="CD7522" s="4"/>
      <c r="CF7522" s="4"/>
    </row>
    <row r="7523" spans="66:84">
      <c r="BN7523" s="4"/>
      <c r="BO7523" s="4"/>
      <c r="BQ7523" s="4"/>
      <c r="CC7523" s="4"/>
      <c r="CD7523" s="4"/>
      <c r="CF7523" s="4"/>
    </row>
    <row r="7524" spans="66:84">
      <c r="BN7524" s="4"/>
      <c r="BO7524" s="4"/>
      <c r="BQ7524" s="4"/>
      <c r="CC7524" s="4"/>
      <c r="CD7524" s="4"/>
      <c r="CF7524" s="4"/>
    </row>
    <row r="7525" spans="66:84">
      <c r="BN7525" s="4"/>
      <c r="BO7525" s="4"/>
      <c r="BQ7525" s="4"/>
      <c r="CC7525" s="4"/>
      <c r="CD7525" s="4"/>
      <c r="CF7525" s="4"/>
    </row>
    <row r="7526" spans="66:84">
      <c r="BN7526" s="4"/>
      <c r="BO7526" s="4"/>
      <c r="BQ7526" s="4"/>
      <c r="CC7526" s="4"/>
      <c r="CD7526" s="4"/>
      <c r="CF7526" s="4"/>
    </row>
    <row r="7527" spans="66:84">
      <c r="BN7527" s="4"/>
      <c r="BO7527" s="4"/>
      <c r="BQ7527" s="4"/>
      <c r="CC7527" s="4"/>
      <c r="CD7527" s="4"/>
      <c r="CF7527" s="4"/>
    </row>
    <row r="7528" spans="66:84">
      <c r="BN7528" s="4"/>
      <c r="BO7528" s="4"/>
      <c r="BQ7528" s="4"/>
      <c r="CC7528" s="4"/>
      <c r="CD7528" s="4"/>
      <c r="CF7528" s="4"/>
    </row>
    <row r="7529" spans="66:84">
      <c r="BN7529" s="4"/>
      <c r="BO7529" s="4"/>
      <c r="BQ7529" s="4"/>
      <c r="CC7529" s="4"/>
      <c r="CD7529" s="4"/>
      <c r="CF7529" s="4"/>
    </row>
    <row r="7530" spans="66:84">
      <c r="BN7530" s="4"/>
      <c r="BO7530" s="4"/>
      <c r="BQ7530" s="4"/>
      <c r="CC7530" s="4"/>
      <c r="CD7530" s="4"/>
      <c r="CF7530" s="4"/>
    </row>
    <row r="7531" spans="66:84">
      <c r="BN7531" s="4"/>
      <c r="BO7531" s="4"/>
      <c r="BQ7531" s="4"/>
      <c r="CC7531" s="4"/>
      <c r="CD7531" s="4"/>
      <c r="CF7531" s="4"/>
    </row>
    <row r="7532" spans="66:84">
      <c r="BN7532" s="4"/>
      <c r="BO7532" s="4"/>
      <c r="BQ7532" s="4"/>
      <c r="CC7532" s="4"/>
      <c r="CD7532" s="4"/>
      <c r="CF7532" s="4"/>
    </row>
    <row r="7533" spans="66:84">
      <c r="BN7533" s="4"/>
      <c r="BO7533" s="4"/>
      <c r="BQ7533" s="4"/>
      <c r="CC7533" s="4"/>
      <c r="CD7533" s="4"/>
      <c r="CF7533" s="4"/>
    </row>
    <row r="7534" spans="66:84">
      <c r="BN7534" s="4"/>
      <c r="BO7534" s="4"/>
      <c r="BQ7534" s="4"/>
      <c r="CC7534" s="4"/>
      <c r="CD7534" s="4"/>
      <c r="CF7534" s="4"/>
    </row>
    <row r="7535" spans="66:84">
      <c r="BN7535" s="4"/>
      <c r="BO7535" s="4"/>
      <c r="BQ7535" s="4"/>
      <c r="CC7535" s="4"/>
      <c r="CD7535" s="4"/>
      <c r="CF7535" s="4"/>
    </row>
    <row r="7536" spans="66:84">
      <c r="BN7536" s="4"/>
      <c r="BO7536" s="4"/>
      <c r="BQ7536" s="4"/>
      <c r="CC7536" s="4"/>
      <c r="CD7536" s="4"/>
      <c r="CF7536" s="4"/>
    </row>
    <row r="7537" spans="66:84">
      <c r="BN7537" s="4"/>
      <c r="BO7537" s="4"/>
      <c r="BQ7537" s="4"/>
      <c r="CC7537" s="4"/>
      <c r="CD7537" s="4"/>
      <c r="CF7537" s="4"/>
    </row>
    <row r="7538" spans="66:84">
      <c r="BN7538" s="4"/>
      <c r="BO7538" s="4"/>
      <c r="BQ7538" s="4"/>
      <c r="CC7538" s="4"/>
      <c r="CD7538" s="4"/>
      <c r="CF7538" s="4"/>
    </row>
    <row r="7539" spans="66:84">
      <c r="BN7539" s="4"/>
      <c r="BO7539" s="4"/>
      <c r="BQ7539" s="4"/>
      <c r="CC7539" s="4"/>
      <c r="CD7539" s="4"/>
      <c r="CF7539" s="4"/>
    </row>
    <row r="7540" spans="66:84">
      <c r="BN7540" s="4"/>
      <c r="BO7540" s="4"/>
      <c r="BQ7540" s="4"/>
      <c r="CC7540" s="4"/>
      <c r="CD7540" s="4"/>
      <c r="CF7540" s="4"/>
    </row>
    <row r="7541" spans="66:84">
      <c r="BN7541" s="4"/>
      <c r="BO7541" s="4"/>
      <c r="BQ7541" s="4"/>
      <c r="CC7541" s="4"/>
      <c r="CD7541" s="4"/>
      <c r="CF7541" s="4"/>
    </row>
    <row r="7542" spans="66:84">
      <c r="BN7542" s="4"/>
      <c r="BO7542" s="4"/>
      <c r="BQ7542" s="4"/>
      <c r="CC7542" s="4"/>
      <c r="CD7542" s="4"/>
      <c r="CF7542" s="4"/>
    </row>
    <row r="7543" spans="66:84">
      <c r="BN7543" s="4"/>
      <c r="BO7543" s="4"/>
      <c r="BQ7543" s="4"/>
      <c r="CC7543" s="4"/>
      <c r="CD7543" s="4"/>
      <c r="CF7543" s="4"/>
    </row>
    <row r="7544" spans="66:84">
      <c r="BN7544" s="4"/>
      <c r="BO7544" s="4"/>
      <c r="BQ7544" s="4"/>
      <c r="CC7544" s="4"/>
      <c r="CD7544" s="4"/>
      <c r="CF7544" s="4"/>
    </row>
    <row r="7545" spans="66:84">
      <c r="BN7545" s="4"/>
      <c r="BO7545" s="4"/>
      <c r="BQ7545" s="4"/>
      <c r="CC7545" s="4"/>
      <c r="CD7545" s="4"/>
      <c r="CF7545" s="4"/>
    </row>
    <row r="7546" spans="66:84">
      <c r="BN7546" s="4"/>
      <c r="BO7546" s="4"/>
      <c r="BQ7546" s="4"/>
      <c r="CC7546" s="4"/>
      <c r="CD7546" s="4"/>
      <c r="CF7546" s="4"/>
    </row>
    <row r="7547" spans="66:84">
      <c r="BN7547" s="4"/>
      <c r="BO7547" s="4"/>
      <c r="BQ7547" s="4"/>
      <c r="CC7547" s="4"/>
      <c r="CD7547" s="4"/>
      <c r="CF7547" s="4"/>
    </row>
    <row r="7548" spans="66:84">
      <c r="BN7548" s="4"/>
      <c r="BO7548" s="4"/>
      <c r="BQ7548" s="4"/>
      <c r="CC7548" s="4"/>
      <c r="CD7548" s="4"/>
      <c r="CF7548" s="4"/>
    </row>
    <row r="7549" spans="66:84">
      <c r="BN7549" s="4"/>
      <c r="BO7549" s="4"/>
      <c r="BQ7549" s="4"/>
      <c r="CC7549" s="4"/>
      <c r="CD7549" s="4"/>
      <c r="CF7549" s="4"/>
    </row>
    <row r="7550" spans="66:84">
      <c r="BN7550" s="4"/>
      <c r="BO7550" s="4"/>
      <c r="BQ7550" s="4"/>
      <c r="CC7550" s="4"/>
      <c r="CD7550" s="4"/>
      <c r="CF7550" s="4"/>
    </row>
    <row r="7551" spans="66:84">
      <c r="BN7551" s="4"/>
      <c r="BO7551" s="4"/>
      <c r="BQ7551" s="4"/>
      <c r="CC7551" s="4"/>
      <c r="CD7551" s="4"/>
      <c r="CF7551" s="4"/>
    </row>
    <row r="7552" spans="66:84">
      <c r="BN7552" s="4"/>
      <c r="BO7552" s="4"/>
      <c r="BQ7552" s="4"/>
      <c r="CC7552" s="4"/>
      <c r="CD7552" s="4"/>
      <c r="CF7552" s="4"/>
    </row>
    <row r="7553" spans="66:84">
      <c r="BN7553" s="4"/>
      <c r="BO7553" s="4"/>
      <c r="BQ7553" s="4"/>
      <c r="CC7553" s="4"/>
      <c r="CD7553" s="4"/>
      <c r="CF7553" s="4"/>
    </row>
    <row r="7554" spans="66:84">
      <c r="BN7554" s="4"/>
      <c r="BO7554" s="4"/>
      <c r="BQ7554" s="4"/>
      <c r="CC7554" s="4"/>
      <c r="CD7554" s="4"/>
      <c r="CF7554" s="4"/>
    </row>
    <row r="7555" spans="66:84">
      <c r="BN7555" s="4"/>
      <c r="BO7555" s="4"/>
      <c r="BQ7555" s="4"/>
      <c r="CC7555" s="4"/>
      <c r="CD7555" s="4"/>
      <c r="CF7555" s="4"/>
    </row>
    <row r="7556" spans="66:84">
      <c r="BN7556" s="4"/>
      <c r="BO7556" s="4"/>
      <c r="BQ7556" s="4"/>
      <c r="CC7556" s="4"/>
      <c r="CD7556" s="4"/>
      <c r="CF7556" s="4"/>
    </row>
    <row r="7557" spans="66:84">
      <c r="BN7557" s="4"/>
      <c r="BO7557" s="4"/>
      <c r="BQ7557" s="4"/>
      <c r="CC7557" s="4"/>
      <c r="CD7557" s="4"/>
      <c r="CF7557" s="4"/>
    </row>
    <row r="7558" spans="66:84">
      <c r="BN7558" s="4"/>
      <c r="BO7558" s="4"/>
      <c r="BQ7558" s="4"/>
      <c r="CC7558" s="4"/>
      <c r="CD7558" s="4"/>
      <c r="CF7558" s="4"/>
    </row>
    <row r="7559" spans="66:84">
      <c r="BN7559" s="4"/>
      <c r="BO7559" s="4"/>
      <c r="BQ7559" s="4"/>
      <c r="CC7559" s="4"/>
      <c r="CD7559" s="4"/>
      <c r="CF7559" s="4"/>
    </row>
    <row r="7560" spans="66:84">
      <c r="BN7560" s="4"/>
      <c r="BO7560" s="4"/>
      <c r="BQ7560" s="4"/>
      <c r="CC7560" s="4"/>
      <c r="CD7560" s="4"/>
      <c r="CF7560" s="4"/>
    </row>
    <row r="7561" spans="66:84">
      <c r="BN7561" s="4"/>
      <c r="BO7561" s="4"/>
      <c r="BQ7561" s="4"/>
      <c r="CC7561" s="4"/>
      <c r="CD7561" s="4"/>
      <c r="CF7561" s="4"/>
    </row>
    <row r="7562" spans="66:84">
      <c r="BN7562" s="4"/>
      <c r="BO7562" s="4"/>
      <c r="BQ7562" s="4"/>
      <c r="CC7562" s="4"/>
      <c r="CD7562" s="4"/>
      <c r="CF7562" s="4"/>
    </row>
    <row r="7563" spans="66:84">
      <c r="BN7563" s="4"/>
      <c r="BO7563" s="4"/>
      <c r="BQ7563" s="4"/>
      <c r="CC7563" s="4"/>
      <c r="CD7563" s="4"/>
      <c r="CF7563" s="4"/>
    </row>
    <row r="7564" spans="66:84">
      <c r="BN7564" s="4"/>
      <c r="BO7564" s="4"/>
      <c r="BQ7564" s="4"/>
      <c r="CC7564" s="4"/>
      <c r="CD7564" s="4"/>
      <c r="CF7564" s="4"/>
    </row>
    <row r="7565" spans="66:84">
      <c r="BN7565" s="4"/>
      <c r="BO7565" s="4"/>
      <c r="BQ7565" s="4"/>
      <c r="CC7565" s="4"/>
      <c r="CD7565" s="4"/>
      <c r="CF7565" s="4"/>
    </row>
    <row r="7566" spans="66:84">
      <c r="BN7566" s="4"/>
      <c r="BO7566" s="4"/>
      <c r="BQ7566" s="4"/>
      <c r="CC7566" s="4"/>
      <c r="CD7566" s="4"/>
      <c r="CF7566" s="4"/>
    </row>
    <row r="7567" spans="66:84">
      <c r="BN7567" s="4"/>
      <c r="BO7567" s="4"/>
      <c r="BQ7567" s="4"/>
      <c r="CC7567" s="4"/>
      <c r="CD7567" s="4"/>
      <c r="CF7567" s="4"/>
    </row>
    <row r="7568" spans="66:84">
      <c r="BN7568" s="4"/>
      <c r="BO7568" s="4"/>
      <c r="BQ7568" s="4"/>
      <c r="CC7568" s="4"/>
      <c r="CD7568" s="4"/>
      <c r="CF7568" s="4"/>
    </row>
    <row r="7569" spans="66:84">
      <c r="BN7569" s="4"/>
      <c r="BO7569" s="4"/>
      <c r="BQ7569" s="4"/>
      <c r="CC7569" s="4"/>
      <c r="CD7569" s="4"/>
      <c r="CF7569" s="4"/>
    </row>
    <row r="7570" spans="66:84">
      <c r="BN7570" s="4"/>
      <c r="BO7570" s="4"/>
      <c r="BQ7570" s="4"/>
      <c r="CC7570" s="4"/>
      <c r="CD7570" s="4"/>
      <c r="CF7570" s="4"/>
    </row>
    <row r="7571" spans="66:84">
      <c r="BN7571" s="4"/>
      <c r="BO7571" s="4"/>
      <c r="BQ7571" s="4"/>
      <c r="CC7571" s="4"/>
      <c r="CD7571" s="4"/>
      <c r="CF7571" s="4"/>
    </row>
    <row r="7572" spans="66:84">
      <c r="BN7572" s="4"/>
      <c r="BO7572" s="4"/>
      <c r="BQ7572" s="4"/>
      <c r="CC7572" s="4"/>
      <c r="CD7572" s="4"/>
      <c r="CF7572" s="4"/>
    </row>
    <row r="7573" spans="66:84">
      <c r="BN7573" s="4"/>
      <c r="BO7573" s="4"/>
      <c r="BQ7573" s="4"/>
      <c r="CC7573" s="4"/>
      <c r="CD7573" s="4"/>
      <c r="CF7573" s="4"/>
    </row>
    <row r="7574" spans="66:84">
      <c r="BN7574" s="4"/>
      <c r="BO7574" s="4"/>
      <c r="BQ7574" s="4"/>
      <c r="CC7574" s="4"/>
      <c r="CD7574" s="4"/>
      <c r="CF7574" s="4"/>
    </row>
    <row r="7575" spans="66:84">
      <c r="BN7575" s="4"/>
      <c r="BO7575" s="4"/>
      <c r="BQ7575" s="4"/>
      <c r="CC7575" s="4"/>
      <c r="CD7575" s="4"/>
      <c r="CF7575" s="4"/>
    </row>
    <row r="7576" spans="66:84">
      <c r="BN7576" s="4"/>
      <c r="BO7576" s="4"/>
      <c r="BQ7576" s="4"/>
      <c r="CC7576" s="4"/>
      <c r="CD7576" s="4"/>
      <c r="CF7576" s="4"/>
    </row>
    <row r="7577" spans="66:84">
      <c r="BN7577" s="4"/>
      <c r="BO7577" s="4"/>
      <c r="BQ7577" s="4"/>
      <c r="CC7577" s="4"/>
      <c r="CD7577" s="4"/>
      <c r="CF7577" s="4"/>
    </row>
    <row r="7578" spans="66:84">
      <c r="BN7578" s="4"/>
      <c r="BO7578" s="4"/>
      <c r="BQ7578" s="4"/>
      <c r="CC7578" s="4"/>
      <c r="CD7578" s="4"/>
      <c r="CF7578" s="4"/>
    </row>
    <row r="7579" spans="66:84">
      <c r="BN7579" s="4"/>
      <c r="BO7579" s="4"/>
      <c r="BQ7579" s="4"/>
      <c r="CC7579" s="4"/>
      <c r="CD7579" s="4"/>
      <c r="CF7579" s="4"/>
    </row>
    <row r="7580" spans="66:84">
      <c r="BN7580" s="4"/>
      <c r="BO7580" s="4"/>
      <c r="BQ7580" s="4"/>
      <c r="CC7580" s="4"/>
      <c r="CD7580" s="4"/>
      <c r="CF7580" s="4"/>
    </row>
    <row r="7581" spans="66:84">
      <c r="BN7581" s="4"/>
      <c r="BO7581" s="4"/>
      <c r="BQ7581" s="4"/>
      <c r="CC7581" s="4"/>
      <c r="CD7581" s="4"/>
      <c r="CF7581" s="4"/>
    </row>
    <row r="7582" spans="66:84">
      <c r="BN7582" s="4"/>
      <c r="BO7582" s="4"/>
      <c r="BQ7582" s="4"/>
      <c r="CC7582" s="4"/>
      <c r="CD7582" s="4"/>
      <c r="CF7582" s="4"/>
    </row>
    <row r="7583" spans="66:84">
      <c r="BN7583" s="4"/>
      <c r="BO7583" s="4"/>
      <c r="BQ7583" s="4"/>
      <c r="CC7583" s="4"/>
      <c r="CD7583" s="4"/>
      <c r="CF7583" s="4"/>
    </row>
    <row r="7584" spans="66:84">
      <c r="BN7584" s="4"/>
      <c r="BO7584" s="4"/>
      <c r="BQ7584" s="4"/>
      <c r="CC7584" s="4"/>
      <c r="CD7584" s="4"/>
      <c r="CF7584" s="4"/>
    </row>
    <row r="7585" spans="66:84">
      <c r="BN7585" s="4"/>
      <c r="BO7585" s="4"/>
      <c r="BQ7585" s="4"/>
      <c r="CC7585" s="4"/>
      <c r="CD7585" s="4"/>
      <c r="CF7585" s="4"/>
    </row>
    <row r="7586" spans="66:84">
      <c r="BN7586" s="4"/>
      <c r="BO7586" s="4"/>
      <c r="BQ7586" s="4"/>
      <c r="CC7586" s="4"/>
      <c r="CD7586" s="4"/>
      <c r="CF7586" s="4"/>
    </row>
    <row r="7587" spans="66:84">
      <c r="BN7587" s="4"/>
      <c r="BO7587" s="4"/>
      <c r="BQ7587" s="4"/>
      <c r="CC7587" s="4"/>
      <c r="CD7587" s="4"/>
      <c r="CF7587" s="4"/>
    </row>
    <row r="7588" spans="66:84">
      <c r="BN7588" s="4"/>
      <c r="BO7588" s="4"/>
      <c r="BQ7588" s="4"/>
      <c r="CC7588" s="4"/>
      <c r="CD7588" s="4"/>
      <c r="CF7588" s="4"/>
    </row>
    <row r="7589" spans="66:84">
      <c r="BN7589" s="4"/>
      <c r="BO7589" s="4"/>
      <c r="BQ7589" s="4"/>
      <c r="CC7589" s="4"/>
      <c r="CD7589" s="4"/>
      <c r="CF7589" s="4"/>
    </row>
    <row r="7590" spans="66:84">
      <c r="BN7590" s="4"/>
      <c r="BO7590" s="4"/>
      <c r="BQ7590" s="4"/>
      <c r="CC7590" s="4"/>
      <c r="CD7590" s="4"/>
      <c r="CF7590" s="4"/>
    </row>
    <row r="7591" spans="66:84">
      <c r="BN7591" s="4"/>
      <c r="BO7591" s="4"/>
      <c r="BQ7591" s="4"/>
      <c r="CC7591" s="4"/>
      <c r="CD7591" s="4"/>
      <c r="CF7591" s="4"/>
    </row>
    <row r="7592" spans="66:84">
      <c r="BN7592" s="4"/>
      <c r="BO7592" s="4"/>
      <c r="BQ7592" s="4"/>
      <c r="CC7592" s="4"/>
      <c r="CD7592" s="4"/>
      <c r="CF7592" s="4"/>
    </row>
    <row r="7593" spans="66:84">
      <c r="BN7593" s="4"/>
      <c r="BO7593" s="4"/>
      <c r="BQ7593" s="4"/>
      <c r="CC7593" s="4"/>
      <c r="CD7593" s="4"/>
      <c r="CF7593" s="4"/>
    </row>
    <row r="7594" spans="66:84">
      <c r="BN7594" s="4"/>
      <c r="BO7594" s="4"/>
      <c r="BQ7594" s="4"/>
      <c r="CC7594" s="4"/>
      <c r="CD7594" s="4"/>
      <c r="CF7594" s="4"/>
    </row>
    <row r="7595" spans="66:84">
      <c r="BN7595" s="4"/>
      <c r="BO7595" s="4"/>
      <c r="BQ7595" s="4"/>
      <c r="CC7595" s="4"/>
      <c r="CD7595" s="4"/>
      <c r="CF7595" s="4"/>
    </row>
    <row r="7596" spans="66:84">
      <c r="BN7596" s="4"/>
      <c r="BO7596" s="4"/>
      <c r="BQ7596" s="4"/>
      <c r="CC7596" s="4"/>
      <c r="CD7596" s="4"/>
      <c r="CF7596" s="4"/>
    </row>
    <row r="7597" spans="66:84">
      <c r="BN7597" s="4"/>
      <c r="BO7597" s="4"/>
      <c r="BQ7597" s="4"/>
      <c r="CC7597" s="4"/>
      <c r="CD7597" s="4"/>
      <c r="CF7597" s="4"/>
    </row>
    <row r="7598" spans="66:84">
      <c r="BN7598" s="4"/>
      <c r="BO7598" s="4"/>
      <c r="BQ7598" s="4"/>
      <c r="CC7598" s="4"/>
      <c r="CD7598" s="4"/>
      <c r="CF7598" s="4"/>
    </row>
    <row r="7599" spans="66:84">
      <c r="BN7599" s="4"/>
      <c r="BO7599" s="4"/>
      <c r="BQ7599" s="4"/>
      <c r="CC7599" s="4"/>
      <c r="CD7599" s="4"/>
      <c r="CF7599" s="4"/>
    </row>
    <row r="7600" spans="66:84">
      <c r="BN7600" s="4"/>
      <c r="BO7600" s="4"/>
      <c r="BQ7600" s="4"/>
      <c r="CC7600" s="4"/>
      <c r="CD7600" s="4"/>
      <c r="CF7600" s="4"/>
    </row>
    <row r="7601" spans="66:84">
      <c r="BN7601" s="4"/>
      <c r="BO7601" s="4"/>
      <c r="BQ7601" s="4"/>
      <c r="CC7601" s="4"/>
      <c r="CD7601" s="4"/>
      <c r="CF7601" s="4"/>
    </row>
    <row r="7602" spans="66:84">
      <c r="BN7602" s="4"/>
      <c r="BO7602" s="4"/>
      <c r="BQ7602" s="4"/>
      <c r="CC7602" s="4"/>
      <c r="CD7602" s="4"/>
      <c r="CF7602" s="4"/>
    </row>
    <row r="7603" spans="66:84">
      <c r="BN7603" s="4"/>
      <c r="BO7603" s="4"/>
      <c r="BQ7603" s="4"/>
      <c r="CC7603" s="4"/>
      <c r="CD7603" s="4"/>
      <c r="CF7603" s="4"/>
    </row>
    <row r="7604" spans="66:84">
      <c r="BN7604" s="4"/>
      <c r="BO7604" s="4"/>
      <c r="BQ7604" s="4"/>
      <c r="CC7604" s="4"/>
      <c r="CD7604" s="4"/>
      <c r="CF7604" s="4"/>
    </row>
    <row r="7605" spans="66:84">
      <c r="BN7605" s="4"/>
      <c r="BO7605" s="4"/>
      <c r="BQ7605" s="4"/>
      <c r="CC7605" s="4"/>
      <c r="CD7605" s="4"/>
      <c r="CF7605" s="4"/>
    </row>
    <row r="7606" spans="66:84">
      <c r="BN7606" s="4"/>
      <c r="BO7606" s="4"/>
      <c r="BQ7606" s="4"/>
      <c r="CC7606" s="4"/>
      <c r="CD7606" s="4"/>
      <c r="CF7606" s="4"/>
    </row>
    <row r="7607" spans="66:84">
      <c r="BN7607" s="4"/>
      <c r="BO7607" s="4"/>
      <c r="BQ7607" s="4"/>
      <c r="CC7607" s="4"/>
      <c r="CD7607" s="4"/>
      <c r="CF7607" s="4"/>
    </row>
    <row r="7608" spans="66:84">
      <c r="BN7608" s="4"/>
      <c r="BO7608" s="4"/>
      <c r="BQ7608" s="4"/>
      <c r="CC7608" s="4"/>
      <c r="CD7608" s="4"/>
      <c r="CF7608" s="4"/>
    </row>
    <row r="7609" spans="66:84">
      <c r="BN7609" s="4"/>
      <c r="BO7609" s="4"/>
      <c r="BQ7609" s="4"/>
      <c r="CC7609" s="4"/>
      <c r="CD7609" s="4"/>
      <c r="CF7609" s="4"/>
    </row>
    <row r="7610" spans="66:84">
      <c r="BN7610" s="4"/>
      <c r="BO7610" s="4"/>
      <c r="BQ7610" s="4"/>
      <c r="CC7610" s="4"/>
      <c r="CD7610" s="4"/>
      <c r="CF7610" s="4"/>
    </row>
    <row r="7611" spans="66:84">
      <c r="BN7611" s="4"/>
      <c r="BO7611" s="4"/>
      <c r="BQ7611" s="4"/>
      <c r="CC7611" s="4"/>
      <c r="CD7611" s="4"/>
      <c r="CF7611" s="4"/>
    </row>
    <row r="7612" spans="66:84">
      <c r="BN7612" s="4"/>
      <c r="BO7612" s="4"/>
      <c r="BQ7612" s="4"/>
      <c r="CC7612" s="4"/>
      <c r="CD7612" s="4"/>
      <c r="CF7612" s="4"/>
    </row>
    <row r="7613" spans="66:84">
      <c r="BN7613" s="4"/>
      <c r="BO7613" s="4"/>
      <c r="BQ7613" s="4"/>
      <c r="CC7613" s="4"/>
      <c r="CD7613" s="4"/>
      <c r="CF7613" s="4"/>
    </row>
    <row r="7614" spans="66:84">
      <c r="BN7614" s="4"/>
      <c r="BO7614" s="4"/>
      <c r="BQ7614" s="4"/>
      <c r="CC7614" s="4"/>
      <c r="CD7614" s="4"/>
      <c r="CF7614" s="4"/>
    </row>
    <row r="7615" spans="66:84">
      <c r="BN7615" s="4"/>
      <c r="BO7615" s="4"/>
      <c r="BQ7615" s="4"/>
      <c r="CC7615" s="4"/>
      <c r="CD7615" s="4"/>
      <c r="CF7615" s="4"/>
    </row>
    <row r="7616" spans="66:84">
      <c r="BN7616" s="4"/>
      <c r="BO7616" s="4"/>
      <c r="BQ7616" s="4"/>
      <c r="CC7616" s="4"/>
      <c r="CD7616" s="4"/>
      <c r="CF7616" s="4"/>
    </row>
    <row r="7617" spans="66:84">
      <c r="BN7617" s="4"/>
      <c r="BO7617" s="4"/>
      <c r="BQ7617" s="4"/>
      <c r="CC7617" s="4"/>
      <c r="CD7617" s="4"/>
      <c r="CF7617" s="4"/>
    </row>
    <row r="7618" spans="66:84">
      <c r="BN7618" s="4"/>
      <c r="BO7618" s="4"/>
      <c r="BQ7618" s="4"/>
      <c r="CC7618" s="4"/>
      <c r="CD7618" s="4"/>
      <c r="CF7618" s="4"/>
    </row>
    <row r="7619" spans="66:84">
      <c r="BN7619" s="4"/>
      <c r="BO7619" s="4"/>
      <c r="BQ7619" s="4"/>
      <c r="CC7619" s="4"/>
      <c r="CD7619" s="4"/>
      <c r="CF7619" s="4"/>
    </row>
    <row r="7620" spans="66:84">
      <c r="BN7620" s="4"/>
      <c r="BO7620" s="4"/>
      <c r="BQ7620" s="4"/>
      <c r="CC7620" s="4"/>
      <c r="CD7620" s="4"/>
      <c r="CF7620" s="4"/>
    </row>
    <row r="7621" spans="66:84">
      <c r="BN7621" s="4"/>
      <c r="BO7621" s="4"/>
      <c r="BQ7621" s="4"/>
      <c r="CC7621" s="4"/>
      <c r="CD7621" s="4"/>
      <c r="CF7621" s="4"/>
    </row>
    <row r="7622" spans="66:84">
      <c r="BN7622" s="4"/>
      <c r="BO7622" s="4"/>
      <c r="BQ7622" s="4"/>
      <c r="CC7622" s="4"/>
      <c r="CD7622" s="4"/>
      <c r="CF7622" s="4"/>
    </row>
    <row r="7623" spans="66:84">
      <c r="BN7623" s="4"/>
      <c r="BO7623" s="4"/>
      <c r="BQ7623" s="4"/>
      <c r="CC7623" s="4"/>
      <c r="CD7623" s="4"/>
      <c r="CF7623" s="4"/>
    </row>
    <row r="7624" spans="66:84">
      <c r="BN7624" s="4"/>
      <c r="BO7624" s="4"/>
      <c r="BQ7624" s="4"/>
      <c r="CC7624" s="4"/>
      <c r="CD7624" s="4"/>
      <c r="CF7624" s="4"/>
    </row>
    <row r="7625" spans="66:84">
      <c r="BN7625" s="4"/>
      <c r="BO7625" s="4"/>
      <c r="BQ7625" s="4"/>
      <c r="CC7625" s="4"/>
      <c r="CD7625" s="4"/>
      <c r="CF7625" s="4"/>
    </row>
    <row r="7626" spans="66:84">
      <c r="BN7626" s="4"/>
      <c r="BO7626" s="4"/>
      <c r="BQ7626" s="4"/>
      <c r="CC7626" s="4"/>
      <c r="CD7626" s="4"/>
      <c r="CF7626" s="4"/>
    </row>
    <row r="7627" spans="66:84">
      <c r="BN7627" s="4"/>
      <c r="BO7627" s="4"/>
      <c r="BQ7627" s="4"/>
      <c r="CC7627" s="4"/>
      <c r="CD7627" s="4"/>
      <c r="CF7627" s="4"/>
    </row>
    <row r="7628" spans="66:84">
      <c r="BN7628" s="4"/>
      <c r="BO7628" s="4"/>
      <c r="BQ7628" s="4"/>
      <c r="CC7628" s="4"/>
      <c r="CD7628" s="4"/>
      <c r="CF7628" s="4"/>
    </row>
    <row r="7629" spans="66:84">
      <c r="BN7629" s="4"/>
      <c r="BO7629" s="4"/>
      <c r="BQ7629" s="4"/>
      <c r="CC7629" s="4"/>
      <c r="CD7629" s="4"/>
      <c r="CF7629" s="4"/>
    </row>
    <row r="7630" spans="66:84">
      <c r="BN7630" s="4"/>
      <c r="BO7630" s="4"/>
      <c r="BQ7630" s="4"/>
      <c r="CC7630" s="4"/>
      <c r="CD7630" s="4"/>
      <c r="CF7630" s="4"/>
    </row>
    <row r="7631" spans="66:84">
      <c r="BN7631" s="4"/>
      <c r="BO7631" s="4"/>
      <c r="BQ7631" s="4"/>
      <c r="CC7631" s="4"/>
      <c r="CD7631" s="4"/>
      <c r="CF7631" s="4"/>
    </row>
    <row r="7632" spans="66:84">
      <c r="BN7632" s="4"/>
      <c r="BO7632" s="4"/>
      <c r="BQ7632" s="4"/>
      <c r="CC7632" s="4"/>
      <c r="CD7632" s="4"/>
      <c r="CF7632" s="4"/>
    </row>
    <row r="7633" spans="66:84">
      <c r="BN7633" s="4"/>
      <c r="BO7633" s="4"/>
      <c r="BQ7633" s="4"/>
      <c r="CC7633" s="4"/>
      <c r="CD7633" s="4"/>
      <c r="CF7633" s="4"/>
    </row>
    <row r="7634" spans="66:84">
      <c r="BN7634" s="4"/>
      <c r="BO7634" s="4"/>
      <c r="BQ7634" s="4"/>
      <c r="CC7634" s="4"/>
      <c r="CD7634" s="4"/>
      <c r="CF7634" s="4"/>
    </row>
    <row r="7635" spans="66:84">
      <c r="BN7635" s="4"/>
      <c r="BO7635" s="4"/>
      <c r="BQ7635" s="4"/>
      <c r="CC7635" s="4"/>
      <c r="CD7635" s="4"/>
      <c r="CF7635" s="4"/>
    </row>
    <row r="7636" spans="66:84">
      <c r="BN7636" s="4"/>
      <c r="BO7636" s="4"/>
      <c r="BQ7636" s="4"/>
      <c r="CC7636" s="4"/>
      <c r="CD7636" s="4"/>
      <c r="CF7636" s="4"/>
    </row>
    <row r="7637" spans="66:84">
      <c r="BN7637" s="4"/>
      <c r="BO7637" s="4"/>
      <c r="BQ7637" s="4"/>
      <c r="CC7637" s="4"/>
      <c r="CD7637" s="4"/>
      <c r="CF7637" s="4"/>
    </row>
    <row r="7638" spans="66:84">
      <c r="BN7638" s="4"/>
      <c r="BO7638" s="4"/>
      <c r="BQ7638" s="4"/>
      <c r="CC7638" s="4"/>
      <c r="CD7638" s="4"/>
      <c r="CF7638" s="4"/>
    </row>
    <row r="7639" spans="66:84">
      <c r="BN7639" s="4"/>
      <c r="BO7639" s="4"/>
      <c r="BQ7639" s="4"/>
      <c r="CC7639" s="4"/>
      <c r="CD7639" s="4"/>
      <c r="CF7639" s="4"/>
    </row>
    <row r="7640" spans="66:84">
      <c r="BN7640" s="4"/>
      <c r="BO7640" s="4"/>
      <c r="BQ7640" s="4"/>
      <c r="CC7640" s="4"/>
      <c r="CD7640" s="4"/>
      <c r="CF7640" s="4"/>
    </row>
    <row r="7641" spans="66:84">
      <c r="BN7641" s="4"/>
      <c r="BO7641" s="4"/>
      <c r="BQ7641" s="4"/>
      <c r="CC7641" s="4"/>
      <c r="CD7641" s="4"/>
      <c r="CF7641" s="4"/>
    </row>
    <row r="7642" spans="66:84">
      <c r="BN7642" s="4"/>
      <c r="BO7642" s="4"/>
      <c r="BQ7642" s="4"/>
      <c r="CC7642" s="4"/>
      <c r="CD7642" s="4"/>
      <c r="CF7642" s="4"/>
    </row>
    <row r="7643" spans="66:84">
      <c r="BN7643" s="4"/>
      <c r="BO7643" s="4"/>
      <c r="BQ7643" s="4"/>
      <c r="CC7643" s="4"/>
      <c r="CD7643" s="4"/>
      <c r="CF7643" s="4"/>
    </row>
    <row r="7644" spans="66:84">
      <c r="BN7644" s="4"/>
      <c r="BO7644" s="4"/>
      <c r="BQ7644" s="4"/>
      <c r="CC7644" s="4"/>
      <c r="CD7644" s="4"/>
      <c r="CF7644" s="4"/>
    </row>
    <row r="7645" spans="66:84">
      <c r="BN7645" s="4"/>
      <c r="BO7645" s="4"/>
      <c r="BQ7645" s="4"/>
      <c r="CC7645" s="4"/>
      <c r="CD7645" s="4"/>
      <c r="CF7645" s="4"/>
    </row>
    <row r="7646" spans="66:84">
      <c r="BN7646" s="4"/>
      <c r="BO7646" s="4"/>
      <c r="BQ7646" s="4"/>
      <c r="CC7646" s="4"/>
      <c r="CD7646" s="4"/>
      <c r="CF7646" s="4"/>
    </row>
    <row r="7647" spans="66:84">
      <c r="BN7647" s="4"/>
      <c r="BO7647" s="4"/>
      <c r="BQ7647" s="4"/>
      <c r="CC7647" s="4"/>
      <c r="CD7647" s="4"/>
      <c r="CF7647" s="4"/>
    </row>
    <row r="7648" spans="66:84">
      <c r="BN7648" s="4"/>
      <c r="BO7648" s="4"/>
      <c r="BQ7648" s="4"/>
      <c r="CC7648" s="4"/>
      <c r="CD7648" s="4"/>
      <c r="CF7648" s="4"/>
    </row>
    <row r="7649" spans="66:84">
      <c r="BN7649" s="4"/>
      <c r="BO7649" s="4"/>
      <c r="BQ7649" s="4"/>
      <c r="CC7649" s="4"/>
      <c r="CD7649" s="4"/>
      <c r="CF7649" s="4"/>
    </row>
    <row r="7650" spans="66:84">
      <c r="BN7650" s="4"/>
      <c r="BO7650" s="4"/>
      <c r="BQ7650" s="4"/>
      <c r="CC7650" s="4"/>
      <c r="CD7650" s="4"/>
      <c r="CF7650" s="4"/>
    </row>
    <row r="7651" spans="66:84">
      <c r="BN7651" s="4"/>
      <c r="BO7651" s="4"/>
      <c r="BQ7651" s="4"/>
      <c r="CC7651" s="4"/>
      <c r="CD7651" s="4"/>
      <c r="CF7651" s="4"/>
    </row>
    <row r="7652" spans="66:84">
      <c r="BN7652" s="4"/>
      <c r="BO7652" s="4"/>
      <c r="BQ7652" s="4"/>
      <c r="CC7652" s="4"/>
      <c r="CD7652" s="4"/>
      <c r="CF7652" s="4"/>
    </row>
    <row r="7653" spans="66:84">
      <c r="BN7653" s="4"/>
      <c r="BO7653" s="4"/>
      <c r="BQ7653" s="4"/>
      <c r="CC7653" s="4"/>
      <c r="CD7653" s="4"/>
      <c r="CF7653" s="4"/>
    </row>
    <row r="7654" spans="66:84">
      <c r="BN7654" s="4"/>
      <c r="BO7654" s="4"/>
      <c r="BQ7654" s="4"/>
      <c r="CC7654" s="4"/>
      <c r="CD7654" s="4"/>
      <c r="CF7654" s="4"/>
    </row>
    <row r="7655" spans="66:84">
      <c r="BN7655" s="4"/>
      <c r="BO7655" s="4"/>
      <c r="BQ7655" s="4"/>
      <c r="CC7655" s="4"/>
      <c r="CD7655" s="4"/>
      <c r="CF7655" s="4"/>
    </row>
    <row r="7656" spans="66:84">
      <c r="BN7656" s="4"/>
      <c r="BO7656" s="4"/>
      <c r="BQ7656" s="4"/>
      <c r="CC7656" s="4"/>
      <c r="CD7656" s="4"/>
      <c r="CF7656" s="4"/>
    </row>
    <row r="7657" spans="66:84">
      <c r="BN7657" s="4"/>
      <c r="BO7657" s="4"/>
      <c r="BQ7657" s="4"/>
      <c r="CC7657" s="4"/>
      <c r="CD7657" s="4"/>
      <c r="CF7657" s="4"/>
    </row>
    <row r="7658" spans="66:84">
      <c r="BN7658" s="4"/>
      <c r="BO7658" s="4"/>
      <c r="BQ7658" s="4"/>
      <c r="CC7658" s="4"/>
      <c r="CD7658" s="4"/>
      <c r="CF7658" s="4"/>
    </row>
    <row r="7659" spans="66:84">
      <c r="BN7659" s="4"/>
      <c r="BO7659" s="4"/>
      <c r="BQ7659" s="4"/>
      <c r="CC7659" s="4"/>
      <c r="CD7659" s="4"/>
      <c r="CF7659" s="4"/>
    </row>
    <row r="7660" spans="66:84">
      <c r="BN7660" s="4"/>
      <c r="BO7660" s="4"/>
      <c r="BQ7660" s="4"/>
      <c r="CC7660" s="4"/>
      <c r="CD7660" s="4"/>
      <c r="CF7660" s="4"/>
    </row>
    <row r="7661" spans="66:84">
      <c r="BN7661" s="4"/>
      <c r="BO7661" s="4"/>
      <c r="BQ7661" s="4"/>
      <c r="CC7661" s="4"/>
      <c r="CD7661" s="4"/>
      <c r="CF7661" s="4"/>
    </row>
    <row r="7662" spans="66:84">
      <c r="BN7662" s="4"/>
      <c r="BO7662" s="4"/>
      <c r="BQ7662" s="4"/>
      <c r="CC7662" s="4"/>
      <c r="CD7662" s="4"/>
      <c r="CF7662" s="4"/>
    </row>
    <row r="7663" spans="66:84">
      <c r="BN7663" s="4"/>
      <c r="BO7663" s="4"/>
      <c r="BQ7663" s="4"/>
      <c r="CC7663" s="4"/>
      <c r="CD7663" s="4"/>
      <c r="CF7663" s="4"/>
    </row>
    <row r="7664" spans="66:84">
      <c r="BN7664" s="4"/>
      <c r="BO7664" s="4"/>
      <c r="BQ7664" s="4"/>
      <c r="CC7664" s="4"/>
      <c r="CD7664" s="4"/>
      <c r="CF7664" s="4"/>
    </row>
    <row r="7665" spans="66:84">
      <c r="BN7665" s="4"/>
      <c r="BO7665" s="4"/>
      <c r="BQ7665" s="4"/>
      <c r="CC7665" s="4"/>
      <c r="CD7665" s="4"/>
      <c r="CF7665" s="4"/>
    </row>
    <row r="7666" spans="66:84">
      <c r="BN7666" s="4"/>
      <c r="BO7666" s="4"/>
      <c r="BQ7666" s="4"/>
      <c r="CC7666" s="4"/>
      <c r="CD7666" s="4"/>
      <c r="CF7666" s="4"/>
    </row>
    <row r="7667" spans="66:84">
      <c r="BN7667" s="4"/>
      <c r="BO7667" s="4"/>
      <c r="BQ7667" s="4"/>
      <c r="CC7667" s="4"/>
      <c r="CD7667" s="4"/>
      <c r="CF7667" s="4"/>
    </row>
    <row r="7668" spans="66:84">
      <c r="BN7668" s="4"/>
      <c r="BO7668" s="4"/>
      <c r="BQ7668" s="4"/>
      <c r="CC7668" s="4"/>
      <c r="CD7668" s="4"/>
      <c r="CF7668" s="4"/>
    </row>
    <row r="7669" spans="66:84">
      <c r="BN7669" s="4"/>
      <c r="BO7669" s="4"/>
      <c r="BQ7669" s="4"/>
      <c r="CC7669" s="4"/>
      <c r="CD7669" s="4"/>
      <c r="CF7669" s="4"/>
    </row>
    <row r="7670" spans="66:84">
      <c r="BN7670" s="4"/>
      <c r="BO7670" s="4"/>
      <c r="BQ7670" s="4"/>
      <c r="CC7670" s="4"/>
      <c r="CD7670" s="4"/>
      <c r="CF7670" s="4"/>
    </row>
    <row r="7671" spans="66:84">
      <c r="BN7671" s="4"/>
      <c r="BO7671" s="4"/>
      <c r="BQ7671" s="4"/>
      <c r="CC7671" s="4"/>
      <c r="CD7671" s="4"/>
      <c r="CF7671" s="4"/>
    </row>
    <row r="7672" spans="66:84">
      <c r="BN7672" s="4"/>
      <c r="BO7672" s="4"/>
      <c r="BQ7672" s="4"/>
      <c r="CC7672" s="4"/>
      <c r="CD7672" s="4"/>
      <c r="CF7672" s="4"/>
    </row>
    <row r="7673" spans="66:84">
      <c r="BN7673" s="4"/>
      <c r="BO7673" s="4"/>
      <c r="BQ7673" s="4"/>
      <c r="CC7673" s="4"/>
      <c r="CD7673" s="4"/>
      <c r="CF7673" s="4"/>
    </row>
    <row r="7674" spans="66:84">
      <c r="BN7674" s="4"/>
      <c r="BO7674" s="4"/>
      <c r="BQ7674" s="4"/>
      <c r="CC7674" s="4"/>
      <c r="CD7674" s="4"/>
      <c r="CF7674" s="4"/>
    </row>
    <row r="7675" spans="66:84">
      <c r="BN7675" s="4"/>
      <c r="BO7675" s="4"/>
      <c r="BQ7675" s="4"/>
      <c r="CC7675" s="4"/>
      <c r="CD7675" s="4"/>
      <c r="CF7675" s="4"/>
    </row>
    <row r="7676" spans="66:84">
      <c r="BN7676" s="4"/>
      <c r="BO7676" s="4"/>
      <c r="BQ7676" s="4"/>
      <c r="CC7676" s="4"/>
      <c r="CD7676" s="4"/>
      <c r="CF7676" s="4"/>
    </row>
    <row r="7677" spans="66:84">
      <c r="BN7677" s="4"/>
      <c r="BO7677" s="4"/>
      <c r="BQ7677" s="4"/>
      <c r="CC7677" s="4"/>
      <c r="CD7677" s="4"/>
      <c r="CF7677" s="4"/>
    </row>
    <row r="7678" spans="66:84">
      <c r="BN7678" s="4"/>
      <c r="BO7678" s="4"/>
      <c r="BQ7678" s="4"/>
      <c r="CC7678" s="4"/>
      <c r="CD7678" s="4"/>
      <c r="CF7678" s="4"/>
    </row>
    <row r="7679" spans="66:84">
      <c r="BN7679" s="4"/>
      <c r="BO7679" s="4"/>
      <c r="BQ7679" s="4"/>
      <c r="CC7679" s="4"/>
      <c r="CD7679" s="4"/>
      <c r="CF7679" s="4"/>
    </row>
    <row r="7680" spans="66:84">
      <c r="BN7680" s="4"/>
      <c r="BO7680" s="4"/>
      <c r="BQ7680" s="4"/>
      <c r="CC7680" s="4"/>
      <c r="CD7680" s="4"/>
      <c r="CF7680" s="4"/>
    </row>
    <row r="7681" spans="66:84">
      <c r="BN7681" s="4"/>
      <c r="BO7681" s="4"/>
      <c r="BQ7681" s="4"/>
      <c r="CC7681" s="4"/>
      <c r="CD7681" s="4"/>
      <c r="CF7681" s="4"/>
    </row>
    <row r="7682" spans="66:84">
      <c r="BN7682" s="4"/>
      <c r="BO7682" s="4"/>
      <c r="BQ7682" s="4"/>
      <c r="CC7682" s="4"/>
      <c r="CD7682" s="4"/>
      <c r="CF7682" s="4"/>
    </row>
    <row r="7683" spans="66:84">
      <c r="BN7683" s="4"/>
      <c r="BO7683" s="4"/>
      <c r="BQ7683" s="4"/>
      <c r="CC7683" s="4"/>
      <c r="CD7683" s="4"/>
      <c r="CF7683" s="4"/>
    </row>
    <row r="7684" spans="66:84">
      <c r="BN7684" s="4"/>
      <c r="BO7684" s="4"/>
      <c r="BQ7684" s="4"/>
      <c r="CC7684" s="4"/>
      <c r="CD7684" s="4"/>
      <c r="CF7684" s="4"/>
    </row>
    <row r="7685" spans="66:84">
      <c r="BN7685" s="4"/>
      <c r="BO7685" s="4"/>
      <c r="BQ7685" s="4"/>
      <c r="CC7685" s="4"/>
      <c r="CD7685" s="4"/>
      <c r="CF7685" s="4"/>
    </row>
    <row r="7686" spans="66:84">
      <c r="BN7686" s="4"/>
      <c r="BO7686" s="4"/>
      <c r="BQ7686" s="4"/>
      <c r="CC7686" s="4"/>
      <c r="CD7686" s="4"/>
      <c r="CF7686" s="4"/>
    </row>
    <row r="7687" spans="66:84">
      <c r="BN7687" s="4"/>
      <c r="BO7687" s="4"/>
      <c r="BQ7687" s="4"/>
      <c r="CC7687" s="4"/>
      <c r="CD7687" s="4"/>
      <c r="CF7687" s="4"/>
    </row>
    <row r="7688" spans="66:84">
      <c r="BN7688" s="4"/>
      <c r="BO7688" s="4"/>
      <c r="BQ7688" s="4"/>
      <c r="CC7688" s="4"/>
      <c r="CD7688" s="4"/>
      <c r="CF7688" s="4"/>
    </row>
    <row r="7689" spans="66:84">
      <c r="BN7689" s="4"/>
      <c r="BO7689" s="4"/>
      <c r="BQ7689" s="4"/>
      <c r="CC7689" s="4"/>
      <c r="CD7689" s="4"/>
      <c r="CF7689" s="4"/>
    </row>
    <row r="7690" spans="66:84">
      <c r="BN7690" s="4"/>
      <c r="BO7690" s="4"/>
      <c r="BQ7690" s="4"/>
      <c r="CC7690" s="4"/>
      <c r="CD7690" s="4"/>
      <c r="CF7690" s="4"/>
    </row>
    <row r="7691" spans="66:84">
      <c r="BN7691" s="4"/>
      <c r="BO7691" s="4"/>
      <c r="BQ7691" s="4"/>
      <c r="CC7691" s="4"/>
      <c r="CD7691" s="4"/>
      <c r="CF7691" s="4"/>
    </row>
    <row r="7692" spans="66:84">
      <c r="BN7692" s="4"/>
      <c r="BO7692" s="4"/>
      <c r="BQ7692" s="4"/>
      <c r="CC7692" s="4"/>
      <c r="CD7692" s="4"/>
      <c r="CF7692" s="4"/>
    </row>
    <row r="7693" spans="66:84">
      <c r="BN7693" s="4"/>
      <c r="BO7693" s="4"/>
      <c r="BQ7693" s="4"/>
      <c r="CC7693" s="4"/>
      <c r="CD7693" s="4"/>
      <c r="CF7693" s="4"/>
    </row>
    <row r="7694" spans="66:84">
      <c r="BN7694" s="4"/>
      <c r="BO7694" s="4"/>
      <c r="BQ7694" s="4"/>
      <c r="CC7694" s="4"/>
      <c r="CD7694" s="4"/>
      <c r="CF7694" s="4"/>
    </row>
    <row r="7695" spans="66:84">
      <c r="BN7695" s="4"/>
      <c r="BO7695" s="4"/>
      <c r="BQ7695" s="4"/>
      <c r="CC7695" s="4"/>
      <c r="CD7695" s="4"/>
      <c r="CF7695" s="4"/>
    </row>
    <row r="7696" spans="66:84">
      <c r="BN7696" s="4"/>
      <c r="BO7696" s="4"/>
      <c r="BQ7696" s="4"/>
      <c r="CC7696" s="4"/>
      <c r="CD7696" s="4"/>
      <c r="CF7696" s="4"/>
    </row>
    <row r="7697" spans="66:84">
      <c r="BN7697" s="4"/>
      <c r="BO7697" s="4"/>
      <c r="BQ7697" s="4"/>
      <c r="CC7697" s="4"/>
      <c r="CD7697" s="4"/>
      <c r="CF7697" s="4"/>
    </row>
    <row r="7698" spans="66:84">
      <c r="BN7698" s="4"/>
      <c r="BO7698" s="4"/>
      <c r="BQ7698" s="4"/>
      <c r="CC7698" s="4"/>
      <c r="CD7698" s="4"/>
      <c r="CF7698" s="4"/>
    </row>
    <row r="7699" spans="66:84">
      <c r="BN7699" s="4"/>
      <c r="BO7699" s="4"/>
      <c r="BQ7699" s="4"/>
      <c r="CC7699" s="4"/>
      <c r="CD7699" s="4"/>
      <c r="CF7699" s="4"/>
    </row>
    <row r="7700" spans="66:84">
      <c r="BN7700" s="4"/>
      <c r="BO7700" s="4"/>
      <c r="BQ7700" s="4"/>
      <c r="CC7700" s="4"/>
      <c r="CD7700" s="4"/>
      <c r="CF7700" s="4"/>
    </row>
    <row r="7701" spans="66:84">
      <c r="BN7701" s="4"/>
      <c r="BO7701" s="4"/>
      <c r="BQ7701" s="4"/>
      <c r="CC7701" s="4"/>
      <c r="CD7701" s="4"/>
      <c r="CF7701" s="4"/>
    </row>
    <row r="7702" spans="66:84">
      <c r="BN7702" s="4"/>
      <c r="BO7702" s="4"/>
      <c r="BQ7702" s="4"/>
      <c r="CC7702" s="4"/>
      <c r="CD7702" s="4"/>
      <c r="CF7702" s="4"/>
    </row>
    <row r="7703" spans="66:84">
      <c r="BN7703" s="4"/>
      <c r="BO7703" s="4"/>
      <c r="BQ7703" s="4"/>
      <c r="CC7703" s="4"/>
      <c r="CD7703" s="4"/>
      <c r="CF7703" s="4"/>
    </row>
    <row r="7704" spans="66:84">
      <c r="BN7704" s="4"/>
      <c r="BO7704" s="4"/>
      <c r="BQ7704" s="4"/>
      <c r="CC7704" s="4"/>
      <c r="CD7704" s="4"/>
      <c r="CF7704" s="4"/>
    </row>
    <row r="7705" spans="66:84">
      <c r="BN7705" s="4"/>
      <c r="BO7705" s="4"/>
      <c r="BQ7705" s="4"/>
      <c r="CC7705" s="4"/>
      <c r="CD7705" s="4"/>
      <c r="CF7705" s="4"/>
    </row>
    <row r="7706" spans="66:84">
      <c r="BN7706" s="4"/>
      <c r="BO7706" s="4"/>
      <c r="BQ7706" s="4"/>
      <c r="CC7706" s="4"/>
      <c r="CD7706" s="4"/>
      <c r="CF7706" s="4"/>
    </row>
    <row r="7707" spans="66:84">
      <c r="BN7707" s="4"/>
      <c r="BO7707" s="4"/>
      <c r="BQ7707" s="4"/>
      <c r="CC7707" s="4"/>
      <c r="CD7707" s="4"/>
      <c r="CF7707" s="4"/>
    </row>
    <row r="7708" spans="66:84">
      <c r="BN7708" s="4"/>
      <c r="BO7708" s="4"/>
      <c r="BQ7708" s="4"/>
      <c r="CC7708" s="4"/>
      <c r="CD7708" s="4"/>
      <c r="CF7708" s="4"/>
    </row>
    <row r="7709" spans="66:84">
      <c r="BN7709" s="4"/>
      <c r="BO7709" s="4"/>
      <c r="BQ7709" s="4"/>
      <c r="CC7709" s="4"/>
      <c r="CD7709" s="4"/>
      <c r="CF7709" s="4"/>
    </row>
    <row r="7710" spans="66:84">
      <c r="BN7710" s="4"/>
      <c r="BO7710" s="4"/>
      <c r="BQ7710" s="4"/>
      <c r="CC7710" s="4"/>
      <c r="CD7710" s="4"/>
      <c r="CF7710" s="4"/>
    </row>
    <row r="7711" spans="66:84">
      <c r="BN7711" s="4"/>
      <c r="BO7711" s="4"/>
      <c r="BQ7711" s="4"/>
      <c r="CC7711" s="4"/>
      <c r="CD7711" s="4"/>
      <c r="CF7711" s="4"/>
    </row>
    <row r="7712" spans="66:84">
      <c r="BN7712" s="4"/>
      <c r="BO7712" s="4"/>
      <c r="BQ7712" s="4"/>
      <c r="CC7712" s="4"/>
      <c r="CD7712" s="4"/>
      <c r="CF7712" s="4"/>
    </row>
    <row r="7713" spans="66:84">
      <c r="BN7713" s="4"/>
      <c r="BO7713" s="4"/>
      <c r="BQ7713" s="4"/>
      <c r="CC7713" s="4"/>
      <c r="CD7713" s="4"/>
      <c r="CF7713" s="4"/>
    </row>
    <row r="7714" spans="66:84">
      <c r="BN7714" s="4"/>
      <c r="BO7714" s="4"/>
      <c r="BQ7714" s="4"/>
      <c r="CC7714" s="4"/>
      <c r="CD7714" s="4"/>
      <c r="CF7714" s="4"/>
    </row>
    <row r="7715" spans="66:84">
      <c r="BN7715" s="4"/>
      <c r="BO7715" s="4"/>
      <c r="BQ7715" s="4"/>
      <c r="CC7715" s="4"/>
      <c r="CD7715" s="4"/>
      <c r="CF7715" s="4"/>
    </row>
    <row r="7716" spans="66:84">
      <c r="BN7716" s="4"/>
      <c r="BO7716" s="4"/>
      <c r="BQ7716" s="4"/>
      <c r="CC7716" s="4"/>
      <c r="CD7716" s="4"/>
      <c r="CF7716" s="4"/>
    </row>
    <row r="7717" spans="66:84">
      <c r="BN7717" s="4"/>
      <c r="BO7717" s="4"/>
      <c r="BQ7717" s="4"/>
      <c r="CC7717" s="4"/>
      <c r="CD7717" s="4"/>
      <c r="CF7717" s="4"/>
    </row>
    <row r="7718" spans="66:84">
      <c r="BN7718" s="4"/>
      <c r="BO7718" s="4"/>
      <c r="BQ7718" s="4"/>
      <c r="CC7718" s="4"/>
      <c r="CD7718" s="4"/>
      <c r="CF7718" s="4"/>
    </row>
    <row r="7719" spans="66:84">
      <c r="BN7719" s="4"/>
      <c r="BO7719" s="4"/>
      <c r="BQ7719" s="4"/>
      <c r="CC7719" s="4"/>
      <c r="CD7719" s="4"/>
      <c r="CF7719" s="4"/>
    </row>
    <row r="7720" spans="66:84">
      <c r="BN7720" s="4"/>
      <c r="BO7720" s="4"/>
      <c r="BQ7720" s="4"/>
      <c r="CC7720" s="4"/>
      <c r="CD7720" s="4"/>
      <c r="CF7720" s="4"/>
    </row>
    <row r="7721" spans="66:84">
      <c r="BN7721" s="4"/>
      <c r="BO7721" s="4"/>
      <c r="BQ7721" s="4"/>
      <c r="CC7721" s="4"/>
      <c r="CD7721" s="4"/>
      <c r="CF7721" s="4"/>
    </row>
    <row r="7722" spans="66:84">
      <c r="BN7722" s="4"/>
      <c r="BO7722" s="4"/>
      <c r="BQ7722" s="4"/>
      <c r="CC7722" s="4"/>
      <c r="CD7722" s="4"/>
      <c r="CF7722" s="4"/>
    </row>
    <row r="7723" spans="66:84">
      <c r="BN7723" s="4"/>
      <c r="BO7723" s="4"/>
      <c r="BQ7723" s="4"/>
      <c r="CC7723" s="4"/>
      <c r="CD7723" s="4"/>
      <c r="CF7723" s="4"/>
    </row>
    <row r="7724" spans="66:84">
      <c r="BN7724" s="4"/>
      <c r="BO7724" s="4"/>
      <c r="BQ7724" s="4"/>
      <c r="CC7724" s="4"/>
      <c r="CD7724" s="4"/>
      <c r="CF7724" s="4"/>
    </row>
    <row r="7725" spans="66:84">
      <c r="BN7725" s="4"/>
      <c r="BO7725" s="4"/>
      <c r="BQ7725" s="4"/>
      <c r="CC7725" s="4"/>
      <c r="CD7725" s="4"/>
      <c r="CF7725" s="4"/>
    </row>
    <row r="7726" spans="66:84">
      <c r="BN7726" s="4"/>
      <c r="BO7726" s="4"/>
      <c r="BQ7726" s="4"/>
      <c r="CC7726" s="4"/>
      <c r="CD7726" s="4"/>
      <c r="CF7726" s="4"/>
    </row>
    <row r="7727" spans="66:84">
      <c r="BN7727" s="4"/>
      <c r="BO7727" s="4"/>
      <c r="BQ7727" s="4"/>
      <c r="CC7727" s="4"/>
      <c r="CD7727" s="4"/>
      <c r="CF7727" s="4"/>
    </row>
    <row r="7728" spans="66:84">
      <c r="BN7728" s="4"/>
      <c r="BO7728" s="4"/>
      <c r="BQ7728" s="4"/>
      <c r="CC7728" s="4"/>
      <c r="CD7728" s="4"/>
      <c r="CF7728" s="4"/>
    </row>
    <row r="7729" spans="66:84">
      <c r="BN7729" s="4"/>
      <c r="BO7729" s="4"/>
      <c r="BQ7729" s="4"/>
      <c r="CC7729" s="4"/>
      <c r="CD7729" s="4"/>
      <c r="CF7729" s="4"/>
    </row>
    <row r="7730" spans="66:84">
      <c r="BN7730" s="4"/>
      <c r="BO7730" s="4"/>
      <c r="BQ7730" s="4"/>
      <c r="CC7730" s="4"/>
      <c r="CD7730" s="4"/>
      <c r="CF7730" s="4"/>
    </row>
    <row r="7731" spans="66:84">
      <c r="BN7731" s="4"/>
      <c r="BO7731" s="4"/>
      <c r="BQ7731" s="4"/>
      <c r="CC7731" s="4"/>
      <c r="CD7731" s="4"/>
      <c r="CF7731" s="4"/>
    </row>
    <row r="7732" spans="66:84">
      <c r="BN7732" s="4"/>
      <c r="BO7732" s="4"/>
      <c r="BQ7732" s="4"/>
      <c r="CC7732" s="4"/>
      <c r="CD7732" s="4"/>
      <c r="CF7732" s="4"/>
    </row>
    <row r="7733" spans="66:84">
      <c r="BN7733" s="4"/>
      <c r="BO7733" s="4"/>
      <c r="BQ7733" s="4"/>
      <c r="CC7733" s="4"/>
      <c r="CD7733" s="4"/>
      <c r="CF7733" s="4"/>
    </row>
    <row r="7734" spans="66:84">
      <c r="BN7734" s="4"/>
      <c r="BO7734" s="4"/>
      <c r="BQ7734" s="4"/>
      <c r="CC7734" s="4"/>
      <c r="CD7734" s="4"/>
      <c r="CF7734" s="4"/>
    </row>
    <row r="7735" spans="66:84">
      <c r="BN7735" s="4"/>
      <c r="BO7735" s="4"/>
      <c r="BQ7735" s="4"/>
      <c r="CC7735" s="4"/>
      <c r="CD7735" s="4"/>
      <c r="CF7735" s="4"/>
    </row>
    <row r="7736" spans="66:84">
      <c r="BN7736" s="4"/>
      <c r="BO7736" s="4"/>
      <c r="BQ7736" s="4"/>
      <c r="CC7736" s="4"/>
      <c r="CD7736" s="4"/>
      <c r="CF7736" s="4"/>
    </row>
    <row r="7737" spans="66:84">
      <c r="BN7737" s="4"/>
      <c r="BO7737" s="4"/>
      <c r="BQ7737" s="4"/>
      <c r="CC7737" s="4"/>
      <c r="CD7737" s="4"/>
      <c r="CF7737" s="4"/>
    </row>
    <row r="7738" spans="66:84">
      <c r="BN7738" s="4"/>
      <c r="BO7738" s="4"/>
      <c r="BQ7738" s="4"/>
      <c r="CC7738" s="4"/>
      <c r="CD7738" s="4"/>
      <c r="CF7738" s="4"/>
    </row>
    <row r="7739" spans="66:84">
      <c r="BN7739" s="4"/>
      <c r="BO7739" s="4"/>
      <c r="BQ7739" s="4"/>
      <c r="CC7739" s="4"/>
      <c r="CD7739" s="4"/>
      <c r="CF7739" s="4"/>
    </row>
    <row r="7740" spans="66:84">
      <c r="BN7740" s="4"/>
      <c r="BO7740" s="4"/>
      <c r="BQ7740" s="4"/>
      <c r="CC7740" s="4"/>
      <c r="CD7740" s="4"/>
      <c r="CF7740" s="4"/>
    </row>
    <row r="7741" spans="66:84">
      <c r="BN7741" s="4"/>
      <c r="BO7741" s="4"/>
      <c r="BQ7741" s="4"/>
      <c r="CC7741" s="4"/>
      <c r="CD7741" s="4"/>
      <c r="CF7741" s="4"/>
    </row>
    <row r="7742" spans="66:84">
      <c r="BN7742" s="4"/>
      <c r="BO7742" s="4"/>
      <c r="BQ7742" s="4"/>
      <c r="CC7742" s="4"/>
      <c r="CD7742" s="4"/>
      <c r="CF7742" s="4"/>
    </row>
    <row r="7743" spans="66:84">
      <c r="BN7743" s="4"/>
      <c r="BO7743" s="4"/>
      <c r="BQ7743" s="4"/>
      <c r="CC7743" s="4"/>
      <c r="CD7743" s="4"/>
      <c r="CF7743" s="4"/>
    </row>
    <row r="7744" spans="66:84">
      <c r="BN7744" s="4"/>
      <c r="BO7744" s="4"/>
      <c r="BQ7744" s="4"/>
      <c r="CC7744" s="4"/>
      <c r="CD7744" s="4"/>
      <c r="CF7744" s="4"/>
    </row>
    <row r="7745" spans="66:84">
      <c r="BN7745" s="4"/>
      <c r="BO7745" s="4"/>
      <c r="BQ7745" s="4"/>
      <c r="CC7745" s="4"/>
      <c r="CD7745" s="4"/>
      <c r="CF7745" s="4"/>
    </row>
    <row r="7746" spans="66:84">
      <c r="BN7746" s="4"/>
      <c r="BO7746" s="4"/>
      <c r="BQ7746" s="4"/>
      <c r="CC7746" s="4"/>
      <c r="CD7746" s="4"/>
      <c r="CF7746" s="4"/>
    </row>
    <row r="7747" spans="66:84">
      <c r="BN7747" s="4"/>
      <c r="BO7747" s="4"/>
      <c r="BQ7747" s="4"/>
      <c r="CC7747" s="4"/>
      <c r="CD7747" s="4"/>
      <c r="CF7747" s="4"/>
    </row>
    <row r="7748" spans="66:84">
      <c r="BN7748" s="4"/>
      <c r="BO7748" s="4"/>
      <c r="BQ7748" s="4"/>
      <c r="CC7748" s="4"/>
      <c r="CD7748" s="4"/>
      <c r="CF7748" s="4"/>
    </row>
    <row r="7749" spans="66:84">
      <c r="BN7749" s="4"/>
      <c r="BO7749" s="4"/>
      <c r="BQ7749" s="4"/>
      <c r="CC7749" s="4"/>
      <c r="CD7749" s="4"/>
      <c r="CF7749" s="4"/>
    </row>
    <row r="7750" spans="66:84">
      <c r="BN7750" s="4"/>
      <c r="BO7750" s="4"/>
      <c r="BQ7750" s="4"/>
      <c r="CC7750" s="4"/>
      <c r="CD7750" s="4"/>
      <c r="CF7750" s="4"/>
    </row>
    <row r="7751" spans="66:84">
      <c r="BN7751" s="4"/>
      <c r="BO7751" s="4"/>
      <c r="BQ7751" s="4"/>
      <c r="CC7751" s="4"/>
      <c r="CD7751" s="4"/>
      <c r="CF7751" s="4"/>
    </row>
    <row r="7752" spans="66:84">
      <c r="BN7752" s="4"/>
      <c r="BO7752" s="4"/>
      <c r="BQ7752" s="4"/>
      <c r="CC7752" s="4"/>
      <c r="CD7752" s="4"/>
      <c r="CF7752" s="4"/>
    </row>
    <row r="7753" spans="66:84">
      <c r="BN7753" s="4"/>
      <c r="BO7753" s="4"/>
      <c r="BQ7753" s="4"/>
      <c r="CC7753" s="4"/>
      <c r="CD7753" s="4"/>
      <c r="CF7753" s="4"/>
    </row>
    <row r="7754" spans="66:84">
      <c r="BN7754" s="4"/>
      <c r="BO7754" s="4"/>
      <c r="BQ7754" s="4"/>
      <c r="CC7754" s="4"/>
      <c r="CD7754" s="4"/>
      <c r="CF7754" s="4"/>
    </row>
    <row r="7755" spans="66:84">
      <c r="BN7755" s="4"/>
      <c r="BO7755" s="4"/>
      <c r="BQ7755" s="4"/>
      <c r="CC7755" s="4"/>
      <c r="CD7755" s="4"/>
      <c r="CF7755" s="4"/>
    </row>
    <row r="7756" spans="66:84">
      <c r="BN7756" s="4"/>
      <c r="BO7756" s="4"/>
      <c r="BQ7756" s="4"/>
      <c r="CC7756" s="4"/>
      <c r="CD7756" s="4"/>
      <c r="CF7756" s="4"/>
    </row>
    <row r="7757" spans="66:84">
      <c r="BN7757" s="4"/>
      <c r="BO7757" s="4"/>
      <c r="BQ7757" s="4"/>
      <c r="CC7757" s="4"/>
      <c r="CD7757" s="4"/>
      <c r="CF7757" s="4"/>
    </row>
    <row r="7758" spans="66:84">
      <c r="BN7758" s="4"/>
      <c r="BO7758" s="4"/>
      <c r="BQ7758" s="4"/>
      <c r="CC7758" s="4"/>
      <c r="CD7758" s="4"/>
      <c r="CF7758" s="4"/>
    </row>
    <row r="7759" spans="66:84">
      <c r="BN7759" s="4"/>
      <c r="BO7759" s="4"/>
      <c r="BQ7759" s="4"/>
      <c r="CC7759" s="4"/>
      <c r="CD7759" s="4"/>
      <c r="CF7759" s="4"/>
    </row>
    <row r="7760" spans="66:84">
      <c r="BN7760" s="4"/>
      <c r="BO7760" s="4"/>
      <c r="BQ7760" s="4"/>
      <c r="CC7760" s="4"/>
      <c r="CD7760" s="4"/>
      <c r="CF7760" s="4"/>
    </row>
    <row r="7761" spans="66:84">
      <c r="BN7761" s="4"/>
      <c r="BO7761" s="4"/>
      <c r="BQ7761" s="4"/>
      <c r="CC7761" s="4"/>
      <c r="CD7761" s="4"/>
      <c r="CF7761" s="4"/>
    </row>
    <row r="7762" spans="66:84">
      <c r="BN7762" s="4"/>
      <c r="BO7762" s="4"/>
      <c r="BQ7762" s="4"/>
      <c r="CC7762" s="4"/>
      <c r="CD7762" s="4"/>
      <c r="CF7762" s="4"/>
    </row>
    <row r="7763" spans="66:84">
      <c r="BN7763" s="4"/>
      <c r="BO7763" s="4"/>
      <c r="BQ7763" s="4"/>
      <c r="CC7763" s="4"/>
      <c r="CD7763" s="4"/>
      <c r="CF7763" s="4"/>
    </row>
    <row r="7764" spans="66:84">
      <c r="BN7764" s="4"/>
      <c r="BO7764" s="4"/>
      <c r="BQ7764" s="4"/>
      <c r="CC7764" s="4"/>
      <c r="CD7764" s="4"/>
      <c r="CF7764" s="4"/>
    </row>
    <row r="7765" spans="66:84">
      <c r="BN7765" s="4"/>
      <c r="BO7765" s="4"/>
      <c r="BQ7765" s="4"/>
      <c r="CC7765" s="4"/>
      <c r="CD7765" s="4"/>
      <c r="CF7765" s="4"/>
    </row>
    <row r="7766" spans="66:84">
      <c r="BN7766" s="4"/>
      <c r="BO7766" s="4"/>
      <c r="BQ7766" s="4"/>
      <c r="CC7766" s="4"/>
      <c r="CD7766" s="4"/>
      <c r="CF7766" s="4"/>
    </row>
    <row r="7767" spans="66:84">
      <c r="BN7767" s="4"/>
      <c r="BO7767" s="4"/>
      <c r="BQ7767" s="4"/>
      <c r="CC7767" s="4"/>
      <c r="CD7767" s="4"/>
      <c r="CF7767" s="4"/>
    </row>
    <row r="7768" spans="66:84">
      <c r="BN7768" s="4"/>
      <c r="BO7768" s="4"/>
      <c r="BQ7768" s="4"/>
      <c r="CC7768" s="4"/>
      <c r="CD7768" s="4"/>
      <c r="CF7768" s="4"/>
    </row>
    <row r="7769" spans="66:84">
      <c r="BN7769" s="4"/>
      <c r="BO7769" s="4"/>
      <c r="BQ7769" s="4"/>
      <c r="CC7769" s="4"/>
      <c r="CD7769" s="4"/>
      <c r="CF7769" s="4"/>
    </row>
    <row r="7770" spans="66:84">
      <c r="BN7770" s="4"/>
      <c r="BO7770" s="4"/>
      <c r="BQ7770" s="4"/>
      <c r="CC7770" s="4"/>
      <c r="CD7770" s="4"/>
      <c r="CF7770" s="4"/>
    </row>
    <row r="7771" spans="66:84">
      <c r="BN7771" s="4"/>
      <c r="BO7771" s="4"/>
      <c r="BQ7771" s="4"/>
      <c r="CC7771" s="4"/>
      <c r="CD7771" s="4"/>
      <c r="CF7771" s="4"/>
    </row>
    <row r="7772" spans="66:84">
      <c r="BN7772" s="4"/>
      <c r="BO7772" s="4"/>
      <c r="BQ7772" s="4"/>
      <c r="CC7772" s="4"/>
      <c r="CD7772" s="4"/>
      <c r="CF7772" s="4"/>
    </row>
    <row r="7773" spans="66:84">
      <c r="BN7773" s="4"/>
      <c r="BO7773" s="4"/>
      <c r="BQ7773" s="4"/>
      <c r="CC7773" s="4"/>
      <c r="CD7773" s="4"/>
      <c r="CF7773" s="4"/>
    </row>
    <row r="7774" spans="66:84">
      <c r="BN7774" s="4"/>
      <c r="BO7774" s="4"/>
      <c r="BQ7774" s="4"/>
      <c r="CC7774" s="4"/>
      <c r="CD7774" s="4"/>
      <c r="CF7774" s="4"/>
    </row>
    <row r="7775" spans="66:84">
      <c r="BN7775" s="4"/>
      <c r="BO7775" s="4"/>
      <c r="BQ7775" s="4"/>
      <c r="CC7775" s="4"/>
      <c r="CD7775" s="4"/>
      <c r="CF7775" s="4"/>
    </row>
    <row r="7776" spans="66:84">
      <c r="BN7776" s="4"/>
      <c r="BO7776" s="4"/>
      <c r="BQ7776" s="4"/>
      <c r="CC7776" s="4"/>
      <c r="CD7776" s="4"/>
      <c r="CF7776" s="4"/>
    </row>
    <row r="7777" spans="66:84">
      <c r="BN7777" s="4"/>
      <c r="BO7777" s="4"/>
      <c r="BQ7777" s="4"/>
      <c r="CC7777" s="4"/>
      <c r="CD7777" s="4"/>
      <c r="CF7777" s="4"/>
    </row>
    <row r="7778" spans="66:84">
      <c r="BN7778" s="4"/>
      <c r="BO7778" s="4"/>
      <c r="BQ7778" s="4"/>
      <c r="CC7778" s="4"/>
      <c r="CD7778" s="4"/>
      <c r="CF7778" s="4"/>
    </row>
    <row r="7779" spans="66:84">
      <c r="BN7779" s="4"/>
      <c r="BO7779" s="4"/>
      <c r="BQ7779" s="4"/>
      <c r="CC7779" s="4"/>
      <c r="CD7779" s="4"/>
      <c r="CF7779" s="4"/>
    </row>
    <row r="7780" spans="66:84">
      <c r="BN7780" s="4"/>
      <c r="BO7780" s="4"/>
      <c r="BQ7780" s="4"/>
      <c r="CC7780" s="4"/>
      <c r="CD7780" s="4"/>
      <c r="CF7780" s="4"/>
    </row>
    <row r="7781" spans="66:84">
      <c r="BN7781" s="4"/>
      <c r="BO7781" s="4"/>
      <c r="BQ7781" s="4"/>
      <c r="CC7781" s="4"/>
      <c r="CD7781" s="4"/>
      <c r="CF7781" s="4"/>
    </row>
    <row r="7782" spans="66:84">
      <c r="BN7782" s="4"/>
      <c r="BO7782" s="4"/>
      <c r="BQ7782" s="4"/>
      <c r="CC7782" s="4"/>
      <c r="CD7782" s="4"/>
      <c r="CF7782" s="4"/>
    </row>
    <row r="7783" spans="66:84">
      <c r="BN7783" s="4"/>
      <c r="BO7783" s="4"/>
      <c r="BQ7783" s="4"/>
      <c r="CC7783" s="4"/>
      <c r="CD7783" s="4"/>
      <c r="CF7783" s="4"/>
    </row>
    <row r="7784" spans="66:84">
      <c r="BN7784" s="4"/>
      <c r="BO7784" s="4"/>
      <c r="BQ7784" s="4"/>
      <c r="CC7784" s="4"/>
      <c r="CD7784" s="4"/>
      <c r="CF7784" s="4"/>
    </row>
    <row r="7785" spans="66:84">
      <c r="BN7785" s="4"/>
      <c r="BO7785" s="4"/>
      <c r="BQ7785" s="4"/>
      <c r="CC7785" s="4"/>
      <c r="CD7785" s="4"/>
      <c r="CF7785" s="4"/>
    </row>
    <row r="7786" spans="66:84">
      <c r="BN7786" s="4"/>
      <c r="BO7786" s="4"/>
      <c r="BQ7786" s="4"/>
      <c r="CC7786" s="4"/>
      <c r="CD7786" s="4"/>
      <c r="CF7786" s="4"/>
    </row>
    <row r="7787" spans="66:84">
      <c r="BN7787" s="4"/>
      <c r="BO7787" s="4"/>
      <c r="BQ7787" s="4"/>
      <c r="CC7787" s="4"/>
      <c r="CD7787" s="4"/>
      <c r="CF7787" s="4"/>
    </row>
    <row r="7788" spans="66:84">
      <c r="BN7788" s="4"/>
      <c r="BO7788" s="4"/>
      <c r="BQ7788" s="4"/>
      <c r="CC7788" s="4"/>
      <c r="CD7788" s="4"/>
      <c r="CF7788" s="4"/>
    </row>
    <row r="7789" spans="66:84">
      <c r="BN7789" s="4"/>
      <c r="BO7789" s="4"/>
      <c r="BQ7789" s="4"/>
      <c r="CC7789" s="4"/>
      <c r="CD7789" s="4"/>
      <c r="CF7789" s="4"/>
    </row>
    <row r="7790" spans="66:84">
      <c r="BN7790" s="4"/>
      <c r="BO7790" s="4"/>
      <c r="BQ7790" s="4"/>
      <c r="CC7790" s="4"/>
      <c r="CD7790" s="4"/>
      <c r="CF7790" s="4"/>
    </row>
    <row r="7791" spans="66:84">
      <c r="BN7791" s="4"/>
      <c r="BO7791" s="4"/>
      <c r="BQ7791" s="4"/>
      <c r="CC7791" s="4"/>
      <c r="CD7791" s="4"/>
      <c r="CF7791" s="4"/>
    </row>
    <row r="7792" spans="66:84">
      <c r="BN7792" s="4"/>
      <c r="BO7792" s="4"/>
      <c r="BQ7792" s="4"/>
      <c r="CC7792" s="4"/>
      <c r="CD7792" s="4"/>
      <c r="CF7792" s="4"/>
    </row>
    <row r="7793" spans="66:84">
      <c r="BN7793" s="4"/>
      <c r="BO7793" s="4"/>
      <c r="BQ7793" s="4"/>
      <c r="CC7793" s="4"/>
      <c r="CD7793" s="4"/>
      <c r="CF7793" s="4"/>
    </row>
    <row r="7794" spans="66:84">
      <c r="BN7794" s="4"/>
      <c r="BO7794" s="4"/>
      <c r="BQ7794" s="4"/>
      <c r="CC7794" s="4"/>
      <c r="CD7794" s="4"/>
      <c r="CF7794" s="4"/>
    </row>
    <row r="7795" spans="66:84">
      <c r="BN7795" s="4"/>
      <c r="BO7795" s="4"/>
      <c r="BQ7795" s="4"/>
      <c r="CC7795" s="4"/>
      <c r="CD7795" s="4"/>
      <c r="CF7795" s="4"/>
    </row>
    <row r="7796" spans="66:84">
      <c r="BN7796" s="4"/>
      <c r="BO7796" s="4"/>
      <c r="BQ7796" s="4"/>
      <c r="CC7796" s="4"/>
      <c r="CD7796" s="4"/>
      <c r="CF7796" s="4"/>
    </row>
    <row r="7797" spans="66:84">
      <c r="BN7797" s="4"/>
      <c r="BO7797" s="4"/>
      <c r="BQ7797" s="4"/>
      <c r="CC7797" s="4"/>
      <c r="CD7797" s="4"/>
      <c r="CF7797" s="4"/>
    </row>
    <row r="7798" spans="66:84">
      <c r="BN7798" s="4"/>
      <c r="BO7798" s="4"/>
      <c r="BQ7798" s="4"/>
      <c r="CC7798" s="4"/>
      <c r="CD7798" s="4"/>
      <c r="CF7798" s="4"/>
    </row>
    <row r="7799" spans="66:84">
      <c r="BN7799" s="4"/>
      <c r="BO7799" s="4"/>
      <c r="BQ7799" s="4"/>
      <c r="CC7799" s="4"/>
      <c r="CD7799" s="4"/>
      <c r="CF7799" s="4"/>
    </row>
    <row r="7800" spans="66:84">
      <c r="BN7800" s="4"/>
      <c r="BO7800" s="4"/>
      <c r="BQ7800" s="4"/>
      <c r="CC7800" s="4"/>
      <c r="CD7800" s="4"/>
      <c r="CF7800" s="4"/>
    </row>
    <row r="7801" spans="66:84">
      <c r="BN7801" s="4"/>
      <c r="BO7801" s="4"/>
      <c r="BQ7801" s="4"/>
      <c r="CC7801" s="4"/>
      <c r="CD7801" s="4"/>
      <c r="CF7801" s="4"/>
    </row>
    <row r="7802" spans="66:84">
      <c r="BN7802" s="4"/>
      <c r="BO7802" s="4"/>
      <c r="BQ7802" s="4"/>
      <c r="CC7802" s="4"/>
      <c r="CD7802" s="4"/>
      <c r="CF7802" s="4"/>
    </row>
    <row r="7803" spans="66:84">
      <c r="BN7803" s="4"/>
      <c r="BO7803" s="4"/>
      <c r="BQ7803" s="4"/>
      <c r="CC7803" s="4"/>
      <c r="CD7803" s="4"/>
      <c r="CF7803" s="4"/>
    </row>
    <row r="7804" spans="66:84">
      <c r="BN7804" s="4"/>
      <c r="BO7804" s="4"/>
      <c r="BQ7804" s="4"/>
      <c r="CC7804" s="4"/>
      <c r="CD7804" s="4"/>
      <c r="CF7804" s="4"/>
    </row>
    <row r="7805" spans="66:84">
      <c r="BN7805" s="4"/>
      <c r="BO7805" s="4"/>
      <c r="BQ7805" s="4"/>
      <c r="CC7805" s="4"/>
      <c r="CD7805" s="4"/>
      <c r="CF7805" s="4"/>
    </row>
    <row r="7806" spans="66:84">
      <c r="BN7806" s="4"/>
      <c r="BO7806" s="4"/>
      <c r="BQ7806" s="4"/>
      <c r="CC7806" s="4"/>
      <c r="CD7806" s="4"/>
      <c r="CF7806" s="4"/>
    </row>
    <row r="7807" spans="66:84">
      <c r="BN7807" s="4"/>
      <c r="BO7807" s="4"/>
      <c r="BQ7807" s="4"/>
      <c r="CC7807" s="4"/>
      <c r="CD7807" s="4"/>
      <c r="CF7807" s="4"/>
    </row>
    <row r="7808" spans="66:84">
      <c r="BN7808" s="4"/>
      <c r="BO7808" s="4"/>
      <c r="BQ7808" s="4"/>
      <c r="CC7808" s="4"/>
      <c r="CD7808" s="4"/>
      <c r="CF7808" s="4"/>
    </row>
    <row r="7809" spans="66:84">
      <c r="BN7809" s="4"/>
      <c r="BO7809" s="4"/>
      <c r="BQ7809" s="4"/>
      <c r="CC7809" s="4"/>
      <c r="CD7809" s="4"/>
      <c r="CF7809" s="4"/>
    </row>
    <row r="7810" spans="66:84">
      <c r="BN7810" s="4"/>
      <c r="BO7810" s="4"/>
      <c r="BQ7810" s="4"/>
      <c r="CC7810" s="4"/>
      <c r="CD7810" s="4"/>
      <c r="CF7810" s="4"/>
    </row>
    <row r="7811" spans="66:84">
      <c r="BN7811" s="4"/>
      <c r="BO7811" s="4"/>
      <c r="BQ7811" s="4"/>
      <c r="CC7811" s="4"/>
      <c r="CD7811" s="4"/>
      <c r="CF7811" s="4"/>
    </row>
    <row r="7812" spans="66:84">
      <c r="BN7812" s="4"/>
      <c r="BO7812" s="4"/>
      <c r="BQ7812" s="4"/>
      <c r="CC7812" s="4"/>
      <c r="CD7812" s="4"/>
      <c r="CF7812" s="4"/>
    </row>
    <row r="7813" spans="66:84">
      <c r="BN7813" s="4"/>
      <c r="BO7813" s="4"/>
      <c r="BQ7813" s="4"/>
      <c r="CC7813" s="4"/>
      <c r="CD7813" s="4"/>
      <c r="CF7813" s="4"/>
    </row>
    <row r="7814" spans="66:84">
      <c r="BN7814" s="4"/>
      <c r="BO7814" s="4"/>
      <c r="BQ7814" s="4"/>
      <c r="CC7814" s="4"/>
      <c r="CD7814" s="4"/>
      <c r="CF7814" s="4"/>
    </row>
    <row r="7815" spans="66:84">
      <c r="BN7815" s="4"/>
      <c r="BO7815" s="4"/>
      <c r="BQ7815" s="4"/>
      <c r="CC7815" s="4"/>
      <c r="CD7815" s="4"/>
      <c r="CF7815" s="4"/>
    </row>
    <row r="7816" spans="66:84">
      <c r="BN7816" s="4"/>
      <c r="BO7816" s="4"/>
      <c r="BQ7816" s="4"/>
      <c r="CC7816" s="4"/>
      <c r="CD7816" s="4"/>
      <c r="CF7816" s="4"/>
    </row>
    <row r="7817" spans="66:84">
      <c r="BN7817" s="4"/>
      <c r="BO7817" s="4"/>
      <c r="BQ7817" s="4"/>
      <c r="CC7817" s="4"/>
      <c r="CD7817" s="4"/>
      <c r="CF7817" s="4"/>
    </row>
    <row r="7818" spans="66:84">
      <c r="BN7818" s="4"/>
      <c r="BO7818" s="4"/>
      <c r="BQ7818" s="4"/>
      <c r="CC7818" s="4"/>
      <c r="CD7818" s="4"/>
      <c r="CF7818" s="4"/>
    </row>
    <row r="7819" spans="66:84">
      <c r="BN7819" s="4"/>
      <c r="BO7819" s="4"/>
      <c r="BQ7819" s="4"/>
      <c r="CC7819" s="4"/>
      <c r="CD7819" s="4"/>
      <c r="CF7819" s="4"/>
    </row>
    <row r="7820" spans="66:84">
      <c r="BN7820" s="4"/>
      <c r="BO7820" s="4"/>
      <c r="BQ7820" s="4"/>
      <c r="CC7820" s="4"/>
      <c r="CD7820" s="4"/>
      <c r="CF7820" s="4"/>
    </row>
    <row r="7821" spans="66:84">
      <c r="BN7821" s="4"/>
      <c r="BO7821" s="4"/>
      <c r="BQ7821" s="4"/>
      <c r="CC7821" s="4"/>
      <c r="CD7821" s="4"/>
      <c r="CF7821" s="4"/>
    </row>
    <row r="7822" spans="66:84">
      <c r="BN7822" s="4"/>
      <c r="BO7822" s="4"/>
      <c r="BQ7822" s="4"/>
      <c r="CC7822" s="4"/>
      <c r="CD7822" s="4"/>
      <c r="CF7822" s="4"/>
    </row>
    <row r="7823" spans="66:84">
      <c r="BN7823" s="4"/>
      <c r="BO7823" s="4"/>
      <c r="BQ7823" s="4"/>
      <c r="CC7823" s="4"/>
      <c r="CD7823" s="4"/>
      <c r="CF7823" s="4"/>
    </row>
    <row r="7824" spans="66:84">
      <c r="BN7824" s="4"/>
      <c r="BO7824" s="4"/>
      <c r="BQ7824" s="4"/>
      <c r="CC7824" s="4"/>
      <c r="CD7824" s="4"/>
      <c r="CF7824" s="4"/>
    </row>
    <row r="7825" spans="66:84">
      <c r="BN7825" s="4"/>
      <c r="BO7825" s="4"/>
      <c r="BQ7825" s="4"/>
      <c r="CC7825" s="4"/>
      <c r="CD7825" s="4"/>
      <c r="CF7825" s="4"/>
    </row>
    <row r="7826" spans="66:84">
      <c r="BN7826" s="4"/>
      <c r="BO7826" s="4"/>
      <c r="BQ7826" s="4"/>
      <c r="CC7826" s="4"/>
      <c r="CD7826" s="4"/>
      <c r="CF7826" s="4"/>
    </row>
    <row r="7827" spans="66:84">
      <c r="BN7827" s="4"/>
      <c r="BO7827" s="4"/>
      <c r="BQ7827" s="4"/>
      <c r="CC7827" s="4"/>
      <c r="CD7827" s="4"/>
      <c r="CF7827" s="4"/>
    </row>
    <row r="7828" spans="66:84">
      <c r="BN7828" s="4"/>
      <c r="BO7828" s="4"/>
      <c r="BQ7828" s="4"/>
      <c r="CC7828" s="4"/>
      <c r="CD7828" s="4"/>
      <c r="CF7828" s="4"/>
    </row>
    <row r="7829" spans="66:84">
      <c r="BN7829" s="4"/>
      <c r="BO7829" s="4"/>
      <c r="BQ7829" s="4"/>
      <c r="CC7829" s="4"/>
      <c r="CD7829" s="4"/>
      <c r="CF7829" s="4"/>
    </row>
    <row r="7830" spans="66:84">
      <c r="BN7830" s="4"/>
      <c r="BO7830" s="4"/>
      <c r="BQ7830" s="4"/>
      <c r="CC7830" s="4"/>
      <c r="CD7830" s="4"/>
      <c r="CF7830" s="4"/>
    </row>
    <row r="7831" spans="66:84">
      <c r="BN7831" s="4"/>
      <c r="BO7831" s="4"/>
      <c r="BQ7831" s="4"/>
      <c r="CC7831" s="4"/>
      <c r="CD7831" s="4"/>
      <c r="CF7831" s="4"/>
    </row>
    <row r="7832" spans="66:84">
      <c r="BN7832" s="4"/>
      <c r="BO7832" s="4"/>
      <c r="BQ7832" s="4"/>
      <c r="CC7832" s="4"/>
      <c r="CD7832" s="4"/>
      <c r="CF7832" s="4"/>
    </row>
    <row r="7833" spans="66:84">
      <c r="BN7833" s="4"/>
      <c r="BO7833" s="4"/>
      <c r="BQ7833" s="4"/>
      <c r="CC7833" s="4"/>
      <c r="CD7833" s="4"/>
      <c r="CF7833" s="4"/>
    </row>
    <row r="7834" spans="66:84">
      <c r="BN7834" s="4"/>
      <c r="BO7834" s="4"/>
      <c r="BQ7834" s="4"/>
      <c r="CC7834" s="4"/>
      <c r="CD7834" s="4"/>
      <c r="CF7834" s="4"/>
    </row>
    <row r="7835" spans="66:84">
      <c r="BN7835" s="4"/>
      <c r="BO7835" s="4"/>
      <c r="BQ7835" s="4"/>
      <c r="CC7835" s="4"/>
      <c r="CD7835" s="4"/>
      <c r="CF7835" s="4"/>
    </row>
    <row r="7836" spans="66:84">
      <c r="BN7836" s="4"/>
      <c r="BO7836" s="4"/>
      <c r="BQ7836" s="4"/>
      <c r="CC7836" s="4"/>
      <c r="CD7836" s="4"/>
      <c r="CF7836" s="4"/>
    </row>
    <row r="7837" spans="66:84">
      <c r="BN7837" s="4"/>
      <c r="BO7837" s="4"/>
      <c r="BQ7837" s="4"/>
      <c r="CC7837" s="4"/>
      <c r="CD7837" s="4"/>
      <c r="CF7837" s="4"/>
    </row>
    <row r="7838" spans="66:84">
      <c r="BN7838" s="4"/>
      <c r="BO7838" s="4"/>
      <c r="BQ7838" s="4"/>
      <c r="CC7838" s="4"/>
      <c r="CD7838" s="4"/>
      <c r="CF7838" s="4"/>
    </row>
    <row r="7839" spans="66:84">
      <c r="BN7839" s="4"/>
      <c r="BO7839" s="4"/>
      <c r="BQ7839" s="4"/>
      <c r="CC7839" s="4"/>
      <c r="CD7839" s="4"/>
      <c r="CF7839" s="4"/>
    </row>
    <row r="7840" spans="66:84">
      <c r="BN7840" s="4"/>
      <c r="BO7840" s="4"/>
      <c r="BQ7840" s="4"/>
      <c r="CC7840" s="4"/>
      <c r="CD7840" s="4"/>
      <c r="CF7840" s="4"/>
    </row>
    <row r="7841" spans="66:84">
      <c r="BN7841" s="4"/>
      <c r="BO7841" s="4"/>
      <c r="BQ7841" s="4"/>
      <c r="CC7841" s="4"/>
      <c r="CD7841" s="4"/>
      <c r="CF7841" s="4"/>
    </row>
    <row r="7842" spans="66:84">
      <c r="BN7842" s="4"/>
      <c r="BO7842" s="4"/>
      <c r="BQ7842" s="4"/>
      <c r="CC7842" s="4"/>
      <c r="CD7842" s="4"/>
      <c r="CF7842" s="4"/>
    </row>
    <row r="7843" spans="66:84">
      <c r="BN7843" s="4"/>
      <c r="BO7843" s="4"/>
      <c r="BQ7843" s="4"/>
      <c r="CC7843" s="4"/>
      <c r="CD7843" s="4"/>
      <c r="CF7843" s="4"/>
    </row>
    <row r="7844" spans="66:84">
      <c r="BN7844" s="4"/>
      <c r="BO7844" s="4"/>
      <c r="BQ7844" s="4"/>
      <c r="CC7844" s="4"/>
      <c r="CD7844" s="4"/>
      <c r="CF7844" s="4"/>
    </row>
    <row r="7845" spans="66:84">
      <c r="BN7845" s="4"/>
      <c r="BO7845" s="4"/>
      <c r="BQ7845" s="4"/>
      <c r="CC7845" s="4"/>
      <c r="CD7845" s="4"/>
      <c r="CF7845" s="4"/>
    </row>
    <row r="7846" spans="66:84">
      <c r="BN7846" s="4"/>
      <c r="BO7846" s="4"/>
      <c r="BQ7846" s="4"/>
      <c r="CC7846" s="4"/>
      <c r="CD7846" s="4"/>
      <c r="CF7846" s="4"/>
    </row>
    <row r="7847" spans="66:84">
      <c r="BN7847" s="4"/>
      <c r="BO7847" s="4"/>
      <c r="BQ7847" s="4"/>
      <c r="CC7847" s="4"/>
      <c r="CD7847" s="4"/>
      <c r="CF7847" s="4"/>
    </row>
    <row r="7848" spans="66:84">
      <c r="BN7848" s="4"/>
      <c r="BO7848" s="4"/>
      <c r="BQ7848" s="4"/>
      <c r="CC7848" s="4"/>
      <c r="CD7848" s="4"/>
      <c r="CF7848" s="4"/>
    </row>
    <row r="7849" spans="66:84">
      <c r="BN7849" s="4"/>
      <c r="BO7849" s="4"/>
      <c r="BQ7849" s="4"/>
      <c r="CC7849" s="4"/>
      <c r="CD7849" s="4"/>
      <c r="CF7849" s="4"/>
    </row>
    <row r="7850" spans="66:84">
      <c r="BN7850" s="4"/>
      <c r="BO7850" s="4"/>
      <c r="BQ7850" s="4"/>
      <c r="CC7850" s="4"/>
      <c r="CD7850" s="4"/>
      <c r="CF7850" s="4"/>
    </row>
    <row r="7851" spans="66:84">
      <c r="BN7851" s="4"/>
      <c r="BO7851" s="4"/>
      <c r="BQ7851" s="4"/>
      <c r="CC7851" s="4"/>
      <c r="CD7851" s="4"/>
      <c r="CF7851" s="4"/>
    </row>
    <row r="7852" spans="66:84">
      <c r="BN7852" s="4"/>
      <c r="BO7852" s="4"/>
      <c r="BQ7852" s="4"/>
      <c r="CC7852" s="4"/>
      <c r="CD7852" s="4"/>
      <c r="CF7852" s="4"/>
    </row>
    <row r="7853" spans="66:84">
      <c r="BN7853" s="4"/>
      <c r="BO7853" s="4"/>
      <c r="BQ7853" s="4"/>
      <c r="CC7853" s="4"/>
      <c r="CD7853" s="4"/>
      <c r="CF7853" s="4"/>
    </row>
    <row r="7854" spans="66:84">
      <c r="BN7854" s="4"/>
      <c r="BO7854" s="4"/>
      <c r="BQ7854" s="4"/>
      <c r="CC7854" s="4"/>
      <c r="CD7854" s="4"/>
      <c r="CF7854" s="4"/>
    </row>
    <row r="7855" spans="66:84">
      <c r="BN7855" s="4"/>
      <c r="BO7855" s="4"/>
      <c r="BQ7855" s="4"/>
      <c r="CC7855" s="4"/>
      <c r="CD7855" s="4"/>
      <c r="CF7855" s="4"/>
    </row>
    <row r="7856" spans="66:84">
      <c r="BN7856" s="4"/>
      <c r="BO7856" s="4"/>
      <c r="BQ7856" s="4"/>
      <c r="CC7856" s="4"/>
      <c r="CD7856" s="4"/>
      <c r="CF7856" s="4"/>
    </row>
    <row r="7857" spans="66:84">
      <c r="BN7857" s="4"/>
      <c r="BO7857" s="4"/>
      <c r="BQ7857" s="4"/>
      <c r="CC7857" s="4"/>
      <c r="CD7857" s="4"/>
      <c r="CF7857" s="4"/>
    </row>
    <row r="7858" spans="66:84">
      <c r="BN7858" s="4"/>
      <c r="BO7858" s="4"/>
      <c r="BQ7858" s="4"/>
      <c r="CC7858" s="4"/>
      <c r="CD7858" s="4"/>
      <c r="CF7858" s="4"/>
    </row>
    <row r="7859" spans="66:84">
      <c r="BN7859" s="4"/>
      <c r="BO7859" s="4"/>
      <c r="BQ7859" s="4"/>
      <c r="CC7859" s="4"/>
      <c r="CD7859" s="4"/>
      <c r="CF7859" s="4"/>
    </row>
    <row r="7860" spans="66:84">
      <c r="BN7860" s="4"/>
      <c r="BO7860" s="4"/>
      <c r="BQ7860" s="4"/>
      <c r="CC7860" s="4"/>
      <c r="CD7860" s="4"/>
      <c r="CF7860" s="4"/>
    </row>
    <row r="7861" spans="66:84">
      <c r="BN7861" s="4"/>
      <c r="BO7861" s="4"/>
      <c r="BQ7861" s="4"/>
      <c r="CC7861" s="4"/>
      <c r="CD7861" s="4"/>
      <c r="CF7861" s="4"/>
    </row>
    <row r="7862" spans="66:84">
      <c r="BN7862" s="4"/>
      <c r="BO7862" s="4"/>
      <c r="BQ7862" s="4"/>
      <c r="CC7862" s="4"/>
      <c r="CD7862" s="4"/>
      <c r="CF7862" s="4"/>
    </row>
    <row r="7863" spans="66:84">
      <c r="BN7863" s="4"/>
      <c r="BO7863" s="4"/>
      <c r="BQ7863" s="4"/>
      <c r="CC7863" s="4"/>
      <c r="CD7863" s="4"/>
      <c r="CF7863" s="4"/>
    </row>
    <row r="7864" spans="66:84">
      <c r="BN7864" s="4"/>
      <c r="BO7864" s="4"/>
      <c r="BQ7864" s="4"/>
      <c r="CC7864" s="4"/>
      <c r="CD7864" s="4"/>
      <c r="CF7864" s="4"/>
    </row>
    <row r="7865" spans="66:84">
      <c r="BN7865" s="4"/>
      <c r="BO7865" s="4"/>
      <c r="BQ7865" s="4"/>
      <c r="CC7865" s="4"/>
      <c r="CD7865" s="4"/>
      <c r="CF7865" s="4"/>
    </row>
    <row r="7866" spans="66:84">
      <c r="BN7866" s="4"/>
      <c r="BO7866" s="4"/>
      <c r="BQ7866" s="4"/>
      <c r="CC7866" s="4"/>
      <c r="CD7866" s="4"/>
      <c r="CF7866" s="4"/>
    </row>
    <row r="7867" spans="66:84">
      <c r="BN7867" s="4"/>
      <c r="BO7867" s="4"/>
      <c r="BQ7867" s="4"/>
      <c r="CC7867" s="4"/>
      <c r="CD7867" s="4"/>
      <c r="CF7867" s="4"/>
    </row>
    <row r="7868" spans="66:84">
      <c r="BN7868" s="4"/>
      <c r="BO7868" s="4"/>
      <c r="BQ7868" s="4"/>
      <c r="CC7868" s="4"/>
      <c r="CD7868" s="4"/>
      <c r="CF7868" s="4"/>
    </row>
    <row r="7869" spans="66:84">
      <c r="BN7869" s="4"/>
      <c r="BO7869" s="4"/>
      <c r="BQ7869" s="4"/>
      <c r="CC7869" s="4"/>
      <c r="CD7869" s="4"/>
      <c r="CF7869" s="4"/>
    </row>
    <row r="7870" spans="66:84">
      <c r="BN7870" s="4"/>
      <c r="BO7870" s="4"/>
      <c r="BQ7870" s="4"/>
      <c r="CC7870" s="4"/>
      <c r="CD7870" s="4"/>
      <c r="CF7870" s="4"/>
    </row>
    <row r="7871" spans="66:84">
      <c r="BN7871" s="4"/>
      <c r="BO7871" s="4"/>
      <c r="BQ7871" s="4"/>
      <c r="CC7871" s="4"/>
      <c r="CD7871" s="4"/>
      <c r="CF7871" s="4"/>
    </row>
    <row r="7872" spans="66:84">
      <c r="BN7872" s="4"/>
      <c r="BO7872" s="4"/>
      <c r="BQ7872" s="4"/>
      <c r="CC7872" s="4"/>
      <c r="CD7872" s="4"/>
      <c r="CF7872" s="4"/>
    </row>
    <row r="7873" spans="66:84">
      <c r="BN7873" s="4"/>
      <c r="BO7873" s="4"/>
      <c r="BQ7873" s="4"/>
      <c r="CC7873" s="4"/>
      <c r="CD7873" s="4"/>
      <c r="CF7873" s="4"/>
    </row>
    <row r="7874" spans="66:84">
      <c r="BN7874" s="4"/>
      <c r="BO7874" s="4"/>
      <c r="BQ7874" s="4"/>
      <c r="CC7874" s="4"/>
      <c r="CD7874" s="4"/>
      <c r="CF7874" s="4"/>
    </row>
    <row r="7875" spans="66:84">
      <c r="BN7875" s="4"/>
      <c r="BO7875" s="4"/>
      <c r="BQ7875" s="4"/>
      <c r="CC7875" s="4"/>
      <c r="CD7875" s="4"/>
      <c r="CF7875" s="4"/>
    </row>
    <row r="7876" spans="66:84">
      <c r="BN7876" s="4"/>
      <c r="BO7876" s="4"/>
      <c r="BQ7876" s="4"/>
      <c r="CC7876" s="4"/>
      <c r="CD7876" s="4"/>
      <c r="CF7876" s="4"/>
    </row>
    <row r="7877" spans="66:84">
      <c r="BN7877" s="4"/>
      <c r="BO7877" s="4"/>
      <c r="BQ7877" s="4"/>
      <c r="CC7877" s="4"/>
      <c r="CD7877" s="4"/>
      <c r="CF7877" s="4"/>
    </row>
    <row r="7878" spans="66:84">
      <c r="BN7878" s="4"/>
      <c r="BO7878" s="4"/>
      <c r="BQ7878" s="4"/>
      <c r="CC7878" s="4"/>
      <c r="CD7878" s="4"/>
      <c r="CF7878" s="4"/>
    </row>
    <row r="7879" spans="66:84">
      <c r="BN7879" s="4"/>
      <c r="BO7879" s="4"/>
      <c r="BQ7879" s="4"/>
      <c r="CC7879" s="4"/>
      <c r="CD7879" s="4"/>
      <c r="CF7879" s="4"/>
    </row>
    <row r="7880" spans="66:84">
      <c r="BN7880" s="4"/>
      <c r="BO7880" s="4"/>
      <c r="BQ7880" s="4"/>
      <c r="CC7880" s="4"/>
      <c r="CD7880" s="4"/>
      <c r="CF7880" s="4"/>
    </row>
    <row r="7881" spans="66:84">
      <c r="BN7881" s="4"/>
      <c r="BO7881" s="4"/>
      <c r="BQ7881" s="4"/>
      <c r="CC7881" s="4"/>
      <c r="CD7881" s="4"/>
      <c r="CF7881" s="4"/>
    </row>
    <row r="7882" spans="66:84">
      <c r="BN7882" s="4"/>
      <c r="BO7882" s="4"/>
      <c r="BQ7882" s="4"/>
      <c r="CC7882" s="4"/>
      <c r="CD7882" s="4"/>
      <c r="CF7882" s="4"/>
    </row>
    <row r="7883" spans="66:84">
      <c r="BN7883" s="4"/>
      <c r="BO7883" s="4"/>
      <c r="BQ7883" s="4"/>
      <c r="CC7883" s="4"/>
      <c r="CD7883" s="4"/>
      <c r="CF7883" s="4"/>
    </row>
    <row r="7884" spans="66:84">
      <c r="BN7884" s="4"/>
      <c r="BO7884" s="4"/>
      <c r="BQ7884" s="4"/>
      <c r="CC7884" s="4"/>
      <c r="CD7884" s="4"/>
      <c r="CF7884" s="4"/>
    </row>
    <row r="7885" spans="66:84">
      <c r="BN7885" s="4"/>
      <c r="BO7885" s="4"/>
      <c r="BQ7885" s="4"/>
      <c r="CC7885" s="4"/>
      <c r="CD7885" s="4"/>
      <c r="CF7885" s="4"/>
    </row>
    <row r="7886" spans="66:84">
      <c r="BN7886" s="4"/>
      <c r="BO7886" s="4"/>
      <c r="BQ7886" s="4"/>
      <c r="CC7886" s="4"/>
      <c r="CD7886" s="4"/>
      <c r="CF7886" s="4"/>
    </row>
    <row r="7887" spans="66:84">
      <c r="BN7887" s="4"/>
      <c r="BO7887" s="4"/>
      <c r="BQ7887" s="4"/>
      <c r="CC7887" s="4"/>
      <c r="CD7887" s="4"/>
      <c r="CF7887" s="4"/>
    </row>
    <row r="7888" spans="66:84">
      <c r="BN7888" s="4"/>
      <c r="BO7888" s="4"/>
      <c r="BQ7888" s="4"/>
      <c r="CC7888" s="4"/>
      <c r="CD7888" s="4"/>
      <c r="CF7888" s="4"/>
    </row>
    <row r="7889" spans="66:84">
      <c r="BN7889" s="4"/>
      <c r="BO7889" s="4"/>
      <c r="BQ7889" s="4"/>
      <c r="CC7889" s="4"/>
      <c r="CD7889" s="4"/>
      <c r="CF7889" s="4"/>
    </row>
    <row r="7890" spans="66:84">
      <c r="BN7890" s="4"/>
      <c r="BO7890" s="4"/>
      <c r="BQ7890" s="4"/>
      <c r="CC7890" s="4"/>
      <c r="CD7890" s="4"/>
      <c r="CF7890" s="4"/>
    </row>
    <row r="7891" spans="66:84">
      <c r="BN7891" s="4"/>
      <c r="BO7891" s="4"/>
      <c r="BQ7891" s="4"/>
      <c r="CC7891" s="4"/>
      <c r="CD7891" s="4"/>
      <c r="CF7891" s="4"/>
    </row>
    <row r="7892" spans="66:84">
      <c r="BN7892" s="4"/>
      <c r="BO7892" s="4"/>
      <c r="BQ7892" s="4"/>
      <c r="CC7892" s="4"/>
      <c r="CD7892" s="4"/>
      <c r="CF7892" s="4"/>
    </row>
    <row r="7893" spans="66:84">
      <c r="BN7893" s="4"/>
      <c r="BO7893" s="4"/>
      <c r="BQ7893" s="4"/>
      <c r="CC7893" s="4"/>
      <c r="CD7893" s="4"/>
      <c r="CF7893" s="4"/>
    </row>
    <row r="7894" spans="66:84">
      <c r="BN7894" s="4"/>
      <c r="BO7894" s="4"/>
      <c r="BQ7894" s="4"/>
      <c r="CC7894" s="4"/>
      <c r="CD7894" s="4"/>
      <c r="CF7894" s="4"/>
    </row>
    <row r="7895" spans="66:84">
      <c r="BN7895" s="4"/>
      <c r="BO7895" s="4"/>
      <c r="BQ7895" s="4"/>
      <c r="CC7895" s="4"/>
      <c r="CD7895" s="4"/>
      <c r="CF7895" s="4"/>
    </row>
    <row r="7896" spans="66:84">
      <c r="BN7896" s="4"/>
      <c r="BO7896" s="4"/>
      <c r="BQ7896" s="4"/>
      <c r="CC7896" s="4"/>
      <c r="CD7896" s="4"/>
      <c r="CF7896" s="4"/>
    </row>
    <row r="7897" spans="66:84">
      <c r="BN7897" s="4"/>
      <c r="BO7897" s="4"/>
      <c r="BQ7897" s="4"/>
      <c r="CC7897" s="4"/>
      <c r="CD7897" s="4"/>
      <c r="CF7897" s="4"/>
    </row>
    <row r="7898" spans="66:84">
      <c r="BN7898" s="4"/>
      <c r="BO7898" s="4"/>
      <c r="BQ7898" s="4"/>
      <c r="CC7898" s="4"/>
      <c r="CD7898" s="4"/>
      <c r="CF7898" s="4"/>
    </row>
    <row r="7899" spans="66:84">
      <c r="BN7899" s="4"/>
      <c r="BO7899" s="4"/>
      <c r="BQ7899" s="4"/>
      <c r="CC7899" s="4"/>
      <c r="CD7899" s="4"/>
      <c r="CF7899" s="4"/>
    </row>
    <row r="7900" spans="66:84">
      <c r="BN7900" s="4"/>
      <c r="BO7900" s="4"/>
      <c r="BQ7900" s="4"/>
      <c r="CC7900" s="4"/>
      <c r="CD7900" s="4"/>
      <c r="CF7900" s="4"/>
    </row>
    <row r="7901" spans="66:84">
      <c r="BN7901" s="4"/>
      <c r="BO7901" s="4"/>
      <c r="BQ7901" s="4"/>
      <c r="CC7901" s="4"/>
      <c r="CD7901" s="4"/>
      <c r="CF7901" s="4"/>
    </row>
    <row r="7902" spans="66:84">
      <c r="BN7902" s="4"/>
      <c r="BO7902" s="4"/>
      <c r="BQ7902" s="4"/>
      <c r="CC7902" s="4"/>
      <c r="CD7902" s="4"/>
      <c r="CF7902" s="4"/>
    </row>
    <row r="7903" spans="66:84">
      <c r="BN7903" s="4"/>
      <c r="BO7903" s="4"/>
      <c r="BQ7903" s="4"/>
      <c r="CC7903" s="4"/>
      <c r="CD7903" s="4"/>
      <c r="CF7903" s="4"/>
    </row>
    <row r="7904" spans="66:84">
      <c r="BN7904" s="4"/>
      <c r="BO7904" s="4"/>
      <c r="BQ7904" s="4"/>
      <c r="CC7904" s="4"/>
      <c r="CD7904" s="4"/>
      <c r="CF7904" s="4"/>
    </row>
    <row r="7905" spans="66:84">
      <c r="BN7905" s="4"/>
      <c r="BO7905" s="4"/>
      <c r="BQ7905" s="4"/>
      <c r="CC7905" s="4"/>
      <c r="CD7905" s="4"/>
      <c r="CF7905" s="4"/>
    </row>
    <row r="7906" spans="66:84">
      <c r="BN7906" s="4"/>
      <c r="BO7906" s="4"/>
      <c r="BQ7906" s="4"/>
      <c r="CC7906" s="4"/>
      <c r="CD7906" s="4"/>
      <c r="CF7906" s="4"/>
    </row>
    <row r="7907" spans="66:84">
      <c r="BN7907" s="4"/>
      <c r="BO7907" s="4"/>
      <c r="BQ7907" s="4"/>
      <c r="CC7907" s="4"/>
      <c r="CD7907" s="4"/>
      <c r="CF7907" s="4"/>
    </row>
    <row r="7908" spans="66:84">
      <c r="BN7908" s="4"/>
      <c r="BO7908" s="4"/>
      <c r="BQ7908" s="4"/>
      <c r="CC7908" s="4"/>
      <c r="CD7908" s="4"/>
      <c r="CF7908" s="4"/>
    </row>
    <row r="7909" spans="66:84">
      <c r="BN7909" s="4"/>
      <c r="BO7909" s="4"/>
      <c r="BQ7909" s="4"/>
      <c r="CC7909" s="4"/>
      <c r="CD7909" s="4"/>
      <c r="CF7909" s="4"/>
    </row>
    <row r="7910" spans="66:84">
      <c r="BN7910" s="4"/>
      <c r="BO7910" s="4"/>
      <c r="BQ7910" s="4"/>
      <c r="CC7910" s="4"/>
      <c r="CD7910" s="4"/>
      <c r="CF7910" s="4"/>
    </row>
    <row r="7911" spans="66:84">
      <c r="BN7911" s="4"/>
      <c r="BO7911" s="4"/>
      <c r="BQ7911" s="4"/>
      <c r="CC7911" s="4"/>
      <c r="CD7911" s="4"/>
      <c r="CF7911" s="4"/>
    </row>
    <row r="7912" spans="66:84">
      <c r="BN7912" s="4"/>
      <c r="BO7912" s="4"/>
      <c r="BQ7912" s="4"/>
      <c r="CC7912" s="4"/>
      <c r="CD7912" s="4"/>
      <c r="CF7912" s="4"/>
    </row>
    <row r="7913" spans="66:84">
      <c r="BN7913" s="4"/>
      <c r="BO7913" s="4"/>
      <c r="BQ7913" s="4"/>
      <c r="CC7913" s="4"/>
      <c r="CD7913" s="4"/>
      <c r="CF7913" s="4"/>
    </row>
    <row r="7914" spans="66:84">
      <c r="BN7914" s="4"/>
      <c r="BO7914" s="4"/>
      <c r="BQ7914" s="4"/>
      <c r="CC7914" s="4"/>
      <c r="CD7914" s="4"/>
      <c r="CF7914" s="4"/>
    </row>
    <row r="7915" spans="66:84">
      <c r="BN7915" s="4"/>
      <c r="BO7915" s="4"/>
      <c r="BQ7915" s="4"/>
      <c r="CC7915" s="4"/>
      <c r="CD7915" s="4"/>
      <c r="CF7915" s="4"/>
    </row>
    <row r="7916" spans="66:84">
      <c r="BN7916" s="4"/>
      <c r="BO7916" s="4"/>
      <c r="BQ7916" s="4"/>
      <c r="CC7916" s="4"/>
      <c r="CD7916" s="4"/>
      <c r="CF7916" s="4"/>
    </row>
    <row r="7917" spans="66:84">
      <c r="BN7917" s="4"/>
      <c r="BO7917" s="4"/>
      <c r="BQ7917" s="4"/>
      <c r="CC7917" s="4"/>
      <c r="CD7917" s="4"/>
      <c r="CF7917" s="4"/>
    </row>
    <row r="7918" spans="66:84">
      <c r="BN7918" s="4"/>
      <c r="BO7918" s="4"/>
      <c r="BQ7918" s="4"/>
      <c r="CC7918" s="4"/>
      <c r="CD7918" s="4"/>
      <c r="CF7918" s="4"/>
    </row>
    <row r="7919" spans="66:84">
      <c r="BN7919" s="4"/>
      <c r="BO7919" s="4"/>
      <c r="BQ7919" s="4"/>
      <c r="CC7919" s="4"/>
      <c r="CD7919" s="4"/>
      <c r="CF7919" s="4"/>
    </row>
    <row r="7920" spans="66:84">
      <c r="BN7920" s="4"/>
      <c r="BO7920" s="4"/>
      <c r="BQ7920" s="4"/>
      <c r="CC7920" s="4"/>
      <c r="CD7920" s="4"/>
      <c r="CF7920" s="4"/>
    </row>
    <row r="7921" spans="66:84">
      <c r="BN7921" s="4"/>
      <c r="BO7921" s="4"/>
      <c r="BQ7921" s="4"/>
      <c r="CC7921" s="4"/>
      <c r="CD7921" s="4"/>
      <c r="CF7921" s="4"/>
    </row>
    <row r="7922" spans="66:84">
      <c r="BN7922" s="4"/>
      <c r="BO7922" s="4"/>
      <c r="BQ7922" s="4"/>
      <c r="CC7922" s="4"/>
      <c r="CD7922" s="4"/>
      <c r="CF7922" s="4"/>
    </row>
    <row r="7923" spans="66:84">
      <c r="BN7923" s="4"/>
      <c r="BO7923" s="4"/>
      <c r="BQ7923" s="4"/>
      <c r="CC7923" s="4"/>
      <c r="CD7923" s="4"/>
      <c r="CF7923" s="4"/>
    </row>
    <row r="7924" spans="66:84">
      <c r="BN7924" s="4"/>
      <c r="BO7924" s="4"/>
      <c r="BQ7924" s="4"/>
      <c r="CC7924" s="4"/>
      <c r="CD7924" s="4"/>
      <c r="CF7924" s="4"/>
    </row>
    <row r="7925" spans="66:84">
      <c r="BN7925" s="4"/>
      <c r="BO7925" s="4"/>
      <c r="BQ7925" s="4"/>
      <c r="CC7925" s="4"/>
      <c r="CD7925" s="4"/>
      <c r="CF7925" s="4"/>
    </row>
    <row r="7926" spans="66:84">
      <c r="BN7926" s="4"/>
      <c r="BO7926" s="4"/>
      <c r="BQ7926" s="4"/>
      <c r="CC7926" s="4"/>
      <c r="CD7926" s="4"/>
      <c r="CF7926" s="4"/>
    </row>
    <row r="7927" spans="66:84">
      <c r="BN7927" s="4"/>
      <c r="BO7927" s="4"/>
      <c r="BQ7927" s="4"/>
      <c r="CC7927" s="4"/>
      <c r="CD7927" s="4"/>
      <c r="CF7927" s="4"/>
    </row>
    <row r="7928" spans="66:84">
      <c r="BN7928" s="4"/>
      <c r="BO7928" s="4"/>
      <c r="BQ7928" s="4"/>
      <c r="CC7928" s="4"/>
      <c r="CD7928" s="4"/>
      <c r="CF7928" s="4"/>
    </row>
    <row r="7929" spans="66:84">
      <c r="BN7929" s="4"/>
      <c r="BO7929" s="4"/>
      <c r="BQ7929" s="4"/>
      <c r="CC7929" s="4"/>
      <c r="CD7929" s="4"/>
      <c r="CF7929" s="4"/>
    </row>
    <row r="7930" spans="66:84">
      <c r="BN7930" s="4"/>
      <c r="BO7930" s="4"/>
      <c r="BQ7930" s="4"/>
      <c r="CC7930" s="4"/>
      <c r="CD7930" s="4"/>
      <c r="CF7930" s="4"/>
    </row>
    <row r="7931" spans="66:84">
      <c r="BN7931" s="4"/>
      <c r="BO7931" s="4"/>
      <c r="BQ7931" s="4"/>
      <c r="CC7931" s="4"/>
      <c r="CD7931" s="4"/>
      <c r="CF7931" s="4"/>
    </row>
    <row r="7932" spans="66:84">
      <c r="BN7932" s="4"/>
      <c r="BO7932" s="4"/>
      <c r="BQ7932" s="4"/>
      <c r="CC7932" s="4"/>
      <c r="CD7932" s="4"/>
      <c r="CF7932" s="4"/>
    </row>
    <row r="7933" spans="66:84">
      <c r="BN7933" s="4"/>
      <c r="BO7933" s="4"/>
      <c r="BQ7933" s="4"/>
      <c r="CC7933" s="4"/>
      <c r="CD7933" s="4"/>
      <c r="CF7933" s="4"/>
    </row>
    <row r="7934" spans="66:84">
      <c r="BN7934" s="4"/>
      <c r="BO7934" s="4"/>
      <c r="BQ7934" s="4"/>
      <c r="CC7934" s="4"/>
      <c r="CD7934" s="4"/>
      <c r="CF7934" s="4"/>
    </row>
    <row r="7935" spans="66:84">
      <c r="BN7935" s="4"/>
      <c r="BO7935" s="4"/>
      <c r="BQ7935" s="4"/>
      <c r="CC7935" s="4"/>
      <c r="CD7935" s="4"/>
      <c r="CF7935" s="4"/>
    </row>
    <row r="7936" spans="66:84">
      <c r="BN7936" s="4"/>
      <c r="BO7936" s="4"/>
      <c r="BQ7936" s="4"/>
      <c r="CC7936" s="4"/>
      <c r="CD7936" s="4"/>
      <c r="CF7936" s="4"/>
    </row>
    <row r="7937" spans="66:84">
      <c r="BN7937" s="4"/>
      <c r="BO7937" s="4"/>
      <c r="BQ7937" s="4"/>
      <c r="CC7937" s="4"/>
      <c r="CD7937" s="4"/>
      <c r="CF7937" s="4"/>
    </row>
    <row r="7938" spans="66:84">
      <c r="BN7938" s="4"/>
      <c r="BO7938" s="4"/>
      <c r="BQ7938" s="4"/>
      <c r="CC7938" s="4"/>
      <c r="CD7938" s="4"/>
      <c r="CF7938" s="4"/>
    </row>
    <row r="7939" spans="66:84">
      <c r="BN7939" s="4"/>
      <c r="BO7939" s="4"/>
      <c r="BQ7939" s="4"/>
      <c r="CC7939" s="4"/>
      <c r="CD7939" s="4"/>
      <c r="CF7939" s="4"/>
    </row>
    <row r="7940" spans="66:84">
      <c r="BN7940" s="4"/>
      <c r="BO7940" s="4"/>
      <c r="BQ7940" s="4"/>
      <c r="CC7940" s="4"/>
      <c r="CD7940" s="4"/>
      <c r="CF7940" s="4"/>
    </row>
    <row r="7941" spans="66:84">
      <c r="BN7941" s="4"/>
      <c r="BO7941" s="4"/>
      <c r="BQ7941" s="4"/>
      <c r="CC7941" s="4"/>
      <c r="CD7941" s="4"/>
      <c r="CF7941" s="4"/>
    </row>
    <row r="7942" spans="66:84">
      <c r="BN7942" s="4"/>
      <c r="BO7942" s="4"/>
      <c r="BQ7942" s="4"/>
      <c r="CC7942" s="4"/>
      <c r="CD7942" s="4"/>
      <c r="CF7942" s="4"/>
    </row>
    <row r="7943" spans="66:84">
      <c r="BN7943" s="4"/>
      <c r="BO7943" s="4"/>
      <c r="BQ7943" s="4"/>
      <c r="CC7943" s="4"/>
      <c r="CD7943" s="4"/>
      <c r="CF7943" s="4"/>
    </row>
    <row r="7944" spans="66:84">
      <c r="BN7944" s="4"/>
      <c r="BO7944" s="4"/>
      <c r="BQ7944" s="4"/>
      <c r="CC7944" s="4"/>
      <c r="CD7944" s="4"/>
      <c r="CF7944" s="4"/>
    </row>
    <row r="7945" spans="66:84">
      <c r="BN7945" s="4"/>
      <c r="BO7945" s="4"/>
      <c r="BQ7945" s="4"/>
      <c r="CC7945" s="4"/>
      <c r="CD7945" s="4"/>
      <c r="CF7945" s="4"/>
    </row>
    <row r="7946" spans="66:84">
      <c r="BN7946" s="4"/>
      <c r="BO7946" s="4"/>
      <c r="BQ7946" s="4"/>
      <c r="CC7946" s="4"/>
      <c r="CD7946" s="4"/>
      <c r="CF7946" s="4"/>
    </row>
    <row r="7947" spans="66:84">
      <c r="BN7947" s="4"/>
      <c r="BO7947" s="4"/>
      <c r="BQ7947" s="4"/>
      <c r="CC7947" s="4"/>
      <c r="CD7947" s="4"/>
      <c r="CF7947" s="4"/>
    </row>
    <row r="7948" spans="66:84">
      <c r="BN7948" s="4"/>
      <c r="BO7948" s="4"/>
      <c r="BQ7948" s="4"/>
      <c r="CC7948" s="4"/>
      <c r="CD7948" s="4"/>
      <c r="CF7948" s="4"/>
    </row>
    <row r="7949" spans="66:84">
      <c r="BN7949" s="4"/>
      <c r="BO7949" s="4"/>
      <c r="BQ7949" s="4"/>
      <c r="CC7949" s="4"/>
      <c r="CD7949" s="4"/>
      <c r="CF7949" s="4"/>
    </row>
    <row r="7950" spans="66:84">
      <c r="BN7950" s="4"/>
      <c r="BO7950" s="4"/>
      <c r="BQ7950" s="4"/>
      <c r="CC7950" s="4"/>
      <c r="CD7950" s="4"/>
      <c r="CF7950" s="4"/>
    </row>
    <row r="7951" spans="66:84">
      <c r="BN7951" s="4"/>
      <c r="BO7951" s="4"/>
      <c r="BQ7951" s="4"/>
      <c r="CC7951" s="4"/>
      <c r="CD7951" s="4"/>
      <c r="CF7951" s="4"/>
    </row>
    <row r="7952" spans="66:84">
      <c r="BN7952" s="4"/>
      <c r="BO7952" s="4"/>
      <c r="BQ7952" s="4"/>
      <c r="CC7952" s="4"/>
      <c r="CD7952" s="4"/>
      <c r="CF7952" s="4"/>
    </row>
    <row r="7953" spans="66:84">
      <c r="BN7953" s="4"/>
      <c r="BO7953" s="4"/>
      <c r="BQ7953" s="4"/>
      <c r="CC7953" s="4"/>
      <c r="CD7953" s="4"/>
      <c r="CF7953" s="4"/>
    </row>
    <row r="7954" spans="66:84">
      <c r="BN7954" s="4"/>
      <c r="BO7954" s="4"/>
      <c r="BQ7954" s="4"/>
      <c r="CC7954" s="4"/>
      <c r="CD7954" s="4"/>
      <c r="CF7954" s="4"/>
    </row>
    <row r="7955" spans="66:84">
      <c r="BN7955" s="4"/>
      <c r="BO7955" s="4"/>
      <c r="BQ7955" s="4"/>
      <c r="CC7955" s="4"/>
      <c r="CD7955" s="4"/>
      <c r="CF7955" s="4"/>
    </row>
    <row r="7956" spans="66:84">
      <c r="BN7956" s="4"/>
      <c r="BO7956" s="4"/>
      <c r="BQ7956" s="4"/>
      <c r="CC7956" s="4"/>
      <c r="CD7956" s="4"/>
      <c r="CF7956" s="4"/>
    </row>
    <row r="7957" spans="66:84">
      <c r="BN7957" s="4"/>
      <c r="BO7957" s="4"/>
      <c r="BQ7957" s="4"/>
      <c r="CC7957" s="4"/>
      <c r="CD7957" s="4"/>
      <c r="CF7957" s="4"/>
    </row>
    <row r="7958" spans="66:84">
      <c r="BN7958" s="4"/>
      <c r="BO7958" s="4"/>
      <c r="BQ7958" s="4"/>
      <c r="CC7958" s="4"/>
      <c r="CD7958" s="4"/>
      <c r="CF7958" s="4"/>
    </row>
    <row r="7959" spans="66:84">
      <c r="BN7959" s="4"/>
      <c r="BO7959" s="4"/>
      <c r="BQ7959" s="4"/>
      <c r="CC7959" s="4"/>
      <c r="CD7959" s="4"/>
      <c r="CF7959" s="4"/>
    </row>
    <row r="7960" spans="66:84">
      <c r="BN7960" s="4"/>
      <c r="BO7960" s="4"/>
      <c r="BQ7960" s="4"/>
      <c r="CC7960" s="4"/>
      <c r="CD7960" s="4"/>
      <c r="CF7960" s="4"/>
    </row>
    <row r="7961" spans="66:84">
      <c r="BN7961" s="4"/>
      <c r="BO7961" s="4"/>
      <c r="BQ7961" s="4"/>
      <c r="CC7961" s="4"/>
      <c r="CD7961" s="4"/>
      <c r="CF7961" s="4"/>
    </row>
    <row r="7962" spans="66:84">
      <c r="BN7962" s="4"/>
      <c r="BO7962" s="4"/>
      <c r="BQ7962" s="4"/>
      <c r="CC7962" s="4"/>
      <c r="CD7962" s="4"/>
      <c r="CF7962" s="4"/>
    </row>
    <row r="7963" spans="66:84">
      <c r="BN7963" s="4"/>
      <c r="BO7963" s="4"/>
      <c r="BQ7963" s="4"/>
      <c r="CC7963" s="4"/>
      <c r="CD7963" s="4"/>
      <c r="CF7963" s="4"/>
    </row>
    <row r="7964" spans="66:84">
      <c r="BN7964" s="4"/>
      <c r="BO7964" s="4"/>
      <c r="BQ7964" s="4"/>
      <c r="CC7964" s="4"/>
      <c r="CD7964" s="4"/>
      <c r="CF7964" s="4"/>
    </row>
    <row r="7965" spans="66:84">
      <c r="BN7965" s="4"/>
      <c r="BO7965" s="4"/>
      <c r="BQ7965" s="4"/>
      <c r="CC7965" s="4"/>
      <c r="CD7965" s="4"/>
      <c r="CF7965" s="4"/>
    </row>
    <row r="7966" spans="66:84">
      <c r="BN7966" s="4"/>
      <c r="BO7966" s="4"/>
      <c r="BQ7966" s="4"/>
      <c r="CC7966" s="4"/>
      <c r="CD7966" s="4"/>
      <c r="CF7966" s="4"/>
    </row>
    <row r="7967" spans="66:84">
      <c r="BN7967" s="4"/>
      <c r="BO7967" s="4"/>
      <c r="BQ7967" s="4"/>
      <c r="CC7967" s="4"/>
      <c r="CD7967" s="4"/>
      <c r="CF7967" s="4"/>
    </row>
    <row r="7968" spans="66:84">
      <c r="BN7968" s="4"/>
      <c r="BO7968" s="4"/>
      <c r="BQ7968" s="4"/>
      <c r="CC7968" s="4"/>
      <c r="CD7968" s="4"/>
      <c r="CF7968" s="4"/>
    </row>
    <row r="7969" spans="66:84">
      <c r="BN7969" s="4"/>
      <c r="BO7969" s="4"/>
      <c r="BQ7969" s="4"/>
      <c r="CC7969" s="4"/>
      <c r="CD7969" s="4"/>
      <c r="CF7969" s="4"/>
    </row>
    <row r="7970" spans="66:84">
      <c r="BN7970" s="4"/>
      <c r="BO7970" s="4"/>
      <c r="BQ7970" s="4"/>
      <c r="CC7970" s="4"/>
      <c r="CD7970" s="4"/>
      <c r="CF7970" s="4"/>
    </row>
    <row r="7971" spans="66:84">
      <c r="BN7971" s="4"/>
      <c r="BO7971" s="4"/>
      <c r="BQ7971" s="4"/>
      <c r="CC7971" s="4"/>
      <c r="CD7971" s="4"/>
      <c r="CF7971" s="4"/>
    </row>
    <row r="7972" spans="66:84">
      <c r="BN7972" s="4"/>
      <c r="BO7972" s="4"/>
      <c r="BQ7972" s="4"/>
      <c r="CC7972" s="4"/>
      <c r="CD7972" s="4"/>
      <c r="CF7972" s="4"/>
    </row>
    <row r="7973" spans="66:84">
      <c r="BN7973" s="4"/>
      <c r="BO7973" s="4"/>
      <c r="BQ7973" s="4"/>
      <c r="CC7973" s="4"/>
      <c r="CD7973" s="4"/>
      <c r="CF7973" s="4"/>
    </row>
    <row r="7974" spans="66:84">
      <c r="BN7974" s="4"/>
      <c r="BO7974" s="4"/>
      <c r="BQ7974" s="4"/>
      <c r="CC7974" s="4"/>
      <c r="CD7974" s="4"/>
      <c r="CF7974" s="4"/>
    </row>
    <row r="7975" spans="66:84">
      <c r="BN7975" s="4"/>
      <c r="BO7975" s="4"/>
      <c r="BQ7975" s="4"/>
      <c r="CC7975" s="4"/>
      <c r="CD7975" s="4"/>
      <c r="CF7975" s="4"/>
    </row>
    <row r="7976" spans="66:84">
      <c r="BN7976" s="4"/>
      <c r="BO7976" s="4"/>
      <c r="BQ7976" s="4"/>
      <c r="CC7976" s="4"/>
      <c r="CD7976" s="4"/>
      <c r="CF7976" s="4"/>
    </row>
    <row r="7977" spans="66:84">
      <c r="BN7977" s="4"/>
      <c r="BO7977" s="4"/>
      <c r="BQ7977" s="4"/>
      <c r="CC7977" s="4"/>
      <c r="CD7977" s="4"/>
      <c r="CF7977" s="4"/>
    </row>
    <row r="7978" spans="66:84">
      <c r="BN7978" s="4"/>
      <c r="BO7978" s="4"/>
      <c r="BQ7978" s="4"/>
      <c r="CC7978" s="4"/>
      <c r="CD7978" s="4"/>
      <c r="CF7978" s="4"/>
    </row>
    <row r="7979" spans="66:84">
      <c r="BN7979" s="4"/>
      <c r="BO7979" s="4"/>
      <c r="BQ7979" s="4"/>
      <c r="CC7979" s="4"/>
      <c r="CD7979" s="4"/>
      <c r="CF7979" s="4"/>
    </row>
    <row r="7980" spans="66:84">
      <c r="BN7980" s="4"/>
      <c r="BO7980" s="4"/>
      <c r="BQ7980" s="4"/>
      <c r="CC7980" s="4"/>
      <c r="CD7980" s="4"/>
      <c r="CF7980" s="4"/>
    </row>
    <row r="7981" spans="66:84">
      <c r="BN7981" s="4"/>
      <c r="BO7981" s="4"/>
      <c r="BQ7981" s="4"/>
      <c r="CC7981" s="4"/>
      <c r="CD7981" s="4"/>
      <c r="CF7981" s="4"/>
    </row>
    <row r="7982" spans="66:84">
      <c r="BN7982" s="4"/>
      <c r="BO7982" s="4"/>
      <c r="BQ7982" s="4"/>
      <c r="CC7982" s="4"/>
      <c r="CD7982" s="4"/>
      <c r="CF7982" s="4"/>
    </row>
    <row r="7983" spans="66:84">
      <c r="BN7983" s="4"/>
      <c r="BO7983" s="4"/>
      <c r="BQ7983" s="4"/>
      <c r="CC7983" s="4"/>
      <c r="CD7983" s="4"/>
      <c r="CF7983" s="4"/>
    </row>
    <row r="7984" spans="66:84">
      <c r="BN7984" s="4"/>
      <c r="BO7984" s="4"/>
      <c r="BQ7984" s="4"/>
      <c r="CC7984" s="4"/>
      <c r="CD7984" s="4"/>
      <c r="CF7984" s="4"/>
    </row>
    <row r="7985" spans="66:84">
      <c r="BN7985" s="4"/>
      <c r="BO7985" s="4"/>
      <c r="BQ7985" s="4"/>
      <c r="CC7985" s="4"/>
      <c r="CD7985" s="4"/>
      <c r="CF7985" s="4"/>
    </row>
    <row r="7986" spans="66:84">
      <c r="BN7986" s="4"/>
      <c r="BO7986" s="4"/>
      <c r="BQ7986" s="4"/>
      <c r="CC7986" s="4"/>
      <c r="CD7986" s="4"/>
      <c r="CF7986" s="4"/>
    </row>
    <row r="7987" spans="66:84">
      <c r="BN7987" s="4"/>
      <c r="BO7987" s="4"/>
      <c r="BQ7987" s="4"/>
      <c r="CC7987" s="4"/>
      <c r="CD7987" s="4"/>
      <c r="CF7987" s="4"/>
    </row>
    <row r="7988" spans="66:84">
      <c r="BN7988" s="4"/>
      <c r="BO7988" s="4"/>
      <c r="BQ7988" s="4"/>
      <c r="CC7988" s="4"/>
      <c r="CD7988" s="4"/>
      <c r="CF7988" s="4"/>
    </row>
    <row r="7989" spans="66:84">
      <c r="BN7989" s="4"/>
      <c r="BO7989" s="4"/>
      <c r="BQ7989" s="4"/>
      <c r="CC7989" s="4"/>
      <c r="CD7989" s="4"/>
      <c r="CF7989" s="4"/>
    </row>
    <row r="7990" spans="66:84">
      <c r="BN7990" s="4"/>
      <c r="BO7990" s="4"/>
      <c r="BQ7990" s="4"/>
      <c r="CC7990" s="4"/>
      <c r="CD7990" s="4"/>
      <c r="CF7990" s="4"/>
    </row>
    <row r="7991" spans="66:84">
      <c r="BN7991" s="4"/>
      <c r="BO7991" s="4"/>
      <c r="BQ7991" s="4"/>
      <c r="CC7991" s="4"/>
      <c r="CD7991" s="4"/>
      <c r="CF7991" s="4"/>
    </row>
    <row r="7992" spans="66:84">
      <c r="BN7992" s="4"/>
      <c r="BO7992" s="4"/>
      <c r="BQ7992" s="4"/>
      <c r="CC7992" s="4"/>
      <c r="CD7992" s="4"/>
      <c r="CF7992" s="4"/>
    </row>
    <row r="7993" spans="66:84">
      <c r="BN7993" s="4"/>
      <c r="BO7993" s="4"/>
      <c r="BQ7993" s="4"/>
      <c r="CC7993" s="4"/>
      <c r="CD7993" s="4"/>
      <c r="CF7993" s="4"/>
    </row>
    <row r="7994" spans="66:84">
      <c r="BN7994" s="4"/>
      <c r="BO7994" s="4"/>
      <c r="BQ7994" s="4"/>
      <c r="CC7994" s="4"/>
      <c r="CD7994" s="4"/>
      <c r="CF7994" s="4"/>
    </row>
    <row r="7995" spans="66:84">
      <c r="BN7995" s="4"/>
      <c r="BO7995" s="4"/>
      <c r="BQ7995" s="4"/>
      <c r="CC7995" s="4"/>
      <c r="CD7995" s="4"/>
      <c r="CF7995" s="4"/>
    </row>
    <row r="7996" spans="66:84">
      <c r="BN7996" s="4"/>
      <c r="BO7996" s="4"/>
      <c r="BQ7996" s="4"/>
      <c r="CC7996" s="4"/>
      <c r="CD7996" s="4"/>
      <c r="CF7996" s="4"/>
    </row>
    <row r="7997" spans="66:84">
      <c r="BN7997" s="4"/>
      <c r="BO7997" s="4"/>
      <c r="BQ7997" s="4"/>
      <c r="CC7997" s="4"/>
      <c r="CD7997" s="4"/>
      <c r="CF7997" s="4"/>
    </row>
    <row r="7998" spans="66:84">
      <c r="BN7998" s="4"/>
      <c r="BO7998" s="4"/>
      <c r="BQ7998" s="4"/>
      <c r="CC7998" s="4"/>
      <c r="CD7998" s="4"/>
      <c r="CF7998" s="4"/>
    </row>
    <row r="7999" spans="66:84">
      <c r="BN7999" s="4"/>
      <c r="BO7999" s="4"/>
      <c r="BQ7999" s="4"/>
      <c r="CC7999" s="4"/>
      <c r="CD7999" s="4"/>
      <c r="CF7999" s="4"/>
    </row>
    <row r="8000" spans="66:84">
      <c r="BN8000" s="4"/>
      <c r="BO8000" s="4"/>
      <c r="BQ8000" s="4"/>
      <c r="CC8000" s="4"/>
      <c r="CD8000" s="4"/>
      <c r="CF8000" s="4"/>
    </row>
    <row r="8001" spans="66:84">
      <c r="BN8001" s="4"/>
      <c r="BO8001" s="4"/>
      <c r="BQ8001" s="4"/>
      <c r="CC8001" s="4"/>
      <c r="CD8001" s="4"/>
      <c r="CF8001" s="4"/>
    </row>
    <row r="8002" spans="66:84">
      <c r="BN8002" s="4"/>
      <c r="BO8002" s="4"/>
      <c r="BQ8002" s="4"/>
      <c r="CC8002" s="4"/>
      <c r="CD8002" s="4"/>
      <c r="CF8002" s="4"/>
    </row>
    <row r="8003" spans="66:84">
      <c r="BN8003" s="4"/>
      <c r="BO8003" s="4"/>
      <c r="BQ8003" s="4"/>
      <c r="CC8003" s="4"/>
      <c r="CD8003" s="4"/>
      <c r="CF8003" s="4"/>
    </row>
    <row r="8004" spans="66:84">
      <c r="BN8004" s="4"/>
      <c r="BO8004" s="4"/>
      <c r="BQ8004" s="4"/>
      <c r="CC8004" s="4"/>
      <c r="CD8004" s="4"/>
      <c r="CF8004" s="4"/>
    </row>
    <row r="8005" spans="66:84">
      <c r="BN8005" s="4"/>
      <c r="BO8005" s="4"/>
      <c r="BQ8005" s="4"/>
      <c r="CC8005" s="4"/>
      <c r="CD8005" s="4"/>
      <c r="CF8005" s="4"/>
    </row>
    <row r="8006" spans="66:84">
      <c r="BN8006" s="4"/>
      <c r="BO8006" s="4"/>
      <c r="BQ8006" s="4"/>
      <c r="CC8006" s="4"/>
      <c r="CD8006" s="4"/>
      <c r="CF8006" s="4"/>
    </row>
    <row r="8007" spans="66:84">
      <c r="BN8007" s="4"/>
      <c r="BO8007" s="4"/>
      <c r="BQ8007" s="4"/>
      <c r="CC8007" s="4"/>
      <c r="CD8007" s="4"/>
      <c r="CF8007" s="4"/>
    </row>
    <row r="8008" spans="66:84">
      <c r="BN8008" s="4"/>
      <c r="BO8008" s="4"/>
      <c r="BQ8008" s="4"/>
      <c r="CC8008" s="4"/>
      <c r="CD8008" s="4"/>
      <c r="CF8008" s="4"/>
    </row>
    <row r="8009" spans="66:84">
      <c r="BN8009" s="4"/>
      <c r="BO8009" s="4"/>
      <c r="BQ8009" s="4"/>
      <c r="CC8009" s="4"/>
      <c r="CD8009" s="4"/>
      <c r="CF8009" s="4"/>
    </row>
    <row r="8010" spans="66:84">
      <c r="BN8010" s="4"/>
      <c r="BO8010" s="4"/>
      <c r="BQ8010" s="4"/>
      <c r="CC8010" s="4"/>
      <c r="CD8010" s="4"/>
      <c r="CF8010" s="4"/>
    </row>
    <row r="8011" spans="66:84">
      <c r="BN8011" s="4"/>
      <c r="BO8011" s="4"/>
      <c r="BQ8011" s="4"/>
      <c r="CC8011" s="4"/>
      <c r="CD8011" s="4"/>
      <c r="CF8011" s="4"/>
    </row>
    <row r="8012" spans="66:84">
      <c r="BN8012" s="4"/>
      <c r="BO8012" s="4"/>
      <c r="BQ8012" s="4"/>
      <c r="CC8012" s="4"/>
      <c r="CD8012" s="4"/>
      <c r="CF8012" s="4"/>
    </row>
    <row r="8013" spans="66:84">
      <c r="BN8013" s="4"/>
      <c r="BO8013" s="4"/>
      <c r="BQ8013" s="4"/>
      <c r="CC8013" s="4"/>
      <c r="CD8013" s="4"/>
      <c r="CF8013" s="4"/>
    </row>
    <row r="8014" spans="66:84">
      <c r="BN8014" s="4"/>
      <c r="BO8014" s="4"/>
      <c r="BQ8014" s="4"/>
      <c r="CC8014" s="4"/>
      <c r="CD8014" s="4"/>
      <c r="CF8014" s="4"/>
    </row>
    <row r="8015" spans="66:84">
      <c r="BN8015" s="4"/>
      <c r="BO8015" s="4"/>
      <c r="BQ8015" s="4"/>
      <c r="CC8015" s="4"/>
      <c r="CD8015" s="4"/>
      <c r="CF8015" s="4"/>
    </row>
    <row r="8016" spans="66:84">
      <c r="BN8016" s="4"/>
      <c r="BO8016" s="4"/>
      <c r="BQ8016" s="4"/>
      <c r="CC8016" s="4"/>
      <c r="CD8016" s="4"/>
      <c r="CF8016" s="4"/>
    </row>
    <row r="8017" spans="66:84">
      <c r="BN8017" s="4"/>
      <c r="BO8017" s="4"/>
      <c r="BQ8017" s="4"/>
      <c r="CC8017" s="4"/>
      <c r="CD8017" s="4"/>
      <c r="CF8017" s="4"/>
    </row>
    <row r="8018" spans="66:84">
      <c r="BN8018" s="4"/>
      <c r="BO8018" s="4"/>
      <c r="BQ8018" s="4"/>
      <c r="CC8018" s="4"/>
      <c r="CD8018" s="4"/>
      <c r="CF8018" s="4"/>
    </row>
    <row r="8019" spans="66:84">
      <c r="BN8019" s="4"/>
      <c r="BO8019" s="4"/>
      <c r="BQ8019" s="4"/>
      <c r="CC8019" s="4"/>
      <c r="CD8019" s="4"/>
      <c r="CF8019" s="4"/>
    </row>
    <row r="8020" spans="66:84">
      <c r="BN8020" s="4"/>
      <c r="BO8020" s="4"/>
      <c r="BQ8020" s="4"/>
      <c r="CC8020" s="4"/>
      <c r="CD8020" s="4"/>
      <c r="CF8020" s="4"/>
    </row>
    <row r="8021" spans="66:84">
      <c r="BN8021" s="4"/>
      <c r="BO8021" s="4"/>
      <c r="BQ8021" s="4"/>
      <c r="CC8021" s="4"/>
      <c r="CD8021" s="4"/>
      <c r="CF8021" s="4"/>
    </row>
    <row r="8022" spans="66:84">
      <c r="BN8022" s="4"/>
      <c r="BO8022" s="4"/>
      <c r="BQ8022" s="4"/>
      <c r="CC8022" s="4"/>
      <c r="CD8022" s="4"/>
      <c r="CF8022" s="4"/>
    </row>
    <row r="8023" spans="66:84">
      <c r="BN8023" s="4"/>
      <c r="BO8023" s="4"/>
      <c r="BQ8023" s="4"/>
      <c r="CC8023" s="4"/>
      <c r="CD8023" s="4"/>
      <c r="CF8023" s="4"/>
    </row>
    <row r="8024" spans="66:84">
      <c r="BN8024" s="4"/>
      <c r="BO8024" s="4"/>
      <c r="BQ8024" s="4"/>
      <c r="CC8024" s="4"/>
      <c r="CD8024" s="4"/>
      <c r="CF8024" s="4"/>
    </row>
    <row r="8025" spans="66:84">
      <c r="BN8025" s="4"/>
      <c r="BO8025" s="4"/>
      <c r="BQ8025" s="4"/>
      <c r="CC8025" s="4"/>
      <c r="CD8025" s="4"/>
      <c r="CF8025" s="4"/>
    </row>
    <row r="8026" spans="66:84">
      <c r="BN8026" s="4"/>
      <c r="BO8026" s="4"/>
      <c r="BQ8026" s="4"/>
      <c r="CC8026" s="4"/>
      <c r="CD8026" s="4"/>
      <c r="CF8026" s="4"/>
    </row>
    <row r="8027" spans="66:84">
      <c r="BN8027" s="4"/>
      <c r="BO8027" s="4"/>
      <c r="BQ8027" s="4"/>
      <c r="CC8027" s="4"/>
      <c r="CD8027" s="4"/>
      <c r="CF8027" s="4"/>
    </row>
    <row r="8028" spans="66:84">
      <c r="BN8028" s="4"/>
      <c r="BO8028" s="4"/>
      <c r="BQ8028" s="4"/>
      <c r="CC8028" s="4"/>
      <c r="CD8028" s="4"/>
      <c r="CF8028" s="4"/>
    </row>
    <row r="8029" spans="66:84">
      <c r="BN8029" s="4"/>
      <c r="BO8029" s="4"/>
      <c r="BQ8029" s="4"/>
      <c r="CC8029" s="4"/>
      <c r="CD8029" s="4"/>
      <c r="CF8029" s="4"/>
    </row>
    <row r="8030" spans="66:84">
      <c r="BN8030" s="4"/>
      <c r="BO8030" s="4"/>
      <c r="BQ8030" s="4"/>
      <c r="CC8030" s="4"/>
      <c r="CD8030" s="4"/>
      <c r="CF8030" s="4"/>
    </row>
    <row r="8031" spans="66:84">
      <c r="BN8031" s="4"/>
      <c r="BO8031" s="4"/>
      <c r="BQ8031" s="4"/>
      <c r="CC8031" s="4"/>
      <c r="CD8031" s="4"/>
      <c r="CF8031" s="4"/>
    </row>
    <row r="8032" spans="66:84">
      <c r="BN8032" s="4"/>
      <c r="BO8032" s="4"/>
      <c r="BQ8032" s="4"/>
      <c r="CC8032" s="4"/>
      <c r="CD8032" s="4"/>
      <c r="CF8032" s="4"/>
    </row>
    <row r="8033" spans="66:84">
      <c r="BN8033" s="4"/>
      <c r="BO8033" s="4"/>
      <c r="BQ8033" s="4"/>
      <c r="CC8033" s="4"/>
      <c r="CD8033" s="4"/>
      <c r="CF8033" s="4"/>
    </row>
    <row r="8034" spans="66:84">
      <c r="BN8034" s="4"/>
      <c r="BO8034" s="4"/>
      <c r="BQ8034" s="4"/>
      <c r="CC8034" s="4"/>
      <c r="CD8034" s="4"/>
      <c r="CF8034" s="4"/>
    </row>
    <row r="8035" spans="66:84">
      <c r="BN8035" s="4"/>
      <c r="BO8035" s="4"/>
      <c r="BQ8035" s="4"/>
      <c r="CC8035" s="4"/>
      <c r="CD8035" s="4"/>
      <c r="CF8035" s="4"/>
    </row>
    <row r="8036" spans="66:84">
      <c r="BN8036" s="4"/>
      <c r="BO8036" s="4"/>
      <c r="BQ8036" s="4"/>
      <c r="CC8036" s="4"/>
      <c r="CD8036" s="4"/>
      <c r="CF8036" s="4"/>
    </row>
    <row r="8037" spans="66:84">
      <c r="BN8037" s="4"/>
      <c r="BO8037" s="4"/>
      <c r="BQ8037" s="4"/>
      <c r="CC8037" s="4"/>
      <c r="CD8037" s="4"/>
      <c r="CF8037" s="4"/>
    </row>
    <row r="8038" spans="66:84">
      <c r="BN8038" s="4"/>
      <c r="BO8038" s="4"/>
      <c r="BQ8038" s="4"/>
      <c r="CC8038" s="4"/>
      <c r="CD8038" s="4"/>
      <c r="CF8038" s="4"/>
    </row>
    <row r="8039" spans="66:84">
      <c r="BN8039" s="4"/>
      <c r="BO8039" s="4"/>
      <c r="BQ8039" s="4"/>
      <c r="CC8039" s="4"/>
      <c r="CD8039" s="4"/>
      <c r="CF8039" s="4"/>
    </row>
    <row r="8040" spans="66:84">
      <c r="BN8040" s="4"/>
      <c r="BO8040" s="4"/>
      <c r="BQ8040" s="4"/>
      <c r="CC8040" s="4"/>
      <c r="CD8040" s="4"/>
      <c r="CF8040" s="4"/>
    </row>
    <row r="8041" spans="66:84">
      <c r="BN8041" s="4"/>
      <c r="BO8041" s="4"/>
      <c r="BQ8041" s="4"/>
      <c r="CC8041" s="4"/>
      <c r="CD8041" s="4"/>
      <c r="CF8041" s="4"/>
    </row>
    <row r="8042" spans="66:84">
      <c r="BN8042" s="4"/>
      <c r="BO8042" s="4"/>
      <c r="BQ8042" s="4"/>
      <c r="CC8042" s="4"/>
      <c r="CD8042" s="4"/>
      <c r="CF8042" s="4"/>
    </row>
    <row r="8043" spans="66:84">
      <c r="BN8043" s="4"/>
      <c r="BO8043" s="4"/>
      <c r="BQ8043" s="4"/>
      <c r="CC8043" s="4"/>
      <c r="CD8043" s="4"/>
      <c r="CF8043" s="4"/>
    </row>
    <row r="8044" spans="66:84">
      <c r="BN8044" s="4"/>
      <c r="BO8044" s="4"/>
      <c r="BQ8044" s="4"/>
      <c r="CC8044" s="4"/>
      <c r="CD8044" s="4"/>
      <c r="CF8044" s="4"/>
    </row>
    <row r="8045" spans="66:84">
      <c r="BN8045" s="4"/>
      <c r="BO8045" s="4"/>
      <c r="BQ8045" s="4"/>
      <c r="CC8045" s="4"/>
      <c r="CD8045" s="4"/>
      <c r="CF8045" s="4"/>
    </row>
    <row r="8046" spans="66:84">
      <c r="BN8046" s="4"/>
      <c r="BO8046" s="4"/>
      <c r="BQ8046" s="4"/>
      <c r="CC8046" s="4"/>
      <c r="CD8046" s="4"/>
      <c r="CF8046" s="4"/>
    </row>
    <row r="8047" spans="66:84">
      <c r="BN8047" s="4"/>
      <c r="BO8047" s="4"/>
      <c r="BQ8047" s="4"/>
      <c r="CC8047" s="4"/>
      <c r="CD8047" s="4"/>
      <c r="CF8047" s="4"/>
    </row>
    <row r="8048" spans="66:84">
      <c r="BN8048" s="4"/>
      <c r="BO8048" s="4"/>
      <c r="BQ8048" s="4"/>
      <c r="CC8048" s="4"/>
      <c r="CD8048" s="4"/>
      <c r="CF8048" s="4"/>
    </row>
    <row r="8049" spans="66:84">
      <c r="BN8049" s="4"/>
      <c r="BO8049" s="4"/>
      <c r="BQ8049" s="4"/>
      <c r="CC8049" s="4"/>
      <c r="CD8049" s="4"/>
      <c r="CF8049" s="4"/>
    </row>
    <row r="8050" spans="66:84">
      <c r="BN8050" s="4"/>
      <c r="BO8050" s="4"/>
      <c r="BQ8050" s="4"/>
      <c r="CC8050" s="4"/>
      <c r="CD8050" s="4"/>
      <c r="CF8050" s="4"/>
    </row>
    <row r="8051" spans="66:84">
      <c r="BN8051" s="4"/>
      <c r="BO8051" s="4"/>
      <c r="BQ8051" s="4"/>
      <c r="CC8051" s="4"/>
      <c r="CD8051" s="4"/>
      <c r="CF8051" s="4"/>
    </row>
    <row r="8052" spans="66:84">
      <c r="BN8052" s="4"/>
      <c r="BO8052" s="4"/>
      <c r="BQ8052" s="4"/>
      <c r="CC8052" s="4"/>
      <c r="CD8052" s="4"/>
      <c r="CF8052" s="4"/>
    </row>
    <row r="8053" spans="66:84">
      <c r="BN8053" s="4"/>
      <c r="BO8053" s="4"/>
      <c r="BQ8053" s="4"/>
      <c r="CC8053" s="4"/>
      <c r="CD8053" s="4"/>
      <c r="CF8053" s="4"/>
    </row>
    <row r="8054" spans="66:84">
      <c r="BN8054" s="4"/>
      <c r="BO8054" s="4"/>
      <c r="BQ8054" s="4"/>
      <c r="CC8054" s="4"/>
      <c r="CD8054" s="4"/>
      <c r="CF8054" s="4"/>
    </row>
    <row r="8055" spans="66:84">
      <c r="BN8055" s="4"/>
      <c r="BO8055" s="4"/>
      <c r="BQ8055" s="4"/>
      <c r="CC8055" s="4"/>
      <c r="CD8055" s="4"/>
      <c r="CF8055" s="4"/>
    </row>
    <row r="8056" spans="66:84">
      <c r="BN8056" s="4"/>
      <c r="BO8056" s="4"/>
      <c r="BQ8056" s="4"/>
      <c r="CC8056" s="4"/>
      <c r="CD8056" s="4"/>
      <c r="CF8056" s="4"/>
    </row>
    <row r="8057" spans="66:84">
      <c r="BN8057" s="4"/>
      <c r="BO8057" s="4"/>
      <c r="BQ8057" s="4"/>
      <c r="CC8057" s="4"/>
      <c r="CD8057" s="4"/>
      <c r="CF8057" s="4"/>
    </row>
    <row r="8058" spans="66:84">
      <c r="BN8058" s="4"/>
      <c r="BO8058" s="4"/>
      <c r="BQ8058" s="4"/>
      <c r="CC8058" s="4"/>
      <c r="CD8058" s="4"/>
      <c r="CF8058" s="4"/>
    </row>
    <row r="8059" spans="66:84">
      <c r="BN8059" s="4"/>
      <c r="BO8059" s="4"/>
      <c r="BQ8059" s="4"/>
      <c r="CC8059" s="4"/>
      <c r="CD8059" s="4"/>
      <c r="CF8059" s="4"/>
    </row>
    <row r="8060" spans="66:84">
      <c r="BN8060" s="4"/>
      <c r="BO8060" s="4"/>
      <c r="BQ8060" s="4"/>
      <c r="CC8060" s="4"/>
      <c r="CD8060" s="4"/>
      <c r="CF8060" s="4"/>
    </row>
    <row r="8061" spans="66:84">
      <c r="BN8061" s="4"/>
      <c r="BO8061" s="4"/>
      <c r="BQ8061" s="4"/>
      <c r="CC8061" s="4"/>
      <c r="CD8061" s="4"/>
      <c r="CF8061" s="4"/>
    </row>
    <row r="8062" spans="66:84">
      <c r="BN8062" s="4"/>
      <c r="BO8062" s="4"/>
      <c r="BQ8062" s="4"/>
      <c r="CC8062" s="4"/>
      <c r="CD8062" s="4"/>
      <c r="CF8062" s="4"/>
    </row>
    <row r="8063" spans="66:84">
      <c r="BN8063" s="4"/>
      <c r="BO8063" s="4"/>
      <c r="BQ8063" s="4"/>
      <c r="CC8063" s="4"/>
      <c r="CD8063" s="4"/>
      <c r="CF8063" s="4"/>
    </row>
    <row r="8064" spans="66:84">
      <c r="BN8064" s="4"/>
      <c r="BO8064" s="4"/>
      <c r="BQ8064" s="4"/>
      <c r="CC8064" s="4"/>
      <c r="CD8064" s="4"/>
      <c r="CF8064" s="4"/>
    </row>
    <row r="8065" spans="66:84">
      <c r="BN8065" s="4"/>
      <c r="BO8065" s="4"/>
      <c r="BQ8065" s="4"/>
      <c r="CC8065" s="4"/>
      <c r="CD8065" s="4"/>
      <c r="CF8065" s="4"/>
    </row>
    <row r="8066" spans="66:84">
      <c r="BN8066" s="4"/>
      <c r="BO8066" s="4"/>
      <c r="BQ8066" s="4"/>
      <c r="CC8066" s="4"/>
      <c r="CD8066" s="4"/>
      <c r="CF8066" s="4"/>
    </row>
    <row r="8067" spans="66:84">
      <c r="BN8067" s="4"/>
      <c r="BO8067" s="4"/>
      <c r="BQ8067" s="4"/>
      <c r="CC8067" s="4"/>
      <c r="CD8067" s="4"/>
      <c r="CF8067" s="4"/>
    </row>
    <row r="8068" spans="66:84">
      <c r="BN8068" s="4"/>
      <c r="BO8068" s="4"/>
      <c r="BQ8068" s="4"/>
      <c r="CC8068" s="4"/>
      <c r="CD8068" s="4"/>
      <c r="CF8068" s="4"/>
    </row>
    <row r="8069" spans="66:84">
      <c r="BN8069" s="4"/>
      <c r="BO8069" s="4"/>
      <c r="BQ8069" s="4"/>
      <c r="CC8069" s="4"/>
      <c r="CD8069" s="4"/>
      <c r="CF8069" s="4"/>
    </row>
    <row r="8070" spans="66:84">
      <c r="BN8070" s="4"/>
      <c r="BO8070" s="4"/>
      <c r="BQ8070" s="4"/>
      <c r="CC8070" s="4"/>
      <c r="CD8070" s="4"/>
      <c r="CF8070" s="4"/>
    </row>
    <row r="8071" spans="66:84">
      <c r="BN8071" s="4"/>
      <c r="BO8071" s="4"/>
      <c r="BQ8071" s="4"/>
      <c r="CC8071" s="4"/>
      <c r="CD8071" s="4"/>
      <c r="CF8071" s="4"/>
    </row>
    <row r="8072" spans="66:84">
      <c r="BN8072" s="4"/>
      <c r="BO8072" s="4"/>
      <c r="BQ8072" s="4"/>
      <c r="CC8072" s="4"/>
      <c r="CD8072" s="4"/>
      <c r="CF8072" s="4"/>
    </row>
    <row r="8073" spans="66:84">
      <c r="BN8073" s="4"/>
      <c r="BO8073" s="4"/>
      <c r="BQ8073" s="4"/>
      <c r="CC8073" s="4"/>
      <c r="CD8073" s="4"/>
      <c r="CF8073" s="4"/>
    </row>
    <row r="8074" spans="66:84">
      <c r="BN8074" s="4"/>
      <c r="BO8074" s="4"/>
      <c r="BQ8074" s="4"/>
      <c r="CC8074" s="4"/>
      <c r="CD8074" s="4"/>
      <c r="CF8074" s="4"/>
    </row>
    <row r="8075" spans="66:84">
      <c r="BN8075" s="4"/>
      <c r="BO8075" s="4"/>
      <c r="BQ8075" s="4"/>
      <c r="CC8075" s="4"/>
      <c r="CD8075" s="4"/>
      <c r="CF8075" s="4"/>
    </row>
    <row r="8076" spans="66:84">
      <c r="BN8076" s="4"/>
      <c r="BO8076" s="4"/>
      <c r="BQ8076" s="4"/>
      <c r="CC8076" s="4"/>
      <c r="CD8076" s="4"/>
      <c r="CF8076" s="4"/>
    </row>
    <row r="8077" spans="66:84">
      <c r="BN8077" s="4"/>
      <c r="BO8077" s="4"/>
      <c r="BQ8077" s="4"/>
      <c r="CC8077" s="4"/>
      <c r="CD8077" s="4"/>
      <c r="CF8077" s="4"/>
    </row>
    <row r="8078" spans="66:84">
      <c r="BN8078" s="4"/>
      <c r="BO8078" s="4"/>
      <c r="BQ8078" s="4"/>
      <c r="CC8078" s="4"/>
      <c r="CD8078" s="4"/>
      <c r="CF8078" s="4"/>
    </row>
    <row r="8079" spans="66:84">
      <c r="BN8079" s="4"/>
      <c r="BO8079" s="4"/>
      <c r="BQ8079" s="4"/>
      <c r="CC8079" s="4"/>
      <c r="CD8079" s="4"/>
      <c r="CF8079" s="4"/>
    </row>
    <row r="8080" spans="66:84">
      <c r="BN8080" s="4"/>
      <c r="BO8080" s="4"/>
      <c r="BQ8080" s="4"/>
      <c r="CC8080" s="4"/>
      <c r="CD8080" s="4"/>
      <c r="CF8080" s="4"/>
    </row>
    <row r="8081" spans="66:84">
      <c r="BN8081" s="4"/>
      <c r="BO8081" s="4"/>
      <c r="BQ8081" s="4"/>
      <c r="CC8081" s="4"/>
      <c r="CD8081" s="4"/>
      <c r="CF8081" s="4"/>
    </row>
    <row r="8082" spans="66:84">
      <c r="BN8082" s="4"/>
      <c r="BO8082" s="4"/>
      <c r="BQ8082" s="4"/>
      <c r="CC8082" s="4"/>
      <c r="CD8082" s="4"/>
      <c r="CF8082" s="4"/>
    </row>
    <row r="8083" spans="66:84">
      <c r="BN8083" s="4"/>
      <c r="BO8083" s="4"/>
      <c r="BQ8083" s="4"/>
      <c r="CC8083" s="4"/>
      <c r="CD8083" s="4"/>
      <c r="CF8083" s="4"/>
    </row>
    <row r="8084" spans="66:84">
      <c r="BN8084" s="4"/>
      <c r="BO8084" s="4"/>
      <c r="BQ8084" s="4"/>
      <c r="CC8084" s="4"/>
      <c r="CD8084" s="4"/>
      <c r="CF8084" s="4"/>
    </row>
    <row r="8085" spans="66:84">
      <c r="BN8085" s="4"/>
      <c r="BO8085" s="4"/>
      <c r="BQ8085" s="4"/>
      <c r="CC8085" s="4"/>
      <c r="CD8085" s="4"/>
      <c r="CF8085" s="4"/>
    </row>
    <row r="8086" spans="66:84">
      <c r="BN8086" s="4"/>
      <c r="BO8086" s="4"/>
      <c r="BQ8086" s="4"/>
      <c r="CC8086" s="4"/>
      <c r="CD8086" s="4"/>
      <c r="CF8086" s="4"/>
    </row>
    <row r="8087" spans="66:84">
      <c r="BN8087" s="4"/>
      <c r="BO8087" s="4"/>
      <c r="BQ8087" s="4"/>
      <c r="CC8087" s="4"/>
      <c r="CD8087" s="4"/>
      <c r="CF8087" s="4"/>
    </row>
    <row r="8088" spans="66:84">
      <c r="BN8088" s="4"/>
      <c r="BO8088" s="4"/>
      <c r="BQ8088" s="4"/>
      <c r="CC8088" s="4"/>
      <c r="CD8088" s="4"/>
      <c r="CF8088" s="4"/>
    </row>
    <row r="8089" spans="66:84">
      <c r="BN8089" s="4"/>
      <c r="BO8089" s="4"/>
      <c r="BQ8089" s="4"/>
      <c r="CC8089" s="4"/>
      <c r="CD8089" s="4"/>
      <c r="CF8089" s="4"/>
    </row>
    <row r="8090" spans="66:84">
      <c r="BN8090" s="4"/>
      <c r="BO8090" s="4"/>
      <c r="BQ8090" s="4"/>
      <c r="CC8090" s="4"/>
      <c r="CD8090" s="4"/>
      <c r="CF8090" s="4"/>
    </row>
    <row r="8091" spans="66:84">
      <c r="BN8091" s="4"/>
      <c r="BO8091" s="4"/>
      <c r="BQ8091" s="4"/>
      <c r="CC8091" s="4"/>
      <c r="CD8091" s="4"/>
      <c r="CF8091" s="4"/>
    </row>
    <row r="8092" spans="66:84">
      <c r="BN8092" s="4"/>
      <c r="BO8092" s="4"/>
      <c r="BQ8092" s="4"/>
      <c r="CC8092" s="4"/>
      <c r="CD8092" s="4"/>
      <c r="CF8092" s="4"/>
    </row>
    <row r="8093" spans="66:84">
      <c r="BN8093" s="4"/>
      <c r="BO8093" s="4"/>
      <c r="BQ8093" s="4"/>
      <c r="CC8093" s="4"/>
      <c r="CD8093" s="4"/>
      <c r="CF8093" s="4"/>
    </row>
    <row r="8094" spans="66:84">
      <c r="BN8094" s="4"/>
      <c r="BO8094" s="4"/>
      <c r="BQ8094" s="4"/>
      <c r="CC8094" s="4"/>
      <c r="CD8094" s="4"/>
      <c r="CF8094" s="4"/>
    </row>
    <row r="8095" spans="66:84">
      <c r="BN8095" s="4"/>
      <c r="BO8095" s="4"/>
      <c r="BQ8095" s="4"/>
      <c r="CC8095" s="4"/>
      <c r="CD8095" s="4"/>
      <c r="CF8095" s="4"/>
    </row>
    <row r="8096" spans="66:84">
      <c r="BN8096" s="4"/>
      <c r="BO8096" s="4"/>
      <c r="BQ8096" s="4"/>
      <c r="CC8096" s="4"/>
      <c r="CD8096" s="4"/>
      <c r="CF8096" s="4"/>
    </row>
    <row r="8097" spans="66:84">
      <c r="BN8097" s="4"/>
      <c r="BO8097" s="4"/>
      <c r="BQ8097" s="4"/>
      <c r="CC8097" s="4"/>
      <c r="CD8097" s="4"/>
      <c r="CF8097" s="4"/>
    </row>
    <row r="8098" spans="66:84">
      <c r="BN8098" s="4"/>
      <c r="BO8098" s="4"/>
      <c r="BQ8098" s="4"/>
      <c r="CC8098" s="4"/>
      <c r="CD8098" s="4"/>
      <c r="CF8098" s="4"/>
    </row>
    <row r="8099" spans="66:84">
      <c r="BN8099" s="4"/>
      <c r="BO8099" s="4"/>
      <c r="BQ8099" s="4"/>
      <c r="CC8099" s="4"/>
      <c r="CD8099" s="4"/>
      <c r="CF8099" s="4"/>
    </row>
    <row r="8100" spans="66:84">
      <c r="BN8100" s="4"/>
      <c r="BO8100" s="4"/>
      <c r="BQ8100" s="4"/>
      <c r="CC8100" s="4"/>
      <c r="CD8100" s="4"/>
      <c r="CF8100" s="4"/>
    </row>
    <row r="8101" spans="66:84">
      <c r="BN8101" s="4"/>
      <c r="BO8101" s="4"/>
      <c r="BQ8101" s="4"/>
      <c r="CC8101" s="4"/>
      <c r="CD8101" s="4"/>
      <c r="CF8101" s="4"/>
    </row>
    <row r="8102" spans="66:84">
      <c r="BN8102" s="4"/>
      <c r="BO8102" s="4"/>
      <c r="BQ8102" s="4"/>
      <c r="CC8102" s="4"/>
      <c r="CD8102" s="4"/>
      <c r="CF8102" s="4"/>
    </row>
    <row r="8103" spans="66:84">
      <c r="BN8103" s="4"/>
      <c r="BO8103" s="4"/>
      <c r="BQ8103" s="4"/>
      <c r="CC8103" s="4"/>
      <c r="CD8103" s="4"/>
      <c r="CF8103" s="4"/>
    </row>
    <row r="8104" spans="66:84">
      <c r="BN8104" s="4"/>
      <c r="BO8104" s="4"/>
      <c r="BQ8104" s="4"/>
      <c r="CC8104" s="4"/>
      <c r="CD8104" s="4"/>
      <c r="CF8104" s="4"/>
    </row>
    <row r="8105" spans="66:84">
      <c r="BN8105" s="4"/>
      <c r="BO8105" s="4"/>
      <c r="BQ8105" s="4"/>
      <c r="CC8105" s="4"/>
      <c r="CD8105" s="4"/>
      <c r="CF8105" s="4"/>
    </row>
    <row r="8106" spans="66:84">
      <c r="BN8106" s="4"/>
      <c r="BO8106" s="4"/>
      <c r="BQ8106" s="4"/>
      <c r="CC8106" s="4"/>
      <c r="CD8106" s="4"/>
      <c r="CF8106" s="4"/>
    </row>
    <row r="8107" spans="66:84">
      <c r="BN8107" s="4"/>
      <c r="BO8107" s="4"/>
      <c r="BQ8107" s="4"/>
      <c r="CC8107" s="4"/>
      <c r="CD8107" s="4"/>
      <c r="CF8107" s="4"/>
    </row>
    <row r="8108" spans="66:84">
      <c r="BN8108" s="4"/>
      <c r="BO8108" s="4"/>
      <c r="BQ8108" s="4"/>
      <c r="CC8108" s="4"/>
      <c r="CD8108" s="4"/>
      <c r="CF8108" s="4"/>
    </row>
    <row r="8109" spans="66:84">
      <c r="BN8109" s="4"/>
      <c r="BO8109" s="4"/>
      <c r="BQ8109" s="4"/>
      <c r="CC8109" s="4"/>
      <c r="CD8109" s="4"/>
      <c r="CF8109" s="4"/>
    </row>
    <row r="8110" spans="66:84">
      <c r="BN8110" s="4"/>
      <c r="BO8110" s="4"/>
      <c r="BQ8110" s="4"/>
      <c r="CC8110" s="4"/>
      <c r="CD8110" s="4"/>
      <c r="CF8110" s="4"/>
    </row>
    <row r="8111" spans="66:84">
      <c r="BN8111" s="4"/>
      <c r="BO8111" s="4"/>
      <c r="BQ8111" s="4"/>
      <c r="CC8111" s="4"/>
      <c r="CD8111" s="4"/>
      <c r="CF8111" s="4"/>
    </row>
    <row r="8112" spans="66:84">
      <c r="BN8112" s="4"/>
      <c r="BO8112" s="4"/>
      <c r="BQ8112" s="4"/>
      <c r="CC8112" s="4"/>
      <c r="CD8112" s="4"/>
      <c r="CF8112" s="4"/>
    </row>
    <row r="8113" spans="66:84">
      <c r="BN8113" s="4"/>
      <c r="BO8113" s="4"/>
      <c r="BQ8113" s="4"/>
      <c r="CC8113" s="4"/>
      <c r="CD8113" s="4"/>
      <c r="CF8113" s="4"/>
    </row>
    <row r="8114" spans="66:84">
      <c r="BN8114" s="4"/>
      <c r="BO8114" s="4"/>
      <c r="BQ8114" s="4"/>
      <c r="CC8114" s="4"/>
      <c r="CD8114" s="4"/>
      <c r="CF8114" s="4"/>
    </row>
    <row r="8115" spans="66:84">
      <c r="BN8115" s="4"/>
      <c r="BO8115" s="4"/>
      <c r="BQ8115" s="4"/>
      <c r="CC8115" s="4"/>
      <c r="CD8115" s="4"/>
      <c r="CF8115" s="4"/>
    </row>
    <row r="8116" spans="66:84">
      <c r="BN8116" s="4"/>
      <c r="BO8116" s="4"/>
      <c r="BQ8116" s="4"/>
      <c r="CC8116" s="4"/>
      <c r="CD8116" s="4"/>
      <c r="CF8116" s="4"/>
    </row>
    <row r="8117" spans="66:84">
      <c r="BN8117" s="4"/>
      <c r="BO8117" s="4"/>
      <c r="BQ8117" s="4"/>
      <c r="CC8117" s="4"/>
      <c r="CD8117" s="4"/>
      <c r="CF8117" s="4"/>
    </row>
    <row r="8118" spans="66:84">
      <c r="BN8118" s="4"/>
      <c r="BO8118" s="4"/>
      <c r="BQ8118" s="4"/>
      <c r="CC8118" s="4"/>
      <c r="CD8118" s="4"/>
      <c r="CF8118" s="4"/>
    </row>
    <row r="8119" spans="66:84">
      <c r="BN8119" s="4"/>
      <c r="BO8119" s="4"/>
      <c r="BQ8119" s="4"/>
      <c r="CC8119" s="4"/>
      <c r="CD8119" s="4"/>
      <c r="CF8119" s="4"/>
    </row>
    <row r="8120" spans="66:84">
      <c r="BN8120" s="4"/>
      <c r="BO8120" s="4"/>
      <c r="BQ8120" s="4"/>
      <c r="CC8120" s="4"/>
      <c r="CD8120" s="4"/>
      <c r="CF8120" s="4"/>
    </row>
    <row r="8121" spans="66:84">
      <c r="BN8121" s="4"/>
      <c r="BO8121" s="4"/>
      <c r="BQ8121" s="4"/>
      <c r="CC8121" s="4"/>
      <c r="CD8121" s="4"/>
      <c r="CF8121" s="4"/>
    </row>
    <row r="8122" spans="66:84">
      <c r="BN8122" s="4"/>
      <c r="BO8122" s="4"/>
      <c r="BQ8122" s="4"/>
      <c r="CC8122" s="4"/>
      <c r="CD8122" s="4"/>
      <c r="CF8122" s="4"/>
    </row>
    <row r="8123" spans="66:84">
      <c r="BN8123" s="4"/>
      <c r="BO8123" s="4"/>
      <c r="BQ8123" s="4"/>
      <c r="CC8123" s="4"/>
      <c r="CD8123" s="4"/>
      <c r="CF8123" s="4"/>
    </row>
    <row r="8124" spans="66:84">
      <c r="BN8124" s="4"/>
      <c r="BO8124" s="4"/>
      <c r="BQ8124" s="4"/>
      <c r="CC8124" s="4"/>
      <c r="CD8124" s="4"/>
      <c r="CF8124" s="4"/>
    </row>
    <row r="8125" spans="66:84">
      <c r="BN8125" s="4"/>
      <c r="BO8125" s="4"/>
      <c r="BQ8125" s="4"/>
      <c r="CC8125" s="4"/>
      <c r="CD8125" s="4"/>
      <c r="CF8125" s="4"/>
    </row>
    <row r="8126" spans="66:84">
      <c r="BN8126" s="4"/>
      <c r="BO8126" s="4"/>
      <c r="BQ8126" s="4"/>
      <c r="CC8126" s="4"/>
      <c r="CD8126" s="4"/>
      <c r="CF8126" s="4"/>
    </row>
    <row r="8127" spans="66:84">
      <c r="BN8127" s="4"/>
      <c r="BO8127" s="4"/>
      <c r="BQ8127" s="4"/>
      <c r="CC8127" s="4"/>
      <c r="CD8127" s="4"/>
      <c r="CF8127" s="4"/>
    </row>
    <row r="8128" spans="66:84">
      <c r="BN8128" s="4"/>
      <c r="BO8128" s="4"/>
      <c r="BQ8128" s="4"/>
      <c r="CC8128" s="4"/>
      <c r="CD8128" s="4"/>
      <c r="CF8128" s="4"/>
    </row>
    <row r="8129" spans="66:84">
      <c r="BN8129" s="4"/>
      <c r="BO8129" s="4"/>
      <c r="BQ8129" s="4"/>
      <c r="CC8129" s="4"/>
      <c r="CD8129" s="4"/>
      <c r="CF8129" s="4"/>
    </row>
    <row r="8130" spans="66:84">
      <c r="BN8130" s="4"/>
      <c r="BO8130" s="4"/>
      <c r="BQ8130" s="4"/>
      <c r="CC8130" s="4"/>
      <c r="CD8130" s="4"/>
      <c r="CF8130" s="4"/>
    </row>
    <row r="8131" spans="66:84">
      <c r="BN8131" s="4"/>
      <c r="BO8131" s="4"/>
      <c r="BQ8131" s="4"/>
      <c r="CC8131" s="4"/>
      <c r="CD8131" s="4"/>
      <c r="CF8131" s="4"/>
    </row>
    <row r="8132" spans="66:84">
      <c r="BN8132" s="4"/>
      <c r="BO8132" s="4"/>
      <c r="BQ8132" s="4"/>
      <c r="CC8132" s="4"/>
      <c r="CD8132" s="4"/>
      <c r="CF8132" s="4"/>
    </row>
    <row r="8133" spans="66:84">
      <c r="BN8133" s="4"/>
      <c r="BO8133" s="4"/>
      <c r="BQ8133" s="4"/>
      <c r="CC8133" s="4"/>
      <c r="CD8133" s="4"/>
      <c r="CF8133" s="4"/>
    </row>
    <row r="8134" spans="66:84">
      <c r="BN8134" s="4"/>
      <c r="BO8134" s="4"/>
      <c r="BQ8134" s="4"/>
      <c r="CC8134" s="4"/>
      <c r="CD8134" s="4"/>
      <c r="CF8134" s="4"/>
    </row>
    <row r="8135" spans="66:84">
      <c r="BN8135" s="4"/>
      <c r="BO8135" s="4"/>
      <c r="BQ8135" s="4"/>
      <c r="CC8135" s="4"/>
      <c r="CD8135" s="4"/>
      <c r="CF8135" s="4"/>
    </row>
    <row r="8136" spans="66:84">
      <c r="BN8136" s="4"/>
      <c r="BO8136" s="4"/>
      <c r="BQ8136" s="4"/>
      <c r="CC8136" s="4"/>
      <c r="CD8136" s="4"/>
      <c r="CF8136" s="4"/>
    </row>
    <row r="8137" spans="66:84">
      <c r="BN8137" s="4"/>
      <c r="BO8137" s="4"/>
      <c r="BQ8137" s="4"/>
      <c r="CC8137" s="4"/>
      <c r="CD8137" s="4"/>
      <c r="CF8137" s="4"/>
    </row>
    <row r="8138" spans="66:84">
      <c r="BN8138" s="4"/>
      <c r="BO8138" s="4"/>
      <c r="BQ8138" s="4"/>
      <c r="CC8138" s="4"/>
      <c r="CD8138" s="4"/>
      <c r="CF8138" s="4"/>
    </row>
    <row r="8139" spans="66:84">
      <c r="BN8139" s="4"/>
      <c r="BO8139" s="4"/>
      <c r="BQ8139" s="4"/>
      <c r="CC8139" s="4"/>
      <c r="CD8139" s="4"/>
      <c r="CF8139" s="4"/>
    </row>
    <row r="8140" spans="66:84">
      <c r="BN8140" s="4"/>
      <c r="BO8140" s="4"/>
      <c r="BQ8140" s="4"/>
      <c r="CC8140" s="4"/>
      <c r="CD8140" s="4"/>
      <c r="CF8140" s="4"/>
    </row>
    <row r="8141" spans="66:84">
      <c r="BN8141" s="4"/>
      <c r="BO8141" s="4"/>
      <c r="BQ8141" s="4"/>
      <c r="CC8141" s="4"/>
      <c r="CD8141" s="4"/>
      <c r="CF8141" s="4"/>
    </row>
    <row r="8142" spans="66:84">
      <c r="BN8142" s="4"/>
      <c r="BO8142" s="4"/>
      <c r="BQ8142" s="4"/>
      <c r="CC8142" s="4"/>
      <c r="CD8142" s="4"/>
      <c r="CF8142" s="4"/>
    </row>
    <row r="8143" spans="66:84">
      <c r="BN8143" s="4"/>
      <c r="BO8143" s="4"/>
      <c r="BQ8143" s="4"/>
      <c r="CC8143" s="4"/>
      <c r="CD8143" s="4"/>
      <c r="CF8143" s="4"/>
    </row>
    <row r="8144" spans="66:84">
      <c r="BN8144" s="4"/>
      <c r="BO8144" s="4"/>
      <c r="BQ8144" s="4"/>
      <c r="CC8144" s="4"/>
      <c r="CD8144" s="4"/>
      <c r="CF8144" s="4"/>
    </row>
    <row r="8145" spans="66:84">
      <c r="BN8145" s="4"/>
      <c r="BO8145" s="4"/>
      <c r="BQ8145" s="4"/>
      <c r="CC8145" s="4"/>
      <c r="CD8145" s="4"/>
      <c r="CF8145" s="4"/>
    </row>
    <row r="8146" spans="66:84">
      <c r="BN8146" s="4"/>
      <c r="BO8146" s="4"/>
      <c r="BQ8146" s="4"/>
      <c r="CC8146" s="4"/>
      <c r="CD8146" s="4"/>
      <c r="CF8146" s="4"/>
    </row>
    <row r="8147" spans="66:84">
      <c r="BN8147" s="4"/>
      <c r="BO8147" s="4"/>
      <c r="BQ8147" s="4"/>
      <c r="CC8147" s="4"/>
      <c r="CD8147" s="4"/>
      <c r="CF8147" s="4"/>
    </row>
    <row r="8148" spans="66:84">
      <c r="BN8148" s="4"/>
      <c r="BO8148" s="4"/>
      <c r="BQ8148" s="4"/>
      <c r="CC8148" s="4"/>
      <c r="CD8148" s="4"/>
      <c r="CF8148" s="4"/>
    </row>
    <row r="8149" spans="66:84">
      <c r="BN8149" s="4"/>
      <c r="BO8149" s="4"/>
      <c r="BQ8149" s="4"/>
      <c r="CC8149" s="4"/>
      <c r="CD8149" s="4"/>
      <c r="CF8149" s="4"/>
    </row>
    <row r="8150" spans="66:84">
      <c r="BN8150" s="4"/>
      <c r="BO8150" s="4"/>
      <c r="BQ8150" s="4"/>
      <c r="CC8150" s="4"/>
      <c r="CD8150" s="4"/>
      <c r="CF8150" s="4"/>
    </row>
    <row r="8151" spans="66:84">
      <c r="BN8151" s="4"/>
      <c r="BO8151" s="4"/>
      <c r="BQ8151" s="4"/>
      <c r="CC8151" s="4"/>
      <c r="CD8151" s="4"/>
      <c r="CF8151" s="4"/>
    </row>
    <row r="8152" spans="66:84">
      <c r="BN8152" s="4"/>
      <c r="BO8152" s="4"/>
      <c r="BQ8152" s="4"/>
      <c r="CC8152" s="4"/>
      <c r="CD8152" s="4"/>
      <c r="CF8152" s="4"/>
    </row>
    <row r="8153" spans="66:84">
      <c r="BN8153" s="4"/>
      <c r="BO8153" s="4"/>
      <c r="BQ8153" s="4"/>
      <c r="CC8153" s="4"/>
      <c r="CD8153" s="4"/>
      <c r="CF8153" s="4"/>
    </row>
    <row r="8154" spans="66:84">
      <c r="BN8154" s="4"/>
      <c r="BO8154" s="4"/>
      <c r="BQ8154" s="4"/>
      <c r="CC8154" s="4"/>
      <c r="CD8154" s="4"/>
      <c r="CF8154" s="4"/>
    </row>
    <row r="8155" spans="66:84">
      <c r="BN8155" s="4"/>
      <c r="BO8155" s="4"/>
      <c r="BQ8155" s="4"/>
      <c r="CC8155" s="4"/>
      <c r="CD8155" s="4"/>
      <c r="CF8155" s="4"/>
    </row>
    <row r="8156" spans="66:84">
      <c r="BN8156" s="4"/>
      <c r="BO8156" s="4"/>
      <c r="BQ8156" s="4"/>
      <c r="CC8156" s="4"/>
      <c r="CD8156" s="4"/>
      <c r="CF8156" s="4"/>
    </row>
    <row r="8157" spans="66:84">
      <c r="BN8157" s="4"/>
      <c r="BO8157" s="4"/>
      <c r="BQ8157" s="4"/>
      <c r="CC8157" s="4"/>
      <c r="CD8157" s="4"/>
      <c r="CF8157" s="4"/>
    </row>
    <row r="8158" spans="66:84">
      <c r="BN8158" s="4"/>
      <c r="BO8158" s="4"/>
      <c r="BQ8158" s="4"/>
      <c r="CC8158" s="4"/>
      <c r="CD8158" s="4"/>
      <c r="CF8158" s="4"/>
    </row>
    <row r="8159" spans="66:84">
      <c r="BN8159" s="4"/>
      <c r="BO8159" s="4"/>
      <c r="BQ8159" s="4"/>
      <c r="CC8159" s="4"/>
      <c r="CD8159" s="4"/>
      <c r="CF8159" s="4"/>
    </row>
    <row r="8160" spans="66:84">
      <c r="BN8160" s="4"/>
      <c r="BO8160" s="4"/>
      <c r="BQ8160" s="4"/>
      <c r="CC8160" s="4"/>
      <c r="CD8160" s="4"/>
      <c r="CF8160" s="4"/>
    </row>
    <row r="8161" spans="66:84">
      <c r="BN8161" s="4"/>
      <c r="BO8161" s="4"/>
      <c r="BQ8161" s="4"/>
      <c r="CC8161" s="4"/>
      <c r="CD8161" s="4"/>
      <c r="CF8161" s="4"/>
    </row>
    <row r="8162" spans="66:84">
      <c r="BN8162" s="4"/>
      <c r="BO8162" s="4"/>
      <c r="BQ8162" s="4"/>
      <c r="CC8162" s="4"/>
      <c r="CD8162" s="4"/>
      <c r="CF8162" s="4"/>
    </row>
    <row r="8163" spans="66:84">
      <c r="BN8163" s="4"/>
      <c r="BO8163" s="4"/>
      <c r="BQ8163" s="4"/>
      <c r="CC8163" s="4"/>
      <c r="CD8163" s="4"/>
      <c r="CF8163" s="4"/>
    </row>
    <row r="8164" spans="66:84">
      <c r="BN8164" s="4"/>
      <c r="BO8164" s="4"/>
      <c r="BQ8164" s="4"/>
      <c r="CC8164" s="4"/>
      <c r="CD8164" s="4"/>
      <c r="CF8164" s="4"/>
    </row>
    <row r="8165" spans="66:84">
      <c r="BN8165" s="4"/>
      <c r="BO8165" s="4"/>
      <c r="BQ8165" s="4"/>
      <c r="CC8165" s="4"/>
      <c r="CD8165" s="4"/>
      <c r="CF8165" s="4"/>
    </row>
    <row r="8166" spans="66:84">
      <c r="BN8166" s="4"/>
      <c r="BO8166" s="4"/>
      <c r="BQ8166" s="4"/>
      <c r="CC8166" s="4"/>
      <c r="CD8166" s="4"/>
      <c r="CF8166" s="4"/>
    </row>
    <row r="8167" spans="66:84">
      <c r="BN8167" s="4"/>
      <c r="BO8167" s="4"/>
      <c r="BQ8167" s="4"/>
      <c r="CC8167" s="4"/>
      <c r="CD8167" s="4"/>
      <c r="CF8167" s="4"/>
    </row>
    <row r="8168" spans="66:84">
      <c r="BN8168" s="4"/>
      <c r="BO8168" s="4"/>
      <c r="BQ8168" s="4"/>
      <c r="CC8168" s="4"/>
      <c r="CD8168" s="4"/>
      <c r="CF8168" s="4"/>
    </row>
    <row r="8169" spans="66:84">
      <c r="BN8169" s="4"/>
      <c r="BO8169" s="4"/>
      <c r="BQ8169" s="4"/>
      <c r="CC8169" s="4"/>
      <c r="CD8169" s="4"/>
      <c r="CF8169" s="4"/>
    </row>
    <row r="8170" spans="66:84">
      <c r="BN8170" s="4"/>
      <c r="BO8170" s="4"/>
      <c r="BQ8170" s="4"/>
      <c r="CC8170" s="4"/>
      <c r="CD8170" s="4"/>
      <c r="CF8170" s="4"/>
    </row>
    <row r="8171" spans="66:84">
      <c r="BN8171" s="4"/>
      <c r="BO8171" s="4"/>
      <c r="BQ8171" s="4"/>
      <c r="CC8171" s="4"/>
      <c r="CD8171" s="4"/>
      <c r="CF8171" s="4"/>
    </row>
    <row r="8172" spans="66:84">
      <c r="BN8172" s="4"/>
      <c r="BO8172" s="4"/>
      <c r="BQ8172" s="4"/>
      <c r="CC8172" s="4"/>
      <c r="CD8172" s="4"/>
      <c r="CF8172" s="4"/>
    </row>
    <row r="8173" spans="66:84">
      <c r="BN8173" s="4"/>
      <c r="BO8173" s="4"/>
      <c r="BQ8173" s="4"/>
      <c r="CC8173" s="4"/>
      <c r="CD8173" s="4"/>
      <c r="CF8173" s="4"/>
    </row>
    <row r="8174" spans="66:84">
      <c r="BN8174" s="4"/>
      <c r="BO8174" s="4"/>
      <c r="BQ8174" s="4"/>
      <c r="CC8174" s="4"/>
      <c r="CD8174" s="4"/>
      <c r="CF8174" s="4"/>
    </row>
    <row r="8175" spans="66:84">
      <c r="BN8175" s="4"/>
      <c r="BO8175" s="4"/>
      <c r="BQ8175" s="4"/>
      <c r="CC8175" s="4"/>
      <c r="CD8175" s="4"/>
      <c r="CF8175" s="4"/>
    </row>
    <row r="8176" spans="66:84">
      <c r="BN8176" s="4"/>
      <c r="BO8176" s="4"/>
      <c r="BQ8176" s="4"/>
      <c r="CC8176" s="4"/>
      <c r="CD8176" s="4"/>
      <c r="CF8176" s="4"/>
    </row>
    <row r="8177" spans="66:84">
      <c r="BN8177" s="4"/>
      <c r="BO8177" s="4"/>
      <c r="BQ8177" s="4"/>
      <c r="CC8177" s="4"/>
      <c r="CD8177" s="4"/>
      <c r="CF8177" s="4"/>
    </row>
    <row r="8178" spans="66:84">
      <c r="BN8178" s="4"/>
      <c r="BO8178" s="4"/>
      <c r="BQ8178" s="4"/>
      <c r="CC8178" s="4"/>
      <c r="CD8178" s="4"/>
      <c r="CF8178" s="4"/>
    </row>
    <row r="8179" spans="66:84">
      <c r="BN8179" s="4"/>
      <c r="BO8179" s="4"/>
      <c r="BQ8179" s="4"/>
      <c r="CC8179" s="4"/>
      <c r="CD8179" s="4"/>
      <c r="CF8179" s="4"/>
    </row>
    <row r="8180" spans="66:84">
      <c r="BN8180" s="4"/>
      <c r="BO8180" s="4"/>
      <c r="BQ8180" s="4"/>
      <c r="CC8180" s="4"/>
      <c r="CD8180" s="4"/>
      <c r="CF8180" s="4"/>
    </row>
    <row r="8181" spans="66:84">
      <c r="BN8181" s="4"/>
      <c r="BO8181" s="4"/>
      <c r="BQ8181" s="4"/>
      <c r="CC8181" s="4"/>
      <c r="CD8181" s="4"/>
      <c r="CF8181" s="4"/>
    </row>
    <row r="8182" spans="66:84">
      <c r="BN8182" s="4"/>
      <c r="BO8182" s="4"/>
      <c r="BQ8182" s="4"/>
      <c r="CC8182" s="4"/>
      <c r="CD8182" s="4"/>
      <c r="CF8182" s="4"/>
    </row>
    <row r="8183" spans="66:84">
      <c r="BN8183" s="4"/>
      <c r="BO8183" s="4"/>
      <c r="BQ8183" s="4"/>
      <c r="CC8183" s="4"/>
      <c r="CD8183" s="4"/>
      <c r="CF8183" s="4"/>
    </row>
    <row r="8184" spans="66:84">
      <c r="BN8184" s="4"/>
      <c r="BO8184" s="4"/>
      <c r="BQ8184" s="4"/>
      <c r="CC8184" s="4"/>
      <c r="CD8184" s="4"/>
      <c r="CF8184" s="4"/>
    </row>
    <row r="8185" spans="66:84">
      <c r="BN8185" s="4"/>
      <c r="BO8185" s="4"/>
      <c r="BQ8185" s="4"/>
      <c r="CC8185" s="4"/>
      <c r="CD8185" s="4"/>
      <c r="CF8185" s="4"/>
    </row>
    <row r="8186" spans="66:84">
      <c r="BN8186" s="4"/>
      <c r="BO8186" s="4"/>
      <c r="BQ8186" s="4"/>
      <c r="CC8186" s="4"/>
      <c r="CD8186" s="4"/>
      <c r="CF8186" s="4"/>
    </row>
    <row r="8187" spans="66:84">
      <c r="BN8187" s="4"/>
      <c r="BO8187" s="4"/>
      <c r="BQ8187" s="4"/>
      <c r="CC8187" s="4"/>
      <c r="CD8187" s="4"/>
      <c r="CF8187" s="4"/>
    </row>
    <row r="8188" spans="66:84">
      <c r="BN8188" s="4"/>
      <c r="BO8188" s="4"/>
      <c r="BQ8188" s="4"/>
      <c r="CC8188" s="4"/>
      <c r="CD8188" s="4"/>
      <c r="CF8188" s="4"/>
    </row>
    <row r="8189" spans="66:84">
      <c r="BN8189" s="4"/>
      <c r="BO8189" s="4"/>
      <c r="BQ8189" s="4"/>
      <c r="CC8189" s="4"/>
      <c r="CD8189" s="4"/>
      <c r="CF8189" s="4"/>
    </row>
    <row r="8190" spans="66:84">
      <c r="BN8190" s="4"/>
      <c r="BO8190" s="4"/>
      <c r="BQ8190" s="4"/>
      <c r="CC8190" s="4"/>
      <c r="CD8190" s="4"/>
      <c r="CF8190" s="4"/>
    </row>
    <row r="8191" spans="66:84">
      <c r="BN8191" s="4"/>
      <c r="BO8191" s="4"/>
      <c r="BQ8191" s="4"/>
      <c r="CC8191" s="4"/>
      <c r="CD8191" s="4"/>
      <c r="CF8191" s="4"/>
    </row>
    <row r="8192" spans="66:84">
      <c r="BN8192" s="4"/>
      <c r="BO8192" s="4"/>
      <c r="BQ8192" s="4"/>
      <c r="CC8192" s="4"/>
      <c r="CD8192" s="4"/>
      <c r="CF8192" s="4"/>
    </row>
    <row r="8193" spans="66:84">
      <c r="BN8193" s="4"/>
      <c r="BO8193" s="4"/>
      <c r="BQ8193" s="4"/>
      <c r="CC8193" s="4"/>
      <c r="CD8193" s="4"/>
      <c r="CF8193" s="4"/>
    </row>
    <row r="8194" spans="66:84">
      <c r="BN8194" s="4"/>
      <c r="BO8194" s="4"/>
      <c r="BQ8194" s="4"/>
      <c r="CC8194" s="4"/>
      <c r="CD8194" s="4"/>
      <c r="CF8194" s="4"/>
    </row>
    <row r="8195" spans="66:84">
      <c r="BN8195" s="4"/>
      <c r="BO8195" s="4"/>
      <c r="BQ8195" s="4"/>
      <c r="CC8195" s="4"/>
      <c r="CD8195" s="4"/>
      <c r="CF8195" s="4"/>
    </row>
    <row r="8196" spans="66:84">
      <c r="BN8196" s="4"/>
      <c r="BO8196" s="4"/>
      <c r="BQ8196" s="4"/>
      <c r="CC8196" s="4"/>
      <c r="CD8196" s="4"/>
      <c r="CF8196" s="4"/>
    </row>
    <row r="8197" spans="66:84">
      <c r="BN8197" s="4"/>
      <c r="BO8197" s="4"/>
      <c r="BQ8197" s="4"/>
      <c r="CC8197" s="4"/>
      <c r="CD8197" s="4"/>
      <c r="CF8197" s="4"/>
    </row>
    <row r="8198" spans="66:84">
      <c r="BN8198" s="4"/>
      <c r="BO8198" s="4"/>
      <c r="BQ8198" s="4"/>
      <c r="CC8198" s="4"/>
      <c r="CD8198" s="4"/>
      <c r="CF8198" s="4"/>
    </row>
    <row r="8199" spans="66:84">
      <c r="BN8199" s="4"/>
      <c r="BO8199" s="4"/>
      <c r="BQ8199" s="4"/>
      <c r="CC8199" s="4"/>
      <c r="CD8199" s="4"/>
      <c r="CF8199" s="4"/>
    </row>
    <row r="8200" spans="66:84">
      <c r="BN8200" s="4"/>
      <c r="BO8200" s="4"/>
      <c r="BQ8200" s="4"/>
      <c r="CC8200" s="4"/>
      <c r="CD8200" s="4"/>
      <c r="CF8200" s="4"/>
    </row>
    <row r="8201" spans="66:84">
      <c r="BN8201" s="4"/>
      <c r="BO8201" s="4"/>
      <c r="BQ8201" s="4"/>
      <c r="CC8201" s="4"/>
      <c r="CD8201" s="4"/>
      <c r="CF8201" s="4"/>
    </row>
    <row r="8202" spans="66:84">
      <c r="BN8202" s="4"/>
      <c r="BO8202" s="4"/>
      <c r="BQ8202" s="4"/>
      <c r="CC8202" s="4"/>
      <c r="CD8202" s="4"/>
      <c r="CF8202" s="4"/>
    </row>
    <row r="8203" spans="66:84">
      <c r="BN8203" s="4"/>
      <c r="BO8203" s="4"/>
      <c r="BQ8203" s="4"/>
      <c r="CC8203" s="4"/>
      <c r="CD8203" s="4"/>
      <c r="CF8203" s="4"/>
    </row>
    <row r="8204" spans="66:84">
      <c r="BN8204" s="4"/>
      <c r="BO8204" s="4"/>
      <c r="BQ8204" s="4"/>
      <c r="CC8204" s="4"/>
      <c r="CD8204" s="4"/>
      <c r="CF8204" s="4"/>
    </row>
    <row r="8205" spans="66:84">
      <c r="BN8205" s="4"/>
      <c r="BO8205" s="4"/>
      <c r="BQ8205" s="4"/>
      <c r="CC8205" s="4"/>
      <c r="CD8205" s="4"/>
      <c r="CF8205" s="4"/>
    </row>
    <row r="8206" spans="66:84">
      <c r="BN8206" s="4"/>
      <c r="BO8206" s="4"/>
      <c r="BQ8206" s="4"/>
      <c r="CC8206" s="4"/>
      <c r="CD8206" s="4"/>
      <c r="CF8206" s="4"/>
    </row>
    <row r="8207" spans="66:84">
      <c r="BN8207" s="4"/>
      <c r="BO8207" s="4"/>
      <c r="BQ8207" s="4"/>
      <c r="CC8207" s="4"/>
      <c r="CD8207" s="4"/>
      <c r="CF8207" s="4"/>
    </row>
    <row r="8208" spans="66:84">
      <c r="BN8208" s="4"/>
      <c r="BO8208" s="4"/>
      <c r="BQ8208" s="4"/>
      <c r="CC8208" s="4"/>
      <c r="CD8208" s="4"/>
      <c r="CF8208" s="4"/>
    </row>
    <row r="8209" spans="66:84">
      <c r="BN8209" s="4"/>
      <c r="BO8209" s="4"/>
      <c r="BQ8209" s="4"/>
      <c r="CC8209" s="4"/>
      <c r="CD8209" s="4"/>
      <c r="CF8209" s="4"/>
    </row>
    <row r="8210" spans="66:84">
      <c r="BN8210" s="4"/>
      <c r="BO8210" s="4"/>
      <c r="BQ8210" s="4"/>
      <c r="CC8210" s="4"/>
      <c r="CD8210" s="4"/>
      <c r="CF8210" s="4"/>
    </row>
    <row r="8211" spans="66:84">
      <c r="BN8211" s="4"/>
      <c r="BO8211" s="4"/>
      <c r="BQ8211" s="4"/>
      <c r="CC8211" s="4"/>
      <c r="CD8211" s="4"/>
      <c r="CF8211" s="4"/>
    </row>
    <row r="8212" spans="66:84">
      <c r="BN8212" s="4"/>
      <c r="BO8212" s="4"/>
      <c r="BQ8212" s="4"/>
      <c r="CC8212" s="4"/>
      <c r="CD8212" s="4"/>
      <c r="CF8212" s="4"/>
    </row>
    <row r="8213" spans="66:84">
      <c r="BN8213" s="4"/>
      <c r="BO8213" s="4"/>
      <c r="BQ8213" s="4"/>
      <c r="CC8213" s="4"/>
      <c r="CD8213" s="4"/>
      <c r="CF8213" s="4"/>
    </row>
    <row r="8214" spans="66:84">
      <c r="BN8214" s="4"/>
      <c r="BO8214" s="4"/>
      <c r="BQ8214" s="4"/>
      <c r="CC8214" s="4"/>
      <c r="CD8214" s="4"/>
      <c r="CF8214" s="4"/>
    </row>
    <row r="8215" spans="66:84">
      <c r="BN8215" s="4"/>
      <c r="BO8215" s="4"/>
      <c r="BQ8215" s="4"/>
      <c r="CC8215" s="4"/>
      <c r="CD8215" s="4"/>
      <c r="CF8215" s="4"/>
    </row>
    <row r="8216" spans="66:84">
      <c r="BN8216" s="4"/>
      <c r="BO8216" s="4"/>
      <c r="BQ8216" s="4"/>
      <c r="CC8216" s="4"/>
      <c r="CD8216" s="4"/>
      <c r="CF8216" s="4"/>
    </row>
    <row r="8217" spans="66:84">
      <c r="BN8217" s="4"/>
      <c r="BO8217" s="4"/>
      <c r="BQ8217" s="4"/>
      <c r="CC8217" s="4"/>
      <c r="CD8217" s="4"/>
      <c r="CF8217" s="4"/>
    </row>
    <row r="8218" spans="66:84">
      <c r="BN8218" s="4"/>
      <c r="BO8218" s="4"/>
      <c r="BQ8218" s="4"/>
      <c r="CC8218" s="4"/>
      <c r="CD8218" s="4"/>
      <c r="CF8218" s="4"/>
    </row>
    <row r="8219" spans="66:84">
      <c r="BN8219" s="4"/>
      <c r="BO8219" s="4"/>
      <c r="BQ8219" s="4"/>
      <c r="CC8219" s="4"/>
      <c r="CD8219" s="4"/>
      <c r="CF8219" s="4"/>
    </row>
    <row r="8220" spans="66:84">
      <c r="BN8220" s="4"/>
      <c r="BO8220" s="4"/>
      <c r="BQ8220" s="4"/>
      <c r="CC8220" s="4"/>
      <c r="CD8220" s="4"/>
      <c r="CF8220" s="4"/>
    </row>
    <row r="8221" spans="66:84">
      <c r="BN8221" s="4"/>
      <c r="BO8221" s="4"/>
      <c r="BQ8221" s="4"/>
      <c r="CC8221" s="4"/>
      <c r="CD8221" s="4"/>
      <c r="CF8221" s="4"/>
    </row>
    <row r="8222" spans="66:84">
      <c r="BN8222" s="4"/>
      <c r="BO8222" s="4"/>
      <c r="BQ8222" s="4"/>
      <c r="CC8222" s="4"/>
      <c r="CD8222" s="4"/>
      <c r="CF8222" s="4"/>
    </row>
    <row r="8223" spans="66:84">
      <c r="BN8223" s="4"/>
      <c r="BO8223" s="4"/>
      <c r="BQ8223" s="4"/>
      <c r="CC8223" s="4"/>
      <c r="CD8223" s="4"/>
      <c r="CF8223" s="4"/>
    </row>
    <row r="8224" spans="66:84">
      <c r="BN8224" s="4"/>
      <c r="BO8224" s="4"/>
      <c r="BQ8224" s="4"/>
      <c r="CC8224" s="4"/>
      <c r="CD8224" s="4"/>
      <c r="CF8224" s="4"/>
    </row>
    <row r="8225" spans="66:84">
      <c r="BN8225" s="4"/>
      <c r="BO8225" s="4"/>
      <c r="BQ8225" s="4"/>
      <c r="CC8225" s="4"/>
      <c r="CD8225" s="4"/>
      <c r="CF8225" s="4"/>
    </row>
    <row r="8226" spans="66:84">
      <c r="BN8226" s="4"/>
      <c r="BO8226" s="4"/>
      <c r="BQ8226" s="4"/>
      <c r="CC8226" s="4"/>
      <c r="CD8226" s="4"/>
      <c r="CF8226" s="4"/>
    </row>
    <row r="8227" spans="66:84">
      <c r="BN8227" s="4"/>
      <c r="BO8227" s="4"/>
      <c r="BQ8227" s="4"/>
      <c r="CC8227" s="4"/>
      <c r="CD8227" s="4"/>
      <c r="CF8227" s="4"/>
    </row>
    <row r="8228" spans="66:84">
      <c r="BN8228" s="4"/>
      <c r="BO8228" s="4"/>
      <c r="BQ8228" s="4"/>
      <c r="CC8228" s="4"/>
      <c r="CD8228" s="4"/>
      <c r="CF8228" s="4"/>
    </row>
    <row r="8229" spans="66:84">
      <c r="BN8229" s="4"/>
      <c r="BO8229" s="4"/>
      <c r="BQ8229" s="4"/>
      <c r="CC8229" s="4"/>
      <c r="CD8229" s="4"/>
      <c r="CF8229" s="4"/>
    </row>
    <row r="8230" spans="66:84">
      <c r="BN8230" s="4"/>
      <c r="BO8230" s="4"/>
      <c r="BQ8230" s="4"/>
      <c r="CC8230" s="4"/>
      <c r="CD8230" s="4"/>
      <c r="CF8230" s="4"/>
    </row>
    <row r="8231" spans="66:84">
      <c r="BN8231" s="4"/>
      <c r="BO8231" s="4"/>
      <c r="BQ8231" s="4"/>
      <c r="CC8231" s="4"/>
      <c r="CD8231" s="4"/>
      <c r="CF8231" s="4"/>
    </row>
    <row r="8232" spans="66:84">
      <c r="BN8232" s="4"/>
      <c r="BO8232" s="4"/>
      <c r="BQ8232" s="4"/>
      <c r="CC8232" s="4"/>
      <c r="CD8232" s="4"/>
      <c r="CF8232" s="4"/>
    </row>
    <row r="8233" spans="66:84">
      <c r="BN8233" s="4"/>
      <c r="BO8233" s="4"/>
      <c r="BQ8233" s="4"/>
      <c r="CC8233" s="4"/>
      <c r="CD8233" s="4"/>
      <c r="CF8233" s="4"/>
    </row>
    <row r="8234" spans="66:84">
      <c r="BN8234" s="4"/>
      <c r="BO8234" s="4"/>
      <c r="BQ8234" s="4"/>
      <c r="CC8234" s="4"/>
      <c r="CD8234" s="4"/>
      <c r="CF8234" s="4"/>
    </row>
    <row r="8235" spans="66:84">
      <c r="BN8235" s="4"/>
      <c r="BO8235" s="4"/>
      <c r="BQ8235" s="4"/>
      <c r="CC8235" s="4"/>
      <c r="CD8235" s="4"/>
      <c r="CF8235" s="4"/>
    </row>
    <row r="8236" spans="66:84">
      <c r="BN8236" s="4"/>
      <c r="BO8236" s="4"/>
      <c r="BQ8236" s="4"/>
      <c r="CC8236" s="4"/>
      <c r="CD8236" s="4"/>
      <c r="CF8236" s="4"/>
    </row>
    <row r="8237" spans="66:84">
      <c r="BN8237" s="4"/>
      <c r="BO8237" s="4"/>
      <c r="BQ8237" s="4"/>
      <c r="CC8237" s="4"/>
      <c r="CD8237" s="4"/>
      <c r="CF8237" s="4"/>
    </row>
    <row r="8238" spans="66:84">
      <c r="BN8238" s="4"/>
      <c r="BO8238" s="4"/>
      <c r="BQ8238" s="4"/>
      <c r="CC8238" s="4"/>
      <c r="CD8238" s="4"/>
      <c r="CF8238" s="4"/>
    </row>
    <row r="8239" spans="66:84">
      <c r="BN8239" s="4"/>
      <c r="BO8239" s="4"/>
      <c r="BQ8239" s="4"/>
      <c r="CC8239" s="4"/>
      <c r="CD8239" s="4"/>
      <c r="CF8239" s="4"/>
    </row>
    <row r="8240" spans="66:84">
      <c r="BN8240" s="4"/>
      <c r="BO8240" s="4"/>
      <c r="BQ8240" s="4"/>
      <c r="CC8240" s="4"/>
      <c r="CD8240" s="4"/>
      <c r="CF8240" s="4"/>
    </row>
    <row r="8241" spans="66:84">
      <c r="BN8241" s="4"/>
      <c r="BO8241" s="4"/>
      <c r="BQ8241" s="4"/>
      <c r="CC8241" s="4"/>
      <c r="CD8241" s="4"/>
      <c r="CF8241" s="4"/>
    </row>
    <row r="8242" spans="66:84">
      <c r="BN8242" s="4"/>
      <c r="BO8242" s="4"/>
      <c r="BQ8242" s="4"/>
      <c r="CC8242" s="4"/>
      <c r="CD8242" s="4"/>
      <c r="CF8242" s="4"/>
    </row>
    <row r="8243" spans="66:84">
      <c r="BN8243" s="4"/>
      <c r="BO8243" s="4"/>
      <c r="BQ8243" s="4"/>
      <c r="CC8243" s="4"/>
      <c r="CD8243" s="4"/>
      <c r="CF8243" s="4"/>
    </row>
    <row r="8244" spans="66:84">
      <c r="BN8244" s="4"/>
      <c r="BO8244" s="4"/>
      <c r="BQ8244" s="4"/>
      <c r="CC8244" s="4"/>
      <c r="CD8244" s="4"/>
      <c r="CF8244" s="4"/>
    </row>
    <row r="8245" spans="66:84">
      <c r="BN8245" s="4"/>
      <c r="BO8245" s="4"/>
      <c r="BQ8245" s="4"/>
      <c r="CC8245" s="4"/>
      <c r="CD8245" s="4"/>
      <c r="CF8245" s="4"/>
    </row>
    <row r="8246" spans="66:84">
      <c r="BN8246" s="4"/>
      <c r="BO8246" s="4"/>
      <c r="BQ8246" s="4"/>
      <c r="CC8246" s="4"/>
      <c r="CD8246" s="4"/>
      <c r="CF8246" s="4"/>
    </row>
    <row r="8247" spans="66:84">
      <c r="BN8247" s="4"/>
      <c r="BO8247" s="4"/>
      <c r="BQ8247" s="4"/>
      <c r="CC8247" s="4"/>
      <c r="CD8247" s="4"/>
      <c r="CF8247" s="4"/>
    </row>
    <row r="8248" spans="66:84">
      <c r="BN8248" s="4"/>
      <c r="BO8248" s="4"/>
      <c r="BQ8248" s="4"/>
      <c r="CC8248" s="4"/>
      <c r="CD8248" s="4"/>
      <c r="CF8248" s="4"/>
    </row>
    <row r="8249" spans="66:84">
      <c r="BN8249" s="4"/>
      <c r="BO8249" s="4"/>
      <c r="BQ8249" s="4"/>
      <c r="CC8249" s="4"/>
      <c r="CD8249" s="4"/>
      <c r="CF8249" s="4"/>
    </row>
    <row r="8250" spans="66:84">
      <c r="BN8250" s="4"/>
      <c r="BO8250" s="4"/>
      <c r="BQ8250" s="4"/>
      <c r="CC8250" s="4"/>
      <c r="CD8250" s="4"/>
      <c r="CF8250" s="4"/>
    </row>
    <row r="8251" spans="66:84">
      <c r="BN8251" s="4"/>
      <c r="BO8251" s="4"/>
      <c r="BQ8251" s="4"/>
      <c r="CC8251" s="4"/>
      <c r="CD8251" s="4"/>
      <c r="CF8251" s="4"/>
    </row>
    <row r="8252" spans="66:84">
      <c r="BN8252" s="4"/>
      <c r="BO8252" s="4"/>
      <c r="BQ8252" s="4"/>
      <c r="CC8252" s="4"/>
      <c r="CD8252" s="4"/>
      <c r="CF8252" s="4"/>
    </row>
    <row r="8253" spans="66:84">
      <c r="BN8253" s="4"/>
      <c r="BO8253" s="4"/>
      <c r="BQ8253" s="4"/>
      <c r="CC8253" s="4"/>
      <c r="CD8253" s="4"/>
      <c r="CF8253" s="4"/>
    </row>
    <row r="8254" spans="66:84">
      <c r="BN8254" s="4"/>
      <c r="BO8254" s="4"/>
      <c r="BQ8254" s="4"/>
      <c r="CC8254" s="4"/>
      <c r="CD8254" s="4"/>
      <c r="CF8254" s="4"/>
    </row>
    <row r="8255" spans="66:84">
      <c r="BN8255" s="4"/>
      <c r="BO8255" s="4"/>
      <c r="BQ8255" s="4"/>
      <c r="CC8255" s="4"/>
      <c r="CD8255" s="4"/>
      <c r="CF8255" s="4"/>
    </row>
    <row r="8256" spans="66:84">
      <c r="BN8256" s="4"/>
      <c r="BO8256" s="4"/>
      <c r="BQ8256" s="4"/>
      <c r="CC8256" s="4"/>
      <c r="CD8256" s="4"/>
      <c r="CF8256" s="4"/>
    </row>
    <row r="8257" spans="66:84">
      <c r="BN8257" s="4"/>
      <c r="BO8257" s="4"/>
      <c r="BQ8257" s="4"/>
      <c r="CC8257" s="4"/>
      <c r="CD8257" s="4"/>
      <c r="CF8257" s="4"/>
    </row>
    <row r="8258" spans="66:84">
      <c r="BN8258" s="4"/>
      <c r="BO8258" s="4"/>
      <c r="BQ8258" s="4"/>
      <c r="CC8258" s="4"/>
      <c r="CD8258" s="4"/>
      <c r="CF8258" s="4"/>
    </row>
    <row r="8259" spans="66:84">
      <c r="BN8259" s="4"/>
      <c r="BO8259" s="4"/>
      <c r="BQ8259" s="4"/>
      <c r="CC8259" s="4"/>
      <c r="CD8259" s="4"/>
      <c r="CF8259" s="4"/>
    </row>
    <row r="8260" spans="66:84">
      <c r="BN8260" s="4"/>
      <c r="BO8260" s="4"/>
      <c r="BQ8260" s="4"/>
      <c r="CC8260" s="4"/>
      <c r="CD8260" s="4"/>
      <c r="CF8260" s="4"/>
    </row>
    <row r="8261" spans="66:84">
      <c r="BN8261" s="4"/>
      <c r="BO8261" s="4"/>
      <c r="BQ8261" s="4"/>
      <c r="CC8261" s="4"/>
      <c r="CD8261" s="4"/>
      <c r="CF8261" s="4"/>
    </row>
    <row r="8262" spans="66:84">
      <c r="BN8262" s="4"/>
      <c r="BO8262" s="4"/>
      <c r="BQ8262" s="4"/>
      <c r="CC8262" s="4"/>
      <c r="CD8262" s="4"/>
      <c r="CF8262" s="4"/>
    </row>
    <row r="8263" spans="66:84">
      <c r="BN8263" s="4"/>
      <c r="BO8263" s="4"/>
      <c r="BQ8263" s="4"/>
      <c r="CC8263" s="4"/>
      <c r="CD8263" s="4"/>
      <c r="CF8263" s="4"/>
    </row>
    <row r="8264" spans="66:84">
      <c r="BN8264" s="4"/>
      <c r="BO8264" s="4"/>
      <c r="BQ8264" s="4"/>
      <c r="CC8264" s="4"/>
      <c r="CD8264" s="4"/>
      <c r="CF8264" s="4"/>
    </row>
    <row r="8265" spans="66:84">
      <c r="BN8265" s="4"/>
      <c r="BO8265" s="4"/>
      <c r="BQ8265" s="4"/>
      <c r="CC8265" s="4"/>
      <c r="CD8265" s="4"/>
      <c r="CF8265" s="4"/>
    </row>
    <row r="8266" spans="66:84">
      <c r="BN8266" s="4"/>
      <c r="BO8266" s="4"/>
      <c r="BQ8266" s="4"/>
      <c r="CC8266" s="4"/>
      <c r="CD8266" s="4"/>
      <c r="CF8266" s="4"/>
    </row>
    <row r="8267" spans="66:84">
      <c r="BN8267" s="4"/>
      <c r="BO8267" s="4"/>
      <c r="BQ8267" s="4"/>
      <c r="CC8267" s="4"/>
      <c r="CD8267" s="4"/>
      <c r="CF8267" s="4"/>
    </row>
    <row r="8268" spans="66:84">
      <c r="BN8268" s="4"/>
      <c r="BO8268" s="4"/>
      <c r="BQ8268" s="4"/>
      <c r="CC8268" s="4"/>
      <c r="CD8268" s="4"/>
      <c r="CF8268" s="4"/>
    </row>
    <row r="8269" spans="66:84">
      <c r="BN8269" s="4"/>
      <c r="BO8269" s="4"/>
      <c r="BQ8269" s="4"/>
      <c r="CC8269" s="4"/>
      <c r="CD8269" s="4"/>
      <c r="CF8269" s="4"/>
    </row>
    <row r="8270" spans="66:84">
      <c r="BN8270" s="4"/>
      <c r="BO8270" s="4"/>
      <c r="BQ8270" s="4"/>
      <c r="CC8270" s="4"/>
      <c r="CD8270" s="4"/>
      <c r="CF8270" s="4"/>
    </row>
    <row r="8271" spans="66:84">
      <c r="BN8271" s="4"/>
      <c r="BO8271" s="4"/>
      <c r="BQ8271" s="4"/>
      <c r="CC8271" s="4"/>
      <c r="CD8271" s="4"/>
      <c r="CF8271" s="4"/>
    </row>
    <row r="8272" spans="66:84">
      <c r="BN8272" s="4"/>
      <c r="BO8272" s="4"/>
      <c r="BQ8272" s="4"/>
      <c r="CC8272" s="4"/>
      <c r="CD8272" s="4"/>
      <c r="CF8272" s="4"/>
    </row>
    <row r="8273" spans="66:84">
      <c r="BN8273" s="4"/>
      <c r="BO8273" s="4"/>
      <c r="BQ8273" s="4"/>
      <c r="CC8273" s="4"/>
      <c r="CD8273" s="4"/>
      <c r="CF8273" s="4"/>
    </row>
    <row r="8274" spans="66:84">
      <c r="BN8274" s="4"/>
      <c r="BO8274" s="4"/>
      <c r="BQ8274" s="4"/>
      <c r="CC8274" s="4"/>
      <c r="CD8274" s="4"/>
      <c r="CF8274" s="4"/>
    </row>
    <row r="8275" spans="66:84">
      <c r="BN8275" s="4"/>
      <c r="BO8275" s="4"/>
      <c r="BQ8275" s="4"/>
      <c r="CC8275" s="4"/>
      <c r="CD8275" s="4"/>
      <c r="CF8275" s="4"/>
    </row>
    <row r="8276" spans="66:84">
      <c r="BN8276" s="4"/>
      <c r="BO8276" s="4"/>
      <c r="BQ8276" s="4"/>
      <c r="CC8276" s="4"/>
      <c r="CD8276" s="4"/>
      <c r="CF8276" s="4"/>
    </row>
    <row r="8277" spans="66:84">
      <c r="BN8277" s="4"/>
      <c r="BO8277" s="4"/>
      <c r="BQ8277" s="4"/>
      <c r="CC8277" s="4"/>
      <c r="CD8277" s="4"/>
      <c r="CF8277" s="4"/>
    </row>
    <row r="8278" spans="66:84">
      <c r="BN8278" s="4"/>
      <c r="BO8278" s="4"/>
      <c r="BQ8278" s="4"/>
      <c r="CC8278" s="4"/>
      <c r="CD8278" s="4"/>
      <c r="CF8278" s="4"/>
    </row>
    <row r="8279" spans="66:84">
      <c r="BN8279" s="4"/>
      <c r="BO8279" s="4"/>
      <c r="BQ8279" s="4"/>
      <c r="CC8279" s="4"/>
      <c r="CD8279" s="4"/>
      <c r="CF8279" s="4"/>
    </row>
    <row r="8280" spans="66:84">
      <c r="BN8280" s="4"/>
      <c r="BO8280" s="4"/>
      <c r="BQ8280" s="4"/>
      <c r="CC8280" s="4"/>
      <c r="CD8280" s="4"/>
      <c r="CF8280" s="4"/>
    </row>
    <row r="8281" spans="66:84">
      <c r="BN8281" s="4"/>
      <c r="BO8281" s="4"/>
      <c r="BQ8281" s="4"/>
      <c r="CC8281" s="4"/>
      <c r="CD8281" s="4"/>
      <c r="CF8281" s="4"/>
    </row>
    <row r="8282" spans="66:84">
      <c r="BN8282" s="4"/>
      <c r="BO8282" s="4"/>
      <c r="BQ8282" s="4"/>
      <c r="CC8282" s="4"/>
      <c r="CD8282" s="4"/>
      <c r="CF8282" s="4"/>
    </row>
    <row r="8283" spans="66:84">
      <c r="BN8283" s="4"/>
      <c r="BO8283" s="4"/>
      <c r="BQ8283" s="4"/>
      <c r="CC8283" s="4"/>
      <c r="CD8283" s="4"/>
      <c r="CF8283" s="4"/>
    </row>
    <row r="8284" spans="66:84">
      <c r="BN8284" s="4"/>
      <c r="BO8284" s="4"/>
      <c r="BQ8284" s="4"/>
      <c r="CC8284" s="4"/>
      <c r="CD8284" s="4"/>
      <c r="CF8284" s="4"/>
    </row>
    <row r="8285" spans="66:84">
      <c r="BN8285" s="4"/>
      <c r="BO8285" s="4"/>
      <c r="BQ8285" s="4"/>
      <c r="CC8285" s="4"/>
      <c r="CD8285" s="4"/>
      <c r="CF8285" s="4"/>
    </row>
    <row r="8286" spans="66:84">
      <c r="BN8286" s="4"/>
      <c r="BO8286" s="4"/>
      <c r="BQ8286" s="4"/>
      <c r="CC8286" s="4"/>
      <c r="CD8286" s="4"/>
      <c r="CF8286" s="4"/>
    </row>
    <row r="8287" spans="66:84">
      <c r="BN8287" s="4"/>
      <c r="BO8287" s="4"/>
      <c r="BQ8287" s="4"/>
      <c r="CC8287" s="4"/>
      <c r="CD8287" s="4"/>
      <c r="CF8287" s="4"/>
    </row>
    <row r="8288" spans="66:84">
      <c r="BN8288" s="4"/>
      <c r="BO8288" s="4"/>
      <c r="BQ8288" s="4"/>
      <c r="CC8288" s="4"/>
      <c r="CD8288" s="4"/>
      <c r="CF8288" s="4"/>
    </row>
    <row r="8289" spans="66:84">
      <c r="BN8289" s="4"/>
      <c r="BO8289" s="4"/>
      <c r="BQ8289" s="4"/>
      <c r="CC8289" s="4"/>
      <c r="CD8289" s="4"/>
      <c r="CF8289" s="4"/>
    </row>
    <row r="8290" spans="66:84">
      <c r="BN8290" s="4"/>
      <c r="BO8290" s="4"/>
      <c r="BQ8290" s="4"/>
      <c r="CC8290" s="4"/>
      <c r="CD8290" s="4"/>
      <c r="CF8290" s="4"/>
    </row>
    <row r="8291" spans="66:84">
      <c r="BN8291" s="4"/>
      <c r="BO8291" s="4"/>
      <c r="BQ8291" s="4"/>
      <c r="CC8291" s="4"/>
      <c r="CD8291" s="4"/>
      <c r="CF8291" s="4"/>
    </row>
    <row r="8292" spans="66:84">
      <c r="BN8292" s="4"/>
      <c r="BO8292" s="4"/>
      <c r="BQ8292" s="4"/>
      <c r="CC8292" s="4"/>
      <c r="CD8292" s="4"/>
      <c r="CF8292" s="4"/>
    </row>
    <row r="8293" spans="66:84">
      <c r="BN8293" s="4"/>
      <c r="BO8293" s="4"/>
      <c r="BQ8293" s="4"/>
      <c r="CC8293" s="4"/>
      <c r="CD8293" s="4"/>
      <c r="CF8293" s="4"/>
    </row>
    <row r="8294" spans="66:84">
      <c r="BN8294" s="4"/>
      <c r="BO8294" s="4"/>
      <c r="BQ8294" s="4"/>
      <c r="CC8294" s="4"/>
      <c r="CD8294" s="4"/>
      <c r="CF8294" s="4"/>
    </row>
    <row r="8295" spans="66:84">
      <c r="BN8295" s="4"/>
      <c r="BO8295" s="4"/>
      <c r="BQ8295" s="4"/>
      <c r="CC8295" s="4"/>
      <c r="CD8295" s="4"/>
      <c r="CF8295" s="4"/>
    </row>
    <row r="8296" spans="66:84">
      <c r="BN8296" s="4"/>
      <c r="BO8296" s="4"/>
      <c r="BQ8296" s="4"/>
      <c r="CC8296" s="4"/>
      <c r="CD8296" s="4"/>
      <c r="CF8296" s="4"/>
    </row>
    <row r="8297" spans="66:84">
      <c r="BN8297" s="4"/>
      <c r="BO8297" s="4"/>
      <c r="BQ8297" s="4"/>
      <c r="CC8297" s="4"/>
      <c r="CD8297" s="4"/>
      <c r="CF8297" s="4"/>
    </row>
    <row r="8298" spans="66:84">
      <c r="BN8298" s="4"/>
      <c r="BO8298" s="4"/>
      <c r="BQ8298" s="4"/>
      <c r="CC8298" s="4"/>
      <c r="CD8298" s="4"/>
      <c r="CF8298" s="4"/>
    </row>
    <row r="8299" spans="66:84">
      <c r="BN8299" s="4"/>
      <c r="BO8299" s="4"/>
      <c r="BQ8299" s="4"/>
      <c r="CC8299" s="4"/>
      <c r="CD8299" s="4"/>
      <c r="CF8299" s="4"/>
    </row>
    <row r="8300" spans="66:84">
      <c r="BN8300" s="4"/>
      <c r="BO8300" s="4"/>
      <c r="BQ8300" s="4"/>
      <c r="CC8300" s="4"/>
      <c r="CD8300" s="4"/>
      <c r="CF8300" s="4"/>
    </row>
    <row r="8301" spans="66:84">
      <c r="BN8301" s="4"/>
      <c r="BO8301" s="4"/>
      <c r="BQ8301" s="4"/>
      <c r="CC8301" s="4"/>
      <c r="CD8301" s="4"/>
      <c r="CF8301" s="4"/>
    </row>
    <row r="8302" spans="66:84">
      <c r="BN8302" s="4"/>
      <c r="BO8302" s="4"/>
      <c r="BQ8302" s="4"/>
      <c r="CC8302" s="4"/>
      <c r="CD8302" s="4"/>
      <c r="CF8302" s="4"/>
    </row>
    <row r="8303" spans="66:84">
      <c r="BN8303" s="4"/>
      <c r="BO8303" s="4"/>
      <c r="BQ8303" s="4"/>
      <c r="CC8303" s="4"/>
      <c r="CD8303" s="4"/>
      <c r="CF8303" s="4"/>
    </row>
    <row r="8304" spans="66:84">
      <c r="BN8304" s="4"/>
      <c r="BO8304" s="4"/>
      <c r="BQ8304" s="4"/>
      <c r="CC8304" s="4"/>
      <c r="CD8304" s="4"/>
      <c r="CF8304" s="4"/>
    </row>
    <row r="8305" spans="66:84">
      <c r="BN8305" s="4"/>
      <c r="BO8305" s="4"/>
      <c r="BQ8305" s="4"/>
      <c r="CC8305" s="4"/>
      <c r="CD8305" s="4"/>
      <c r="CF8305" s="4"/>
    </row>
    <row r="8306" spans="66:84">
      <c r="BN8306" s="4"/>
      <c r="BO8306" s="4"/>
      <c r="BQ8306" s="4"/>
      <c r="CC8306" s="4"/>
      <c r="CD8306" s="4"/>
      <c r="CF8306" s="4"/>
    </row>
    <row r="8307" spans="66:84">
      <c r="BN8307" s="4"/>
      <c r="BO8307" s="4"/>
      <c r="BQ8307" s="4"/>
      <c r="CC8307" s="4"/>
      <c r="CD8307" s="4"/>
      <c r="CF8307" s="4"/>
    </row>
    <row r="8308" spans="66:84">
      <c r="BN8308" s="4"/>
      <c r="BO8308" s="4"/>
      <c r="BQ8308" s="4"/>
      <c r="CC8308" s="4"/>
      <c r="CD8308" s="4"/>
      <c r="CF8308" s="4"/>
    </row>
    <row r="8309" spans="66:84">
      <c r="BN8309" s="4"/>
      <c r="BO8309" s="4"/>
      <c r="BQ8309" s="4"/>
      <c r="CC8309" s="4"/>
      <c r="CD8309" s="4"/>
      <c r="CF8309" s="4"/>
    </row>
    <row r="8310" spans="66:84">
      <c r="BN8310" s="4"/>
      <c r="BO8310" s="4"/>
      <c r="BQ8310" s="4"/>
      <c r="CC8310" s="4"/>
      <c r="CD8310" s="4"/>
      <c r="CF8310" s="4"/>
    </row>
    <row r="8311" spans="66:84">
      <c r="BN8311" s="4"/>
      <c r="BO8311" s="4"/>
      <c r="BQ8311" s="4"/>
      <c r="CC8311" s="4"/>
      <c r="CD8311" s="4"/>
      <c r="CF8311" s="4"/>
    </row>
    <row r="8312" spans="66:84">
      <c r="BN8312" s="4"/>
      <c r="BO8312" s="4"/>
      <c r="BQ8312" s="4"/>
      <c r="CC8312" s="4"/>
      <c r="CD8312" s="4"/>
      <c r="CF8312" s="4"/>
    </row>
    <row r="8313" spans="66:84">
      <c r="BN8313" s="4"/>
      <c r="BO8313" s="4"/>
      <c r="BQ8313" s="4"/>
      <c r="CC8313" s="4"/>
      <c r="CD8313" s="4"/>
      <c r="CF8313" s="4"/>
    </row>
    <row r="8314" spans="66:84">
      <c r="BN8314" s="4"/>
      <c r="BO8314" s="4"/>
      <c r="BQ8314" s="4"/>
      <c r="CC8314" s="4"/>
      <c r="CD8314" s="4"/>
      <c r="CF8314" s="4"/>
    </row>
    <row r="8315" spans="66:84">
      <c r="BN8315" s="4"/>
      <c r="BO8315" s="4"/>
      <c r="BQ8315" s="4"/>
      <c r="CC8315" s="4"/>
      <c r="CD8315" s="4"/>
      <c r="CF8315" s="4"/>
    </row>
    <row r="8316" spans="66:84">
      <c r="BN8316" s="4"/>
      <c r="BO8316" s="4"/>
      <c r="BQ8316" s="4"/>
      <c r="CC8316" s="4"/>
      <c r="CD8316" s="4"/>
      <c r="CF8316" s="4"/>
    </row>
    <row r="8317" spans="66:84">
      <c r="BN8317" s="4"/>
      <c r="BO8317" s="4"/>
      <c r="BQ8317" s="4"/>
      <c r="CC8317" s="4"/>
      <c r="CD8317" s="4"/>
      <c r="CF8317" s="4"/>
    </row>
    <row r="8318" spans="66:84">
      <c r="BN8318" s="4"/>
      <c r="BO8318" s="4"/>
      <c r="BQ8318" s="4"/>
      <c r="CC8318" s="4"/>
      <c r="CD8318" s="4"/>
      <c r="CF8318" s="4"/>
    </row>
    <row r="8319" spans="66:84">
      <c r="BN8319" s="4"/>
      <c r="BO8319" s="4"/>
      <c r="BQ8319" s="4"/>
      <c r="CC8319" s="4"/>
      <c r="CD8319" s="4"/>
      <c r="CF8319" s="4"/>
    </row>
    <row r="8320" spans="66:84">
      <c r="BN8320" s="4"/>
      <c r="BO8320" s="4"/>
      <c r="BQ8320" s="4"/>
      <c r="CC8320" s="4"/>
      <c r="CD8320" s="4"/>
      <c r="CF8320" s="4"/>
    </row>
    <row r="8321" spans="66:84">
      <c r="BN8321" s="4"/>
      <c r="BO8321" s="4"/>
      <c r="BQ8321" s="4"/>
      <c r="CC8321" s="4"/>
      <c r="CD8321" s="4"/>
      <c r="CF8321" s="4"/>
    </row>
    <row r="8322" spans="66:84">
      <c r="BN8322" s="4"/>
      <c r="BO8322" s="4"/>
      <c r="BQ8322" s="4"/>
      <c r="CC8322" s="4"/>
      <c r="CD8322" s="4"/>
      <c r="CF8322" s="4"/>
    </row>
    <row r="8323" spans="66:84">
      <c r="BN8323" s="4"/>
      <c r="BO8323" s="4"/>
      <c r="BQ8323" s="4"/>
      <c r="CC8323" s="4"/>
      <c r="CD8323" s="4"/>
      <c r="CF8323" s="4"/>
    </row>
    <row r="8324" spans="66:84">
      <c r="BN8324" s="4"/>
      <c r="BO8324" s="4"/>
      <c r="BQ8324" s="4"/>
      <c r="CC8324" s="4"/>
      <c r="CD8324" s="4"/>
      <c r="CF8324" s="4"/>
    </row>
    <row r="8325" spans="66:84">
      <c r="BN8325" s="4"/>
      <c r="BO8325" s="4"/>
      <c r="BQ8325" s="4"/>
      <c r="CC8325" s="4"/>
      <c r="CD8325" s="4"/>
      <c r="CF8325" s="4"/>
    </row>
    <row r="8326" spans="66:84">
      <c r="BN8326" s="4"/>
      <c r="BO8326" s="4"/>
      <c r="BQ8326" s="4"/>
      <c r="CC8326" s="4"/>
      <c r="CD8326" s="4"/>
      <c r="CF8326" s="4"/>
    </row>
    <row r="8327" spans="66:84">
      <c r="BN8327" s="4"/>
      <c r="BO8327" s="4"/>
      <c r="BQ8327" s="4"/>
      <c r="CC8327" s="4"/>
      <c r="CD8327" s="4"/>
      <c r="CF8327" s="4"/>
    </row>
    <row r="8328" spans="66:84">
      <c r="BN8328" s="4"/>
      <c r="BO8328" s="4"/>
      <c r="BQ8328" s="4"/>
      <c r="CC8328" s="4"/>
      <c r="CD8328" s="4"/>
      <c r="CF8328" s="4"/>
    </row>
    <row r="8329" spans="66:84">
      <c r="BN8329" s="4"/>
      <c r="BO8329" s="4"/>
      <c r="BQ8329" s="4"/>
      <c r="CC8329" s="4"/>
      <c r="CD8329" s="4"/>
      <c r="CF8329" s="4"/>
    </row>
    <row r="8330" spans="66:84">
      <c r="BN8330" s="4"/>
      <c r="BO8330" s="4"/>
      <c r="BQ8330" s="4"/>
      <c r="CC8330" s="4"/>
      <c r="CD8330" s="4"/>
      <c r="CF8330" s="4"/>
    </row>
    <row r="8331" spans="66:84">
      <c r="BN8331" s="4"/>
      <c r="BO8331" s="4"/>
      <c r="BQ8331" s="4"/>
      <c r="CC8331" s="4"/>
      <c r="CD8331" s="4"/>
      <c r="CF8331" s="4"/>
    </row>
    <row r="8332" spans="66:84">
      <c r="BN8332" s="4"/>
      <c r="BO8332" s="4"/>
      <c r="BQ8332" s="4"/>
      <c r="CC8332" s="4"/>
      <c r="CD8332" s="4"/>
      <c r="CF8332" s="4"/>
    </row>
    <row r="8333" spans="66:84">
      <c r="BN8333" s="4"/>
      <c r="BO8333" s="4"/>
      <c r="BQ8333" s="4"/>
      <c r="CC8333" s="4"/>
      <c r="CD8333" s="4"/>
      <c r="CF8333" s="4"/>
    </row>
    <row r="8334" spans="66:84">
      <c r="BN8334" s="4"/>
      <c r="BO8334" s="4"/>
      <c r="BQ8334" s="4"/>
      <c r="CC8334" s="4"/>
      <c r="CD8334" s="4"/>
      <c r="CF8334" s="4"/>
    </row>
    <row r="8335" spans="66:84">
      <c r="BN8335" s="4"/>
      <c r="BO8335" s="4"/>
      <c r="BQ8335" s="4"/>
      <c r="CC8335" s="4"/>
      <c r="CD8335" s="4"/>
      <c r="CF8335" s="4"/>
    </row>
    <row r="8336" spans="66:84">
      <c r="BN8336" s="4"/>
      <c r="BO8336" s="4"/>
      <c r="BQ8336" s="4"/>
      <c r="CC8336" s="4"/>
      <c r="CD8336" s="4"/>
      <c r="CF8336" s="4"/>
    </row>
    <row r="8337" spans="66:84">
      <c r="BN8337" s="4"/>
      <c r="BO8337" s="4"/>
      <c r="BQ8337" s="4"/>
      <c r="CC8337" s="4"/>
      <c r="CD8337" s="4"/>
      <c r="CF8337" s="4"/>
    </row>
    <row r="8338" spans="66:84">
      <c r="BN8338" s="4"/>
      <c r="BO8338" s="4"/>
      <c r="BQ8338" s="4"/>
      <c r="CC8338" s="4"/>
      <c r="CD8338" s="4"/>
      <c r="CF8338" s="4"/>
    </row>
    <row r="8339" spans="66:84">
      <c r="BN8339" s="4"/>
      <c r="BO8339" s="4"/>
      <c r="BQ8339" s="4"/>
      <c r="CC8339" s="4"/>
      <c r="CD8339" s="4"/>
      <c r="CF8339" s="4"/>
    </row>
    <row r="8340" spans="66:84">
      <c r="BN8340" s="4"/>
      <c r="BO8340" s="4"/>
      <c r="BQ8340" s="4"/>
      <c r="CC8340" s="4"/>
      <c r="CD8340" s="4"/>
      <c r="CF8340" s="4"/>
    </row>
    <row r="8341" spans="66:84">
      <c r="BN8341" s="4"/>
      <c r="BO8341" s="4"/>
      <c r="BQ8341" s="4"/>
      <c r="CC8341" s="4"/>
      <c r="CD8341" s="4"/>
      <c r="CF8341" s="4"/>
    </row>
    <row r="8342" spans="66:84">
      <c r="BN8342" s="4"/>
      <c r="BO8342" s="4"/>
      <c r="BQ8342" s="4"/>
      <c r="CC8342" s="4"/>
      <c r="CD8342" s="4"/>
      <c r="CF8342" s="4"/>
    </row>
    <row r="8343" spans="66:84">
      <c r="BN8343" s="4"/>
      <c r="BO8343" s="4"/>
      <c r="BQ8343" s="4"/>
      <c r="CC8343" s="4"/>
      <c r="CD8343" s="4"/>
      <c r="CF8343" s="4"/>
    </row>
    <row r="8344" spans="66:84">
      <c r="BN8344" s="4"/>
      <c r="BO8344" s="4"/>
      <c r="BQ8344" s="4"/>
      <c r="CC8344" s="4"/>
      <c r="CD8344" s="4"/>
      <c r="CF8344" s="4"/>
    </row>
    <row r="8345" spans="66:84">
      <c r="BN8345" s="4"/>
      <c r="BO8345" s="4"/>
      <c r="BQ8345" s="4"/>
      <c r="CC8345" s="4"/>
      <c r="CD8345" s="4"/>
      <c r="CF8345" s="4"/>
    </row>
    <row r="8346" spans="66:84">
      <c r="BN8346" s="4"/>
      <c r="BO8346" s="4"/>
      <c r="BQ8346" s="4"/>
      <c r="CC8346" s="4"/>
      <c r="CD8346" s="4"/>
      <c r="CF8346" s="4"/>
    </row>
    <row r="8347" spans="66:84">
      <c r="BN8347" s="4"/>
      <c r="BO8347" s="4"/>
      <c r="BQ8347" s="4"/>
      <c r="CC8347" s="4"/>
      <c r="CD8347" s="4"/>
      <c r="CF8347" s="4"/>
    </row>
    <row r="8348" spans="66:84">
      <c r="BN8348" s="4"/>
      <c r="BO8348" s="4"/>
      <c r="BQ8348" s="4"/>
      <c r="CC8348" s="4"/>
      <c r="CD8348" s="4"/>
      <c r="CF8348" s="4"/>
    </row>
    <row r="8349" spans="66:84">
      <c r="BN8349" s="4"/>
      <c r="BO8349" s="4"/>
      <c r="BQ8349" s="4"/>
      <c r="CC8349" s="4"/>
      <c r="CD8349" s="4"/>
      <c r="CF8349" s="4"/>
    </row>
    <row r="8350" spans="66:84">
      <c r="BN8350" s="4"/>
      <c r="BO8350" s="4"/>
      <c r="BQ8350" s="4"/>
      <c r="CC8350" s="4"/>
      <c r="CD8350" s="4"/>
      <c r="CF8350" s="4"/>
    </row>
    <row r="8351" spans="66:84">
      <c r="BN8351" s="4"/>
      <c r="BO8351" s="4"/>
      <c r="BQ8351" s="4"/>
      <c r="CC8351" s="4"/>
      <c r="CD8351" s="4"/>
      <c r="CF8351" s="4"/>
    </row>
    <row r="8352" spans="66:84">
      <c r="BN8352" s="4"/>
      <c r="BO8352" s="4"/>
      <c r="BQ8352" s="4"/>
      <c r="CC8352" s="4"/>
      <c r="CD8352" s="4"/>
      <c r="CF8352" s="4"/>
    </row>
    <row r="8353" spans="66:84">
      <c r="BN8353" s="4"/>
      <c r="BO8353" s="4"/>
      <c r="BQ8353" s="4"/>
      <c r="CC8353" s="4"/>
      <c r="CD8353" s="4"/>
      <c r="CF8353" s="4"/>
    </row>
    <row r="8354" spans="66:84">
      <c r="BN8354" s="4"/>
      <c r="BO8354" s="4"/>
      <c r="BQ8354" s="4"/>
      <c r="CC8354" s="4"/>
      <c r="CD8354" s="4"/>
      <c r="CF8354" s="4"/>
    </row>
    <row r="8355" spans="66:84">
      <c r="BN8355" s="4"/>
      <c r="BO8355" s="4"/>
      <c r="BQ8355" s="4"/>
      <c r="CC8355" s="4"/>
      <c r="CD8355" s="4"/>
      <c r="CF8355" s="4"/>
    </row>
    <row r="8356" spans="66:84">
      <c r="BN8356" s="4"/>
      <c r="BO8356" s="4"/>
      <c r="BQ8356" s="4"/>
      <c r="CC8356" s="4"/>
      <c r="CD8356" s="4"/>
      <c r="CF8356" s="4"/>
    </row>
    <row r="8357" spans="66:84">
      <c r="BN8357" s="4"/>
      <c r="BO8357" s="4"/>
      <c r="BQ8357" s="4"/>
      <c r="CC8357" s="4"/>
      <c r="CD8357" s="4"/>
      <c r="CF8357" s="4"/>
    </row>
    <row r="8358" spans="66:84">
      <c r="BN8358" s="4"/>
      <c r="BO8358" s="4"/>
      <c r="BQ8358" s="4"/>
      <c r="CC8358" s="4"/>
      <c r="CD8358" s="4"/>
      <c r="CF8358" s="4"/>
    </row>
    <row r="8359" spans="66:84">
      <c r="BN8359" s="4"/>
      <c r="BO8359" s="4"/>
      <c r="BQ8359" s="4"/>
      <c r="CC8359" s="4"/>
      <c r="CD8359" s="4"/>
      <c r="CF8359" s="4"/>
    </row>
    <row r="8360" spans="66:84">
      <c r="BN8360" s="4"/>
      <c r="BO8360" s="4"/>
      <c r="BQ8360" s="4"/>
      <c r="CC8360" s="4"/>
      <c r="CD8360" s="4"/>
      <c r="CF8360" s="4"/>
    </row>
    <row r="8361" spans="66:84">
      <c r="BN8361" s="4"/>
      <c r="BO8361" s="4"/>
      <c r="BQ8361" s="4"/>
      <c r="CC8361" s="4"/>
      <c r="CD8361" s="4"/>
      <c r="CF8361" s="4"/>
    </row>
    <row r="8362" spans="66:84">
      <c r="BN8362" s="4"/>
      <c r="BO8362" s="4"/>
      <c r="BQ8362" s="4"/>
      <c r="CC8362" s="4"/>
      <c r="CD8362" s="4"/>
      <c r="CF8362" s="4"/>
    </row>
    <row r="8363" spans="66:84">
      <c r="BN8363" s="4"/>
      <c r="BO8363" s="4"/>
      <c r="BQ8363" s="4"/>
      <c r="CC8363" s="4"/>
      <c r="CD8363" s="4"/>
      <c r="CF8363" s="4"/>
    </row>
    <row r="8364" spans="66:84">
      <c r="BN8364" s="4"/>
      <c r="BO8364" s="4"/>
      <c r="BQ8364" s="4"/>
      <c r="CC8364" s="4"/>
      <c r="CD8364" s="4"/>
      <c r="CF8364" s="4"/>
    </row>
    <row r="8365" spans="66:84">
      <c r="BN8365" s="4"/>
      <c r="BO8365" s="4"/>
      <c r="BQ8365" s="4"/>
      <c r="CC8365" s="4"/>
      <c r="CD8365" s="4"/>
      <c r="CF8365" s="4"/>
    </row>
    <row r="8366" spans="66:84">
      <c r="BN8366" s="4"/>
      <c r="BO8366" s="4"/>
      <c r="BQ8366" s="4"/>
      <c r="CC8366" s="4"/>
      <c r="CD8366" s="4"/>
      <c r="CF8366" s="4"/>
    </row>
    <row r="8367" spans="66:84">
      <c r="BN8367" s="4"/>
      <c r="BO8367" s="4"/>
      <c r="BQ8367" s="4"/>
      <c r="CC8367" s="4"/>
      <c r="CD8367" s="4"/>
      <c r="CF8367" s="4"/>
    </row>
    <row r="8368" spans="66:84">
      <c r="BN8368" s="4"/>
      <c r="BO8368" s="4"/>
      <c r="BQ8368" s="4"/>
      <c r="CC8368" s="4"/>
      <c r="CD8368" s="4"/>
      <c r="CF8368" s="4"/>
    </row>
    <row r="8369" spans="66:84">
      <c r="BN8369" s="4"/>
      <c r="BO8369" s="4"/>
      <c r="BQ8369" s="4"/>
      <c r="CC8369" s="4"/>
      <c r="CD8369" s="4"/>
      <c r="CF8369" s="4"/>
    </row>
    <row r="8370" spans="66:84">
      <c r="BN8370" s="4"/>
      <c r="BO8370" s="4"/>
      <c r="BQ8370" s="4"/>
      <c r="CC8370" s="4"/>
      <c r="CD8370" s="4"/>
      <c r="CF8370" s="4"/>
    </row>
    <row r="8371" spans="66:84">
      <c r="BN8371" s="4"/>
      <c r="BO8371" s="4"/>
      <c r="BQ8371" s="4"/>
      <c r="CC8371" s="4"/>
      <c r="CD8371" s="4"/>
      <c r="CF8371" s="4"/>
    </row>
    <row r="8372" spans="66:84">
      <c r="BN8372" s="4"/>
      <c r="BO8372" s="4"/>
      <c r="BQ8372" s="4"/>
      <c r="CC8372" s="4"/>
      <c r="CD8372" s="4"/>
      <c r="CF8372" s="4"/>
    </row>
    <row r="8373" spans="66:84">
      <c r="BN8373" s="4"/>
      <c r="BO8373" s="4"/>
      <c r="BQ8373" s="4"/>
      <c r="CC8373" s="4"/>
      <c r="CD8373" s="4"/>
      <c r="CF8373" s="4"/>
    </row>
    <row r="8374" spans="66:84">
      <c r="BN8374" s="4"/>
      <c r="BO8374" s="4"/>
      <c r="BQ8374" s="4"/>
      <c r="CC8374" s="4"/>
      <c r="CD8374" s="4"/>
      <c r="CF8374" s="4"/>
    </row>
    <row r="8375" spans="66:84">
      <c r="BN8375" s="4"/>
      <c r="BO8375" s="4"/>
      <c r="BQ8375" s="4"/>
      <c r="CC8375" s="4"/>
      <c r="CD8375" s="4"/>
      <c r="CF8375" s="4"/>
    </row>
    <row r="8376" spans="66:84">
      <c r="BN8376" s="4"/>
      <c r="BO8376" s="4"/>
      <c r="BQ8376" s="4"/>
      <c r="CC8376" s="4"/>
      <c r="CD8376" s="4"/>
      <c r="CF8376" s="4"/>
    </row>
    <row r="8377" spans="66:84">
      <c r="BN8377" s="4"/>
      <c r="BO8377" s="4"/>
      <c r="BQ8377" s="4"/>
      <c r="CC8377" s="4"/>
      <c r="CD8377" s="4"/>
      <c r="CF8377" s="4"/>
    </row>
    <row r="8378" spans="66:84">
      <c r="BN8378" s="4"/>
      <c r="BO8378" s="4"/>
      <c r="BQ8378" s="4"/>
      <c r="CC8378" s="4"/>
      <c r="CD8378" s="4"/>
      <c r="CF8378" s="4"/>
    </row>
    <row r="8379" spans="66:84">
      <c r="BN8379" s="4"/>
      <c r="BO8379" s="4"/>
      <c r="BQ8379" s="4"/>
      <c r="CC8379" s="4"/>
      <c r="CD8379" s="4"/>
      <c r="CF8379" s="4"/>
    </row>
    <row r="8380" spans="66:84">
      <c r="BN8380" s="4"/>
      <c r="BO8380" s="4"/>
      <c r="BQ8380" s="4"/>
      <c r="CC8380" s="4"/>
      <c r="CD8380" s="4"/>
      <c r="CF8380" s="4"/>
    </row>
    <row r="8381" spans="66:84">
      <c r="BN8381" s="4"/>
      <c r="BO8381" s="4"/>
      <c r="BQ8381" s="4"/>
      <c r="CC8381" s="4"/>
      <c r="CD8381" s="4"/>
      <c r="CF8381" s="4"/>
    </row>
    <row r="8382" spans="66:84">
      <c r="BN8382" s="4"/>
      <c r="BO8382" s="4"/>
      <c r="BQ8382" s="4"/>
      <c r="CC8382" s="4"/>
      <c r="CD8382" s="4"/>
      <c r="CF8382" s="4"/>
    </row>
    <row r="8383" spans="66:84">
      <c r="BN8383" s="4"/>
      <c r="BO8383" s="4"/>
      <c r="BQ8383" s="4"/>
      <c r="CC8383" s="4"/>
      <c r="CD8383" s="4"/>
      <c r="CF8383" s="4"/>
    </row>
    <row r="8384" spans="66:84">
      <c r="BN8384" s="4"/>
      <c r="BO8384" s="4"/>
      <c r="BQ8384" s="4"/>
      <c r="CC8384" s="4"/>
      <c r="CD8384" s="4"/>
      <c r="CF8384" s="4"/>
    </row>
    <row r="8385" spans="66:84">
      <c r="BN8385" s="4"/>
      <c r="BO8385" s="4"/>
      <c r="BQ8385" s="4"/>
      <c r="CC8385" s="4"/>
      <c r="CD8385" s="4"/>
      <c r="CF8385" s="4"/>
    </row>
    <row r="8386" spans="66:84">
      <c r="BN8386" s="4"/>
      <c r="BO8386" s="4"/>
      <c r="BQ8386" s="4"/>
      <c r="CC8386" s="4"/>
      <c r="CD8386" s="4"/>
      <c r="CF8386" s="4"/>
    </row>
    <row r="8387" spans="66:84">
      <c r="BN8387" s="4"/>
      <c r="BO8387" s="4"/>
      <c r="BQ8387" s="4"/>
      <c r="CC8387" s="4"/>
      <c r="CD8387" s="4"/>
      <c r="CF8387" s="4"/>
    </row>
    <row r="8388" spans="66:84">
      <c r="BN8388" s="4"/>
      <c r="BO8388" s="4"/>
      <c r="BQ8388" s="4"/>
      <c r="CC8388" s="4"/>
      <c r="CD8388" s="4"/>
      <c r="CF8388" s="4"/>
    </row>
    <row r="8389" spans="66:84">
      <c r="BN8389" s="4"/>
      <c r="BO8389" s="4"/>
      <c r="BQ8389" s="4"/>
      <c r="CC8389" s="4"/>
      <c r="CD8389" s="4"/>
      <c r="CF8389" s="4"/>
    </row>
    <row r="8390" spans="66:84">
      <c r="BN8390" s="4"/>
      <c r="BO8390" s="4"/>
      <c r="BQ8390" s="4"/>
      <c r="CC8390" s="4"/>
      <c r="CD8390" s="4"/>
      <c r="CF8390" s="4"/>
    </row>
    <row r="8391" spans="66:84">
      <c r="BN8391" s="4"/>
      <c r="BO8391" s="4"/>
      <c r="BQ8391" s="4"/>
      <c r="CC8391" s="4"/>
      <c r="CD8391" s="4"/>
      <c r="CF8391" s="4"/>
    </row>
    <row r="8392" spans="66:84">
      <c r="BN8392" s="4"/>
      <c r="BO8392" s="4"/>
      <c r="BQ8392" s="4"/>
      <c r="CC8392" s="4"/>
      <c r="CD8392" s="4"/>
      <c r="CF8392" s="4"/>
    </row>
    <row r="8393" spans="66:84">
      <c r="BN8393" s="4"/>
      <c r="BO8393" s="4"/>
      <c r="BQ8393" s="4"/>
      <c r="CC8393" s="4"/>
      <c r="CD8393" s="4"/>
      <c r="CF8393" s="4"/>
    </row>
    <row r="8394" spans="66:84">
      <c r="BN8394" s="4"/>
      <c r="BO8394" s="4"/>
      <c r="BQ8394" s="4"/>
      <c r="CC8394" s="4"/>
      <c r="CD8394" s="4"/>
      <c r="CF8394" s="4"/>
    </row>
    <row r="8395" spans="66:84">
      <c r="BN8395" s="4"/>
      <c r="BO8395" s="4"/>
      <c r="BQ8395" s="4"/>
      <c r="CC8395" s="4"/>
      <c r="CD8395" s="4"/>
      <c r="CF8395" s="4"/>
    </row>
    <row r="8396" spans="66:84">
      <c r="BN8396" s="4"/>
      <c r="BO8396" s="4"/>
      <c r="BQ8396" s="4"/>
      <c r="CC8396" s="4"/>
      <c r="CD8396" s="4"/>
      <c r="CF8396" s="4"/>
    </row>
    <row r="8397" spans="66:84">
      <c r="BN8397" s="4"/>
      <c r="BO8397" s="4"/>
      <c r="BQ8397" s="4"/>
      <c r="CC8397" s="4"/>
      <c r="CD8397" s="4"/>
      <c r="CF8397" s="4"/>
    </row>
    <row r="8398" spans="66:84">
      <c r="BN8398" s="4"/>
      <c r="BO8398" s="4"/>
      <c r="BQ8398" s="4"/>
      <c r="CC8398" s="4"/>
      <c r="CD8398" s="4"/>
      <c r="CF8398" s="4"/>
    </row>
    <row r="8399" spans="66:84">
      <c r="BN8399" s="4"/>
      <c r="BO8399" s="4"/>
      <c r="BQ8399" s="4"/>
      <c r="CC8399" s="4"/>
      <c r="CD8399" s="4"/>
      <c r="CF8399" s="4"/>
    </row>
    <row r="8400" spans="66:84">
      <c r="BN8400" s="4"/>
      <c r="BO8400" s="4"/>
      <c r="BQ8400" s="4"/>
      <c r="CC8400" s="4"/>
      <c r="CD8400" s="4"/>
      <c r="CF8400" s="4"/>
    </row>
    <row r="8401" spans="66:84">
      <c r="BN8401" s="4"/>
      <c r="BO8401" s="4"/>
      <c r="BQ8401" s="4"/>
      <c r="CC8401" s="4"/>
      <c r="CD8401" s="4"/>
      <c r="CF8401" s="4"/>
    </row>
    <row r="8402" spans="66:84">
      <c r="BN8402" s="4"/>
      <c r="BO8402" s="4"/>
      <c r="BQ8402" s="4"/>
      <c r="CC8402" s="4"/>
      <c r="CD8402" s="4"/>
      <c r="CF8402" s="4"/>
    </row>
    <row r="8403" spans="66:84">
      <c r="BN8403" s="4"/>
      <c r="BO8403" s="4"/>
      <c r="BQ8403" s="4"/>
      <c r="CC8403" s="4"/>
      <c r="CD8403" s="4"/>
      <c r="CF8403" s="4"/>
    </row>
    <row r="8404" spans="66:84">
      <c r="BN8404" s="4"/>
      <c r="BO8404" s="4"/>
      <c r="BQ8404" s="4"/>
      <c r="CC8404" s="4"/>
      <c r="CD8404" s="4"/>
      <c r="CF8404" s="4"/>
    </row>
    <row r="8405" spans="66:84">
      <c r="BN8405" s="4"/>
      <c r="BO8405" s="4"/>
      <c r="BQ8405" s="4"/>
      <c r="CC8405" s="4"/>
      <c r="CD8405" s="4"/>
      <c r="CF8405" s="4"/>
    </row>
    <row r="8406" spans="66:84">
      <c r="BN8406" s="4"/>
      <c r="BO8406" s="4"/>
      <c r="BQ8406" s="4"/>
      <c r="CC8406" s="4"/>
      <c r="CD8406" s="4"/>
      <c r="CF8406" s="4"/>
    </row>
    <row r="8407" spans="66:84">
      <c r="BN8407" s="4"/>
      <c r="BO8407" s="4"/>
      <c r="BQ8407" s="4"/>
      <c r="CC8407" s="4"/>
      <c r="CD8407" s="4"/>
      <c r="CF8407" s="4"/>
    </row>
    <row r="8408" spans="66:84">
      <c r="BN8408" s="4"/>
      <c r="BO8408" s="4"/>
      <c r="BQ8408" s="4"/>
      <c r="CC8408" s="4"/>
      <c r="CD8408" s="4"/>
      <c r="CF8408" s="4"/>
    </row>
    <row r="8409" spans="66:84">
      <c r="BN8409" s="4"/>
      <c r="BO8409" s="4"/>
      <c r="BQ8409" s="4"/>
      <c r="CC8409" s="4"/>
      <c r="CD8409" s="4"/>
      <c r="CF8409" s="4"/>
    </row>
    <row r="8410" spans="66:84">
      <c r="BN8410" s="4"/>
      <c r="BO8410" s="4"/>
      <c r="BQ8410" s="4"/>
      <c r="CC8410" s="4"/>
      <c r="CD8410" s="4"/>
      <c r="CF8410" s="4"/>
    </row>
    <row r="8411" spans="66:84">
      <c r="BN8411" s="4"/>
      <c r="BO8411" s="4"/>
      <c r="BQ8411" s="4"/>
      <c r="CC8411" s="4"/>
      <c r="CD8411" s="4"/>
      <c r="CF8411" s="4"/>
    </row>
    <row r="8412" spans="66:84">
      <c r="BN8412" s="4"/>
      <c r="BO8412" s="4"/>
      <c r="BQ8412" s="4"/>
      <c r="CC8412" s="4"/>
      <c r="CD8412" s="4"/>
      <c r="CF8412" s="4"/>
    </row>
    <row r="8413" spans="66:84">
      <c r="BN8413" s="4"/>
      <c r="BO8413" s="4"/>
      <c r="BQ8413" s="4"/>
      <c r="CC8413" s="4"/>
      <c r="CD8413" s="4"/>
      <c r="CF8413" s="4"/>
    </row>
    <row r="8414" spans="66:84">
      <c r="BN8414" s="4"/>
      <c r="BO8414" s="4"/>
      <c r="BQ8414" s="4"/>
      <c r="CC8414" s="4"/>
      <c r="CD8414" s="4"/>
      <c r="CF8414" s="4"/>
    </row>
    <row r="8415" spans="66:84">
      <c r="BN8415" s="4"/>
      <c r="BO8415" s="4"/>
      <c r="BQ8415" s="4"/>
      <c r="CC8415" s="4"/>
      <c r="CD8415" s="4"/>
      <c r="CF8415" s="4"/>
    </row>
    <row r="8416" spans="66:84">
      <c r="BN8416" s="4"/>
      <c r="BO8416" s="4"/>
      <c r="BQ8416" s="4"/>
      <c r="CC8416" s="4"/>
      <c r="CD8416" s="4"/>
      <c r="CF8416" s="4"/>
    </row>
    <row r="8417" spans="66:84">
      <c r="BN8417" s="4"/>
      <c r="BO8417" s="4"/>
      <c r="BQ8417" s="4"/>
      <c r="CC8417" s="4"/>
      <c r="CD8417" s="4"/>
      <c r="CF8417" s="4"/>
    </row>
    <row r="8418" spans="66:84">
      <c r="BN8418" s="4"/>
      <c r="BO8418" s="4"/>
      <c r="BQ8418" s="4"/>
      <c r="CC8418" s="4"/>
      <c r="CD8418" s="4"/>
      <c r="CF8418" s="4"/>
    </row>
    <row r="8419" spans="66:84">
      <c r="BN8419" s="4"/>
      <c r="BO8419" s="4"/>
      <c r="BQ8419" s="4"/>
      <c r="CC8419" s="4"/>
      <c r="CD8419" s="4"/>
      <c r="CF8419" s="4"/>
    </row>
    <row r="8420" spans="66:84">
      <c r="BN8420" s="4"/>
      <c r="BO8420" s="4"/>
      <c r="BQ8420" s="4"/>
      <c r="CC8420" s="4"/>
      <c r="CD8420" s="4"/>
      <c r="CF8420" s="4"/>
    </row>
    <row r="8421" spans="66:84">
      <c r="BN8421" s="4"/>
      <c r="BO8421" s="4"/>
      <c r="BQ8421" s="4"/>
      <c r="CC8421" s="4"/>
      <c r="CD8421" s="4"/>
      <c r="CF8421" s="4"/>
    </row>
    <row r="8422" spans="66:84">
      <c r="BN8422" s="4"/>
      <c r="BO8422" s="4"/>
      <c r="BQ8422" s="4"/>
      <c r="CC8422" s="4"/>
      <c r="CD8422" s="4"/>
      <c r="CF8422" s="4"/>
    </row>
    <row r="8423" spans="66:84">
      <c r="BN8423" s="4"/>
      <c r="BO8423" s="4"/>
      <c r="BQ8423" s="4"/>
      <c r="CC8423" s="4"/>
      <c r="CD8423" s="4"/>
      <c r="CF8423" s="4"/>
    </row>
    <row r="8424" spans="66:84">
      <c r="BN8424" s="4"/>
      <c r="BO8424" s="4"/>
      <c r="BQ8424" s="4"/>
      <c r="CC8424" s="4"/>
      <c r="CD8424" s="4"/>
      <c r="CF8424" s="4"/>
    </row>
    <row r="8425" spans="66:84">
      <c r="BN8425" s="4"/>
      <c r="BO8425" s="4"/>
      <c r="BQ8425" s="4"/>
      <c r="CC8425" s="4"/>
      <c r="CD8425" s="4"/>
      <c r="CF8425" s="4"/>
    </row>
    <row r="8426" spans="66:84">
      <c r="BN8426" s="4"/>
      <c r="BO8426" s="4"/>
      <c r="BQ8426" s="4"/>
      <c r="CC8426" s="4"/>
      <c r="CD8426" s="4"/>
      <c r="CF8426" s="4"/>
    </row>
    <row r="8427" spans="66:84">
      <c r="BN8427" s="4"/>
      <c r="BO8427" s="4"/>
      <c r="BQ8427" s="4"/>
      <c r="CC8427" s="4"/>
      <c r="CD8427" s="4"/>
      <c r="CF8427" s="4"/>
    </row>
    <row r="8428" spans="66:84">
      <c r="BN8428" s="4"/>
      <c r="BO8428" s="4"/>
      <c r="BQ8428" s="4"/>
      <c r="CC8428" s="4"/>
      <c r="CD8428" s="4"/>
      <c r="CF8428" s="4"/>
    </row>
    <row r="8429" spans="66:84">
      <c r="BN8429" s="4"/>
      <c r="BO8429" s="4"/>
      <c r="BQ8429" s="4"/>
      <c r="CC8429" s="4"/>
      <c r="CD8429" s="4"/>
      <c r="CF8429" s="4"/>
    </row>
    <row r="8430" spans="66:84">
      <c r="BN8430" s="4"/>
      <c r="BO8430" s="4"/>
      <c r="BQ8430" s="4"/>
      <c r="CC8430" s="4"/>
      <c r="CD8430" s="4"/>
      <c r="CF8430" s="4"/>
    </row>
    <row r="8431" spans="66:84">
      <c r="BN8431" s="4"/>
      <c r="BO8431" s="4"/>
      <c r="BQ8431" s="4"/>
      <c r="CC8431" s="4"/>
      <c r="CD8431" s="4"/>
      <c r="CF8431" s="4"/>
    </row>
    <row r="8432" spans="66:84">
      <c r="BN8432" s="4"/>
      <c r="BO8432" s="4"/>
      <c r="BQ8432" s="4"/>
      <c r="CC8432" s="4"/>
      <c r="CD8432" s="4"/>
      <c r="CF8432" s="4"/>
    </row>
    <row r="8433" spans="66:84">
      <c r="BN8433" s="4"/>
      <c r="BO8433" s="4"/>
      <c r="BQ8433" s="4"/>
      <c r="CC8433" s="4"/>
      <c r="CD8433" s="4"/>
      <c r="CF8433" s="4"/>
    </row>
    <row r="8434" spans="66:84">
      <c r="BN8434" s="4"/>
      <c r="BO8434" s="4"/>
      <c r="BQ8434" s="4"/>
      <c r="CC8434" s="4"/>
      <c r="CD8434" s="4"/>
      <c r="CF8434" s="4"/>
    </row>
    <row r="8435" spans="66:84">
      <c r="BN8435" s="4"/>
      <c r="BO8435" s="4"/>
      <c r="BQ8435" s="4"/>
      <c r="CC8435" s="4"/>
      <c r="CD8435" s="4"/>
      <c r="CF8435" s="4"/>
    </row>
    <row r="8436" spans="66:84">
      <c r="BN8436" s="4"/>
      <c r="BO8436" s="4"/>
      <c r="BQ8436" s="4"/>
      <c r="CC8436" s="4"/>
      <c r="CD8436" s="4"/>
      <c r="CF8436" s="4"/>
    </row>
    <row r="8437" spans="66:84">
      <c r="BN8437" s="4"/>
      <c r="BO8437" s="4"/>
      <c r="BQ8437" s="4"/>
      <c r="CC8437" s="4"/>
      <c r="CD8437" s="4"/>
      <c r="CF8437" s="4"/>
    </row>
    <row r="8438" spans="66:84">
      <c r="BN8438" s="4"/>
      <c r="BO8438" s="4"/>
      <c r="BQ8438" s="4"/>
      <c r="CC8438" s="4"/>
      <c r="CD8438" s="4"/>
      <c r="CF8438" s="4"/>
    </row>
    <row r="8439" spans="66:84">
      <c r="BN8439" s="4"/>
      <c r="BO8439" s="4"/>
      <c r="BQ8439" s="4"/>
      <c r="CC8439" s="4"/>
      <c r="CD8439" s="4"/>
      <c r="CF8439" s="4"/>
    </row>
    <row r="8440" spans="66:84">
      <c r="BN8440" s="4"/>
      <c r="BO8440" s="4"/>
      <c r="BQ8440" s="4"/>
      <c r="CC8440" s="4"/>
      <c r="CD8440" s="4"/>
      <c r="CF8440" s="4"/>
    </row>
    <row r="8441" spans="66:84">
      <c r="BN8441" s="4"/>
      <c r="BO8441" s="4"/>
      <c r="BQ8441" s="4"/>
      <c r="CC8441" s="4"/>
      <c r="CD8441" s="4"/>
      <c r="CF8441" s="4"/>
    </row>
    <row r="8442" spans="66:84">
      <c r="BN8442" s="4"/>
      <c r="BO8442" s="4"/>
      <c r="BQ8442" s="4"/>
      <c r="CC8442" s="4"/>
      <c r="CD8442" s="4"/>
      <c r="CF8442" s="4"/>
    </row>
    <row r="8443" spans="66:84">
      <c r="BN8443" s="4"/>
      <c r="BO8443" s="4"/>
      <c r="BQ8443" s="4"/>
      <c r="CC8443" s="4"/>
      <c r="CD8443" s="4"/>
      <c r="CF8443" s="4"/>
    </row>
    <row r="8444" spans="66:84">
      <c r="BN8444" s="4"/>
      <c r="BO8444" s="4"/>
      <c r="BQ8444" s="4"/>
      <c r="CC8444" s="4"/>
      <c r="CD8444" s="4"/>
      <c r="CF8444" s="4"/>
    </row>
    <row r="8445" spans="66:84">
      <c r="BN8445" s="4"/>
      <c r="BO8445" s="4"/>
      <c r="BQ8445" s="4"/>
      <c r="CC8445" s="4"/>
      <c r="CD8445" s="4"/>
      <c r="CF8445" s="4"/>
    </row>
    <row r="8446" spans="66:84">
      <c r="BN8446" s="4"/>
      <c r="BO8446" s="4"/>
      <c r="BQ8446" s="4"/>
      <c r="CC8446" s="4"/>
      <c r="CD8446" s="4"/>
      <c r="CF8446" s="4"/>
    </row>
    <row r="8447" spans="66:84">
      <c r="BN8447" s="4"/>
      <c r="BO8447" s="4"/>
      <c r="BQ8447" s="4"/>
      <c r="CC8447" s="4"/>
      <c r="CD8447" s="4"/>
      <c r="CF8447" s="4"/>
    </row>
    <row r="8448" spans="66:84">
      <c r="BN8448" s="4"/>
      <c r="BO8448" s="4"/>
      <c r="BQ8448" s="4"/>
      <c r="CC8448" s="4"/>
      <c r="CD8448" s="4"/>
      <c r="CF8448" s="4"/>
    </row>
    <row r="8449" spans="66:84">
      <c r="BN8449" s="4"/>
      <c r="BO8449" s="4"/>
      <c r="BQ8449" s="4"/>
      <c r="CC8449" s="4"/>
      <c r="CD8449" s="4"/>
      <c r="CF8449" s="4"/>
    </row>
    <row r="8450" spans="66:84">
      <c r="BN8450" s="4"/>
      <c r="BO8450" s="4"/>
      <c r="BQ8450" s="4"/>
      <c r="CC8450" s="4"/>
      <c r="CD8450" s="4"/>
      <c r="CF8450" s="4"/>
    </row>
    <row r="8451" spans="66:84">
      <c r="BN8451" s="4"/>
      <c r="BO8451" s="4"/>
      <c r="BQ8451" s="4"/>
      <c r="CC8451" s="4"/>
      <c r="CD8451" s="4"/>
      <c r="CF8451" s="4"/>
    </row>
    <row r="8452" spans="66:84">
      <c r="BN8452" s="4"/>
      <c r="BO8452" s="4"/>
      <c r="BQ8452" s="4"/>
      <c r="CC8452" s="4"/>
      <c r="CD8452" s="4"/>
      <c r="CF8452" s="4"/>
    </row>
    <row r="8453" spans="66:84">
      <c r="BN8453" s="4"/>
      <c r="BO8453" s="4"/>
      <c r="BQ8453" s="4"/>
      <c r="CC8453" s="4"/>
      <c r="CD8453" s="4"/>
      <c r="CF8453" s="4"/>
    </row>
    <row r="8454" spans="66:84">
      <c r="BN8454" s="4"/>
      <c r="BO8454" s="4"/>
      <c r="BQ8454" s="4"/>
      <c r="CC8454" s="4"/>
      <c r="CD8454" s="4"/>
      <c r="CF8454" s="4"/>
    </row>
    <row r="8455" spans="66:84">
      <c r="BN8455" s="4"/>
      <c r="BO8455" s="4"/>
      <c r="BQ8455" s="4"/>
      <c r="CC8455" s="4"/>
      <c r="CD8455" s="4"/>
      <c r="CF8455" s="4"/>
    </row>
    <row r="8456" spans="66:84">
      <c r="BN8456" s="4"/>
      <c r="BO8456" s="4"/>
      <c r="BQ8456" s="4"/>
      <c r="CC8456" s="4"/>
      <c r="CD8456" s="4"/>
      <c r="CF8456" s="4"/>
    </row>
    <row r="8457" spans="66:84">
      <c r="BN8457" s="4"/>
      <c r="BO8457" s="4"/>
      <c r="BQ8457" s="4"/>
      <c r="CC8457" s="4"/>
      <c r="CD8457" s="4"/>
      <c r="CF8457" s="4"/>
    </row>
    <row r="8458" spans="66:84">
      <c r="BN8458" s="4"/>
      <c r="BO8458" s="4"/>
      <c r="BQ8458" s="4"/>
      <c r="CC8458" s="4"/>
      <c r="CD8458" s="4"/>
      <c r="CF8458" s="4"/>
    </row>
    <row r="8459" spans="66:84">
      <c r="BN8459" s="4"/>
      <c r="BO8459" s="4"/>
      <c r="BQ8459" s="4"/>
      <c r="CC8459" s="4"/>
      <c r="CD8459" s="4"/>
      <c r="CF8459" s="4"/>
    </row>
    <row r="8460" spans="66:84">
      <c r="BN8460" s="4"/>
      <c r="BO8460" s="4"/>
      <c r="BQ8460" s="4"/>
      <c r="CC8460" s="4"/>
      <c r="CD8460" s="4"/>
      <c r="CF8460" s="4"/>
    </row>
    <row r="8461" spans="66:84">
      <c r="BN8461" s="4"/>
      <c r="BO8461" s="4"/>
      <c r="BQ8461" s="4"/>
      <c r="CC8461" s="4"/>
      <c r="CD8461" s="4"/>
      <c r="CF8461" s="4"/>
    </row>
    <row r="8462" spans="66:84">
      <c r="BN8462" s="4"/>
      <c r="BO8462" s="4"/>
      <c r="BQ8462" s="4"/>
      <c r="CC8462" s="4"/>
      <c r="CD8462" s="4"/>
      <c r="CF8462" s="4"/>
    </row>
    <row r="8463" spans="66:84">
      <c r="BN8463" s="4"/>
      <c r="BO8463" s="4"/>
      <c r="BQ8463" s="4"/>
      <c r="CC8463" s="4"/>
      <c r="CD8463" s="4"/>
      <c r="CF8463" s="4"/>
    </row>
    <row r="8464" spans="66:84">
      <c r="BN8464" s="4"/>
      <c r="BO8464" s="4"/>
      <c r="BQ8464" s="4"/>
      <c r="CC8464" s="4"/>
      <c r="CD8464" s="4"/>
      <c r="CF8464" s="4"/>
    </row>
    <row r="8465" spans="66:84">
      <c r="BN8465" s="4"/>
      <c r="BO8465" s="4"/>
      <c r="BQ8465" s="4"/>
      <c r="CC8465" s="4"/>
      <c r="CD8465" s="4"/>
      <c r="CF8465" s="4"/>
    </row>
    <row r="8466" spans="66:84">
      <c r="BN8466" s="4"/>
      <c r="BO8466" s="4"/>
      <c r="BQ8466" s="4"/>
      <c r="CC8466" s="4"/>
      <c r="CD8466" s="4"/>
      <c r="CF8466" s="4"/>
    </row>
    <row r="8467" spans="66:84">
      <c r="BN8467" s="4"/>
      <c r="BO8467" s="4"/>
      <c r="BQ8467" s="4"/>
      <c r="CC8467" s="4"/>
      <c r="CD8467" s="4"/>
      <c r="CF8467" s="4"/>
    </row>
    <row r="8468" spans="66:84">
      <c r="BN8468" s="4"/>
      <c r="BO8468" s="4"/>
      <c r="BQ8468" s="4"/>
      <c r="CC8468" s="4"/>
      <c r="CD8468" s="4"/>
      <c r="CF8468" s="4"/>
    </row>
    <row r="8469" spans="66:84">
      <c r="BN8469" s="4"/>
      <c r="BO8469" s="4"/>
      <c r="BQ8469" s="4"/>
      <c r="CC8469" s="4"/>
      <c r="CD8469" s="4"/>
      <c r="CF8469" s="4"/>
    </row>
    <row r="8470" spans="66:84">
      <c r="BN8470" s="4"/>
      <c r="BO8470" s="4"/>
      <c r="BQ8470" s="4"/>
      <c r="CC8470" s="4"/>
      <c r="CD8470" s="4"/>
      <c r="CF8470" s="4"/>
    </row>
    <row r="8471" spans="66:84">
      <c r="BN8471" s="4"/>
      <c r="BO8471" s="4"/>
      <c r="BQ8471" s="4"/>
      <c r="CC8471" s="4"/>
      <c r="CD8471" s="4"/>
      <c r="CF8471" s="4"/>
    </row>
    <row r="8472" spans="66:84">
      <c r="BN8472" s="4"/>
      <c r="BO8472" s="4"/>
      <c r="BQ8472" s="4"/>
      <c r="CC8472" s="4"/>
      <c r="CD8472" s="4"/>
      <c r="CF8472" s="4"/>
    </row>
    <row r="8473" spans="66:84">
      <c r="BN8473" s="4"/>
      <c r="BO8473" s="4"/>
      <c r="BQ8473" s="4"/>
      <c r="CC8473" s="4"/>
      <c r="CD8473" s="4"/>
      <c r="CF8473" s="4"/>
    </row>
    <row r="8474" spans="66:84">
      <c r="BN8474" s="4"/>
      <c r="BO8474" s="4"/>
      <c r="BQ8474" s="4"/>
      <c r="CC8474" s="4"/>
      <c r="CD8474" s="4"/>
      <c r="CF8474" s="4"/>
    </row>
    <row r="8475" spans="66:84">
      <c r="BN8475" s="4"/>
      <c r="BO8475" s="4"/>
      <c r="BQ8475" s="4"/>
      <c r="CC8475" s="4"/>
      <c r="CD8475" s="4"/>
      <c r="CF8475" s="4"/>
    </row>
    <row r="8476" spans="66:84">
      <c r="BN8476" s="4"/>
      <c r="BO8476" s="4"/>
      <c r="BQ8476" s="4"/>
      <c r="CC8476" s="4"/>
      <c r="CD8476" s="4"/>
      <c r="CF8476" s="4"/>
    </row>
    <row r="8477" spans="66:84">
      <c r="BN8477" s="4"/>
      <c r="BO8477" s="4"/>
      <c r="BQ8477" s="4"/>
      <c r="CC8477" s="4"/>
      <c r="CD8477" s="4"/>
      <c r="CF8477" s="4"/>
    </row>
    <row r="8478" spans="66:84">
      <c r="BN8478" s="4"/>
      <c r="BO8478" s="4"/>
      <c r="BQ8478" s="4"/>
      <c r="CC8478" s="4"/>
      <c r="CD8478" s="4"/>
      <c r="CF8478" s="4"/>
    </row>
    <row r="8479" spans="66:84">
      <c r="BN8479" s="4"/>
      <c r="BO8479" s="4"/>
      <c r="BQ8479" s="4"/>
      <c r="CC8479" s="4"/>
      <c r="CD8479" s="4"/>
      <c r="CF8479" s="4"/>
    </row>
    <row r="8480" spans="66:84">
      <c r="BN8480" s="4"/>
      <c r="BO8480" s="4"/>
      <c r="BQ8480" s="4"/>
      <c r="CC8480" s="4"/>
      <c r="CD8480" s="4"/>
      <c r="CF8480" s="4"/>
    </row>
    <row r="8481" spans="66:84">
      <c r="BN8481" s="4"/>
      <c r="BO8481" s="4"/>
      <c r="BQ8481" s="4"/>
      <c r="CC8481" s="4"/>
      <c r="CD8481" s="4"/>
      <c r="CF8481" s="4"/>
    </row>
    <row r="8482" spans="66:84">
      <c r="BN8482" s="4"/>
      <c r="BO8482" s="4"/>
      <c r="BQ8482" s="4"/>
      <c r="CC8482" s="4"/>
      <c r="CD8482" s="4"/>
      <c r="CF8482" s="4"/>
    </row>
    <row r="8483" spans="66:84">
      <c r="BN8483" s="4"/>
      <c r="BO8483" s="4"/>
      <c r="BQ8483" s="4"/>
      <c r="CC8483" s="4"/>
      <c r="CD8483" s="4"/>
      <c r="CF8483" s="4"/>
    </row>
    <row r="8484" spans="66:84">
      <c r="BN8484" s="4"/>
      <c r="BO8484" s="4"/>
      <c r="BQ8484" s="4"/>
      <c r="CC8484" s="4"/>
      <c r="CD8484" s="4"/>
      <c r="CF8484" s="4"/>
    </row>
    <row r="8485" spans="66:84">
      <c r="BN8485" s="4"/>
      <c r="BO8485" s="4"/>
      <c r="BQ8485" s="4"/>
      <c r="CC8485" s="4"/>
      <c r="CD8485" s="4"/>
      <c r="CF8485" s="4"/>
    </row>
    <row r="8486" spans="66:84">
      <c r="BN8486" s="4"/>
      <c r="BO8486" s="4"/>
      <c r="BQ8486" s="4"/>
      <c r="CC8486" s="4"/>
      <c r="CD8486" s="4"/>
      <c r="CF8486" s="4"/>
    </row>
    <row r="8487" spans="66:84">
      <c r="BN8487" s="4"/>
      <c r="BO8487" s="4"/>
      <c r="BQ8487" s="4"/>
      <c r="CC8487" s="4"/>
      <c r="CD8487" s="4"/>
      <c r="CF8487" s="4"/>
    </row>
    <row r="8488" spans="66:84">
      <c r="BN8488" s="4"/>
      <c r="BO8488" s="4"/>
      <c r="BQ8488" s="4"/>
      <c r="CC8488" s="4"/>
      <c r="CD8488" s="4"/>
      <c r="CF8488" s="4"/>
    </row>
    <row r="8489" spans="66:84">
      <c r="BN8489" s="4"/>
      <c r="BO8489" s="4"/>
      <c r="BQ8489" s="4"/>
      <c r="CC8489" s="4"/>
      <c r="CD8489" s="4"/>
      <c r="CF8489" s="4"/>
    </row>
    <row r="8490" spans="66:84">
      <c r="BN8490" s="4"/>
      <c r="BO8490" s="4"/>
      <c r="BQ8490" s="4"/>
      <c r="CC8490" s="4"/>
      <c r="CD8490" s="4"/>
      <c r="CF8490" s="4"/>
    </row>
    <row r="8491" spans="66:84">
      <c r="BN8491" s="4"/>
      <c r="BO8491" s="4"/>
      <c r="BQ8491" s="4"/>
      <c r="CC8491" s="4"/>
      <c r="CD8491" s="4"/>
      <c r="CF8491" s="4"/>
    </row>
    <row r="8492" spans="66:84">
      <c r="BN8492" s="4"/>
      <c r="BO8492" s="4"/>
      <c r="BQ8492" s="4"/>
      <c r="CC8492" s="4"/>
      <c r="CD8492" s="4"/>
      <c r="CF8492" s="4"/>
    </row>
    <row r="8493" spans="66:84">
      <c r="BN8493" s="4"/>
      <c r="BO8493" s="4"/>
      <c r="BQ8493" s="4"/>
      <c r="CC8493" s="4"/>
      <c r="CD8493" s="4"/>
      <c r="CF8493" s="4"/>
    </row>
    <row r="8494" spans="66:84">
      <c r="BN8494" s="4"/>
      <c r="BO8494" s="4"/>
      <c r="BQ8494" s="4"/>
      <c r="CC8494" s="4"/>
      <c r="CD8494" s="4"/>
      <c r="CF8494" s="4"/>
    </row>
    <row r="8495" spans="66:84">
      <c r="BN8495" s="4"/>
      <c r="BO8495" s="4"/>
      <c r="BQ8495" s="4"/>
      <c r="CC8495" s="4"/>
      <c r="CD8495" s="4"/>
      <c r="CF8495" s="4"/>
    </row>
    <row r="8496" spans="66:84">
      <c r="BN8496" s="4"/>
      <c r="BO8496" s="4"/>
      <c r="BQ8496" s="4"/>
      <c r="CC8496" s="4"/>
      <c r="CD8496" s="4"/>
      <c r="CF8496" s="4"/>
    </row>
    <row r="8497" spans="66:84">
      <c r="BN8497" s="4"/>
      <c r="BO8497" s="4"/>
      <c r="BQ8497" s="4"/>
      <c r="CC8497" s="4"/>
      <c r="CD8497" s="4"/>
      <c r="CF8497" s="4"/>
    </row>
    <row r="8498" spans="66:84">
      <c r="BN8498" s="4"/>
      <c r="BO8498" s="4"/>
      <c r="BQ8498" s="4"/>
      <c r="CC8498" s="4"/>
      <c r="CD8498" s="4"/>
      <c r="CF8498" s="4"/>
    </row>
    <row r="8499" spans="66:84">
      <c r="BN8499" s="4"/>
      <c r="BO8499" s="4"/>
      <c r="BQ8499" s="4"/>
      <c r="CC8499" s="4"/>
      <c r="CD8499" s="4"/>
      <c r="CF8499" s="4"/>
    </row>
    <row r="8500" spans="66:84">
      <c r="BN8500" s="4"/>
      <c r="BO8500" s="4"/>
      <c r="BQ8500" s="4"/>
      <c r="CC8500" s="4"/>
      <c r="CD8500" s="4"/>
      <c r="CF8500" s="4"/>
    </row>
    <row r="8501" spans="66:84">
      <c r="BN8501" s="4"/>
      <c r="BO8501" s="4"/>
      <c r="BQ8501" s="4"/>
      <c r="CC8501" s="4"/>
      <c r="CD8501" s="4"/>
      <c r="CF8501" s="4"/>
    </row>
    <row r="8502" spans="66:84">
      <c r="BN8502" s="4"/>
      <c r="BO8502" s="4"/>
      <c r="BQ8502" s="4"/>
      <c r="CC8502" s="4"/>
      <c r="CD8502" s="4"/>
      <c r="CF8502" s="4"/>
    </row>
    <row r="8503" spans="66:84">
      <c r="BN8503" s="4"/>
      <c r="BO8503" s="4"/>
      <c r="BQ8503" s="4"/>
      <c r="CC8503" s="4"/>
      <c r="CD8503" s="4"/>
      <c r="CF8503" s="4"/>
    </row>
    <row r="8504" spans="66:84">
      <c r="BN8504" s="4"/>
      <c r="BO8504" s="4"/>
      <c r="BQ8504" s="4"/>
      <c r="CC8504" s="4"/>
      <c r="CD8504" s="4"/>
      <c r="CF8504" s="4"/>
    </row>
    <row r="8505" spans="66:84">
      <c r="BN8505" s="4"/>
      <c r="BO8505" s="4"/>
      <c r="BQ8505" s="4"/>
      <c r="CC8505" s="4"/>
      <c r="CD8505" s="4"/>
      <c r="CF8505" s="4"/>
    </row>
    <row r="8506" spans="66:84">
      <c r="BN8506" s="4"/>
      <c r="BO8506" s="4"/>
      <c r="BQ8506" s="4"/>
      <c r="CC8506" s="4"/>
      <c r="CD8506" s="4"/>
      <c r="CF8506" s="4"/>
    </row>
    <row r="8507" spans="66:84">
      <c r="BN8507" s="4"/>
      <c r="BO8507" s="4"/>
      <c r="BQ8507" s="4"/>
      <c r="CC8507" s="4"/>
      <c r="CD8507" s="4"/>
      <c r="CF8507" s="4"/>
    </row>
    <row r="8508" spans="66:84">
      <c r="BN8508" s="4"/>
      <c r="BO8508" s="4"/>
      <c r="BQ8508" s="4"/>
      <c r="CC8508" s="4"/>
      <c r="CD8508" s="4"/>
      <c r="CF8508" s="4"/>
    </row>
    <row r="8509" spans="66:84">
      <c r="BN8509" s="4"/>
      <c r="BO8509" s="4"/>
      <c r="BQ8509" s="4"/>
      <c r="CC8509" s="4"/>
      <c r="CD8509" s="4"/>
      <c r="CF8509" s="4"/>
    </row>
    <row r="8510" spans="66:84">
      <c r="BN8510" s="4"/>
      <c r="BO8510" s="4"/>
      <c r="BQ8510" s="4"/>
      <c r="CC8510" s="4"/>
      <c r="CD8510" s="4"/>
      <c r="CF8510" s="4"/>
    </row>
    <row r="8511" spans="66:84">
      <c r="BN8511" s="4"/>
      <c r="BO8511" s="4"/>
      <c r="BQ8511" s="4"/>
      <c r="CC8511" s="4"/>
      <c r="CD8511" s="4"/>
      <c r="CF8511" s="4"/>
    </row>
    <row r="8512" spans="66:84">
      <c r="BN8512" s="4"/>
      <c r="BO8512" s="4"/>
      <c r="BQ8512" s="4"/>
      <c r="CC8512" s="4"/>
      <c r="CD8512" s="4"/>
      <c r="CF8512" s="4"/>
    </row>
    <row r="8513" spans="66:84">
      <c r="BN8513" s="4"/>
      <c r="BO8513" s="4"/>
      <c r="BQ8513" s="4"/>
      <c r="CC8513" s="4"/>
      <c r="CD8513" s="4"/>
      <c r="CF8513" s="4"/>
    </row>
    <row r="8514" spans="66:84">
      <c r="BN8514" s="4"/>
      <c r="BO8514" s="4"/>
      <c r="BQ8514" s="4"/>
      <c r="CC8514" s="4"/>
      <c r="CD8514" s="4"/>
      <c r="CF8514" s="4"/>
    </row>
    <row r="8515" spans="66:84">
      <c r="BN8515" s="4"/>
      <c r="BO8515" s="4"/>
      <c r="BQ8515" s="4"/>
      <c r="CC8515" s="4"/>
      <c r="CD8515" s="4"/>
      <c r="CF8515" s="4"/>
    </row>
    <row r="8516" spans="66:84">
      <c r="BN8516" s="4"/>
      <c r="BO8516" s="4"/>
      <c r="BQ8516" s="4"/>
      <c r="CC8516" s="4"/>
      <c r="CD8516" s="4"/>
      <c r="CF8516" s="4"/>
    </row>
    <row r="8517" spans="66:84">
      <c r="BN8517" s="4"/>
      <c r="BO8517" s="4"/>
      <c r="BQ8517" s="4"/>
      <c r="CC8517" s="4"/>
      <c r="CD8517" s="4"/>
      <c r="CF8517" s="4"/>
    </row>
    <row r="8518" spans="66:84">
      <c r="BN8518" s="4"/>
      <c r="BO8518" s="4"/>
      <c r="BQ8518" s="4"/>
      <c r="CC8518" s="4"/>
      <c r="CD8518" s="4"/>
      <c r="CF8518" s="4"/>
    </row>
    <row r="8519" spans="66:84">
      <c r="BN8519" s="4"/>
      <c r="BO8519" s="4"/>
      <c r="BQ8519" s="4"/>
      <c r="CC8519" s="4"/>
      <c r="CD8519" s="4"/>
      <c r="CF8519" s="4"/>
    </row>
    <row r="8520" spans="66:84">
      <c r="BN8520" s="4"/>
      <c r="BO8520" s="4"/>
      <c r="BQ8520" s="4"/>
      <c r="CC8520" s="4"/>
      <c r="CD8520" s="4"/>
      <c r="CF8520" s="4"/>
    </row>
    <row r="8521" spans="66:84">
      <c r="BN8521" s="4"/>
      <c r="BO8521" s="4"/>
      <c r="BQ8521" s="4"/>
      <c r="CC8521" s="4"/>
      <c r="CD8521" s="4"/>
      <c r="CF8521" s="4"/>
    </row>
    <row r="8522" spans="66:84">
      <c r="BN8522" s="4"/>
      <c r="BO8522" s="4"/>
      <c r="BQ8522" s="4"/>
      <c r="CC8522" s="4"/>
      <c r="CD8522" s="4"/>
      <c r="CF8522" s="4"/>
    </row>
    <row r="8523" spans="66:84">
      <c r="BN8523" s="4"/>
      <c r="BO8523" s="4"/>
      <c r="BQ8523" s="4"/>
      <c r="CC8523" s="4"/>
      <c r="CD8523" s="4"/>
      <c r="CF8523" s="4"/>
    </row>
    <row r="8524" spans="66:84">
      <c r="BN8524" s="4"/>
      <c r="BO8524" s="4"/>
      <c r="BQ8524" s="4"/>
      <c r="CC8524" s="4"/>
      <c r="CD8524" s="4"/>
      <c r="CF8524" s="4"/>
    </row>
    <row r="8525" spans="66:84">
      <c r="BN8525" s="4"/>
      <c r="BO8525" s="4"/>
      <c r="BQ8525" s="4"/>
      <c r="CC8525" s="4"/>
      <c r="CD8525" s="4"/>
      <c r="CF8525" s="4"/>
    </row>
    <row r="8526" spans="66:84">
      <c r="BN8526" s="4"/>
      <c r="BO8526" s="4"/>
      <c r="BQ8526" s="4"/>
      <c r="CC8526" s="4"/>
      <c r="CD8526" s="4"/>
      <c r="CF8526" s="4"/>
    </row>
    <row r="8527" spans="66:84">
      <c r="BN8527" s="4"/>
      <c r="BO8527" s="4"/>
      <c r="BQ8527" s="4"/>
      <c r="CC8527" s="4"/>
      <c r="CD8527" s="4"/>
      <c r="CF8527" s="4"/>
    </row>
    <row r="8528" spans="66:84">
      <c r="BN8528" s="4"/>
      <c r="BO8528" s="4"/>
      <c r="BQ8528" s="4"/>
      <c r="CC8528" s="4"/>
      <c r="CD8528" s="4"/>
      <c r="CF8528" s="4"/>
    </row>
    <row r="8529" spans="66:84">
      <c r="BN8529" s="4"/>
      <c r="BO8529" s="4"/>
      <c r="BQ8529" s="4"/>
      <c r="CC8529" s="4"/>
      <c r="CD8529" s="4"/>
      <c r="CF8529" s="4"/>
    </row>
    <row r="8530" spans="66:84">
      <c r="BN8530" s="4"/>
      <c r="BO8530" s="4"/>
      <c r="BQ8530" s="4"/>
      <c r="CC8530" s="4"/>
      <c r="CD8530" s="4"/>
      <c r="CF8530" s="4"/>
    </row>
    <row r="8531" spans="66:84">
      <c r="BN8531" s="4"/>
      <c r="BO8531" s="4"/>
      <c r="BQ8531" s="4"/>
      <c r="CC8531" s="4"/>
      <c r="CD8531" s="4"/>
      <c r="CF8531" s="4"/>
    </row>
    <row r="8532" spans="66:84">
      <c r="BN8532" s="4"/>
      <c r="BO8532" s="4"/>
      <c r="BQ8532" s="4"/>
      <c r="CC8532" s="4"/>
      <c r="CD8532" s="4"/>
      <c r="CF8532" s="4"/>
    </row>
    <row r="8533" spans="66:84">
      <c r="BN8533" s="4"/>
      <c r="BO8533" s="4"/>
      <c r="BQ8533" s="4"/>
      <c r="CC8533" s="4"/>
      <c r="CD8533" s="4"/>
      <c r="CF8533" s="4"/>
    </row>
    <row r="8534" spans="66:84">
      <c r="BN8534" s="4"/>
      <c r="BO8534" s="4"/>
      <c r="BQ8534" s="4"/>
      <c r="CC8534" s="4"/>
      <c r="CD8534" s="4"/>
      <c r="CF8534" s="4"/>
    </row>
    <row r="8535" spans="66:84">
      <c r="BN8535" s="4"/>
      <c r="BO8535" s="4"/>
      <c r="BQ8535" s="4"/>
      <c r="CC8535" s="4"/>
      <c r="CD8535" s="4"/>
      <c r="CF8535" s="4"/>
    </row>
    <row r="8536" spans="66:84">
      <c r="BN8536" s="4"/>
      <c r="BO8536" s="4"/>
      <c r="BQ8536" s="4"/>
      <c r="CC8536" s="4"/>
      <c r="CD8536" s="4"/>
      <c r="CF8536" s="4"/>
    </row>
    <row r="8537" spans="66:84">
      <c r="BN8537" s="4"/>
      <c r="BO8537" s="4"/>
      <c r="BQ8537" s="4"/>
      <c r="CC8537" s="4"/>
      <c r="CD8537" s="4"/>
      <c r="CF8537" s="4"/>
    </row>
    <row r="8538" spans="66:84">
      <c r="BN8538" s="4"/>
      <c r="BO8538" s="4"/>
      <c r="BQ8538" s="4"/>
      <c r="CC8538" s="4"/>
      <c r="CD8538" s="4"/>
      <c r="CF8538" s="4"/>
    </row>
    <row r="8539" spans="66:84">
      <c r="BN8539" s="4"/>
      <c r="BO8539" s="4"/>
      <c r="BQ8539" s="4"/>
      <c r="CC8539" s="4"/>
      <c r="CD8539" s="4"/>
      <c r="CF8539" s="4"/>
    </row>
    <row r="8540" spans="66:84">
      <c r="BN8540" s="4"/>
      <c r="BO8540" s="4"/>
      <c r="BQ8540" s="4"/>
      <c r="CC8540" s="4"/>
      <c r="CD8540" s="4"/>
      <c r="CF8540" s="4"/>
    </row>
    <row r="8541" spans="66:84">
      <c r="BN8541" s="4"/>
      <c r="BO8541" s="4"/>
      <c r="BQ8541" s="4"/>
      <c r="CC8541" s="4"/>
      <c r="CD8541" s="4"/>
      <c r="CF8541" s="4"/>
    </row>
    <row r="8542" spans="66:84">
      <c r="BN8542" s="4"/>
      <c r="BO8542" s="4"/>
      <c r="BQ8542" s="4"/>
      <c r="CC8542" s="4"/>
      <c r="CD8542" s="4"/>
      <c r="CF8542" s="4"/>
    </row>
    <row r="8543" spans="66:84">
      <c r="BN8543" s="4"/>
      <c r="BO8543" s="4"/>
      <c r="BQ8543" s="4"/>
      <c r="CC8543" s="4"/>
      <c r="CD8543" s="4"/>
      <c r="CF8543" s="4"/>
    </row>
    <row r="8544" spans="66:84">
      <c r="BN8544" s="4"/>
      <c r="BO8544" s="4"/>
      <c r="BQ8544" s="4"/>
      <c r="CC8544" s="4"/>
      <c r="CD8544" s="4"/>
      <c r="CF8544" s="4"/>
    </row>
    <row r="8545" spans="66:84">
      <c r="BN8545" s="4"/>
      <c r="BO8545" s="4"/>
      <c r="BQ8545" s="4"/>
      <c r="CC8545" s="4"/>
      <c r="CD8545" s="4"/>
      <c r="CF8545" s="4"/>
    </row>
    <row r="8546" spans="66:84">
      <c r="BN8546" s="4"/>
      <c r="BO8546" s="4"/>
      <c r="BQ8546" s="4"/>
      <c r="CC8546" s="4"/>
      <c r="CD8546" s="4"/>
      <c r="CF8546" s="4"/>
    </row>
    <row r="8547" spans="66:84">
      <c r="BN8547" s="4"/>
      <c r="BO8547" s="4"/>
      <c r="BQ8547" s="4"/>
      <c r="CC8547" s="4"/>
      <c r="CD8547" s="4"/>
      <c r="CF8547" s="4"/>
    </row>
    <row r="8548" spans="66:84">
      <c r="BN8548" s="4"/>
      <c r="BO8548" s="4"/>
      <c r="BQ8548" s="4"/>
      <c r="CC8548" s="4"/>
      <c r="CD8548" s="4"/>
      <c r="CF8548" s="4"/>
    </row>
    <row r="8549" spans="66:84">
      <c r="BN8549" s="4"/>
      <c r="BO8549" s="4"/>
      <c r="BQ8549" s="4"/>
      <c r="CC8549" s="4"/>
      <c r="CD8549" s="4"/>
      <c r="CF8549" s="4"/>
    </row>
    <row r="8550" spans="66:84">
      <c r="BN8550" s="4"/>
      <c r="BO8550" s="4"/>
      <c r="BQ8550" s="4"/>
      <c r="CC8550" s="4"/>
      <c r="CD8550" s="4"/>
      <c r="CF8550" s="4"/>
    </row>
    <row r="8551" spans="66:84">
      <c r="BN8551" s="4"/>
      <c r="BO8551" s="4"/>
      <c r="BQ8551" s="4"/>
      <c r="CC8551" s="4"/>
      <c r="CD8551" s="4"/>
      <c r="CF8551" s="4"/>
    </row>
    <row r="8552" spans="66:84">
      <c r="BN8552" s="4"/>
      <c r="BO8552" s="4"/>
      <c r="BQ8552" s="4"/>
      <c r="CC8552" s="4"/>
      <c r="CD8552" s="4"/>
      <c r="CF8552" s="4"/>
    </row>
    <row r="8553" spans="66:84">
      <c r="BN8553" s="4"/>
      <c r="BO8553" s="4"/>
      <c r="BQ8553" s="4"/>
      <c r="CC8553" s="4"/>
      <c r="CD8553" s="4"/>
      <c r="CF8553" s="4"/>
    </row>
    <row r="8554" spans="66:84">
      <c r="BN8554" s="4"/>
      <c r="BO8554" s="4"/>
      <c r="BQ8554" s="4"/>
      <c r="CC8554" s="4"/>
      <c r="CD8554" s="4"/>
      <c r="CF8554" s="4"/>
    </row>
    <row r="8555" spans="66:84">
      <c r="BN8555" s="4"/>
      <c r="BO8555" s="4"/>
      <c r="BQ8555" s="4"/>
      <c r="CC8555" s="4"/>
      <c r="CD8555" s="4"/>
      <c r="CF8555" s="4"/>
    </row>
    <row r="8556" spans="66:84">
      <c r="BN8556" s="4"/>
      <c r="BO8556" s="4"/>
      <c r="BQ8556" s="4"/>
      <c r="CC8556" s="4"/>
      <c r="CD8556" s="4"/>
      <c r="CF8556" s="4"/>
    </row>
    <row r="8557" spans="66:84">
      <c r="BN8557" s="4"/>
      <c r="BO8557" s="4"/>
      <c r="BQ8557" s="4"/>
      <c r="CC8557" s="4"/>
      <c r="CD8557" s="4"/>
      <c r="CF8557" s="4"/>
    </row>
    <row r="8558" spans="66:84">
      <c r="BN8558" s="4"/>
      <c r="BO8558" s="4"/>
      <c r="BQ8558" s="4"/>
      <c r="CC8558" s="4"/>
      <c r="CD8558" s="4"/>
      <c r="CF8558" s="4"/>
    </row>
    <row r="8559" spans="66:84">
      <c r="BN8559" s="4"/>
      <c r="BO8559" s="4"/>
      <c r="BQ8559" s="4"/>
      <c r="CC8559" s="4"/>
      <c r="CD8559" s="4"/>
      <c r="CF8559" s="4"/>
    </row>
    <row r="8560" spans="66:84">
      <c r="BN8560" s="4"/>
      <c r="BO8560" s="4"/>
      <c r="BQ8560" s="4"/>
      <c r="CC8560" s="4"/>
      <c r="CD8560" s="4"/>
      <c r="CF8560" s="4"/>
    </row>
    <row r="8561" spans="66:84">
      <c r="BN8561" s="4"/>
      <c r="BO8561" s="4"/>
      <c r="BQ8561" s="4"/>
      <c r="CC8561" s="4"/>
      <c r="CD8561" s="4"/>
      <c r="CF8561" s="4"/>
    </row>
    <row r="8562" spans="66:84">
      <c r="BN8562" s="4"/>
      <c r="BO8562" s="4"/>
      <c r="BQ8562" s="4"/>
      <c r="CC8562" s="4"/>
      <c r="CD8562" s="4"/>
      <c r="CF8562" s="4"/>
    </row>
    <row r="8563" spans="66:84">
      <c r="BN8563" s="4"/>
      <c r="BO8563" s="4"/>
      <c r="BQ8563" s="4"/>
      <c r="CC8563" s="4"/>
      <c r="CD8563" s="4"/>
      <c r="CF8563" s="4"/>
    </row>
    <row r="8564" spans="66:84">
      <c r="BN8564" s="4"/>
      <c r="BO8564" s="4"/>
      <c r="BQ8564" s="4"/>
      <c r="CC8564" s="4"/>
      <c r="CD8564" s="4"/>
      <c r="CF8564" s="4"/>
    </row>
    <row r="8565" spans="66:84">
      <c r="BN8565" s="4"/>
      <c r="BO8565" s="4"/>
      <c r="BQ8565" s="4"/>
      <c r="CC8565" s="4"/>
      <c r="CD8565" s="4"/>
      <c r="CF8565" s="4"/>
    </row>
    <row r="8566" spans="66:84">
      <c r="BN8566" s="4"/>
      <c r="BO8566" s="4"/>
      <c r="BQ8566" s="4"/>
      <c r="CC8566" s="4"/>
      <c r="CD8566" s="4"/>
      <c r="CF8566" s="4"/>
    </row>
    <row r="8567" spans="66:84">
      <c r="BN8567" s="4"/>
      <c r="BO8567" s="4"/>
      <c r="BQ8567" s="4"/>
      <c r="CC8567" s="4"/>
      <c r="CD8567" s="4"/>
      <c r="CF8567" s="4"/>
    </row>
    <row r="8568" spans="66:84">
      <c r="BN8568" s="4"/>
      <c r="BO8568" s="4"/>
      <c r="BQ8568" s="4"/>
      <c r="CC8568" s="4"/>
      <c r="CD8568" s="4"/>
      <c r="CF8568" s="4"/>
    </row>
    <row r="8569" spans="66:84">
      <c r="BN8569" s="4"/>
      <c r="BO8569" s="4"/>
      <c r="BQ8569" s="4"/>
      <c r="CC8569" s="4"/>
      <c r="CD8569" s="4"/>
      <c r="CF8569" s="4"/>
    </row>
    <row r="8570" spans="66:84">
      <c r="BN8570" s="4"/>
      <c r="BO8570" s="4"/>
      <c r="BQ8570" s="4"/>
      <c r="CC8570" s="4"/>
      <c r="CD8570" s="4"/>
      <c r="CF8570" s="4"/>
    </row>
    <row r="8571" spans="66:84">
      <c r="BN8571" s="4"/>
      <c r="BO8571" s="4"/>
      <c r="BQ8571" s="4"/>
      <c r="CC8571" s="4"/>
      <c r="CD8571" s="4"/>
      <c r="CF8571" s="4"/>
    </row>
    <row r="8572" spans="66:84">
      <c r="BN8572" s="4"/>
      <c r="BO8572" s="4"/>
      <c r="BQ8572" s="4"/>
      <c r="CC8572" s="4"/>
      <c r="CD8572" s="4"/>
      <c r="CF8572" s="4"/>
    </row>
    <row r="8573" spans="66:84">
      <c r="BN8573" s="4"/>
      <c r="BO8573" s="4"/>
      <c r="BQ8573" s="4"/>
      <c r="CC8573" s="4"/>
      <c r="CD8573" s="4"/>
      <c r="CF8573" s="4"/>
    </row>
    <row r="8574" spans="66:84">
      <c r="BN8574" s="4"/>
      <c r="BO8574" s="4"/>
      <c r="BQ8574" s="4"/>
      <c r="CC8574" s="4"/>
      <c r="CD8574" s="4"/>
      <c r="CF8574" s="4"/>
    </row>
    <row r="8575" spans="66:84">
      <c r="BN8575" s="4"/>
      <c r="BO8575" s="4"/>
      <c r="BQ8575" s="4"/>
      <c r="CC8575" s="4"/>
      <c r="CD8575" s="4"/>
      <c r="CF8575" s="4"/>
    </row>
    <row r="8576" spans="66:84">
      <c r="BN8576" s="4"/>
      <c r="BO8576" s="4"/>
      <c r="BQ8576" s="4"/>
      <c r="CC8576" s="4"/>
      <c r="CD8576" s="4"/>
      <c r="CF8576" s="4"/>
    </row>
    <row r="8577" spans="66:84">
      <c r="BN8577" s="4"/>
      <c r="BO8577" s="4"/>
      <c r="BQ8577" s="4"/>
      <c r="CC8577" s="4"/>
      <c r="CD8577" s="4"/>
      <c r="CF8577" s="4"/>
    </row>
    <row r="8578" spans="66:84">
      <c r="BN8578" s="4"/>
      <c r="BO8578" s="4"/>
      <c r="BQ8578" s="4"/>
      <c r="CC8578" s="4"/>
      <c r="CD8578" s="4"/>
      <c r="CF8578" s="4"/>
    </row>
    <row r="8579" spans="66:84">
      <c r="BN8579" s="4"/>
      <c r="BO8579" s="4"/>
      <c r="BQ8579" s="4"/>
      <c r="CC8579" s="4"/>
      <c r="CD8579" s="4"/>
      <c r="CF8579" s="4"/>
    </row>
    <row r="8580" spans="66:84">
      <c r="BN8580" s="4"/>
      <c r="BO8580" s="4"/>
      <c r="BQ8580" s="4"/>
      <c r="CC8580" s="4"/>
      <c r="CD8580" s="4"/>
      <c r="CF8580" s="4"/>
    </row>
    <row r="8581" spans="66:84">
      <c r="BN8581" s="4"/>
      <c r="BO8581" s="4"/>
      <c r="BQ8581" s="4"/>
      <c r="CC8581" s="4"/>
      <c r="CD8581" s="4"/>
      <c r="CF8581" s="4"/>
    </row>
    <row r="8582" spans="66:84">
      <c r="BN8582" s="4"/>
      <c r="BO8582" s="4"/>
      <c r="BQ8582" s="4"/>
      <c r="CC8582" s="4"/>
      <c r="CD8582" s="4"/>
      <c r="CF8582" s="4"/>
    </row>
    <row r="8583" spans="66:84">
      <c r="BN8583" s="4"/>
      <c r="BO8583" s="4"/>
      <c r="BQ8583" s="4"/>
      <c r="CC8583" s="4"/>
      <c r="CD8583" s="4"/>
      <c r="CF8583" s="4"/>
    </row>
    <row r="8584" spans="66:84">
      <c r="BN8584" s="4"/>
      <c r="BO8584" s="4"/>
      <c r="BQ8584" s="4"/>
      <c r="CC8584" s="4"/>
      <c r="CD8584" s="4"/>
      <c r="CF8584" s="4"/>
    </row>
    <row r="8585" spans="66:84">
      <c r="BN8585" s="4"/>
      <c r="BO8585" s="4"/>
      <c r="BQ8585" s="4"/>
      <c r="CC8585" s="4"/>
      <c r="CD8585" s="4"/>
      <c r="CF8585" s="4"/>
    </row>
    <row r="8586" spans="66:84">
      <c r="BN8586" s="4"/>
      <c r="BO8586" s="4"/>
      <c r="BQ8586" s="4"/>
      <c r="CC8586" s="4"/>
      <c r="CD8586" s="4"/>
      <c r="CF8586" s="4"/>
    </row>
    <row r="8587" spans="66:84">
      <c r="BN8587" s="4"/>
      <c r="BO8587" s="4"/>
      <c r="BQ8587" s="4"/>
      <c r="CC8587" s="4"/>
      <c r="CD8587" s="4"/>
      <c r="CF8587" s="4"/>
    </row>
    <row r="8588" spans="66:84">
      <c r="BN8588" s="4"/>
      <c r="BO8588" s="4"/>
      <c r="BQ8588" s="4"/>
      <c r="CC8588" s="4"/>
      <c r="CD8588" s="4"/>
      <c r="CF8588" s="4"/>
    </row>
    <row r="8589" spans="66:84">
      <c r="BN8589" s="4"/>
      <c r="BO8589" s="4"/>
      <c r="BQ8589" s="4"/>
      <c r="CC8589" s="4"/>
      <c r="CD8589" s="4"/>
      <c r="CF8589" s="4"/>
    </row>
    <row r="8590" spans="66:84">
      <c r="BN8590" s="4"/>
      <c r="BO8590" s="4"/>
      <c r="BQ8590" s="4"/>
      <c r="CC8590" s="4"/>
      <c r="CD8590" s="4"/>
      <c r="CF8590" s="4"/>
    </row>
    <row r="8591" spans="66:84">
      <c r="BN8591" s="4"/>
      <c r="BO8591" s="4"/>
      <c r="BQ8591" s="4"/>
      <c r="CC8591" s="4"/>
      <c r="CD8591" s="4"/>
      <c r="CF8591" s="4"/>
    </row>
    <row r="8592" spans="66:84">
      <c r="BN8592" s="4"/>
      <c r="BO8592" s="4"/>
      <c r="BQ8592" s="4"/>
      <c r="CC8592" s="4"/>
      <c r="CD8592" s="4"/>
      <c r="CF8592" s="4"/>
    </row>
    <row r="8593" spans="66:84">
      <c r="BN8593" s="4"/>
      <c r="BO8593" s="4"/>
      <c r="BQ8593" s="4"/>
      <c r="CC8593" s="4"/>
      <c r="CD8593" s="4"/>
      <c r="CF8593" s="4"/>
    </row>
    <row r="8594" spans="66:84">
      <c r="BN8594" s="4"/>
      <c r="BO8594" s="4"/>
      <c r="BQ8594" s="4"/>
      <c r="CC8594" s="4"/>
      <c r="CD8594" s="4"/>
      <c r="CF8594" s="4"/>
    </row>
    <row r="8595" spans="66:84">
      <c r="BN8595" s="4"/>
      <c r="BO8595" s="4"/>
      <c r="BQ8595" s="4"/>
      <c r="CC8595" s="4"/>
      <c r="CD8595" s="4"/>
      <c r="CF8595" s="4"/>
    </row>
    <row r="8596" spans="66:84">
      <c r="BN8596" s="4"/>
      <c r="BO8596" s="4"/>
      <c r="BQ8596" s="4"/>
      <c r="CC8596" s="4"/>
      <c r="CD8596" s="4"/>
      <c r="CF8596" s="4"/>
    </row>
    <row r="8597" spans="66:84">
      <c r="BN8597" s="4"/>
      <c r="BO8597" s="4"/>
      <c r="BQ8597" s="4"/>
      <c r="CC8597" s="4"/>
      <c r="CD8597" s="4"/>
      <c r="CF8597" s="4"/>
    </row>
    <row r="8598" spans="66:84">
      <c r="BN8598" s="4"/>
      <c r="BO8598" s="4"/>
      <c r="BQ8598" s="4"/>
      <c r="CC8598" s="4"/>
      <c r="CD8598" s="4"/>
      <c r="CF8598" s="4"/>
    </row>
    <row r="8599" spans="66:84">
      <c r="BN8599" s="4"/>
      <c r="BO8599" s="4"/>
      <c r="BQ8599" s="4"/>
      <c r="CC8599" s="4"/>
      <c r="CD8599" s="4"/>
      <c r="CF8599" s="4"/>
    </row>
    <row r="8600" spans="66:84">
      <c r="BN8600" s="4"/>
      <c r="BO8600" s="4"/>
      <c r="BQ8600" s="4"/>
      <c r="CC8600" s="4"/>
      <c r="CD8600" s="4"/>
      <c r="CF8600" s="4"/>
    </row>
    <row r="8601" spans="66:84">
      <c r="BN8601" s="4"/>
      <c r="BO8601" s="4"/>
      <c r="BQ8601" s="4"/>
      <c r="CC8601" s="4"/>
      <c r="CD8601" s="4"/>
      <c r="CF8601" s="4"/>
    </row>
    <row r="8602" spans="66:84">
      <c r="BN8602" s="4"/>
      <c r="BO8602" s="4"/>
      <c r="BQ8602" s="4"/>
      <c r="CC8602" s="4"/>
      <c r="CD8602" s="4"/>
      <c r="CF8602" s="4"/>
    </row>
    <row r="8603" spans="66:84">
      <c r="BN8603" s="4"/>
      <c r="BO8603" s="4"/>
      <c r="BQ8603" s="4"/>
      <c r="CC8603" s="4"/>
      <c r="CD8603" s="4"/>
      <c r="CF8603" s="4"/>
    </row>
    <row r="8604" spans="66:84">
      <c r="BN8604" s="4"/>
      <c r="BO8604" s="4"/>
      <c r="BQ8604" s="4"/>
      <c r="CC8604" s="4"/>
      <c r="CD8604" s="4"/>
      <c r="CF8604" s="4"/>
    </row>
    <row r="8605" spans="66:84">
      <c r="BN8605" s="4"/>
      <c r="BO8605" s="4"/>
      <c r="BQ8605" s="4"/>
      <c r="CC8605" s="4"/>
      <c r="CD8605" s="4"/>
      <c r="CF8605" s="4"/>
    </row>
    <row r="8606" spans="66:84">
      <c r="BN8606" s="4"/>
      <c r="BO8606" s="4"/>
      <c r="BQ8606" s="4"/>
      <c r="CC8606" s="4"/>
      <c r="CD8606" s="4"/>
      <c r="CF8606" s="4"/>
    </row>
    <row r="8607" spans="66:84">
      <c r="BN8607" s="4"/>
      <c r="BO8607" s="4"/>
      <c r="BQ8607" s="4"/>
      <c r="CC8607" s="4"/>
      <c r="CD8607" s="4"/>
      <c r="CF8607" s="4"/>
    </row>
    <row r="8608" spans="66:84">
      <c r="BN8608" s="4"/>
      <c r="BO8608" s="4"/>
      <c r="BQ8608" s="4"/>
      <c r="CC8608" s="4"/>
      <c r="CD8608" s="4"/>
      <c r="CF8608" s="4"/>
    </row>
    <row r="8609" spans="66:84">
      <c r="BN8609" s="4"/>
      <c r="BO8609" s="4"/>
      <c r="BQ8609" s="4"/>
      <c r="CC8609" s="4"/>
      <c r="CD8609" s="4"/>
      <c r="CF8609" s="4"/>
    </row>
    <row r="8610" spans="66:84">
      <c r="BN8610" s="4"/>
      <c r="BO8610" s="4"/>
      <c r="BQ8610" s="4"/>
      <c r="CC8610" s="4"/>
      <c r="CD8610" s="4"/>
      <c r="CF8610" s="4"/>
    </row>
    <row r="8611" spans="66:84">
      <c r="BN8611" s="4"/>
      <c r="BO8611" s="4"/>
      <c r="BQ8611" s="4"/>
      <c r="CC8611" s="4"/>
      <c r="CD8611" s="4"/>
      <c r="CF8611" s="4"/>
    </row>
    <row r="8612" spans="66:84">
      <c r="BN8612" s="4"/>
      <c r="BO8612" s="4"/>
      <c r="BQ8612" s="4"/>
      <c r="CC8612" s="4"/>
      <c r="CD8612" s="4"/>
      <c r="CF8612" s="4"/>
    </row>
    <row r="8613" spans="66:84">
      <c r="BN8613" s="4"/>
      <c r="BO8613" s="4"/>
      <c r="BQ8613" s="4"/>
      <c r="CC8613" s="4"/>
      <c r="CD8613" s="4"/>
      <c r="CF8613" s="4"/>
    </row>
    <row r="8614" spans="66:84">
      <c r="BN8614" s="4"/>
      <c r="BO8614" s="4"/>
      <c r="BQ8614" s="4"/>
      <c r="CC8614" s="4"/>
      <c r="CD8614" s="4"/>
      <c r="CF8614" s="4"/>
    </row>
    <row r="8615" spans="66:84">
      <c r="BN8615" s="4"/>
      <c r="BO8615" s="4"/>
      <c r="BQ8615" s="4"/>
      <c r="CC8615" s="4"/>
      <c r="CD8615" s="4"/>
      <c r="CF8615" s="4"/>
    </row>
    <row r="8616" spans="66:84">
      <c r="BN8616" s="4"/>
      <c r="BO8616" s="4"/>
      <c r="BQ8616" s="4"/>
      <c r="CC8616" s="4"/>
      <c r="CD8616" s="4"/>
      <c r="CF8616" s="4"/>
    </row>
    <row r="8617" spans="66:84">
      <c r="BN8617" s="4"/>
      <c r="BO8617" s="4"/>
      <c r="BQ8617" s="4"/>
      <c r="CC8617" s="4"/>
      <c r="CD8617" s="4"/>
      <c r="CF8617" s="4"/>
    </row>
    <row r="8618" spans="66:84">
      <c r="BN8618" s="4"/>
      <c r="BO8618" s="4"/>
      <c r="BQ8618" s="4"/>
      <c r="CC8618" s="4"/>
      <c r="CD8618" s="4"/>
      <c r="CF8618" s="4"/>
    </row>
    <row r="8619" spans="66:84">
      <c r="BN8619" s="4"/>
      <c r="BO8619" s="4"/>
      <c r="BQ8619" s="4"/>
      <c r="CC8619" s="4"/>
      <c r="CD8619" s="4"/>
      <c r="CF8619" s="4"/>
    </row>
    <row r="8620" spans="66:84">
      <c r="BN8620" s="4"/>
      <c r="BO8620" s="4"/>
      <c r="BQ8620" s="4"/>
      <c r="CC8620" s="4"/>
      <c r="CD8620" s="4"/>
      <c r="CF8620" s="4"/>
    </row>
    <row r="8621" spans="66:84">
      <c r="BN8621" s="4"/>
      <c r="BO8621" s="4"/>
      <c r="BQ8621" s="4"/>
      <c r="CC8621" s="4"/>
      <c r="CD8621" s="4"/>
      <c r="CF8621" s="4"/>
    </row>
    <row r="8622" spans="66:84">
      <c r="BN8622" s="4"/>
      <c r="BO8622" s="4"/>
      <c r="BQ8622" s="4"/>
      <c r="CC8622" s="4"/>
      <c r="CD8622" s="4"/>
      <c r="CF8622" s="4"/>
    </row>
    <row r="8623" spans="66:84">
      <c r="BN8623" s="4"/>
      <c r="BO8623" s="4"/>
      <c r="BQ8623" s="4"/>
      <c r="CC8623" s="4"/>
      <c r="CD8623" s="4"/>
      <c r="CF8623" s="4"/>
    </row>
    <row r="8624" spans="66:84">
      <c r="BN8624" s="4"/>
      <c r="BO8624" s="4"/>
      <c r="BQ8624" s="4"/>
      <c r="CC8624" s="4"/>
      <c r="CD8624" s="4"/>
      <c r="CF8624" s="4"/>
    </row>
    <row r="8625" spans="66:84">
      <c r="BN8625" s="4"/>
      <c r="BO8625" s="4"/>
      <c r="BQ8625" s="4"/>
      <c r="CC8625" s="4"/>
      <c r="CD8625" s="4"/>
      <c r="CF8625" s="4"/>
    </row>
    <row r="8626" spans="66:84">
      <c r="BN8626" s="4"/>
      <c r="BO8626" s="4"/>
      <c r="BQ8626" s="4"/>
      <c r="CC8626" s="4"/>
      <c r="CD8626" s="4"/>
      <c r="CF8626" s="4"/>
    </row>
    <row r="8627" spans="66:84">
      <c r="BN8627" s="4"/>
      <c r="BO8627" s="4"/>
      <c r="BQ8627" s="4"/>
      <c r="CC8627" s="4"/>
      <c r="CD8627" s="4"/>
      <c r="CF8627" s="4"/>
    </row>
    <row r="8628" spans="66:84">
      <c r="BN8628" s="4"/>
      <c r="BO8628" s="4"/>
      <c r="BQ8628" s="4"/>
      <c r="CC8628" s="4"/>
      <c r="CD8628" s="4"/>
      <c r="CF8628" s="4"/>
    </row>
    <row r="8629" spans="66:84">
      <c r="BN8629" s="4"/>
      <c r="BO8629" s="4"/>
      <c r="BQ8629" s="4"/>
      <c r="CC8629" s="4"/>
      <c r="CD8629" s="4"/>
      <c r="CF8629" s="4"/>
    </row>
    <row r="8630" spans="66:84">
      <c r="BN8630" s="4"/>
      <c r="BO8630" s="4"/>
      <c r="BQ8630" s="4"/>
      <c r="CC8630" s="4"/>
      <c r="CD8630" s="4"/>
      <c r="CF8630" s="4"/>
    </row>
    <row r="8631" spans="66:84">
      <c r="BN8631" s="4"/>
      <c r="BO8631" s="4"/>
      <c r="BQ8631" s="4"/>
      <c r="CC8631" s="4"/>
      <c r="CD8631" s="4"/>
      <c r="CF8631" s="4"/>
    </row>
    <row r="8632" spans="66:84">
      <c r="BN8632" s="4"/>
      <c r="BO8632" s="4"/>
      <c r="BQ8632" s="4"/>
      <c r="CC8632" s="4"/>
      <c r="CD8632" s="4"/>
      <c r="CF8632" s="4"/>
    </row>
    <row r="8633" spans="66:84">
      <c r="BN8633" s="4"/>
      <c r="BO8633" s="4"/>
      <c r="BQ8633" s="4"/>
      <c r="CC8633" s="4"/>
      <c r="CD8633" s="4"/>
      <c r="CF8633" s="4"/>
    </row>
    <row r="8634" spans="66:84">
      <c r="BN8634" s="4"/>
      <c r="BO8634" s="4"/>
      <c r="BQ8634" s="4"/>
      <c r="CC8634" s="4"/>
      <c r="CD8634" s="4"/>
      <c r="CF8634" s="4"/>
    </row>
    <row r="8635" spans="66:84">
      <c r="BN8635" s="4"/>
      <c r="BO8635" s="4"/>
      <c r="BQ8635" s="4"/>
      <c r="CC8635" s="4"/>
      <c r="CD8635" s="4"/>
      <c r="CF8635" s="4"/>
    </row>
    <row r="8636" spans="66:84">
      <c r="BN8636" s="4"/>
      <c r="BO8636" s="4"/>
      <c r="BQ8636" s="4"/>
      <c r="CC8636" s="4"/>
      <c r="CD8636" s="4"/>
      <c r="CF8636" s="4"/>
    </row>
    <row r="8637" spans="66:84">
      <c r="BN8637" s="4"/>
      <c r="BO8637" s="4"/>
      <c r="BQ8637" s="4"/>
      <c r="CC8637" s="4"/>
      <c r="CD8637" s="4"/>
      <c r="CF8637" s="4"/>
    </row>
    <row r="8638" spans="66:84">
      <c r="BN8638" s="4"/>
      <c r="BO8638" s="4"/>
      <c r="BQ8638" s="4"/>
      <c r="CC8638" s="4"/>
      <c r="CD8638" s="4"/>
      <c r="CF8638" s="4"/>
    </row>
    <row r="8639" spans="66:84">
      <c r="BN8639" s="4"/>
      <c r="BO8639" s="4"/>
      <c r="BQ8639" s="4"/>
      <c r="CC8639" s="4"/>
      <c r="CD8639" s="4"/>
      <c r="CF8639" s="4"/>
    </row>
    <row r="8640" spans="66:84">
      <c r="BN8640" s="4"/>
      <c r="BO8640" s="4"/>
      <c r="BQ8640" s="4"/>
      <c r="CC8640" s="4"/>
      <c r="CD8640" s="4"/>
      <c r="CF8640" s="4"/>
    </row>
    <row r="8641" spans="66:84">
      <c r="BN8641" s="4"/>
      <c r="BO8641" s="4"/>
      <c r="BQ8641" s="4"/>
      <c r="CC8641" s="4"/>
      <c r="CD8641" s="4"/>
      <c r="CF8641" s="4"/>
    </row>
    <row r="8642" spans="66:84">
      <c r="BN8642" s="4"/>
      <c r="BO8642" s="4"/>
      <c r="BQ8642" s="4"/>
      <c r="CC8642" s="4"/>
      <c r="CD8642" s="4"/>
      <c r="CF8642" s="4"/>
    </row>
    <row r="8643" spans="66:84">
      <c r="BN8643" s="4"/>
      <c r="BO8643" s="4"/>
      <c r="BQ8643" s="4"/>
      <c r="CC8643" s="4"/>
      <c r="CD8643" s="4"/>
      <c r="CF8643" s="4"/>
    </row>
    <row r="8644" spans="66:84">
      <c r="BN8644" s="4"/>
      <c r="BO8644" s="4"/>
      <c r="BQ8644" s="4"/>
      <c r="CC8644" s="4"/>
      <c r="CD8644" s="4"/>
      <c r="CF8644" s="4"/>
    </row>
    <row r="8645" spans="66:84">
      <c r="BN8645" s="4"/>
      <c r="BO8645" s="4"/>
      <c r="BQ8645" s="4"/>
      <c r="CC8645" s="4"/>
      <c r="CD8645" s="4"/>
      <c r="CF8645" s="4"/>
    </row>
    <row r="8646" spans="66:84">
      <c r="BN8646" s="4"/>
      <c r="BO8646" s="4"/>
      <c r="BQ8646" s="4"/>
      <c r="CC8646" s="4"/>
      <c r="CD8646" s="4"/>
      <c r="CF8646" s="4"/>
    </row>
    <row r="8647" spans="66:84">
      <c r="BN8647" s="4"/>
      <c r="BO8647" s="4"/>
      <c r="BQ8647" s="4"/>
      <c r="CC8647" s="4"/>
      <c r="CD8647" s="4"/>
      <c r="CF8647" s="4"/>
    </row>
    <row r="8648" spans="66:84">
      <c r="BN8648" s="4"/>
      <c r="BO8648" s="4"/>
      <c r="BQ8648" s="4"/>
      <c r="CC8648" s="4"/>
      <c r="CD8648" s="4"/>
      <c r="CF8648" s="4"/>
    </row>
    <row r="8649" spans="66:84">
      <c r="BN8649" s="4"/>
      <c r="BO8649" s="4"/>
      <c r="BQ8649" s="4"/>
      <c r="CC8649" s="4"/>
      <c r="CD8649" s="4"/>
      <c r="CF8649" s="4"/>
    </row>
    <row r="8650" spans="66:84">
      <c r="BN8650" s="4"/>
      <c r="BO8650" s="4"/>
      <c r="BQ8650" s="4"/>
      <c r="CC8650" s="4"/>
      <c r="CD8650" s="4"/>
      <c r="CF8650" s="4"/>
    </row>
    <row r="8651" spans="66:84">
      <c r="BN8651" s="4"/>
      <c r="BO8651" s="4"/>
      <c r="BQ8651" s="4"/>
      <c r="CC8651" s="4"/>
      <c r="CD8651" s="4"/>
      <c r="CF8651" s="4"/>
    </row>
    <row r="8652" spans="66:84">
      <c r="BN8652" s="4"/>
      <c r="BO8652" s="4"/>
      <c r="BQ8652" s="4"/>
      <c r="CC8652" s="4"/>
      <c r="CD8652" s="4"/>
      <c r="CF8652" s="4"/>
    </row>
    <row r="8653" spans="66:84">
      <c r="BN8653" s="4"/>
      <c r="BO8653" s="4"/>
      <c r="BQ8653" s="4"/>
      <c r="CC8653" s="4"/>
      <c r="CD8653" s="4"/>
      <c r="CF8653" s="4"/>
    </row>
    <row r="8654" spans="66:84">
      <c r="BN8654" s="4"/>
      <c r="BO8654" s="4"/>
      <c r="BQ8654" s="4"/>
      <c r="CC8654" s="4"/>
      <c r="CD8654" s="4"/>
      <c r="CF8654" s="4"/>
    </row>
    <row r="8655" spans="66:84">
      <c r="BN8655" s="4"/>
      <c r="BO8655" s="4"/>
      <c r="BQ8655" s="4"/>
      <c r="CC8655" s="4"/>
      <c r="CD8655" s="4"/>
      <c r="CF8655" s="4"/>
    </row>
    <row r="8656" spans="66:84">
      <c r="BN8656" s="4"/>
      <c r="BO8656" s="4"/>
      <c r="BQ8656" s="4"/>
      <c r="CC8656" s="4"/>
      <c r="CD8656" s="4"/>
      <c r="CF8656" s="4"/>
    </row>
    <row r="8657" spans="66:84">
      <c r="BN8657" s="4"/>
      <c r="BO8657" s="4"/>
      <c r="BQ8657" s="4"/>
      <c r="CC8657" s="4"/>
      <c r="CD8657" s="4"/>
      <c r="CF8657" s="4"/>
    </row>
    <row r="8658" spans="66:84">
      <c r="BN8658" s="4"/>
      <c r="BO8658" s="4"/>
      <c r="BQ8658" s="4"/>
      <c r="CC8658" s="4"/>
      <c r="CD8658" s="4"/>
      <c r="CF8658" s="4"/>
    </row>
    <row r="8659" spans="66:84">
      <c r="BN8659" s="4"/>
      <c r="BO8659" s="4"/>
      <c r="BQ8659" s="4"/>
      <c r="CC8659" s="4"/>
      <c r="CD8659" s="4"/>
      <c r="CF8659" s="4"/>
    </row>
    <row r="8660" spans="66:84">
      <c r="BN8660" s="4"/>
      <c r="BO8660" s="4"/>
      <c r="BQ8660" s="4"/>
      <c r="CC8660" s="4"/>
      <c r="CD8660" s="4"/>
      <c r="CF8660" s="4"/>
    </row>
    <row r="8661" spans="66:84">
      <c r="BN8661" s="4"/>
      <c r="BO8661" s="4"/>
      <c r="BQ8661" s="4"/>
      <c r="CC8661" s="4"/>
      <c r="CD8661" s="4"/>
      <c r="CF8661" s="4"/>
    </row>
    <row r="8662" spans="66:84">
      <c r="BN8662" s="4"/>
      <c r="BO8662" s="4"/>
      <c r="BQ8662" s="4"/>
      <c r="CC8662" s="4"/>
      <c r="CD8662" s="4"/>
      <c r="CF8662" s="4"/>
    </row>
    <row r="8663" spans="66:84">
      <c r="BN8663" s="4"/>
      <c r="BO8663" s="4"/>
      <c r="BQ8663" s="4"/>
      <c r="CC8663" s="4"/>
      <c r="CD8663" s="4"/>
      <c r="CF8663" s="4"/>
    </row>
    <row r="8664" spans="66:84">
      <c r="BN8664" s="4"/>
      <c r="BO8664" s="4"/>
      <c r="BQ8664" s="4"/>
      <c r="CC8664" s="4"/>
      <c r="CD8664" s="4"/>
      <c r="CF8664" s="4"/>
    </row>
    <row r="8665" spans="66:84">
      <c r="BN8665" s="4"/>
      <c r="BO8665" s="4"/>
      <c r="BQ8665" s="4"/>
      <c r="CC8665" s="4"/>
      <c r="CD8665" s="4"/>
      <c r="CF8665" s="4"/>
    </row>
    <row r="8666" spans="66:84">
      <c r="BN8666" s="4"/>
      <c r="BO8666" s="4"/>
      <c r="BQ8666" s="4"/>
      <c r="CC8666" s="4"/>
      <c r="CD8666" s="4"/>
      <c r="CF8666" s="4"/>
    </row>
    <row r="8667" spans="66:84">
      <c r="BN8667" s="4"/>
      <c r="BO8667" s="4"/>
      <c r="BQ8667" s="4"/>
      <c r="CC8667" s="4"/>
      <c r="CD8667" s="4"/>
      <c r="CF8667" s="4"/>
    </row>
    <row r="8668" spans="66:84">
      <c r="BN8668" s="4"/>
      <c r="BO8668" s="4"/>
      <c r="BQ8668" s="4"/>
      <c r="CC8668" s="4"/>
      <c r="CD8668" s="4"/>
      <c r="CF8668" s="4"/>
    </row>
    <row r="8669" spans="66:84">
      <c r="BN8669" s="4"/>
      <c r="BO8669" s="4"/>
      <c r="BQ8669" s="4"/>
      <c r="CC8669" s="4"/>
      <c r="CD8669" s="4"/>
      <c r="CF8669" s="4"/>
    </row>
    <row r="8670" spans="66:84">
      <c r="BN8670" s="4"/>
      <c r="BO8670" s="4"/>
      <c r="BQ8670" s="4"/>
      <c r="CC8670" s="4"/>
      <c r="CD8670" s="4"/>
      <c r="CF8670" s="4"/>
    </row>
    <row r="8671" spans="66:84">
      <c r="BN8671" s="4"/>
      <c r="BO8671" s="4"/>
      <c r="BQ8671" s="4"/>
      <c r="CC8671" s="4"/>
      <c r="CD8671" s="4"/>
      <c r="CF8671" s="4"/>
    </row>
    <row r="8672" spans="66:84">
      <c r="BN8672" s="4"/>
      <c r="BO8672" s="4"/>
      <c r="BQ8672" s="4"/>
      <c r="CC8672" s="4"/>
      <c r="CD8672" s="4"/>
      <c r="CF8672" s="4"/>
    </row>
    <row r="8673" spans="66:84">
      <c r="BN8673" s="4"/>
      <c r="BO8673" s="4"/>
      <c r="BQ8673" s="4"/>
      <c r="CC8673" s="4"/>
      <c r="CD8673" s="4"/>
      <c r="CF8673" s="4"/>
    </row>
    <row r="8674" spans="66:84">
      <c r="BN8674" s="4"/>
      <c r="BO8674" s="4"/>
      <c r="BQ8674" s="4"/>
      <c r="CC8674" s="4"/>
      <c r="CD8674" s="4"/>
      <c r="CF8674" s="4"/>
    </row>
    <row r="8675" spans="66:84">
      <c r="BN8675" s="4"/>
      <c r="BO8675" s="4"/>
      <c r="BQ8675" s="4"/>
      <c r="CC8675" s="4"/>
      <c r="CD8675" s="4"/>
      <c r="CF8675" s="4"/>
    </row>
    <row r="8676" spans="66:84">
      <c r="BN8676" s="4"/>
      <c r="BO8676" s="4"/>
      <c r="BQ8676" s="4"/>
      <c r="CC8676" s="4"/>
      <c r="CD8676" s="4"/>
      <c r="CF8676" s="4"/>
    </row>
    <row r="8677" spans="66:84">
      <c r="BN8677" s="4"/>
      <c r="BO8677" s="4"/>
      <c r="BQ8677" s="4"/>
      <c r="CC8677" s="4"/>
      <c r="CD8677" s="4"/>
      <c r="CF8677" s="4"/>
    </row>
    <row r="8678" spans="66:84">
      <c r="BN8678" s="4"/>
      <c r="BO8678" s="4"/>
      <c r="BQ8678" s="4"/>
      <c r="CC8678" s="4"/>
      <c r="CD8678" s="4"/>
      <c r="CF8678" s="4"/>
    </row>
    <row r="8679" spans="66:84">
      <c r="BN8679" s="4"/>
      <c r="BO8679" s="4"/>
      <c r="BQ8679" s="4"/>
      <c r="CC8679" s="4"/>
      <c r="CD8679" s="4"/>
      <c r="CF8679" s="4"/>
    </row>
    <row r="8680" spans="66:84">
      <c r="BN8680" s="4"/>
      <c r="BO8680" s="4"/>
      <c r="BQ8680" s="4"/>
      <c r="CC8680" s="4"/>
      <c r="CD8680" s="4"/>
      <c r="CF8680" s="4"/>
    </row>
    <row r="8681" spans="66:84">
      <c r="BN8681" s="4"/>
      <c r="BO8681" s="4"/>
      <c r="BQ8681" s="4"/>
      <c r="CC8681" s="4"/>
      <c r="CD8681" s="4"/>
      <c r="CF8681" s="4"/>
    </row>
    <row r="8682" spans="66:84">
      <c r="BN8682" s="4"/>
      <c r="BO8682" s="4"/>
      <c r="BQ8682" s="4"/>
      <c r="CC8682" s="4"/>
      <c r="CD8682" s="4"/>
      <c r="CF8682" s="4"/>
    </row>
    <row r="8683" spans="66:84">
      <c r="BN8683" s="4"/>
      <c r="BO8683" s="4"/>
      <c r="BQ8683" s="4"/>
      <c r="CC8683" s="4"/>
      <c r="CD8683" s="4"/>
      <c r="CF8683" s="4"/>
    </row>
    <row r="8684" spans="66:84">
      <c r="BN8684" s="4"/>
      <c r="BO8684" s="4"/>
      <c r="BQ8684" s="4"/>
      <c r="CC8684" s="4"/>
      <c r="CD8684" s="4"/>
      <c r="CF8684" s="4"/>
    </row>
    <row r="8685" spans="66:84">
      <c r="BN8685" s="4"/>
      <c r="BO8685" s="4"/>
      <c r="BQ8685" s="4"/>
      <c r="CC8685" s="4"/>
      <c r="CD8685" s="4"/>
      <c r="CF8685" s="4"/>
    </row>
    <row r="8686" spans="66:84">
      <c r="BN8686" s="4"/>
      <c r="BO8686" s="4"/>
      <c r="BQ8686" s="4"/>
      <c r="CC8686" s="4"/>
      <c r="CD8686" s="4"/>
      <c r="CF8686" s="4"/>
    </row>
    <row r="8687" spans="66:84">
      <c r="BN8687" s="4"/>
      <c r="BO8687" s="4"/>
      <c r="BQ8687" s="4"/>
      <c r="CC8687" s="4"/>
      <c r="CD8687" s="4"/>
      <c r="CF8687" s="4"/>
    </row>
    <row r="8688" spans="66:84">
      <c r="BN8688" s="4"/>
      <c r="BO8688" s="4"/>
      <c r="BQ8688" s="4"/>
      <c r="CC8688" s="4"/>
      <c r="CD8688" s="4"/>
      <c r="CF8688" s="4"/>
    </row>
    <row r="8689" spans="66:84">
      <c r="BN8689" s="4"/>
      <c r="BO8689" s="4"/>
      <c r="BQ8689" s="4"/>
      <c r="CC8689" s="4"/>
      <c r="CD8689" s="4"/>
      <c r="CF8689" s="4"/>
    </row>
    <row r="8690" spans="66:84">
      <c r="BN8690" s="4"/>
      <c r="BO8690" s="4"/>
      <c r="BQ8690" s="4"/>
      <c r="CC8690" s="4"/>
      <c r="CD8690" s="4"/>
      <c r="CF8690" s="4"/>
    </row>
    <row r="8691" spans="66:84">
      <c r="BN8691" s="4"/>
      <c r="BO8691" s="4"/>
      <c r="BQ8691" s="4"/>
      <c r="CC8691" s="4"/>
      <c r="CD8691" s="4"/>
      <c r="CF8691" s="4"/>
    </row>
    <row r="8692" spans="66:84">
      <c r="BN8692" s="4"/>
      <c r="BO8692" s="4"/>
      <c r="BQ8692" s="4"/>
      <c r="CC8692" s="4"/>
      <c r="CD8692" s="4"/>
      <c r="CF8692" s="4"/>
    </row>
    <row r="8693" spans="66:84">
      <c r="BN8693" s="4"/>
      <c r="BO8693" s="4"/>
      <c r="BQ8693" s="4"/>
      <c r="CC8693" s="4"/>
      <c r="CD8693" s="4"/>
      <c r="CF8693" s="4"/>
    </row>
    <row r="8694" spans="66:84">
      <c r="BN8694" s="4"/>
      <c r="BO8694" s="4"/>
      <c r="BQ8694" s="4"/>
      <c r="CC8694" s="4"/>
      <c r="CD8694" s="4"/>
      <c r="CF8694" s="4"/>
    </row>
    <row r="8695" spans="66:84">
      <c r="BN8695" s="4"/>
      <c r="BO8695" s="4"/>
      <c r="BQ8695" s="4"/>
      <c r="CC8695" s="4"/>
      <c r="CD8695" s="4"/>
      <c r="CF8695" s="4"/>
    </row>
    <row r="8696" spans="66:84">
      <c r="BN8696" s="4"/>
      <c r="BO8696" s="4"/>
      <c r="BQ8696" s="4"/>
      <c r="CC8696" s="4"/>
      <c r="CD8696" s="4"/>
      <c r="CF8696" s="4"/>
    </row>
    <row r="8697" spans="66:84">
      <c r="BN8697" s="4"/>
      <c r="BO8697" s="4"/>
      <c r="BQ8697" s="4"/>
      <c r="CC8697" s="4"/>
      <c r="CD8697" s="4"/>
      <c r="CF8697" s="4"/>
    </row>
    <row r="8698" spans="66:84">
      <c r="BN8698" s="4"/>
      <c r="BO8698" s="4"/>
      <c r="BQ8698" s="4"/>
      <c r="CC8698" s="4"/>
      <c r="CD8698" s="4"/>
      <c r="CF8698" s="4"/>
    </row>
    <row r="8699" spans="66:84">
      <c r="BN8699" s="4"/>
      <c r="BO8699" s="4"/>
      <c r="BQ8699" s="4"/>
      <c r="CC8699" s="4"/>
      <c r="CD8699" s="4"/>
      <c r="CF8699" s="4"/>
    </row>
    <row r="8700" spans="66:84">
      <c r="BN8700" s="4"/>
      <c r="BO8700" s="4"/>
      <c r="BQ8700" s="4"/>
      <c r="CC8700" s="4"/>
      <c r="CD8700" s="4"/>
      <c r="CF8700" s="4"/>
    </row>
    <row r="8701" spans="66:84">
      <c r="BN8701" s="4"/>
      <c r="BO8701" s="4"/>
      <c r="BQ8701" s="4"/>
      <c r="CC8701" s="4"/>
      <c r="CD8701" s="4"/>
      <c r="CF8701" s="4"/>
    </row>
    <row r="8702" spans="66:84">
      <c r="BN8702" s="4"/>
      <c r="BO8702" s="4"/>
      <c r="BQ8702" s="4"/>
      <c r="CC8702" s="4"/>
      <c r="CD8702" s="4"/>
      <c r="CF8702" s="4"/>
    </row>
    <row r="8703" spans="66:84">
      <c r="BN8703" s="4"/>
      <c r="BO8703" s="4"/>
      <c r="BQ8703" s="4"/>
      <c r="CC8703" s="4"/>
      <c r="CD8703" s="4"/>
      <c r="CF8703" s="4"/>
    </row>
    <row r="8704" spans="66:84">
      <c r="BN8704" s="4"/>
      <c r="BO8704" s="4"/>
      <c r="BQ8704" s="4"/>
      <c r="CC8704" s="4"/>
      <c r="CD8704" s="4"/>
      <c r="CF8704" s="4"/>
    </row>
    <row r="8705" spans="66:84">
      <c r="BN8705" s="4"/>
      <c r="BO8705" s="4"/>
      <c r="BQ8705" s="4"/>
      <c r="CC8705" s="4"/>
      <c r="CD8705" s="4"/>
      <c r="CF8705" s="4"/>
    </row>
    <row r="8706" spans="66:84">
      <c r="BN8706" s="4"/>
      <c r="BO8706" s="4"/>
      <c r="BQ8706" s="4"/>
      <c r="CC8706" s="4"/>
      <c r="CD8706" s="4"/>
      <c r="CF8706" s="4"/>
    </row>
    <row r="8707" spans="66:84">
      <c r="BN8707" s="4"/>
      <c r="BO8707" s="4"/>
      <c r="BQ8707" s="4"/>
      <c r="CC8707" s="4"/>
      <c r="CD8707" s="4"/>
      <c r="CF8707" s="4"/>
    </row>
    <row r="8708" spans="66:84">
      <c r="BN8708" s="4"/>
      <c r="BO8708" s="4"/>
      <c r="BQ8708" s="4"/>
      <c r="CC8708" s="4"/>
      <c r="CD8708" s="4"/>
      <c r="CF8708" s="4"/>
    </row>
    <row r="8709" spans="66:84">
      <c r="BN8709" s="4"/>
      <c r="BO8709" s="4"/>
      <c r="BQ8709" s="4"/>
      <c r="CC8709" s="4"/>
      <c r="CD8709" s="4"/>
      <c r="CF8709" s="4"/>
    </row>
    <row r="8710" spans="66:84">
      <c r="BN8710" s="4"/>
      <c r="BO8710" s="4"/>
      <c r="BQ8710" s="4"/>
      <c r="CC8710" s="4"/>
      <c r="CD8710" s="4"/>
      <c r="CF8710" s="4"/>
    </row>
    <row r="8711" spans="66:84">
      <c r="BN8711" s="4"/>
      <c r="BO8711" s="4"/>
      <c r="BQ8711" s="4"/>
      <c r="CC8711" s="4"/>
      <c r="CD8711" s="4"/>
      <c r="CF8711" s="4"/>
    </row>
    <row r="8712" spans="66:84">
      <c r="BN8712" s="4"/>
      <c r="BO8712" s="4"/>
      <c r="BQ8712" s="4"/>
      <c r="CC8712" s="4"/>
      <c r="CD8712" s="4"/>
      <c r="CF8712" s="4"/>
    </row>
    <row r="8713" spans="66:84">
      <c r="BN8713" s="4"/>
      <c r="BO8713" s="4"/>
      <c r="BQ8713" s="4"/>
      <c r="CC8713" s="4"/>
      <c r="CD8713" s="4"/>
      <c r="CF8713" s="4"/>
    </row>
    <row r="8714" spans="66:84">
      <c r="BN8714" s="4"/>
      <c r="BO8714" s="4"/>
      <c r="BQ8714" s="4"/>
      <c r="CC8714" s="4"/>
      <c r="CD8714" s="4"/>
      <c r="CF8714" s="4"/>
    </row>
    <row r="8715" spans="66:84">
      <c r="BN8715" s="4"/>
      <c r="BO8715" s="4"/>
      <c r="BQ8715" s="4"/>
      <c r="CC8715" s="4"/>
      <c r="CD8715" s="4"/>
      <c r="CF8715" s="4"/>
    </row>
    <row r="8716" spans="66:84">
      <c r="BN8716" s="4"/>
      <c r="BO8716" s="4"/>
      <c r="BQ8716" s="4"/>
      <c r="CC8716" s="4"/>
      <c r="CD8716" s="4"/>
      <c r="CF8716" s="4"/>
    </row>
    <row r="8717" spans="66:84">
      <c r="BN8717" s="4"/>
      <c r="BO8717" s="4"/>
      <c r="BQ8717" s="4"/>
      <c r="CC8717" s="4"/>
      <c r="CD8717" s="4"/>
      <c r="CF8717" s="4"/>
    </row>
    <row r="8718" spans="66:84">
      <c r="BN8718" s="4"/>
      <c r="BO8718" s="4"/>
      <c r="BQ8718" s="4"/>
      <c r="CC8718" s="4"/>
      <c r="CD8718" s="4"/>
      <c r="CF8718" s="4"/>
    </row>
    <row r="8719" spans="66:84">
      <c r="BN8719" s="4"/>
      <c r="BO8719" s="4"/>
      <c r="BQ8719" s="4"/>
      <c r="CC8719" s="4"/>
      <c r="CD8719" s="4"/>
      <c r="CF8719" s="4"/>
    </row>
    <row r="8720" spans="66:84">
      <c r="BN8720" s="4"/>
      <c r="BO8720" s="4"/>
      <c r="BQ8720" s="4"/>
      <c r="CC8720" s="4"/>
      <c r="CD8720" s="4"/>
      <c r="CF8720" s="4"/>
    </row>
    <row r="8721" spans="66:84">
      <c r="BN8721" s="4"/>
      <c r="BO8721" s="4"/>
      <c r="BQ8721" s="4"/>
      <c r="CC8721" s="4"/>
      <c r="CD8721" s="4"/>
      <c r="CF8721" s="4"/>
    </row>
    <row r="8722" spans="66:84">
      <c r="BN8722" s="4"/>
      <c r="BO8722" s="4"/>
      <c r="BQ8722" s="4"/>
      <c r="CC8722" s="4"/>
      <c r="CD8722" s="4"/>
      <c r="CF8722" s="4"/>
    </row>
    <row r="8723" spans="66:84">
      <c r="BN8723" s="4"/>
      <c r="BO8723" s="4"/>
      <c r="BQ8723" s="4"/>
      <c r="CC8723" s="4"/>
      <c r="CD8723" s="4"/>
      <c r="CF8723" s="4"/>
    </row>
    <row r="8724" spans="66:84">
      <c r="BN8724" s="4"/>
      <c r="BO8724" s="4"/>
      <c r="BQ8724" s="4"/>
      <c r="CC8724" s="4"/>
      <c r="CD8724" s="4"/>
      <c r="CF8724" s="4"/>
    </row>
    <row r="8725" spans="66:84">
      <c r="BN8725" s="4"/>
      <c r="BO8725" s="4"/>
      <c r="BQ8725" s="4"/>
      <c r="CC8725" s="4"/>
      <c r="CD8725" s="4"/>
      <c r="CF8725" s="4"/>
    </row>
    <row r="8726" spans="66:84">
      <c r="BN8726" s="4"/>
      <c r="BO8726" s="4"/>
      <c r="BQ8726" s="4"/>
      <c r="CC8726" s="4"/>
      <c r="CD8726" s="4"/>
      <c r="CF8726" s="4"/>
    </row>
    <row r="8727" spans="66:84">
      <c r="BN8727" s="4"/>
      <c r="BO8727" s="4"/>
      <c r="BQ8727" s="4"/>
      <c r="CC8727" s="4"/>
      <c r="CD8727" s="4"/>
      <c r="CF8727" s="4"/>
    </row>
    <row r="8728" spans="66:84">
      <c r="BN8728" s="4"/>
      <c r="BO8728" s="4"/>
      <c r="BQ8728" s="4"/>
      <c r="CC8728" s="4"/>
      <c r="CD8728" s="4"/>
      <c r="CF8728" s="4"/>
    </row>
    <row r="8729" spans="66:84">
      <c r="BN8729" s="4"/>
      <c r="BO8729" s="4"/>
      <c r="BQ8729" s="4"/>
      <c r="CC8729" s="4"/>
      <c r="CD8729" s="4"/>
      <c r="CF8729" s="4"/>
    </row>
    <row r="8730" spans="66:84">
      <c r="BN8730" s="4"/>
      <c r="BO8730" s="4"/>
      <c r="BQ8730" s="4"/>
      <c r="CC8730" s="4"/>
      <c r="CD8730" s="4"/>
      <c r="CF8730" s="4"/>
    </row>
    <row r="8731" spans="66:84">
      <c r="BN8731" s="4"/>
      <c r="BO8731" s="4"/>
      <c r="BQ8731" s="4"/>
      <c r="CC8731" s="4"/>
      <c r="CD8731" s="4"/>
      <c r="CF8731" s="4"/>
    </row>
    <row r="8732" spans="66:84">
      <c r="BN8732" s="4"/>
      <c r="BO8732" s="4"/>
      <c r="BQ8732" s="4"/>
      <c r="CC8732" s="4"/>
      <c r="CD8732" s="4"/>
      <c r="CF8732" s="4"/>
    </row>
    <row r="8733" spans="66:84">
      <c r="BN8733" s="4"/>
      <c r="BO8733" s="4"/>
      <c r="BQ8733" s="4"/>
      <c r="CC8733" s="4"/>
      <c r="CD8733" s="4"/>
      <c r="CF8733" s="4"/>
    </row>
    <row r="8734" spans="66:84">
      <c r="BN8734" s="4"/>
      <c r="BO8734" s="4"/>
      <c r="BQ8734" s="4"/>
      <c r="CC8734" s="4"/>
      <c r="CD8734" s="4"/>
      <c r="CF8734" s="4"/>
    </row>
    <row r="8735" spans="66:84">
      <c r="BN8735" s="4"/>
      <c r="BO8735" s="4"/>
      <c r="BQ8735" s="4"/>
      <c r="CC8735" s="4"/>
      <c r="CD8735" s="4"/>
      <c r="CF8735" s="4"/>
    </row>
    <row r="8736" spans="66:84">
      <c r="BN8736" s="4"/>
      <c r="BO8736" s="4"/>
      <c r="BQ8736" s="4"/>
      <c r="CC8736" s="4"/>
      <c r="CD8736" s="4"/>
      <c r="CF8736" s="4"/>
    </row>
    <row r="8737" spans="66:84">
      <c r="BN8737" s="4"/>
      <c r="BO8737" s="4"/>
      <c r="BQ8737" s="4"/>
      <c r="CC8737" s="4"/>
      <c r="CD8737" s="4"/>
      <c r="CF8737" s="4"/>
    </row>
    <row r="8738" spans="66:84">
      <c r="BN8738" s="4"/>
      <c r="BO8738" s="4"/>
      <c r="BQ8738" s="4"/>
      <c r="CC8738" s="4"/>
      <c r="CD8738" s="4"/>
      <c r="CF8738" s="4"/>
    </row>
    <row r="8739" spans="66:84">
      <c r="BN8739" s="4"/>
      <c r="BO8739" s="4"/>
      <c r="BQ8739" s="4"/>
      <c r="CC8739" s="4"/>
      <c r="CD8739" s="4"/>
      <c r="CF8739" s="4"/>
    </row>
    <row r="8740" spans="66:84">
      <c r="BN8740" s="4"/>
      <c r="BO8740" s="4"/>
      <c r="BQ8740" s="4"/>
      <c r="CC8740" s="4"/>
      <c r="CD8740" s="4"/>
      <c r="CF8740" s="4"/>
    </row>
    <row r="8741" spans="66:84">
      <c r="BN8741" s="4"/>
      <c r="BO8741" s="4"/>
      <c r="BQ8741" s="4"/>
      <c r="CC8741" s="4"/>
      <c r="CD8741" s="4"/>
      <c r="CF8741" s="4"/>
    </row>
    <row r="8742" spans="66:84">
      <c r="BN8742" s="4"/>
      <c r="BO8742" s="4"/>
      <c r="BQ8742" s="4"/>
      <c r="CC8742" s="4"/>
      <c r="CD8742" s="4"/>
      <c r="CF8742" s="4"/>
    </row>
    <row r="8743" spans="66:84">
      <c r="BN8743" s="4"/>
      <c r="BO8743" s="4"/>
      <c r="BQ8743" s="4"/>
      <c r="CC8743" s="4"/>
      <c r="CD8743" s="4"/>
      <c r="CF8743" s="4"/>
    </row>
    <row r="8744" spans="66:84">
      <c r="BN8744" s="4"/>
      <c r="BO8744" s="4"/>
      <c r="BQ8744" s="4"/>
      <c r="CC8744" s="4"/>
      <c r="CD8744" s="4"/>
      <c r="CF8744" s="4"/>
    </row>
    <row r="8745" spans="66:84">
      <c r="BN8745" s="4"/>
      <c r="BO8745" s="4"/>
      <c r="BQ8745" s="4"/>
      <c r="CC8745" s="4"/>
      <c r="CD8745" s="4"/>
      <c r="CF8745" s="4"/>
    </row>
    <row r="8746" spans="66:84">
      <c r="BN8746" s="4"/>
      <c r="BO8746" s="4"/>
      <c r="BQ8746" s="4"/>
      <c r="CC8746" s="4"/>
      <c r="CD8746" s="4"/>
      <c r="CF8746" s="4"/>
    </row>
    <row r="8747" spans="66:84">
      <c r="BN8747" s="4"/>
      <c r="BO8747" s="4"/>
      <c r="BQ8747" s="4"/>
      <c r="CC8747" s="4"/>
      <c r="CD8747" s="4"/>
      <c r="CF8747" s="4"/>
    </row>
    <row r="8748" spans="66:84">
      <c r="BN8748" s="4"/>
      <c r="BO8748" s="4"/>
      <c r="BQ8748" s="4"/>
      <c r="CC8748" s="4"/>
      <c r="CD8748" s="4"/>
      <c r="CF8748" s="4"/>
    </row>
    <row r="8749" spans="66:84">
      <c r="BN8749" s="4"/>
      <c r="BO8749" s="4"/>
      <c r="BQ8749" s="4"/>
      <c r="CC8749" s="4"/>
      <c r="CD8749" s="4"/>
      <c r="CF8749" s="4"/>
    </row>
    <row r="8750" spans="66:84">
      <c r="BN8750" s="4"/>
      <c r="BO8750" s="4"/>
      <c r="BQ8750" s="4"/>
      <c r="CC8750" s="4"/>
      <c r="CD8750" s="4"/>
      <c r="CF8750" s="4"/>
    </row>
    <row r="8751" spans="66:84">
      <c r="BN8751" s="4"/>
      <c r="BO8751" s="4"/>
      <c r="BQ8751" s="4"/>
      <c r="CC8751" s="4"/>
      <c r="CD8751" s="4"/>
      <c r="CF8751" s="4"/>
    </row>
    <row r="8752" spans="66:84">
      <c r="BN8752" s="4"/>
      <c r="BO8752" s="4"/>
      <c r="BQ8752" s="4"/>
      <c r="CC8752" s="4"/>
      <c r="CD8752" s="4"/>
      <c r="CF8752" s="4"/>
    </row>
    <row r="8753" spans="66:84">
      <c r="BN8753" s="4"/>
      <c r="BO8753" s="4"/>
      <c r="BQ8753" s="4"/>
      <c r="CC8753" s="4"/>
      <c r="CD8753" s="4"/>
      <c r="CF8753" s="4"/>
    </row>
    <row r="8754" spans="66:84">
      <c r="BN8754" s="4"/>
      <c r="BO8754" s="4"/>
      <c r="BQ8754" s="4"/>
      <c r="CC8754" s="4"/>
      <c r="CD8754" s="4"/>
      <c r="CF8754" s="4"/>
    </row>
    <row r="8755" spans="66:84">
      <c r="BN8755" s="4"/>
      <c r="BO8755" s="4"/>
      <c r="BQ8755" s="4"/>
      <c r="CC8755" s="4"/>
      <c r="CD8755" s="4"/>
      <c r="CF8755" s="4"/>
    </row>
    <row r="8756" spans="66:84">
      <c r="BN8756" s="4"/>
      <c r="BO8756" s="4"/>
      <c r="BQ8756" s="4"/>
      <c r="CC8756" s="4"/>
      <c r="CD8756" s="4"/>
      <c r="CF8756" s="4"/>
    </row>
    <row r="8757" spans="66:84">
      <c r="BN8757" s="4"/>
      <c r="BO8757" s="4"/>
      <c r="BQ8757" s="4"/>
      <c r="CC8757" s="4"/>
      <c r="CD8757" s="4"/>
      <c r="CF8757" s="4"/>
    </row>
    <row r="8758" spans="66:84">
      <c r="BN8758" s="4"/>
      <c r="BO8758" s="4"/>
      <c r="BQ8758" s="4"/>
      <c r="CC8758" s="4"/>
      <c r="CD8758" s="4"/>
      <c r="CF8758" s="4"/>
    </row>
    <row r="8759" spans="66:84">
      <c r="BN8759" s="4"/>
      <c r="BO8759" s="4"/>
      <c r="BQ8759" s="4"/>
      <c r="CC8759" s="4"/>
      <c r="CD8759" s="4"/>
      <c r="CF8759" s="4"/>
    </row>
    <row r="8760" spans="66:84">
      <c r="BN8760" s="4"/>
      <c r="BO8760" s="4"/>
      <c r="BQ8760" s="4"/>
      <c r="CC8760" s="4"/>
      <c r="CD8760" s="4"/>
      <c r="CF8760" s="4"/>
    </row>
    <row r="8761" spans="66:84">
      <c r="BN8761" s="4"/>
      <c r="BO8761" s="4"/>
      <c r="BQ8761" s="4"/>
      <c r="CC8761" s="4"/>
      <c r="CD8761" s="4"/>
      <c r="CF8761" s="4"/>
    </row>
    <row r="8762" spans="66:84">
      <c r="BN8762" s="4"/>
      <c r="BO8762" s="4"/>
      <c r="BQ8762" s="4"/>
      <c r="CC8762" s="4"/>
      <c r="CD8762" s="4"/>
      <c r="CF8762" s="4"/>
    </row>
    <row r="8763" spans="66:84">
      <c r="BN8763" s="4"/>
      <c r="BO8763" s="4"/>
      <c r="BQ8763" s="4"/>
      <c r="CC8763" s="4"/>
      <c r="CD8763" s="4"/>
      <c r="CF8763" s="4"/>
    </row>
    <row r="8764" spans="66:84">
      <c r="BN8764" s="4"/>
      <c r="BO8764" s="4"/>
      <c r="BQ8764" s="4"/>
      <c r="CC8764" s="4"/>
      <c r="CD8764" s="4"/>
      <c r="CF8764" s="4"/>
    </row>
    <row r="8765" spans="66:84">
      <c r="BN8765" s="4"/>
      <c r="BO8765" s="4"/>
      <c r="BQ8765" s="4"/>
      <c r="CC8765" s="4"/>
      <c r="CD8765" s="4"/>
      <c r="CF8765" s="4"/>
    </row>
    <row r="8766" spans="66:84">
      <c r="BN8766" s="4"/>
      <c r="BO8766" s="4"/>
      <c r="BQ8766" s="4"/>
      <c r="CC8766" s="4"/>
      <c r="CD8766" s="4"/>
      <c r="CF8766" s="4"/>
    </row>
    <row r="8767" spans="66:84">
      <c r="BN8767" s="4"/>
      <c r="BO8767" s="4"/>
      <c r="BQ8767" s="4"/>
      <c r="CC8767" s="4"/>
      <c r="CD8767" s="4"/>
      <c r="CF8767" s="4"/>
    </row>
    <row r="8768" spans="66:84">
      <c r="BN8768" s="4"/>
      <c r="BO8768" s="4"/>
      <c r="BQ8768" s="4"/>
      <c r="CC8768" s="4"/>
      <c r="CD8768" s="4"/>
      <c r="CF8768" s="4"/>
    </row>
    <row r="8769" spans="66:84">
      <c r="BN8769" s="4"/>
      <c r="BO8769" s="4"/>
      <c r="BQ8769" s="4"/>
      <c r="CC8769" s="4"/>
      <c r="CD8769" s="4"/>
      <c r="CF8769" s="4"/>
    </row>
    <row r="8770" spans="66:84">
      <c r="BN8770" s="4"/>
      <c r="BO8770" s="4"/>
      <c r="BQ8770" s="4"/>
      <c r="CC8770" s="4"/>
      <c r="CD8770" s="4"/>
      <c r="CF8770" s="4"/>
    </row>
    <row r="8771" spans="66:84">
      <c r="BN8771" s="4"/>
      <c r="BO8771" s="4"/>
      <c r="BQ8771" s="4"/>
      <c r="CC8771" s="4"/>
      <c r="CD8771" s="4"/>
      <c r="CF8771" s="4"/>
    </row>
    <row r="8772" spans="66:84">
      <c r="BN8772" s="4"/>
      <c r="BO8772" s="4"/>
      <c r="BQ8772" s="4"/>
      <c r="CC8772" s="4"/>
      <c r="CD8772" s="4"/>
      <c r="CF8772" s="4"/>
    </row>
    <row r="8773" spans="66:84">
      <c r="BN8773" s="4"/>
      <c r="BO8773" s="4"/>
      <c r="BQ8773" s="4"/>
      <c r="CC8773" s="4"/>
      <c r="CD8773" s="4"/>
      <c r="CF8773" s="4"/>
    </row>
    <row r="8774" spans="66:84">
      <c r="BN8774" s="4"/>
      <c r="BO8774" s="4"/>
      <c r="BQ8774" s="4"/>
      <c r="CC8774" s="4"/>
      <c r="CD8774" s="4"/>
      <c r="CF8774" s="4"/>
    </row>
    <row r="8775" spans="66:84">
      <c r="BN8775" s="4"/>
      <c r="BO8775" s="4"/>
      <c r="BQ8775" s="4"/>
      <c r="CC8775" s="4"/>
      <c r="CD8775" s="4"/>
      <c r="CF8775" s="4"/>
    </row>
    <row r="8776" spans="66:84">
      <c r="BN8776" s="4"/>
      <c r="BO8776" s="4"/>
      <c r="BQ8776" s="4"/>
      <c r="CC8776" s="4"/>
      <c r="CD8776" s="4"/>
      <c r="CF8776" s="4"/>
    </row>
    <row r="8777" spans="66:84">
      <c r="BN8777" s="4"/>
      <c r="BO8777" s="4"/>
      <c r="BQ8777" s="4"/>
      <c r="CC8777" s="4"/>
      <c r="CD8777" s="4"/>
      <c r="CF8777" s="4"/>
    </row>
    <row r="8778" spans="66:84">
      <c r="BN8778" s="4"/>
      <c r="BO8778" s="4"/>
      <c r="BQ8778" s="4"/>
      <c r="CC8778" s="4"/>
      <c r="CD8778" s="4"/>
      <c r="CF8778" s="4"/>
    </row>
    <row r="8779" spans="66:84">
      <c r="BN8779" s="4"/>
      <c r="BO8779" s="4"/>
      <c r="BQ8779" s="4"/>
      <c r="CC8779" s="4"/>
      <c r="CD8779" s="4"/>
      <c r="CF8779" s="4"/>
    </row>
    <row r="8780" spans="66:84">
      <c r="BN8780" s="4"/>
      <c r="BO8780" s="4"/>
      <c r="BQ8780" s="4"/>
      <c r="CC8780" s="4"/>
      <c r="CD8780" s="4"/>
      <c r="CF8780" s="4"/>
    </row>
    <row r="8781" spans="66:84">
      <c r="BN8781" s="4"/>
      <c r="BO8781" s="4"/>
      <c r="BQ8781" s="4"/>
      <c r="CC8781" s="4"/>
      <c r="CD8781" s="4"/>
      <c r="CF8781" s="4"/>
    </row>
    <row r="8782" spans="66:84">
      <c r="BN8782" s="4"/>
      <c r="BO8782" s="4"/>
      <c r="BQ8782" s="4"/>
      <c r="CC8782" s="4"/>
      <c r="CD8782" s="4"/>
      <c r="CF8782" s="4"/>
    </row>
    <row r="8783" spans="66:84">
      <c r="BN8783" s="4"/>
      <c r="BO8783" s="4"/>
      <c r="BQ8783" s="4"/>
      <c r="CC8783" s="4"/>
      <c r="CD8783" s="4"/>
      <c r="CF8783" s="4"/>
    </row>
    <row r="8784" spans="66:84">
      <c r="BN8784" s="4"/>
      <c r="BO8784" s="4"/>
      <c r="BQ8784" s="4"/>
      <c r="CC8784" s="4"/>
      <c r="CD8784" s="4"/>
      <c r="CF8784" s="4"/>
    </row>
    <row r="8785" spans="66:84">
      <c r="BN8785" s="4"/>
      <c r="BO8785" s="4"/>
      <c r="BQ8785" s="4"/>
      <c r="CC8785" s="4"/>
      <c r="CD8785" s="4"/>
      <c r="CF8785" s="4"/>
    </row>
    <row r="8786" spans="66:84">
      <c r="BN8786" s="4"/>
      <c r="BO8786" s="4"/>
      <c r="BQ8786" s="4"/>
      <c r="CC8786" s="4"/>
      <c r="CD8786" s="4"/>
      <c r="CF8786" s="4"/>
    </row>
    <row r="8787" spans="66:84">
      <c r="BN8787" s="4"/>
      <c r="BO8787" s="4"/>
      <c r="BQ8787" s="4"/>
      <c r="CC8787" s="4"/>
      <c r="CD8787" s="4"/>
      <c r="CF8787" s="4"/>
    </row>
    <row r="8788" spans="66:84">
      <c r="BN8788" s="4"/>
      <c r="BO8788" s="4"/>
      <c r="BQ8788" s="4"/>
      <c r="CC8788" s="4"/>
      <c r="CD8788" s="4"/>
      <c r="CF8788" s="4"/>
    </row>
    <row r="8789" spans="66:84">
      <c r="BN8789" s="4"/>
      <c r="BO8789" s="4"/>
      <c r="BQ8789" s="4"/>
      <c r="CC8789" s="4"/>
      <c r="CD8789" s="4"/>
      <c r="CF8789" s="4"/>
    </row>
    <row r="8790" spans="66:84">
      <c r="BN8790" s="4"/>
      <c r="BO8790" s="4"/>
      <c r="BQ8790" s="4"/>
      <c r="CC8790" s="4"/>
      <c r="CD8790" s="4"/>
      <c r="CF8790" s="4"/>
    </row>
    <row r="8791" spans="66:84">
      <c r="BN8791" s="4"/>
      <c r="BO8791" s="4"/>
      <c r="BQ8791" s="4"/>
      <c r="CC8791" s="4"/>
      <c r="CD8791" s="4"/>
      <c r="CF8791" s="4"/>
    </row>
    <row r="8792" spans="66:84">
      <c r="BN8792" s="4"/>
      <c r="BO8792" s="4"/>
      <c r="BQ8792" s="4"/>
      <c r="CC8792" s="4"/>
      <c r="CD8792" s="4"/>
      <c r="CF8792" s="4"/>
    </row>
    <row r="8793" spans="66:84">
      <c r="BN8793" s="4"/>
      <c r="BO8793" s="4"/>
      <c r="BQ8793" s="4"/>
      <c r="CC8793" s="4"/>
      <c r="CD8793" s="4"/>
      <c r="CF8793" s="4"/>
    </row>
    <row r="8794" spans="66:84">
      <c r="BN8794" s="4"/>
      <c r="BO8794" s="4"/>
      <c r="BQ8794" s="4"/>
      <c r="CC8794" s="4"/>
      <c r="CD8794" s="4"/>
      <c r="CF8794" s="4"/>
    </row>
    <row r="8795" spans="66:84">
      <c r="BN8795" s="4"/>
      <c r="BO8795" s="4"/>
      <c r="BQ8795" s="4"/>
      <c r="CC8795" s="4"/>
      <c r="CD8795" s="4"/>
      <c r="CF8795" s="4"/>
    </row>
    <row r="8796" spans="66:84">
      <c r="BN8796" s="4"/>
      <c r="BO8796" s="4"/>
      <c r="BQ8796" s="4"/>
      <c r="CC8796" s="4"/>
      <c r="CD8796" s="4"/>
      <c r="CF8796" s="4"/>
    </row>
    <row r="8797" spans="66:84">
      <c r="BN8797" s="4"/>
      <c r="BO8797" s="4"/>
      <c r="BQ8797" s="4"/>
      <c r="CC8797" s="4"/>
      <c r="CD8797" s="4"/>
      <c r="CF8797" s="4"/>
    </row>
    <row r="8798" spans="66:84">
      <c r="BN8798" s="4"/>
      <c r="BO8798" s="4"/>
      <c r="BQ8798" s="4"/>
      <c r="CC8798" s="4"/>
      <c r="CD8798" s="4"/>
      <c r="CF8798" s="4"/>
    </row>
    <row r="8799" spans="66:84">
      <c r="BN8799" s="4"/>
      <c r="BO8799" s="4"/>
      <c r="BQ8799" s="4"/>
      <c r="CC8799" s="4"/>
      <c r="CD8799" s="4"/>
      <c r="CF8799" s="4"/>
    </row>
    <row r="8800" spans="66:84">
      <c r="BN8800" s="4"/>
      <c r="BO8800" s="4"/>
      <c r="BQ8800" s="4"/>
      <c r="CC8800" s="4"/>
      <c r="CD8800" s="4"/>
      <c r="CF8800" s="4"/>
    </row>
    <row r="8801" spans="66:84">
      <c r="BN8801" s="4"/>
      <c r="BO8801" s="4"/>
      <c r="BQ8801" s="4"/>
      <c r="CC8801" s="4"/>
      <c r="CD8801" s="4"/>
      <c r="CF8801" s="4"/>
    </row>
    <row r="8802" spans="66:84">
      <c r="BN8802" s="4"/>
      <c r="BO8802" s="4"/>
      <c r="BQ8802" s="4"/>
      <c r="CC8802" s="4"/>
      <c r="CD8802" s="4"/>
      <c r="CF8802" s="4"/>
    </row>
    <row r="8803" spans="66:84">
      <c r="BN8803" s="4"/>
      <c r="BO8803" s="4"/>
      <c r="BQ8803" s="4"/>
      <c r="CC8803" s="4"/>
      <c r="CD8803" s="4"/>
      <c r="CF8803" s="4"/>
    </row>
    <row r="8804" spans="66:84">
      <c r="BN8804" s="4"/>
      <c r="BO8804" s="4"/>
      <c r="BQ8804" s="4"/>
      <c r="CC8804" s="4"/>
      <c r="CD8804" s="4"/>
      <c r="CF8804" s="4"/>
    </row>
    <row r="8805" spans="66:84">
      <c r="BN8805" s="4"/>
      <c r="BO8805" s="4"/>
      <c r="BQ8805" s="4"/>
      <c r="CC8805" s="4"/>
      <c r="CD8805" s="4"/>
      <c r="CF8805" s="4"/>
    </row>
    <row r="8806" spans="66:84">
      <c r="BN8806" s="4"/>
      <c r="BO8806" s="4"/>
      <c r="BQ8806" s="4"/>
      <c r="CC8806" s="4"/>
      <c r="CD8806" s="4"/>
      <c r="CF8806" s="4"/>
    </row>
    <row r="8807" spans="66:84">
      <c r="BN8807" s="4"/>
      <c r="BO8807" s="4"/>
      <c r="BQ8807" s="4"/>
      <c r="CC8807" s="4"/>
      <c r="CD8807" s="4"/>
      <c r="CF8807" s="4"/>
    </row>
    <row r="8808" spans="66:84">
      <c r="BN8808" s="4"/>
      <c r="BO8808" s="4"/>
      <c r="BQ8808" s="4"/>
      <c r="CC8808" s="4"/>
      <c r="CD8808" s="4"/>
      <c r="CF8808" s="4"/>
    </row>
    <row r="8809" spans="66:84">
      <c r="BN8809" s="4"/>
      <c r="BO8809" s="4"/>
      <c r="BQ8809" s="4"/>
      <c r="CC8809" s="4"/>
      <c r="CD8809" s="4"/>
      <c r="CF8809" s="4"/>
    </row>
    <row r="8810" spans="66:84">
      <c r="BN8810" s="4"/>
      <c r="BO8810" s="4"/>
      <c r="BQ8810" s="4"/>
      <c r="CC8810" s="4"/>
      <c r="CD8810" s="4"/>
      <c r="CF8810" s="4"/>
    </row>
    <row r="8811" spans="66:84">
      <c r="BN8811" s="4"/>
      <c r="BO8811" s="4"/>
      <c r="BQ8811" s="4"/>
      <c r="CC8811" s="4"/>
      <c r="CD8811" s="4"/>
      <c r="CF8811" s="4"/>
    </row>
    <row r="8812" spans="66:84">
      <c r="BN8812" s="4"/>
      <c r="BO8812" s="4"/>
      <c r="BQ8812" s="4"/>
      <c r="CC8812" s="4"/>
      <c r="CD8812" s="4"/>
      <c r="CF8812" s="4"/>
    </row>
    <row r="8813" spans="66:84">
      <c r="BN8813" s="4"/>
      <c r="BO8813" s="4"/>
      <c r="BQ8813" s="4"/>
      <c r="CC8813" s="4"/>
      <c r="CD8813" s="4"/>
      <c r="CF8813" s="4"/>
    </row>
    <row r="8814" spans="66:84">
      <c r="BN8814" s="4"/>
      <c r="BO8814" s="4"/>
      <c r="BQ8814" s="4"/>
      <c r="CC8814" s="4"/>
      <c r="CD8814" s="4"/>
      <c r="CF8814" s="4"/>
    </row>
    <row r="8815" spans="66:84">
      <c r="BN8815" s="4"/>
      <c r="BO8815" s="4"/>
      <c r="BQ8815" s="4"/>
      <c r="CC8815" s="4"/>
      <c r="CD8815" s="4"/>
      <c r="CF8815" s="4"/>
    </row>
    <row r="8816" spans="66:84">
      <c r="BN8816" s="4"/>
      <c r="BO8816" s="4"/>
      <c r="BQ8816" s="4"/>
      <c r="CC8816" s="4"/>
      <c r="CD8816" s="4"/>
      <c r="CF8816" s="4"/>
    </row>
    <row r="8817" spans="66:84">
      <c r="BN8817" s="4"/>
      <c r="BO8817" s="4"/>
      <c r="BQ8817" s="4"/>
      <c r="CC8817" s="4"/>
      <c r="CD8817" s="4"/>
      <c r="CF8817" s="4"/>
    </row>
    <row r="8818" spans="66:84">
      <c r="BN8818" s="4"/>
      <c r="BO8818" s="4"/>
      <c r="BQ8818" s="4"/>
      <c r="CC8818" s="4"/>
      <c r="CD8818" s="4"/>
      <c r="CF8818" s="4"/>
    </row>
    <row r="8819" spans="66:84">
      <c r="BN8819" s="4"/>
      <c r="BO8819" s="4"/>
      <c r="BQ8819" s="4"/>
      <c r="CC8819" s="4"/>
      <c r="CD8819" s="4"/>
      <c r="CF8819" s="4"/>
    </row>
    <row r="8820" spans="66:84">
      <c r="BN8820" s="4"/>
      <c r="BO8820" s="4"/>
      <c r="BQ8820" s="4"/>
      <c r="CC8820" s="4"/>
      <c r="CD8820" s="4"/>
      <c r="CF8820" s="4"/>
    </row>
    <row r="8821" spans="66:84">
      <c r="BN8821" s="4"/>
      <c r="BO8821" s="4"/>
      <c r="BQ8821" s="4"/>
      <c r="CC8821" s="4"/>
      <c r="CD8821" s="4"/>
      <c r="CF8821" s="4"/>
    </row>
    <row r="8822" spans="66:84">
      <c r="BN8822" s="4"/>
      <c r="BO8822" s="4"/>
      <c r="BQ8822" s="4"/>
      <c r="CC8822" s="4"/>
      <c r="CD8822" s="4"/>
      <c r="CF8822" s="4"/>
    </row>
    <row r="8823" spans="66:84">
      <c r="BN8823" s="4"/>
      <c r="BO8823" s="4"/>
      <c r="BQ8823" s="4"/>
      <c r="CC8823" s="4"/>
      <c r="CD8823" s="4"/>
      <c r="CF8823" s="4"/>
    </row>
    <row r="8824" spans="66:84">
      <c r="BN8824" s="4"/>
      <c r="BO8824" s="4"/>
      <c r="BQ8824" s="4"/>
      <c r="CC8824" s="4"/>
      <c r="CD8824" s="4"/>
      <c r="CF8824" s="4"/>
    </row>
    <row r="8825" spans="66:84">
      <c r="BN8825" s="4"/>
      <c r="BO8825" s="4"/>
      <c r="BQ8825" s="4"/>
      <c r="CC8825" s="4"/>
      <c r="CD8825" s="4"/>
      <c r="CF8825" s="4"/>
    </row>
    <row r="8826" spans="66:84">
      <c r="BN8826" s="4"/>
      <c r="BO8826" s="4"/>
      <c r="BQ8826" s="4"/>
      <c r="CC8826" s="4"/>
      <c r="CD8826" s="4"/>
      <c r="CF8826" s="4"/>
    </row>
    <row r="8827" spans="66:84">
      <c r="BN8827" s="4"/>
      <c r="BO8827" s="4"/>
      <c r="BQ8827" s="4"/>
      <c r="CC8827" s="4"/>
      <c r="CD8827" s="4"/>
      <c r="CF8827" s="4"/>
    </row>
    <row r="8828" spans="66:84">
      <c r="BN8828" s="4"/>
      <c r="BO8828" s="4"/>
      <c r="BQ8828" s="4"/>
      <c r="CC8828" s="4"/>
      <c r="CD8828" s="4"/>
      <c r="CF8828" s="4"/>
    </row>
    <row r="8829" spans="66:84">
      <c r="BN8829" s="4"/>
      <c r="BO8829" s="4"/>
      <c r="BQ8829" s="4"/>
      <c r="CC8829" s="4"/>
      <c r="CD8829" s="4"/>
      <c r="CF8829" s="4"/>
    </row>
    <row r="8830" spans="66:84">
      <c r="BN8830" s="4"/>
      <c r="BO8830" s="4"/>
      <c r="BQ8830" s="4"/>
      <c r="CC8830" s="4"/>
      <c r="CD8830" s="4"/>
      <c r="CF8830" s="4"/>
    </row>
    <row r="8831" spans="66:84">
      <c r="BN8831" s="4"/>
      <c r="BO8831" s="4"/>
      <c r="BQ8831" s="4"/>
      <c r="CC8831" s="4"/>
      <c r="CD8831" s="4"/>
      <c r="CF8831" s="4"/>
    </row>
    <row r="8832" spans="66:84">
      <c r="BN8832" s="4"/>
      <c r="BO8832" s="4"/>
      <c r="BQ8832" s="4"/>
      <c r="CC8832" s="4"/>
      <c r="CD8832" s="4"/>
      <c r="CF8832" s="4"/>
    </row>
    <row r="8833" spans="66:84">
      <c r="BN8833" s="4"/>
      <c r="BO8833" s="4"/>
      <c r="BQ8833" s="4"/>
      <c r="CC8833" s="4"/>
      <c r="CD8833" s="4"/>
      <c r="CF8833" s="4"/>
    </row>
    <row r="8834" spans="66:84">
      <c r="BN8834" s="4"/>
      <c r="BO8834" s="4"/>
      <c r="BQ8834" s="4"/>
      <c r="CC8834" s="4"/>
      <c r="CD8834" s="4"/>
      <c r="CF8834" s="4"/>
    </row>
    <row r="8835" spans="66:84">
      <c r="BN8835" s="4"/>
      <c r="BO8835" s="4"/>
      <c r="BQ8835" s="4"/>
      <c r="CC8835" s="4"/>
      <c r="CD8835" s="4"/>
      <c r="CF8835" s="4"/>
    </row>
    <row r="8836" spans="66:84">
      <c r="BN8836" s="4"/>
      <c r="BO8836" s="4"/>
      <c r="BQ8836" s="4"/>
      <c r="CC8836" s="4"/>
      <c r="CD8836" s="4"/>
      <c r="CF8836" s="4"/>
    </row>
    <row r="8837" spans="66:84">
      <c r="BN8837" s="4"/>
      <c r="BO8837" s="4"/>
      <c r="BQ8837" s="4"/>
      <c r="CC8837" s="4"/>
      <c r="CD8837" s="4"/>
      <c r="CF8837" s="4"/>
    </row>
    <row r="8838" spans="66:84">
      <c r="BN8838" s="4"/>
      <c r="BO8838" s="4"/>
      <c r="BQ8838" s="4"/>
      <c r="CC8838" s="4"/>
      <c r="CD8838" s="4"/>
      <c r="CF8838" s="4"/>
    </row>
    <row r="8839" spans="66:84">
      <c r="BN8839" s="4"/>
      <c r="BO8839" s="4"/>
      <c r="BQ8839" s="4"/>
      <c r="CC8839" s="4"/>
      <c r="CD8839" s="4"/>
      <c r="CF8839" s="4"/>
    </row>
    <row r="8840" spans="66:84">
      <c r="BN8840" s="4"/>
      <c r="BO8840" s="4"/>
      <c r="BQ8840" s="4"/>
      <c r="CC8840" s="4"/>
      <c r="CD8840" s="4"/>
      <c r="CF8840" s="4"/>
    </row>
    <row r="8841" spans="66:84">
      <c r="BN8841" s="4"/>
      <c r="BO8841" s="4"/>
      <c r="BQ8841" s="4"/>
      <c r="CC8841" s="4"/>
      <c r="CD8841" s="4"/>
      <c r="CF8841" s="4"/>
    </row>
    <row r="8842" spans="66:84">
      <c r="BN8842" s="4"/>
      <c r="BO8842" s="4"/>
      <c r="BQ8842" s="4"/>
      <c r="CC8842" s="4"/>
      <c r="CD8842" s="4"/>
      <c r="CF8842" s="4"/>
    </row>
    <row r="8843" spans="66:84">
      <c r="BN8843" s="4"/>
      <c r="BO8843" s="4"/>
      <c r="BQ8843" s="4"/>
      <c r="CC8843" s="4"/>
      <c r="CD8843" s="4"/>
      <c r="CF8843" s="4"/>
    </row>
    <row r="8844" spans="66:84">
      <c r="BN8844" s="4"/>
      <c r="BO8844" s="4"/>
      <c r="BQ8844" s="4"/>
      <c r="CC8844" s="4"/>
      <c r="CD8844" s="4"/>
      <c r="CF8844" s="4"/>
    </row>
    <row r="8845" spans="66:84">
      <c r="BN8845" s="4"/>
      <c r="BO8845" s="4"/>
      <c r="BQ8845" s="4"/>
      <c r="CC8845" s="4"/>
      <c r="CD8845" s="4"/>
      <c r="CF8845" s="4"/>
    </row>
    <row r="8846" spans="66:84">
      <c r="BN8846" s="4"/>
      <c r="BO8846" s="4"/>
      <c r="BQ8846" s="4"/>
      <c r="CC8846" s="4"/>
      <c r="CD8846" s="4"/>
      <c r="CF8846" s="4"/>
    </row>
    <row r="8847" spans="66:84">
      <c r="BN8847" s="4"/>
      <c r="BO8847" s="4"/>
      <c r="BQ8847" s="4"/>
      <c r="CC8847" s="4"/>
      <c r="CD8847" s="4"/>
      <c r="CF8847" s="4"/>
    </row>
    <row r="8848" spans="66:84">
      <c r="BN8848" s="4"/>
      <c r="BO8848" s="4"/>
      <c r="BQ8848" s="4"/>
      <c r="CC8848" s="4"/>
      <c r="CD8848" s="4"/>
      <c r="CF8848" s="4"/>
    </row>
    <row r="8849" spans="66:84">
      <c r="BN8849" s="4"/>
      <c r="BO8849" s="4"/>
      <c r="BQ8849" s="4"/>
      <c r="CC8849" s="4"/>
      <c r="CD8849" s="4"/>
      <c r="CF8849" s="4"/>
    </row>
    <row r="8850" spans="66:84">
      <c r="BN8850" s="4"/>
      <c r="BO8850" s="4"/>
      <c r="BQ8850" s="4"/>
      <c r="CC8850" s="4"/>
      <c r="CD8850" s="4"/>
      <c r="CF8850" s="4"/>
    </row>
    <row r="8851" spans="66:84">
      <c r="BN8851" s="4"/>
      <c r="BO8851" s="4"/>
      <c r="BQ8851" s="4"/>
      <c r="CC8851" s="4"/>
      <c r="CD8851" s="4"/>
      <c r="CF8851" s="4"/>
    </row>
    <row r="8852" spans="66:84">
      <c r="BN8852" s="4"/>
      <c r="BO8852" s="4"/>
      <c r="BQ8852" s="4"/>
      <c r="CC8852" s="4"/>
      <c r="CD8852" s="4"/>
      <c r="CF8852" s="4"/>
    </row>
    <row r="8853" spans="66:84">
      <c r="BN8853" s="4"/>
      <c r="BO8853" s="4"/>
      <c r="BQ8853" s="4"/>
      <c r="CC8853" s="4"/>
      <c r="CD8853" s="4"/>
      <c r="CF8853" s="4"/>
    </row>
    <row r="8854" spans="66:84">
      <c r="BN8854" s="4"/>
      <c r="BO8854" s="4"/>
      <c r="BQ8854" s="4"/>
      <c r="CC8854" s="4"/>
      <c r="CD8854" s="4"/>
      <c r="CF8854" s="4"/>
    </row>
    <row r="8855" spans="66:84">
      <c r="BN8855" s="4"/>
      <c r="BO8855" s="4"/>
      <c r="BQ8855" s="4"/>
      <c r="CC8855" s="4"/>
      <c r="CD8855" s="4"/>
      <c r="CF8855" s="4"/>
    </row>
    <row r="8856" spans="66:84">
      <c r="BN8856" s="4"/>
      <c r="BO8856" s="4"/>
      <c r="BQ8856" s="4"/>
      <c r="CC8856" s="4"/>
      <c r="CD8856" s="4"/>
      <c r="CF8856" s="4"/>
    </row>
    <row r="8857" spans="66:84">
      <c r="BN8857" s="4"/>
      <c r="BO8857" s="4"/>
      <c r="BQ8857" s="4"/>
      <c r="CC8857" s="4"/>
      <c r="CD8857" s="4"/>
      <c r="CF8857" s="4"/>
    </row>
    <row r="8858" spans="66:84">
      <c r="BN8858" s="4"/>
      <c r="BO8858" s="4"/>
      <c r="BQ8858" s="4"/>
      <c r="CC8858" s="4"/>
      <c r="CD8858" s="4"/>
      <c r="CF8858" s="4"/>
    </row>
    <row r="8859" spans="66:84">
      <c r="BN8859" s="4"/>
      <c r="BO8859" s="4"/>
      <c r="BQ8859" s="4"/>
      <c r="CC8859" s="4"/>
      <c r="CD8859" s="4"/>
      <c r="CF8859" s="4"/>
    </row>
    <row r="8860" spans="66:84">
      <c r="BN8860" s="4"/>
      <c r="BO8860" s="4"/>
      <c r="BQ8860" s="4"/>
      <c r="CC8860" s="4"/>
      <c r="CD8860" s="4"/>
      <c r="CF8860" s="4"/>
    </row>
    <row r="8861" spans="66:84">
      <c r="BN8861" s="4"/>
      <c r="BO8861" s="4"/>
      <c r="BQ8861" s="4"/>
      <c r="CC8861" s="4"/>
      <c r="CD8861" s="4"/>
      <c r="CF8861" s="4"/>
    </row>
    <row r="8862" spans="66:84">
      <c r="BN8862" s="4"/>
      <c r="BO8862" s="4"/>
      <c r="BQ8862" s="4"/>
      <c r="CC8862" s="4"/>
      <c r="CD8862" s="4"/>
      <c r="CF8862" s="4"/>
    </row>
    <row r="8863" spans="66:84">
      <c r="BN8863" s="4"/>
      <c r="BO8863" s="4"/>
      <c r="BQ8863" s="4"/>
      <c r="CC8863" s="4"/>
      <c r="CD8863" s="4"/>
      <c r="CF8863" s="4"/>
    </row>
    <row r="8864" spans="66:84">
      <c r="BN8864" s="4"/>
      <c r="BO8864" s="4"/>
      <c r="BQ8864" s="4"/>
      <c r="CC8864" s="4"/>
      <c r="CD8864" s="4"/>
      <c r="CF8864" s="4"/>
    </row>
    <row r="8865" spans="66:84">
      <c r="BN8865" s="4"/>
      <c r="BO8865" s="4"/>
      <c r="BQ8865" s="4"/>
      <c r="CC8865" s="4"/>
      <c r="CD8865" s="4"/>
      <c r="CF8865" s="4"/>
    </row>
    <row r="8866" spans="66:84">
      <c r="BN8866" s="4"/>
      <c r="BO8866" s="4"/>
      <c r="BQ8866" s="4"/>
      <c r="CC8866" s="4"/>
      <c r="CD8866" s="4"/>
      <c r="CF8866" s="4"/>
    </row>
    <row r="8867" spans="66:84">
      <c r="BN8867" s="4"/>
      <c r="BO8867" s="4"/>
      <c r="BQ8867" s="4"/>
      <c r="CC8867" s="4"/>
      <c r="CD8867" s="4"/>
      <c r="CF8867" s="4"/>
    </row>
    <row r="8868" spans="66:84">
      <c r="BN8868" s="4"/>
      <c r="BO8868" s="4"/>
      <c r="BQ8868" s="4"/>
      <c r="CC8868" s="4"/>
      <c r="CD8868" s="4"/>
      <c r="CF8868" s="4"/>
    </row>
    <row r="8869" spans="66:84">
      <c r="BN8869" s="4"/>
      <c r="BO8869" s="4"/>
      <c r="BQ8869" s="4"/>
      <c r="CC8869" s="4"/>
      <c r="CD8869" s="4"/>
      <c r="CF8869" s="4"/>
    </row>
    <row r="8870" spans="66:84">
      <c r="BN8870" s="4"/>
      <c r="BO8870" s="4"/>
      <c r="BQ8870" s="4"/>
      <c r="CC8870" s="4"/>
      <c r="CD8870" s="4"/>
      <c r="CF8870" s="4"/>
    </row>
    <row r="8871" spans="66:84">
      <c r="BN8871" s="4"/>
      <c r="BO8871" s="4"/>
      <c r="BQ8871" s="4"/>
      <c r="CC8871" s="4"/>
      <c r="CD8871" s="4"/>
      <c r="CF8871" s="4"/>
    </row>
    <row r="8872" spans="66:84">
      <c r="BN8872" s="4"/>
      <c r="BO8872" s="4"/>
      <c r="BQ8872" s="4"/>
      <c r="CC8872" s="4"/>
      <c r="CD8872" s="4"/>
      <c r="CF8872" s="4"/>
    </row>
    <row r="8873" spans="66:84">
      <c r="BN8873" s="4"/>
      <c r="BO8873" s="4"/>
      <c r="BQ8873" s="4"/>
      <c r="CC8873" s="4"/>
      <c r="CD8873" s="4"/>
      <c r="CF8873" s="4"/>
    </row>
    <row r="8874" spans="66:84">
      <c r="BN8874" s="4"/>
      <c r="BO8874" s="4"/>
      <c r="BQ8874" s="4"/>
      <c r="CC8874" s="4"/>
      <c r="CD8874" s="4"/>
      <c r="CF8874" s="4"/>
    </row>
    <row r="8875" spans="66:84">
      <c r="BN8875" s="4"/>
      <c r="BO8875" s="4"/>
      <c r="BQ8875" s="4"/>
      <c r="CC8875" s="4"/>
      <c r="CD8875" s="4"/>
      <c r="CF8875" s="4"/>
    </row>
    <row r="8876" spans="66:84">
      <c r="BN8876" s="4"/>
      <c r="BO8876" s="4"/>
      <c r="BQ8876" s="4"/>
      <c r="CC8876" s="4"/>
      <c r="CD8876" s="4"/>
      <c r="CF8876" s="4"/>
    </row>
    <row r="8877" spans="66:84">
      <c r="BN8877" s="4"/>
      <c r="BO8877" s="4"/>
      <c r="BQ8877" s="4"/>
      <c r="CC8877" s="4"/>
      <c r="CD8877" s="4"/>
      <c r="CF8877" s="4"/>
    </row>
    <row r="8878" spans="66:84">
      <c r="BN8878" s="4"/>
      <c r="BO8878" s="4"/>
      <c r="BQ8878" s="4"/>
      <c r="CC8878" s="4"/>
      <c r="CD8878" s="4"/>
      <c r="CF8878" s="4"/>
    </row>
    <row r="8879" spans="66:84">
      <c r="BN8879" s="4"/>
      <c r="BO8879" s="4"/>
      <c r="BQ8879" s="4"/>
      <c r="CC8879" s="4"/>
      <c r="CD8879" s="4"/>
      <c r="CF8879" s="4"/>
    </row>
    <row r="8880" spans="66:84">
      <c r="BN8880" s="4"/>
      <c r="BO8880" s="4"/>
      <c r="BQ8880" s="4"/>
      <c r="CC8880" s="4"/>
      <c r="CD8880" s="4"/>
      <c r="CF8880" s="4"/>
    </row>
    <row r="8881" spans="66:84">
      <c r="BN8881" s="4"/>
      <c r="BO8881" s="4"/>
      <c r="BQ8881" s="4"/>
      <c r="CC8881" s="4"/>
      <c r="CD8881" s="4"/>
      <c r="CF8881" s="4"/>
    </row>
    <row r="8882" spans="66:84">
      <c r="BN8882" s="4"/>
      <c r="BO8882" s="4"/>
      <c r="BQ8882" s="4"/>
      <c r="CC8882" s="4"/>
      <c r="CD8882" s="4"/>
      <c r="CF8882" s="4"/>
    </row>
    <row r="8883" spans="66:84">
      <c r="BN8883" s="4"/>
      <c r="BO8883" s="4"/>
      <c r="BQ8883" s="4"/>
      <c r="CC8883" s="4"/>
      <c r="CD8883" s="4"/>
      <c r="CF8883" s="4"/>
    </row>
    <row r="8884" spans="66:84">
      <c r="BN8884" s="4"/>
      <c r="BO8884" s="4"/>
      <c r="BQ8884" s="4"/>
      <c r="CC8884" s="4"/>
      <c r="CD8884" s="4"/>
      <c r="CF8884" s="4"/>
    </row>
    <row r="8885" spans="66:84">
      <c r="BN8885" s="4"/>
      <c r="BO8885" s="4"/>
      <c r="BQ8885" s="4"/>
      <c r="CC8885" s="4"/>
      <c r="CD8885" s="4"/>
      <c r="CF8885" s="4"/>
    </row>
    <row r="8886" spans="66:84">
      <c r="BN8886" s="4"/>
      <c r="BO8886" s="4"/>
      <c r="BQ8886" s="4"/>
      <c r="CC8886" s="4"/>
      <c r="CD8886" s="4"/>
      <c r="CF8886" s="4"/>
    </row>
    <row r="8887" spans="66:84">
      <c r="BN8887" s="4"/>
      <c r="BO8887" s="4"/>
      <c r="BQ8887" s="4"/>
      <c r="CC8887" s="4"/>
      <c r="CD8887" s="4"/>
      <c r="CF8887" s="4"/>
    </row>
    <row r="8888" spans="66:84">
      <c r="BN8888" s="4"/>
      <c r="BO8888" s="4"/>
      <c r="BQ8888" s="4"/>
      <c r="CC8888" s="4"/>
      <c r="CD8888" s="4"/>
      <c r="CF8888" s="4"/>
    </row>
    <row r="8889" spans="66:84">
      <c r="BN8889" s="4"/>
      <c r="BO8889" s="4"/>
      <c r="BQ8889" s="4"/>
      <c r="CC8889" s="4"/>
      <c r="CD8889" s="4"/>
      <c r="CF8889" s="4"/>
    </row>
    <row r="8890" spans="66:84">
      <c r="BN8890" s="4"/>
      <c r="BO8890" s="4"/>
      <c r="BQ8890" s="4"/>
      <c r="CC8890" s="4"/>
      <c r="CD8890" s="4"/>
      <c r="CF8890" s="4"/>
    </row>
    <row r="8891" spans="66:84">
      <c r="BN8891" s="4"/>
      <c r="BO8891" s="4"/>
      <c r="BQ8891" s="4"/>
      <c r="CC8891" s="4"/>
      <c r="CD8891" s="4"/>
      <c r="CF8891" s="4"/>
    </row>
    <row r="8892" spans="66:84">
      <c r="BN8892" s="4"/>
      <c r="BO8892" s="4"/>
      <c r="BQ8892" s="4"/>
      <c r="CC8892" s="4"/>
      <c r="CD8892" s="4"/>
      <c r="CF8892" s="4"/>
    </row>
    <row r="8893" spans="66:84">
      <c r="BN8893" s="4"/>
      <c r="BO8893" s="4"/>
      <c r="BQ8893" s="4"/>
      <c r="CC8893" s="4"/>
      <c r="CD8893" s="4"/>
      <c r="CF8893" s="4"/>
    </row>
    <row r="8894" spans="66:84">
      <c r="BN8894" s="4"/>
      <c r="BO8894" s="4"/>
      <c r="BQ8894" s="4"/>
      <c r="CC8894" s="4"/>
      <c r="CD8894" s="4"/>
      <c r="CF8894" s="4"/>
    </row>
    <row r="8895" spans="66:84">
      <c r="BN8895" s="4"/>
      <c r="BO8895" s="4"/>
      <c r="BQ8895" s="4"/>
      <c r="CC8895" s="4"/>
      <c r="CD8895" s="4"/>
      <c r="CF8895" s="4"/>
    </row>
    <row r="8896" spans="66:84">
      <c r="BN8896" s="4"/>
      <c r="BO8896" s="4"/>
      <c r="BQ8896" s="4"/>
      <c r="CC8896" s="4"/>
      <c r="CD8896" s="4"/>
      <c r="CF8896" s="4"/>
    </row>
    <row r="8897" spans="66:84">
      <c r="BN8897" s="4"/>
      <c r="BO8897" s="4"/>
      <c r="BQ8897" s="4"/>
      <c r="CC8897" s="4"/>
      <c r="CD8897" s="4"/>
      <c r="CF8897" s="4"/>
    </row>
    <row r="8898" spans="66:84">
      <c r="BN8898" s="4"/>
      <c r="BO8898" s="4"/>
      <c r="BQ8898" s="4"/>
      <c r="CC8898" s="4"/>
      <c r="CD8898" s="4"/>
      <c r="CF8898" s="4"/>
    </row>
    <row r="8899" spans="66:84">
      <c r="BN8899" s="4"/>
      <c r="BO8899" s="4"/>
      <c r="BQ8899" s="4"/>
      <c r="CC8899" s="4"/>
      <c r="CD8899" s="4"/>
      <c r="CF8899" s="4"/>
    </row>
    <row r="8900" spans="66:84">
      <c r="BN8900" s="4"/>
      <c r="BO8900" s="4"/>
      <c r="BQ8900" s="4"/>
      <c r="CC8900" s="4"/>
      <c r="CD8900" s="4"/>
      <c r="CF8900" s="4"/>
    </row>
    <row r="8901" spans="66:84">
      <c r="BN8901" s="4"/>
      <c r="BO8901" s="4"/>
      <c r="BQ8901" s="4"/>
      <c r="CC8901" s="4"/>
      <c r="CD8901" s="4"/>
      <c r="CF8901" s="4"/>
    </row>
    <row r="8902" spans="66:84">
      <c r="BN8902" s="4"/>
      <c r="BO8902" s="4"/>
      <c r="BQ8902" s="4"/>
      <c r="CC8902" s="4"/>
      <c r="CD8902" s="4"/>
      <c r="CF8902" s="4"/>
    </row>
    <row r="8903" spans="66:84">
      <c r="BN8903" s="4"/>
      <c r="BO8903" s="4"/>
      <c r="BQ8903" s="4"/>
      <c r="CC8903" s="4"/>
      <c r="CD8903" s="4"/>
      <c r="CF8903" s="4"/>
    </row>
    <row r="8904" spans="66:84">
      <c r="BN8904" s="4"/>
      <c r="BO8904" s="4"/>
      <c r="BQ8904" s="4"/>
      <c r="CC8904" s="4"/>
      <c r="CD8904" s="4"/>
      <c r="CF8904" s="4"/>
    </row>
    <row r="8905" spans="66:84">
      <c r="BN8905" s="4"/>
      <c r="BO8905" s="4"/>
      <c r="BQ8905" s="4"/>
      <c r="CC8905" s="4"/>
      <c r="CD8905" s="4"/>
      <c r="CF8905" s="4"/>
    </row>
    <row r="8906" spans="66:84">
      <c r="BN8906" s="4"/>
      <c r="BO8906" s="4"/>
      <c r="BQ8906" s="4"/>
      <c r="CC8906" s="4"/>
      <c r="CD8906" s="4"/>
      <c r="CF8906" s="4"/>
    </row>
    <row r="8907" spans="66:84">
      <c r="BN8907" s="4"/>
      <c r="BO8907" s="4"/>
      <c r="BQ8907" s="4"/>
      <c r="CC8907" s="4"/>
      <c r="CD8907" s="4"/>
      <c r="CF8907" s="4"/>
    </row>
    <row r="8908" spans="66:84">
      <c r="BN8908" s="4"/>
      <c r="BO8908" s="4"/>
      <c r="BQ8908" s="4"/>
      <c r="CC8908" s="4"/>
      <c r="CD8908" s="4"/>
      <c r="CF8908" s="4"/>
    </row>
    <row r="8909" spans="66:84">
      <c r="BN8909" s="4"/>
      <c r="BO8909" s="4"/>
      <c r="BQ8909" s="4"/>
      <c r="CC8909" s="4"/>
      <c r="CD8909" s="4"/>
      <c r="CF8909" s="4"/>
    </row>
    <row r="8910" spans="66:84">
      <c r="BN8910" s="4"/>
      <c r="BO8910" s="4"/>
      <c r="BQ8910" s="4"/>
      <c r="CC8910" s="4"/>
      <c r="CD8910" s="4"/>
      <c r="CF8910" s="4"/>
    </row>
    <row r="8911" spans="66:84">
      <c r="BN8911" s="4"/>
      <c r="BO8911" s="4"/>
      <c r="BQ8911" s="4"/>
      <c r="CC8911" s="4"/>
      <c r="CD8911" s="4"/>
      <c r="CF8911" s="4"/>
    </row>
    <row r="8912" spans="66:84">
      <c r="BN8912" s="4"/>
      <c r="BO8912" s="4"/>
      <c r="BQ8912" s="4"/>
      <c r="CC8912" s="4"/>
      <c r="CD8912" s="4"/>
      <c r="CF8912" s="4"/>
    </row>
    <row r="8913" spans="66:84">
      <c r="BN8913" s="4"/>
      <c r="BO8913" s="4"/>
      <c r="BQ8913" s="4"/>
      <c r="CC8913" s="4"/>
      <c r="CD8913" s="4"/>
      <c r="CF8913" s="4"/>
    </row>
    <row r="8914" spans="66:84">
      <c r="BN8914" s="4"/>
      <c r="BO8914" s="4"/>
      <c r="BQ8914" s="4"/>
      <c r="CC8914" s="4"/>
      <c r="CD8914" s="4"/>
      <c r="CF8914" s="4"/>
    </row>
    <row r="8915" spans="66:84">
      <c r="BN8915" s="4"/>
      <c r="BO8915" s="4"/>
      <c r="BQ8915" s="4"/>
      <c r="CC8915" s="4"/>
      <c r="CD8915" s="4"/>
      <c r="CF8915" s="4"/>
    </row>
    <row r="8916" spans="66:84">
      <c r="BN8916" s="4"/>
      <c r="BO8916" s="4"/>
      <c r="BQ8916" s="4"/>
      <c r="CC8916" s="4"/>
      <c r="CD8916" s="4"/>
      <c r="CF8916" s="4"/>
    </row>
    <row r="8917" spans="66:84">
      <c r="BN8917" s="4"/>
      <c r="BO8917" s="4"/>
      <c r="BQ8917" s="4"/>
      <c r="CC8917" s="4"/>
      <c r="CD8917" s="4"/>
      <c r="CF8917" s="4"/>
    </row>
    <row r="8918" spans="66:84">
      <c r="BN8918" s="4"/>
      <c r="BO8918" s="4"/>
      <c r="BQ8918" s="4"/>
      <c r="CC8918" s="4"/>
      <c r="CD8918" s="4"/>
      <c r="CF8918" s="4"/>
    </row>
    <row r="8919" spans="66:84">
      <c r="BN8919" s="4"/>
      <c r="BO8919" s="4"/>
      <c r="BQ8919" s="4"/>
      <c r="CC8919" s="4"/>
      <c r="CD8919" s="4"/>
      <c r="CF8919" s="4"/>
    </row>
    <row r="8920" spans="66:84">
      <c r="BN8920" s="4"/>
      <c r="BO8920" s="4"/>
      <c r="BQ8920" s="4"/>
      <c r="CC8920" s="4"/>
      <c r="CD8920" s="4"/>
      <c r="CF8920" s="4"/>
    </row>
    <row r="8921" spans="66:84">
      <c r="BN8921" s="4"/>
      <c r="BO8921" s="4"/>
      <c r="BQ8921" s="4"/>
      <c r="CC8921" s="4"/>
      <c r="CD8921" s="4"/>
      <c r="CF8921" s="4"/>
    </row>
    <row r="8922" spans="66:84">
      <c r="BN8922" s="4"/>
      <c r="BO8922" s="4"/>
      <c r="BQ8922" s="4"/>
      <c r="CC8922" s="4"/>
      <c r="CD8922" s="4"/>
      <c r="CF8922" s="4"/>
    </row>
    <row r="8923" spans="66:84">
      <c r="BN8923" s="4"/>
      <c r="BO8923" s="4"/>
      <c r="BQ8923" s="4"/>
      <c r="CC8923" s="4"/>
      <c r="CD8923" s="4"/>
      <c r="CF8923" s="4"/>
    </row>
    <row r="8924" spans="66:84">
      <c r="BN8924" s="4"/>
      <c r="BO8924" s="4"/>
      <c r="BQ8924" s="4"/>
      <c r="CC8924" s="4"/>
      <c r="CD8924" s="4"/>
      <c r="CF8924" s="4"/>
    </row>
    <row r="8925" spans="66:84">
      <c r="BN8925" s="4"/>
      <c r="BO8925" s="4"/>
      <c r="BQ8925" s="4"/>
      <c r="CC8925" s="4"/>
      <c r="CD8925" s="4"/>
      <c r="CF8925" s="4"/>
    </row>
    <row r="8926" spans="66:84">
      <c r="BN8926" s="4"/>
      <c r="BO8926" s="4"/>
      <c r="BQ8926" s="4"/>
      <c r="CC8926" s="4"/>
      <c r="CD8926" s="4"/>
      <c r="CF8926" s="4"/>
    </row>
    <row r="8927" spans="66:84">
      <c r="BN8927" s="4"/>
      <c r="BO8927" s="4"/>
      <c r="BQ8927" s="4"/>
      <c r="CC8927" s="4"/>
      <c r="CD8927" s="4"/>
      <c r="CF8927" s="4"/>
    </row>
    <row r="8928" spans="66:84">
      <c r="BN8928" s="4"/>
      <c r="BO8928" s="4"/>
      <c r="BQ8928" s="4"/>
      <c r="CC8928" s="4"/>
      <c r="CD8928" s="4"/>
      <c r="CF8928" s="4"/>
    </row>
    <row r="8929" spans="66:84">
      <c r="BN8929" s="4"/>
      <c r="BO8929" s="4"/>
      <c r="BQ8929" s="4"/>
      <c r="CC8929" s="4"/>
      <c r="CD8929" s="4"/>
      <c r="CF8929" s="4"/>
    </row>
    <row r="8930" spans="66:84">
      <c r="BN8930" s="4"/>
      <c r="BO8930" s="4"/>
      <c r="BQ8930" s="4"/>
      <c r="CC8930" s="4"/>
      <c r="CD8930" s="4"/>
      <c r="CF8930" s="4"/>
    </row>
    <row r="8931" spans="66:84">
      <c r="BN8931" s="4"/>
      <c r="BO8931" s="4"/>
      <c r="BQ8931" s="4"/>
      <c r="CC8931" s="4"/>
      <c r="CD8931" s="4"/>
      <c r="CF8931" s="4"/>
    </row>
    <row r="8932" spans="66:84">
      <c r="BN8932" s="4"/>
      <c r="BO8932" s="4"/>
      <c r="BQ8932" s="4"/>
      <c r="CC8932" s="4"/>
      <c r="CD8932" s="4"/>
      <c r="CF8932" s="4"/>
    </row>
    <row r="8933" spans="66:84">
      <c r="BN8933" s="4"/>
      <c r="BO8933" s="4"/>
      <c r="BQ8933" s="4"/>
      <c r="CC8933" s="4"/>
      <c r="CD8933" s="4"/>
      <c r="CF8933" s="4"/>
    </row>
    <row r="8934" spans="66:84">
      <c r="BN8934" s="4"/>
      <c r="BO8934" s="4"/>
      <c r="BQ8934" s="4"/>
      <c r="CC8934" s="4"/>
      <c r="CD8934" s="4"/>
      <c r="CF8934" s="4"/>
    </row>
    <row r="8935" spans="66:84">
      <c r="BN8935" s="4"/>
      <c r="BO8935" s="4"/>
      <c r="BQ8935" s="4"/>
      <c r="CC8935" s="4"/>
      <c r="CD8935" s="4"/>
      <c r="CF8935" s="4"/>
    </row>
    <row r="8936" spans="66:84">
      <c r="BN8936" s="4"/>
      <c r="BO8936" s="4"/>
      <c r="BQ8936" s="4"/>
      <c r="CC8936" s="4"/>
      <c r="CD8936" s="4"/>
      <c r="CF8936" s="4"/>
    </row>
    <row r="8937" spans="66:84">
      <c r="BN8937" s="4"/>
      <c r="BO8937" s="4"/>
      <c r="BQ8937" s="4"/>
      <c r="CC8937" s="4"/>
      <c r="CD8937" s="4"/>
      <c r="CF8937" s="4"/>
    </row>
    <row r="8938" spans="66:84">
      <c r="BN8938" s="4"/>
      <c r="BO8938" s="4"/>
      <c r="BQ8938" s="4"/>
      <c r="CC8938" s="4"/>
      <c r="CD8938" s="4"/>
      <c r="CF8938" s="4"/>
    </row>
    <row r="8939" spans="66:84">
      <c r="BN8939" s="4"/>
      <c r="BO8939" s="4"/>
      <c r="BQ8939" s="4"/>
      <c r="CC8939" s="4"/>
      <c r="CD8939" s="4"/>
      <c r="CF8939" s="4"/>
    </row>
    <row r="8940" spans="66:84">
      <c r="BN8940" s="4"/>
      <c r="BO8940" s="4"/>
      <c r="BQ8940" s="4"/>
      <c r="CC8940" s="4"/>
      <c r="CD8940" s="4"/>
      <c r="CF8940" s="4"/>
    </row>
    <row r="8941" spans="66:84">
      <c r="BN8941" s="4"/>
      <c r="BO8941" s="4"/>
      <c r="BQ8941" s="4"/>
      <c r="CC8941" s="4"/>
      <c r="CD8941" s="4"/>
      <c r="CF8941" s="4"/>
    </row>
    <row r="8942" spans="66:84">
      <c r="BN8942" s="4"/>
      <c r="BO8942" s="4"/>
      <c r="BQ8942" s="4"/>
      <c r="CC8942" s="4"/>
      <c r="CD8942" s="4"/>
      <c r="CF8942" s="4"/>
    </row>
    <row r="8943" spans="66:84">
      <c r="BN8943" s="4"/>
      <c r="BO8943" s="4"/>
      <c r="BQ8943" s="4"/>
      <c r="CC8943" s="4"/>
      <c r="CD8943" s="4"/>
      <c r="CF8943" s="4"/>
    </row>
    <row r="8944" spans="66:84">
      <c r="BN8944" s="4"/>
      <c r="BO8944" s="4"/>
      <c r="BQ8944" s="4"/>
      <c r="CC8944" s="4"/>
      <c r="CD8944" s="4"/>
      <c r="CF8944" s="4"/>
    </row>
    <row r="8945" spans="66:84">
      <c r="BN8945" s="4"/>
      <c r="BO8945" s="4"/>
      <c r="BQ8945" s="4"/>
      <c r="CC8945" s="4"/>
      <c r="CD8945" s="4"/>
      <c r="CF8945" s="4"/>
    </row>
    <row r="8946" spans="66:84">
      <c r="BN8946" s="4"/>
      <c r="BO8946" s="4"/>
      <c r="BQ8946" s="4"/>
      <c r="CC8946" s="4"/>
      <c r="CD8946" s="4"/>
      <c r="CF8946" s="4"/>
    </row>
    <row r="8947" spans="66:84">
      <c r="BN8947" s="4"/>
      <c r="BO8947" s="4"/>
      <c r="BQ8947" s="4"/>
      <c r="CC8947" s="4"/>
      <c r="CD8947" s="4"/>
      <c r="CF8947" s="4"/>
    </row>
    <row r="8948" spans="66:84">
      <c r="BN8948" s="4"/>
      <c r="BO8948" s="4"/>
      <c r="BQ8948" s="4"/>
      <c r="CC8948" s="4"/>
      <c r="CD8948" s="4"/>
      <c r="CF8948" s="4"/>
    </row>
    <row r="8949" spans="66:84">
      <c r="BN8949" s="4"/>
      <c r="BO8949" s="4"/>
      <c r="BQ8949" s="4"/>
      <c r="CC8949" s="4"/>
      <c r="CD8949" s="4"/>
      <c r="CF8949" s="4"/>
    </row>
    <row r="8950" spans="66:84">
      <c r="BN8950" s="4"/>
      <c r="BO8950" s="4"/>
      <c r="BQ8950" s="4"/>
      <c r="CC8950" s="4"/>
      <c r="CD8950" s="4"/>
      <c r="CF8950" s="4"/>
    </row>
    <row r="8951" spans="66:84">
      <c r="BN8951" s="4"/>
      <c r="BO8951" s="4"/>
      <c r="BQ8951" s="4"/>
      <c r="CC8951" s="4"/>
      <c r="CD8951" s="4"/>
      <c r="CF8951" s="4"/>
    </row>
    <row r="8952" spans="66:84">
      <c r="BN8952" s="4"/>
      <c r="BO8952" s="4"/>
      <c r="BQ8952" s="4"/>
      <c r="CC8952" s="4"/>
      <c r="CD8952" s="4"/>
      <c r="CF8952" s="4"/>
    </row>
    <row r="8953" spans="66:84">
      <c r="BN8953" s="4"/>
      <c r="BO8953" s="4"/>
      <c r="BQ8953" s="4"/>
      <c r="CC8953" s="4"/>
      <c r="CD8953" s="4"/>
      <c r="CF8953" s="4"/>
    </row>
    <row r="8954" spans="66:84">
      <c r="BN8954" s="4"/>
      <c r="BO8954" s="4"/>
      <c r="BQ8954" s="4"/>
      <c r="CC8954" s="4"/>
      <c r="CD8954" s="4"/>
      <c r="CF8954" s="4"/>
    </row>
    <row r="8955" spans="66:84">
      <c r="BN8955" s="4"/>
      <c r="BO8955" s="4"/>
      <c r="BQ8955" s="4"/>
      <c r="CC8955" s="4"/>
      <c r="CD8955" s="4"/>
      <c r="CF8955" s="4"/>
    </row>
    <row r="8956" spans="66:84">
      <c r="BN8956" s="4"/>
      <c r="BO8956" s="4"/>
      <c r="BQ8956" s="4"/>
      <c r="CC8956" s="4"/>
      <c r="CD8956" s="4"/>
      <c r="CF8956" s="4"/>
    </row>
    <row r="8957" spans="66:84">
      <c r="BN8957" s="4"/>
      <c r="BO8957" s="4"/>
      <c r="BQ8957" s="4"/>
      <c r="CC8957" s="4"/>
      <c r="CD8957" s="4"/>
      <c r="CF8957" s="4"/>
    </row>
    <row r="8958" spans="66:84">
      <c r="BN8958" s="4"/>
      <c r="BO8958" s="4"/>
      <c r="BQ8958" s="4"/>
      <c r="CC8958" s="4"/>
      <c r="CD8958" s="4"/>
      <c r="CF8958" s="4"/>
    </row>
    <row r="8959" spans="66:84">
      <c r="BN8959" s="4"/>
      <c r="BO8959" s="4"/>
      <c r="BQ8959" s="4"/>
      <c r="CC8959" s="4"/>
      <c r="CD8959" s="4"/>
      <c r="CF8959" s="4"/>
    </row>
    <row r="8960" spans="66:84">
      <c r="BN8960" s="4"/>
      <c r="BO8960" s="4"/>
      <c r="BQ8960" s="4"/>
      <c r="CC8960" s="4"/>
      <c r="CD8960" s="4"/>
      <c r="CF8960" s="4"/>
    </row>
    <row r="8961" spans="66:84">
      <c r="BN8961" s="4"/>
      <c r="BO8961" s="4"/>
      <c r="BQ8961" s="4"/>
      <c r="CC8961" s="4"/>
      <c r="CD8961" s="4"/>
      <c r="CF8961" s="4"/>
    </row>
    <row r="8962" spans="66:84">
      <c r="BN8962" s="4"/>
      <c r="BO8962" s="4"/>
      <c r="BQ8962" s="4"/>
      <c r="CC8962" s="4"/>
      <c r="CD8962" s="4"/>
      <c r="CF8962" s="4"/>
    </row>
    <row r="8963" spans="66:84">
      <c r="BN8963" s="4"/>
      <c r="BO8963" s="4"/>
      <c r="BQ8963" s="4"/>
      <c r="CC8963" s="4"/>
      <c r="CD8963" s="4"/>
      <c r="CF8963" s="4"/>
    </row>
    <row r="8964" spans="66:84">
      <c r="BN8964" s="4"/>
      <c r="BO8964" s="4"/>
      <c r="BQ8964" s="4"/>
      <c r="CC8964" s="4"/>
      <c r="CD8964" s="4"/>
      <c r="CF8964" s="4"/>
    </row>
    <row r="8965" spans="66:84">
      <c r="BN8965" s="4"/>
      <c r="BO8965" s="4"/>
      <c r="BQ8965" s="4"/>
      <c r="CC8965" s="4"/>
      <c r="CD8965" s="4"/>
      <c r="CF8965" s="4"/>
    </row>
    <row r="8966" spans="66:84">
      <c r="BN8966" s="4"/>
      <c r="BO8966" s="4"/>
      <c r="BQ8966" s="4"/>
      <c r="CC8966" s="4"/>
      <c r="CD8966" s="4"/>
      <c r="CF8966" s="4"/>
    </row>
    <row r="8967" spans="66:84">
      <c r="BN8967" s="4"/>
      <c r="BO8967" s="4"/>
      <c r="BQ8967" s="4"/>
      <c r="CC8967" s="4"/>
      <c r="CD8967" s="4"/>
      <c r="CF8967" s="4"/>
    </row>
    <row r="8968" spans="66:84">
      <c r="BN8968" s="4"/>
      <c r="BO8968" s="4"/>
      <c r="BQ8968" s="4"/>
      <c r="CC8968" s="4"/>
      <c r="CD8968" s="4"/>
      <c r="CF8968" s="4"/>
    </row>
    <row r="8969" spans="66:84">
      <c r="BN8969" s="4"/>
      <c r="BO8969" s="4"/>
      <c r="BQ8969" s="4"/>
      <c r="CC8969" s="4"/>
      <c r="CD8969" s="4"/>
      <c r="CF8969" s="4"/>
    </row>
    <row r="8970" spans="66:84">
      <c r="BN8970" s="4"/>
      <c r="BO8970" s="4"/>
      <c r="BQ8970" s="4"/>
      <c r="CC8970" s="4"/>
      <c r="CD8970" s="4"/>
      <c r="CF8970" s="4"/>
    </row>
    <row r="8971" spans="66:84">
      <c r="BN8971" s="4"/>
      <c r="BO8971" s="4"/>
      <c r="BQ8971" s="4"/>
      <c r="CC8971" s="4"/>
      <c r="CD8971" s="4"/>
      <c r="CF8971" s="4"/>
    </row>
    <row r="8972" spans="66:84">
      <c r="BN8972" s="4"/>
      <c r="BO8972" s="4"/>
      <c r="BQ8972" s="4"/>
      <c r="CC8972" s="4"/>
      <c r="CD8972" s="4"/>
      <c r="CF8972" s="4"/>
    </row>
    <row r="8973" spans="66:84">
      <c r="BN8973" s="4"/>
      <c r="BO8973" s="4"/>
      <c r="BQ8973" s="4"/>
      <c r="CC8973" s="4"/>
      <c r="CD8973" s="4"/>
      <c r="CF8973" s="4"/>
    </row>
    <row r="8974" spans="66:84">
      <c r="BN8974" s="4"/>
      <c r="BO8974" s="4"/>
      <c r="BQ8974" s="4"/>
      <c r="CC8974" s="4"/>
      <c r="CD8974" s="4"/>
      <c r="CF8974" s="4"/>
    </row>
    <row r="8975" spans="66:84">
      <c r="BN8975" s="4"/>
      <c r="BO8975" s="4"/>
      <c r="BQ8975" s="4"/>
      <c r="CC8975" s="4"/>
      <c r="CD8975" s="4"/>
      <c r="CF8975" s="4"/>
    </row>
    <row r="8976" spans="66:84">
      <c r="BN8976" s="4"/>
      <c r="BO8976" s="4"/>
      <c r="BQ8976" s="4"/>
      <c r="CC8976" s="4"/>
      <c r="CD8976" s="4"/>
      <c r="CF8976" s="4"/>
    </row>
    <row r="8977" spans="66:84">
      <c r="BN8977" s="4"/>
      <c r="BO8977" s="4"/>
      <c r="BQ8977" s="4"/>
      <c r="CC8977" s="4"/>
      <c r="CD8977" s="4"/>
      <c r="CF8977" s="4"/>
    </row>
    <row r="8978" spans="66:84">
      <c r="BN8978" s="4"/>
      <c r="BO8978" s="4"/>
      <c r="BQ8978" s="4"/>
      <c r="CC8978" s="4"/>
      <c r="CD8978" s="4"/>
      <c r="CF8978" s="4"/>
    </row>
    <row r="8979" spans="66:84">
      <c r="BN8979" s="4"/>
      <c r="BO8979" s="4"/>
      <c r="BQ8979" s="4"/>
      <c r="CC8979" s="4"/>
      <c r="CD8979" s="4"/>
      <c r="CF8979" s="4"/>
    </row>
    <row r="8980" spans="66:84">
      <c r="BN8980" s="4"/>
      <c r="BO8980" s="4"/>
      <c r="BQ8980" s="4"/>
      <c r="CC8980" s="4"/>
      <c r="CD8980" s="4"/>
      <c r="CF8980" s="4"/>
    </row>
    <row r="8981" spans="66:84">
      <c r="BN8981" s="4"/>
      <c r="BO8981" s="4"/>
      <c r="BQ8981" s="4"/>
      <c r="CC8981" s="4"/>
      <c r="CD8981" s="4"/>
      <c r="CF8981" s="4"/>
    </row>
    <row r="8982" spans="66:84">
      <c r="BN8982" s="4"/>
      <c r="BO8982" s="4"/>
      <c r="BQ8982" s="4"/>
      <c r="CC8982" s="4"/>
      <c r="CD8982" s="4"/>
      <c r="CF8982" s="4"/>
    </row>
    <row r="8983" spans="66:84">
      <c r="BN8983" s="4"/>
      <c r="BO8983" s="4"/>
      <c r="BQ8983" s="4"/>
      <c r="CC8983" s="4"/>
      <c r="CD8983" s="4"/>
      <c r="CF8983" s="4"/>
    </row>
    <row r="8984" spans="66:84">
      <c r="BN8984" s="4"/>
      <c r="BO8984" s="4"/>
      <c r="BQ8984" s="4"/>
      <c r="CC8984" s="4"/>
      <c r="CD8984" s="4"/>
      <c r="CF8984" s="4"/>
    </row>
    <row r="8985" spans="66:84">
      <c r="BN8985" s="4"/>
      <c r="BO8985" s="4"/>
      <c r="BQ8985" s="4"/>
      <c r="CC8985" s="4"/>
      <c r="CD8985" s="4"/>
      <c r="CF8985" s="4"/>
    </row>
    <row r="8986" spans="66:84">
      <c r="BN8986" s="4"/>
      <c r="BO8986" s="4"/>
      <c r="BQ8986" s="4"/>
      <c r="CC8986" s="4"/>
      <c r="CD8986" s="4"/>
      <c r="CF8986" s="4"/>
    </row>
    <row r="8987" spans="66:84">
      <c r="BN8987" s="4"/>
      <c r="BO8987" s="4"/>
      <c r="BQ8987" s="4"/>
      <c r="CC8987" s="4"/>
      <c r="CD8987" s="4"/>
      <c r="CF8987" s="4"/>
    </row>
    <row r="8988" spans="66:84">
      <c r="BN8988" s="4"/>
      <c r="BO8988" s="4"/>
      <c r="BQ8988" s="4"/>
      <c r="CC8988" s="4"/>
      <c r="CD8988" s="4"/>
      <c r="CF8988" s="4"/>
    </row>
    <row r="8989" spans="66:84">
      <c r="BN8989" s="4"/>
      <c r="BO8989" s="4"/>
      <c r="BQ8989" s="4"/>
      <c r="CC8989" s="4"/>
      <c r="CD8989" s="4"/>
      <c r="CF8989" s="4"/>
    </row>
    <row r="8990" spans="66:84">
      <c r="BN8990" s="4"/>
      <c r="BO8990" s="4"/>
      <c r="BQ8990" s="4"/>
      <c r="CC8990" s="4"/>
      <c r="CD8990" s="4"/>
      <c r="CF8990" s="4"/>
    </row>
    <row r="8991" spans="66:84">
      <c r="BN8991" s="4"/>
      <c r="BO8991" s="4"/>
      <c r="BQ8991" s="4"/>
      <c r="CC8991" s="4"/>
      <c r="CD8991" s="4"/>
      <c r="CF8991" s="4"/>
    </row>
    <row r="8992" spans="66:84">
      <c r="BN8992" s="4"/>
      <c r="BO8992" s="4"/>
      <c r="BQ8992" s="4"/>
      <c r="CC8992" s="4"/>
      <c r="CD8992" s="4"/>
      <c r="CF8992" s="4"/>
    </row>
    <row r="8993" spans="66:84">
      <c r="BN8993" s="4"/>
      <c r="BO8993" s="4"/>
      <c r="BQ8993" s="4"/>
      <c r="CC8993" s="4"/>
      <c r="CD8993" s="4"/>
      <c r="CF8993" s="4"/>
    </row>
    <row r="8994" spans="66:84">
      <c r="BN8994" s="4"/>
      <c r="BO8994" s="4"/>
      <c r="BQ8994" s="4"/>
      <c r="CC8994" s="4"/>
      <c r="CD8994" s="4"/>
      <c r="CF8994" s="4"/>
    </row>
    <row r="8995" spans="66:84">
      <c r="BN8995" s="4"/>
      <c r="BO8995" s="4"/>
      <c r="BQ8995" s="4"/>
      <c r="CC8995" s="4"/>
      <c r="CD8995" s="4"/>
      <c r="CF8995" s="4"/>
    </row>
    <row r="8996" spans="66:84">
      <c r="BN8996" s="4"/>
      <c r="BO8996" s="4"/>
      <c r="BQ8996" s="4"/>
      <c r="CC8996" s="4"/>
      <c r="CD8996" s="4"/>
      <c r="CF8996" s="4"/>
    </row>
    <row r="8997" spans="66:84">
      <c r="BN8997" s="4"/>
      <c r="BO8997" s="4"/>
      <c r="BQ8997" s="4"/>
      <c r="CC8997" s="4"/>
      <c r="CD8997" s="4"/>
      <c r="CF8997" s="4"/>
    </row>
    <row r="8998" spans="66:84">
      <c r="BN8998" s="4"/>
      <c r="BO8998" s="4"/>
      <c r="BQ8998" s="4"/>
      <c r="CC8998" s="4"/>
      <c r="CD8998" s="4"/>
      <c r="CF8998" s="4"/>
    </row>
    <row r="8999" spans="66:84">
      <c r="BN8999" s="4"/>
      <c r="BO8999" s="4"/>
      <c r="BQ8999" s="4"/>
      <c r="CC8999" s="4"/>
      <c r="CD8999" s="4"/>
      <c r="CF8999" s="4"/>
    </row>
    <row r="9000" spans="66:84">
      <c r="BN9000" s="4"/>
      <c r="BO9000" s="4"/>
      <c r="BQ9000" s="4"/>
      <c r="CC9000" s="4"/>
      <c r="CD9000" s="4"/>
      <c r="CF9000" s="4"/>
    </row>
    <row r="9001" spans="66:84">
      <c r="BN9001" s="4"/>
      <c r="BO9001" s="4"/>
      <c r="BQ9001" s="4"/>
      <c r="CC9001" s="4"/>
      <c r="CD9001" s="4"/>
      <c r="CF9001" s="4"/>
    </row>
    <row r="9002" spans="66:84">
      <c r="BN9002" s="4"/>
      <c r="BO9002" s="4"/>
      <c r="BQ9002" s="4"/>
      <c r="CC9002" s="4"/>
      <c r="CD9002" s="4"/>
      <c r="CF9002" s="4"/>
    </row>
    <row r="9003" spans="66:84">
      <c r="BN9003" s="4"/>
      <c r="BO9003" s="4"/>
      <c r="BQ9003" s="4"/>
      <c r="CC9003" s="4"/>
      <c r="CD9003" s="4"/>
      <c r="CF9003" s="4"/>
    </row>
    <row r="9004" spans="66:84">
      <c r="BN9004" s="4"/>
      <c r="BO9004" s="4"/>
      <c r="BQ9004" s="4"/>
      <c r="CC9004" s="4"/>
      <c r="CD9004" s="4"/>
      <c r="CF9004" s="4"/>
    </row>
    <row r="9005" spans="66:84">
      <c r="BN9005" s="4"/>
      <c r="BO9005" s="4"/>
      <c r="BQ9005" s="4"/>
      <c r="CC9005" s="4"/>
      <c r="CD9005" s="4"/>
      <c r="CF9005" s="4"/>
    </row>
    <row r="9006" spans="66:84">
      <c r="BN9006" s="4"/>
      <c r="BO9006" s="4"/>
      <c r="BQ9006" s="4"/>
      <c r="CC9006" s="4"/>
      <c r="CD9006" s="4"/>
      <c r="CF9006" s="4"/>
    </row>
    <row r="9007" spans="66:84">
      <c r="BN9007" s="4"/>
      <c r="BO9007" s="4"/>
      <c r="BQ9007" s="4"/>
      <c r="CC9007" s="4"/>
      <c r="CD9007" s="4"/>
      <c r="CF9007" s="4"/>
    </row>
    <row r="9008" spans="66:84">
      <c r="BN9008" s="4"/>
      <c r="BO9008" s="4"/>
      <c r="BQ9008" s="4"/>
      <c r="CC9008" s="4"/>
      <c r="CD9008" s="4"/>
      <c r="CF9008" s="4"/>
    </row>
    <row r="9009" spans="66:84">
      <c r="BN9009" s="4"/>
      <c r="BO9009" s="4"/>
      <c r="BQ9009" s="4"/>
      <c r="CC9009" s="4"/>
      <c r="CD9009" s="4"/>
      <c r="CF9009" s="4"/>
    </row>
    <row r="9010" spans="66:84">
      <c r="BN9010" s="4"/>
      <c r="BO9010" s="4"/>
      <c r="BQ9010" s="4"/>
      <c r="CC9010" s="4"/>
      <c r="CD9010" s="4"/>
      <c r="CF9010" s="4"/>
    </row>
    <row r="9011" spans="66:84">
      <c r="BN9011" s="4"/>
      <c r="BO9011" s="4"/>
      <c r="BQ9011" s="4"/>
      <c r="CC9011" s="4"/>
      <c r="CD9011" s="4"/>
      <c r="CF9011" s="4"/>
    </row>
    <row r="9012" spans="66:84">
      <c r="BN9012" s="4"/>
      <c r="BO9012" s="4"/>
      <c r="BQ9012" s="4"/>
      <c r="CC9012" s="4"/>
      <c r="CD9012" s="4"/>
      <c r="CF9012" s="4"/>
    </row>
    <row r="9013" spans="66:84">
      <c r="BN9013" s="4"/>
      <c r="BO9013" s="4"/>
      <c r="BQ9013" s="4"/>
      <c r="CC9013" s="4"/>
      <c r="CD9013" s="4"/>
      <c r="CF9013" s="4"/>
    </row>
    <row r="9014" spans="66:84">
      <c r="BN9014" s="4"/>
      <c r="BO9014" s="4"/>
      <c r="BQ9014" s="4"/>
      <c r="CC9014" s="4"/>
      <c r="CD9014" s="4"/>
      <c r="CF9014" s="4"/>
    </row>
    <row r="9015" spans="66:84">
      <c r="BN9015" s="4"/>
      <c r="BO9015" s="4"/>
      <c r="BQ9015" s="4"/>
      <c r="CC9015" s="4"/>
      <c r="CD9015" s="4"/>
      <c r="CF9015" s="4"/>
    </row>
    <row r="9016" spans="66:84">
      <c r="BN9016" s="4"/>
      <c r="BO9016" s="4"/>
      <c r="BQ9016" s="4"/>
      <c r="CC9016" s="4"/>
      <c r="CD9016" s="4"/>
      <c r="CF9016" s="4"/>
    </row>
    <row r="9017" spans="66:84">
      <c r="BN9017" s="4"/>
      <c r="BO9017" s="4"/>
      <c r="BQ9017" s="4"/>
      <c r="CC9017" s="4"/>
      <c r="CD9017" s="4"/>
      <c r="CF9017" s="4"/>
    </row>
    <row r="9018" spans="66:84">
      <c r="BN9018" s="4"/>
      <c r="BO9018" s="4"/>
      <c r="BQ9018" s="4"/>
      <c r="CC9018" s="4"/>
      <c r="CD9018" s="4"/>
      <c r="CF9018" s="4"/>
    </row>
    <row r="9019" spans="66:84">
      <c r="BN9019" s="4"/>
      <c r="BO9019" s="4"/>
      <c r="BQ9019" s="4"/>
      <c r="CC9019" s="4"/>
      <c r="CD9019" s="4"/>
      <c r="CF9019" s="4"/>
    </row>
    <row r="9020" spans="66:84">
      <c r="BN9020" s="4"/>
      <c r="BO9020" s="4"/>
      <c r="BQ9020" s="4"/>
      <c r="CC9020" s="4"/>
      <c r="CD9020" s="4"/>
      <c r="CF9020" s="4"/>
    </row>
    <row r="9021" spans="66:84">
      <c r="BN9021" s="4"/>
      <c r="BO9021" s="4"/>
      <c r="BQ9021" s="4"/>
      <c r="CC9021" s="4"/>
      <c r="CD9021" s="4"/>
      <c r="CF9021" s="4"/>
    </row>
    <row r="9022" spans="66:84">
      <c r="BN9022" s="4"/>
      <c r="BO9022" s="4"/>
      <c r="BQ9022" s="4"/>
      <c r="CC9022" s="4"/>
      <c r="CD9022" s="4"/>
      <c r="CF9022" s="4"/>
    </row>
    <row r="9023" spans="66:84">
      <c r="BN9023" s="4"/>
      <c r="BO9023" s="4"/>
      <c r="BQ9023" s="4"/>
      <c r="CC9023" s="4"/>
      <c r="CD9023" s="4"/>
      <c r="CF9023" s="4"/>
    </row>
    <row r="9024" spans="66:84">
      <c r="BN9024" s="4"/>
      <c r="BO9024" s="4"/>
      <c r="BQ9024" s="4"/>
      <c r="CC9024" s="4"/>
      <c r="CD9024" s="4"/>
      <c r="CF9024" s="4"/>
    </row>
    <row r="9025" spans="66:84">
      <c r="BN9025" s="4"/>
      <c r="BO9025" s="4"/>
      <c r="BQ9025" s="4"/>
      <c r="CC9025" s="4"/>
      <c r="CD9025" s="4"/>
      <c r="CF9025" s="4"/>
    </row>
    <row r="9026" spans="66:84">
      <c r="BN9026" s="4"/>
      <c r="BO9026" s="4"/>
      <c r="BQ9026" s="4"/>
      <c r="CC9026" s="4"/>
      <c r="CD9026" s="4"/>
      <c r="CF9026" s="4"/>
    </row>
    <row r="9027" spans="66:84">
      <c r="BN9027" s="4"/>
      <c r="BO9027" s="4"/>
      <c r="BQ9027" s="4"/>
      <c r="CC9027" s="4"/>
      <c r="CD9027" s="4"/>
      <c r="CF9027" s="4"/>
    </row>
    <row r="9028" spans="66:84">
      <c r="BN9028" s="4"/>
      <c r="BO9028" s="4"/>
      <c r="BQ9028" s="4"/>
      <c r="CC9028" s="4"/>
      <c r="CD9028" s="4"/>
      <c r="CF9028" s="4"/>
    </row>
    <row r="9029" spans="66:84">
      <c r="BN9029" s="4"/>
      <c r="BO9029" s="4"/>
      <c r="BQ9029" s="4"/>
      <c r="CC9029" s="4"/>
      <c r="CD9029" s="4"/>
      <c r="CF9029" s="4"/>
    </row>
    <row r="9030" spans="66:84">
      <c r="BN9030" s="4"/>
      <c r="BO9030" s="4"/>
      <c r="BQ9030" s="4"/>
      <c r="CC9030" s="4"/>
      <c r="CD9030" s="4"/>
      <c r="CF9030" s="4"/>
    </row>
    <row r="9031" spans="66:84">
      <c r="BN9031" s="4"/>
      <c r="BO9031" s="4"/>
      <c r="BQ9031" s="4"/>
      <c r="CC9031" s="4"/>
      <c r="CD9031" s="4"/>
      <c r="CF9031" s="4"/>
    </row>
    <row r="9032" spans="66:84">
      <c r="BN9032" s="4"/>
      <c r="BO9032" s="4"/>
      <c r="BQ9032" s="4"/>
      <c r="CC9032" s="4"/>
      <c r="CD9032" s="4"/>
      <c r="CF9032" s="4"/>
    </row>
    <row r="9033" spans="66:84">
      <c r="BN9033" s="4"/>
      <c r="BO9033" s="4"/>
      <c r="BQ9033" s="4"/>
      <c r="CC9033" s="4"/>
      <c r="CD9033" s="4"/>
      <c r="CF9033" s="4"/>
    </row>
    <row r="9034" spans="66:84">
      <c r="BN9034" s="4"/>
      <c r="BO9034" s="4"/>
      <c r="BQ9034" s="4"/>
      <c r="CC9034" s="4"/>
      <c r="CD9034" s="4"/>
      <c r="CF9034" s="4"/>
    </row>
    <row r="9035" spans="66:84">
      <c r="BN9035" s="4"/>
      <c r="BO9035" s="4"/>
      <c r="BQ9035" s="4"/>
      <c r="CC9035" s="4"/>
      <c r="CD9035" s="4"/>
      <c r="CF9035" s="4"/>
    </row>
    <row r="9036" spans="66:84">
      <c r="BN9036" s="4"/>
      <c r="BO9036" s="4"/>
      <c r="BQ9036" s="4"/>
      <c r="CC9036" s="4"/>
      <c r="CD9036" s="4"/>
      <c r="CF9036" s="4"/>
    </row>
    <row r="9037" spans="66:84">
      <c r="BN9037" s="4"/>
      <c r="BO9037" s="4"/>
      <c r="BQ9037" s="4"/>
      <c r="CC9037" s="4"/>
      <c r="CD9037" s="4"/>
      <c r="CF9037" s="4"/>
    </row>
    <row r="9038" spans="66:84">
      <c r="BN9038" s="4"/>
      <c r="BO9038" s="4"/>
      <c r="BQ9038" s="4"/>
      <c r="CC9038" s="4"/>
      <c r="CD9038" s="4"/>
      <c r="CF9038" s="4"/>
    </row>
    <row r="9039" spans="66:84">
      <c r="BN9039" s="4"/>
      <c r="BO9039" s="4"/>
      <c r="BQ9039" s="4"/>
      <c r="CC9039" s="4"/>
      <c r="CD9039" s="4"/>
      <c r="CF9039" s="4"/>
    </row>
    <row r="9040" spans="66:84">
      <c r="BN9040" s="4"/>
      <c r="BO9040" s="4"/>
      <c r="BQ9040" s="4"/>
      <c r="CC9040" s="4"/>
      <c r="CD9040" s="4"/>
      <c r="CF9040" s="4"/>
    </row>
    <row r="9041" spans="66:84">
      <c r="BN9041" s="4"/>
      <c r="BO9041" s="4"/>
      <c r="BQ9041" s="4"/>
      <c r="CC9041" s="4"/>
      <c r="CD9041" s="4"/>
      <c r="CF9041" s="4"/>
    </row>
    <row r="9042" spans="66:84">
      <c r="BN9042" s="4"/>
      <c r="BO9042" s="4"/>
      <c r="BQ9042" s="4"/>
      <c r="CC9042" s="4"/>
      <c r="CD9042" s="4"/>
      <c r="CF9042" s="4"/>
    </row>
    <row r="9043" spans="66:84">
      <c r="BN9043" s="4"/>
      <c r="BO9043" s="4"/>
      <c r="BQ9043" s="4"/>
      <c r="CC9043" s="4"/>
      <c r="CD9043" s="4"/>
      <c r="CF9043" s="4"/>
    </row>
    <row r="9044" spans="66:84">
      <c r="BN9044" s="4"/>
      <c r="BO9044" s="4"/>
      <c r="BQ9044" s="4"/>
      <c r="CC9044" s="4"/>
      <c r="CD9044" s="4"/>
      <c r="CF9044" s="4"/>
    </row>
    <row r="9045" spans="66:84">
      <c r="BN9045" s="4"/>
      <c r="BO9045" s="4"/>
      <c r="BQ9045" s="4"/>
      <c r="CC9045" s="4"/>
      <c r="CD9045" s="4"/>
      <c r="CF9045" s="4"/>
    </row>
    <row r="9046" spans="66:84">
      <c r="BN9046" s="4"/>
      <c r="BO9046" s="4"/>
      <c r="BQ9046" s="4"/>
      <c r="CC9046" s="4"/>
      <c r="CD9046" s="4"/>
      <c r="CF9046" s="4"/>
    </row>
    <row r="9047" spans="66:84">
      <c r="BN9047" s="4"/>
      <c r="BO9047" s="4"/>
      <c r="BQ9047" s="4"/>
      <c r="CC9047" s="4"/>
      <c r="CD9047" s="4"/>
      <c r="CF9047" s="4"/>
    </row>
    <row r="9048" spans="66:84">
      <c r="BN9048" s="4"/>
      <c r="BO9048" s="4"/>
      <c r="BQ9048" s="4"/>
      <c r="CC9048" s="4"/>
      <c r="CD9048" s="4"/>
      <c r="CF9048" s="4"/>
    </row>
    <row r="9049" spans="66:84">
      <c r="BN9049" s="4"/>
      <c r="BO9049" s="4"/>
      <c r="BQ9049" s="4"/>
      <c r="CC9049" s="4"/>
      <c r="CD9049" s="4"/>
      <c r="CF9049" s="4"/>
    </row>
    <row r="9050" spans="66:84">
      <c r="BN9050" s="4"/>
      <c r="BO9050" s="4"/>
      <c r="BQ9050" s="4"/>
      <c r="CC9050" s="4"/>
      <c r="CD9050" s="4"/>
      <c r="CF9050" s="4"/>
    </row>
    <row r="9051" spans="66:84">
      <c r="BN9051" s="4"/>
      <c r="BO9051" s="4"/>
      <c r="BQ9051" s="4"/>
      <c r="CC9051" s="4"/>
      <c r="CD9051" s="4"/>
      <c r="CF9051" s="4"/>
    </row>
    <row r="9052" spans="66:84">
      <c r="BN9052" s="4"/>
      <c r="BO9052" s="4"/>
      <c r="BQ9052" s="4"/>
      <c r="CC9052" s="4"/>
      <c r="CD9052" s="4"/>
      <c r="CF9052" s="4"/>
    </row>
    <row r="9053" spans="66:84">
      <c r="BN9053" s="4"/>
      <c r="BO9053" s="4"/>
      <c r="BQ9053" s="4"/>
      <c r="CC9053" s="4"/>
      <c r="CD9053" s="4"/>
      <c r="CF9053" s="4"/>
    </row>
    <row r="9054" spans="66:84">
      <c r="BN9054" s="4"/>
      <c r="BO9054" s="4"/>
      <c r="BQ9054" s="4"/>
      <c r="CC9054" s="4"/>
      <c r="CD9054" s="4"/>
      <c r="CF9054" s="4"/>
    </row>
    <row r="9055" spans="66:84">
      <c r="BN9055" s="4"/>
      <c r="BO9055" s="4"/>
      <c r="BQ9055" s="4"/>
      <c r="CC9055" s="4"/>
      <c r="CD9055" s="4"/>
      <c r="CF9055" s="4"/>
    </row>
    <row r="9056" spans="66:84">
      <c r="BN9056" s="4"/>
      <c r="BO9056" s="4"/>
      <c r="BQ9056" s="4"/>
      <c r="CC9056" s="4"/>
      <c r="CD9056" s="4"/>
      <c r="CF9056" s="4"/>
    </row>
    <row r="9057" spans="66:84">
      <c r="BN9057" s="4"/>
      <c r="BO9057" s="4"/>
      <c r="BQ9057" s="4"/>
      <c r="CC9057" s="4"/>
      <c r="CD9057" s="4"/>
      <c r="CF9057" s="4"/>
    </row>
    <row r="9058" spans="66:84">
      <c r="BN9058" s="4"/>
      <c r="BO9058" s="4"/>
      <c r="BQ9058" s="4"/>
      <c r="CC9058" s="4"/>
      <c r="CD9058" s="4"/>
      <c r="CF9058" s="4"/>
    </row>
    <row r="9059" spans="66:84">
      <c r="BN9059" s="4"/>
      <c r="BO9059" s="4"/>
      <c r="BQ9059" s="4"/>
      <c r="CC9059" s="4"/>
      <c r="CD9059" s="4"/>
      <c r="CF9059" s="4"/>
    </row>
    <row r="9060" spans="66:84">
      <c r="BN9060" s="4"/>
      <c r="BO9060" s="4"/>
      <c r="BQ9060" s="4"/>
      <c r="CC9060" s="4"/>
      <c r="CD9060" s="4"/>
      <c r="CF9060" s="4"/>
    </row>
    <row r="9061" spans="66:84">
      <c r="BN9061" s="4"/>
      <c r="BO9061" s="4"/>
      <c r="BQ9061" s="4"/>
      <c r="CC9061" s="4"/>
      <c r="CD9061" s="4"/>
      <c r="CF9061" s="4"/>
    </row>
    <row r="9062" spans="66:84">
      <c r="BN9062" s="4"/>
      <c r="BO9062" s="4"/>
      <c r="BQ9062" s="4"/>
      <c r="CC9062" s="4"/>
      <c r="CD9062" s="4"/>
      <c r="CF9062" s="4"/>
    </row>
    <row r="9063" spans="66:84">
      <c r="BN9063" s="4"/>
      <c r="BO9063" s="4"/>
      <c r="BQ9063" s="4"/>
      <c r="CC9063" s="4"/>
      <c r="CD9063" s="4"/>
      <c r="CF9063" s="4"/>
    </row>
    <row r="9064" spans="66:84">
      <c r="BN9064" s="4"/>
      <c r="BO9064" s="4"/>
      <c r="BQ9064" s="4"/>
      <c r="CC9064" s="4"/>
      <c r="CD9064" s="4"/>
      <c r="CF9064" s="4"/>
    </row>
    <row r="9065" spans="66:84">
      <c r="BN9065" s="4"/>
      <c r="BO9065" s="4"/>
      <c r="BQ9065" s="4"/>
      <c r="CC9065" s="4"/>
      <c r="CD9065" s="4"/>
      <c r="CF9065" s="4"/>
    </row>
    <row r="9066" spans="66:84">
      <c r="BN9066" s="4"/>
      <c r="BO9066" s="4"/>
      <c r="BQ9066" s="4"/>
      <c r="CC9066" s="4"/>
      <c r="CD9066" s="4"/>
      <c r="CF9066" s="4"/>
    </row>
    <row r="9067" spans="66:84">
      <c r="BN9067" s="4"/>
      <c r="BO9067" s="4"/>
      <c r="BQ9067" s="4"/>
      <c r="CC9067" s="4"/>
      <c r="CD9067" s="4"/>
      <c r="CF9067" s="4"/>
    </row>
    <row r="9068" spans="66:84">
      <c r="BN9068" s="4"/>
      <c r="BO9068" s="4"/>
      <c r="BQ9068" s="4"/>
      <c r="CC9068" s="4"/>
      <c r="CD9068" s="4"/>
      <c r="CF9068" s="4"/>
    </row>
    <row r="9069" spans="66:84">
      <c r="BN9069" s="4"/>
      <c r="BO9069" s="4"/>
      <c r="BQ9069" s="4"/>
      <c r="CC9069" s="4"/>
      <c r="CD9069" s="4"/>
      <c r="CF9069" s="4"/>
    </row>
    <row r="9070" spans="66:84">
      <c r="BN9070" s="4"/>
      <c r="BO9070" s="4"/>
      <c r="BQ9070" s="4"/>
      <c r="CC9070" s="4"/>
      <c r="CD9070" s="4"/>
      <c r="CF9070" s="4"/>
    </row>
    <row r="9071" spans="66:84">
      <c r="BN9071" s="4"/>
      <c r="BO9071" s="4"/>
      <c r="BQ9071" s="4"/>
      <c r="CC9071" s="4"/>
      <c r="CD9071" s="4"/>
      <c r="CF9071" s="4"/>
    </row>
    <row r="9072" spans="66:84">
      <c r="BN9072" s="4"/>
      <c r="BO9072" s="4"/>
      <c r="BQ9072" s="4"/>
      <c r="CC9072" s="4"/>
      <c r="CD9072" s="4"/>
      <c r="CF9072" s="4"/>
    </row>
    <row r="9073" spans="66:84">
      <c r="BN9073" s="4"/>
      <c r="BO9073" s="4"/>
      <c r="BQ9073" s="4"/>
      <c r="CC9073" s="4"/>
      <c r="CD9073" s="4"/>
      <c r="CF9073" s="4"/>
    </row>
    <row r="9074" spans="66:84">
      <c r="BN9074" s="4"/>
      <c r="BO9074" s="4"/>
      <c r="BQ9074" s="4"/>
      <c r="CC9074" s="4"/>
      <c r="CD9074" s="4"/>
      <c r="CF9074" s="4"/>
    </row>
    <row r="9075" spans="66:84">
      <c r="BN9075" s="4"/>
      <c r="BO9075" s="4"/>
      <c r="BQ9075" s="4"/>
      <c r="CC9075" s="4"/>
      <c r="CD9075" s="4"/>
      <c r="CF9075" s="4"/>
    </row>
    <row r="9076" spans="66:84">
      <c r="BN9076" s="4"/>
      <c r="BO9076" s="4"/>
      <c r="BQ9076" s="4"/>
      <c r="CC9076" s="4"/>
      <c r="CD9076" s="4"/>
      <c r="CF9076" s="4"/>
    </row>
    <row r="9077" spans="66:84">
      <c r="BN9077" s="4"/>
      <c r="BO9077" s="4"/>
      <c r="BQ9077" s="4"/>
      <c r="CC9077" s="4"/>
      <c r="CD9077" s="4"/>
      <c r="CF9077" s="4"/>
    </row>
    <row r="9078" spans="66:84">
      <c r="BN9078" s="4"/>
      <c r="BO9078" s="4"/>
      <c r="BQ9078" s="4"/>
      <c r="CC9078" s="4"/>
      <c r="CD9078" s="4"/>
      <c r="CF9078" s="4"/>
    </row>
    <row r="9079" spans="66:84">
      <c r="BN9079" s="4"/>
      <c r="BO9079" s="4"/>
      <c r="BQ9079" s="4"/>
      <c r="CC9079" s="4"/>
      <c r="CD9079" s="4"/>
      <c r="CF9079" s="4"/>
    </row>
    <row r="9080" spans="66:84">
      <c r="BN9080" s="4"/>
      <c r="BO9080" s="4"/>
      <c r="BQ9080" s="4"/>
      <c r="CC9080" s="4"/>
      <c r="CD9080" s="4"/>
      <c r="CF9080" s="4"/>
    </row>
    <row r="9081" spans="66:84">
      <c r="BN9081" s="4"/>
      <c r="BO9081" s="4"/>
      <c r="BQ9081" s="4"/>
      <c r="CC9081" s="4"/>
      <c r="CD9081" s="4"/>
      <c r="CF9081" s="4"/>
    </row>
    <row r="9082" spans="66:84">
      <c r="BN9082" s="4"/>
      <c r="BO9082" s="4"/>
      <c r="BQ9082" s="4"/>
      <c r="CC9082" s="4"/>
      <c r="CD9082" s="4"/>
      <c r="CF9082" s="4"/>
    </row>
    <row r="9083" spans="66:84">
      <c r="BN9083" s="4"/>
      <c r="BO9083" s="4"/>
      <c r="BQ9083" s="4"/>
      <c r="CC9083" s="4"/>
      <c r="CD9083" s="4"/>
      <c r="CF9083" s="4"/>
    </row>
    <row r="9084" spans="66:84">
      <c r="BN9084" s="4"/>
      <c r="BO9084" s="4"/>
      <c r="BQ9084" s="4"/>
      <c r="CC9084" s="4"/>
      <c r="CD9084" s="4"/>
      <c r="CF9084" s="4"/>
    </row>
    <row r="9085" spans="66:84">
      <c r="BN9085" s="4"/>
      <c r="BO9085" s="4"/>
      <c r="BQ9085" s="4"/>
      <c r="CC9085" s="4"/>
      <c r="CD9085" s="4"/>
      <c r="CF9085" s="4"/>
    </row>
    <row r="9086" spans="66:84">
      <c r="BN9086" s="4"/>
      <c r="BO9086" s="4"/>
      <c r="BQ9086" s="4"/>
      <c r="CC9086" s="4"/>
      <c r="CD9086" s="4"/>
      <c r="CF9086" s="4"/>
    </row>
    <row r="9087" spans="66:84">
      <c r="BN9087" s="4"/>
      <c r="BO9087" s="4"/>
      <c r="BQ9087" s="4"/>
      <c r="CC9087" s="4"/>
      <c r="CD9087" s="4"/>
      <c r="CF9087" s="4"/>
    </row>
    <row r="9088" spans="66:84">
      <c r="BN9088" s="4"/>
      <c r="BO9088" s="4"/>
      <c r="BQ9088" s="4"/>
      <c r="CC9088" s="4"/>
      <c r="CD9088" s="4"/>
      <c r="CF9088" s="4"/>
    </row>
    <row r="9089" spans="66:84">
      <c r="BN9089" s="4"/>
      <c r="BO9089" s="4"/>
      <c r="BQ9089" s="4"/>
      <c r="CC9089" s="4"/>
      <c r="CD9089" s="4"/>
      <c r="CF9089" s="4"/>
    </row>
    <row r="9090" spans="66:84">
      <c r="BN9090" s="4"/>
      <c r="BO9090" s="4"/>
      <c r="BQ9090" s="4"/>
      <c r="CC9090" s="4"/>
      <c r="CD9090" s="4"/>
      <c r="CF9090" s="4"/>
    </row>
    <row r="9091" spans="66:84">
      <c r="BN9091" s="4"/>
      <c r="BO9091" s="4"/>
      <c r="BQ9091" s="4"/>
      <c r="CC9091" s="4"/>
      <c r="CD9091" s="4"/>
      <c r="CF9091" s="4"/>
    </row>
    <row r="9092" spans="66:84">
      <c r="BN9092" s="4"/>
      <c r="BO9092" s="4"/>
      <c r="BQ9092" s="4"/>
      <c r="CC9092" s="4"/>
      <c r="CD9092" s="4"/>
      <c r="CF9092" s="4"/>
    </row>
    <row r="9093" spans="66:84">
      <c r="BN9093" s="4"/>
      <c r="BO9093" s="4"/>
      <c r="BQ9093" s="4"/>
      <c r="CC9093" s="4"/>
      <c r="CD9093" s="4"/>
      <c r="CF9093" s="4"/>
    </row>
    <row r="9094" spans="66:84">
      <c r="BN9094" s="4"/>
      <c r="BO9094" s="4"/>
      <c r="BQ9094" s="4"/>
      <c r="CC9094" s="4"/>
      <c r="CD9094" s="4"/>
      <c r="CF9094" s="4"/>
    </row>
    <row r="9095" spans="66:84">
      <c r="BN9095" s="4"/>
      <c r="BO9095" s="4"/>
      <c r="BQ9095" s="4"/>
      <c r="CC9095" s="4"/>
      <c r="CD9095" s="4"/>
      <c r="CF9095" s="4"/>
    </row>
    <row r="9096" spans="66:84">
      <c r="BN9096" s="4"/>
      <c r="BO9096" s="4"/>
      <c r="BQ9096" s="4"/>
      <c r="CC9096" s="4"/>
      <c r="CD9096" s="4"/>
      <c r="CF9096" s="4"/>
    </row>
    <row r="9097" spans="66:84">
      <c r="BN9097" s="4"/>
      <c r="BO9097" s="4"/>
      <c r="BQ9097" s="4"/>
      <c r="CC9097" s="4"/>
      <c r="CD9097" s="4"/>
      <c r="CF9097" s="4"/>
    </row>
    <row r="9098" spans="66:84">
      <c r="BN9098" s="4"/>
      <c r="BO9098" s="4"/>
      <c r="BQ9098" s="4"/>
      <c r="CC9098" s="4"/>
      <c r="CD9098" s="4"/>
      <c r="CF9098" s="4"/>
    </row>
    <row r="9099" spans="66:84">
      <c r="BN9099" s="4"/>
      <c r="BO9099" s="4"/>
      <c r="BQ9099" s="4"/>
      <c r="CC9099" s="4"/>
      <c r="CD9099" s="4"/>
      <c r="CF9099" s="4"/>
    </row>
    <row r="9100" spans="66:84">
      <c r="BN9100" s="4"/>
      <c r="BO9100" s="4"/>
      <c r="BQ9100" s="4"/>
      <c r="CC9100" s="4"/>
      <c r="CD9100" s="4"/>
      <c r="CF9100" s="4"/>
    </row>
    <row r="9101" spans="66:84">
      <c r="BN9101" s="4"/>
      <c r="BO9101" s="4"/>
      <c r="BQ9101" s="4"/>
      <c r="CC9101" s="4"/>
      <c r="CD9101" s="4"/>
      <c r="CF9101" s="4"/>
    </row>
    <row r="9102" spans="66:84">
      <c r="BN9102" s="4"/>
      <c r="BO9102" s="4"/>
      <c r="BQ9102" s="4"/>
      <c r="CC9102" s="4"/>
      <c r="CD9102" s="4"/>
      <c r="CF9102" s="4"/>
    </row>
    <row r="9103" spans="66:84">
      <c r="BN9103" s="4"/>
      <c r="BO9103" s="4"/>
      <c r="BQ9103" s="4"/>
      <c r="CC9103" s="4"/>
      <c r="CD9103" s="4"/>
      <c r="CF9103" s="4"/>
    </row>
    <row r="9104" spans="66:84">
      <c r="BN9104" s="4"/>
      <c r="BO9104" s="4"/>
      <c r="BQ9104" s="4"/>
      <c r="CC9104" s="4"/>
      <c r="CD9104" s="4"/>
      <c r="CF9104" s="4"/>
    </row>
    <row r="9105" spans="66:84">
      <c r="BN9105" s="4"/>
      <c r="BO9105" s="4"/>
      <c r="BQ9105" s="4"/>
      <c r="CC9105" s="4"/>
      <c r="CD9105" s="4"/>
      <c r="CF9105" s="4"/>
    </row>
    <row r="9106" spans="66:84">
      <c r="BN9106" s="4"/>
      <c r="BO9106" s="4"/>
      <c r="BQ9106" s="4"/>
      <c r="CC9106" s="4"/>
      <c r="CD9106" s="4"/>
      <c r="CF9106" s="4"/>
    </row>
    <row r="9107" spans="66:84">
      <c r="BN9107" s="4"/>
      <c r="BO9107" s="4"/>
      <c r="BQ9107" s="4"/>
      <c r="CC9107" s="4"/>
      <c r="CD9107" s="4"/>
      <c r="CF9107" s="4"/>
    </row>
    <row r="9108" spans="66:84">
      <c r="BN9108" s="4"/>
      <c r="BO9108" s="4"/>
      <c r="BQ9108" s="4"/>
      <c r="CC9108" s="4"/>
      <c r="CD9108" s="4"/>
      <c r="CF9108" s="4"/>
    </row>
    <row r="9109" spans="66:84">
      <c r="BN9109" s="4"/>
      <c r="BO9109" s="4"/>
      <c r="BQ9109" s="4"/>
      <c r="CC9109" s="4"/>
      <c r="CD9109" s="4"/>
      <c r="CF9109" s="4"/>
    </row>
    <row r="9110" spans="66:84">
      <c r="BN9110" s="4"/>
      <c r="BO9110" s="4"/>
      <c r="BQ9110" s="4"/>
      <c r="CC9110" s="4"/>
      <c r="CD9110" s="4"/>
      <c r="CF9110" s="4"/>
    </row>
    <row r="9111" spans="66:84">
      <c r="BN9111" s="4"/>
      <c r="BO9111" s="4"/>
      <c r="BQ9111" s="4"/>
      <c r="CC9111" s="4"/>
      <c r="CD9111" s="4"/>
      <c r="CF9111" s="4"/>
    </row>
    <row r="9112" spans="66:84">
      <c r="BN9112" s="4"/>
      <c r="BO9112" s="4"/>
      <c r="BQ9112" s="4"/>
      <c r="CC9112" s="4"/>
      <c r="CD9112" s="4"/>
      <c r="CF9112" s="4"/>
    </row>
    <row r="9113" spans="66:84">
      <c r="BN9113" s="4"/>
      <c r="BO9113" s="4"/>
      <c r="BQ9113" s="4"/>
      <c r="CC9113" s="4"/>
      <c r="CD9113" s="4"/>
      <c r="CF9113" s="4"/>
    </row>
    <row r="9114" spans="66:84">
      <c r="BN9114" s="4"/>
      <c r="BO9114" s="4"/>
      <c r="BQ9114" s="4"/>
      <c r="CC9114" s="4"/>
      <c r="CD9114" s="4"/>
      <c r="CF9114" s="4"/>
    </row>
    <row r="9115" spans="66:84">
      <c r="BN9115" s="4"/>
      <c r="BO9115" s="4"/>
      <c r="BQ9115" s="4"/>
      <c r="CC9115" s="4"/>
      <c r="CD9115" s="4"/>
      <c r="CF9115" s="4"/>
    </row>
    <row r="9116" spans="66:84">
      <c r="BN9116" s="4"/>
      <c r="BO9116" s="4"/>
      <c r="BQ9116" s="4"/>
      <c r="CC9116" s="4"/>
      <c r="CD9116" s="4"/>
      <c r="CF9116" s="4"/>
    </row>
    <row r="9117" spans="66:84">
      <c r="BN9117" s="4"/>
      <c r="BO9117" s="4"/>
      <c r="BQ9117" s="4"/>
      <c r="CC9117" s="4"/>
      <c r="CD9117" s="4"/>
      <c r="CF9117" s="4"/>
    </row>
    <row r="9118" spans="66:84">
      <c r="BN9118" s="4"/>
      <c r="BO9118" s="4"/>
      <c r="BQ9118" s="4"/>
      <c r="CC9118" s="4"/>
      <c r="CD9118" s="4"/>
      <c r="CF9118" s="4"/>
    </row>
    <row r="9119" spans="66:84">
      <c r="BN9119" s="4"/>
      <c r="BO9119" s="4"/>
      <c r="BQ9119" s="4"/>
      <c r="CC9119" s="4"/>
      <c r="CD9119" s="4"/>
      <c r="CF9119" s="4"/>
    </row>
    <row r="9120" spans="66:84">
      <c r="BN9120" s="4"/>
      <c r="BO9120" s="4"/>
      <c r="BQ9120" s="4"/>
      <c r="CC9120" s="4"/>
      <c r="CD9120" s="4"/>
      <c r="CF9120" s="4"/>
    </row>
    <row r="9121" spans="66:84">
      <c r="BN9121" s="4"/>
      <c r="BO9121" s="4"/>
      <c r="BQ9121" s="4"/>
      <c r="CC9121" s="4"/>
      <c r="CD9121" s="4"/>
      <c r="CF9121" s="4"/>
    </row>
    <row r="9122" spans="66:84">
      <c r="BN9122" s="4"/>
      <c r="BO9122" s="4"/>
      <c r="BQ9122" s="4"/>
      <c r="CC9122" s="4"/>
      <c r="CD9122" s="4"/>
      <c r="CF9122" s="4"/>
    </row>
    <row r="9123" spans="66:84">
      <c r="BN9123" s="4"/>
      <c r="BO9123" s="4"/>
      <c r="BQ9123" s="4"/>
      <c r="CC9123" s="4"/>
      <c r="CD9123" s="4"/>
      <c r="CF9123" s="4"/>
    </row>
    <row r="9124" spans="66:84">
      <c r="BN9124" s="4"/>
      <c r="BO9124" s="4"/>
      <c r="BQ9124" s="4"/>
      <c r="CC9124" s="4"/>
      <c r="CD9124" s="4"/>
      <c r="CF9124" s="4"/>
    </row>
    <row r="9125" spans="66:84">
      <c r="BN9125" s="4"/>
      <c r="BO9125" s="4"/>
      <c r="BQ9125" s="4"/>
      <c r="CC9125" s="4"/>
      <c r="CD9125" s="4"/>
      <c r="CF9125" s="4"/>
    </row>
    <row r="9126" spans="66:84">
      <c r="BN9126" s="4"/>
      <c r="BO9126" s="4"/>
      <c r="BQ9126" s="4"/>
      <c r="CC9126" s="4"/>
      <c r="CD9126" s="4"/>
      <c r="CF9126" s="4"/>
    </row>
    <row r="9127" spans="66:84">
      <c r="BN9127" s="4"/>
      <c r="BO9127" s="4"/>
      <c r="BQ9127" s="4"/>
      <c r="CC9127" s="4"/>
      <c r="CD9127" s="4"/>
      <c r="CF9127" s="4"/>
    </row>
    <row r="9128" spans="66:84">
      <c r="BN9128" s="4"/>
      <c r="BO9128" s="4"/>
      <c r="BQ9128" s="4"/>
      <c r="CC9128" s="4"/>
      <c r="CD9128" s="4"/>
      <c r="CF9128" s="4"/>
    </row>
    <row r="9129" spans="66:84">
      <c r="BN9129" s="4"/>
      <c r="BO9129" s="4"/>
      <c r="BQ9129" s="4"/>
      <c r="CC9129" s="4"/>
      <c r="CD9129" s="4"/>
      <c r="CF9129" s="4"/>
    </row>
    <row r="9130" spans="66:84">
      <c r="BN9130" s="4"/>
      <c r="BO9130" s="4"/>
      <c r="BQ9130" s="4"/>
      <c r="CC9130" s="4"/>
      <c r="CD9130" s="4"/>
      <c r="CF9130" s="4"/>
    </row>
    <row r="9131" spans="66:84">
      <c r="BN9131" s="4"/>
      <c r="BO9131" s="4"/>
      <c r="BQ9131" s="4"/>
      <c r="CC9131" s="4"/>
      <c r="CD9131" s="4"/>
      <c r="CF9131" s="4"/>
    </row>
    <row r="9132" spans="66:84">
      <c r="BN9132" s="4"/>
      <c r="BO9132" s="4"/>
      <c r="BQ9132" s="4"/>
      <c r="CC9132" s="4"/>
      <c r="CD9132" s="4"/>
      <c r="CF9132" s="4"/>
    </row>
    <row r="9133" spans="66:84">
      <c r="BN9133" s="4"/>
      <c r="BO9133" s="4"/>
      <c r="BQ9133" s="4"/>
      <c r="CC9133" s="4"/>
      <c r="CD9133" s="4"/>
      <c r="CF9133" s="4"/>
    </row>
    <row r="9134" spans="66:84">
      <c r="BN9134" s="4"/>
      <c r="BO9134" s="4"/>
      <c r="BQ9134" s="4"/>
      <c r="CC9134" s="4"/>
      <c r="CD9134" s="4"/>
      <c r="CF9134" s="4"/>
    </row>
    <row r="9135" spans="66:84">
      <c r="BN9135" s="4"/>
      <c r="BO9135" s="4"/>
      <c r="BQ9135" s="4"/>
      <c r="CC9135" s="4"/>
      <c r="CD9135" s="4"/>
      <c r="CF9135" s="4"/>
    </row>
    <row r="9136" spans="66:84">
      <c r="BN9136" s="4"/>
      <c r="BO9136" s="4"/>
      <c r="BQ9136" s="4"/>
      <c r="CC9136" s="4"/>
      <c r="CD9136" s="4"/>
      <c r="CF9136" s="4"/>
    </row>
    <row r="9137" spans="66:84">
      <c r="BN9137" s="4"/>
      <c r="BO9137" s="4"/>
      <c r="BQ9137" s="4"/>
      <c r="CC9137" s="4"/>
      <c r="CD9137" s="4"/>
      <c r="CF9137" s="4"/>
    </row>
    <row r="9138" spans="66:84">
      <c r="BN9138" s="4"/>
      <c r="BO9138" s="4"/>
      <c r="BQ9138" s="4"/>
      <c r="CC9138" s="4"/>
      <c r="CD9138" s="4"/>
      <c r="CF9138" s="4"/>
    </row>
    <row r="9139" spans="66:84">
      <c r="BN9139" s="4"/>
      <c r="BO9139" s="4"/>
      <c r="BQ9139" s="4"/>
      <c r="CC9139" s="4"/>
      <c r="CD9139" s="4"/>
      <c r="CF9139" s="4"/>
    </row>
    <row r="9140" spans="66:84">
      <c r="BN9140" s="4"/>
      <c r="BO9140" s="4"/>
      <c r="BQ9140" s="4"/>
      <c r="CC9140" s="4"/>
      <c r="CD9140" s="4"/>
      <c r="CF9140" s="4"/>
    </row>
    <row r="9141" spans="66:84">
      <c r="BN9141" s="4"/>
      <c r="BO9141" s="4"/>
      <c r="BQ9141" s="4"/>
      <c r="CC9141" s="4"/>
      <c r="CD9141" s="4"/>
      <c r="CF9141" s="4"/>
    </row>
    <row r="9142" spans="66:84">
      <c r="BN9142" s="4"/>
      <c r="BO9142" s="4"/>
      <c r="BQ9142" s="4"/>
      <c r="CC9142" s="4"/>
      <c r="CD9142" s="4"/>
      <c r="CF9142" s="4"/>
    </row>
    <row r="9143" spans="66:84">
      <c r="BN9143" s="4"/>
      <c r="BO9143" s="4"/>
      <c r="BQ9143" s="4"/>
      <c r="CC9143" s="4"/>
      <c r="CD9143" s="4"/>
      <c r="CF9143" s="4"/>
    </row>
    <row r="9144" spans="66:84">
      <c r="BN9144" s="4"/>
      <c r="BO9144" s="4"/>
      <c r="BQ9144" s="4"/>
      <c r="CC9144" s="4"/>
      <c r="CD9144" s="4"/>
      <c r="CF9144" s="4"/>
    </row>
    <row r="9145" spans="66:84">
      <c r="BN9145" s="4"/>
      <c r="BO9145" s="4"/>
      <c r="BQ9145" s="4"/>
      <c r="CC9145" s="4"/>
      <c r="CD9145" s="4"/>
      <c r="CF9145" s="4"/>
    </row>
    <row r="9146" spans="66:84">
      <c r="BN9146" s="4"/>
      <c r="BO9146" s="4"/>
      <c r="BQ9146" s="4"/>
      <c r="CC9146" s="4"/>
      <c r="CD9146" s="4"/>
      <c r="CF9146" s="4"/>
    </row>
    <row r="9147" spans="66:84">
      <c r="BN9147" s="4"/>
      <c r="BO9147" s="4"/>
      <c r="BQ9147" s="4"/>
      <c r="CC9147" s="4"/>
      <c r="CD9147" s="4"/>
      <c r="CF9147" s="4"/>
    </row>
    <row r="9148" spans="66:84">
      <c r="BN9148" s="4"/>
      <c r="BO9148" s="4"/>
      <c r="BQ9148" s="4"/>
      <c r="CC9148" s="4"/>
      <c r="CD9148" s="4"/>
      <c r="CF9148" s="4"/>
    </row>
    <row r="9149" spans="66:84">
      <c r="BN9149" s="4"/>
      <c r="BO9149" s="4"/>
      <c r="BQ9149" s="4"/>
      <c r="CC9149" s="4"/>
      <c r="CD9149" s="4"/>
      <c r="CF9149" s="4"/>
    </row>
    <row r="9150" spans="66:84">
      <c r="BN9150" s="4"/>
      <c r="BO9150" s="4"/>
      <c r="BQ9150" s="4"/>
      <c r="CC9150" s="4"/>
      <c r="CD9150" s="4"/>
      <c r="CF9150" s="4"/>
    </row>
    <row r="9151" spans="66:84">
      <c r="BN9151" s="4"/>
      <c r="BO9151" s="4"/>
      <c r="BQ9151" s="4"/>
      <c r="CC9151" s="4"/>
      <c r="CD9151" s="4"/>
      <c r="CF9151" s="4"/>
    </row>
    <row r="9152" spans="66:84">
      <c r="BN9152" s="4"/>
      <c r="BO9152" s="4"/>
      <c r="BQ9152" s="4"/>
      <c r="CC9152" s="4"/>
      <c r="CD9152" s="4"/>
      <c r="CF9152" s="4"/>
    </row>
    <row r="9153" spans="66:84">
      <c r="BN9153" s="4"/>
      <c r="BO9153" s="4"/>
      <c r="BQ9153" s="4"/>
      <c r="CC9153" s="4"/>
      <c r="CD9153" s="4"/>
      <c r="CF9153" s="4"/>
    </row>
    <row r="9154" spans="66:84">
      <c r="BN9154" s="4"/>
      <c r="BO9154" s="4"/>
      <c r="BQ9154" s="4"/>
      <c r="CC9154" s="4"/>
      <c r="CD9154" s="4"/>
      <c r="CF9154" s="4"/>
    </row>
    <row r="9155" spans="66:84">
      <c r="BN9155" s="4"/>
      <c r="BO9155" s="4"/>
      <c r="BQ9155" s="4"/>
      <c r="CC9155" s="4"/>
      <c r="CD9155" s="4"/>
      <c r="CF9155" s="4"/>
    </row>
    <row r="9156" spans="66:84">
      <c r="BN9156" s="4"/>
      <c r="BO9156" s="4"/>
      <c r="BQ9156" s="4"/>
      <c r="CC9156" s="4"/>
      <c r="CD9156" s="4"/>
      <c r="CF9156" s="4"/>
    </row>
    <row r="9157" spans="66:84">
      <c r="BN9157" s="4"/>
      <c r="BO9157" s="4"/>
      <c r="BQ9157" s="4"/>
      <c r="CC9157" s="4"/>
      <c r="CD9157" s="4"/>
      <c r="CF9157" s="4"/>
    </row>
    <row r="9158" spans="66:84">
      <c r="BN9158" s="4"/>
      <c r="BO9158" s="4"/>
      <c r="BQ9158" s="4"/>
      <c r="CC9158" s="4"/>
      <c r="CD9158" s="4"/>
      <c r="CF9158" s="4"/>
    </row>
    <row r="9159" spans="66:84">
      <c r="BN9159" s="4"/>
      <c r="BO9159" s="4"/>
      <c r="BQ9159" s="4"/>
      <c r="CC9159" s="4"/>
      <c r="CD9159" s="4"/>
      <c r="CF9159" s="4"/>
    </row>
    <row r="9160" spans="66:84">
      <c r="BN9160" s="4"/>
      <c r="BO9160" s="4"/>
      <c r="BQ9160" s="4"/>
      <c r="CC9160" s="4"/>
      <c r="CD9160" s="4"/>
      <c r="CF9160" s="4"/>
    </row>
    <row r="9161" spans="66:84">
      <c r="BN9161" s="4"/>
      <c r="BO9161" s="4"/>
      <c r="BQ9161" s="4"/>
      <c r="CC9161" s="4"/>
      <c r="CD9161" s="4"/>
      <c r="CF9161" s="4"/>
    </row>
    <row r="9162" spans="66:84">
      <c r="BN9162" s="4"/>
      <c r="BO9162" s="4"/>
      <c r="BQ9162" s="4"/>
      <c r="CC9162" s="4"/>
      <c r="CD9162" s="4"/>
      <c r="CF9162" s="4"/>
    </row>
    <row r="9163" spans="66:84">
      <c r="BN9163" s="4"/>
      <c r="BO9163" s="4"/>
      <c r="BQ9163" s="4"/>
      <c r="CC9163" s="4"/>
      <c r="CD9163" s="4"/>
      <c r="CF9163" s="4"/>
    </row>
    <row r="9164" spans="66:84">
      <c r="BN9164" s="4"/>
      <c r="BO9164" s="4"/>
      <c r="BQ9164" s="4"/>
      <c r="CC9164" s="4"/>
      <c r="CD9164" s="4"/>
      <c r="CF9164" s="4"/>
    </row>
    <row r="9165" spans="66:84">
      <c r="BN9165" s="4"/>
      <c r="BO9165" s="4"/>
      <c r="BQ9165" s="4"/>
      <c r="CC9165" s="4"/>
      <c r="CD9165" s="4"/>
      <c r="CF9165" s="4"/>
    </row>
    <row r="9166" spans="66:84">
      <c r="BN9166" s="4"/>
      <c r="BO9166" s="4"/>
      <c r="BQ9166" s="4"/>
      <c r="CC9166" s="4"/>
      <c r="CD9166" s="4"/>
      <c r="CF9166" s="4"/>
    </row>
    <row r="9167" spans="66:84">
      <c r="BN9167" s="4"/>
      <c r="BO9167" s="4"/>
      <c r="BQ9167" s="4"/>
      <c r="CC9167" s="4"/>
      <c r="CD9167" s="4"/>
      <c r="CF9167" s="4"/>
    </row>
    <row r="9168" spans="66:84">
      <c r="BN9168" s="4"/>
      <c r="BO9168" s="4"/>
      <c r="BQ9168" s="4"/>
      <c r="CC9168" s="4"/>
      <c r="CD9168" s="4"/>
      <c r="CF9168" s="4"/>
    </row>
    <row r="9169" spans="66:84">
      <c r="BN9169" s="4"/>
      <c r="BO9169" s="4"/>
      <c r="BQ9169" s="4"/>
      <c r="CC9169" s="4"/>
      <c r="CD9169" s="4"/>
      <c r="CF9169" s="4"/>
    </row>
    <row r="9170" spans="66:84">
      <c r="BN9170" s="4"/>
      <c r="BO9170" s="4"/>
      <c r="BQ9170" s="4"/>
      <c r="CC9170" s="4"/>
      <c r="CD9170" s="4"/>
      <c r="CF9170" s="4"/>
    </row>
    <row r="9171" spans="66:84">
      <c r="BN9171" s="4"/>
      <c r="BO9171" s="4"/>
      <c r="BQ9171" s="4"/>
      <c r="CC9171" s="4"/>
      <c r="CD9171" s="4"/>
      <c r="CF9171" s="4"/>
    </row>
    <row r="9172" spans="66:84">
      <c r="BN9172" s="4"/>
      <c r="BO9172" s="4"/>
      <c r="BQ9172" s="4"/>
      <c r="CC9172" s="4"/>
      <c r="CD9172" s="4"/>
      <c r="CF9172" s="4"/>
    </row>
    <row r="9173" spans="66:84">
      <c r="BN9173" s="4"/>
      <c r="BO9173" s="4"/>
      <c r="BQ9173" s="4"/>
      <c r="CC9173" s="4"/>
      <c r="CD9173" s="4"/>
      <c r="CF9173" s="4"/>
    </row>
    <row r="9174" spans="66:84">
      <c r="BN9174" s="4"/>
      <c r="BO9174" s="4"/>
      <c r="BQ9174" s="4"/>
      <c r="CC9174" s="4"/>
      <c r="CD9174" s="4"/>
      <c r="CF9174" s="4"/>
    </row>
    <row r="9175" spans="66:84">
      <c r="BN9175" s="4"/>
      <c r="BO9175" s="4"/>
      <c r="BQ9175" s="4"/>
      <c r="CC9175" s="4"/>
      <c r="CD9175" s="4"/>
      <c r="CF9175" s="4"/>
    </row>
    <row r="9176" spans="66:84">
      <c r="BN9176" s="4"/>
      <c r="BO9176" s="4"/>
      <c r="BQ9176" s="4"/>
      <c r="CC9176" s="4"/>
      <c r="CD9176" s="4"/>
      <c r="CF9176" s="4"/>
    </row>
    <row r="9177" spans="66:84">
      <c r="BN9177" s="4"/>
      <c r="BO9177" s="4"/>
      <c r="BQ9177" s="4"/>
      <c r="CC9177" s="4"/>
      <c r="CD9177" s="4"/>
      <c r="CF9177" s="4"/>
    </row>
    <row r="9178" spans="66:84">
      <c r="BN9178" s="4"/>
      <c r="BO9178" s="4"/>
      <c r="BQ9178" s="4"/>
      <c r="CC9178" s="4"/>
      <c r="CD9178" s="4"/>
      <c r="CF9178" s="4"/>
    </row>
    <row r="9179" spans="66:84">
      <c r="BN9179" s="4"/>
      <c r="BO9179" s="4"/>
      <c r="BQ9179" s="4"/>
      <c r="CC9179" s="4"/>
      <c r="CD9179" s="4"/>
      <c r="CF9179" s="4"/>
    </row>
    <row r="9180" spans="66:84">
      <c r="BN9180" s="4"/>
      <c r="BO9180" s="4"/>
      <c r="BQ9180" s="4"/>
      <c r="CC9180" s="4"/>
      <c r="CD9180" s="4"/>
      <c r="CF9180" s="4"/>
    </row>
    <row r="9181" spans="66:84">
      <c r="BN9181" s="4"/>
      <c r="BO9181" s="4"/>
      <c r="BQ9181" s="4"/>
      <c r="CC9181" s="4"/>
      <c r="CD9181" s="4"/>
      <c r="CF9181" s="4"/>
    </row>
    <row r="9182" spans="66:84">
      <c r="BN9182" s="4"/>
      <c r="BO9182" s="4"/>
      <c r="BQ9182" s="4"/>
      <c r="CC9182" s="4"/>
      <c r="CD9182" s="4"/>
      <c r="CF9182" s="4"/>
    </row>
    <row r="9183" spans="66:84">
      <c r="BN9183" s="4"/>
      <c r="BO9183" s="4"/>
      <c r="BQ9183" s="4"/>
      <c r="CC9183" s="4"/>
      <c r="CD9183" s="4"/>
      <c r="CF9183" s="4"/>
    </row>
    <row r="9184" spans="66:84">
      <c r="BN9184" s="4"/>
      <c r="BO9184" s="4"/>
      <c r="BQ9184" s="4"/>
      <c r="CC9184" s="4"/>
      <c r="CD9184" s="4"/>
      <c r="CF9184" s="4"/>
    </row>
    <row r="9185" spans="66:84">
      <c r="BN9185" s="4"/>
      <c r="BO9185" s="4"/>
      <c r="BQ9185" s="4"/>
      <c r="CC9185" s="4"/>
      <c r="CD9185" s="4"/>
      <c r="CF9185" s="4"/>
    </row>
    <row r="9186" spans="66:84">
      <c r="BN9186" s="4"/>
      <c r="BO9186" s="4"/>
      <c r="BQ9186" s="4"/>
      <c r="CC9186" s="4"/>
      <c r="CD9186" s="4"/>
      <c r="CF9186" s="4"/>
    </row>
    <row r="9187" spans="66:84">
      <c r="BN9187" s="4"/>
      <c r="BO9187" s="4"/>
      <c r="BQ9187" s="4"/>
      <c r="CC9187" s="4"/>
      <c r="CD9187" s="4"/>
      <c r="CF9187" s="4"/>
    </row>
    <row r="9188" spans="66:84">
      <c r="BN9188" s="4"/>
      <c r="BO9188" s="4"/>
      <c r="BQ9188" s="4"/>
      <c r="CC9188" s="4"/>
      <c r="CD9188" s="4"/>
      <c r="CF9188" s="4"/>
    </row>
    <row r="9189" spans="66:84">
      <c r="BN9189" s="4"/>
      <c r="BO9189" s="4"/>
      <c r="BQ9189" s="4"/>
      <c r="CC9189" s="4"/>
      <c r="CD9189" s="4"/>
      <c r="CF9189" s="4"/>
    </row>
    <row r="9190" spans="66:84">
      <c r="BN9190" s="4"/>
      <c r="BO9190" s="4"/>
      <c r="BQ9190" s="4"/>
      <c r="CC9190" s="4"/>
      <c r="CD9190" s="4"/>
      <c r="CF9190" s="4"/>
    </row>
    <row r="9191" spans="66:84">
      <c r="BN9191" s="4"/>
      <c r="BO9191" s="4"/>
      <c r="BQ9191" s="4"/>
      <c r="CC9191" s="4"/>
      <c r="CD9191" s="4"/>
      <c r="CF9191" s="4"/>
    </row>
    <row r="9192" spans="66:84">
      <c r="BN9192" s="4"/>
      <c r="BO9192" s="4"/>
      <c r="BQ9192" s="4"/>
      <c r="CC9192" s="4"/>
      <c r="CD9192" s="4"/>
      <c r="CF9192" s="4"/>
    </row>
    <row r="9193" spans="66:84">
      <c r="BN9193" s="4"/>
      <c r="BO9193" s="4"/>
      <c r="BQ9193" s="4"/>
      <c r="CC9193" s="4"/>
      <c r="CD9193" s="4"/>
      <c r="CF9193" s="4"/>
    </row>
    <row r="9194" spans="66:84">
      <c r="BN9194" s="4"/>
      <c r="BO9194" s="4"/>
      <c r="BQ9194" s="4"/>
      <c r="CC9194" s="4"/>
      <c r="CD9194" s="4"/>
      <c r="CF9194" s="4"/>
    </row>
    <row r="9195" spans="66:84">
      <c r="BN9195" s="4"/>
      <c r="BO9195" s="4"/>
      <c r="BQ9195" s="4"/>
      <c r="CC9195" s="4"/>
      <c r="CD9195" s="4"/>
      <c r="CF9195" s="4"/>
    </row>
    <row r="9196" spans="66:84">
      <c r="BN9196" s="4"/>
      <c r="BO9196" s="4"/>
      <c r="BQ9196" s="4"/>
      <c r="CC9196" s="4"/>
      <c r="CD9196" s="4"/>
      <c r="CF9196" s="4"/>
    </row>
    <row r="9197" spans="66:84">
      <c r="BN9197" s="4"/>
      <c r="BO9197" s="4"/>
      <c r="BQ9197" s="4"/>
      <c r="CC9197" s="4"/>
      <c r="CD9197" s="4"/>
      <c r="CF9197" s="4"/>
    </row>
    <row r="9198" spans="66:84">
      <c r="BN9198" s="4"/>
      <c r="BO9198" s="4"/>
      <c r="BQ9198" s="4"/>
      <c r="CC9198" s="4"/>
      <c r="CD9198" s="4"/>
      <c r="CF9198" s="4"/>
    </row>
    <row r="9199" spans="66:84">
      <c r="BN9199" s="4"/>
      <c r="BO9199" s="4"/>
      <c r="BQ9199" s="4"/>
      <c r="CC9199" s="4"/>
      <c r="CD9199" s="4"/>
      <c r="CF9199" s="4"/>
    </row>
    <row r="9200" spans="66:84">
      <c r="BN9200" s="4"/>
      <c r="BO9200" s="4"/>
      <c r="BQ9200" s="4"/>
      <c r="CC9200" s="4"/>
      <c r="CD9200" s="4"/>
      <c r="CF9200" s="4"/>
    </row>
    <row r="9201" spans="66:84">
      <c r="BN9201" s="4"/>
      <c r="BO9201" s="4"/>
      <c r="BQ9201" s="4"/>
      <c r="CC9201" s="4"/>
      <c r="CD9201" s="4"/>
      <c r="CF9201" s="4"/>
    </row>
    <row r="9202" spans="66:84">
      <c r="BN9202" s="4"/>
      <c r="BO9202" s="4"/>
      <c r="BQ9202" s="4"/>
      <c r="CC9202" s="4"/>
      <c r="CD9202" s="4"/>
      <c r="CF9202" s="4"/>
    </row>
    <row r="9203" spans="66:84">
      <c r="BN9203" s="4"/>
      <c r="BO9203" s="4"/>
      <c r="BQ9203" s="4"/>
      <c r="CC9203" s="4"/>
      <c r="CD9203" s="4"/>
      <c r="CF9203" s="4"/>
    </row>
    <row r="9204" spans="66:84">
      <c r="BN9204" s="4"/>
      <c r="BO9204" s="4"/>
      <c r="BQ9204" s="4"/>
      <c r="CC9204" s="4"/>
      <c r="CD9204" s="4"/>
      <c r="CF9204" s="4"/>
    </row>
    <row r="9205" spans="66:84">
      <c r="BN9205" s="4"/>
      <c r="BO9205" s="4"/>
      <c r="BQ9205" s="4"/>
      <c r="CC9205" s="4"/>
      <c r="CD9205" s="4"/>
      <c r="CF9205" s="4"/>
    </row>
    <row r="9206" spans="66:84">
      <c r="BN9206" s="4"/>
      <c r="BO9206" s="4"/>
      <c r="BQ9206" s="4"/>
      <c r="CC9206" s="4"/>
      <c r="CD9206" s="4"/>
      <c r="CF9206" s="4"/>
    </row>
    <row r="9207" spans="66:84">
      <c r="BN9207" s="4"/>
      <c r="BO9207" s="4"/>
      <c r="BQ9207" s="4"/>
      <c r="CC9207" s="4"/>
      <c r="CD9207" s="4"/>
      <c r="CF9207" s="4"/>
    </row>
    <row r="9208" spans="66:84">
      <c r="BN9208" s="4"/>
      <c r="BO9208" s="4"/>
      <c r="BQ9208" s="4"/>
      <c r="CC9208" s="4"/>
      <c r="CD9208" s="4"/>
      <c r="CF9208" s="4"/>
    </row>
    <row r="9209" spans="66:84">
      <c r="BN9209" s="4"/>
      <c r="BO9209" s="4"/>
      <c r="BQ9209" s="4"/>
      <c r="CC9209" s="4"/>
      <c r="CD9209" s="4"/>
      <c r="CF9209" s="4"/>
    </row>
    <row r="9210" spans="66:84">
      <c r="BN9210" s="4"/>
      <c r="BO9210" s="4"/>
      <c r="BQ9210" s="4"/>
      <c r="CC9210" s="4"/>
      <c r="CD9210" s="4"/>
      <c r="CF9210" s="4"/>
    </row>
    <row r="9211" spans="66:84">
      <c r="BN9211" s="4"/>
      <c r="BO9211" s="4"/>
      <c r="BQ9211" s="4"/>
      <c r="CC9211" s="4"/>
      <c r="CD9211" s="4"/>
      <c r="CF9211" s="4"/>
    </row>
    <row r="9212" spans="66:84">
      <c r="BN9212" s="4"/>
      <c r="BO9212" s="4"/>
      <c r="BQ9212" s="4"/>
      <c r="CC9212" s="4"/>
      <c r="CD9212" s="4"/>
      <c r="CF9212" s="4"/>
    </row>
    <row r="9213" spans="66:84">
      <c r="BN9213" s="4"/>
      <c r="BO9213" s="4"/>
      <c r="BQ9213" s="4"/>
      <c r="CC9213" s="4"/>
      <c r="CD9213" s="4"/>
      <c r="CF9213" s="4"/>
    </row>
    <row r="9214" spans="66:84">
      <c r="BN9214" s="4"/>
      <c r="BO9214" s="4"/>
      <c r="BQ9214" s="4"/>
      <c r="CC9214" s="4"/>
      <c r="CD9214" s="4"/>
      <c r="CF9214" s="4"/>
    </row>
    <row r="9215" spans="66:84">
      <c r="BN9215" s="4"/>
      <c r="BO9215" s="4"/>
      <c r="BQ9215" s="4"/>
      <c r="CC9215" s="4"/>
      <c r="CD9215" s="4"/>
      <c r="CF9215" s="4"/>
    </row>
    <row r="9216" spans="66:84">
      <c r="BN9216" s="4"/>
      <c r="BO9216" s="4"/>
      <c r="BQ9216" s="4"/>
      <c r="CC9216" s="4"/>
      <c r="CD9216" s="4"/>
      <c r="CF9216" s="4"/>
    </row>
    <row r="9217" spans="66:84">
      <c r="BN9217" s="4"/>
      <c r="BO9217" s="4"/>
      <c r="BQ9217" s="4"/>
      <c r="CC9217" s="4"/>
      <c r="CD9217" s="4"/>
      <c r="CF9217" s="4"/>
    </row>
    <row r="9218" spans="66:84">
      <c r="BN9218" s="4"/>
      <c r="BO9218" s="4"/>
      <c r="BQ9218" s="4"/>
      <c r="CC9218" s="4"/>
      <c r="CD9218" s="4"/>
      <c r="CF9218" s="4"/>
    </row>
    <row r="9219" spans="66:84">
      <c r="BN9219" s="4"/>
      <c r="BO9219" s="4"/>
      <c r="BQ9219" s="4"/>
      <c r="CC9219" s="4"/>
      <c r="CD9219" s="4"/>
      <c r="CF9219" s="4"/>
    </row>
    <row r="9220" spans="66:84">
      <c r="BN9220" s="4"/>
      <c r="BO9220" s="4"/>
      <c r="BQ9220" s="4"/>
      <c r="CC9220" s="4"/>
      <c r="CD9220" s="4"/>
      <c r="CF9220" s="4"/>
    </row>
    <row r="9221" spans="66:84">
      <c r="BN9221" s="4"/>
      <c r="BO9221" s="4"/>
      <c r="BQ9221" s="4"/>
      <c r="CC9221" s="4"/>
      <c r="CD9221" s="4"/>
      <c r="CF9221" s="4"/>
    </row>
    <row r="9222" spans="66:84">
      <c r="BN9222" s="4"/>
      <c r="BO9222" s="4"/>
      <c r="BQ9222" s="4"/>
      <c r="CC9222" s="4"/>
      <c r="CD9222" s="4"/>
      <c r="CF9222" s="4"/>
    </row>
    <row r="9223" spans="66:84">
      <c r="BN9223" s="4"/>
      <c r="BO9223" s="4"/>
      <c r="BQ9223" s="4"/>
      <c r="CC9223" s="4"/>
      <c r="CD9223" s="4"/>
      <c r="CF9223" s="4"/>
    </row>
    <row r="9224" spans="66:84">
      <c r="BN9224" s="4"/>
      <c r="BO9224" s="4"/>
      <c r="BQ9224" s="4"/>
      <c r="CC9224" s="4"/>
      <c r="CD9224" s="4"/>
      <c r="CF9224" s="4"/>
    </row>
    <row r="9225" spans="66:84">
      <c r="BN9225" s="4"/>
      <c r="BO9225" s="4"/>
      <c r="BQ9225" s="4"/>
      <c r="CC9225" s="4"/>
      <c r="CD9225" s="4"/>
      <c r="CF9225" s="4"/>
    </row>
    <row r="9226" spans="66:84">
      <c r="BN9226" s="4"/>
      <c r="BO9226" s="4"/>
      <c r="BQ9226" s="4"/>
      <c r="CC9226" s="4"/>
      <c r="CD9226" s="4"/>
      <c r="CF9226" s="4"/>
    </row>
    <row r="9227" spans="66:84">
      <c r="BN9227" s="4"/>
      <c r="BO9227" s="4"/>
      <c r="BQ9227" s="4"/>
      <c r="CC9227" s="4"/>
      <c r="CD9227" s="4"/>
      <c r="CF9227" s="4"/>
    </row>
    <row r="9228" spans="66:84">
      <c r="BN9228" s="4"/>
      <c r="BO9228" s="4"/>
      <c r="BQ9228" s="4"/>
      <c r="CC9228" s="4"/>
      <c r="CD9228" s="4"/>
      <c r="CF9228" s="4"/>
    </row>
    <row r="9229" spans="66:84">
      <c r="BN9229" s="4"/>
      <c r="BO9229" s="4"/>
      <c r="BQ9229" s="4"/>
      <c r="CC9229" s="4"/>
      <c r="CD9229" s="4"/>
      <c r="CF9229" s="4"/>
    </row>
    <row r="9230" spans="66:84">
      <c r="BN9230" s="4"/>
      <c r="BO9230" s="4"/>
      <c r="BQ9230" s="4"/>
      <c r="CC9230" s="4"/>
      <c r="CD9230" s="4"/>
      <c r="CF9230" s="4"/>
    </row>
    <row r="9231" spans="66:84">
      <c r="BN9231" s="4"/>
      <c r="BO9231" s="4"/>
      <c r="BQ9231" s="4"/>
      <c r="CC9231" s="4"/>
      <c r="CD9231" s="4"/>
      <c r="CF9231" s="4"/>
    </row>
    <row r="9232" spans="66:84">
      <c r="BN9232" s="4"/>
      <c r="BO9232" s="4"/>
      <c r="BQ9232" s="4"/>
      <c r="CC9232" s="4"/>
      <c r="CD9232" s="4"/>
      <c r="CF9232" s="4"/>
    </row>
    <row r="9233" spans="66:84">
      <c r="BN9233" s="4"/>
      <c r="BO9233" s="4"/>
      <c r="BQ9233" s="4"/>
      <c r="CC9233" s="4"/>
      <c r="CD9233" s="4"/>
      <c r="CF9233" s="4"/>
    </row>
    <row r="9234" spans="66:84">
      <c r="BN9234" s="4"/>
      <c r="BO9234" s="4"/>
      <c r="BQ9234" s="4"/>
      <c r="CC9234" s="4"/>
      <c r="CD9234" s="4"/>
      <c r="CF9234" s="4"/>
    </row>
    <row r="9235" spans="66:84">
      <c r="BN9235" s="4"/>
      <c r="BO9235" s="4"/>
      <c r="BQ9235" s="4"/>
      <c r="CC9235" s="4"/>
      <c r="CD9235" s="4"/>
      <c r="CF9235" s="4"/>
    </row>
    <row r="9236" spans="66:84">
      <c r="BN9236" s="4"/>
      <c r="BO9236" s="4"/>
      <c r="BQ9236" s="4"/>
      <c r="CC9236" s="4"/>
      <c r="CD9236" s="4"/>
      <c r="CF9236" s="4"/>
    </row>
    <row r="9237" spans="66:84">
      <c r="BN9237" s="4"/>
      <c r="BO9237" s="4"/>
      <c r="BQ9237" s="4"/>
      <c r="CC9237" s="4"/>
      <c r="CD9237" s="4"/>
      <c r="CF9237" s="4"/>
    </row>
    <row r="9238" spans="66:84">
      <c r="BN9238" s="4"/>
      <c r="BO9238" s="4"/>
      <c r="BQ9238" s="4"/>
      <c r="CC9238" s="4"/>
      <c r="CD9238" s="4"/>
      <c r="CF9238" s="4"/>
    </row>
    <row r="9239" spans="66:84">
      <c r="BN9239" s="4"/>
      <c r="BO9239" s="4"/>
      <c r="BQ9239" s="4"/>
      <c r="CC9239" s="4"/>
      <c r="CD9239" s="4"/>
      <c r="CF9239" s="4"/>
    </row>
    <row r="9240" spans="66:84">
      <c r="BN9240" s="4"/>
      <c r="BO9240" s="4"/>
      <c r="BQ9240" s="4"/>
      <c r="CC9240" s="4"/>
      <c r="CD9240" s="4"/>
      <c r="CF9240" s="4"/>
    </row>
    <row r="9241" spans="66:84">
      <c r="BN9241" s="4"/>
      <c r="BO9241" s="4"/>
      <c r="BQ9241" s="4"/>
      <c r="CC9241" s="4"/>
      <c r="CD9241" s="4"/>
      <c r="CF9241" s="4"/>
    </row>
    <row r="9242" spans="66:84">
      <c r="BN9242" s="4"/>
      <c r="BO9242" s="4"/>
      <c r="BQ9242" s="4"/>
      <c r="CC9242" s="4"/>
      <c r="CD9242" s="4"/>
      <c r="CF9242" s="4"/>
    </row>
    <row r="9243" spans="66:84">
      <c r="BN9243" s="4"/>
      <c r="BO9243" s="4"/>
      <c r="BQ9243" s="4"/>
      <c r="CC9243" s="4"/>
      <c r="CD9243" s="4"/>
      <c r="CF9243" s="4"/>
    </row>
    <row r="9244" spans="66:84">
      <c r="BN9244" s="4"/>
      <c r="BO9244" s="4"/>
      <c r="BQ9244" s="4"/>
      <c r="CC9244" s="4"/>
      <c r="CD9244" s="4"/>
      <c r="CF9244" s="4"/>
    </row>
    <row r="9245" spans="66:84">
      <c r="BN9245" s="4"/>
      <c r="BO9245" s="4"/>
      <c r="BQ9245" s="4"/>
      <c r="CC9245" s="4"/>
      <c r="CD9245" s="4"/>
      <c r="CF9245" s="4"/>
    </row>
    <row r="9246" spans="66:84">
      <c r="BN9246" s="4"/>
      <c r="BO9246" s="4"/>
      <c r="BQ9246" s="4"/>
      <c r="CC9246" s="4"/>
      <c r="CD9246" s="4"/>
      <c r="CF9246" s="4"/>
    </row>
    <row r="9247" spans="66:84">
      <c r="BN9247" s="4"/>
      <c r="BO9247" s="4"/>
      <c r="BQ9247" s="4"/>
      <c r="CC9247" s="4"/>
      <c r="CD9247" s="4"/>
      <c r="CF9247" s="4"/>
    </row>
    <row r="9248" spans="66:84">
      <c r="BN9248" s="4"/>
      <c r="BO9248" s="4"/>
      <c r="BQ9248" s="4"/>
      <c r="CC9248" s="4"/>
      <c r="CD9248" s="4"/>
      <c r="CF9248" s="4"/>
    </row>
    <row r="9249" spans="66:84">
      <c r="BN9249" s="4"/>
      <c r="BO9249" s="4"/>
      <c r="BQ9249" s="4"/>
      <c r="CC9249" s="4"/>
      <c r="CD9249" s="4"/>
      <c r="CF9249" s="4"/>
    </row>
    <row r="9250" spans="66:84">
      <c r="BN9250" s="4"/>
      <c r="BO9250" s="4"/>
      <c r="BQ9250" s="4"/>
      <c r="CC9250" s="4"/>
      <c r="CD9250" s="4"/>
      <c r="CF9250" s="4"/>
    </row>
    <row r="9251" spans="66:84">
      <c r="BN9251" s="4"/>
      <c r="BO9251" s="4"/>
      <c r="BQ9251" s="4"/>
      <c r="CC9251" s="4"/>
      <c r="CD9251" s="4"/>
      <c r="CF9251" s="4"/>
    </row>
    <row r="9252" spans="66:84">
      <c r="BN9252" s="4"/>
      <c r="BO9252" s="4"/>
      <c r="BQ9252" s="4"/>
      <c r="CC9252" s="4"/>
      <c r="CD9252" s="4"/>
      <c r="CF9252" s="4"/>
    </row>
    <row r="9253" spans="66:84">
      <c r="BN9253" s="4"/>
      <c r="BO9253" s="4"/>
      <c r="BQ9253" s="4"/>
      <c r="CC9253" s="4"/>
      <c r="CD9253" s="4"/>
      <c r="CF9253" s="4"/>
    </row>
    <row r="9254" spans="66:84">
      <c r="BN9254" s="4"/>
      <c r="BO9254" s="4"/>
      <c r="BQ9254" s="4"/>
      <c r="CC9254" s="4"/>
      <c r="CD9254" s="4"/>
      <c r="CF9254" s="4"/>
    </row>
    <row r="9255" spans="66:84">
      <c r="BN9255" s="4"/>
      <c r="BO9255" s="4"/>
      <c r="BQ9255" s="4"/>
      <c r="CC9255" s="4"/>
      <c r="CD9255" s="4"/>
      <c r="CF9255" s="4"/>
    </row>
    <row r="9256" spans="66:84">
      <c r="BN9256" s="4"/>
      <c r="BO9256" s="4"/>
      <c r="BQ9256" s="4"/>
      <c r="CC9256" s="4"/>
      <c r="CD9256" s="4"/>
      <c r="CF9256" s="4"/>
    </row>
    <row r="9257" spans="66:84">
      <c r="BN9257" s="4"/>
      <c r="BO9257" s="4"/>
      <c r="BQ9257" s="4"/>
      <c r="CC9257" s="4"/>
      <c r="CD9257" s="4"/>
      <c r="CF9257" s="4"/>
    </row>
    <row r="9258" spans="66:84">
      <c r="BN9258" s="4"/>
      <c r="BO9258" s="4"/>
      <c r="BQ9258" s="4"/>
      <c r="CC9258" s="4"/>
      <c r="CD9258" s="4"/>
      <c r="CF9258" s="4"/>
    </row>
    <row r="9259" spans="66:84">
      <c r="BN9259" s="4"/>
      <c r="BO9259" s="4"/>
      <c r="BQ9259" s="4"/>
      <c r="CC9259" s="4"/>
      <c r="CD9259" s="4"/>
      <c r="CF9259" s="4"/>
    </row>
    <row r="9260" spans="66:84">
      <c r="BN9260" s="4"/>
      <c r="BO9260" s="4"/>
      <c r="BQ9260" s="4"/>
      <c r="CC9260" s="4"/>
      <c r="CD9260" s="4"/>
      <c r="CF9260" s="4"/>
    </row>
    <row r="9261" spans="66:84">
      <c r="BN9261" s="4"/>
      <c r="BO9261" s="4"/>
      <c r="BQ9261" s="4"/>
      <c r="CC9261" s="4"/>
      <c r="CD9261" s="4"/>
      <c r="CF9261" s="4"/>
    </row>
    <row r="9262" spans="66:84">
      <c r="BN9262" s="4"/>
      <c r="BO9262" s="4"/>
      <c r="BQ9262" s="4"/>
      <c r="CC9262" s="4"/>
      <c r="CD9262" s="4"/>
      <c r="CF9262" s="4"/>
    </row>
    <row r="9263" spans="66:84">
      <c r="BN9263" s="4"/>
      <c r="BO9263" s="4"/>
      <c r="BQ9263" s="4"/>
      <c r="CC9263" s="4"/>
      <c r="CD9263" s="4"/>
      <c r="CF9263" s="4"/>
    </row>
    <row r="9264" spans="66:84">
      <c r="BN9264" s="4"/>
      <c r="BO9264" s="4"/>
      <c r="BQ9264" s="4"/>
      <c r="CC9264" s="4"/>
      <c r="CD9264" s="4"/>
      <c r="CF9264" s="4"/>
    </row>
    <row r="9265" spans="66:84">
      <c r="BN9265" s="4"/>
      <c r="BO9265" s="4"/>
      <c r="BQ9265" s="4"/>
      <c r="CC9265" s="4"/>
      <c r="CD9265" s="4"/>
      <c r="CF9265" s="4"/>
    </row>
    <row r="9266" spans="66:84">
      <c r="BN9266" s="4"/>
      <c r="BO9266" s="4"/>
      <c r="BQ9266" s="4"/>
      <c r="CC9266" s="4"/>
      <c r="CD9266" s="4"/>
      <c r="CF9266" s="4"/>
    </row>
    <row r="9267" spans="66:84">
      <c r="BN9267" s="4"/>
      <c r="BO9267" s="4"/>
      <c r="BQ9267" s="4"/>
      <c r="CC9267" s="4"/>
      <c r="CD9267" s="4"/>
      <c r="CF9267" s="4"/>
    </row>
    <row r="9268" spans="66:84">
      <c r="BN9268" s="4"/>
      <c r="BO9268" s="4"/>
      <c r="BQ9268" s="4"/>
      <c r="CC9268" s="4"/>
      <c r="CD9268" s="4"/>
      <c r="CF9268" s="4"/>
    </row>
    <row r="9269" spans="66:84">
      <c r="BN9269" s="4"/>
      <c r="BO9269" s="4"/>
      <c r="BQ9269" s="4"/>
      <c r="CC9269" s="4"/>
      <c r="CD9269" s="4"/>
      <c r="CF9269" s="4"/>
    </row>
    <row r="9270" spans="66:84">
      <c r="BN9270" s="4"/>
      <c r="BO9270" s="4"/>
      <c r="BQ9270" s="4"/>
      <c r="CC9270" s="4"/>
      <c r="CD9270" s="4"/>
      <c r="CF9270" s="4"/>
    </row>
    <row r="9271" spans="66:84">
      <c r="BN9271" s="4"/>
      <c r="BO9271" s="4"/>
      <c r="BQ9271" s="4"/>
      <c r="CC9271" s="4"/>
      <c r="CD9271" s="4"/>
      <c r="CF9271" s="4"/>
    </row>
    <row r="9272" spans="66:84">
      <c r="BN9272" s="4"/>
      <c r="BO9272" s="4"/>
      <c r="BQ9272" s="4"/>
      <c r="CC9272" s="4"/>
      <c r="CD9272" s="4"/>
      <c r="CF9272" s="4"/>
    </row>
    <row r="9273" spans="66:84">
      <c r="BN9273" s="4"/>
      <c r="BO9273" s="4"/>
      <c r="BQ9273" s="4"/>
      <c r="CC9273" s="4"/>
      <c r="CD9273" s="4"/>
      <c r="CF9273" s="4"/>
    </row>
    <row r="9274" spans="66:84">
      <c r="BN9274" s="4"/>
      <c r="BO9274" s="4"/>
      <c r="BQ9274" s="4"/>
      <c r="CC9274" s="4"/>
      <c r="CD9274" s="4"/>
      <c r="CF9274" s="4"/>
    </row>
    <row r="9275" spans="66:84">
      <c r="BN9275" s="4"/>
      <c r="BO9275" s="4"/>
      <c r="BQ9275" s="4"/>
      <c r="CC9275" s="4"/>
      <c r="CD9275" s="4"/>
      <c r="CF9275" s="4"/>
    </row>
    <row r="9276" spans="66:84">
      <c r="BN9276" s="4"/>
      <c r="BO9276" s="4"/>
      <c r="BQ9276" s="4"/>
      <c r="CC9276" s="4"/>
      <c r="CD9276" s="4"/>
      <c r="CF9276" s="4"/>
    </row>
    <row r="9277" spans="66:84">
      <c r="BN9277" s="4"/>
      <c r="BO9277" s="4"/>
      <c r="BQ9277" s="4"/>
      <c r="CC9277" s="4"/>
      <c r="CD9277" s="4"/>
      <c r="CF9277" s="4"/>
    </row>
    <row r="9278" spans="66:84">
      <c r="BN9278" s="4"/>
      <c r="BO9278" s="4"/>
      <c r="BQ9278" s="4"/>
      <c r="CC9278" s="4"/>
      <c r="CD9278" s="4"/>
      <c r="CF9278" s="4"/>
    </row>
    <row r="9279" spans="66:84">
      <c r="BN9279" s="4"/>
      <c r="BO9279" s="4"/>
      <c r="BQ9279" s="4"/>
      <c r="CC9279" s="4"/>
      <c r="CD9279" s="4"/>
      <c r="CF9279" s="4"/>
    </row>
    <row r="9280" spans="66:84">
      <c r="BN9280" s="4"/>
      <c r="BO9280" s="4"/>
      <c r="BQ9280" s="4"/>
      <c r="CC9280" s="4"/>
      <c r="CD9280" s="4"/>
      <c r="CF9280" s="4"/>
    </row>
    <row r="9281" spans="66:84">
      <c r="BN9281" s="4"/>
      <c r="BO9281" s="4"/>
      <c r="BQ9281" s="4"/>
      <c r="CC9281" s="4"/>
      <c r="CD9281" s="4"/>
      <c r="CF9281" s="4"/>
    </row>
    <row r="9282" spans="66:84">
      <c r="BN9282" s="4"/>
      <c r="BO9282" s="4"/>
      <c r="BQ9282" s="4"/>
      <c r="CC9282" s="4"/>
      <c r="CD9282" s="4"/>
      <c r="CF9282" s="4"/>
    </row>
    <row r="9283" spans="66:84">
      <c r="BN9283" s="4"/>
      <c r="BO9283" s="4"/>
      <c r="BQ9283" s="4"/>
      <c r="CC9283" s="4"/>
      <c r="CD9283" s="4"/>
      <c r="CF9283" s="4"/>
    </row>
    <row r="9284" spans="66:84">
      <c r="BN9284" s="4"/>
      <c r="BO9284" s="4"/>
      <c r="BQ9284" s="4"/>
      <c r="CC9284" s="4"/>
      <c r="CD9284" s="4"/>
      <c r="CF9284" s="4"/>
    </row>
    <row r="9285" spans="66:84">
      <c r="BN9285" s="4"/>
      <c r="BO9285" s="4"/>
      <c r="BQ9285" s="4"/>
      <c r="CC9285" s="4"/>
      <c r="CD9285" s="4"/>
      <c r="CF9285" s="4"/>
    </row>
    <row r="9286" spans="66:84">
      <c r="BN9286" s="4"/>
      <c r="BO9286" s="4"/>
      <c r="BQ9286" s="4"/>
      <c r="CC9286" s="4"/>
      <c r="CD9286" s="4"/>
      <c r="CF9286" s="4"/>
    </row>
    <row r="9287" spans="66:84">
      <c r="BN9287" s="4"/>
      <c r="BO9287" s="4"/>
      <c r="BQ9287" s="4"/>
      <c r="CC9287" s="4"/>
      <c r="CD9287" s="4"/>
      <c r="CF9287" s="4"/>
    </row>
    <row r="9288" spans="66:84">
      <c r="BN9288" s="4"/>
      <c r="BO9288" s="4"/>
      <c r="BQ9288" s="4"/>
      <c r="CC9288" s="4"/>
      <c r="CD9288" s="4"/>
      <c r="CF9288" s="4"/>
    </row>
    <row r="9289" spans="66:84">
      <c r="BN9289" s="4"/>
      <c r="BO9289" s="4"/>
      <c r="BQ9289" s="4"/>
      <c r="CC9289" s="4"/>
      <c r="CD9289" s="4"/>
      <c r="CF9289" s="4"/>
    </row>
    <row r="9290" spans="66:84">
      <c r="BN9290" s="4"/>
      <c r="BO9290" s="4"/>
      <c r="BQ9290" s="4"/>
      <c r="CC9290" s="4"/>
      <c r="CD9290" s="4"/>
      <c r="CF9290" s="4"/>
    </row>
    <row r="9291" spans="66:84">
      <c r="BN9291" s="4"/>
      <c r="BO9291" s="4"/>
      <c r="BQ9291" s="4"/>
      <c r="CC9291" s="4"/>
      <c r="CD9291" s="4"/>
      <c r="CF9291" s="4"/>
    </row>
    <row r="9292" spans="66:84">
      <c r="BN9292" s="4"/>
      <c r="BO9292" s="4"/>
      <c r="BQ9292" s="4"/>
      <c r="CC9292" s="4"/>
      <c r="CD9292" s="4"/>
      <c r="CF9292" s="4"/>
    </row>
    <row r="9293" spans="66:84">
      <c r="BN9293" s="4"/>
      <c r="BO9293" s="4"/>
      <c r="BQ9293" s="4"/>
      <c r="CC9293" s="4"/>
      <c r="CD9293" s="4"/>
      <c r="CF9293" s="4"/>
    </row>
    <row r="9294" spans="66:84">
      <c r="BN9294" s="4"/>
      <c r="BO9294" s="4"/>
      <c r="BQ9294" s="4"/>
      <c r="CC9294" s="4"/>
      <c r="CD9294" s="4"/>
      <c r="CF9294" s="4"/>
    </row>
    <row r="9295" spans="66:84">
      <c r="BN9295" s="4"/>
      <c r="BO9295" s="4"/>
      <c r="BQ9295" s="4"/>
      <c r="CC9295" s="4"/>
      <c r="CD9295" s="4"/>
      <c r="CF9295" s="4"/>
    </row>
    <row r="9296" spans="66:84">
      <c r="BN9296" s="4"/>
      <c r="BO9296" s="4"/>
      <c r="BQ9296" s="4"/>
      <c r="CC9296" s="4"/>
      <c r="CD9296" s="4"/>
      <c r="CF9296" s="4"/>
    </row>
    <row r="9297" spans="66:84">
      <c r="BN9297" s="4"/>
      <c r="BO9297" s="4"/>
      <c r="BQ9297" s="4"/>
      <c r="CC9297" s="4"/>
      <c r="CD9297" s="4"/>
      <c r="CF9297" s="4"/>
    </row>
    <row r="9298" spans="66:84">
      <c r="BN9298" s="4"/>
      <c r="BO9298" s="4"/>
      <c r="BQ9298" s="4"/>
      <c r="CC9298" s="4"/>
      <c r="CD9298" s="4"/>
      <c r="CF9298" s="4"/>
    </row>
    <row r="9299" spans="66:84">
      <c r="BN9299" s="4"/>
      <c r="BO9299" s="4"/>
      <c r="BQ9299" s="4"/>
      <c r="CC9299" s="4"/>
      <c r="CD9299" s="4"/>
      <c r="CF9299" s="4"/>
    </row>
    <row r="9300" spans="66:84">
      <c r="BN9300" s="4"/>
      <c r="BO9300" s="4"/>
      <c r="BQ9300" s="4"/>
      <c r="CC9300" s="4"/>
      <c r="CD9300" s="4"/>
      <c r="CF9300" s="4"/>
    </row>
    <row r="9301" spans="66:84">
      <c r="BN9301" s="4"/>
      <c r="BO9301" s="4"/>
      <c r="BQ9301" s="4"/>
      <c r="CC9301" s="4"/>
      <c r="CD9301" s="4"/>
      <c r="CF9301" s="4"/>
    </row>
    <row r="9302" spans="66:84">
      <c r="BN9302" s="4"/>
      <c r="BO9302" s="4"/>
      <c r="BQ9302" s="4"/>
      <c r="CC9302" s="4"/>
      <c r="CD9302" s="4"/>
      <c r="CF9302" s="4"/>
    </row>
    <row r="9303" spans="66:84">
      <c r="BN9303" s="4"/>
      <c r="BO9303" s="4"/>
      <c r="BQ9303" s="4"/>
      <c r="CC9303" s="4"/>
      <c r="CD9303" s="4"/>
      <c r="CF9303" s="4"/>
    </row>
    <row r="9304" spans="66:84">
      <c r="BN9304" s="4"/>
      <c r="BO9304" s="4"/>
      <c r="BQ9304" s="4"/>
      <c r="CC9304" s="4"/>
      <c r="CD9304" s="4"/>
      <c r="CF9304" s="4"/>
    </row>
    <row r="9305" spans="66:84">
      <c r="BN9305" s="4"/>
      <c r="BO9305" s="4"/>
      <c r="BQ9305" s="4"/>
      <c r="CC9305" s="4"/>
      <c r="CD9305" s="4"/>
      <c r="CF9305" s="4"/>
    </row>
    <row r="9306" spans="66:84">
      <c r="BN9306" s="4"/>
      <c r="BO9306" s="4"/>
      <c r="BQ9306" s="4"/>
      <c r="CC9306" s="4"/>
      <c r="CD9306" s="4"/>
      <c r="CF9306" s="4"/>
    </row>
    <row r="9307" spans="66:84">
      <c r="BN9307" s="4"/>
      <c r="BO9307" s="4"/>
      <c r="BQ9307" s="4"/>
      <c r="CC9307" s="4"/>
      <c r="CD9307" s="4"/>
      <c r="CF9307" s="4"/>
    </row>
    <row r="9308" spans="66:84">
      <c r="BN9308" s="4"/>
      <c r="BO9308" s="4"/>
      <c r="BQ9308" s="4"/>
      <c r="CC9308" s="4"/>
      <c r="CD9308" s="4"/>
      <c r="CF9308" s="4"/>
    </row>
    <row r="9309" spans="66:84">
      <c r="BN9309" s="4"/>
      <c r="BO9309" s="4"/>
      <c r="BQ9309" s="4"/>
      <c r="CC9309" s="4"/>
      <c r="CD9309" s="4"/>
      <c r="CF9309" s="4"/>
    </row>
    <row r="9310" spans="66:84">
      <c r="BN9310" s="4"/>
      <c r="BO9310" s="4"/>
      <c r="BQ9310" s="4"/>
      <c r="CC9310" s="4"/>
      <c r="CD9310" s="4"/>
      <c r="CF9310" s="4"/>
    </row>
    <row r="9311" spans="66:84">
      <c r="BN9311" s="4"/>
      <c r="BO9311" s="4"/>
      <c r="BQ9311" s="4"/>
      <c r="CC9311" s="4"/>
      <c r="CD9311" s="4"/>
      <c r="CF9311" s="4"/>
    </row>
    <row r="9312" spans="66:84">
      <c r="BN9312" s="4"/>
      <c r="BO9312" s="4"/>
      <c r="BQ9312" s="4"/>
      <c r="CC9312" s="4"/>
      <c r="CD9312" s="4"/>
      <c r="CF9312" s="4"/>
    </row>
    <row r="9313" spans="66:84">
      <c r="BN9313" s="4"/>
      <c r="BO9313" s="4"/>
      <c r="BQ9313" s="4"/>
      <c r="CC9313" s="4"/>
      <c r="CD9313" s="4"/>
      <c r="CF9313" s="4"/>
    </row>
    <row r="9314" spans="66:84">
      <c r="BN9314" s="4"/>
      <c r="BO9314" s="4"/>
      <c r="BQ9314" s="4"/>
      <c r="CC9314" s="4"/>
      <c r="CD9314" s="4"/>
      <c r="CF9314" s="4"/>
    </row>
    <row r="9315" spans="66:84">
      <c r="BN9315" s="4"/>
      <c r="BO9315" s="4"/>
      <c r="BQ9315" s="4"/>
      <c r="CC9315" s="4"/>
      <c r="CD9315" s="4"/>
      <c r="CF9315" s="4"/>
    </row>
    <row r="9316" spans="66:84">
      <c r="BN9316" s="4"/>
      <c r="BO9316" s="4"/>
      <c r="BQ9316" s="4"/>
      <c r="CC9316" s="4"/>
      <c r="CD9316" s="4"/>
      <c r="CF9316" s="4"/>
    </row>
    <row r="9317" spans="66:84">
      <c r="BN9317" s="4"/>
      <c r="BO9317" s="4"/>
      <c r="BQ9317" s="4"/>
      <c r="CC9317" s="4"/>
      <c r="CD9317" s="4"/>
      <c r="CF9317" s="4"/>
    </row>
    <row r="9318" spans="66:84">
      <c r="BN9318" s="4"/>
      <c r="BO9318" s="4"/>
      <c r="BQ9318" s="4"/>
      <c r="CC9318" s="4"/>
      <c r="CD9318" s="4"/>
      <c r="CF9318" s="4"/>
    </row>
    <row r="9319" spans="66:84">
      <c r="BN9319" s="4"/>
      <c r="BO9319" s="4"/>
      <c r="BQ9319" s="4"/>
      <c r="CC9319" s="4"/>
      <c r="CD9319" s="4"/>
      <c r="CF9319" s="4"/>
    </row>
    <row r="9320" spans="66:84">
      <c r="BN9320" s="4"/>
      <c r="BO9320" s="4"/>
      <c r="BQ9320" s="4"/>
      <c r="CC9320" s="4"/>
      <c r="CD9320" s="4"/>
      <c r="CF9320" s="4"/>
    </row>
    <row r="9321" spans="66:84">
      <c r="BN9321" s="4"/>
      <c r="BO9321" s="4"/>
      <c r="BQ9321" s="4"/>
      <c r="CC9321" s="4"/>
      <c r="CD9321" s="4"/>
      <c r="CF9321" s="4"/>
    </row>
    <row r="9322" spans="66:84">
      <c r="BN9322" s="4"/>
      <c r="BO9322" s="4"/>
      <c r="BQ9322" s="4"/>
      <c r="CC9322" s="4"/>
      <c r="CD9322" s="4"/>
      <c r="CF9322" s="4"/>
    </row>
    <row r="9323" spans="66:84">
      <c r="BN9323" s="4"/>
      <c r="BO9323" s="4"/>
      <c r="BQ9323" s="4"/>
      <c r="CC9323" s="4"/>
      <c r="CD9323" s="4"/>
      <c r="CF9323" s="4"/>
    </row>
    <row r="9324" spans="66:84">
      <c r="BN9324" s="4"/>
      <c r="BO9324" s="4"/>
      <c r="BQ9324" s="4"/>
      <c r="CC9324" s="4"/>
      <c r="CD9324" s="4"/>
      <c r="CF9324" s="4"/>
    </row>
    <row r="9325" spans="66:84">
      <c r="BN9325" s="4"/>
      <c r="BO9325" s="4"/>
      <c r="BQ9325" s="4"/>
      <c r="CC9325" s="4"/>
      <c r="CD9325" s="4"/>
      <c r="CF9325" s="4"/>
    </row>
    <row r="9326" spans="66:84">
      <c r="BN9326" s="4"/>
      <c r="BO9326" s="4"/>
      <c r="BQ9326" s="4"/>
      <c r="CC9326" s="4"/>
      <c r="CD9326" s="4"/>
      <c r="CF9326" s="4"/>
    </row>
    <row r="9327" spans="66:84">
      <c r="BN9327" s="4"/>
      <c r="BO9327" s="4"/>
      <c r="BQ9327" s="4"/>
      <c r="CC9327" s="4"/>
      <c r="CD9327" s="4"/>
      <c r="CF9327" s="4"/>
    </row>
    <row r="9328" spans="66:84">
      <c r="BN9328" s="4"/>
      <c r="BO9328" s="4"/>
      <c r="BQ9328" s="4"/>
      <c r="CC9328" s="4"/>
      <c r="CD9328" s="4"/>
      <c r="CF9328" s="4"/>
    </row>
    <row r="9329" spans="66:84">
      <c r="BN9329" s="4"/>
      <c r="BO9329" s="4"/>
      <c r="BQ9329" s="4"/>
      <c r="CC9329" s="4"/>
      <c r="CD9329" s="4"/>
      <c r="CF9329" s="4"/>
    </row>
    <row r="9330" spans="66:84">
      <c r="BN9330" s="4"/>
      <c r="BO9330" s="4"/>
      <c r="BQ9330" s="4"/>
      <c r="CC9330" s="4"/>
      <c r="CD9330" s="4"/>
      <c r="CF9330" s="4"/>
    </row>
    <row r="9331" spans="66:84">
      <c r="BN9331" s="4"/>
      <c r="BO9331" s="4"/>
      <c r="BQ9331" s="4"/>
      <c r="CC9331" s="4"/>
      <c r="CD9331" s="4"/>
      <c r="CF9331" s="4"/>
    </row>
    <row r="9332" spans="66:84">
      <c r="BN9332" s="4"/>
      <c r="BO9332" s="4"/>
      <c r="BQ9332" s="4"/>
      <c r="CC9332" s="4"/>
      <c r="CD9332" s="4"/>
      <c r="CF9332" s="4"/>
    </row>
    <row r="9333" spans="66:84">
      <c r="BN9333" s="4"/>
      <c r="BO9333" s="4"/>
      <c r="BQ9333" s="4"/>
      <c r="CC9333" s="4"/>
      <c r="CD9333" s="4"/>
      <c r="CF9333" s="4"/>
    </row>
    <row r="9334" spans="66:84">
      <c r="BN9334" s="4"/>
      <c r="BO9334" s="4"/>
      <c r="BQ9334" s="4"/>
      <c r="CC9334" s="4"/>
      <c r="CD9334" s="4"/>
      <c r="CF9334" s="4"/>
    </row>
    <row r="9335" spans="66:84">
      <c r="BN9335" s="4"/>
      <c r="BO9335" s="4"/>
      <c r="BQ9335" s="4"/>
      <c r="CC9335" s="4"/>
      <c r="CD9335" s="4"/>
      <c r="CF9335" s="4"/>
    </row>
    <row r="9336" spans="66:84">
      <c r="BN9336" s="4"/>
      <c r="BO9336" s="4"/>
      <c r="BQ9336" s="4"/>
      <c r="CC9336" s="4"/>
      <c r="CD9336" s="4"/>
      <c r="CF9336" s="4"/>
    </row>
    <row r="9337" spans="66:84">
      <c r="BN9337" s="4"/>
      <c r="BO9337" s="4"/>
      <c r="BQ9337" s="4"/>
      <c r="CC9337" s="4"/>
      <c r="CD9337" s="4"/>
      <c r="CF9337" s="4"/>
    </row>
    <row r="9338" spans="66:84">
      <c r="BN9338" s="4"/>
      <c r="BO9338" s="4"/>
      <c r="BQ9338" s="4"/>
      <c r="CC9338" s="4"/>
      <c r="CD9338" s="4"/>
      <c r="CF9338" s="4"/>
    </row>
    <row r="9339" spans="66:84">
      <c r="BN9339" s="4"/>
      <c r="BO9339" s="4"/>
      <c r="BQ9339" s="4"/>
      <c r="CC9339" s="4"/>
      <c r="CD9339" s="4"/>
      <c r="CF9339" s="4"/>
    </row>
    <row r="9340" spans="66:84">
      <c r="BN9340" s="4"/>
      <c r="BO9340" s="4"/>
      <c r="BQ9340" s="4"/>
      <c r="CC9340" s="4"/>
      <c r="CD9340" s="4"/>
      <c r="CF9340" s="4"/>
    </row>
    <row r="9341" spans="66:84">
      <c r="BN9341" s="4"/>
      <c r="BO9341" s="4"/>
      <c r="BQ9341" s="4"/>
      <c r="CC9341" s="4"/>
      <c r="CD9341" s="4"/>
      <c r="CF9341" s="4"/>
    </row>
    <row r="9342" spans="66:84">
      <c r="BN9342" s="4"/>
      <c r="BO9342" s="4"/>
      <c r="BQ9342" s="4"/>
      <c r="CC9342" s="4"/>
      <c r="CD9342" s="4"/>
      <c r="CF9342" s="4"/>
    </row>
    <row r="9343" spans="66:84">
      <c r="BN9343" s="4"/>
      <c r="BO9343" s="4"/>
      <c r="BQ9343" s="4"/>
      <c r="CC9343" s="4"/>
      <c r="CD9343" s="4"/>
      <c r="CF9343" s="4"/>
    </row>
    <row r="9344" spans="66:84">
      <c r="BN9344" s="4"/>
      <c r="BO9344" s="4"/>
      <c r="BQ9344" s="4"/>
      <c r="CC9344" s="4"/>
      <c r="CD9344" s="4"/>
      <c r="CF9344" s="4"/>
    </row>
    <row r="9345" spans="66:84">
      <c r="BN9345" s="4"/>
      <c r="BO9345" s="4"/>
      <c r="BQ9345" s="4"/>
      <c r="CC9345" s="4"/>
      <c r="CD9345" s="4"/>
      <c r="CF9345" s="4"/>
    </row>
    <row r="9346" spans="66:84">
      <c r="BN9346" s="4"/>
      <c r="BO9346" s="4"/>
      <c r="BQ9346" s="4"/>
      <c r="CC9346" s="4"/>
      <c r="CD9346" s="4"/>
      <c r="CF9346" s="4"/>
    </row>
    <row r="9347" spans="66:84">
      <c r="BN9347" s="4"/>
      <c r="BO9347" s="4"/>
      <c r="BQ9347" s="4"/>
      <c r="CC9347" s="4"/>
      <c r="CD9347" s="4"/>
      <c r="CF9347" s="4"/>
    </row>
    <row r="9348" spans="66:84">
      <c r="BN9348" s="4"/>
      <c r="BO9348" s="4"/>
      <c r="BQ9348" s="4"/>
      <c r="CC9348" s="4"/>
      <c r="CD9348" s="4"/>
      <c r="CF9348" s="4"/>
    </row>
    <row r="9349" spans="66:84">
      <c r="BN9349" s="4"/>
      <c r="BO9349" s="4"/>
      <c r="BQ9349" s="4"/>
      <c r="CC9349" s="4"/>
      <c r="CD9349" s="4"/>
      <c r="CF9349" s="4"/>
    </row>
    <row r="9350" spans="66:84">
      <c r="BN9350" s="4"/>
      <c r="BO9350" s="4"/>
      <c r="BQ9350" s="4"/>
      <c r="CC9350" s="4"/>
      <c r="CD9350" s="4"/>
      <c r="CF9350" s="4"/>
    </row>
    <row r="9351" spans="66:84">
      <c r="BN9351" s="4"/>
      <c r="BO9351" s="4"/>
      <c r="BQ9351" s="4"/>
      <c r="CC9351" s="4"/>
      <c r="CD9351" s="4"/>
      <c r="CF9351" s="4"/>
    </row>
    <row r="9352" spans="66:84">
      <c r="BN9352" s="4"/>
      <c r="BO9352" s="4"/>
      <c r="BQ9352" s="4"/>
      <c r="CC9352" s="4"/>
      <c r="CD9352" s="4"/>
      <c r="CF9352" s="4"/>
    </row>
    <row r="9353" spans="66:84">
      <c r="BN9353" s="4"/>
      <c r="BO9353" s="4"/>
      <c r="BQ9353" s="4"/>
      <c r="CC9353" s="4"/>
      <c r="CD9353" s="4"/>
      <c r="CF9353" s="4"/>
    </row>
    <row r="9354" spans="66:84">
      <c r="BN9354" s="4"/>
      <c r="BO9354" s="4"/>
      <c r="BQ9354" s="4"/>
      <c r="CC9354" s="4"/>
      <c r="CD9354" s="4"/>
      <c r="CF9354" s="4"/>
    </row>
    <row r="9355" spans="66:84">
      <c r="BN9355" s="4"/>
      <c r="BO9355" s="4"/>
      <c r="BQ9355" s="4"/>
      <c r="CC9355" s="4"/>
      <c r="CD9355" s="4"/>
      <c r="CF9355" s="4"/>
    </row>
    <row r="9356" spans="66:84">
      <c r="BN9356" s="4"/>
      <c r="BO9356" s="4"/>
      <c r="BQ9356" s="4"/>
      <c r="CC9356" s="4"/>
      <c r="CD9356" s="4"/>
      <c r="CF9356" s="4"/>
    </row>
    <row r="9357" spans="66:84">
      <c r="BN9357" s="4"/>
      <c r="BO9357" s="4"/>
      <c r="BQ9357" s="4"/>
      <c r="CC9357" s="4"/>
      <c r="CD9357" s="4"/>
      <c r="CF9357" s="4"/>
    </row>
    <row r="9358" spans="66:84">
      <c r="BN9358" s="4"/>
      <c r="BO9358" s="4"/>
      <c r="BQ9358" s="4"/>
      <c r="CC9358" s="4"/>
      <c r="CD9358" s="4"/>
      <c r="CF9358" s="4"/>
    </row>
    <row r="9359" spans="66:84">
      <c r="BN9359" s="4"/>
      <c r="BO9359" s="4"/>
      <c r="BQ9359" s="4"/>
      <c r="CC9359" s="4"/>
      <c r="CD9359" s="4"/>
      <c r="CF9359" s="4"/>
    </row>
    <row r="9360" spans="66:84">
      <c r="BN9360" s="4"/>
      <c r="BO9360" s="4"/>
      <c r="BQ9360" s="4"/>
      <c r="CC9360" s="4"/>
      <c r="CD9360" s="4"/>
      <c r="CF9360" s="4"/>
    </row>
    <row r="9361" spans="66:84">
      <c r="BN9361" s="4"/>
      <c r="BO9361" s="4"/>
      <c r="BQ9361" s="4"/>
      <c r="CC9361" s="4"/>
      <c r="CD9361" s="4"/>
      <c r="CF9361" s="4"/>
    </row>
    <row r="9362" spans="66:84">
      <c r="BN9362" s="4"/>
      <c r="BO9362" s="4"/>
      <c r="BQ9362" s="4"/>
      <c r="CC9362" s="4"/>
      <c r="CD9362" s="4"/>
      <c r="CF9362" s="4"/>
    </row>
    <row r="9363" spans="66:84">
      <c r="BN9363" s="4"/>
      <c r="BO9363" s="4"/>
      <c r="BQ9363" s="4"/>
      <c r="CC9363" s="4"/>
      <c r="CD9363" s="4"/>
      <c r="CF9363" s="4"/>
    </row>
    <row r="9364" spans="66:84">
      <c r="BN9364" s="4"/>
      <c r="BO9364" s="4"/>
      <c r="BQ9364" s="4"/>
      <c r="CC9364" s="4"/>
      <c r="CD9364" s="4"/>
      <c r="CF9364" s="4"/>
    </row>
    <row r="9365" spans="66:84">
      <c r="BN9365" s="4"/>
      <c r="BO9365" s="4"/>
      <c r="BQ9365" s="4"/>
      <c r="CC9365" s="4"/>
      <c r="CD9365" s="4"/>
      <c r="CF9365" s="4"/>
    </row>
    <row r="9366" spans="66:84">
      <c r="BN9366" s="4"/>
      <c r="BO9366" s="4"/>
      <c r="BQ9366" s="4"/>
      <c r="CC9366" s="4"/>
      <c r="CD9366" s="4"/>
      <c r="CF9366" s="4"/>
    </row>
    <row r="9367" spans="66:84">
      <c r="BN9367" s="4"/>
      <c r="BO9367" s="4"/>
      <c r="BQ9367" s="4"/>
      <c r="CC9367" s="4"/>
      <c r="CD9367" s="4"/>
      <c r="CF9367" s="4"/>
    </row>
    <row r="9368" spans="66:84">
      <c r="BN9368" s="4"/>
      <c r="BO9368" s="4"/>
      <c r="BQ9368" s="4"/>
      <c r="CC9368" s="4"/>
      <c r="CD9368" s="4"/>
      <c r="CF9368" s="4"/>
    </row>
    <row r="9369" spans="66:84">
      <c r="BN9369" s="4"/>
      <c r="BO9369" s="4"/>
      <c r="BQ9369" s="4"/>
      <c r="CC9369" s="4"/>
      <c r="CD9369" s="4"/>
      <c r="CF9369" s="4"/>
    </row>
    <row r="9370" spans="66:84">
      <c r="BN9370" s="4"/>
      <c r="BO9370" s="4"/>
      <c r="BQ9370" s="4"/>
      <c r="CC9370" s="4"/>
      <c r="CD9370" s="4"/>
      <c r="CF9370" s="4"/>
    </row>
    <row r="9371" spans="66:84">
      <c r="BN9371" s="4"/>
      <c r="BO9371" s="4"/>
      <c r="BQ9371" s="4"/>
      <c r="CC9371" s="4"/>
      <c r="CD9371" s="4"/>
      <c r="CF9371" s="4"/>
    </row>
    <row r="9372" spans="66:84">
      <c r="BN9372" s="4"/>
      <c r="BO9372" s="4"/>
      <c r="BQ9372" s="4"/>
      <c r="CC9372" s="4"/>
      <c r="CD9372" s="4"/>
      <c r="CF9372" s="4"/>
    </row>
    <row r="9373" spans="66:84">
      <c r="BN9373" s="4"/>
      <c r="BO9373" s="4"/>
      <c r="BQ9373" s="4"/>
      <c r="CC9373" s="4"/>
      <c r="CD9373" s="4"/>
      <c r="CF9373" s="4"/>
    </row>
    <row r="9374" spans="66:84">
      <c r="BN9374" s="4"/>
      <c r="BO9374" s="4"/>
      <c r="BQ9374" s="4"/>
      <c r="CC9374" s="4"/>
      <c r="CD9374" s="4"/>
      <c r="CF9374" s="4"/>
    </row>
    <row r="9375" spans="66:84">
      <c r="BN9375" s="4"/>
      <c r="BO9375" s="4"/>
      <c r="BQ9375" s="4"/>
      <c r="CC9375" s="4"/>
      <c r="CD9375" s="4"/>
      <c r="CF9375" s="4"/>
    </row>
    <row r="9376" spans="66:84">
      <c r="BN9376" s="4"/>
      <c r="BO9376" s="4"/>
      <c r="BQ9376" s="4"/>
      <c r="CC9376" s="4"/>
      <c r="CD9376" s="4"/>
      <c r="CF9376" s="4"/>
    </row>
    <row r="9377" spans="66:84">
      <c r="BN9377" s="4"/>
      <c r="BO9377" s="4"/>
      <c r="BQ9377" s="4"/>
      <c r="CC9377" s="4"/>
      <c r="CD9377" s="4"/>
      <c r="CF9377" s="4"/>
    </row>
    <row r="9378" spans="66:84">
      <c r="BN9378" s="4"/>
      <c r="BO9378" s="4"/>
      <c r="BQ9378" s="4"/>
      <c r="CC9378" s="4"/>
      <c r="CD9378" s="4"/>
      <c r="CF9378" s="4"/>
    </row>
    <row r="9379" spans="66:84">
      <c r="BN9379" s="4"/>
      <c r="BO9379" s="4"/>
      <c r="BQ9379" s="4"/>
      <c r="CC9379" s="4"/>
      <c r="CD9379" s="4"/>
      <c r="CF9379" s="4"/>
    </row>
    <row r="9380" spans="66:84">
      <c r="BN9380" s="4"/>
      <c r="BO9380" s="4"/>
      <c r="BQ9380" s="4"/>
      <c r="CC9380" s="4"/>
      <c r="CD9380" s="4"/>
      <c r="CF9380" s="4"/>
    </row>
    <row r="9381" spans="66:84">
      <c r="BN9381" s="4"/>
      <c r="BO9381" s="4"/>
      <c r="BQ9381" s="4"/>
      <c r="CC9381" s="4"/>
      <c r="CD9381" s="4"/>
      <c r="CF9381" s="4"/>
    </row>
    <row r="9382" spans="66:84">
      <c r="BN9382" s="4"/>
      <c r="BO9382" s="4"/>
      <c r="BQ9382" s="4"/>
      <c r="CC9382" s="4"/>
      <c r="CD9382" s="4"/>
      <c r="CF9382" s="4"/>
    </row>
    <row r="9383" spans="66:84">
      <c r="BN9383" s="4"/>
      <c r="BO9383" s="4"/>
      <c r="BQ9383" s="4"/>
      <c r="CC9383" s="4"/>
      <c r="CD9383" s="4"/>
      <c r="CF9383" s="4"/>
    </row>
    <row r="9384" spans="66:84">
      <c r="BN9384" s="4"/>
      <c r="BO9384" s="4"/>
      <c r="BQ9384" s="4"/>
      <c r="CC9384" s="4"/>
      <c r="CD9384" s="4"/>
      <c r="CF9384" s="4"/>
    </row>
    <row r="9385" spans="66:84">
      <c r="BN9385" s="4"/>
      <c r="BO9385" s="4"/>
      <c r="BQ9385" s="4"/>
      <c r="CC9385" s="4"/>
      <c r="CD9385" s="4"/>
      <c r="CF9385" s="4"/>
    </row>
    <row r="9386" spans="66:84">
      <c r="BN9386" s="4"/>
      <c r="BO9386" s="4"/>
      <c r="BQ9386" s="4"/>
      <c r="CC9386" s="4"/>
      <c r="CD9386" s="4"/>
      <c r="CF9386" s="4"/>
    </row>
    <row r="9387" spans="66:84">
      <c r="BN9387" s="4"/>
      <c r="BO9387" s="4"/>
      <c r="BQ9387" s="4"/>
      <c r="CC9387" s="4"/>
      <c r="CD9387" s="4"/>
      <c r="CF9387" s="4"/>
    </row>
    <row r="9388" spans="66:84">
      <c r="BN9388" s="4"/>
      <c r="BO9388" s="4"/>
      <c r="BQ9388" s="4"/>
      <c r="CC9388" s="4"/>
      <c r="CD9388" s="4"/>
      <c r="CF9388" s="4"/>
    </row>
    <row r="9389" spans="66:84">
      <c r="BN9389" s="4"/>
      <c r="BO9389" s="4"/>
      <c r="BQ9389" s="4"/>
      <c r="CC9389" s="4"/>
      <c r="CD9389" s="4"/>
      <c r="CF9389" s="4"/>
    </row>
    <row r="9390" spans="66:84">
      <c r="BN9390" s="4"/>
      <c r="BO9390" s="4"/>
      <c r="BQ9390" s="4"/>
      <c r="CC9390" s="4"/>
      <c r="CD9390" s="4"/>
      <c r="CF9390" s="4"/>
    </row>
    <row r="9391" spans="66:84">
      <c r="BN9391" s="4"/>
      <c r="BO9391" s="4"/>
      <c r="BQ9391" s="4"/>
      <c r="CC9391" s="4"/>
      <c r="CD9391" s="4"/>
      <c r="CF9391" s="4"/>
    </row>
    <row r="9392" spans="66:84">
      <c r="BN9392" s="4"/>
      <c r="BO9392" s="4"/>
      <c r="BQ9392" s="4"/>
      <c r="CC9392" s="4"/>
      <c r="CD9392" s="4"/>
      <c r="CF9392" s="4"/>
    </row>
    <row r="9393" spans="66:84">
      <c r="BN9393" s="4"/>
      <c r="BO9393" s="4"/>
      <c r="BQ9393" s="4"/>
      <c r="CC9393" s="4"/>
      <c r="CD9393" s="4"/>
      <c r="CF9393" s="4"/>
    </row>
    <row r="9394" spans="66:84">
      <c r="BN9394" s="4"/>
      <c r="BO9394" s="4"/>
      <c r="BQ9394" s="4"/>
      <c r="CC9394" s="4"/>
      <c r="CD9394" s="4"/>
      <c r="CF9394" s="4"/>
    </row>
    <row r="9395" spans="66:84">
      <c r="BN9395" s="4"/>
      <c r="BO9395" s="4"/>
      <c r="BQ9395" s="4"/>
      <c r="CC9395" s="4"/>
      <c r="CD9395" s="4"/>
      <c r="CF9395" s="4"/>
    </row>
    <row r="9396" spans="66:84">
      <c r="BN9396" s="4"/>
      <c r="BO9396" s="4"/>
      <c r="BQ9396" s="4"/>
      <c r="CC9396" s="4"/>
      <c r="CD9396" s="4"/>
      <c r="CF9396" s="4"/>
    </row>
    <row r="9397" spans="66:84">
      <c r="BN9397" s="4"/>
      <c r="BO9397" s="4"/>
      <c r="BQ9397" s="4"/>
      <c r="CC9397" s="4"/>
      <c r="CD9397" s="4"/>
      <c r="CF9397" s="4"/>
    </row>
    <row r="9398" spans="66:84">
      <c r="BN9398" s="4"/>
      <c r="BO9398" s="4"/>
      <c r="BQ9398" s="4"/>
      <c r="CC9398" s="4"/>
      <c r="CD9398" s="4"/>
      <c r="CF9398" s="4"/>
    </row>
    <row r="9399" spans="66:84">
      <c r="BN9399" s="4"/>
      <c r="BO9399" s="4"/>
      <c r="BQ9399" s="4"/>
      <c r="CC9399" s="4"/>
      <c r="CD9399" s="4"/>
      <c r="CF9399" s="4"/>
    </row>
    <row r="9400" spans="66:84">
      <c r="BN9400" s="4"/>
      <c r="BO9400" s="4"/>
      <c r="BQ9400" s="4"/>
      <c r="CC9400" s="4"/>
      <c r="CD9400" s="4"/>
      <c r="CF9400" s="4"/>
    </row>
    <row r="9401" spans="66:84">
      <c r="BN9401" s="4"/>
      <c r="BO9401" s="4"/>
      <c r="BQ9401" s="4"/>
      <c r="CC9401" s="4"/>
      <c r="CD9401" s="4"/>
      <c r="CF9401" s="4"/>
    </row>
    <row r="9402" spans="66:84">
      <c r="BN9402" s="4"/>
      <c r="BO9402" s="4"/>
      <c r="BQ9402" s="4"/>
      <c r="CC9402" s="4"/>
      <c r="CD9402" s="4"/>
      <c r="CF9402" s="4"/>
    </row>
    <row r="9403" spans="66:84">
      <c r="BN9403" s="4"/>
      <c r="BO9403" s="4"/>
      <c r="BQ9403" s="4"/>
      <c r="CC9403" s="4"/>
      <c r="CD9403" s="4"/>
      <c r="CF9403" s="4"/>
    </row>
    <row r="9404" spans="66:84">
      <c r="BN9404" s="4"/>
      <c r="BO9404" s="4"/>
      <c r="BQ9404" s="4"/>
      <c r="CC9404" s="4"/>
      <c r="CD9404" s="4"/>
      <c r="CF9404" s="4"/>
    </row>
    <row r="9405" spans="66:84">
      <c r="BN9405" s="4"/>
      <c r="BO9405" s="4"/>
      <c r="BQ9405" s="4"/>
      <c r="CC9405" s="4"/>
      <c r="CD9405" s="4"/>
      <c r="CF9405" s="4"/>
    </row>
    <row r="9406" spans="66:84">
      <c r="BN9406" s="4"/>
      <c r="BO9406" s="4"/>
      <c r="BQ9406" s="4"/>
      <c r="CC9406" s="4"/>
      <c r="CD9406" s="4"/>
      <c r="CF9406" s="4"/>
    </row>
    <row r="9407" spans="66:84">
      <c r="BN9407" s="4"/>
      <c r="BO9407" s="4"/>
      <c r="BQ9407" s="4"/>
      <c r="CC9407" s="4"/>
      <c r="CD9407" s="4"/>
      <c r="CF9407" s="4"/>
    </row>
    <row r="9408" spans="66:84">
      <c r="BN9408" s="4"/>
      <c r="BO9408" s="4"/>
      <c r="BQ9408" s="4"/>
      <c r="CC9408" s="4"/>
      <c r="CD9408" s="4"/>
      <c r="CF9408" s="4"/>
    </row>
    <row r="9409" spans="66:84">
      <c r="BN9409" s="4"/>
      <c r="BO9409" s="4"/>
      <c r="BQ9409" s="4"/>
      <c r="CC9409" s="4"/>
      <c r="CD9409" s="4"/>
      <c r="CF9409" s="4"/>
    </row>
    <row r="9410" spans="66:84">
      <c r="BN9410" s="4"/>
      <c r="BO9410" s="4"/>
      <c r="BQ9410" s="4"/>
      <c r="CC9410" s="4"/>
      <c r="CD9410" s="4"/>
      <c r="CF9410" s="4"/>
    </row>
    <row r="9411" spans="66:84">
      <c r="BN9411" s="4"/>
      <c r="BO9411" s="4"/>
      <c r="BQ9411" s="4"/>
      <c r="CC9411" s="4"/>
      <c r="CD9411" s="4"/>
      <c r="CF9411" s="4"/>
    </row>
    <row r="9412" spans="66:84">
      <c r="BN9412" s="4"/>
      <c r="BO9412" s="4"/>
      <c r="BQ9412" s="4"/>
      <c r="CC9412" s="4"/>
      <c r="CD9412" s="4"/>
      <c r="CF9412" s="4"/>
    </row>
    <row r="9413" spans="66:84">
      <c r="BN9413" s="4"/>
      <c r="BO9413" s="4"/>
      <c r="BQ9413" s="4"/>
      <c r="CC9413" s="4"/>
      <c r="CD9413" s="4"/>
      <c r="CF9413" s="4"/>
    </row>
    <row r="9414" spans="66:84">
      <c r="BN9414" s="4"/>
      <c r="BO9414" s="4"/>
      <c r="BQ9414" s="4"/>
      <c r="CC9414" s="4"/>
      <c r="CD9414" s="4"/>
      <c r="CF9414" s="4"/>
    </row>
    <row r="9415" spans="66:84">
      <c r="BN9415" s="4"/>
      <c r="BO9415" s="4"/>
      <c r="BQ9415" s="4"/>
      <c r="CC9415" s="4"/>
      <c r="CD9415" s="4"/>
      <c r="CF9415" s="4"/>
    </row>
    <row r="9416" spans="66:84">
      <c r="BN9416" s="4"/>
      <c r="BO9416" s="4"/>
      <c r="BQ9416" s="4"/>
      <c r="CC9416" s="4"/>
      <c r="CD9416" s="4"/>
      <c r="CF9416" s="4"/>
    </row>
    <row r="9417" spans="66:84">
      <c r="BN9417" s="4"/>
      <c r="BO9417" s="4"/>
      <c r="BQ9417" s="4"/>
      <c r="CC9417" s="4"/>
      <c r="CD9417" s="4"/>
      <c r="CF9417" s="4"/>
    </row>
    <row r="9418" spans="66:84">
      <c r="BN9418" s="4"/>
      <c r="BO9418" s="4"/>
      <c r="BQ9418" s="4"/>
      <c r="CC9418" s="4"/>
      <c r="CD9418" s="4"/>
      <c r="CF9418" s="4"/>
    </row>
    <row r="9419" spans="66:84">
      <c r="BN9419" s="4"/>
      <c r="BO9419" s="4"/>
      <c r="BQ9419" s="4"/>
      <c r="CC9419" s="4"/>
      <c r="CD9419" s="4"/>
      <c r="CF9419" s="4"/>
    </row>
    <row r="9420" spans="66:84">
      <c r="BN9420" s="4"/>
      <c r="BO9420" s="4"/>
      <c r="BQ9420" s="4"/>
      <c r="CC9420" s="4"/>
      <c r="CD9420" s="4"/>
      <c r="CF9420" s="4"/>
    </row>
    <row r="9421" spans="66:84">
      <c r="BN9421" s="4"/>
      <c r="BO9421" s="4"/>
      <c r="BQ9421" s="4"/>
      <c r="CC9421" s="4"/>
      <c r="CD9421" s="4"/>
      <c r="CF9421" s="4"/>
    </row>
    <row r="9422" spans="66:84">
      <c r="BN9422" s="4"/>
      <c r="BO9422" s="4"/>
      <c r="BQ9422" s="4"/>
      <c r="CC9422" s="4"/>
      <c r="CD9422" s="4"/>
      <c r="CF9422" s="4"/>
    </row>
    <row r="9423" spans="66:84">
      <c r="BN9423" s="4"/>
      <c r="BO9423" s="4"/>
      <c r="BQ9423" s="4"/>
      <c r="CC9423" s="4"/>
      <c r="CD9423" s="4"/>
      <c r="CF9423" s="4"/>
    </row>
    <row r="9424" spans="66:84">
      <c r="BN9424" s="4"/>
      <c r="BO9424" s="4"/>
      <c r="BQ9424" s="4"/>
      <c r="CC9424" s="4"/>
      <c r="CD9424" s="4"/>
      <c r="CF9424" s="4"/>
    </row>
    <row r="9425" spans="66:84">
      <c r="BN9425" s="4"/>
      <c r="BO9425" s="4"/>
      <c r="BQ9425" s="4"/>
      <c r="CC9425" s="4"/>
      <c r="CD9425" s="4"/>
      <c r="CF9425" s="4"/>
    </row>
    <row r="9426" spans="66:84">
      <c r="BN9426" s="4"/>
      <c r="BO9426" s="4"/>
      <c r="BQ9426" s="4"/>
      <c r="CC9426" s="4"/>
      <c r="CD9426" s="4"/>
      <c r="CF9426" s="4"/>
    </row>
    <row r="9427" spans="66:84">
      <c r="BN9427" s="4"/>
      <c r="BO9427" s="4"/>
      <c r="BQ9427" s="4"/>
      <c r="CC9427" s="4"/>
      <c r="CD9427" s="4"/>
      <c r="CF9427" s="4"/>
    </row>
    <row r="9428" spans="66:84">
      <c r="BN9428" s="4"/>
      <c r="BO9428" s="4"/>
      <c r="BQ9428" s="4"/>
      <c r="CC9428" s="4"/>
      <c r="CD9428" s="4"/>
      <c r="CF9428" s="4"/>
    </row>
    <row r="9429" spans="66:84">
      <c r="BN9429" s="4"/>
      <c r="BO9429" s="4"/>
      <c r="BQ9429" s="4"/>
      <c r="CC9429" s="4"/>
      <c r="CD9429" s="4"/>
      <c r="CF9429" s="4"/>
    </row>
    <row r="9430" spans="66:84">
      <c r="BN9430" s="4"/>
      <c r="BO9430" s="4"/>
      <c r="BQ9430" s="4"/>
      <c r="CC9430" s="4"/>
      <c r="CD9430" s="4"/>
      <c r="CF9430" s="4"/>
    </row>
    <row r="9431" spans="66:84">
      <c r="BN9431" s="4"/>
      <c r="BO9431" s="4"/>
      <c r="BQ9431" s="4"/>
      <c r="CC9431" s="4"/>
      <c r="CD9431" s="4"/>
      <c r="CF9431" s="4"/>
    </row>
    <row r="9432" spans="66:84">
      <c r="BN9432" s="4"/>
      <c r="BO9432" s="4"/>
      <c r="BQ9432" s="4"/>
      <c r="CC9432" s="4"/>
      <c r="CD9432" s="4"/>
      <c r="CF9432" s="4"/>
    </row>
    <row r="9433" spans="66:84">
      <c r="BN9433" s="4"/>
      <c r="BO9433" s="4"/>
      <c r="BQ9433" s="4"/>
      <c r="CC9433" s="4"/>
      <c r="CD9433" s="4"/>
      <c r="CF9433" s="4"/>
    </row>
    <row r="9434" spans="66:84">
      <c r="BN9434" s="4"/>
      <c r="BO9434" s="4"/>
      <c r="BQ9434" s="4"/>
      <c r="CC9434" s="4"/>
      <c r="CD9434" s="4"/>
      <c r="CF9434" s="4"/>
    </row>
    <row r="9435" spans="66:84">
      <c r="BN9435" s="4"/>
      <c r="BO9435" s="4"/>
      <c r="BQ9435" s="4"/>
      <c r="CC9435" s="4"/>
      <c r="CD9435" s="4"/>
      <c r="CF9435" s="4"/>
    </row>
    <row r="9436" spans="66:84">
      <c r="BN9436" s="4"/>
      <c r="BO9436" s="4"/>
      <c r="BQ9436" s="4"/>
      <c r="CC9436" s="4"/>
      <c r="CD9436" s="4"/>
      <c r="CF9436" s="4"/>
    </row>
    <row r="9437" spans="66:84">
      <c r="BN9437" s="4"/>
      <c r="BO9437" s="4"/>
      <c r="BQ9437" s="4"/>
      <c r="CC9437" s="4"/>
      <c r="CD9437" s="4"/>
      <c r="CF9437" s="4"/>
    </row>
    <row r="9438" spans="66:84">
      <c r="BN9438" s="4"/>
      <c r="BO9438" s="4"/>
      <c r="BQ9438" s="4"/>
      <c r="CC9438" s="4"/>
      <c r="CD9438" s="4"/>
      <c r="CF9438" s="4"/>
    </row>
    <row r="9439" spans="66:84">
      <c r="BN9439" s="4"/>
      <c r="BO9439" s="4"/>
      <c r="BQ9439" s="4"/>
      <c r="CC9439" s="4"/>
      <c r="CD9439" s="4"/>
      <c r="CF9439" s="4"/>
    </row>
    <row r="9440" spans="66:84">
      <c r="BN9440" s="4"/>
      <c r="BO9440" s="4"/>
      <c r="BQ9440" s="4"/>
      <c r="CC9440" s="4"/>
      <c r="CD9440" s="4"/>
      <c r="CF9440" s="4"/>
    </row>
    <row r="9441" spans="66:84">
      <c r="BN9441" s="4"/>
      <c r="BO9441" s="4"/>
      <c r="BQ9441" s="4"/>
      <c r="CC9441" s="4"/>
      <c r="CD9441" s="4"/>
      <c r="CF9441" s="4"/>
    </row>
    <row r="9442" spans="66:84">
      <c r="BN9442" s="4"/>
      <c r="BO9442" s="4"/>
      <c r="BQ9442" s="4"/>
      <c r="CC9442" s="4"/>
      <c r="CD9442" s="4"/>
      <c r="CF9442" s="4"/>
    </row>
    <row r="9443" spans="66:84">
      <c r="BN9443" s="4"/>
      <c r="BO9443" s="4"/>
      <c r="BQ9443" s="4"/>
      <c r="CC9443" s="4"/>
      <c r="CD9443" s="4"/>
      <c r="CF9443" s="4"/>
    </row>
    <row r="9444" spans="66:84">
      <c r="BN9444" s="4"/>
      <c r="BO9444" s="4"/>
      <c r="BQ9444" s="4"/>
      <c r="CC9444" s="4"/>
      <c r="CD9444" s="4"/>
      <c r="CF9444" s="4"/>
    </row>
    <row r="9445" spans="66:84">
      <c r="BN9445" s="4"/>
      <c r="BO9445" s="4"/>
      <c r="BQ9445" s="4"/>
      <c r="CC9445" s="4"/>
      <c r="CD9445" s="4"/>
      <c r="CF9445" s="4"/>
    </row>
    <row r="9446" spans="66:84">
      <c r="BN9446" s="4"/>
      <c r="BO9446" s="4"/>
      <c r="BQ9446" s="4"/>
      <c r="CC9446" s="4"/>
      <c r="CD9446" s="4"/>
      <c r="CF9446" s="4"/>
    </row>
    <row r="9447" spans="66:84">
      <c r="BN9447" s="4"/>
      <c r="BO9447" s="4"/>
      <c r="BQ9447" s="4"/>
      <c r="CC9447" s="4"/>
      <c r="CD9447" s="4"/>
      <c r="CF9447" s="4"/>
    </row>
    <row r="9448" spans="66:84">
      <c r="BN9448" s="4"/>
      <c r="BO9448" s="4"/>
      <c r="BQ9448" s="4"/>
      <c r="CC9448" s="4"/>
      <c r="CD9448" s="4"/>
      <c r="CF9448" s="4"/>
    </row>
    <row r="9449" spans="66:84">
      <c r="BN9449" s="4"/>
      <c r="BO9449" s="4"/>
      <c r="BQ9449" s="4"/>
      <c r="CC9449" s="4"/>
      <c r="CD9449" s="4"/>
      <c r="CF9449" s="4"/>
    </row>
    <row r="9450" spans="66:84">
      <c r="BN9450" s="4"/>
      <c r="BO9450" s="4"/>
      <c r="BQ9450" s="4"/>
      <c r="CC9450" s="4"/>
      <c r="CD9450" s="4"/>
      <c r="CF9450" s="4"/>
    </row>
    <row r="9451" spans="66:84">
      <c r="BN9451" s="4"/>
      <c r="BO9451" s="4"/>
      <c r="BQ9451" s="4"/>
      <c r="CC9451" s="4"/>
      <c r="CD9451" s="4"/>
      <c r="CF9451" s="4"/>
    </row>
    <row r="9452" spans="66:84">
      <c r="BN9452" s="4"/>
      <c r="BO9452" s="4"/>
      <c r="BQ9452" s="4"/>
      <c r="CC9452" s="4"/>
      <c r="CD9452" s="4"/>
      <c r="CF9452" s="4"/>
    </row>
    <row r="9453" spans="66:84">
      <c r="BN9453" s="4"/>
      <c r="BO9453" s="4"/>
      <c r="BQ9453" s="4"/>
      <c r="CC9453" s="4"/>
      <c r="CD9453" s="4"/>
      <c r="CF9453" s="4"/>
    </row>
    <row r="9454" spans="66:84">
      <c r="BN9454" s="4"/>
      <c r="BO9454" s="4"/>
      <c r="BQ9454" s="4"/>
      <c r="CC9454" s="4"/>
      <c r="CD9454" s="4"/>
      <c r="CF9454" s="4"/>
    </row>
    <row r="9455" spans="66:84">
      <c r="BN9455" s="4"/>
      <c r="BO9455" s="4"/>
      <c r="BQ9455" s="4"/>
      <c r="CC9455" s="4"/>
      <c r="CD9455" s="4"/>
      <c r="CF9455" s="4"/>
    </row>
    <row r="9456" spans="66:84">
      <c r="BN9456" s="4"/>
      <c r="BO9456" s="4"/>
      <c r="BQ9456" s="4"/>
      <c r="CC9456" s="4"/>
      <c r="CD9456" s="4"/>
      <c r="CF9456" s="4"/>
    </row>
    <row r="9457" spans="66:84">
      <c r="BN9457" s="4"/>
      <c r="BO9457" s="4"/>
      <c r="BQ9457" s="4"/>
      <c r="CC9457" s="4"/>
      <c r="CD9457" s="4"/>
      <c r="CF9457" s="4"/>
    </row>
    <row r="9458" spans="66:84">
      <c r="BN9458" s="4"/>
      <c r="BO9458" s="4"/>
      <c r="BQ9458" s="4"/>
      <c r="CC9458" s="4"/>
      <c r="CD9458" s="4"/>
      <c r="CF9458" s="4"/>
    </row>
    <row r="9459" spans="66:84">
      <c r="BN9459" s="4"/>
      <c r="BO9459" s="4"/>
      <c r="BQ9459" s="4"/>
      <c r="CC9459" s="4"/>
      <c r="CD9459" s="4"/>
      <c r="CF9459" s="4"/>
    </row>
    <row r="9460" spans="66:84">
      <c r="BN9460" s="4"/>
      <c r="BO9460" s="4"/>
      <c r="BQ9460" s="4"/>
      <c r="CC9460" s="4"/>
      <c r="CD9460" s="4"/>
      <c r="CF9460" s="4"/>
    </row>
    <row r="9461" spans="66:84">
      <c r="BN9461" s="4"/>
      <c r="BO9461" s="4"/>
      <c r="BQ9461" s="4"/>
      <c r="CC9461" s="4"/>
      <c r="CD9461" s="4"/>
      <c r="CF9461" s="4"/>
    </row>
    <row r="9462" spans="66:84">
      <c r="BN9462" s="4"/>
      <c r="BO9462" s="4"/>
      <c r="BQ9462" s="4"/>
      <c r="CC9462" s="4"/>
      <c r="CD9462" s="4"/>
      <c r="CF9462" s="4"/>
    </row>
    <row r="9463" spans="66:84">
      <c r="BN9463" s="4"/>
      <c r="BO9463" s="4"/>
      <c r="BQ9463" s="4"/>
      <c r="CC9463" s="4"/>
      <c r="CD9463" s="4"/>
      <c r="CF9463" s="4"/>
    </row>
    <row r="9464" spans="66:84">
      <c r="BN9464" s="4"/>
      <c r="BO9464" s="4"/>
      <c r="BQ9464" s="4"/>
      <c r="CC9464" s="4"/>
      <c r="CD9464" s="4"/>
      <c r="CF9464" s="4"/>
    </row>
    <row r="9465" spans="66:84">
      <c r="BN9465" s="4"/>
      <c r="BO9465" s="4"/>
      <c r="BQ9465" s="4"/>
      <c r="CC9465" s="4"/>
      <c r="CD9465" s="4"/>
      <c r="CF9465" s="4"/>
    </row>
    <row r="9466" spans="66:84">
      <c r="BN9466" s="4"/>
      <c r="BO9466" s="4"/>
      <c r="BQ9466" s="4"/>
      <c r="CC9466" s="4"/>
      <c r="CD9466" s="4"/>
      <c r="CF9466" s="4"/>
    </row>
    <row r="9467" spans="66:84">
      <c r="BN9467" s="4"/>
      <c r="BO9467" s="4"/>
      <c r="BQ9467" s="4"/>
      <c r="CC9467" s="4"/>
      <c r="CD9467" s="4"/>
      <c r="CF9467" s="4"/>
    </row>
    <row r="9468" spans="66:84">
      <c r="BN9468" s="4"/>
      <c r="BO9468" s="4"/>
      <c r="BQ9468" s="4"/>
      <c r="CC9468" s="4"/>
      <c r="CD9468" s="4"/>
      <c r="CF9468" s="4"/>
    </row>
    <row r="9469" spans="66:84">
      <c r="BN9469" s="4"/>
      <c r="BO9469" s="4"/>
      <c r="BQ9469" s="4"/>
      <c r="CC9469" s="4"/>
      <c r="CD9469" s="4"/>
      <c r="CF9469" s="4"/>
    </row>
    <row r="9470" spans="66:84">
      <c r="BN9470" s="4"/>
      <c r="BO9470" s="4"/>
      <c r="BQ9470" s="4"/>
      <c r="CC9470" s="4"/>
      <c r="CD9470" s="4"/>
      <c r="CF9470" s="4"/>
    </row>
    <row r="9471" spans="66:84">
      <c r="BN9471" s="4"/>
      <c r="BO9471" s="4"/>
      <c r="BQ9471" s="4"/>
      <c r="CC9471" s="4"/>
      <c r="CD9471" s="4"/>
      <c r="CF9471" s="4"/>
    </row>
    <row r="9472" spans="66:84">
      <c r="BN9472" s="4"/>
      <c r="BO9472" s="4"/>
      <c r="BQ9472" s="4"/>
      <c r="CC9472" s="4"/>
      <c r="CD9472" s="4"/>
      <c r="CF9472" s="4"/>
    </row>
    <row r="9473" spans="66:84">
      <c r="BN9473" s="4"/>
      <c r="BO9473" s="4"/>
      <c r="BQ9473" s="4"/>
      <c r="CC9473" s="4"/>
      <c r="CD9473" s="4"/>
      <c r="CF9473" s="4"/>
    </row>
    <row r="9474" spans="66:84">
      <c r="BN9474" s="4"/>
      <c r="BO9474" s="4"/>
      <c r="BQ9474" s="4"/>
      <c r="CC9474" s="4"/>
      <c r="CD9474" s="4"/>
      <c r="CF9474" s="4"/>
    </row>
    <row r="9475" spans="66:84">
      <c r="BN9475" s="4"/>
      <c r="BO9475" s="4"/>
      <c r="BQ9475" s="4"/>
      <c r="CC9475" s="4"/>
      <c r="CD9475" s="4"/>
      <c r="CF9475" s="4"/>
    </row>
    <row r="9476" spans="66:84">
      <c r="BN9476" s="4"/>
      <c r="BO9476" s="4"/>
      <c r="BQ9476" s="4"/>
      <c r="CC9476" s="4"/>
      <c r="CD9476" s="4"/>
      <c r="CF9476" s="4"/>
    </row>
    <row r="9477" spans="66:84">
      <c r="BN9477" s="4"/>
      <c r="BO9477" s="4"/>
      <c r="BQ9477" s="4"/>
      <c r="CC9477" s="4"/>
      <c r="CD9477" s="4"/>
      <c r="CF9477" s="4"/>
    </row>
    <row r="9478" spans="66:84">
      <c r="BN9478" s="4"/>
      <c r="BO9478" s="4"/>
      <c r="BQ9478" s="4"/>
      <c r="CC9478" s="4"/>
      <c r="CD9478" s="4"/>
      <c r="CF9478" s="4"/>
    </row>
    <row r="9479" spans="66:84">
      <c r="BN9479" s="4"/>
      <c r="BO9479" s="4"/>
      <c r="BQ9479" s="4"/>
      <c r="CC9479" s="4"/>
      <c r="CD9479" s="4"/>
      <c r="CF9479" s="4"/>
    </row>
    <row r="9480" spans="66:84">
      <c r="BN9480" s="4"/>
      <c r="BO9480" s="4"/>
      <c r="BQ9480" s="4"/>
      <c r="CC9480" s="4"/>
      <c r="CD9480" s="4"/>
      <c r="CF9480" s="4"/>
    </row>
    <row r="9481" spans="66:84">
      <c r="BN9481" s="4"/>
      <c r="BO9481" s="4"/>
      <c r="BQ9481" s="4"/>
      <c r="CC9481" s="4"/>
      <c r="CD9481" s="4"/>
      <c r="CF9481" s="4"/>
    </row>
    <row r="9482" spans="66:84">
      <c r="BN9482" s="4"/>
      <c r="BO9482" s="4"/>
      <c r="BQ9482" s="4"/>
      <c r="CC9482" s="4"/>
      <c r="CD9482" s="4"/>
      <c r="CF9482" s="4"/>
    </row>
    <row r="9483" spans="66:84">
      <c r="BN9483" s="4"/>
      <c r="BO9483" s="4"/>
      <c r="BQ9483" s="4"/>
      <c r="CC9483" s="4"/>
      <c r="CD9483" s="4"/>
      <c r="CF9483" s="4"/>
    </row>
    <row r="9484" spans="66:84">
      <c r="BN9484" s="4"/>
      <c r="BO9484" s="4"/>
      <c r="BQ9484" s="4"/>
      <c r="CC9484" s="4"/>
      <c r="CD9484" s="4"/>
      <c r="CF9484" s="4"/>
    </row>
    <row r="9485" spans="66:84">
      <c r="BN9485" s="4"/>
      <c r="BO9485" s="4"/>
      <c r="BQ9485" s="4"/>
      <c r="CC9485" s="4"/>
      <c r="CD9485" s="4"/>
      <c r="CF9485" s="4"/>
    </row>
    <row r="9486" spans="66:84">
      <c r="BN9486" s="4"/>
      <c r="BO9486" s="4"/>
      <c r="BQ9486" s="4"/>
      <c r="CC9486" s="4"/>
      <c r="CD9486" s="4"/>
      <c r="CF9486" s="4"/>
    </row>
    <row r="9487" spans="66:84">
      <c r="BN9487" s="4"/>
      <c r="BO9487" s="4"/>
      <c r="BQ9487" s="4"/>
      <c r="CC9487" s="4"/>
      <c r="CD9487" s="4"/>
      <c r="CF9487" s="4"/>
    </row>
    <row r="9488" spans="66:84">
      <c r="BN9488" s="4"/>
      <c r="BO9488" s="4"/>
      <c r="BQ9488" s="4"/>
      <c r="CC9488" s="4"/>
      <c r="CD9488" s="4"/>
      <c r="CF9488" s="4"/>
    </row>
    <row r="9489" spans="66:84">
      <c r="BN9489" s="4"/>
      <c r="BO9489" s="4"/>
      <c r="BQ9489" s="4"/>
      <c r="CC9489" s="4"/>
      <c r="CD9489" s="4"/>
      <c r="CF9489" s="4"/>
    </row>
    <row r="9490" spans="66:84">
      <c r="BN9490" s="4"/>
      <c r="BO9490" s="4"/>
      <c r="BQ9490" s="4"/>
      <c r="CC9490" s="4"/>
      <c r="CD9490" s="4"/>
      <c r="CF9490" s="4"/>
    </row>
    <row r="9491" spans="66:84">
      <c r="BN9491" s="4"/>
      <c r="BO9491" s="4"/>
      <c r="BQ9491" s="4"/>
      <c r="CC9491" s="4"/>
      <c r="CD9491" s="4"/>
      <c r="CF9491" s="4"/>
    </row>
    <row r="9492" spans="66:84">
      <c r="BN9492" s="4"/>
      <c r="BO9492" s="4"/>
      <c r="BQ9492" s="4"/>
      <c r="CC9492" s="4"/>
      <c r="CD9492" s="4"/>
      <c r="CF9492" s="4"/>
    </row>
    <row r="9493" spans="66:84">
      <c r="BN9493" s="4"/>
      <c r="BO9493" s="4"/>
      <c r="BQ9493" s="4"/>
      <c r="CC9493" s="4"/>
      <c r="CD9493" s="4"/>
      <c r="CF9493" s="4"/>
    </row>
    <row r="9494" spans="66:84">
      <c r="BN9494" s="4"/>
      <c r="BO9494" s="4"/>
      <c r="BQ9494" s="4"/>
      <c r="CC9494" s="4"/>
      <c r="CD9494" s="4"/>
      <c r="CF9494" s="4"/>
    </row>
    <row r="9495" spans="66:84">
      <c r="BN9495" s="4"/>
      <c r="BO9495" s="4"/>
      <c r="BQ9495" s="4"/>
      <c r="CC9495" s="4"/>
      <c r="CD9495" s="4"/>
      <c r="CF9495" s="4"/>
    </row>
    <row r="9496" spans="66:84">
      <c r="BN9496" s="4"/>
      <c r="BO9496" s="4"/>
      <c r="BQ9496" s="4"/>
      <c r="CC9496" s="4"/>
      <c r="CD9496" s="4"/>
      <c r="CF9496" s="4"/>
    </row>
    <row r="9497" spans="66:84">
      <c r="BN9497" s="4"/>
      <c r="BO9497" s="4"/>
      <c r="BQ9497" s="4"/>
      <c r="CC9497" s="4"/>
      <c r="CD9497" s="4"/>
      <c r="CF9497" s="4"/>
    </row>
    <row r="9498" spans="66:84">
      <c r="BN9498" s="4"/>
      <c r="BO9498" s="4"/>
      <c r="BQ9498" s="4"/>
      <c r="CC9498" s="4"/>
      <c r="CD9498" s="4"/>
      <c r="CF9498" s="4"/>
    </row>
    <row r="9499" spans="66:84">
      <c r="BN9499" s="4"/>
      <c r="BO9499" s="4"/>
      <c r="BQ9499" s="4"/>
      <c r="CC9499" s="4"/>
      <c r="CD9499" s="4"/>
      <c r="CF9499" s="4"/>
    </row>
    <row r="9500" spans="66:84">
      <c r="BN9500" s="4"/>
      <c r="BO9500" s="4"/>
      <c r="BQ9500" s="4"/>
      <c r="CC9500" s="4"/>
      <c r="CD9500" s="4"/>
      <c r="CF9500" s="4"/>
    </row>
    <row r="9501" spans="66:84">
      <c r="BN9501" s="4"/>
      <c r="BO9501" s="4"/>
      <c r="BQ9501" s="4"/>
      <c r="CC9501" s="4"/>
      <c r="CD9501" s="4"/>
      <c r="CF9501" s="4"/>
    </row>
    <row r="9502" spans="66:84">
      <c r="BN9502" s="4"/>
      <c r="BO9502" s="4"/>
      <c r="BQ9502" s="4"/>
      <c r="CC9502" s="4"/>
      <c r="CD9502" s="4"/>
      <c r="CF9502" s="4"/>
    </row>
    <row r="9503" spans="66:84">
      <c r="BN9503" s="4"/>
      <c r="BO9503" s="4"/>
      <c r="BQ9503" s="4"/>
      <c r="CC9503" s="4"/>
      <c r="CD9503" s="4"/>
      <c r="CF9503" s="4"/>
    </row>
    <row r="9504" spans="66:84">
      <c r="BN9504" s="4"/>
      <c r="BO9504" s="4"/>
      <c r="BQ9504" s="4"/>
      <c r="CC9504" s="4"/>
      <c r="CD9504" s="4"/>
      <c r="CF9504" s="4"/>
    </row>
    <row r="9505" spans="66:84">
      <c r="BN9505" s="4"/>
      <c r="BO9505" s="4"/>
      <c r="BQ9505" s="4"/>
      <c r="CC9505" s="4"/>
      <c r="CD9505" s="4"/>
      <c r="CF9505" s="4"/>
    </row>
    <row r="9506" spans="66:84">
      <c r="BN9506" s="4"/>
      <c r="BO9506" s="4"/>
      <c r="BQ9506" s="4"/>
      <c r="CC9506" s="4"/>
      <c r="CD9506" s="4"/>
      <c r="CF9506" s="4"/>
    </row>
    <row r="9507" spans="66:84">
      <c r="BN9507" s="4"/>
      <c r="BO9507" s="4"/>
      <c r="BQ9507" s="4"/>
      <c r="CC9507" s="4"/>
      <c r="CD9507" s="4"/>
      <c r="CF9507" s="4"/>
    </row>
    <row r="9508" spans="66:84">
      <c r="BN9508" s="4"/>
      <c r="BO9508" s="4"/>
      <c r="BQ9508" s="4"/>
      <c r="CC9508" s="4"/>
      <c r="CD9508" s="4"/>
      <c r="CF9508" s="4"/>
    </row>
    <row r="9509" spans="66:84">
      <c r="BN9509" s="4"/>
      <c r="BO9509" s="4"/>
      <c r="BQ9509" s="4"/>
      <c r="CC9509" s="4"/>
      <c r="CD9509" s="4"/>
      <c r="CF9509" s="4"/>
    </row>
    <row r="9510" spans="66:84">
      <c r="BN9510" s="4"/>
      <c r="BO9510" s="4"/>
      <c r="BQ9510" s="4"/>
      <c r="CC9510" s="4"/>
      <c r="CD9510" s="4"/>
      <c r="CF9510" s="4"/>
    </row>
    <row r="9511" spans="66:84">
      <c r="BN9511" s="4"/>
      <c r="BO9511" s="4"/>
      <c r="BQ9511" s="4"/>
      <c r="CC9511" s="4"/>
      <c r="CD9511" s="4"/>
      <c r="CF9511" s="4"/>
    </row>
    <row r="9512" spans="66:84">
      <c r="BN9512" s="4"/>
      <c r="BO9512" s="4"/>
      <c r="BQ9512" s="4"/>
      <c r="CC9512" s="4"/>
      <c r="CD9512" s="4"/>
      <c r="CF9512" s="4"/>
    </row>
    <row r="9513" spans="66:84">
      <c r="BN9513" s="4"/>
      <c r="BO9513" s="4"/>
      <c r="BQ9513" s="4"/>
      <c r="CC9513" s="4"/>
      <c r="CD9513" s="4"/>
      <c r="CF9513" s="4"/>
    </row>
    <row r="9514" spans="66:84">
      <c r="BN9514" s="4"/>
      <c r="BO9514" s="4"/>
      <c r="BQ9514" s="4"/>
      <c r="CC9514" s="4"/>
      <c r="CD9514" s="4"/>
      <c r="CF9514" s="4"/>
    </row>
    <row r="9515" spans="66:84">
      <c r="BN9515" s="4"/>
      <c r="BO9515" s="4"/>
      <c r="BQ9515" s="4"/>
      <c r="CC9515" s="4"/>
      <c r="CD9515" s="4"/>
      <c r="CF9515" s="4"/>
    </row>
    <row r="9516" spans="66:84">
      <c r="BN9516" s="4"/>
      <c r="BO9516" s="4"/>
      <c r="BQ9516" s="4"/>
      <c r="CC9516" s="4"/>
      <c r="CD9516" s="4"/>
      <c r="CF9516" s="4"/>
    </row>
    <row r="9517" spans="66:84">
      <c r="BN9517" s="4"/>
      <c r="BO9517" s="4"/>
      <c r="BQ9517" s="4"/>
      <c r="CC9517" s="4"/>
      <c r="CD9517" s="4"/>
      <c r="CF9517" s="4"/>
    </row>
    <row r="9518" spans="66:84">
      <c r="BN9518" s="4"/>
      <c r="BO9518" s="4"/>
      <c r="BQ9518" s="4"/>
      <c r="CC9518" s="4"/>
      <c r="CD9518" s="4"/>
      <c r="CF9518" s="4"/>
    </row>
    <row r="9519" spans="66:84">
      <c r="BN9519" s="4"/>
      <c r="BO9519" s="4"/>
      <c r="BQ9519" s="4"/>
      <c r="CC9519" s="4"/>
      <c r="CD9519" s="4"/>
      <c r="CF9519" s="4"/>
    </row>
    <row r="9520" spans="66:84">
      <c r="BN9520" s="4"/>
      <c r="BO9520" s="4"/>
      <c r="BQ9520" s="4"/>
      <c r="CC9520" s="4"/>
      <c r="CD9520" s="4"/>
      <c r="CF9520" s="4"/>
    </row>
    <row r="9521" spans="66:84">
      <c r="BN9521" s="4"/>
      <c r="BO9521" s="4"/>
      <c r="BQ9521" s="4"/>
      <c r="CC9521" s="4"/>
      <c r="CD9521" s="4"/>
      <c r="CF9521" s="4"/>
    </row>
    <row r="9522" spans="66:84">
      <c r="BN9522" s="4"/>
      <c r="BO9522" s="4"/>
      <c r="BQ9522" s="4"/>
      <c r="CC9522" s="4"/>
      <c r="CD9522" s="4"/>
      <c r="CF9522" s="4"/>
    </row>
    <row r="9523" spans="66:84">
      <c r="BN9523" s="4"/>
      <c r="BO9523" s="4"/>
      <c r="BQ9523" s="4"/>
      <c r="CC9523" s="4"/>
      <c r="CD9523" s="4"/>
      <c r="CF9523" s="4"/>
    </row>
    <row r="9524" spans="66:84">
      <c r="BN9524" s="4"/>
      <c r="BO9524" s="4"/>
      <c r="BQ9524" s="4"/>
      <c r="CC9524" s="4"/>
      <c r="CD9524" s="4"/>
      <c r="CF9524" s="4"/>
    </row>
    <row r="9525" spans="66:84">
      <c r="BN9525" s="4"/>
      <c r="BO9525" s="4"/>
      <c r="BQ9525" s="4"/>
      <c r="CC9525" s="4"/>
      <c r="CD9525" s="4"/>
      <c r="CF9525" s="4"/>
    </row>
    <row r="9526" spans="66:84">
      <c r="BN9526" s="4"/>
      <c r="BO9526" s="4"/>
      <c r="BQ9526" s="4"/>
      <c r="CC9526" s="4"/>
      <c r="CD9526" s="4"/>
      <c r="CF9526" s="4"/>
    </row>
    <row r="9527" spans="66:84">
      <c r="BN9527" s="4"/>
      <c r="BO9527" s="4"/>
      <c r="BQ9527" s="4"/>
      <c r="CC9527" s="4"/>
      <c r="CD9527" s="4"/>
      <c r="CF9527" s="4"/>
    </row>
    <row r="9528" spans="66:84">
      <c r="BN9528" s="4"/>
      <c r="BO9528" s="4"/>
      <c r="BQ9528" s="4"/>
      <c r="CC9528" s="4"/>
      <c r="CD9528" s="4"/>
      <c r="CF9528" s="4"/>
    </row>
    <row r="9529" spans="66:84">
      <c r="BN9529" s="4"/>
      <c r="BO9529" s="4"/>
      <c r="BQ9529" s="4"/>
      <c r="CC9529" s="4"/>
      <c r="CD9529" s="4"/>
      <c r="CF9529" s="4"/>
    </row>
    <row r="9530" spans="66:84">
      <c r="BN9530" s="4"/>
      <c r="BO9530" s="4"/>
      <c r="BQ9530" s="4"/>
      <c r="CC9530" s="4"/>
      <c r="CD9530" s="4"/>
      <c r="CF9530" s="4"/>
    </row>
    <row r="9531" spans="66:84">
      <c r="BN9531" s="4"/>
      <c r="BO9531" s="4"/>
      <c r="BQ9531" s="4"/>
      <c r="CC9531" s="4"/>
      <c r="CD9531" s="4"/>
      <c r="CF9531" s="4"/>
    </row>
    <row r="9532" spans="66:84">
      <c r="BN9532" s="4"/>
      <c r="BO9532" s="4"/>
      <c r="BQ9532" s="4"/>
      <c r="CC9532" s="4"/>
      <c r="CD9532" s="4"/>
      <c r="CF9532" s="4"/>
    </row>
    <row r="9533" spans="66:84">
      <c r="BN9533" s="4"/>
      <c r="BO9533" s="4"/>
      <c r="BQ9533" s="4"/>
      <c r="CC9533" s="4"/>
      <c r="CD9533" s="4"/>
      <c r="CF9533" s="4"/>
    </row>
    <row r="9534" spans="66:84">
      <c r="BN9534" s="4"/>
      <c r="BO9534" s="4"/>
      <c r="BQ9534" s="4"/>
      <c r="CC9534" s="4"/>
      <c r="CD9534" s="4"/>
      <c r="CF9534" s="4"/>
    </row>
    <row r="9535" spans="66:84">
      <c r="BN9535" s="4"/>
      <c r="BO9535" s="4"/>
      <c r="BQ9535" s="4"/>
      <c r="CC9535" s="4"/>
      <c r="CD9535" s="4"/>
      <c r="CF9535" s="4"/>
    </row>
    <row r="9536" spans="66:84">
      <c r="BN9536" s="4"/>
      <c r="BO9536" s="4"/>
      <c r="BQ9536" s="4"/>
      <c r="CC9536" s="4"/>
      <c r="CD9536" s="4"/>
      <c r="CF9536" s="4"/>
    </row>
    <row r="9537" spans="66:84">
      <c r="BN9537" s="4"/>
      <c r="BO9537" s="4"/>
      <c r="BQ9537" s="4"/>
      <c r="CC9537" s="4"/>
      <c r="CD9537" s="4"/>
      <c r="CF9537" s="4"/>
    </row>
    <row r="9538" spans="66:84">
      <c r="BN9538" s="4"/>
      <c r="BO9538" s="4"/>
      <c r="BQ9538" s="4"/>
      <c r="CC9538" s="4"/>
      <c r="CD9538" s="4"/>
      <c r="CF9538" s="4"/>
    </row>
    <row r="9539" spans="66:84">
      <c r="BN9539" s="4"/>
      <c r="BO9539" s="4"/>
      <c r="BQ9539" s="4"/>
      <c r="CC9539" s="4"/>
      <c r="CD9539" s="4"/>
      <c r="CF9539" s="4"/>
    </row>
    <row r="9540" spans="66:84">
      <c r="BN9540" s="4"/>
      <c r="BO9540" s="4"/>
      <c r="BQ9540" s="4"/>
      <c r="CC9540" s="4"/>
      <c r="CD9540" s="4"/>
      <c r="CF9540" s="4"/>
    </row>
    <row r="9541" spans="66:84">
      <c r="BN9541" s="4"/>
      <c r="BO9541" s="4"/>
      <c r="BQ9541" s="4"/>
      <c r="CC9541" s="4"/>
      <c r="CD9541" s="4"/>
      <c r="CF9541" s="4"/>
    </row>
    <row r="9542" spans="66:84">
      <c r="BN9542" s="4"/>
      <c r="BO9542" s="4"/>
      <c r="BQ9542" s="4"/>
      <c r="CC9542" s="4"/>
      <c r="CD9542" s="4"/>
      <c r="CF9542" s="4"/>
    </row>
    <row r="9543" spans="66:84">
      <c r="BN9543" s="4"/>
      <c r="BO9543" s="4"/>
      <c r="BQ9543" s="4"/>
      <c r="CC9543" s="4"/>
      <c r="CD9543" s="4"/>
      <c r="CF9543" s="4"/>
    </row>
    <row r="9544" spans="66:84">
      <c r="BN9544" s="4"/>
      <c r="BO9544" s="4"/>
      <c r="BQ9544" s="4"/>
      <c r="CC9544" s="4"/>
      <c r="CD9544" s="4"/>
      <c r="CF9544" s="4"/>
    </row>
    <row r="9545" spans="66:84">
      <c r="BN9545" s="4"/>
      <c r="BO9545" s="4"/>
      <c r="BQ9545" s="4"/>
      <c r="CC9545" s="4"/>
      <c r="CD9545" s="4"/>
      <c r="CF9545" s="4"/>
    </row>
    <row r="9546" spans="66:84">
      <c r="BN9546" s="4"/>
      <c r="BO9546" s="4"/>
      <c r="BQ9546" s="4"/>
      <c r="CC9546" s="4"/>
      <c r="CD9546" s="4"/>
      <c r="CF9546" s="4"/>
    </row>
    <row r="9547" spans="66:84">
      <c r="BN9547" s="4"/>
      <c r="BO9547" s="4"/>
      <c r="BQ9547" s="4"/>
      <c r="CC9547" s="4"/>
      <c r="CD9547" s="4"/>
      <c r="CF9547" s="4"/>
    </row>
    <row r="9548" spans="66:84">
      <c r="BN9548" s="4"/>
      <c r="BO9548" s="4"/>
      <c r="BQ9548" s="4"/>
      <c r="CC9548" s="4"/>
      <c r="CD9548" s="4"/>
      <c r="CF9548" s="4"/>
    </row>
    <row r="9549" spans="66:84">
      <c r="BN9549" s="4"/>
      <c r="BO9549" s="4"/>
      <c r="BQ9549" s="4"/>
      <c r="CC9549" s="4"/>
      <c r="CD9549" s="4"/>
      <c r="CF9549" s="4"/>
    </row>
    <row r="9550" spans="66:84">
      <c r="BN9550" s="4"/>
      <c r="BO9550" s="4"/>
      <c r="BQ9550" s="4"/>
      <c r="CC9550" s="4"/>
      <c r="CD9550" s="4"/>
      <c r="CF9550" s="4"/>
    </row>
    <row r="9551" spans="66:84">
      <c r="BN9551" s="4"/>
      <c r="BO9551" s="4"/>
      <c r="BQ9551" s="4"/>
      <c r="CC9551" s="4"/>
      <c r="CD9551" s="4"/>
      <c r="CF9551" s="4"/>
    </row>
    <row r="9552" spans="66:84">
      <c r="BN9552" s="4"/>
      <c r="BO9552" s="4"/>
      <c r="BQ9552" s="4"/>
      <c r="CC9552" s="4"/>
      <c r="CD9552" s="4"/>
      <c r="CF9552" s="4"/>
    </row>
    <row r="9553" spans="66:84">
      <c r="BN9553" s="4"/>
      <c r="BO9553" s="4"/>
      <c r="BQ9553" s="4"/>
      <c r="CC9553" s="4"/>
      <c r="CD9553" s="4"/>
      <c r="CF9553" s="4"/>
    </row>
    <row r="9554" spans="66:84">
      <c r="BN9554" s="4"/>
      <c r="BO9554" s="4"/>
      <c r="BQ9554" s="4"/>
      <c r="CC9554" s="4"/>
      <c r="CD9554" s="4"/>
      <c r="CF9554" s="4"/>
    </row>
    <row r="9555" spans="66:84">
      <c r="BN9555" s="4"/>
      <c r="BO9555" s="4"/>
      <c r="BQ9555" s="4"/>
      <c r="CC9555" s="4"/>
      <c r="CD9555" s="4"/>
      <c r="CF9555" s="4"/>
    </row>
    <row r="9556" spans="66:84">
      <c r="BN9556" s="4"/>
      <c r="BO9556" s="4"/>
      <c r="BQ9556" s="4"/>
      <c r="CC9556" s="4"/>
      <c r="CD9556" s="4"/>
      <c r="CF9556" s="4"/>
    </row>
    <row r="9557" spans="66:84">
      <c r="BN9557" s="4"/>
      <c r="BO9557" s="4"/>
      <c r="BQ9557" s="4"/>
      <c r="CC9557" s="4"/>
      <c r="CD9557" s="4"/>
      <c r="CF9557" s="4"/>
    </row>
    <row r="9558" spans="66:84">
      <c r="BN9558" s="4"/>
      <c r="BO9558" s="4"/>
      <c r="BQ9558" s="4"/>
      <c r="CC9558" s="4"/>
      <c r="CD9558" s="4"/>
      <c r="CF9558" s="4"/>
    </row>
    <row r="9559" spans="66:84">
      <c r="BN9559" s="4"/>
      <c r="BO9559" s="4"/>
      <c r="BQ9559" s="4"/>
      <c r="CC9559" s="4"/>
      <c r="CD9559" s="4"/>
      <c r="CF9559" s="4"/>
    </row>
    <row r="9560" spans="66:84">
      <c r="BN9560" s="4"/>
      <c r="BO9560" s="4"/>
      <c r="BQ9560" s="4"/>
      <c r="CC9560" s="4"/>
      <c r="CD9560" s="4"/>
      <c r="CF9560" s="4"/>
    </row>
    <row r="9561" spans="66:84">
      <c r="BN9561" s="4"/>
      <c r="BO9561" s="4"/>
      <c r="BQ9561" s="4"/>
      <c r="CC9561" s="4"/>
      <c r="CD9561" s="4"/>
      <c r="CF9561" s="4"/>
    </row>
    <row r="9562" spans="66:84">
      <c r="BN9562" s="4"/>
      <c r="BO9562" s="4"/>
      <c r="BQ9562" s="4"/>
      <c r="CC9562" s="4"/>
      <c r="CD9562" s="4"/>
      <c r="CF9562" s="4"/>
    </row>
    <row r="9563" spans="66:84">
      <c r="BN9563" s="4"/>
      <c r="BO9563" s="4"/>
      <c r="BQ9563" s="4"/>
      <c r="CC9563" s="4"/>
      <c r="CD9563" s="4"/>
      <c r="CF9563" s="4"/>
    </row>
    <row r="9564" spans="66:84">
      <c r="BN9564" s="4"/>
      <c r="BO9564" s="4"/>
      <c r="BQ9564" s="4"/>
      <c r="CC9564" s="4"/>
      <c r="CD9564" s="4"/>
      <c r="CF9564" s="4"/>
    </row>
    <row r="9565" spans="66:84">
      <c r="BN9565" s="4"/>
      <c r="BO9565" s="4"/>
      <c r="BQ9565" s="4"/>
      <c r="CC9565" s="4"/>
      <c r="CD9565" s="4"/>
      <c r="CF9565" s="4"/>
    </row>
    <row r="9566" spans="66:84">
      <c r="BN9566" s="4"/>
      <c r="BO9566" s="4"/>
      <c r="BQ9566" s="4"/>
      <c r="CC9566" s="4"/>
      <c r="CD9566" s="4"/>
      <c r="CF9566" s="4"/>
    </row>
    <row r="9567" spans="66:84">
      <c r="BN9567" s="4"/>
      <c r="BO9567" s="4"/>
      <c r="BQ9567" s="4"/>
      <c r="CC9567" s="4"/>
      <c r="CD9567" s="4"/>
      <c r="CF9567" s="4"/>
    </row>
    <row r="9568" spans="66:84">
      <c r="BN9568" s="4"/>
      <c r="BO9568" s="4"/>
      <c r="BQ9568" s="4"/>
      <c r="CC9568" s="4"/>
      <c r="CD9568" s="4"/>
      <c r="CF9568" s="4"/>
    </row>
    <row r="9569" spans="66:84">
      <c r="BN9569" s="4"/>
      <c r="BO9569" s="4"/>
      <c r="BQ9569" s="4"/>
      <c r="CC9569" s="4"/>
      <c r="CD9569" s="4"/>
      <c r="CF9569" s="4"/>
    </row>
    <row r="9570" spans="66:84">
      <c r="BN9570" s="4"/>
      <c r="BO9570" s="4"/>
      <c r="BQ9570" s="4"/>
      <c r="CC9570" s="4"/>
      <c r="CD9570" s="4"/>
      <c r="CF9570" s="4"/>
    </row>
    <row r="9571" spans="66:84">
      <c r="BN9571" s="4"/>
      <c r="BO9571" s="4"/>
      <c r="BQ9571" s="4"/>
      <c r="CC9571" s="4"/>
      <c r="CD9571" s="4"/>
      <c r="CF9571" s="4"/>
    </row>
    <row r="9572" spans="66:84">
      <c r="BN9572" s="4"/>
      <c r="BO9572" s="4"/>
      <c r="BQ9572" s="4"/>
      <c r="CC9572" s="4"/>
      <c r="CD9572" s="4"/>
      <c r="CF9572" s="4"/>
    </row>
    <row r="9573" spans="66:84">
      <c r="BN9573" s="4"/>
      <c r="BO9573" s="4"/>
      <c r="BQ9573" s="4"/>
      <c r="CC9573" s="4"/>
      <c r="CD9573" s="4"/>
      <c r="CF9573" s="4"/>
    </row>
    <row r="9574" spans="66:84">
      <c r="BN9574" s="4"/>
      <c r="BO9574" s="4"/>
      <c r="BQ9574" s="4"/>
      <c r="CC9574" s="4"/>
      <c r="CD9574" s="4"/>
      <c r="CF9574" s="4"/>
    </row>
    <row r="9575" spans="66:84">
      <c r="BN9575" s="4"/>
      <c r="BO9575" s="4"/>
      <c r="BQ9575" s="4"/>
      <c r="CC9575" s="4"/>
      <c r="CD9575" s="4"/>
      <c r="CF9575" s="4"/>
    </row>
    <row r="9576" spans="66:84">
      <c r="BN9576" s="4"/>
      <c r="BO9576" s="4"/>
      <c r="BQ9576" s="4"/>
      <c r="CC9576" s="4"/>
      <c r="CD9576" s="4"/>
      <c r="CF9576" s="4"/>
    </row>
    <row r="9577" spans="66:84">
      <c r="BN9577" s="4"/>
      <c r="BO9577" s="4"/>
      <c r="BQ9577" s="4"/>
      <c r="CC9577" s="4"/>
      <c r="CD9577" s="4"/>
      <c r="CF9577" s="4"/>
    </row>
    <row r="9578" spans="66:84">
      <c r="BN9578" s="4"/>
      <c r="BO9578" s="4"/>
      <c r="BQ9578" s="4"/>
      <c r="CC9578" s="4"/>
      <c r="CD9578" s="4"/>
      <c r="CF9578" s="4"/>
    </row>
    <row r="9579" spans="66:84">
      <c r="BN9579" s="4"/>
      <c r="BO9579" s="4"/>
      <c r="BQ9579" s="4"/>
      <c r="CC9579" s="4"/>
      <c r="CD9579" s="4"/>
      <c r="CF9579" s="4"/>
    </row>
    <row r="9580" spans="66:84">
      <c r="BN9580" s="4"/>
      <c r="BO9580" s="4"/>
      <c r="BQ9580" s="4"/>
      <c r="CC9580" s="4"/>
      <c r="CD9580" s="4"/>
      <c r="CF9580" s="4"/>
    </row>
    <row r="9581" spans="66:84">
      <c r="BN9581" s="4"/>
      <c r="BO9581" s="4"/>
      <c r="BQ9581" s="4"/>
      <c r="CC9581" s="4"/>
      <c r="CD9581" s="4"/>
      <c r="CF9581" s="4"/>
    </row>
    <row r="9582" spans="66:84">
      <c r="BN9582" s="4"/>
      <c r="BO9582" s="4"/>
      <c r="BQ9582" s="4"/>
      <c r="CC9582" s="4"/>
      <c r="CD9582" s="4"/>
      <c r="CF9582" s="4"/>
    </row>
    <row r="9583" spans="66:84">
      <c r="BN9583" s="4"/>
      <c r="BO9583" s="4"/>
      <c r="BQ9583" s="4"/>
      <c r="CC9583" s="4"/>
      <c r="CD9583" s="4"/>
      <c r="CF9583" s="4"/>
    </row>
    <row r="9584" spans="66:84">
      <c r="BN9584" s="4"/>
      <c r="BO9584" s="4"/>
      <c r="BQ9584" s="4"/>
      <c r="CC9584" s="4"/>
      <c r="CD9584" s="4"/>
      <c r="CF9584" s="4"/>
    </row>
    <row r="9585" spans="66:84">
      <c r="BN9585" s="4"/>
      <c r="BO9585" s="4"/>
      <c r="BQ9585" s="4"/>
      <c r="CC9585" s="4"/>
      <c r="CD9585" s="4"/>
      <c r="CF9585" s="4"/>
    </row>
    <row r="9586" spans="66:84">
      <c r="BN9586" s="4"/>
      <c r="BO9586" s="4"/>
      <c r="BQ9586" s="4"/>
      <c r="CC9586" s="4"/>
      <c r="CD9586" s="4"/>
      <c r="CF9586" s="4"/>
    </row>
    <row r="9587" spans="66:84">
      <c r="BN9587" s="4"/>
      <c r="BO9587" s="4"/>
      <c r="BQ9587" s="4"/>
      <c r="CC9587" s="4"/>
      <c r="CD9587" s="4"/>
      <c r="CF9587" s="4"/>
    </row>
    <row r="9588" spans="66:84">
      <c r="BN9588" s="4"/>
      <c r="BO9588" s="4"/>
      <c r="BQ9588" s="4"/>
      <c r="CC9588" s="4"/>
      <c r="CD9588" s="4"/>
      <c r="CF9588" s="4"/>
    </row>
    <row r="9589" spans="66:84">
      <c r="BN9589" s="4"/>
      <c r="BO9589" s="4"/>
      <c r="BQ9589" s="4"/>
      <c r="CC9589" s="4"/>
      <c r="CD9589" s="4"/>
      <c r="CF9589" s="4"/>
    </row>
    <row r="9590" spans="66:84">
      <c r="BN9590" s="4"/>
      <c r="BO9590" s="4"/>
      <c r="BQ9590" s="4"/>
      <c r="CC9590" s="4"/>
      <c r="CD9590" s="4"/>
      <c r="CF9590" s="4"/>
    </row>
    <row r="9591" spans="66:84">
      <c r="BN9591" s="4"/>
      <c r="BO9591" s="4"/>
      <c r="BQ9591" s="4"/>
      <c r="CC9591" s="4"/>
      <c r="CD9591" s="4"/>
      <c r="CF9591" s="4"/>
    </row>
    <row r="9592" spans="66:84">
      <c r="BN9592" s="4"/>
      <c r="BO9592" s="4"/>
      <c r="BQ9592" s="4"/>
      <c r="CC9592" s="4"/>
      <c r="CD9592" s="4"/>
      <c r="CF9592" s="4"/>
    </row>
    <row r="9593" spans="66:84">
      <c r="BN9593" s="4"/>
      <c r="BO9593" s="4"/>
      <c r="BQ9593" s="4"/>
      <c r="CC9593" s="4"/>
      <c r="CD9593" s="4"/>
      <c r="CF9593" s="4"/>
    </row>
    <row r="9594" spans="66:84">
      <c r="BN9594" s="4"/>
      <c r="BO9594" s="4"/>
      <c r="BQ9594" s="4"/>
      <c r="CC9594" s="4"/>
      <c r="CD9594" s="4"/>
      <c r="CF9594" s="4"/>
    </row>
    <row r="9595" spans="66:84">
      <c r="BN9595" s="4"/>
      <c r="BO9595" s="4"/>
      <c r="BQ9595" s="4"/>
      <c r="CC9595" s="4"/>
      <c r="CD9595" s="4"/>
      <c r="CF9595" s="4"/>
    </row>
    <row r="9596" spans="66:84">
      <c r="BN9596" s="4"/>
      <c r="BO9596" s="4"/>
      <c r="BQ9596" s="4"/>
      <c r="CC9596" s="4"/>
      <c r="CD9596" s="4"/>
      <c r="CF9596" s="4"/>
    </row>
    <row r="9597" spans="66:84">
      <c r="BN9597" s="4"/>
      <c r="BO9597" s="4"/>
      <c r="BQ9597" s="4"/>
      <c r="CC9597" s="4"/>
      <c r="CD9597" s="4"/>
      <c r="CF9597" s="4"/>
    </row>
    <row r="9598" spans="66:84">
      <c r="BN9598" s="4"/>
      <c r="BO9598" s="4"/>
      <c r="BQ9598" s="4"/>
      <c r="CC9598" s="4"/>
      <c r="CD9598" s="4"/>
      <c r="CF9598" s="4"/>
    </row>
    <row r="9599" spans="66:84">
      <c r="BN9599" s="4"/>
      <c r="BO9599" s="4"/>
      <c r="BQ9599" s="4"/>
      <c r="CC9599" s="4"/>
      <c r="CD9599" s="4"/>
      <c r="CF9599" s="4"/>
    </row>
    <row r="9600" spans="66:84">
      <c r="BN9600" s="4"/>
      <c r="BO9600" s="4"/>
      <c r="BQ9600" s="4"/>
      <c r="CC9600" s="4"/>
      <c r="CD9600" s="4"/>
      <c r="CF9600" s="4"/>
    </row>
    <row r="9601" spans="66:84">
      <c r="BN9601" s="4"/>
      <c r="BO9601" s="4"/>
      <c r="BQ9601" s="4"/>
      <c r="CC9601" s="4"/>
      <c r="CD9601" s="4"/>
      <c r="CF9601" s="4"/>
    </row>
    <row r="9602" spans="66:84">
      <c r="BN9602" s="4"/>
      <c r="BO9602" s="4"/>
      <c r="BQ9602" s="4"/>
      <c r="CC9602" s="4"/>
      <c r="CD9602" s="4"/>
      <c r="CF9602" s="4"/>
    </row>
    <row r="9603" spans="66:84">
      <c r="BN9603" s="4"/>
      <c r="BO9603" s="4"/>
      <c r="BQ9603" s="4"/>
      <c r="CC9603" s="4"/>
      <c r="CD9603" s="4"/>
      <c r="CF9603" s="4"/>
    </row>
    <row r="9604" spans="66:84">
      <c r="BN9604" s="4"/>
      <c r="BO9604" s="4"/>
      <c r="BQ9604" s="4"/>
      <c r="CC9604" s="4"/>
      <c r="CD9604" s="4"/>
      <c r="CF9604" s="4"/>
    </row>
    <row r="9605" spans="66:84">
      <c r="BN9605" s="4"/>
      <c r="BO9605" s="4"/>
      <c r="BQ9605" s="4"/>
      <c r="CC9605" s="4"/>
      <c r="CD9605" s="4"/>
      <c r="CF9605" s="4"/>
    </row>
    <row r="9606" spans="66:84">
      <c r="BN9606" s="4"/>
      <c r="BO9606" s="4"/>
      <c r="BQ9606" s="4"/>
      <c r="CC9606" s="4"/>
      <c r="CD9606" s="4"/>
      <c r="CF9606" s="4"/>
    </row>
    <row r="9607" spans="66:84">
      <c r="BN9607" s="4"/>
      <c r="BO9607" s="4"/>
      <c r="BQ9607" s="4"/>
      <c r="CC9607" s="4"/>
      <c r="CD9607" s="4"/>
      <c r="CF9607" s="4"/>
    </row>
    <row r="9608" spans="66:84">
      <c r="BN9608" s="4"/>
      <c r="BO9608" s="4"/>
      <c r="BQ9608" s="4"/>
      <c r="CC9608" s="4"/>
      <c r="CD9608" s="4"/>
      <c r="CF9608" s="4"/>
    </row>
    <row r="9609" spans="66:84">
      <c r="BN9609" s="4"/>
      <c r="BO9609" s="4"/>
      <c r="BQ9609" s="4"/>
      <c r="CC9609" s="4"/>
      <c r="CD9609" s="4"/>
      <c r="CF9609" s="4"/>
    </row>
    <row r="9610" spans="66:84">
      <c r="BN9610" s="4"/>
      <c r="BO9610" s="4"/>
      <c r="BQ9610" s="4"/>
      <c r="CC9610" s="4"/>
      <c r="CD9610" s="4"/>
      <c r="CF9610" s="4"/>
    </row>
    <row r="9611" spans="66:84">
      <c r="BN9611" s="4"/>
      <c r="BO9611" s="4"/>
      <c r="BQ9611" s="4"/>
      <c r="CC9611" s="4"/>
      <c r="CD9611" s="4"/>
      <c r="CF9611" s="4"/>
    </row>
    <row r="9612" spans="66:84">
      <c r="BN9612" s="4"/>
      <c r="BO9612" s="4"/>
      <c r="BQ9612" s="4"/>
      <c r="CC9612" s="4"/>
      <c r="CD9612" s="4"/>
      <c r="CF9612" s="4"/>
    </row>
    <row r="9613" spans="66:84">
      <c r="BN9613" s="4"/>
      <c r="BO9613" s="4"/>
      <c r="BQ9613" s="4"/>
      <c r="CC9613" s="4"/>
      <c r="CD9613" s="4"/>
      <c r="CF9613" s="4"/>
    </row>
    <row r="9614" spans="66:84">
      <c r="BN9614" s="4"/>
      <c r="BO9614" s="4"/>
      <c r="BQ9614" s="4"/>
      <c r="CC9614" s="4"/>
      <c r="CD9614" s="4"/>
      <c r="CF9614" s="4"/>
    </row>
    <row r="9615" spans="66:84">
      <c r="BN9615" s="4"/>
      <c r="BO9615" s="4"/>
      <c r="BQ9615" s="4"/>
      <c r="CC9615" s="4"/>
      <c r="CD9615" s="4"/>
      <c r="CF9615" s="4"/>
    </row>
    <row r="9616" spans="66:84">
      <c r="BN9616" s="4"/>
      <c r="BO9616" s="4"/>
      <c r="BQ9616" s="4"/>
      <c r="CC9616" s="4"/>
      <c r="CD9616" s="4"/>
      <c r="CF9616" s="4"/>
    </row>
    <row r="9617" spans="66:84">
      <c r="BN9617" s="4"/>
      <c r="BO9617" s="4"/>
      <c r="BQ9617" s="4"/>
      <c r="CC9617" s="4"/>
      <c r="CD9617" s="4"/>
      <c r="CF9617" s="4"/>
    </row>
    <row r="9618" spans="66:84">
      <c r="BN9618" s="4"/>
      <c r="BO9618" s="4"/>
      <c r="BQ9618" s="4"/>
      <c r="CC9618" s="4"/>
      <c r="CD9618" s="4"/>
      <c r="CF9618" s="4"/>
    </row>
    <row r="9619" spans="66:84">
      <c r="BN9619" s="4"/>
      <c r="BO9619" s="4"/>
      <c r="BQ9619" s="4"/>
      <c r="CC9619" s="4"/>
      <c r="CD9619" s="4"/>
      <c r="CF9619" s="4"/>
    </row>
    <row r="9620" spans="66:84">
      <c r="BN9620" s="4"/>
      <c r="BO9620" s="4"/>
      <c r="BQ9620" s="4"/>
      <c r="CC9620" s="4"/>
      <c r="CD9620" s="4"/>
      <c r="CF9620" s="4"/>
    </row>
    <row r="9621" spans="66:84">
      <c r="BN9621" s="4"/>
      <c r="BO9621" s="4"/>
      <c r="BQ9621" s="4"/>
      <c r="CC9621" s="4"/>
      <c r="CD9621" s="4"/>
      <c r="CF9621" s="4"/>
    </row>
    <row r="9622" spans="66:84">
      <c r="BN9622" s="4"/>
      <c r="BO9622" s="4"/>
      <c r="BQ9622" s="4"/>
      <c r="CC9622" s="4"/>
      <c r="CD9622" s="4"/>
      <c r="CF9622" s="4"/>
    </row>
    <row r="9623" spans="66:84">
      <c r="BN9623" s="4"/>
      <c r="BO9623" s="4"/>
      <c r="BQ9623" s="4"/>
      <c r="CC9623" s="4"/>
      <c r="CD9623" s="4"/>
      <c r="CF9623" s="4"/>
    </row>
    <row r="9624" spans="66:84">
      <c r="BN9624" s="4"/>
      <c r="BO9624" s="4"/>
      <c r="BQ9624" s="4"/>
      <c r="CC9624" s="4"/>
      <c r="CD9624" s="4"/>
      <c r="CF9624" s="4"/>
    </row>
    <row r="9625" spans="66:84">
      <c r="BN9625" s="4"/>
      <c r="BO9625" s="4"/>
      <c r="BQ9625" s="4"/>
      <c r="CC9625" s="4"/>
      <c r="CD9625" s="4"/>
      <c r="CF9625" s="4"/>
    </row>
    <row r="9626" spans="66:84">
      <c r="BN9626" s="4"/>
      <c r="BO9626" s="4"/>
      <c r="BQ9626" s="4"/>
      <c r="CC9626" s="4"/>
      <c r="CD9626" s="4"/>
      <c r="CF9626" s="4"/>
    </row>
    <row r="9627" spans="66:84">
      <c r="BN9627" s="4"/>
      <c r="BO9627" s="4"/>
      <c r="BQ9627" s="4"/>
      <c r="CC9627" s="4"/>
      <c r="CD9627" s="4"/>
      <c r="CF9627" s="4"/>
    </row>
    <row r="9628" spans="66:84">
      <c r="BN9628" s="4"/>
      <c r="BO9628" s="4"/>
      <c r="BQ9628" s="4"/>
      <c r="CC9628" s="4"/>
      <c r="CD9628" s="4"/>
      <c r="CF9628" s="4"/>
    </row>
    <row r="9629" spans="66:84">
      <c r="BN9629" s="4"/>
      <c r="BO9629" s="4"/>
      <c r="BQ9629" s="4"/>
      <c r="CC9629" s="4"/>
      <c r="CD9629" s="4"/>
      <c r="CF9629" s="4"/>
    </row>
    <row r="9630" spans="66:84">
      <c r="BN9630" s="4"/>
      <c r="BO9630" s="4"/>
      <c r="BQ9630" s="4"/>
      <c r="CC9630" s="4"/>
      <c r="CD9630" s="4"/>
      <c r="CF9630" s="4"/>
    </row>
    <row r="9631" spans="66:84">
      <c r="BN9631" s="4"/>
      <c r="BO9631" s="4"/>
      <c r="BQ9631" s="4"/>
      <c r="CC9631" s="4"/>
      <c r="CD9631" s="4"/>
      <c r="CF9631" s="4"/>
    </row>
    <row r="9632" spans="66:84">
      <c r="BN9632" s="4"/>
      <c r="BO9632" s="4"/>
      <c r="BQ9632" s="4"/>
      <c r="CC9632" s="4"/>
      <c r="CD9632" s="4"/>
      <c r="CF9632" s="4"/>
    </row>
    <row r="9633" spans="66:84">
      <c r="BN9633" s="4"/>
      <c r="BO9633" s="4"/>
      <c r="BQ9633" s="4"/>
      <c r="CC9633" s="4"/>
      <c r="CD9633" s="4"/>
      <c r="CF9633" s="4"/>
    </row>
    <row r="9634" spans="66:84">
      <c r="BN9634" s="4"/>
      <c r="BO9634" s="4"/>
      <c r="BQ9634" s="4"/>
      <c r="CC9634" s="4"/>
      <c r="CD9634" s="4"/>
      <c r="CF9634" s="4"/>
    </row>
    <row r="9635" spans="66:84">
      <c r="BN9635" s="4"/>
      <c r="BO9635" s="4"/>
      <c r="BQ9635" s="4"/>
      <c r="CC9635" s="4"/>
      <c r="CD9635" s="4"/>
      <c r="CF9635" s="4"/>
    </row>
    <row r="9636" spans="66:84">
      <c r="BN9636" s="4"/>
      <c r="BO9636" s="4"/>
      <c r="BQ9636" s="4"/>
      <c r="CC9636" s="4"/>
      <c r="CD9636" s="4"/>
      <c r="CF9636" s="4"/>
    </row>
    <row r="9637" spans="66:84">
      <c r="BN9637" s="4"/>
      <c r="BO9637" s="4"/>
      <c r="BQ9637" s="4"/>
      <c r="CC9637" s="4"/>
      <c r="CD9637" s="4"/>
      <c r="CF9637" s="4"/>
    </row>
    <row r="9638" spans="66:84">
      <c r="BN9638" s="4"/>
      <c r="BO9638" s="4"/>
      <c r="BQ9638" s="4"/>
      <c r="CC9638" s="4"/>
      <c r="CD9638" s="4"/>
      <c r="CF9638" s="4"/>
    </row>
    <row r="9639" spans="66:84">
      <c r="BN9639" s="4"/>
      <c r="BO9639" s="4"/>
      <c r="BQ9639" s="4"/>
      <c r="CC9639" s="4"/>
      <c r="CD9639" s="4"/>
      <c r="CF9639" s="4"/>
    </row>
    <row r="9640" spans="66:84">
      <c r="BN9640" s="4"/>
      <c r="BO9640" s="4"/>
      <c r="BQ9640" s="4"/>
      <c r="CC9640" s="4"/>
      <c r="CD9640" s="4"/>
      <c r="CF9640" s="4"/>
    </row>
    <row r="9641" spans="66:84">
      <c r="BN9641" s="4"/>
      <c r="BO9641" s="4"/>
      <c r="BQ9641" s="4"/>
      <c r="CC9641" s="4"/>
      <c r="CD9641" s="4"/>
      <c r="CF9641" s="4"/>
    </row>
    <row r="9642" spans="66:84">
      <c r="BN9642" s="4"/>
      <c r="BO9642" s="4"/>
      <c r="BQ9642" s="4"/>
      <c r="CC9642" s="4"/>
      <c r="CD9642" s="4"/>
      <c r="CF9642" s="4"/>
    </row>
    <row r="9643" spans="66:84">
      <c r="BN9643" s="4"/>
      <c r="BO9643" s="4"/>
      <c r="BQ9643" s="4"/>
      <c r="CC9643" s="4"/>
      <c r="CD9643" s="4"/>
      <c r="CF9643" s="4"/>
    </row>
    <row r="9644" spans="66:84">
      <c r="BN9644" s="4"/>
      <c r="BO9644" s="4"/>
      <c r="BQ9644" s="4"/>
      <c r="CC9644" s="4"/>
      <c r="CD9644" s="4"/>
      <c r="CF9644" s="4"/>
    </row>
    <row r="9645" spans="66:84">
      <c r="BN9645" s="4"/>
      <c r="BO9645" s="4"/>
      <c r="BQ9645" s="4"/>
      <c r="CC9645" s="4"/>
      <c r="CD9645" s="4"/>
      <c r="CF9645" s="4"/>
    </row>
    <row r="9646" spans="66:84">
      <c r="BN9646" s="4"/>
      <c r="BO9646" s="4"/>
      <c r="BQ9646" s="4"/>
      <c r="CC9646" s="4"/>
      <c r="CD9646" s="4"/>
      <c r="CF9646" s="4"/>
    </row>
    <row r="9647" spans="66:84">
      <c r="BN9647" s="4"/>
      <c r="BO9647" s="4"/>
      <c r="BQ9647" s="4"/>
      <c r="CC9647" s="4"/>
      <c r="CD9647" s="4"/>
      <c r="CF9647" s="4"/>
    </row>
    <row r="9648" spans="66:84">
      <c r="BN9648" s="4"/>
      <c r="BO9648" s="4"/>
      <c r="BQ9648" s="4"/>
      <c r="CC9648" s="4"/>
      <c r="CD9648" s="4"/>
      <c r="CF9648" s="4"/>
    </row>
    <row r="9649" spans="66:84">
      <c r="BN9649" s="4"/>
      <c r="BO9649" s="4"/>
      <c r="BQ9649" s="4"/>
      <c r="CC9649" s="4"/>
      <c r="CD9649" s="4"/>
      <c r="CF9649" s="4"/>
    </row>
    <row r="9650" spans="66:84">
      <c r="BN9650" s="4"/>
      <c r="BO9650" s="4"/>
      <c r="BQ9650" s="4"/>
      <c r="CC9650" s="4"/>
      <c r="CD9650" s="4"/>
      <c r="CF9650" s="4"/>
    </row>
    <row r="9651" spans="66:84">
      <c r="BN9651" s="4"/>
      <c r="BO9651" s="4"/>
      <c r="BQ9651" s="4"/>
      <c r="CC9651" s="4"/>
      <c r="CD9651" s="4"/>
      <c r="CF9651" s="4"/>
    </row>
    <row r="9652" spans="66:84">
      <c r="BN9652" s="4"/>
      <c r="BO9652" s="4"/>
      <c r="BQ9652" s="4"/>
      <c r="CC9652" s="4"/>
      <c r="CD9652" s="4"/>
      <c r="CF9652" s="4"/>
    </row>
    <row r="9653" spans="66:84">
      <c r="BN9653" s="4"/>
      <c r="BO9653" s="4"/>
      <c r="BQ9653" s="4"/>
      <c r="CC9653" s="4"/>
      <c r="CD9653" s="4"/>
      <c r="CF9653" s="4"/>
    </row>
    <row r="9654" spans="66:84">
      <c r="BN9654" s="4"/>
      <c r="BO9654" s="4"/>
      <c r="BQ9654" s="4"/>
      <c r="CC9654" s="4"/>
      <c r="CD9654" s="4"/>
      <c r="CF9654" s="4"/>
    </row>
    <row r="9655" spans="66:84">
      <c r="BN9655" s="4"/>
      <c r="BO9655" s="4"/>
      <c r="BQ9655" s="4"/>
      <c r="CC9655" s="4"/>
      <c r="CD9655" s="4"/>
      <c r="CF9655" s="4"/>
    </row>
    <row r="9656" spans="66:84">
      <c r="BN9656" s="4"/>
      <c r="BO9656" s="4"/>
      <c r="BQ9656" s="4"/>
      <c r="CC9656" s="4"/>
      <c r="CD9656" s="4"/>
      <c r="CF9656" s="4"/>
    </row>
    <row r="9657" spans="66:84">
      <c r="BN9657" s="4"/>
      <c r="BO9657" s="4"/>
      <c r="BQ9657" s="4"/>
      <c r="CC9657" s="4"/>
      <c r="CD9657" s="4"/>
      <c r="CF9657" s="4"/>
    </row>
    <row r="9658" spans="66:84">
      <c r="BN9658" s="4"/>
      <c r="BO9658" s="4"/>
      <c r="BQ9658" s="4"/>
      <c r="CC9658" s="4"/>
      <c r="CD9658" s="4"/>
      <c r="CF9658" s="4"/>
    </row>
    <row r="9659" spans="66:84">
      <c r="BN9659" s="4"/>
      <c r="BO9659" s="4"/>
      <c r="BQ9659" s="4"/>
      <c r="CC9659" s="4"/>
      <c r="CD9659" s="4"/>
      <c r="CF9659" s="4"/>
    </row>
    <row r="9660" spans="66:84">
      <c r="BN9660" s="4"/>
      <c r="BO9660" s="4"/>
      <c r="BQ9660" s="4"/>
      <c r="CC9660" s="4"/>
      <c r="CD9660" s="4"/>
      <c r="CF9660" s="4"/>
    </row>
    <row r="9661" spans="66:84">
      <c r="BN9661" s="4"/>
      <c r="BO9661" s="4"/>
      <c r="BQ9661" s="4"/>
      <c r="CC9661" s="4"/>
      <c r="CD9661" s="4"/>
      <c r="CF9661" s="4"/>
    </row>
    <row r="9662" spans="66:84">
      <c r="BN9662" s="4"/>
      <c r="BO9662" s="4"/>
      <c r="BQ9662" s="4"/>
      <c r="CC9662" s="4"/>
      <c r="CD9662" s="4"/>
      <c r="CF9662" s="4"/>
    </row>
    <row r="9663" spans="66:84">
      <c r="BN9663" s="4"/>
      <c r="BO9663" s="4"/>
      <c r="BQ9663" s="4"/>
      <c r="CC9663" s="4"/>
      <c r="CD9663" s="4"/>
      <c r="CF9663" s="4"/>
    </row>
    <row r="9664" spans="66:84">
      <c r="BN9664" s="4"/>
      <c r="BO9664" s="4"/>
      <c r="BQ9664" s="4"/>
      <c r="CC9664" s="4"/>
      <c r="CD9664" s="4"/>
      <c r="CF9664" s="4"/>
    </row>
    <row r="9665" spans="66:84">
      <c r="BN9665" s="4"/>
      <c r="BO9665" s="4"/>
      <c r="BQ9665" s="4"/>
      <c r="CC9665" s="4"/>
      <c r="CD9665" s="4"/>
      <c r="CF9665" s="4"/>
    </row>
    <row r="9666" spans="66:84">
      <c r="BN9666" s="4"/>
      <c r="BO9666" s="4"/>
      <c r="BQ9666" s="4"/>
      <c r="CC9666" s="4"/>
      <c r="CD9666" s="4"/>
      <c r="CF9666" s="4"/>
    </row>
    <row r="9667" spans="66:84">
      <c r="BN9667" s="4"/>
      <c r="BO9667" s="4"/>
      <c r="BQ9667" s="4"/>
      <c r="CC9667" s="4"/>
      <c r="CD9667" s="4"/>
      <c r="CF9667" s="4"/>
    </row>
    <row r="9668" spans="66:84">
      <c r="BN9668" s="4"/>
      <c r="BO9668" s="4"/>
      <c r="BQ9668" s="4"/>
      <c r="CC9668" s="4"/>
      <c r="CD9668" s="4"/>
      <c r="CF9668" s="4"/>
    </row>
    <row r="9669" spans="66:84">
      <c r="BN9669" s="4"/>
      <c r="BO9669" s="4"/>
      <c r="BQ9669" s="4"/>
      <c r="CC9669" s="4"/>
      <c r="CD9669" s="4"/>
      <c r="CF9669" s="4"/>
    </row>
    <row r="9670" spans="66:84">
      <c r="BN9670" s="4"/>
      <c r="BO9670" s="4"/>
      <c r="BQ9670" s="4"/>
      <c r="CC9670" s="4"/>
      <c r="CD9670" s="4"/>
      <c r="CF9670" s="4"/>
    </row>
    <row r="9671" spans="66:84">
      <c r="BN9671" s="4"/>
      <c r="BO9671" s="4"/>
      <c r="BQ9671" s="4"/>
      <c r="CC9671" s="4"/>
      <c r="CD9671" s="4"/>
      <c r="CF9671" s="4"/>
    </row>
    <row r="9672" spans="66:84">
      <c r="BN9672" s="4"/>
      <c r="BO9672" s="4"/>
      <c r="BQ9672" s="4"/>
      <c r="CC9672" s="4"/>
      <c r="CD9672" s="4"/>
      <c r="CF9672" s="4"/>
    </row>
    <row r="9673" spans="66:84">
      <c r="BN9673" s="4"/>
      <c r="BO9673" s="4"/>
      <c r="BQ9673" s="4"/>
      <c r="CC9673" s="4"/>
      <c r="CD9673" s="4"/>
      <c r="CF9673" s="4"/>
    </row>
    <row r="9674" spans="66:84">
      <c r="BN9674" s="4"/>
      <c r="BO9674" s="4"/>
      <c r="BQ9674" s="4"/>
      <c r="CC9674" s="4"/>
      <c r="CD9674" s="4"/>
      <c r="CF9674" s="4"/>
    </row>
    <row r="9675" spans="66:84">
      <c r="BN9675" s="4"/>
      <c r="BO9675" s="4"/>
      <c r="BQ9675" s="4"/>
      <c r="CC9675" s="4"/>
      <c r="CD9675" s="4"/>
      <c r="CF9675" s="4"/>
    </row>
    <row r="9676" spans="66:84">
      <c r="BN9676" s="4"/>
      <c r="BO9676" s="4"/>
      <c r="BQ9676" s="4"/>
      <c r="CC9676" s="4"/>
      <c r="CD9676" s="4"/>
      <c r="CF9676" s="4"/>
    </row>
    <row r="9677" spans="66:84">
      <c r="BN9677" s="4"/>
      <c r="BO9677" s="4"/>
      <c r="BQ9677" s="4"/>
      <c r="CC9677" s="4"/>
      <c r="CD9677" s="4"/>
      <c r="CF9677" s="4"/>
    </row>
    <row r="9678" spans="66:84">
      <c r="BN9678" s="4"/>
      <c r="BO9678" s="4"/>
      <c r="BQ9678" s="4"/>
      <c r="CC9678" s="4"/>
      <c r="CD9678" s="4"/>
      <c r="CF9678" s="4"/>
    </row>
    <row r="9679" spans="66:84">
      <c r="BN9679" s="4"/>
      <c r="BO9679" s="4"/>
      <c r="BQ9679" s="4"/>
      <c r="CC9679" s="4"/>
      <c r="CD9679" s="4"/>
      <c r="CF9679" s="4"/>
    </row>
    <row r="9680" spans="66:84">
      <c r="BN9680" s="4"/>
      <c r="BO9680" s="4"/>
      <c r="BQ9680" s="4"/>
      <c r="CC9680" s="4"/>
      <c r="CD9680" s="4"/>
      <c r="CF9680" s="4"/>
    </row>
    <row r="9681" spans="66:84">
      <c r="BN9681" s="4"/>
      <c r="BO9681" s="4"/>
      <c r="BQ9681" s="4"/>
      <c r="CC9681" s="4"/>
      <c r="CD9681" s="4"/>
      <c r="CF9681" s="4"/>
    </row>
    <row r="9682" spans="66:84">
      <c r="BN9682" s="4"/>
      <c r="BO9682" s="4"/>
      <c r="BQ9682" s="4"/>
      <c r="CC9682" s="4"/>
      <c r="CD9682" s="4"/>
      <c r="CF9682" s="4"/>
    </row>
    <row r="9683" spans="66:84">
      <c r="BN9683" s="4"/>
      <c r="BO9683" s="4"/>
      <c r="BQ9683" s="4"/>
      <c r="CC9683" s="4"/>
      <c r="CD9683" s="4"/>
      <c r="CF9683" s="4"/>
    </row>
    <row r="9684" spans="66:84">
      <c r="BN9684" s="4"/>
      <c r="BO9684" s="4"/>
      <c r="BQ9684" s="4"/>
      <c r="CC9684" s="4"/>
      <c r="CD9684" s="4"/>
      <c r="CF9684" s="4"/>
    </row>
    <row r="9685" spans="66:84">
      <c r="BN9685" s="4"/>
      <c r="BO9685" s="4"/>
      <c r="BQ9685" s="4"/>
      <c r="CC9685" s="4"/>
      <c r="CD9685" s="4"/>
      <c r="CF9685" s="4"/>
    </row>
    <row r="9686" spans="66:84">
      <c r="BN9686" s="4"/>
      <c r="BO9686" s="4"/>
      <c r="BQ9686" s="4"/>
      <c r="CC9686" s="4"/>
      <c r="CD9686" s="4"/>
      <c r="CF9686" s="4"/>
    </row>
    <row r="9687" spans="66:84">
      <c r="BN9687" s="4"/>
      <c r="BO9687" s="4"/>
      <c r="BQ9687" s="4"/>
      <c r="CC9687" s="4"/>
      <c r="CD9687" s="4"/>
      <c r="CF9687" s="4"/>
    </row>
    <row r="9688" spans="66:84">
      <c r="BN9688" s="4"/>
      <c r="BO9688" s="4"/>
      <c r="BQ9688" s="4"/>
      <c r="CC9688" s="4"/>
      <c r="CD9688" s="4"/>
      <c r="CF9688" s="4"/>
    </row>
    <row r="9689" spans="66:84">
      <c r="BN9689" s="4"/>
      <c r="BO9689" s="4"/>
      <c r="BQ9689" s="4"/>
      <c r="CC9689" s="4"/>
      <c r="CD9689" s="4"/>
      <c r="CF9689" s="4"/>
    </row>
    <row r="9690" spans="66:84">
      <c r="BN9690" s="4"/>
      <c r="BO9690" s="4"/>
      <c r="BQ9690" s="4"/>
      <c r="CC9690" s="4"/>
      <c r="CD9690" s="4"/>
      <c r="CF9690" s="4"/>
    </row>
    <row r="9691" spans="66:84">
      <c r="BN9691" s="4"/>
      <c r="BO9691" s="4"/>
      <c r="BQ9691" s="4"/>
      <c r="CC9691" s="4"/>
      <c r="CD9691" s="4"/>
      <c r="CF9691" s="4"/>
    </row>
    <row r="9692" spans="66:84">
      <c r="BN9692" s="4"/>
      <c r="BO9692" s="4"/>
      <c r="BQ9692" s="4"/>
      <c r="CC9692" s="4"/>
      <c r="CD9692" s="4"/>
      <c r="CF9692" s="4"/>
    </row>
    <row r="9693" spans="66:84">
      <c r="BN9693" s="4"/>
      <c r="BO9693" s="4"/>
      <c r="BQ9693" s="4"/>
      <c r="CC9693" s="4"/>
      <c r="CD9693" s="4"/>
      <c r="CF9693" s="4"/>
    </row>
    <row r="9694" spans="66:84">
      <c r="BN9694" s="4"/>
      <c r="BO9694" s="4"/>
      <c r="BQ9694" s="4"/>
      <c r="CC9694" s="4"/>
      <c r="CD9694" s="4"/>
      <c r="CF9694" s="4"/>
    </row>
    <row r="9695" spans="66:84">
      <c r="BN9695" s="4"/>
      <c r="BO9695" s="4"/>
      <c r="BQ9695" s="4"/>
      <c r="CC9695" s="4"/>
      <c r="CD9695" s="4"/>
      <c r="CF9695" s="4"/>
    </row>
    <row r="9696" spans="66:84">
      <c r="BN9696" s="4"/>
      <c r="BO9696" s="4"/>
      <c r="BQ9696" s="4"/>
      <c r="CC9696" s="4"/>
      <c r="CD9696" s="4"/>
      <c r="CF9696" s="4"/>
    </row>
    <row r="9697" spans="66:84">
      <c r="BN9697" s="4"/>
      <c r="BO9697" s="4"/>
      <c r="BQ9697" s="4"/>
      <c r="CC9697" s="4"/>
      <c r="CD9697" s="4"/>
      <c r="CF9697" s="4"/>
    </row>
    <row r="9698" spans="66:84">
      <c r="BN9698" s="4"/>
      <c r="BO9698" s="4"/>
      <c r="BQ9698" s="4"/>
      <c r="CC9698" s="4"/>
      <c r="CD9698" s="4"/>
      <c r="CF9698" s="4"/>
    </row>
    <row r="9699" spans="66:84">
      <c r="BN9699" s="4"/>
      <c r="BO9699" s="4"/>
      <c r="BQ9699" s="4"/>
      <c r="CC9699" s="4"/>
      <c r="CD9699" s="4"/>
      <c r="CF9699" s="4"/>
    </row>
    <row r="9700" spans="66:84">
      <c r="BN9700" s="4"/>
      <c r="BO9700" s="4"/>
      <c r="BQ9700" s="4"/>
      <c r="CC9700" s="4"/>
      <c r="CD9700" s="4"/>
      <c r="CF9700" s="4"/>
    </row>
    <row r="9701" spans="66:84">
      <c r="BN9701" s="4"/>
      <c r="BO9701" s="4"/>
      <c r="BQ9701" s="4"/>
      <c r="CC9701" s="4"/>
      <c r="CD9701" s="4"/>
      <c r="CF9701" s="4"/>
    </row>
    <row r="9702" spans="66:84">
      <c r="BN9702" s="4"/>
      <c r="BO9702" s="4"/>
      <c r="BQ9702" s="4"/>
      <c r="CC9702" s="4"/>
      <c r="CD9702" s="4"/>
      <c r="CF9702" s="4"/>
    </row>
    <row r="9703" spans="66:84">
      <c r="BN9703" s="4"/>
      <c r="BO9703" s="4"/>
      <c r="BQ9703" s="4"/>
      <c r="CC9703" s="4"/>
      <c r="CD9703" s="4"/>
      <c r="CF9703" s="4"/>
    </row>
    <row r="9704" spans="66:84">
      <c r="BN9704" s="4"/>
      <c r="BO9704" s="4"/>
      <c r="BQ9704" s="4"/>
      <c r="CC9704" s="4"/>
      <c r="CD9704" s="4"/>
      <c r="CF9704" s="4"/>
    </row>
    <row r="9705" spans="66:84">
      <c r="BN9705" s="4"/>
      <c r="BO9705" s="4"/>
      <c r="BQ9705" s="4"/>
      <c r="CC9705" s="4"/>
      <c r="CD9705" s="4"/>
      <c r="CF9705" s="4"/>
    </row>
    <row r="9706" spans="66:84">
      <c r="BN9706" s="4"/>
      <c r="BO9706" s="4"/>
      <c r="BQ9706" s="4"/>
      <c r="CC9706" s="4"/>
      <c r="CD9706" s="4"/>
      <c r="CF9706" s="4"/>
    </row>
    <row r="9707" spans="66:84">
      <c r="BN9707" s="4"/>
      <c r="BO9707" s="4"/>
      <c r="BQ9707" s="4"/>
      <c r="CC9707" s="4"/>
      <c r="CD9707" s="4"/>
      <c r="CF9707" s="4"/>
    </row>
    <row r="9708" spans="66:84">
      <c r="BN9708" s="4"/>
      <c r="BO9708" s="4"/>
      <c r="BQ9708" s="4"/>
      <c r="CC9708" s="4"/>
      <c r="CD9708" s="4"/>
      <c r="CF9708" s="4"/>
    </row>
    <row r="9709" spans="66:84">
      <c r="BN9709" s="4"/>
      <c r="BO9709" s="4"/>
      <c r="BQ9709" s="4"/>
      <c r="CC9709" s="4"/>
      <c r="CD9709" s="4"/>
      <c r="CF9709" s="4"/>
    </row>
    <row r="9710" spans="66:84">
      <c r="BN9710" s="4"/>
      <c r="BO9710" s="4"/>
      <c r="BQ9710" s="4"/>
      <c r="CC9710" s="4"/>
      <c r="CD9710" s="4"/>
      <c r="CF9710" s="4"/>
    </row>
    <row r="9711" spans="66:84">
      <c r="BN9711" s="4"/>
      <c r="BO9711" s="4"/>
      <c r="BQ9711" s="4"/>
      <c r="CC9711" s="4"/>
      <c r="CD9711" s="4"/>
      <c r="CF9711" s="4"/>
    </row>
    <row r="9712" spans="66:84">
      <c r="BN9712" s="4"/>
      <c r="BO9712" s="4"/>
      <c r="BQ9712" s="4"/>
      <c r="CC9712" s="4"/>
      <c r="CD9712" s="4"/>
      <c r="CF9712" s="4"/>
    </row>
    <row r="9713" spans="66:84">
      <c r="BN9713" s="4"/>
      <c r="BO9713" s="4"/>
      <c r="BQ9713" s="4"/>
      <c r="CC9713" s="4"/>
      <c r="CD9713" s="4"/>
      <c r="CF9713" s="4"/>
    </row>
    <row r="9714" spans="66:84">
      <c r="BN9714" s="4"/>
      <c r="BO9714" s="4"/>
      <c r="BQ9714" s="4"/>
      <c r="CC9714" s="4"/>
      <c r="CD9714" s="4"/>
      <c r="CF9714" s="4"/>
    </row>
    <row r="9715" spans="66:84">
      <c r="BN9715" s="4"/>
      <c r="BO9715" s="4"/>
      <c r="BQ9715" s="4"/>
      <c r="CC9715" s="4"/>
      <c r="CD9715" s="4"/>
      <c r="CF9715" s="4"/>
    </row>
    <row r="9716" spans="66:84">
      <c r="BN9716" s="4"/>
      <c r="BO9716" s="4"/>
      <c r="BQ9716" s="4"/>
      <c r="CC9716" s="4"/>
      <c r="CD9716" s="4"/>
      <c r="CF9716" s="4"/>
    </row>
    <row r="9717" spans="66:84">
      <c r="BN9717" s="4"/>
      <c r="BO9717" s="4"/>
      <c r="BQ9717" s="4"/>
      <c r="CC9717" s="4"/>
      <c r="CD9717" s="4"/>
      <c r="CF9717" s="4"/>
    </row>
    <row r="9718" spans="66:84">
      <c r="BN9718" s="4"/>
      <c r="BO9718" s="4"/>
      <c r="BQ9718" s="4"/>
      <c r="CC9718" s="4"/>
      <c r="CD9718" s="4"/>
      <c r="CF9718" s="4"/>
    </row>
    <row r="9719" spans="66:84">
      <c r="BN9719" s="4"/>
      <c r="BO9719" s="4"/>
      <c r="BQ9719" s="4"/>
      <c r="CC9719" s="4"/>
      <c r="CD9719" s="4"/>
      <c r="CF9719" s="4"/>
    </row>
    <row r="9720" spans="66:84">
      <c r="BN9720" s="4"/>
      <c r="BO9720" s="4"/>
      <c r="BQ9720" s="4"/>
      <c r="CC9720" s="4"/>
      <c r="CD9720" s="4"/>
      <c r="CF9720" s="4"/>
    </row>
    <row r="9721" spans="66:84">
      <c r="BN9721" s="4"/>
      <c r="BO9721" s="4"/>
      <c r="BQ9721" s="4"/>
      <c r="CC9721" s="4"/>
      <c r="CD9721" s="4"/>
      <c r="CF9721" s="4"/>
    </row>
    <row r="9722" spans="66:84">
      <c r="BN9722" s="4"/>
      <c r="BO9722" s="4"/>
      <c r="BQ9722" s="4"/>
      <c r="CC9722" s="4"/>
      <c r="CD9722" s="4"/>
      <c r="CF9722" s="4"/>
    </row>
    <row r="9723" spans="66:84">
      <c r="BN9723" s="4"/>
      <c r="BO9723" s="4"/>
      <c r="BQ9723" s="4"/>
      <c r="CC9723" s="4"/>
      <c r="CD9723" s="4"/>
      <c r="CF9723" s="4"/>
    </row>
    <row r="9724" spans="66:84">
      <c r="BN9724" s="4"/>
      <c r="BO9724" s="4"/>
      <c r="BQ9724" s="4"/>
      <c r="CC9724" s="4"/>
      <c r="CD9724" s="4"/>
      <c r="CF9724" s="4"/>
    </row>
    <row r="9725" spans="66:84">
      <c r="BN9725" s="4"/>
      <c r="BO9725" s="4"/>
      <c r="BQ9725" s="4"/>
      <c r="CC9725" s="4"/>
      <c r="CD9725" s="4"/>
      <c r="CF9725" s="4"/>
    </row>
    <row r="9726" spans="66:84">
      <c r="BN9726" s="4"/>
      <c r="BO9726" s="4"/>
      <c r="BQ9726" s="4"/>
      <c r="CC9726" s="4"/>
      <c r="CD9726" s="4"/>
      <c r="CF9726" s="4"/>
    </row>
    <row r="9727" spans="66:84">
      <c r="BN9727" s="4"/>
      <c r="BO9727" s="4"/>
      <c r="BQ9727" s="4"/>
      <c r="CC9727" s="4"/>
      <c r="CD9727" s="4"/>
      <c r="CF9727" s="4"/>
    </row>
    <row r="9728" spans="66:84">
      <c r="BN9728" s="4"/>
      <c r="BO9728" s="4"/>
      <c r="BQ9728" s="4"/>
      <c r="CC9728" s="4"/>
      <c r="CD9728" s="4"/>
      <c r="CF9728" s="4"/>
    </row>
    <row r="9729" spans="66:84">
      <c r="BN9729" s="4"/>
      <c r="BO9729" s="4"/>
      <c r="BQ9729" s="4"/>
      <c r="CC9729" s="4"/>
      <c r="CD9729" s="4"/>
      <c r="CF9729" s="4"/>
    </row>
    <row r="9730" spans="66:84">
      <c r="BN9730" s="4"/>
      <c r="BO9730" s="4"/>
      <c r="BQ9730" s="4"/>
      <c r="CC9730" s="4"/>
      <c r="CD9730" s="4"/>
      <c r="CF9730" s="4"/>
    </row>
    <row r="9731" spans="66:84">
      <c r="BN9731" s="4"/>
      <c r="BO9731" s="4"/>
      <c r="BQ9731" s="4"/>
      <c r="CC9731" s="4"/>
      <c r="CD9731" s="4"/>
      <c r="CF9731" s="4"/>
    </row>
    <row r="9732" spans="66:84">
      <c r="BN9732" s="4"/>
      <c r="BO9732" s="4"/>
      <c r="BQ9732" s="4"/>
      <c r="CC9732" s="4"/>
      <c r="CD9732" s="4"/>
      <c r="CF9732" s="4"/>
    </row>
    <row r="9733" spans="66:84">
      <c r="BN9733" s="4"/>
      <c r="BO9733" s="4"/>
      <c r="BQ9733" s="4"/>
      <c r="CC9733" s="4"/>
      <c r="CD9733" s="4"/>
      <c r="CF9733" s="4"/>
    </row>
    <row r="9734" spans="66:84">
      <c r="BN9734" s="4"/>
      <c r="BO9734" s="4"/>
      <c r="BQ9734" s="4"/>
      <c r="CC9734" s="4"/>
      <c r="CD9734" s="4"/>
      <c r="CF9734" s="4"/>
    </row>
    <row r="9735" spans="66:84">
      <c r="BN9735" s="4"/>
      <c r="BO9735" s="4"/>
      <c r="BQ9735" s="4"/>
      <c r="CC9735" s="4"/>
      <c r="CD9735" s="4"/>
      <c r="CF9735" s="4"/>
    </row>
    <row r="9736" spans="66:84">
      <c r="BN9736" s="4"/>
      <c r="BO9736" s="4"/>
      <c r="BQ9736" s="4"/>
      <c r="CC9736" s="4"/>
      <c r="CD9736" s="4"/>
      <c r="CF9736" s="4"/>
    </row>
    <row r="9737" spans="66:84">
      <c r="BN9737" s="4"/>
      <c r="BO9737" s="4"/>
      <c r="BQ9737" s="4"/>
      <c r="CC9737" s="4"/>
      <c r="CD9737" s="4"/>
      <c r="CF9737" s="4"/>
    </row>
    <row r="9738" spans="66:84">
      <c r="BN9738" s="4"/>
      <c r="BO9738" s="4"/>
      <c r="BQ9738" s="4"/>
      <c r="CC9738" s="4"/>
      <c r="CD9738" s="4"/>
      <c r="CF9738" s="4"/>
    </row>
    <row r="9739" spans="66:84">
      <c r="BN9739" s="4"/>
      <c r="BO9739" s="4"/>
      <c r="BQ9739" s="4"/>
      <c r="CC9739" s="4"/>
      <c r="CD9739" s="4"/>
      <c r="CF9739" s="4"/>
    </row>
    <row r="9740" spans="66:84">
      <c r="BN9740" s="4"/>
      <c r="BO9740" s="4"/>
      <c r="BQ9740" s="4"/>
      <c r="CC9740" s="4"/>
      <c r="CD9740" s="4"/>
      <c r="CF9740" s="4"/>
    </row>
    <row r="9741" spans="66:84">
      <c r="BN9741" s="4"/>
      <c r="BO9741" s="4"/>
      <c r="BQ9741" s="4"/>
      <c r="CC9741" s="4"/>
      <c r="CD9741" s="4"/>
      <c r="CF9741" s="4"/>
    </row>
    <row r="9742" spans="66:84">
      <c r="BN9742" s="4"/>
      <c r="BO9742" s="4"/>
      <c r="BQ9742" s="4"/>
      <c r="CC9742" s="4"/>
      <c r="CD9742" s="4"/>
      <c r="CF9742" s="4"/>
    </row>
    <row r="9743" spans="66:84">
      <c r="BN9743" s="4"/>
      <c r="BO9743" s="4"/>
      <c r="BQ9743" s="4"/>
      <c r="CC9743" s="4"/>
      <c r="CD9743" s="4"/>
      <c r="CF9743" s="4"/>
    </row>
    <row r="9744" spans="66:84">
      <c r="BN9744" s="4"/>
      <c r="BO9744" s="4"/>
      <c r="BQ9744" s="4"/>
      <c r="CC9744" s="4"/>
      <c r="CD9744" s="4"/>
      <c r="CF9744" s="4"/>
    </row>
    <row r="9745" spans="66:84">
      <c r="BN9745" s="4"/>
      <c r="BO9745" s="4"/>
      <c r="BQ9745" s="4"/>
      <c r="CC9745" s="4"/>
      <c r="CD9745" s="4"/>
      <c r="CF9745" s="4"/>
    </row>
    <row r="9746" spans="66:84">
      <c r="BN9746" s="4"/>
      <c r="BO9746" s="4"/>
      <c r="BQ9746" s="4"/>
      <c r="CC9746" s="4"/>
      <c r="CD9746" s="4"/>
      <c r="CF9746" s="4"/>
    </row>
    <row r="9747" spans="66:84">
      <c r="BN9747" s="4"/>
      <c r="BO9747" s="4"/>
      <c r="BQ9747" s="4"/>
      <c r="CC9747" s="4"/>
      <c r="CD9747" s="4"/>
      <c r="CF9747" s="4"/>
    </row>
    <row r="9748" spans="66:84">
      <c r="BN9748" s="4"/>
      <c r="BO9748" s="4"/>
      <c r="BQ9748" s="4"/>
      <c r="CC9748" s="4"/>
      <c r="CD9748" s="4"/>
      <c r="CF9748" s="4"/>
    </row>
    <row r="9749" spans="66:84">
      <c r="BN9749" s="4"/>
      <c r="BO9749" s="4"/>
      <c r="BQ9749" s="4"/>
      <c r="CC9749" s="4"/>
      <c r="CD9749" s="4"/>
      <c r="CF9749" s="4"/>
    </row>
    <row r="9750" spans="66:84">
      <c r="BN9750" s="4"/>
      <c r="BO9750" s="4"/>
      <c r="BQ9750" s="4"/>
      <c r="CC9750" s="4"/>
      <c r="CD9750" s="4"/>
      <c r="CF9750" s="4"/>
    </row>
    <row r="9751" spans="66:84">
      <c r="BN9751" s="4"/>
      <c r="BO9751" s="4"/>
      <c r="BQ9751" s="4"/>
      <c r="CC9751" s="4"/>
      <c r="CD9751" s="4"/>
      <c r="CF9751" s="4"/>
    </row>
    <row r="9752" spans="66:84">
      <c r="BN9752" s="4"/>
      <c r="BO9752" s="4"/>
      <c r="BQ9752" s="4"/>
      <c r="CC9752" s="4"/>
      <c r="CD9752" s="4"/>
      <c r="CF9752" s="4"/>
    </row>
    <row r="9753" spans="66:84">
      <c r="BN9753" s="4"/>
      <c r="BO9753" s="4"/>
      <c r="BQ9753" s="4"/>
      <c r="CC9753" s="4"/>
      <c r="CD9753" s="4"/>
      <c r="CF9753" s="4"/>
    </row>
    <row r="9754" spans="66:84">
      <c r="BN9754" s="4"/>
      <c r="BO9754" s="4"/>
      <c r="BQ9754" s="4"/>
      <c r="CC9754" s="4"/>
      <c r="CD9754" s="4"/>
      <c r="CF9754" s="4"/>
    </row>
    <row r="9755" spans="66:84">
      <c r="BN9755" s="4"/>
      <c r="BO9755" s="4"/>
      <c r="BQ9755" s="4"/>
      <c r="CC9755" s="4"/>
      <c r="CD9755" s="4"/>
      <c r="CF9755" s="4"/>
    </row>
    <row r="9756" spans="66:84">
      <c r="BN9756" s="4"/>
      <c r="BO9756" s="4"/>
      <c r="BQ9756" s="4"/>
      <c r="CC9756" s="4"/>
      <c r="CD9756" s="4"/>
      <c r="CF9756" s="4"/>
    </row>
    <row r="9757" spans="66:84">
      <c r="BN9757" s="4"/>
      <c r="BO9757" s="4"/>
      <c r="BQ9757" s="4"/>
      <c r="CC9757" s="4"/>
      <c r="CD9757" s="4"/>
      <c r="CF9757" s="4"/>
    </row>
    <row r="9758" spans="66:84">
      <c r="BN9758" s="4"/>
      <c r="BO9758" s="4"/>
      <c r="BQ9758" s="4"/>
      <c r="CC9758" s="4"/>
      <c r="CD9758" s="4"/>
      <c r="CF9758" s="4"/>
    </row>
    <row r="9759" spans="66:84">
      <c r="BN9759" s="4"/>
      <c r="BO9759" s="4"/>
      <c r="BQ9759" s="4"/>
      <c r="CC9759" s="4"/>
      <c r="CD9759" s="4"/>
      <c r="CF9759" s="4"/>
    </row>
    <row r="9760" spans="66:84">
      <c r="BN9760" s="4"/>
      <c r="BO9760" s="4"/>
      <c r="BQ9760" s="4"/>
      <c r="CC9760" s="4"/>
      <c r="CD9760" s="4"/>
      <c r="CF9760" s="4"/>
    </row>
    <row r="9761" spans="66:84">
      <c r="BN9761" s="4"/>
      <c r="BO9761" s="4"/>
      <c r="BQ9761" s="4"/>
      <c r="CC9761" s="4"/>
      <c r="CD9761" s="4"/>
      <c r="CF9761" s="4"/>
    </row>
    <row r="9762" spans="66:84">
      <c r="BN9762" s="4"/>
      <c r="BO9762" s="4"/>
      <c r="BQ9762" s="4"/>
      <c r="CC9762" s="4"/>
      <c r="CD9762" s="4"/>
      <c r="CF9762" s="4"/>
    </row>
    <row r="9763" spans="66:84">
      <c r="BN9763" s="4"/>
      <c r="BO9763" s="4"/>
      <c r="BQ9763" s="4"/>
      <c r="CC9763" s="4"/>
      <c r="CD9763" s="4"/>
      <c r="CF9763" s="4"/>
    </row>
    <row r="9764" spans="66:84">
      <c r="BN9764" s="4"/>
      <c r="BO9764" s="4"/>
      <c r="BQ9764" s="4"/>
      <c r="CC9764" s="4"/>
      <c r="CD9764" s="4"/>
      <c r="CF9764" s="4"/>
    </row>
    <row r="9765" spans="66:84">
      <c r="BN9765" s="4"/>
      <c r="BO9765" s="4"/>
      <c r="BQ9765" s="4"/>
      <c r="CC9765" s="4"/>
      <c r="CD9765" s="4"/>
      <c r="CF9765" s="4"/>
    </row>
    <row r="9766" spans="66:84">
      <c r="BN9766" s="4"/>
      <c r="BO9766" s="4"/>
      <c r="BQ9766" s="4"/>
      <c r="CC9766" s="4"/>
      <c r="CD9766" s="4"/>
      <c r="CF9766" s="4"/>
    </row>
    <row r="9767" spans="66:84">
      <c r="BN9767" s="4"/>
      <c r="BO9767" s="4"/>
      <c r="BQ9767" s="4"/>
      <c r="CC9767" s="4"/>
      <c r="CD9767" s="4"/>
      <c r="CF9767" s="4"/>
    </row>
    <row r="9768" spans="66:84">
      <c r="BN9768" s="4"/>
      <c r="BO9768" s="4"/>
      <c r="BQ9768" s="4"/>
      <c r="CC9768" s="4"/>
      <c r="CD9768" s="4"/>
      <c r="CF9768" s="4"/>
    </row>
    <row r="9769" spans="66:84">
      <c r="BN9769" s="4"/>
      <c r="BO9769" s="4"/>
      <c r="BQ9769" s="4"/>
      <c r="CC9769" s="4"/>
      <c r="CD9769" s="4"/>
      <c r="CF9769" s="4"/>
    </row>
    <row r="9770" spans="66:84">
      <c r="BN9770" s="4"/>
      <c r="BO9770" s="4"/>
      <c r="BQ9770" s="4"/>
      <c r="CC9770" s="4"/>
      <c r="CD9770" s="4"/>
      <c r="CF9770" s="4"/>
    </row>
    <row r="9771" spans="66:84">
      <c r="BN9771" s="4"/>
      <c r="BO9771" s="4"/>
      <c r="BQ9771" s="4"/>
      <c r="CC9771" s="4"/>
      <c r="CD9771" s="4"/>
      <c r="CF9771" s="4"/>
    </row>
    <row r="9772" spans="66:84">
      <c r="BN9772" s="4"/>
      <c r="BO9772" s="4"/>
      <c r="BQ9772" s="4"/>
      <c r="CC9772" s="4"/>
      <c r="CD9772" s="4"/>
      <c r="CF9772" s="4"/>
    </row>
    <row r="9773" spans="66:84">
      <c r="BN9773" s="4"/>
      <c r="BO9773" s="4"/>
      <c r="BQ9773" s="4"/>
      <c r="CC9773" s="4"/>
      <c r="CD9773" s="4"/>
      <c r="CF9773" s="4"/>
    </row>
    <row r="9774" spans="66:84">
      <c r="BN9774" s="4"/>
      <c r="BO9774" s="4"/>
      <c r="BQ9774" s="4"/>
      <c r="CC9774" s="4"/>
      <c r="CD9774" s="4"/>
      <c r="CF9774" s="4"/>
    </row>
    <row r="9775" spans="66:84">
      <c r="BN9775" s="4"/>
      <c r="BO9775" s="4"/>
      <c r="BQ9775" s="4"/>
      <c r="CC9775" s="4"/>
      <c r="CD9775" s="4"/>
      <c r="CF9775" s="4"/>
    </row>
    <row r="9776" spans="66:84">
      <c r="BN9776" s="4"/>
      <c r="BO9776" s="4"/>
      <c r="BQ9776" s="4"/>
      <c r="CC9776" s="4"/>
      <c r="CD9776" s="4"/>
      <c r="CF9776" s="4"/>
    </row>
    <row r="9777" spans="66:84">
      <c r="BN9777" s="4"/>
      <c r="BO9777" s="4"/>
      <c r="BQ9777" s="4"/>
      <c r="CC9777" s="4"/>
      <c r="CD9777" s="4"/>
      <c r="CF9777" s="4"/>
    </row>
    <row r="9778" spans="66:84">
      <c r="BN9778" s="4"/>
      <c r="BO9778" s="4"/>
      <c r="BQ9778" s="4"/>
      <c r="CC9778" s="4"/>
      <c r="CD9778" s="4"/>
      <c r="CF9778" s="4"/>
    </row>
    <row r="9779" spans="66:84">
      <c r="BN9779" s="4"/>
      <c r="BO9779" s="4"/>
      <c r="BQ9779" s="4"/>
      <c r="CC9779" s="4"/>
      <c r="CD9779" s="4"/>
      <c r="CF9779" s="4"/>
    </row>
    <row r="9780" spans="66:84">
      <c r="BN9780" s="4"/>
      <c r="BO9780" s="4"/>
      <c r="BQ9780" s="4"/>
      <c r="CC9780" s="4"/>
      <c r="CD9780" s="4"/>
      <c r="CF9780" s="4"/>
    </row>
    <row r="9781" spans="66:84">
      <c r="BN9781" s="4"/>
      <c r="BO9781" s="4"/>
      <c r="BQ9781" s="4"/>
      <c r="CC9781" s="4"/>
      <c r="CD9781" s="4"/>
      <c r="CF9781" s="4"/>
    </row>
    <row r="9782" spans="66:84">
      <c r="BN9782" s="4"/>
      <c r="BO9782" s="4"/>
      <c r="BQ9782" s="4"/>
      <c r="CC9782" s="4"/>
      <c r="CD9782" s="4"/>
      <c r="CF9782" s="4"/>
    </row>
    <row r="9783" spans="66:84">
      <c r="BN9783" s="4"/>
      <c r="BO9783" s="4"/>
      <c r="BQ9783" s="4"/>
      <c r="CC9783" s="4"/>
      <c r="CD9783" s="4"/>
      <c r="CF9783" s="4"/>
    </row>
    <row r="9784" spans="66:84">
      <c r="BN9784" s="4"/>
      <c r="BO9784" s="4"/>
      <c r="BQ9784" s="4"/>
      <c r="CC9784" s="4"/>
      <c r="CD9784" s="4"/>
      <c r="CF9784" s="4"/>
    </row>
    <row r="9785" spans="66:84">
      <c r="BN9785" s="4"/>
      <c r="BO9785" s="4"/>
      <c r="BQ9785" s="4"/>
      <c r="CC9785" s="4"/>
      <c r="CD9785" s="4"/>
      <c r="CF9785" s="4"/>
    </row>
    <row r="9786" spans="66:84">
      <c r="BN9786" s="4"/>
      <c r="BO9786" s="4"/>
      <c r="BQ9786" s="4"/>
      <c r="CC9786" s="4"/>
      <c r="CD9786" s="4"/>
      <c r="CF9786" s="4"/>
    </row>
    <row r="9787" spans="66:84">
      <c r="BN9787" s="4"/>
      <c r="BO9787" s="4"/>
      <c r="BQ9787" s="4"/>
      <c r="CC9787" s="4"/>
      <c r="CD9787" s="4"/>
      <c r="CF9787" s="4"/>
    </row>
    <row r="9788" spans="66:84">
      <c r="BN9788" s="4"/>
      <c r="BO9788" s="4"/>
      <c r="BQ9788" s="4"/>
      <c r="CC9788" s="4"/>
      <c r="CD9788" s="4"/>
      <c r="CF9788" s="4"/>
    </row>
    <row r="9789" spans="66:84">
      <c r="BN9789" s="4"/>
      <c r="BO9789" s="4"/>
      <c r="BQ9789" s="4"/>
      <c r="CC9789" s="4"/>
      <c r="CD9789" s="4"/>
      <c r="CF9789" s="4"/>
    </row>
    <row r="9790" spans="66:84">
      <c r="BN9790" s="4"/>
      <c r="BO9790" s="4"/>
      <c r="BQ9790" s="4"/>
      <c r="CC9790" s="4"/>
      <c r="CD9790" s="4"/>
      <c r="CF9790" s="4"/>
    </row>
    <row r="9791" spans="66:84">
      <c r="BN9791" s="4"/>
      <c r="BO9791" s="4"/>
      <c r="BQ9791" s="4"/>
      <c r="CC9791" s="4"/>
      <c r="CD9791" s="4"/>
      <c r="CF9791" s="4"/>
    </row>
    <row r="9792" spans="66:84">
      <c r="BN9792" s="4"/>
      <c r="BO9792" s="4"/>
      <c r="BQ9792" s="4"/>
      <c r="CC9792" s="4"/>
      <c r="CD9792" s="4"/>
      <c r="CF9792" s="4"/>
    </row>
    <row r="9793" spans="66:84">
      <c r="BN9793" s="4"/>
      <c r="BO9793" s="4"/>
      <c r="BQ9793" s="4"/>
      <c r="CC9793" s="4"/>
      <c r="CD9793" s="4"/>
      <c r="CF9793" s="4"/>
    </row>
    <row r="9794" spans="66:84">
      <c r="BN9794" s="4"/>
      <c r="BO9794" s="4"/>
      <c r="BQ9794" s="4"/>
      <c r="CC9794" s="4"/>
      <c r="CD9794" s="4"/>
      <c r="CF9794" s="4"/>
    </row>
    <row r="9795" spans="66:84">
      <c r="BN9795" s="4"/>
      <c r="BO9795" s="4"/>
      <c r="BQ9795" s="4"/>
      <c r="CC9795" s="4"/>
      <c r="CD9795" s="4"/>
      <c r="CF9795" s="4"/>
    </row>
    <row r="9796" spans="66:84">
      <c r="BN9796" s="4"/>
      <c r="BO9796" s="4"/>
      <c r="BQ9796" s="4"/>
      <c r="CC9796" s="4"/>
      <c r="CD9796" s="4"/>
      <c r="CF9796" s="4"/>
    </row>
    <row r="9797" spans="66:84">
      <c r="BN9797" s="4"/>
      <c r="BO9797" s="4"/>
      <c r="BQ9797" s="4"/>
      <c r="CC9797" s="4"/>
      <c r="CD9797" s="4"/>
      <c r="CF9797" s="4"/>
    </row>
    <row r="9798" spans="66:84">
      <c r="BN9798" s="4"/>
      <c r="BO9798" s="4"/>
      <c r="BQ9798" s="4"/>
      <c r="CC9798" s="4"/>
      <c r="CD9798" s="4"/>
      <c r="CF9798" s="4"/>
    </row>
    <row r="9799" spans="66:84">
      <c r="BN9799" s="4"/>
      <c r="BO9799" s="4"/>
      <c r="BQ9799" s="4"/>
      <c r="CC9799" s="4"/>
      <c r="CD9799" s="4"/>
      <c r="CF9799" s="4"/>
    </row>
    <row r="9800" spans="66:84">
      <c r="BN9800" s="4"/>
      <c r="BO9800" s="4"/>
      <c r="BQ9800" s="4"/>
      <c r="CC9800" s="4"/>
      <c r="CD9800" s="4"/>
      <c r="CF9800" s="4"/>
    </row>
    <row r="9801" spans="66:84">
      <c r="BN9801" s="4"/>
      <c r="BO9801" s="4"/>
      <c r="BQ9801" s="4"/>
      <c r="CC9801" s="4"/>
      <c r="CD9801" s="4"/>
      <c r="CF9801" s="4"/>
    </row>
    <row r="9802" spans="66:84">
      <c r="BN9802" s="4"/>
      <c r="BO9802" s="4"/>
      <c r="BQ9802" s="4"/>
      <c r="CC9802" s="4"/>
      <c r="CD9802" s="4"/>
      <c r="CF9802" s="4"/>
    </row>
    <row r="9803" spans="66:84">
      <c r="BN9803" s="4"/>
      <c r="BO9803" s="4"/>
      <c r="BQ9803" s="4"/>
      <c r="CC9803" s="4"/>
      <c r="CD9803" s="4"/>
      <c r="CF9803" s="4"/>
    </row>
    <row r="9804" spans="66:84">
      <c r="BN9804" s="4"/>
      <c r="BO9804" s="4"/>
      <c r="BQ9804" s="4"/>
      <c r="CC9804" s="4"/>
      <c r="CD9804" s="4"/>
      <c r="CF9804" s="4"/>
    </row>
    <row r="9805" spans="66:84">
      <c r="BN9805" s="4"/>
      <c r="BO9805" s="4"/>
      <c r="BQ9805" s="4"/>
      <c r="CC9805" s="4"/>
      <c r="CD9805" s="4"/>
      <c r="CF9805" s="4"/>
    </row>
    <row r="9806" spans="66:84">
      <c r="BN9806" s="4"/>
      <c r="BO9806" s="4"/>
      <c r="BQ9806" s="4"/>
      <c r="CC9806" s="4"/>
      <c r="CD9806" s="4"/>
      <c r="CF9806" s="4"/>
    </row>
    <row r="9807" spans="66:84">
      <c r="BN9807" s="4"/>
      <c r="BO9807" s="4"/>
      <c r="BQ9807" s="4"/>
      <c r="CC9807" s="4"/>
      <c r="CD9807" s="4"/>
      <c r="CF9807" s="4"/>
    </row>
    <row r="9808" spans="66:84">
      <c r="BN9808" s="4"/>
      <c r="BO9808" s="4"/>
      <c r="BQ9808" s="4"/>
      <c r="CC9808" s="4"/>
      <c r="CD9808" s="4"/>
      <c r="CF9808" s="4"/>
    </row>
    <row r="9809" spans="66:84">
      <c r="BN9809" s="4"/>
      <c r="BO9809" s="4"/>
      <c r="BQ9809" s="4"/>
      <c r="CC9809" s="4"/>
      <c r="CD9809" s="4"/>
      <c r="CF9809" s="4"/>
    </row>
    <row r="9810" spans="66:84">
      <c r="BN9810" s="4"/>
      <c r="BO9810" s="4"/>
      <c r="BQ9810" s="4"/>
      <c r="CC9810" s="4"/>
      <c r="CD9810" s="4"/>
      <c r="CF9810" s="4"/>
    </row>
    <row r="9811" spans="66:84">
      <c r="BN9811" s="4"/>
      <c r="BO9811" s="4"/>
      <c r="BQ9811" s="4"/>
      <c r="CC9811" s="4"/>
      <c r="CD9811" s="4"/>
      <c r="CF9811" s="4"/>
    </row>
    <row r="9812" spans="66:84">
      <c r="BN9812" s="4"/>
      <c r="BO9812" s="4"/>
      <c r="BQ9812" s="4"/>
      <c r="CC9812" s="4"/>
      <c r="CD9812" s="4"/>
      <c r="CF9812" s="4"/>
    </row>
    <row r="9813" spans="66:84">
      <c r="BN9813" s="4"/>
      <c r="BO9813" s="4"/>
      <c r="BQ9813" s="4"/>
      <c r="CC9813" s="4"/>
      <c r="CD9813" s="4"/>
      <c r="CF9813" s="4"/>
    </row>
    <row r="9814" spans="66:84">
      <c r="BN9814" s="4"/>
      <c r="BO9814" s="4"/>
      <c r="BQ9814" s="4"/>
      <c r="CC9814" s="4"/>
      <c r="CD9814" s="4"/>
      <c r="CF9814" s="4"/>
    </row>
    <row r="9815" spans="66:84">
      <c r="BN9815" s="4"/>
      <c r="BO9815" s="4"/>
      <c r="BQ9815" s="4"/>
      <c r="CC9815" s="4"/>
      <c r="CD9815" s="4"/>
      <c r="CF9815" s="4"/>
    </row>
    <row r="9816" spans="66:84">
      <c r="BN9816" s="4"/>
      <c r="BO9816" s="4"/>
      <c r="BQ9816" s="4"/>
      <c r="CC9816" s="4"/>
      <c r="CD9816" s="4"/>
      <c r="CF9816" s="4"/>
    </row>
    <row r="9817" spans="66:84">
      <c r="BN9817" s="4"/>
      <c r="BO9817" s="4"/>
      <c r="BQ9817" s="4"/>
      <c r="CC9817" s="4"/>
      <c r="CD9817" s="4"/>
      <c r="CF9817" s="4"/>
    </row>
    <row r="9818" spans="66:84">
      <c r="BN9818" s="4"/>
      <c r="BO9818" s="4"/>
      <c r="BQ9818" s="4"/>
      <c r="CC9818" s="4"/>
      <c r="CD9818" s="4"/>
      <c r="CF9818" s="4"/>
    </row>
    <row r="9819" spans="66:84">
      <c r="BN9819" s="4"/>
      <c r="BO9819" s="4"/>
      <c r="BQ9819" s="4"/>
      <c r="CC9819" s="4"/>
      <c r="CD9819" s="4"/>
      <c r="CF9819" s="4"/>
    </row>
    <row r="9820" spans="66:84">
      <c r="BN9820" s="4"/>
      <c r="BO9820" s="4"/>
      <c r="BQ9820" s="4"/>
      <c r="CC9820" s="4"/>
      <c r="CD9820" s="4"/>
      <c r="CF9820" s="4"/>
    </row>
    <row r="9821" spans="66:84">
      <c r="BN9821" s="4"/>
      <c r="BO9821" s="4"/>
      <c r="BQ9821" s="4"/>
      <c r="CC9821" s="4"/>
      <c r="CD9821" s="4"/>
      <c r="CF9821" s="4"/>
    </row>
    <row r="9822" spans="66:84">
      <c r="BN9822" s="4"/>
      <c r="BO9822" s="4"/>
      <c r="BQ9822" s="4"/>
      <c r="CC9822" s="4"/>
      <c r="CD9822" s="4"/>
      <c r="CF9822" s="4"/>
    </row>
    <row r="9823" spans="66:84">
      <c r="BN9823" s="4"/>
      <c r="BO9823" s="4"/>
      <c r="BQ9823" s="4"/>
      <c r="CC9823" s="4"/>
      <c r="CD9823" s="4"/>
      <c r="CF9823" s="4"/>
    </row>
    <row r="9824" spans="66:84">
      <c r="BN9824" s="4"/>
      <c r="BO9824" s="4"/>
      <c r="BQ9824" s="4"/>
      <c r="CC9824" s="4"/>
      <c r="CD9824" s="4"/>
      <c r="CF9824" s="4"/>
    </row>
    <row r="9825" spans="66:84">
      <c r="BN9825" s="4"/>
      <c r="BO9825" s="4"/>
      <c r="BQ9825" s="4"/>
      <c r="CC9825" s="4"/>
      <c r="CD9825" s="4"/>
      <c r="CF9825" s="4"/>
    </row>
    <row r="9826" spans="66:84">
      <c r="BN9826" s="4"/>
      <c r="BO9826" s="4"/>
      <c r="BQ9826" s="4"/>
      <c r="CC9826" s="4"/>
      <c r="CD9826" s="4"/>
      <c r="CF9826" s="4"/>
    </row>
    <row r="9827" spans="66:84">
      <c r="BN9827" s="4"/>
      <c r="BO9827" s="4"/>
      <c r="BQ9827" s="4"/>
      <c r="CC9827" s="4"/>
      <c r="CD9827" s="4"/>
      <c r="CF9827" s="4"/>
    </row>
    <row r="9828" spans="66:84">
      <c r="BN9828" s="4"/>
      <c r="BO9828" s="4"/>
      <c r="BQ9828" s="4"/>
      <c r="CC9828" s="4"/>
      <c r="CD9828" s="4"/>
      <c r="CF9828" s="4"/>
    </row>
    <row r="9829" spans="66:84">
      <c r="BN9829" s="4"/>
      <c r="BO9829" s="4"/>
      <c r="BQ9829" s="4"/>
      <c r="CC9829" s="4"/>
      <c r="CD9829" s="4"/>
      <c r="CF9829" s="4"/>
    </row>
    <row r="9830" spans="66:84">
      <c r="BN9830" s="4"/>
      <c r="BO9830" s="4"/>
      <c r="BQ9830" s="4"/>
      <c r="CC9830" s="4"/>
      <c r="CD9830" s="4"/>
      <c r="CF9830" s="4"/>
    </row>
    <row r="9831" spans="66:84">
      <c r="BN9831" s="4"/>
      <c r="BO9831" s="4"/>
      <c r="BQ9831" s="4"/>
      <c r="CC9831" s="4"/>
      <c r="CD9831" s="4"/>
      <c r="CF9831" s="4"/>
    </row>
    <row r="9832" spans="66:84">
      <c r="BN9832" s="4"/>
      <c r="BO9832" s="4"/>
      <c r="BQ9832" s="4"/>
      <c r="CC9832" s="4"/>
      <c r="CD9832" s="4"/>
      <c r="CF9832" s="4"/>
    </row>
    <row r="9833" spans="66:84">
      <c r="BN9833" s="4"/>
      <c r="BO9833" s="4"/>
      <c r="BQ9833" s="4"/>
      <c r="CC9833" s="4"/>
      <c r="CD9833" s="4"/>
      <c r="CF9833" s="4"/>
    </row>
    <row r="9834" spans="66:84">
      <c r="BN9834" s="4"/>
      <c r="BO9834" s="4"/>
      <c r="BQ9834" s="4"/>
      <c r="CC9834" s="4"/>
      <c r="CD9834" s="4"/>
      <c r="CF9834" s="4"/>
    </row>
    <row r="9835" spans="66:84">
      <c r="BN9835" s="4"/>
      <c r="BO9835" s="4"/>
      <c r="BQ9835" s="4"/>
      <c r="CC9835" s="4"/>
      <c r="CD9835" s="4"/>
      <c r="CF9835" s="4"/>
    </row>
    <row r="9836" spans="66:84">
      <c r="BN9836" s="4"/>
      <c r="BO9836" s="4"/>
      <c r="BQ9836" s="4"/>
      <c r="CC9836" s="4"/>
      <c r="CD9836" s="4"/>
      <c r="CF9836" s="4"/>
    </row>
    <row r="9837" spans="66:84">
      <c r="BN9837" s="4"/>
      <c r="BO9837" s="4"/>
      <c r="BQ9837" s="4"/>
      <c r="CC9837" s="4"/>
      <c r="CD9837" s="4"/>
      <c r="CF9837" s="4"/>
    </row>
    <row r="9838" spans="66:84">
      <c r="BN9838" s="4"/>
      <c r="BO9838" s="4"/>
      <c r="BQ9838" s="4"/>
      <c r="CC9838" s="4"/>
      <c r="CD9838" s="4"/>
      <c r="CF9838" s="4"/>
    </row>
    <row r="9839" spans="66:84">
      <c r="BN9839" s="4"/>
      <c r="BO9839" s="4"/>
      <c r="BQ9839" s="4"/>
      <c r="CC9839" s="4"/>
      <c r="CD9839" s="4"/>
      <c r="CF9839" s="4"/>
    </row>
    <row r="9840" spans="66:84">
      <c r="BN9840" s="4"/>
      <c r="BO9840" s="4"/>
      <c r="BQ9840" s="4"/>
      <c r="CC9840" s="4"/>
      <c r="CD9840" s="4"/>
      <c r="CF9840" s="4"/>
    </row>
    <row r="9841" spans="66:84">
      <c r="BN9841" s="4"/>
      <c r="BO9841" s="4"/>
      <c r="BQ9841" s="4"/>
      <c r="CC9841" s="4"/>
      <c r="CD9841" s="4"/>
      <c r="CF9841" s="4"/>
    </row>
    <row r="9842" spans="66:84">
      <c r="BN9842" s="4"/>
      <c r="BO9842" s="4"/>
      <c r="BQ9842" s="4"/>
      <c r="CC9842" s="4"/>
      <c r="CD9842" s="4"/>
      <c r="CF9842" s="4"/>
    </row>
    <row r="9843" spans="66:84">
      <c r="BN9843" s="4"/>
      <c r="BO9843" s="4"/>
      <c r="BQ9843" s="4"/>
      <c r="CC9843" s="4"/>
      <c r="CD9843" s="4"/>
      <c r="CF9843" s="4"/>
    </row>
    <row r="9844" spans="66:84">
      <c r="BN9844" s="4"/>
      <c r="BO9844" s="4"/>
      <c r="BQ9844" s="4"/>
      <c r="CC9844" s="4"/>
      <c r="CD9844" s="4"/>
      <c r="CF9844" s="4"/>
    </row>
    <row r="9845" spans="66:84">
      <c r="BN9845" s="4"/>
      <c r="BO9845" s="4"/>
      <c r="BQ9845" s="4"/>
      <c r="CC9845" s="4"/>
      <c r="CD9845" s="4"/>
      <c r="CF9845" s="4"/>
    </row>
    <row r="9846" spans="66:84">
      <c r="BN9846" s="4"/>
      <c r="BO9846" s="4"/>
      <c r="BQ9846" s="4"/>
      <c r="CC9846" s="4"/>
      <c r="CD9846" s="4"/>
      <c r="CF9846" s="4"/>
    </row>
    <row r="9847" spans="66:84">
      <c r="BN9847" s="4"/>
      <c r="BO9847" s="4"/>
      <c r="BQ9847" s="4"/>
      <c r="CC9847" s="4"/>
      <c r="CD9847" s="4"/>
      <c r="CF9847" s="4"/>
    </row>
    <row r="9848" spans="66:84">
      <c r="BN9848" s="4"/>
      <c r="BO9848" s="4"/>
      <c r="BQ9848" s="4"/>
      <c r="CC9848" s="4"/>
      <c r="CD9848" s="4"/>
      <c r="CF9848" s="4"/>
    </row>
    <row r="9849" spans="66:84">
      <c r="BN9849" s="4"/>
      <c r="BO9849" s="4"/>
      <c r="BQ9849" s="4"/>
      <c r="CC9849" s="4"/>
      <c r="CD9849" s="4"/>
      <c r="CF9849" s="4"/>
    </row>
    <row r="9850" spans="66:84">
      <c r="BN9850" s="4"/>
      <c r="BO9850" s="4"/>
      <c r="BQ9850" s="4"/>
      <c r="CC9850" s="4"/>
      <c r="CD9850" s="4"/>
      <c r="CF9850" s="4"/>
    </row>
    <row r="9851" spans="66:84">
      <c r="BN9851" s="4"/>
      <c r="BO9851" s="4"/>
      <c r="BQ9851" s="4"/>
      <c r="CC9851" s="4"/>
      <c r="CD9851" s="4"/>
      <c r="CF9851" s="4"/>
    </row>
    <row r="9852" spans="66:84">
      <c r="BN9852" s="4"/>
      <c r="BO9852" s="4"/>
      <c r="BQ9852" s="4"/>
      <c r="CC9852" s="4"/>
      <c r="CD9852" s="4"/>
      <c r="CF9852" s="4"/>
    </row>
    <row r="9853" spans="66:84">
      <c r="BN9853" s="4"/>
      <c r="BO9853" s="4"/>
      <c r="BQ9853" s="4"/>
      <c r="CC9853" s="4"/>
      <c r="CD9853" s="4"/>
      <c r="CF9853" s="4"/>
    </row>
    <row r="9854" spans="66:84">
      <c r="BN9854" s="4"/>
      <c r="BO9854" s="4"/>
      <c r="BQ9854" s="4"/>
      <c r="CC9854" s="4"/>
      <c r="CD9854" s="4"/>
      <c r="CF9854" s="4"/>
    </row>
    <row r="9855" spans="66:84">
      <c r="BN9855" s="4"/>
      <c r="BO9855" s="4"/>
      <c r="BQ9855" s="4"/>
      <c r="CC9855" s="4"/>
      <c r="CD9855" s="4"/>
      <c r="CF9855" s="4"/>
    </row>
    <row r="9856" spans="66:84">
      <c r="BN9856" s="4"/>
      <c r="BO9856" s="4"/>
      <c r="BQ9856" s="4"/>
      <c r="CC9856" s="4"/>
      <c r="CD9856" s="4"/>
      <c r="CF9856" s="4"/>
    </row>
    <row r="9857" spans="66:84">
      <c r="BN9857" s="4"/>
      <c r="BO9857" s="4"/>
      <c r="BQ9857" s="4"/>
      <c r="CC9857" s="4"/>
      <c r="CD9857" s="4"/>
      <c r="CF9857" s="4"/>
    </row>
    <row r="9858" spans="66:84">
      <c r="BN9858" s="4"/>
      <c r="BO9858" s="4"/>
      <c r="BQ9858" s="4"/>
      <c r="CC9858" s="4"/>
      <c r="CD9858" s="4"/>
      <c r="CF9858" s="4"/>
    </row>
    <row r="9859" spans="66:84">
      <c r="BN9859" s="4"/>
      <c r="BO9859" s="4"/>
      <c r="BQ9859" s="4"/>
      <c r="CC9859" s="4"/>
      <c r="CD9859" s="4"/>
      <c r="CF9859" s="4"/>
    </row>
    <row r="9860" spans="66:84">
      <c r="BN9860" s="4"/>
      <c r="BO9860" s="4"/>
      <c r="BQ9860" s="4"/>
      <c r="CC9860" s="4"/>
      <c r="CD9860" s="4"/>
      <c r="CF9860" s="4"/>
    </row>
    <row r="9861" spans="66:84">
      <c r="BN9861" s="4"/>
      <c r="BO9861" s="4"/>
      <c r="BQ9861" s="4"/>
      <c r="CC9861" s="4"/>
      <c r="CD9861" s="4"/>
      <c r="CF9861" s="4"/>
    </row>
    <row r="9862" spans="66:84">
      <c r="BN9862" s="4"/>
      <c r="BO9862" s="4"/>
      <c r="BQ9862" s="4"/>
      <c r="CC9862" s="4"/>
      <c r="CD9862" s="4"/>
      <c r="CF9862" s="4"/>
    </row>
    <row r="9863" spans="66:84">
      <c r="BN9863" s="4"/>
      <c r="BO9863" s="4"/>
      <c r="BQ9863" s="4"/>
      <c r="CC9863" s="4"/>
      <c r="CD9863" s="4"/>
      <c r="CF9863" s="4"/>
    </row>
    <row r="9864" spans="66:84">
      <c r="BN9864" s="4"/>
      <c r="BO9864" s="4"/>
      <c r="BQ9864" s="4"/>
      <c r="CC9864" s="4"/>
      <c r="CD9864" s="4"/>
      <c r="CF9864" s="4"/>
    </row>
    <row r="9865" spans="66:84">
      <c r="BN9865" s="4"/>
      <c r="BO9865" s="4"/>
      <c r="BQ9865" s="4"/>
      <c r="CC9865" s="4"/>
      <c r="CD9865" s="4"/>
      <c r="CF9865" s="4"/>
    </row>
    <row r="9866" spans="66:84">
      <c r="BN9866" s="4"/>
      <c r="BO9866" s="4"/>
      <c r="BQ9866" s="4"/>
      <c r="CC9866" s="4"/>
      <c r="CD9866" s="4"/>
      <c r="CF9866" s="4"/>
    </row>
    <row r="9867" spans="66:84">
      <c r="BN9867" s="4"/>
      <c r="BO9867" s="4"/>
      <c r="BQ9867" s="4"/>
      <c r="CC9867" s="4"/>
      <c r="CD9867" s="4"/>
      <c r="CF9867" s="4"/>
    </row>
    <row r="9868" spans="66:84">
      <c r="BN9868" s="4"/>
      <c r="BO9868" s="4"/>
      <c r="BQ9868" s="4"/>
      <c r="CC9868" s="4"/>
      <c r="CD9868" s="4"/>
      <c r="CF9868" s="4"/>
    </row>
    <row r="9869" spans="66:84">
      <c r="BN9869" s="4"/>
      <c r="BO9869" s="4"/>
      <c r="BQ9869" s="4"/>
      <c r="CC9869" s="4"/>
      <c r="CD9869" s="4"/>
      <c r="CF9869" s="4"/>
    </row>
    <row r="9870" spans="66:84">
      <c r="BN9870" s="4"/>
      <c r="BO9870" s="4"/>
      <c r="BQ9870" s="4"/>
      <c r="CC9870" s="4"/>
      <c r="CD9870" s="4"/>
      <c r="CF9870" s="4"/>
    </row>
    <row r="9871" spans="66:84">
      <c r="BN9871" s="4"/>
      <c r="BO9871" s="4"/>
      <c r="BQ9871" s="4"/>
      <c r="CC9871" s="4"/>
      <c r="CD9871" s="4"/>
      <c r="CF9871" s="4"/>
    </row>
    <row r="9872" spans="66:84">
      <c r="BN9872" s="4"/>
      <c r="BO9872" s="4"/>
      <c r="BQ9872" s="4"/>
      <c r="CC9872" s="4"/>
      <c r="CD9872" s="4"/>
      <c r="CF9872" s="4"/>
    </row>
    <row r="9873" spans="66:84">
      <c r="BN9873" s="4"/>
      <c r="BO9873" s="4"/>
      <c r="BQ9873" s="4"/>
      <c r="CC9873" s="4"/>
      <c r="CD9873" s="4"/>
      <c r="CF9873" s="4"/>
    </row>
    <row r="9874" spans="66:84">
      <c r="BN9874" s="4"/>
      <c r="BO9874" s="4"/>
      <c r="BQ9874" s="4"/>
      <c r="CC9874" s="4"/>
      <c r="CD9874" s="4"/>
      <c r="CF9874" s="4"/>
    </row>
    <row r="9875" spans="66:84">
      <c r="BN9875" s="4"/>
      <c r="BO9875" s="4"/>
      <c r="BQ9875" s="4"/>
      <c r="CC9875" s="4"/>
      <c r="CD9875" s="4"/>
      <c r="CF9875" s="4"/>
    </row>
    <row r="9876" spans="66:84">
      <c r="BN9876" s="4"/>
      <c r="BO9876" s="4"/>
      <c r="BQ9876" s="4"/>
      <c r="CC9876" s="4"/>
      <c r="CD9876" s="4"/>
      <c r="CF9876" s="4"/>
    </row>
    <row r="9877" spans="66:84">
      <c r="BN9877" s="4"/>
      <c r="BO9877" s="4"/>
      <c r="BQ9877" s="4"/>
      <c r="CC9877" s="4"/>
      <c r="CD9877" s="4"/>
      <c r="CF9877" s="4"/>
    </row>
    <row r="9878" spans="66:84">
      <c r="BN9878" s="4"/>
      <c r="BO9878" s="4"/>
      <c r="BQ9878" s="4"/>
      <c r="CC9878" s="4"/>
      <c r="CD9878" s="4"/>
      <c r="CF9878" s="4"/>
    </row>
    <row r="9879" spans="66:84">
      <c r="BN9879" s="4"/>
      <c r="BO9879" s="4"/>
      <c r="BQ9879" s="4"/>
      <c r="CC9879" s="4"/>
      <c r="CD9879" s="4"/>
      <c r="CF9879" s="4"/>
    </row>
    <row r="9880" spans="66:84">
      <c r="BN9880" s="4"/>
      <c r="BO9880" s="4"/>
      <c r="BQ9880" s="4"/>
      <c r="CC9880" s="4"/>
      <c r="CD9880" s="4"/>
      <c r="CF9880" s="4"/>
    </row>
    <row r="9881" spans="66:84">
      <c r="BN9881" s="4"/>
      <c r="BO9881" s="4"/>
      <c r="BQ9881" s="4"/>
      <c r="CC9881" s="4"/>
      <c r="CD9881" s="4"/>
      <c r="CF9881" s="4"/>
    </row>
    <row r="9882" spans="66:84">
      <c r="BN9882" s="4"/>
      <c r="BO9882" s="4"/>
      <c r="BQ9882" s="4"/>
      <c r="CC9882" s="4"/>
      <c r="CD9882" s="4"/>
      <c r="CF9882" s="4"/>
    </row>
    <row r="9883" spans="66:84">
      <c r="BN9883" s="4"/>
      <c r="BO9883" s="4"/>
      <c r="BQ9883" s="4"/>
      <c r="CC9883" s="4"/>
      <c r="CD9883" s="4"/>
      <c r="CF9883" s="4"/>
    </row>
    <row r="9884" spans="66:84">
      <c r="BN9884" s="4"/>
      <c r="BO9884" s="4"/>
      <c r="BQ9884" s="4"/>
      <c r="CC9884" s="4"/>
      <c r="CD9884" s="4"/>
      <c r="CF9884" s="4"/>
    </row>
    <row r="9885" spans="66:84">
      <c r="BN9885" s="4"/>
      <c r="BO9885" s="4"/>
      <c r="BQ9885" s="4"/>
      <c r="CC9885" s="4"/>
      <c r="CD9885" s="4"/>
      <c r="CF9885" s="4"/>
    </row>
    <row r="9886" spans="66:84">
      <c r="BN9886" s="4"/>
      <c r="BO9886" s="4"/>
      <c r="BQ9886" s="4"/>
      <c r="CC9886" s="4"/>
      <c r="CD9886" s="4"/>
      <c r="CF9886" s="4"/>
    </row>
    <row r="9887" spans="66:84">
      <c r="BN9887" s="4"/>
      <c r="BO9887" s="4"/>
      <c r="BQ9887" s="4"/>
      <c r="CC9887" s="4"/>
      <c r="CD9887" s="4"/>
      <c r="CF9887" s="4"/>
    </row>
    <row r="9888" spans="66:84">
      <c r="BN9888" s="4"/>
      <c r="BO9888" s="4"/>
      <c r="BQ9888" s="4"/>
      <c r="CC9888" s="4"/>
      <c r="CD9888" s="4"/>
      <c r="CF9888" s="4"/>
    </row>
    <row r="9889" spans="66:84">
      <c r="BN9889" s="4"/>
      <c r="BO9889" s="4"/>
      <c r="BQ9889" s="4"/>
      <c r="CC9889" s="4"/>
      <c r="CD9889" s="4"/>
      <c r="CF9889" s="4"/>
    </row>
    <row r="9890" spans="66:84">
      <c r="BN9890" s="4"/>
      <c r="BO9890" s="4"/>
      <c r="BQ9890" s="4"/>
      <c r="CC9890" s="4"/>
      <c r="CD9890" s="4"/>
      <c r="CF9890" s="4"/>
    </row>
    <row r="9891" spans="66:84">
      <c r="BN9891" s="4"/>
      <c r="BO9891" s="4"/>
      <c r="BQ9891" s="4"/>
      <c r="CC9891" s="4"/>
      <c r="CD9891" s="4"/>
      <c r="CF9891" s="4"/>
    </row>
    <row r="9892" spans="66:84">
      <c r="BN9892" s="4"/>
      <c r="BO9892" s="4"/>
      <c r="BQ9892" s="4"/>
      <c r="CC9892" s="4"/>
      <c r="CD9892" s="4"/>
      <c r="CF9892" s="4"/>
    </row>
    <row r="9893" spans="66:84">
      <c r="BN9893" s="4"/>
      <c r="BO9893" s="4"/>
      <c r="BQ9893" s="4"/>
      <c r="CC9893" s="4"/>
      <c r="CD9893" s="4"/>
      <c r="CF9893" s="4"/>
    </row>
    <row r="9894" spans="66:84">
      <c r="BN9894" s="4"/>
      <c r="BO9894" s="4"/>
      <c r="BQ9894" s="4"/>
      <c r="CC9894" s="4"/>
      <c r="CD9894" s="4"/>
      <c r="CF9894" s="4"/>
    </row>
    <row r="9895" spans="66:84">
      <c r="BN9895" s="4"/>
      <c r="BO9895" s="4"/>
      <c r="BQ9895" s="4"/>
      <c r="CC9895" s="4"/>
      <c r="CD9895" s="4"/>
      <c r="CF9895" s="4"/>
    </row>
    <row r="9896" spans="66:84">
      <c r="BN9896" s="4"/>
      <c r="BO9896" s="4"/>
      <c r="BQ9896" s="4"/>
      <c r="CC9896" s="4"/>
      <c r="CD9896" s="4"/>
      <c r="CF9896" s="4"/>
    </row>
    <row r="9897" spans="66:84">
      <c r="BN9897" s="4"/>
      <c r="BO9897" s="4"/>
      <c r="BQ9897" s="4"/>
      <c r="CC9897" s="4"/>
      <c r="CD9897" s="4"/>
      <c r="CF9897" s="4"/>
    </row>
    <row r="9898" spans="66:84">
      <c r="BN9898" s="4"/>
      <c r="BO9898" s="4"/>
      <c r="BQ9898" s="4"/>
      <c r="CC9898" s="4"/>
      <c r="CD9898" s="4"/>
      <c r="CF9898" s="4"/>
    </row>
    <row r="9899" spans="66:84">
      <c r="BN9899" s="4"/>
      <c r="BO9899" s="4"/>
      <c r="BQ9899" s="4"/>
      <c r="CC9899" s="4"/>
      <c r="CD9899" s="4"/>
      <c r="CF9899" s="4"/>
    </row>
    <row r="9900" spans="66:84">
      <c r="BN9900" s="4"/>
      <c r="BO9900" s="4"/>
      <c r="BQ9900" s="4"/>
      <c r="CC9900" s="4"/>
      <c r="CD9900" s="4"/>
      <c r="CF9900" s="4"/>
    </row>
    <row r="9901" spans="66:84">
      <c r="BN9901" s="4"/>
      <c r="BO9901" s="4"/>
      <c r="BQ9901" s="4"/>
      <c r="CC9901" s="4"/>
      <c r="CD9901" s="4"/>
      <c r="CF9901" s="4"/>
    </row>
    <row r="9902" spans="66:84">
      <c r="BN9902" s="4"/>
      <c r="BO9902" s="4"/>
      <c r="BQ9902" s="4"/>
      <c r="CC9902" s="4"/>
      <c r="CD9902" s="4"/>
      <c r="CF9902" s="4"/>
    </row>
    <row r="9903" spans="66:84">
      <c r="BN9903" s="4"/>
      <c r="BO9903" s="4"/>
      <c r="BQ9903" s="4"/>
      <c r="CC9903" s="4"/>
      <c r="CD9903" s="4"/>
      <c r="CF9903" s="4"/>
    </row>
    <row r="9904" spans="66:84">
      <c r="BN9904" s="4"/>
      <c r="BO9904" s="4"/>
      <c r="BQ9904" s="4"/>
      <c r="CC9904" s="4"/>
      <c r="CD9904" s="4"/>
      <c r="CF9904" s="4"/>
    </row>
    <row r="9905" spans="66:84">
      <c r="BN9905" s="4"/>
      <c r="BO9905" s="4"/>
      <c r="BQ9905" s="4"/>
      <c r="CC9905" s="4"/>
      <c r="CD9905" s="4"/>
      <c r="CF9905" s="4"/>
    </row>
    <row r="9906" spans="66:84">
      <c r="BN9906" s="4"/>
      <c r="BO9906" s="4"/>
      <c r="BQ9906" s="4"/>
      <c r="CC9906" s="4"/>
      <c r="CD9906" s="4"/>
      <c r="CF9906" s="4"/>
    </row>
    <row r="9907" spans="66:84">
      <c r="BN9907" s="4"/>
      <c r="BO9907" s="4"/>
      <c r="BQ9907" s="4"/>
      <c r="CC9907" s="4"/>
      <c r="CD9907" s="4"/>
      <c r="CF9907" s="4"/>
    </row>
    <row r="9908" spans="66:84">
      <c r="BN9908" s="4"/>
      <c r="BO9908" s="4"/>
      <c r="BQ9908" s="4"/>
      <c r="CC9908" s="4"/>
      <c r="CD9908" s="4"/>
      <c r="CF9908" s="4"/>
    </row>
    <row r="9909" spans="66:84">
      <c r="BN9909" s="4"/>
      <c r="BO9909" s="4"/>
      <c r="BQ9909" s="4"/>
      <c r="CC9909" s="4"/>
      <c r="CD9909" s="4"/>
      <c r="CF9909" s="4"/>
    </row>
    <row r="9910" spans="66:84">
      <c r="BN9910" s="4"/>
      <c r="BO9910" s="4"/>
      <c r="BQ9910" s="4"/>
      <c r="CC9910" s="4"/>
      <c r="CD9910" s="4"/>
      <c r="CF9910" s="4"/>
    </row>
    <row r="9911" spans="66:84">
      <c r="BN9911" s="4"/>
      <c r="BO9911" s="4"/>
      <c r="BQ9911" s="4"/>
      <c r="CC9911" s="4"/>
      <c r="CD9911" s="4"/>
      <c r="CF9911" s="4"/>
    </row>
    <row r="9912" spans="66:84">
      <c r="BN9912" s="4"/>
      <c r="BO9912" s="4"/>
      <c r="BQ9912" s="4"/>
      <c r="CC9912" s="4"/>
      <c r="CD9912" s="4"/>
      <c r="CF9912" s="4"/>
    </row>
    <row r="9913" spans="66:84">
      <c r="BN9913" s="4"/>
      <c r="BO9913" s="4"/>
      <c r="BQ9913" s="4"/>
      <c r="CC9913" s="4"/>
      <c r="CD9913" s="4"/>
      <c r="CF9913" s="4"/>
    </row>
    <row r="9914" spans="66:84">
      <c r="BN9914" s="4"/>
      <c r="BO9914" s="4"/>
      <c r="BQ9914" s="4"/>
      <c r="CC9914" s="4"/>
      <c r="CD9914" s="4"/>
      <c r="CF9914" s="4"/>
    </row>
    <row r="9915" spans="66:84">
      <c r="BN9915" s="4"/>
      <c r="BO9915" s="4"/>
      <c r="BQ9915" s="4"/>
      <c r="CC9915" s="4"/>
      <c r="CD9915" s="4"/>
      <c r="CF9915" s="4"/>
    </row>
    <row r="9916" spans="66:84">
      <c r="BN9916" s="4"/>
      <c r="BO9916" s="4"/>
      <c r="BQ9916" s="4"/>
      <c r="CC9916" s="4"/>
      <c r="CD9916" s="4"/>
      <c r="CF9916" s="4"/>
    </row>
    <row r="9917" spans="66:84">
      <c r="BN9917" s="4"/>
      <c r="BO9917" s="4"/>
      <c r="BQ9917" s="4"/>
      <c r="CC9917" s="4"/>
      <c r="CD9917" s="4"/>
      <c r="CF9917" s="4"/>
    </row>
    <row r="9918" spans="66:84">
      <c r="BN9918" s="4"/>
      <c r="BO9918" s="4"/>
      <c r="BQ9918" s="4"/>
      <c r="CC9918" s="4"/>
      <c r="CD9918" s="4"/>
      <c r="CF9918" s="4"/>
    </row>
    <row r="9919" spans="66:84">
      <c r="BN9919" s="4"/>
      <c r="BO9919" s="4"/>
      <c r="BQ9919" s="4"/>
      <c r="CC9919" s="4"/>
      <c r="CD9919" s="4"/>
      <c r="CF9919" s="4"/>
    </row>
    <row r="9920" spans="66:84">
      <c r="BN9920" s="4"/>
      <c r="BO9920" s="4"/>
      <c r="BQ9920" s="4"/>
      <c r="CC9920" s="4"/>
      <c r="CD9920" s="4"/>
      <c r="CF9920" s="4"/>
    </row>
    <row r="9921" spans="66:84">
      <c r="BN9921" s="4"/>
      <c r="BO9921" s="4"/>
      <c r="BQ9921" s="4"/>
      <c r="CC9921" s="4"/>
      <c r="CD9921" s="4"/>
      <c r="CF9921" s="4"/>
    </row>
    <row r="9922" spans="66:84">
      <c r="BN9922" s="4"/>
      <c r="BO9922" s="4"/>
      <c r="BQ9922" s="4"/>
      <c r="CC9922" s="4"/>
      <c r="CD9922" s="4"/>
      <c r="CF9922" s="4"/>
    </row>
    <row r="9923" spans="66:84">
      <c r="BN9923" s="4"/>
      <c r="BO9923" s="4"/>
      <c r="BQ9923" s="4"/>
      <c r="CC9923" s="4"/>
      <c r="CD9923" s="4"/>
      <c r="CF9923" s="4"/>
    </row>
    <row r="9924" spans="66:84">
      <c r="BN9924" s="4"/>
      <c r="BO9924" s="4"/>
      <c r="BQ9924" s="4"/>
      <c r="CC9924" s="4"/>
      <c r="CD9924" s="4"/>
      <c r="CF9924" s="4"/>
    </row>
    <row r="9925" spans="66:84">
      <c r="BN9925" s="4"/>
      <c r="BO9925" s="4"/>
      <c r="BQ9925" s="4"/>
      <c r="CC9925" s="4"/>
      <c r="CD9925" s="4"/>
      <c r="CF9925" s="4"/>
    </row>
    <row r="9926" spans="66:84">
      <c r="BN9926" s="4"/>
      <c r="BO9926" s="4"/>
      <c r="BQ9926" s="4"/>
      <c r="CC9926" s="4"/>
      <c r="CD9926" s="4"/>
      <c r="CF9926" s="4"/>
    </row>
    <row r="9927" spans="66:84">
      <c r="BN9927" s="4"/>
      <c r="BO9927" s="4"/>
      <c r="BQ9927" s="4"/>
      <c r="CC9927" s="4"/>
      <c r="CD9927" s="4"/>
      <c r="CF9927" s="4"/>
    </row>
    <row r="9928" spans="66:84">
      <c r="BN9928" s="4"/>
      <c r="BO9928" s="4"/>
      <c r="BQ9928" s="4"/>
      <c r="CC9928" s="4"/>
      <c r="CD9928" s="4"/>
      <c r="CF9928" s="4"/>
    </row>
    <row r="9929" spans="66:84">
      <c r="BN9929" s="4"/>
      <c r="BO9929" s="4"/>
      <c r="BQ9929" s="4"/>
      <c r="CC9929" s="4"/>
      <c r="CD9929" s="4"/>
      <c r="CF9929" s="4"/>
    </row>
    <row r="9930" spans="66:84">
      <c r="BN9930" s="4"/>
      <c r="BO9930" s="4"/>
      <c r="BQ9930" s="4"/>
      <c r="CC9930" s="4"/>
      <c r="CD9930" s="4"/>
      <c r="CF9930" s="4"/>
    </row>
    <row r="9931" spans="66:84">
      <c r="BN9931" s="4"/>
      <c r="BO9931" s="4"/>
      <c r="BQ9931" s="4"/>
      <c r="CC9931" s="4"/>
      <c r="CD9931" s="4"/>
      <c r="CF9931" s="4"/>
    </row>
    <row r="9932" spans="66:84">
      <c r="BN9932" s="4"/>
      <c r="BO9932" s="4"/>
      <c r="BQ9932" s="4"/>
      <c r="CC9932" s="4"/>
      <c r="CD9932" s="4"/>
      <c r="CF9932" s="4"/>
    </row>
    <row r="9933" spans="66:84">
      <c r="BN9933" s="4"/>
      <c r="BO9933" s="4"/>
      <c r="BQ9933" s="4"/>
      <c r="CC9933" s="4"/>
      <c r="CD9933" s="4"/>
      <c r="CF9933" s="4"/>
    </row>
    <row r="9934" spans="66:84">
      <c r="BN9934" s="4"/>
      <c r="BO9934" s="4"/>
      <c r="BQ9934" s="4"/>
      <c r="CC9934" s="4"/>
      <c r="CD9934" s="4"/>
      <c r="CF9934" s="4"/>
    </row>
    <row r="9935" spans="66:84">
      <c r="BN9935" s="4"/>
      <c r="BO9935" s="4"/>
      <c r="BQ9935" s="4"/>
      <c r="CC9935" s="4"/>
      <c r="CD9935" s="4"/>
      <c r="CF9935" s="4"/>
    </row>
    <row r="9936" spans="66:84">
      <c r="BN9936" s="4"/>
      <c r="BO9936" s="4"/>
      <c r="BQ9936" s="4"/>
      <c r="CC9936" s="4"/>
      <c r="CD9936" s="4"/>
      <c r="CF9936" s="4"/>
    </row>
    <row r="9937" spans="66:84">
      <c r="BN9937" s="4"/>
      <c r="BO9937" s="4"/>
      <c r="BQ9937" s="4"/>
      <c r="CC9937" s="4"/>
      <c r="CD9937" s="4"/>
      <c r="CF9937" s="4"/>
    </row>
    <row r="9938" spans="66:84">
      <c r="BN9938" s="4"/>
      <c r="BO9938" s="4"/>
      <c r="BQ9938" s="4"/>
      <c r="CC9938" s="4"/>
      <c r="CD9938" s="4"/>
      <c r="CF9938" s="4"/>
    </row>
    <row r="9939" spans="66:84">
      <c r="BN9939" s="4"/>
      <c r="BO9939" s="4"/>
      <c r="BQ9939" s="4"/>
      <c r="CC9939" s="4"/>
      <c r="CD9939" s="4"/>
      <c r="CF9939" s="4"/>
    </row>
    <row r="9940" spans="66:84">
      <c r="BN9940" s="4"/>
      <c r="BO9940" s="4"/>
      <c r="BQ9940" s="4"/>
      <c r="CC9940" s="4"/>
      <c r="CD9940" s="4"/>
      <c r="CF9940" s="4"/>
    </row>
    <row r="9941" spans="66:84">
      <c r="BN9941" s="4"/>
      <c r="BO9941" s="4"/>
      <c r="BQ9941" s="4"/>
      <c r="CC9941" s="4"/>
      <c r="CD9941" s="4"/>
      <c r="CF9941" s="4"/>
    </row>
    <row r="9942" spans="66:84">
      <c r="BN9942" s="4"/>
      <c r="BO9942" s="4"/>
      <c r="BQ9942" s="4"/>
      <c r="CC9942" s="4"/>
      <c r="CD9942" s="4"/>
      <c r="CF9942" s="4"/>
    </row>
    <row r="9943" spans="66:84">
      <c r="BN9943" s="4"/>
      <c r="BO9943" s="4"/>
      <c r="BQ9943" s="4"/>
      <c r="CC9943" s="4"/>
      <c r="CD9943" s="4"/>
      <c r="CF9943" s="4"/>
    </row>
    <row r="9944" spans="66:84">
      <c r="BN9944" s="4"/>
      <c r="BO9944" s="4"/>
      <c r="BQ9944" s="4"/>
      <c r="CC9944" s="4"/>
      <c r="CD9944" s="4"/>
      <c r="CF9944" s="4"/>
    </row>
    <row r="9945" spans="66:84">
      <c r="BN9945" s="4"/>
      <c r="BO9945" s="4"/>
      <c r="BQ9945" s="4"/>
      <c r="CC9945" s="4"/>
      <c r="CD9945" s="4"/>
      <c r="CF9945" s="4"/>
    </row>
    <row r="9946" spans="66:84">
      <c r="BN9946" s="4"/>
      <c r="BO9946" s="4"/>
      <c r="BQ9946" s="4"/>
      <c r="CC9946" s="4"/>
      <c r="CD9946" s="4"/>
      <c r="CF9946" s="4"/>
    </row>
    <row r="9947" spans="66:84">
      <c r="BN9947" s="4"/>
      <c r="BO9947" s="4"/>
      <c r="BQ9947" s="4"/>
      <c r="CC9947" s="4"/>
      <c r="CD9947" s="4"/>
      <c r="CF9947" s="4"/>
    </row>
    <row r="9948" spans="66:84">
      <c r="BN9948" s="4"/>
      <c r="BO9948" s="4"/>
      <c r="BQ9948" s="4"/>
      <c r="CC9948" s="4"/>
      <c r="CD9948" s="4"/>
      <c r="CF9948" s="4"/>
    </row>
    <row r="9949" spans="66:84">
      <c r="BN9949" s="4"/>
      <c r="BO9949" s="4"/>
      <c r="BQ9949" s="4"/>
      <c r="CC9949" s="4"/>
      <c r="CD9949" s="4"/>
      <c r="CF9949" s="4"/>
    </row>
    <row r="9950" spans="66:84">
      <c r="BN9950" s="4"/>
      <c r="BO9950" s="4"/>
      <c r="BQ9950" s="4"/>
      <c r="CC9950" s="4"/>
      <c r="CD9950" s="4"/>
      <c r="CF9950" s="4"/>
    </row>
    <row r="9951" spans="66:84">
      <c r="BN9951" s="4"/>
      <c r="BO9951" s="4"/>
      <c r="BQ9951" s="4"/>
      <c r="CC9951" s="4"/>
      <c r="CD9951" s="4"/>
      <c r="CF9951" s="4"/>
    </row>
    <row r="9952" spans="66:84">
      <c r="BN9952" s="4"/>
      <c r="BO9952" s="4"/>
      <c r="BQ9952" s="4"/>
      <c r="CC9952" s="4"/>
      <c r="CD9952" s="4"/>
      <c r="CF9952" s="4"/>
    </row>
    <row r="9953" spans="66:84">
      <c r="BN9953" s="4"/>
      <c r="BO9953" s="4"/>
      <c r="BQ9953" s="4"/>
      <c r="CC9953" s="4"/>
      <c r="CD9953" s="4"/>
      <c r="CF9953" s="4"/>
    </row>
    <row r="9954" spans="66:84">
      <c r="BN9954" s="4"/>
      <c r="BO9954" s="4"/>
      <c r="BQ9954" s="4"/>
      <c r="CC9954" s="4"/>
      <c r="CD9954" s="4"/>
      <c r="CF9954" s="4"/>
    </row>
    <row r="9955" spans="66:84">
      <c r="BN9955" s="4"/>
      <c r="BO9955" s="4"/>
      <c r="BQ9955" s="4"/>
      <c r="CC9955" s="4"/>
      <c r="CD9955" s="4"/>
      <c r="CF9955" s="4"/>
    </row>
    <row r="9956" spans="66:84">
      <c r="BN9956" s="4"/>
      <c r="BO9956" s="4"/>
      <c r="BQ9956" s="4"/>
      <c r="CC9956" s="4"/>
      <c r="CD9956" s="4"/>
      <c r="CF9956" s="4"/>
    </row>
    <row r="9957" spans="66:84">
      <c r="BN9957" s="4"/>
      <c r="BO9957" s="4"/>
      <c r="BQ9957" s="4"/>
      <c r="CC9957" s="4"/>
      <c r="CD9957" s="4"/>
      <c r="CF9957" s="4"/>
    </row>
    <row r="9958" spans="66:84">
      <c r="BN9958" s="4"/>
      <c r="BO9958" s="4"/>
      <c r="BQ9958" s="4"/>
      <c r="CC9958" s="4"/>
      <c r="CD9958" s="4"/>
      <c r="CF9958" s="4"/>
    </row>
    <row r="9959" spans="66:84">
      <c r="BN9959" s="4"/>
      <c r="BO9959" s="4"/>
      <c r="BQ9959" s="4"/>
      <c r="CC9959" s="4"/>
      <c r="CD9959" s="4"/>
      <c r="CF9959" s="4"/>
    </row>
    <row r="9960" spans="66:84">
      <c r="BN9960" s="4"/>
      <c r="BO9960" s="4"/>
      <c r="BQ9960" s="4"/>
      <c r="CC9960" s="4"/>
      <c r="CD9960" s="4"/>
      <c r="CF9960" s="4"/>
    </row>
    <row r="9961" spans="66:84">
      <c r="BN9961" s="4"/>
      <c r="BO9961" s="4"/>
      <c r="BQ9961" s="4"/>
      <c r="CC9961" s="4"/>
      <c r="CD9961" s="4"/>
      <c r="CF9961" s="4"/>
    </row>
    <row r="9962" spans="66:84">
      <c r="BN9962" s="4"/>
      <c r="BO9962" s="4"/>
      <c r="BQ9962" s="4"/>
      <c r="CC9962" s="4"/>
      <c r="CD9962" s="4"/>
      <c r="CF9962" s="4"/>
    </row>
    <row r="9963" spans="66:84">
      <c r="BN9963" s="4"/>
      <c r="BO9963" s="4"/>
      <c r="BQ9963" s="4"/>
      <c r="CC9963" s="4"/>
      <c r="CD9963" s="4"/>
      <c r="CF9963" s="4"/>
    </row>
    <row r="9964" spans="66:84">
      <c r="BN9964" s="4"/>
      <c r="BO9964" s="4"/>
      <c r="BQ9964" s="4"/>
      <c r="CC9964" s="4"/>
      <c r="CD9964" s="4"/>
      <c r="CF9964" s="4"/>
    </row>
    <row r="9965" spans="66:84">
      <c r="BN9965" s="4"/>
      <c r="BO9965" s="4"/>
      <c r="BQ9965" s="4"/>
      <c r="CC9965" s="4"/>
      <c r="CD9965" s="4"/>
      <c r="CF9965" s="4"/>
    </row>
    <row r="9966" spans="66:84">
      <c r="BN9966" s="4"/>
      <c r="BO9966" s="4"/>
      <c r="BQ9966" s="4"/>
      <c r="CC9966" s="4"/>
      <c r="CD9966" s="4"/>
      <c r="CF9966" s="4"/>
    </row>
    <row r="9967" spans="66:84">
      <c r="BN9967" s="4"/>
      <c r="BO9967" s="4"/>
      <c r="BQ9967" s="4"/>
      <c r="CC9967" s="4"/>
      <c r="CD9967" s="4"/>
      <c r="CF9967" s="4"/>
    </row>
    <row r="9968" spans="66:84">
      <c r="BN9968" s="4"/>
      <c r="BO9968" s="4"/>
      <c r="BQ9968" s="4"/>
      <c r="CC9968" s="4"/>
      <c r="CD9968" s="4"/>
      <c r="CF9968" s="4"/>
    </row>
    <row r="9969" spans="66:84">
      <c r="BN9969" s="4"/>
      <c r="BO9969" s="4"/>
      <c r="BQ9969" s="4"/>
      <c r="CC9969" s="4"/>
      <c r="CD9969" s="4"/>
      <c r="CF9969" s="4"/>
    </row>
    <row r="9970" spans="66:84">
      <c r="BN9970" s="4"/>
      <c r="BO9970" s="4"/>
      <c r="BQ9970" s="4"/>
      <c r="CC9970" s="4"/>
      <c r="CD9970" s="4"/>
      <c r="CF9970" s="4"/>
    </row>
    <row r="9971" spans="66:84">
      <c r="BN9971" s="4"/>
      <c r="BO9971" s="4"/>
      <c r="BQ9971" s="4"/>
      <c r="CC9971" s="4"/>
      <c r="CD9971" s="4"/>
      <c r="CF9971" s="4"/>
    </row>
    <row r="9972" spans="66:84">
      <c r="BN9972" s="4"/>
      <c r="BO9972" s="4"/>
      <c r="BQ9972" s="4"/>
      <c r="CC9972" s="4"/>
      <c r="CD9972" s="4"/>
      <c r="CF9972" s="4"/>
    </row>
    <row r="9973" spans="66:84">
      <c r="BN9973" s="4"/>
      <c r="BO9973" s="4"/>
      <c r="BQ9973" s="4"/>
      <c r="CC9973" s="4"/>
      <c r="CD9973" s="4"/>
      <c r="CF9973" s="4"/>
    </row>
    <row r="9974" spans="66:84">
      <c r="BN9974" s="4"/>
      <c r="BO9974" s="4"/>
      <c r="BQ9974" s="4"/>
      <c r="CC9974" s="4"/>
      <c r="CD9974" s="4"/>
      <c r="CF9974" s="4"/>
    </row>
    <row r="9975" spans="66:84">
      <c r="BN9975" s="4"/>
      <c r="BO9975" s="4"/>
      <c r="BQ9975" s="4"/>
      <c r="CC9975" s="4"/>
      <c r="CD9975" s="4"/>
      <c r="CF9975" s="4"/>
    </row>
    <row r="9976" spans="66:84">
      <c r="BN9976" s="4"/>
      <c r="BO9976" s="4"/>
      <c r="BQ9976" s="4"/>
      <c r="CC9976" s="4"/>
      <c r="CD9976" s="4"/>
      <c r="CF9976" s="4"/>
    </row>
    <row r="9977" spans="66:84">
      <c r="BN9977" s="4"/>
      <c r="BO9977" s="4"/>
      <c r="BQ9977" s="4"/>
      <c r="CC9977" s="4"/>
      <c r="CD9977" s="4"/>
      <c r="CF9977" s="4"/>
    </row>
    <row r="9978" spans="66:84">
      <c r="BN9978" s="4"/>
      <c r="BO9978" s="4"/>
      <c r="BQ9978" s="4"/>
      <c r="CC9978" s="4"/>
      <c r="CD9978" s="4"/>
      <c r="CF9978" s="4"/>
    </row>
    <row r="9979" spans="66:84">
      <c r="BN9979" s="4"/>
      <c r="BO9979" s="4"/>
      <c r="BQ9979" s="4"/>
      <c r="CC9979" s="4"/>
      <c r="CD9979" s="4"/>
      <c r="CF9979" s="4"/>
    </row>
    <row r="9980" spans="66:84">
      <c r="BN9980" s="4"/>
      <c r="BO9980" s="4"/>
      <c r="BQ9980" s="4"/>
      <c r="CC9980" s="4"/>
      <c r="CD9980" s="4"/>
      <c r="CF9980" s="4"/>
    </row>
    <row r="9981" spans="66:84">
      <c r="BN9981" s="4"/>
      <c r="BO9981" s="4"/>
      <c r="BQ9981" s="4"/>
      <c r="CC9981" s="4"/>
      <c r="CD9981" s="4"/>
      <c r="CF9981" s="4"/>
    </row>
    <row r="9982" spans="66:84">
      <c r="BN9982" s="4"/>
      <c r="BO9982" s="4"/>
      <c r="BQ9982" s="4"/>
      <c r="CC9982" s="4"/>
      <c r="CD9982" s="4"/>
      <c r="CF9982" s="4"/>
    </row>
    <row r="9983" spans="66:84">
      <c r="BN9983" s="4"/>
      <c r="BO9983" s="4"/>
      <c r="BQ9983" s="4"/>
      <c r="CC9983" s="4"/>
      <c r="CD9983" s="4"/>
      <c r="CF9983" s="4"/>
    </row>
    <row r="9984" spans="66:84">
      <c r="BN9984" s="4"/>
      <c r="BO9984" s="4"/>
      <c r="BQ9984" s="4"/>
      <c r="CC9984" s="4"/>
      <c r="CD9984" s="4"/>
      <c r="CF9984" s="4"/>
    </row>
    <row r="9985" spans="66:84">
      <c r="BN9985" s="4"/>
      <c r="BO9985" s="4"/>
      <c r="BQ9985" s="4"/>
      <c r="CC9985" s="4"/>
      <c r="CD9985" s="4"/>
      <c r="CF9985" s="4"/>
    </row>
    <row r="9986" spans="66:84">
      <c r="BN9986" s="4"/>
      <c r="BO9986" s="4"/>
      <c r="BQ9986" s="4"/>
      <c r="CC9986" s="4"/>
      <c r="CD9986" s="4"/>
      <c r="CF9986" s="4"/>
    </row>
    <row r="9987" spans="66:84">
      <c r="BN9987" s="4"/>
      <c r="BO9987" s="4"/>
      <c r="BQ9987" s="4"/>
      <c r="CC9987" s="4"/>
      <c r="CD9987" s="4"/>
      <c r="CF9987" s="4"/>
    </row>
    <row r="9988" spans="66:84">
      <c r="BN9988" s="4"/>
      <c r="BO9988" s="4"/>
      <c r="BQ9988" s="4"/>
      <c r="CC9988" s="4"/>
      <c r="CD9988" s="4"/>
      <c r="CF9988" s="4"/>
    </row>
    <row r="9989" spans="66:84">
      <c r="BN9989" s="4"/>
      <c r="BO9989" s="4"/>
      <c r="BQ9989" s="4"/>
      <c r="CC9989" s="4"/>
      <c r="CD9989" s="4"/>
      <c r="CF9989" s="4"/>
    </row>
    <row r="9990" spans="66:84">
      <c r="BN9990" s="4"/>
      <c r="BO9990" s="4"/>
      <c r="BQ9990" s="4"/>
      <c r="CC9990" s="4"/>
      <c r="CD9990" s="4"/>
      <c r="CF9990" s="4"/>
    </row>
    <row r="9991" spans="66:84">
      <c r="BN9991" s="4"/>
      <c r="BO9991" s="4"/>
      <c r="BQ9991" s="4"/>
      <c r="CC9991" s="4"/>
      <c r="CD9991" s="4"/>
      <c r="CF9991" s="4"/>
    </row>
    <row r="9992" spans="66:84">
      <c r="BN9992" s="4"/>
      <c r="BO9992" s="4"/>
      <c r="BQ9992" s="4"/>
      <c r="CC9992" s="4"/>
      <c r="CD9992" s="4"/>
      <c r="CF9992" s="4"/>
    </row>
    <row r="9993" spans="66:84">
      <c r="BN9993" s="4"/>
      <c r="BO9993" s="4"/>
      <c r="BQ9993" s="4"/>
      <c r="CC9993" s="4"/>
      <c r="CD9993" s="4"/>
      <c r="CF9993" s="4"/>
    </row>
    <row r="9994" spans="66:84">
      <c r="BN9994" s="4"/>
      <c r="BO9994" s="4"/>
      <c r="BQ9994" s="4"/>
      <c r="CC9994" s="4"/>
      <c r="CD9994" s="4"/>
      <c r="CF9994" s="4"/>
    </row>
    <row r="9995" spans="66:84">
      <c r="BN9995" s="4"/>
      <c r="BO9995" s="4"/>
      <c r="BQ9995" s="4"/>
      <c r="CC9995" s="4"/>
      <c r="CD9995" s="4"/>
      <c r="CF9995" s="4"/>
    </row>
    <row r="9996" spans="66:84">
      <c r="BN9996" s="4"/>
      <c r="BO9996" s="4"/>
      <c r="BQ9996" s="4"/>
      <c r="CC9996" s="4"/>
      <c r="CD9996" s="4"/>
      <c r="CF9996" s="4"/>
    </row>
    <row r="9997" spans="66:84">
      <c r="BN9997" s="4"/>
      <c r="BO9997" s="4"/>
      <c r="BQ9997" s="4"/>
      <c r="CC9997" s="4"/>
      <c r="CD9997" s="4"/>
      <c r="CF9997" s="4"/>
    </row>
    <row r="9998" spans="66:84">
      <c r="BN9998" s="4"/>
      <c r="BO9998" s="4"/>
      <c r="BQ9998" s="4"/>
      <c r="CC9998" s="4"/>
      <c r="CD9998" s="4"/>
      <c r="CF9998" s="4"/>
    </row>
    <row r="9999" spans="66:84">
      <c r="BN9999" s="4"/>
      <c r="BO9999" s="4"/>
      <c r="BQ9999" s="4"/>
      <c r="CC9999" s="4"/>
      <c r="CD9999" s="4"/>
      <c r="CF9999" s="4"/>
    </row>
    <row r="10000" spans="66:84">
      <c r="BN10000" s="4"/>
      <c r="BO10000" s="4"/>
      <c r="BQ10000" s="4"/>
      <c r="CC10000" s="4"/>
      <c r="CD10000" s="4"/>
      <c r="CF10000" s="4"/>
    </row>
    <row r="10001" spans="66:84">
      <c r="BN10001" s="4"/>
      <c r="BO10001" s="4"/>
      <c r="BQ10001" s="4"/>
      <c r="CC10001" s="4"/>
      <c r="CD10001" s="4"/>
      <c r="CF10001" s="4"/>
    </row>
    <row r="10002" spans="66:84">
      <c r="BN10002" s="4"/>
      <c r="BO10002" s="4"/>
      <c r="BQ10002" s="4"/>
      <c r="CC10002" s="4"/>
      <c r="CD10002" s="4"/>
      <c r="CF10002" s="4"/>
    </row>
    <row r="10003" spans="66:84">
      <c r="BN10003" s="4"/>
      <c r="BO10003" s="4"/>
      <c r="BQ10003" s="4"/>
      <c r="CC10003" s="4"/>
      <c r="CD10003" s="4"/>
      <c r="CF10003" s="4"/>
    </row>
    <row r="10004" spans="66:84">
      <c r="BN10004" s="4"/>
      <c r="BO10004" s="4"/>
      <c r="BQ10004" s="4"/>
      <c r="CC10004" s="4"/>
      <c r="CD10004" s="4"/>
      <c r="CF10004" s="4"/>
    </row>
    <row r="10005" spans="66:84">
      <c r="BN10005" s="4"/>
      <c r="BO10005" s="4"/>
      <c r="CC10005" s="4"/>
      <c r="CD10005" s="4"/>
    </row>
    <row r="10006" spans="66:84">
      <c r="BN10006" s="4"/>
      <c r="BO10006" s="4"/>
      <c r="CC10006" s="4"/>
      <c r="CD10006" s="4"/>
    </row>
    <row r="10007" spans="66:84">
      <c r="BN10007" s="4"/>
      <c r="BO10007" s="4"/>
      <c r="CC10007" s="4"/>
      <c r="CD10007" s="4"/>
    </row>
  </sheetData>
  <phoneticPr fontId="2" type="noConversion"/>
  <pageMargins left="0.7" right="0.7" top="0.75" bottom="0.75" header="0.3" footer="0.3"/>
  <pageSetup paperSize="9" orientation="portrait" r:id="rId1"/>
  <ignoredErrors>
    <ignoredError sqref="CR9:CR12" formulaRange="1"/>
    <ignoredError sqref="G8 H8:T8" unlockedFormula="1"/>
    <ignoredError sqref="G9:G13 G14:G21 G22:G28 H9:T28" formulaRange="1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채권투자자현황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cp:lastPrinted>2016-02-02T00:10:51Z</cp:lastPrinted>
  <dcterms:created xsi:type="dcterms:W3CDTF">2016-02-01T23:49:33Z</dcterms:created>
  <dcterms:modified xsi:type="dcterms:W3CDTF">2016-02-17T06:30:54Z</dcterms:modified>
</cp:coreProperties>
</file>